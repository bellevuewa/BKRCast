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outbkr\output\"/>
    </mc:Choice>
  </mc:AlternateContent>
  <xr:revisionPtr documentId="13_ncr:1_{40E19AFD-5C1A-415F-B22B-941584B81A0E}" revIDLastSave="0" xr10:uidLastSave="{00000000-0000-0000-0000-000000000000}" xr6:coauthVersionLast="41" xr6:coauthVersionMax="41"/>
  <bookViews>
    <workbookView activeTab="6" firstSheet="3" windowHeight="11265" windowWidth="21600" xWindow="12405" xr2:uid="{00000000-000D-0000-FFFF-FFFF00000000}" yWindow="2640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104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G7"/>
  <c i="6" r="D7"/>
  <c i="6" r="G6"/>
  <c i="6" r="D6"/>
  <c i="6" r="G5"/>
  <c i="6" r="D5"/>
  <c i="6" r="G4"/>
  <c i="6" r="D4"/>
  <c i="6" l="1" r="G8"/>
  <c i="6" r="G15" s="1"/>
  <c i="6" r="D8"/>
  <c i="6" r="D14" s="1"/>
  <c i="1" r="U13"/>
  <c i="1" r="S15"/>
  <c i="1" r="H15"/>
  <c i="1" r="J13"/>
  <c i="1" l="1" r="F26"/>
  <c i="1" r="C26"/>
  <c i="1" r="E26"/>
  <c i="1" r="H26"/>
  <c i="1" r="B26"/>
  <c i="1" r="D26"/>
  <c i="1" r="G26"/>
  <c i="6" r="G12"/>
  <c i="6" r="G16"/>
  <c i="6" r="G13"/>
  <c i="6" r="D16"/>
  <c i="6" r="D12"/>
  <c i="6" r="I12" s="1"/>
  <c i="6" r="J12" s="1"/>
  <c i="6" r="K12" s="1"/>
  <c i="6" r="D33" s="1"/>
  <c i="6" r="D43" s="1"/>
  <c i="6" r="Q39" s="1"/>
  <c i="6" r="D13"/>
  <c i="6" r="I13" s="1"/>
  <c i="6" r="J13" s="1"/>
  <c i="6" r="G14"/>
  <c i="6" r="I14" s="1"/>
  <c i="6" r="J14" s="1"/>
  <c i="6" r="D15"/>
  <c i="6" r="I15" s="1"/>
  <c i="6" r="J15" s="1"/>
  <c i="1" r="S28"/>
  <c i="1" r="U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6" l="1" r="K14"/>
  <c i="6" r="D35" s="1"/>
  <c i="6" r="D45" s="1"/>
  <c i="6" r="Q41" s="1"/>
  <c i="6" r="K13"/>
  <c i="6" r="D34" s="1"/>
  <c i="6" r="D44" s="1"/>
  <c i="6" r="Q40" s="1"/>
  <c i="6" r="K15"/>
  <c i="6" r="D36" s="1"/>
  <c i="6" r="D46" s="1"/>
  <c i="6" r="Q42" s="1"/>
  <c i="6" r="Q54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Q55"/>
  <c i="6" r="Q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G25"/>
  <c i="1" r="G23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0"/>
  <c i="1" r="H21"/>
  <c i="1" r="H22"/>
  <c i="1" r="J23"/>
  <c i="1" r="J25"/>
  <c i="1" r="F21"/>
  <c i="1" r="J24"/>
  <c i="1" r="E21"/>
  <c i="1" r="D21"/>
  <c i="1" r="U20"/>
  <c i="1" r="U22"/>
  <c i="1" r="G22"/>
  <c i="1" r="U21"/>
  <c i="1" r="G21"/>
  <c i="1" r="B21"/>
  <c i="1" r="C21"/>
  <c i="1" r="J15"/>
  <c i="1" r="E20"/>
  <c i="1" r="U15"/>
  <c i="1" r="U28" s="1"/>
  <c i="1" r="F22"/>
  <c i="1" r="D20"/>
  <c i="1" r="F20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H28"/>
  <c i="1" r="S35"/>
  <c i="1" r="S36"/>
  <c i="1" r="S38"/>
  <c i="1" r="S37"/>
  <c i="1" r="S39"/>
  <c i="1" r="S34"/>
  <c i="1" r="R39"/>
  <c i="1" r="N39"/>
  <c i="1" r="S33"/>
  <c i="1" r="Q39"/>
  <c i="1" r="P39"/>
  <c i="1" r="O39"/>
  <c i="1" r="M39"/>
  <c i="1" r="F28"/>
  <c i="1" r="G28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G39"/>
  <c i="1" r="AC39" s="1"/>
  <c i="1" r="D39"/>
  <c i="1" r="Z39" s="1"/>
  <c i="1" r="B39"/>
  <c i="1" r="X39" s="1"/>
  <c i="1" r="H39"/>
  <c i="1" r="AD39" s="1"/>
  <c i="1" r="E39"/>
  <c i="1" r="AA39" s="1"/>
  <c i="1" r="C39"/>
  <c i="1" r="Y39" s="1"/>
  <c i="1" r="F39"/>
  <c i="1" r="AB39" s="1"/>
  <c i="1" r="H33"/>
  <c i="1" r="AD33" s="1"/>
  <c i="1" r="H36"/>
  <c i="1" r="AD36" s="1"/>
  <c i="1" r="H38"/>
  <c i="1" r="AD38" s="1"/>
  <c i="1" r="H37"/>
  <c i="1" r="AD37" s="1"/>
  <c i="1" r="H35"/>
  <c i="1" r="AD35" s="1"/>
  <c i="1" r="H34"/>
  <c i="1" r="AD34" s="1"/>
  <c i="1" r="J40"/>
  <c i="1" r="G38"/>
  <c i="1" r="J39"/>
  <c i="1" r="AF39" s="1"/>
  <c i="1" r="G37"/>
  <c i="1" r="AC37" s="1"/>
  <c i="1" r="G35"/>
  <c i="1" r="AC35" s="1"/>
  <c i="1" r="G34"/>
  <c i="1" r="AC34" s="1"/>
  <c i="1" r="G36"/>
  <c i="1" r="AC36" s="1"/>
  <c i="1" r="H41"/>
  <c i="1" r="AD41" s="1"/>
  <c i="1" r="J35"/>
  <c i="1" r="AF35" s="1"/>
  <c i="1" r="G41"/>
  <c i="1" r="AC41" s="1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AC38"/>
  <c i="1" r="I41"/>
  <c i="1" r="AE41" s="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<sst xmlns="http://schemas.openxmlformats.org/spreadsheetml/2006/main" count="716" uniqueCount="285">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</sst>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2.6240482246273945E-2</c:v>
                </c:pt>
                <c:pt idx="1">
                  <c:v>3.4691534360557622E-2</c:v>
                </c:pt>
                <c:pt idx="2">
                  <c:v>6.7160902242041021E-2</c:v>
                </c:pt>
                <c:pt idx="3">
                  <c:v>0.10899278957275935</c:v>
                </c:pt>
                <c:pt idx="4">
                  <c:v>0.24387416861015357</c:v>
                </c:pt>
                <c:pt idx="5">
                  <c:v>0.12326033242601567</c:v>
                </c:pt>
                <c:pt idx="6">
                  <c:v>0.15329451482365417</c:v>
                </c:pt>
                <c:pt idx="7">
                  <c:v>3.8988301798656762E-2</c:v>
                </c:pt>
                <c:pt idx="8">
                  <c:v>4.7911313696947296E-2</c:v>
                </c:pt>
                <c:pt idx="9">
                  <c:v>3.2335622616879646E-2</c:v>
                </c:pt>
                <c:pt idx="10">
                  <c:v>4.6262393056899685E-2</c:v>
                </c:pt>
                <c:pt idx="11">
                  <c:v>1.1980811207329691E-2</c:v>
                </c:pt>
                <c:pt idx="12">
                  <c:v>5.6502699489663329E-3</c:v>
                </c:pt>
                <c:pt idx="13">
                  <c:v>4.4505401717048936E-3</c:v>
                </c:pt>
                <c:pt idx="14">
                  <c:v>7.2820771286120989E-3</c:v>
                </c:pt>
                <c:pt idx="15">
                  <c:v>7.4483316527892661E-3</c:v>
                </c:pt>
                <c:pt idx="16">
                  <c:v>7.2201550850603752E-3</c:v>
                </c:pt>
                <c:pt idx="17">
                  <c:v>4.7149277522862678E-3</c:v>
                </c:pt>
                <c:pt idx="18">
                  <c:v>1.5735170282139303E-3</c:v>
                </c:pt>
                <c:pt idx="19">
                  <c:v>8.092794514410731E-4</c:v>
                </c:pt>
                <c:pt idx="20">
                  <c:v>1.5768818444062015E-4</c:v>
                </c:pt>
                <c:pt idx="21">
                  <c:v>0</c:v>
                </c:pt>
                <c:pt idx="22">
                  <c:v>3.5352993761308907E-3</c:v>
                </c:pt>
                <c:pt idx="23">
                  <c:v>1.1125750309500923E-3</c:v>
                </c:pt>
                <c:pt idx="24">
                  <c:v>1.8674732699965725E-3</c:v>
                </c:pt>
                <c:pt idx="25">
                  <c:v>0</c:v>
                </c:pt>
                <c:pt idx="26">
                  <c:v>1.4434474925086281E-2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1.40597534241879E-3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2.8927503692880802E-4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3.9570629903868027E-4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7.0254788032374335E-4</c:v>
                </c:pt>
                <c:pt idx="55">
                  <c:v>0</c:v>
                </c:pt>
                <c:pt idx="56">
                  <c:v>1.0567498137286876E-3</c:v>
                </c:pt>
                <c:pt idx="57">
                  <c:v>8.9996996371392022E-4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0.15519207322000297</c:v>
                </c:pt>
                <c:pt idx="1">
                  <c:v>0.11689414739170798</c:v>
                </c:pt>
                <c:pt idx="2">
                  <c:v>7.9542536591147017E-2</c:v>
                </c:pt>
                <c:pt idx="3">
                  <c:v>4.8971353769188916E-2</c:v>
                </c:pt>
                <c:pt idx="4">
                  <c:v>0.15782631258563073</c:v>
                </c:pt>
                <c:pt idx="5">
                  <c:v>8.5654977491349385E-2</c:v>
                </c:pt>
                <c:pt idx="6">
                  <c:v>8.4171758871030011E-2</c:v>
                </c:pt>
                <c:pt idx="7">
                  <c:v>3.4020653729504739E-2</c:v>
                </c:pt>
                <c:pt idx="8">
                  <c:v>0.10735737488260845</c:v>
                </c:pt>
                <c:pt idx="9">
                  <c:v>1.9922894179713664E-2</c:v>
                </c:pt>
                <c:pt idx="10">
                  <c:v>1.5087170518067076E-2</c:v>
                </c:pt>
                <c:pt idx="11">
                  <c:v>1.4884260464681979E-2</c:v>
                </c:pt>
                <c:pt idx="12">
                  <c:v>1.8217013199927454E-2</c:v>
                </c:pt>
                <c:pt idx="13">
                  <c:v>2.4887905662986154E-2</c:v>
                </c:pt>
                <c:pt idx="14">
                  <c:v>5.9777660860087234E-3</c:v>
                </c:pt>
                <c:pt idx="15">
                  <c:v>1.4180360102496513E-2</c:v>
                </c:pt>
                <c:pt idx="16">
                  <c:v>2.2786978561565242E-3</c:v>
                </c:pt>
                <c:pt idx="17">
                  <c:v>4.2305848298697961E-3</c:v>
                </c:pt>
                <c:pt idx="18">
                  <c:v>1.2390082905815618E-3</c:v>
                </c:pt>
                <c:pt idx="19">
                  <c:v>7.9188790745865034E-4</c:v>
                </c:pt>
                <c:pt idx="20">
                  <c:v>1.0091632743577357E-3</c:v>
                </c:pt>
                <c:pt idx="21">
                  <c:v>2.8407407473913489E-3</c:v>
                </c:pt>
                <c:pt idx="22">
                  <c:v>3.9863745001319812E-4</c:v>
                </c:pt>
                <c:pt idx="23">
                  <c:v>4.5609870406915464E-4</c:v>
                </c:pt>
                <c:pt idx="24">
                  <c:v>4.6507702501539784E-4</c:v>
                </c:pt>
                <c:pt idx="25">
                  <c:v>3.429718601464903E-4</c:v>
                </c:pt>
                <c:pt idx="26">
                  <c:v>2.100927101420909E-4</c:v>
                </c:pt>
                <c:pt idx="27">
                  <c:v>2.0255092054724663E-3</c:v>
                </c:pt>
                <c:pt idx="28">
                  <c:v>1.9034040406035586E-4</c:v>
                </c:pt>
                <c:pt idx="29">
                  <c:v>2.1727536689908548E-4</c:v>
                </c:pt>
                <c:pt idx="30">
                  <c:v>1.4724446351838851E-4</c:v>
                </c:pt>
                <c:pt idx="31">
                  <c:v>3.2321955406475523E-5</c:v>
                </c:pt>
                <c:pt idx="32">
                  <c:v>8.0804888516188814E-5</c:v>
                </c:pt>
                <c:pt idx="33">
                  <c:v>7.1826567569945605E-5</c:v>
                </c:pt>
                <c:pt idx="34">
                  <c:v>3.9504612163470082E-5</c:v>
                </c:pt>
                <c:pt idx="35">
                  <c:v>2.6934962838729603E-5</c:v>
                </c:pt>
                <c:pt idx="36">
                  <c:v>4.3095940541967368E-5</c:v>
                </c:pt>
                <c:pt idx="37">
                  <c:v>1.2569649324740482E-5</c:v>
                </c:pt>
                <c:pt idx="38">
                  <c:v>2.3343634460232324E-5</c:v>
                </c:pt>
                <c:pt idx="39">
                  <c:v>7.1826567569945608E-6</c:v>
                </c:pt>
                <c:pt idx="40">
                  <c:v>3.5913283784972804E-6</c:v>
                </c:pt>
                <c:pt idx="41">
                  <c:v>5.386992567745921E-6</c:v>
                </c:pt>
                <c:pt idx="42">
                  <c:v>1.7956641892486402E-6</c:v>
                </c:pt>
                <c:pt idx="43">
                  <c:v>1.7956641892486402E-6</c:v>
                </c:pt>
                <c:pt idx="44">
                  <c:v>0</c:v>
                </c:pt>
                <c:pt idx="45">
                  <c:v>1.7956641892486402E-6</c:v>
                </c:pt>
                <c:pt idx="46">
                  <c:v>1.7956641892486402E-6</c:v>
                </c:pt>
                <c:pt idx="47">
                  <c:v>0</c:v>
                </c:pt>
                <c:pt idx="48">
                  <c:v>0</c:v>
                </c:pt>
                <c:pt idx="49">
                  <c:v>1.7956641892486402E-6</c:v>
                </c:pt>
                <c:pt idx="50">
                  <c:v>1.7956641892486402E-6</c:v>
                </c:pt>
                <c:pt idx="51">
                  <c:v>5.386992567745921E-6</c:v>
                </c:pt>
                <c:pt idx="52">
                  <c:v>0</c:v>
                </c:pt>
                <c:pt idx="53">
                  <c:v>3.5913283784972804E-6</c:v>
                </c:pt>
                <c:pt idx="54">
                  <c:v>0</c:v>
                </c:pt>
                <c:pt idx="55">
                  <c:v>1.7956641892486402E-6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217408"/>
        <c:axId val="172217800"/>
      </c:lineChart>
      <c:catAx>
        <c:axId val="172217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72217800"/>
        <c:crosses val="autoZero"/>
        <c:auto val="1"/>
        <c:lblAlgn val="ctr"/>
        <c:lblOffset val="100"/>
        <c:tickLblSkip val="10"/>
        <c:noMultiLvlLbl val="0"/>
      </c:catAx>
      <c:valAx>
        <c:axId val="1722178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7221740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1.4311507456928776E-3</c:v>
                </c:pt>
                <c:pt idx="4">
                  <c:v>3.0379230788462612E-3</c:v>
                </c:pt>
                <c:pt idx="5">
                  <c:v>2.1771408421734806E-2</c:v>
                </c:pt>
                <c:pt idx="6">
                  <c:v>7.2964527922652605E-3</c:v>
                </c:pt>
                <c:pt idx="7">
                  <c:v>1.4377635504371723E-2</c:v>
                </c:pt>
                <c:pt idx="8">
                  <c:v>3.210165932905332E-3</c:v>
                </c:pt>
                <c:pt idx="9">
                  <c:v>9.8072801310153061E-3</c:v>
                </c:pt>
                <c:pt idx="10">
                  <c:v>0</c:v>
                </c:pt>
                <c:pt idx="11">
                  <c:v>1.0700225531988947E-2</c:v>
                </c:pt>
                <c:pt idx="12">
                  <c:v>2.1167863003203582E-2</c:v>
                </c:pt>
                <c:pt idx="13">
                  <c:v>3.5628861582219902E-2</c:v>
                </c:pt>
                <c:pt idx="14">
                  <c:v>2.1510511888800984E-2</c:v>
                </c:pt>
                <c:pt idx="15">
                  <c:v>1.0923435753256766E-2</c:v>
                </c:pt>
                <c:pt idx="16">
                  <c:v>4.6945300365718021E-2</c:v>
                </c:pt>
                <c:pt idx="17">
                  <c:v>2.9277493689612164E-2</c:v>
                </c:pt>
                <c:pt idx="18">
                  <c:v>0.13763001365345331</c:v>
                </c:pt>
                <c:pt idx="19">
                  <c:v>6.0603539567176394E-2</c:v>
                </c:pt>
                <c:pt idx="20">
                  <c:v>8.3184132587429488E-2</c:v>
                </c:pt>
                <c:pt idx="21">
                  <c:v>7.6418100130891967E-2</c:v>
                </c:pt>
                <c:pt idx="22">
                  <c:v>6.1542423520017007E-2</c:v>
                </c:pt>
                <c:pt idx="23">
                  <c:v>2.8610523351288417E-2</c:v>
                </c:pt>
                <c:pt idx="24">
                  <c:v>2.1189240691739261E-2</c:v>
                </c:pt>
                <c:pt idx="25">
                  <c:v>1.6982874710369002E-2</c:v>
                </c:pt>
                <c:pt idx="26">
                  <c:v>7.6275664534793855E-2</c:v>
                </c:pt>
                <c:pt idx="27">
                  <c:v>9.2777602247353878E-3</c:v>
                </c:pt>
                <c:pt idx="28">
                  <c:v>2.9006758520600428E-2</c:v>
                </c:pt>
                <c:pt idx="29">
                  <c:v>1.1174782845923804E-2</c:v>
                </c:pt>
                <c:pt idx="30">
                  <c:v>4.2999325512585954E-3</c:v>
                </c:pt>
                <c:pt idx="31">
                  <c:v>4.4309167779440712E-3</c:v>
                </c:pt>
                <c:pt idx="32">
                  <c:v>6.4197513883062817E-3</c:v>
                </c:pt>
                <c:pt idx="33">
                  <c:v>6.0457474899060981E-3</c:v>
                </c:pt>
                <c:pt idx="34">
                  <c:v>1.2025998522552097E-2</c:v>
                </c:pt>
                <c:pt idx="35">
                  <c:v>2.289706740395222E-3</c:v>
                </c:pt>
                <c:pt idx="36">
                  <c:v>2.2471636744625153E-3</c:v>
                </c:pt>
                <c:pt idx="37">
                  <c:v>1.6476174604143825E-2</c:v>
                </c:pt>
                <c:pt idx="38">
                  <c:v>1.3587518280540223E-2</c:v>
                </c:pt>
                <c:pt idx="39">
                  <c:v>1.7262112119334242E-3</c:v>
                </c:pt>
                <c:pt idx="40">
                  <c:v>8.1536245833210169E-4</c:v>
                </c:pt>
                <c:pt idx="41">
                  <c:v>3.9600286680454176E-3</c:v>
                </c:pt>
                <c:pt idx="42">
                  <c:v>1.8899961754864608E-3</c:v>
                </c:pt>
                <c:pt idx="43">
                  <c:v>0</c:v>
                </c:pt>
                <c:pt idx="44">
                  <c:v>2.4849943870701842E-4</c:v>
                </c:pt>
                <c:pt idx="45">
                  <c:v>4.4325081473707714E-2</c:v>
                </c:pt>
                <c:pt idx="46">
                  <c:v>1.8053638884362607E-3</c:v>
                </c:pt>
                <c:pt idx="47">
                  <c:v>2.1155916943345204E-3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1.7222294008321652E-3</c:v>
                </c:pt>
                <c:pt idx="53">
                  <c:v>0</c:v>
                </c:pt>
                <c:pt idx="54">
                  <c:v>1.6634999318468305E-2</c:v>
                </c:pt>
                <c:pt idx="55">
                  <c:v>2.8927503692880802E-4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1.0176840520625258E-3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1.7992555176271376E-2</c:v>
                </c:pt>
                <c:pt idx="1">
                  <c:v>3.2591305034862822E-2</c:v>
                </c:pt>
                <c:pt idx="2">
                  <c:v>3.843978329924564E-2</c:v>
                </c:pt>
                <c:pt idx="3">
                  <c:v>3.7753839578952661E-2</c:v>
                </c:pt>
                <c:pt idx="4">
                  <c:v>3.4182263506537115E-2</c:v>
                </c:pt>
                <c:pt idx="5">
                  <c:v>3.094288530913257E-2</c:v>
                </c:pt>
                <c:pt idx="6">
                  <c:v>2.9043072596907506E-2</c:v>
                </c:pt>
                <c:pt idx="7">
                  <c:v>2.6462703156957212E-2</c:v>
                </c:pt>
                <c:pt idx="8">
                  <c:v>2.3704562962271299E-2</c:v>
                </c:pt>
                <c:pt idx="9">
                  <c:v>2.159106621152565E-2</c:v>
                </c:pt>
                <c:pt idx="10">
                  <c:v>1.9671501193218855E-2</c:v>
                </c:pt>
                <c:pt idx="11">
                  <c:v>1.7735775197208821E-2</c:v>
                </c:pt>
                <c:pt idx="12">
                  <c:v>1.6040668202558103E-2</c:v>
                </c:pt>
                <c:pt idx="13">
                  <c:v>1.4331195894393398E-2</c:v>
                </c:pt>
                <c:pt idx="14">
                  <c:v>1.2923395170022464E-2</c:v>
                </c:pt>
                <c:pt idx="15">
                  <c:v>1.1774170088903335E-2</c:v>
                </c:pt>
                <c:pt idx="16">
                  <c:v>1.0111385049659093E-2</c:v>
                </c:pt>
                <c:pt idx="17">
                  <c:v>9.2297139327380106E-3</c:v>
                </c:pt>
                <c:pt idx="18">
                  <c:v>0.10878851924143962</c:v>
                </c:pt>
                <c:pt idx="19">
                  <c:v>3.2287837786879797E-2</c:v>
                </c:pt>
                <c:pt idx="20">
                  <c:v>3.8771981174256641E-2</c:v>
                </c:pt>
                <c:pt idx="21">
                  <c:v>4.0050494077001675E-2</c:v>
                </c:pt>
                <c:pt idx="22">
                  <c:v>4.0267769443900758E-2</c:v>
                </c:pt>
                <c:pt idx="23">
                  <c:v>2.9364496486783014E-2</c:v>
                </c:pt>
                <c:pt idx="24">
                  <c:v>2.2494285298717717E-2</c:v>
                </c:pt>
                <c:pt idx="25">
                  <c:v>3.5809135261996382E-2</c:v>
                </c:pt>
                <c:pt idx="26">
                  <c:v>2.329515152712261E-2</c:v>
                </c:pt>
                <c:pt idx="27">
                  <c:v>1.6121473091074291E-2</c:v>
                </c:pt>
                <c:pt idx="28">
                  <c:v>1.3074230961919349E-2</c:v>
                </c:pt>
                <c:pt idx="29">
                  <c:v>1.514822310050153E-2</c:v>
                </c:pt>
                <c:pt idx="30">
                  <c:v>4.6069560439363111E-2</c:v>
                </c:pt>
                <c:pt idx="31">
                  <c:v>1.3002404394349404E-2</c:v>
                </c:pt>
                <c:pt idx="32">
                  <c:v>3.2769075789598437E-2</c:v>
                </c:pt>
                <c:pt idx="33">
                  <c:v>7.8434611786380604E-3</c:v>
                </c:pt>
                <c:pt idx="34">
                  <c:v>1.6701472624201602E-2</c:v>
                </c:pt>
                <c:pt idx="35">
                  <c:v>4.9344851920552638E-3</c:v>
                </c:pt>
                <c:pt idx="36">
                  <c:v>7.1359694880740966E-3</c:v>
                </c:pt>
                <c:pt idx="37">
                  <c:v>8.852624452995797E-3</c:v>
                </c:pt>
                <c:pt idx="38">
                  <c:v>1.0829650725358549E-2</c:v>
                </c:pt>
                <c:pt idx="39">
                  <c:v>4.2431544791945372E-3</c:v>
                </c:pt>
                <c:pt idx="40">
                  <c:v>2.8443320757698463E-3</c:v>
                </c:pt>
                <c:pt idx="41">
                  <c:v>3.483588527142362E-3</c:v>
                </c:pt>
                <c:pt idx="42">
                  <c:v>1.4060050601816853E-3</c:v>
                </c:pt>
                <c:pt idx="43">
                  <c:v>5.5737416434277791E-3</c:v>
                </c:pt>
                <c:pt idx="44">
                  <c:v>2.515725529137345E-3</c:v>
                </c:pt>
                <c:pt idx="45">
                  <c:v>3.2034649136195741E-3</c:v>
                </c:pt>
                <c:pt idx="46">
                  <c:v>2.2751065277780273E-3</c:v>
                </c:pt>
                <c:pt idx="47">
                  <c:v>7.4879196691668296E-4</c:v>
                </c:pt>
                <c:pt idx="48">
                  <c:v>6.1591281691228362E-4</c:v>
                </c:pt>
                <c:pt idx="49">
                  <c:v>1.183342700714854E-3</c:v>
                </c:pt>
                <c:pt idx="50">
                  <c:v>3.7529381555296583E-4</c:v>
                </c:pt>
                <c:pt idx="51">
                  <c:v>4.8662499528638148E-4</c:v>
                </c:pt>
                <c:pt idx="52">
                  <c:v>5.8718218988430533E-4</c:v>
                </c:pt>
                <c:pt idx="53">
                  <c:v>2.6934962838729603E-4</c:v>
                </c:pt>
                <c:pt idx="54">
                  <c:v>2.9808025541527426E-4</c:v>
                </c:pt>
                <c:pt idx="55">
                  <c:v>3.0346724798302021E-4</c:v>
                </c:pt>
                <c:pt idx="56">
                  <c:v>4.7585101015088969E-4</c:v>
                </c:pt>
                <c:pt idx="57">
                  <c:v>2.0829704595284225E-4</c:v>
                </c:pt>
                <c:pt idx="58">
                  <c:v>1.4904012770763713E-4</c:v>
                </c:pt>
                <c:pt idx="59">
                  <c:v>6.1052582434453773E-5</c:v>
                </c:pt>
                <c:pt idx="60">
                  <c:v>8.4396216894686086E-5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222504"/>
        <c:axId val="172220544"/>
      </c:lineChart>
      <c:catAx>
        <c:axId val="172222504"/>
        <c:scaling>
          <c:orientation val="minMax"/>
        </c:scaling>
        <c:delete val="0"/>
        <c:axPos val="b"/>
        <c:majorTickMark val="none"/>
        <c:minorTickMark val="none"/>
        <c:tickLblPos val="nextTo"/>
        <c:crossAx val="172220544"/>
        <c:crosses val="autoZero"/>
        <c:auto val="1"/>
        <c:lblAlgn val="ctr"/>
        <c:lblOffset val="100"/>
        <c:tickLblSkip val="10"/>
        <c:noMultiLvlLbl val="0"/>
      </c:catAx>
      <c:valAx>
        <c:axId val="172220544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222250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workbookViewId="0">
      <selection activeCell="L31" sqref="L3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16604.9834637422</v>
      </c>
      <c r="C11" s="11">
        <f>B11/B$102</f>
        <v>2.6240482246273945E-2</v>
      </c>
      <c r="E11" s="19">
        <v>0</v>
      </c>
      <c r="F11" s="343" t="n">
        <v>87459.0</v>
      </c>
      <c r="G11" s="11">
        <f>F11/F$102</f>
        <v>0.15519207322000297</v>
      </c>
      <c r="K11" s="8" t="n">
        <v>5.874764463737331</v>
      </c>
      <c r="L11" s="8" t="n">
        <v>5.126898709293822</v>
      </c>
    </row>
    <row r="12" spans="1:12" x14ac:dyDescent="0.25">
      <c r="A12">
        <v>1</v>
      </c>
      <c r="B12" s="341" t="n">
        <v>21952.8112701016</v>
      </c>
      <c r="C12" s="11">
        <f>B12/B$102</f>
        <v>3.4691534360557622E-2</v>
      </c>
      <c r="E12" s="20">
        <v>1</v>
      </c>
      <c r="F12" s="343" t="n">
        <v>65332.0</v>
      </c>
      <c r="G12" s="11">
        <f>F12/F$102</f>
        <v>0.11689414739170798</v>
      </c>
      <c r="K12" s="8"/>
      <c r="L12" s="289"/>
    </row>
    <row r="13" spans="1:12" x14ac:dyDescent="0.25">
      <c r="A13">
        <v>2</v>
      </c>
      <c r="B13" s="341" t="n">
        <v>42499.4350588756</v>
      </c>
      <c r="C13" s="11">
        <f ref="C13:C76" si="0" t="shared">B13/B$102</f>
        <v>6.7160902242041021E-2</v>
      </c>
      <c r="E13" s="21">
        <v>2</v>
      </c>
      <c r="F13" s="343" t="n">
        <v>44526.0</v>
      </c>
      <c r="G13" s="11">
        <f ref="G13:G76" si="1" t="shared">F13/F$102</f>
        <v>7.9542536591147017E-2</v>
      </c>
    </row>
    <row r="14" spans="1:12" x14ac:dyDescent="0.25">
      <c r="A14">
        <v>3</v>
      </c>
      <c r="B14" s="341" t="n">
        <v>68970.6634023386</v>
      </c>
      <c r="C14" s="11">
        <f si="0" t="shared"/>
        <v>0.10899278957275935</v>
      </c>
      <c r="E14" s="22">
        <v>3</v>
      </c>
      <c r="F14" s="343" t="n">
        <v>27479.0</v>
      </c>
      <c r="G14" s="11">
        <f si="1" t="shared"/>
        <v>4.8971353769188916E-2</v>
      </c>
    </row>
    <row r="15" spans="1:12" x14ac:dyDescent="0.25">
      <c r="A15">
        <v>4</v>
      </c>
      <c r="B15" s="341" t="n">
        <v>154323.6324317361</v>
      </c>
      <c r="C15" s="11">
        <f si="0" t="shared"/>
        <v>0.24387416861015357</v>
      </c>
      <c r="E15" s="23">
        <v>4</v>
      </c>
      <c r="F15" s="343" t="n">
        <v>88049.0</v>
      </c>
      <c r="G15" s="11">
        <f si="1" t="shared"/>
        <v>0.15782631258563073</v>
      </c>
    </row>
    <row r="16" spans="1:12" x14ac:dyDescent="0.25">
      <c r="A16">
        <v>5</v>
      </c>
      <c r="B16" s="341" t="n">
        <v>77999.16794440719</v>
      </c>
      <c r="C16" s="11">
        <f si="0" t="shared"/>
        <v>0.12326033242601567</v>
      </c>
      <c r="E16" s="24">
        <v>5</v>
      </c>
      <c r="F16" s="343" t="n">
        <v>50286.0</v>
      </c>
      <c r="G16" s="11">
        <f si="1" t="shared"/>
        <v>8.5654977491349385E-2</v>
      </c>
    </row>
    <row r="17" spans="1:7" x14ac:dyDescent="0.25">
      <c r="A17">
        <v>6</v>
      </c>
      <c r="B17" s="341" t="n">
        <v>97004.8057745054</v>
      </c>
      <c r="C17" s="11">
        <f si="0" t="shared"/>
        <v>0.15329451482365417</v>
      </c>
      <c r="E17" s="25">
        <v>6</v>
      </c>
      <c r="F17" s="343" t="n">
        <v>48009.0</v>
      </c>
      <c r="G17" s="11">
        <f si="1" t="shared"/>
        <v>8.4171758871030011E-2</v>
      </c>
    </row>
    <row r="18" spans="1:7" x14ac:dyDescent="0.25">
      <c r="A18">
        <v>7</v>
      </c>
      <c r="B18" s="341" t="n">
        <v>24671.8067362506</v>
      </c>
      <c r="C18" s="11">
        <f si="0" t="shared"/>
        <v>3.8988301798656762E-2</v>
      </c>
      <c r="E18" s="26">
        <v>7</v>
      </c>
      <c r="F18" s="343" t="n">
        <v>48457.0</v>
      </c>
      <c r="G18" s="11">
        <f si="1" t="shared"/>
        <v>3.4020653729504739E-2</v>
      </c>
    </row>
    <row r="19" spans="1:7" x14ac:dyDescent="0.25">
      <c r="A19">
        <v>8</v>
      </c>
      <c r="B19" s="341" t="n">
        <v>30318.2908072104</v>
      </c>
      <c r="C19" s="11">
        <f si="0" t="shared"/>
        <v>4.7911313696947296E-2</v>
      </c>
      <c r="E19" s="27">
        <v>8</v>
      </c>
      <c r="F19" s="343" t="n">
        <v>31348.0</v>
      </c>
      <c r="G19" s="11">
        <f si="1" t="shared"/>
        <v>0.10735737488260845</v>
      </c>
    </row>
    <row r="20" spans="1:7" x14ac:dyDescent="0.25">
      <c r="A20">
        <v>9</v>
      </c>
      <c r="B20" s="341" t="n">
        <v>20461.9897532309</v>
      </c>
      <c r="C20" s="11">
        <f si="0" t="shared"/>
        <v>3.2335622616879646E-2</v>
      </c>
      <c r="E20" s="28">
        <v>9</v>
      </c>
      <c r="F20" s="343" t="n">
        <v>9129.0</v>
      </c>
      <c r="G20" s="11">
        <f si="1" t="shared"/>
        <v>1.9922894179713664E-2</v>
      </c>
    </row>
    <row r="21" spans="1:7" x14ac:dyDescent="0.25">
      <c r="A21">
        <v>10</v>
      </c>
      <c r="B21" s="341" t="n">
        <v>29274.8534304106</v>
      </c>
      <c r="C21" s="11">
        <f si="0" t="shared"/>
        <v>4.6262393056899685E-2</v>
      </c>
      <c r="E21" s="29">
        <v>10</v>
      </c>
      <c r="F21" s="343" t="n">
        <v>8983.0</v>
      </c>
      <c r="G21" s="11">
        <f si="1" t="shared"/>
        <v>1.5087170518067076E-2</v>
      </c>
    </row>
    <row r="22" spans="1:7" x14ac:dyDescent="0.25">
      <c r="A22">
        <v>11</v>
      </c>
      <c r="B22" s="341" t="n">
        <v>7581.4602076597</v>
      </c>
      <c r="C22" s="11">
        <f si="0" t="shared"/>
        <v>1.1980811207329691E-2</v>
      </c>
      <c r="E22" s="30">
        <v>11</v>
      </c>
      <c r="F22" s="343" t="n">
        <v>9010.0</v>
      </c>
      <c r="G22" s="11">
        <f si="1" t="shared"/>
        <v>1.4884260464681979E-2</v>
      </c>
    </row>
    <row r="23" spans="1:7" x14ac:dyDescent="0.25">
      <c r="A23">
        <v>12</v>
      </c>
      <c r="B23" s="341" t="n">
        <v>3575.4921798965</v>
      </c>
      <c r="C23" s="11">
        <f si="0" t="shared"/>
        <v>5.6502699489663329E-3</v>
      </c>
      <c r="E23" s="31">
        <v>12</v>
      </c>
      <c r="F23" s="343" t="n">
        <v>9515.0</v>
      </c>
      <c r="G23" s="11">
        <f si="1" t="shared"/>
        <v>1.8217013199927454E-2</v>
      </c>
    </row>
    <row r="24" spans="1:7" x14ac:dyDescent="0.25">
      <c r="A24">
        <v>13</v>
      </c>
      <c r="B24" s="341" t="n">
        <v>2816.3028888836</v>
      </c>
      <c r="C24" s="11">
        <f si="0" t="shared"/>
        <v>4.4505401717048936E-3</v>
      </c>
      <c r="E24" s="32">
        <v>13</v>
      </c>
      <c r="F24" s="343" t="n">
        <v>10902.0</v>
      </c>
      <c r="G24" s="11">
        <f si="1" t="shared"/>
        <v>2.4887905662986154E-2</v>
      </c>
    </row>
    <row r="25" spans="1:7" x14ac:dyDescent="0.25">
      <c r="A25">
        <v>14</v>
      </c>
      <c r="B25" s="341" t="n">
        <v>4608.1001548464</v>
      </c>
      <c r="C25" s="11">
        <f si="0" t="shared"/>
        <v>7.2820771286120989E-3</v>
      </c>
      <c r="E25" s="33">
        <v>14</v>
      </c>
      <c r="F25" s="343" t="n">
        <v>3075.0</v>
      </c>
      <c r="G25" s="11">
        <f si="1" t="shared"/>
        <v>5.9777660860087234E-3</v>
      </c>
    </row>
    <row r="26" spans="1:7" x14ac:dyDescent="0.25">
      <c r="A26">
        <v>15</v>
      </c>
      <c r="B26" s="341" t="n">
        <v>4713.3060576504995</v>
      </c>
      <c r="C26" s="11">
        <f si="0" t="shared"/>
        <v>7.4483316527892661E-3</v>
      </c>
      <c r="E26" s="34">
        <v>15</v>
      </c>
      <c r="F26" s="343" t="n">
        <v>9296.0</v>
      </c>
      <c r="G26" s="11">
        <f si="1" t="shared"/>
        <v>1.4180360102496513E-2</v>
      </c>
    </row>
    <row r="27" spans="1:7" x14ac:dyDescent="0.25">
      <c r="A27">
        <v>16</v>
      </c>
      <c r="B27" s="341" t="n">
        <v>4568.9158708242</v>
      </c>
      <c r="C27" s="11">
        <f si="0" t="shared"/>
        <v>7.2201550850603752E-3</v>
      </c>
      <c r="E27" s="35">
        <v>16</v>
      </c>
      <c r="F27" s="343" t="n">
        <v>1517.0</v>
      </c>
      <c r="G27" s="11">
        <f si="1" t="shared"/>
        <v>2.2786978561565242E-3</v>
      </c>
    </row>
    <row r="28" spans="1:7" x14ac:dyDescent="0.25">
      <c r="A28">
        <v>17</v>
      </c>
      <c r="B28" s="341" t="n">
        <v>2983.6074133344</v>
      </c>
      <c r="C28" s="11">
        <f si="0" t="shared"/>
        <v>4.7149277522862678E-3</v>
      </c>
      <c r="E28" s="36">
        <v>17</v>
      </c>
      <c r="F28" s="343" t="n">
        <v>1362.0</v>
      </c>
      <c r="G28" s="11">
        <f si="1" t="shared"/>
        <v>4.2305848298697961E-3</v>
      </c>
    </row>
    <row r="29" spans="1:7" x14ac:dyDescent="0.25">
      <c r="A29">
        <v>18</v>
      </c>
      <c r="B29" s="341" t="n">
        <v>995.7219531329</v>
      </c>
      <c r="C29" s="11">
        <f si="0" t="shared"/>
        <v>1.5735170282139303E-3</v>
      </c>
      <c r="E29" s="37">
        <v>18</v>
      </c>
      <c r="F29" s="343" t="n">
        <v>1073.0</v>
      </c>
      <c r="G29" s="11">
        <f si="1" t="shared"/>
        <v>1.2390082905815618E-3</v>
      </c>
    </row>
    <row r="30" spans="1:7" x14ac:dyDescent="0.25">
      <c r="A30">
        <v>19</v>
      </c>
      <c r="B30" s="341" t="n">
        <v>512.112231117</v>
      </c>
      <c r="C30" s="11">
        <f si="0" t="shared"/>
        <v>8.092794514410731E-4</v>
      </c>
      <c r="E30" s="38">
        <v>19</v>
      </c>
      <c r="F30" s="343" t="n">
        <v>360.0</v>
      </c>
      <c r="G30" s="11">
        <f si="1" t="shared"/>
        <v>7.9188790745865034E-4</v>
      </c>
    </row>
    <row r="31" spans="1:7" x14ac:dyDescent="0.25">
      <c r="A31">
        <v>20</v>
      </c>
      <c r="B31" s="341" t="n">
        <v>99.7851209627</v>
      </c>
      <c r="C31" s="11">
        <f si="0" t="shared"/>
        <v>1.5768818444062015E-4</v>
      </c>
      <c r="E31" s="39">
        <v>20</v>
      </c>
      <c r="F31" s="343" t="n">
        <v>553.0</v>
      </c>
      <c r="G31" s="11">
        <f si="1" t="shared"/>
        <v>1.0091632743577357E-3</v>
      </c>
    </row>
    <row r="32" spans="1:7" x14ac:dyDescent="0.25">
      <c r="A32">
        <v>21</v>
      </c>
      <c r="B32" s="341" t="n">
        <v>0.0</v>
      </c>
      <c r="C32" s="11">
        <f si="0" t="shared"/>
        <v>0</v>
      </c>
      <c r="E32" s="40">
        <v>21</v>
      </c>
      <c r="F32" s="343" t="n">
        <v>1235.0</v>
      </c>
      <c r="G32" s="11">
        <f si="1" t="shared"/>
        <v>2.8407407473913489E-3</v>
      </c>
    </row>
    <row r="33" spans="1:7" x14ac:dyDescent="0.25">
      <c r="A33">
        <v>22</v>
      </c>
      <c r="B33" s="341" t="n">
        <v>2237.1382937662</v>
      </c>
      <c r="C33" s="11">
        <f si="0" t="shared"/>
        <v>3.5352993761308907E-3</v>
      </c>
      <c r="E33" s="41">
        <v>22</v>
      </c>
      <c r="F33" s="343" t="n">
        <v>189.0</v>
      </c>
      <c r="G33" s="11">
        <f si="1" t="shared"/>
        <v>3.9863745001319812E-4</v>
      </c>
    </row>
    <row r="34" spans="1:7" x14ac:dyDescent="0.25">
      <c r="A34">
        <v>23</v>
      </c>
      <c r="B34" s="341" t="n">
        <v>704.037746628</v>
      </c>
      <c r="C34" s="11">
        <f si="0" t="shared"/>
        <v>1.1125750309500923E-3</v>
      </c>
      <c r="E34" s="42">
        <v>23</v>
      </c>
      <c r="F34" s="343" t="n">
        <v>255.0</v>
      </c>
      <c r="G34" s="11">
        <f si="1" t="shared"/>
        <v>4.5609870406915464E-4</v>
      </c>
    </row>
    <row r="35" spans="1:7" x14ac:dyDescent="0.25">
      <c r="A35">
        <v>24</v>
      </c>
      <c r="B35" s="341" t="n">
        <v>1181.7375334889998</v>
      </c>
      <c r="C35" s="11">
        <f si="0" t="shared"/>
        <v>1.8674732699965725E-3</v>
      </c>
      <c r="E35" s="43">
        <v>24</v>
      </c>
      <c r="F35" s="343" t="n">
        <v>179.0</v>
      </c>
      <c r="G35" s="11">
        <f si="1" t="shared"/>
        <v>4.6507702501539784E-4</v>
      </c>
    </row>
    <row r="36" spans="1:7" x14ac:dyDescent="0.25">
      <c r="A36">
        <v>25</v>
      </c>
      <c r="B36" s="341" t="n">
        <v>0.0</v>
      </c>
      <c r="C36" s="11">
        <f si="0" t="shared"/>
        <v>0</v>
      </c>
      <c r="E36" s="44">
        <v>25</v>
      </c>
      <c r="F36" s="343" t="n">
        <v>174.0</v>
      </c>
      <c r="G36" s="11">
        <f si="1" t="shared"/>
        <v>3.429718601464903E-4</v>
      </c>
    </row>
    <row r="37" spans="1:7" x14ac:dyDescent="0.25">
      <c r="A37">
        <v>26</v>
      </c>
      <c r="B37" s="341" t="n">
        <v>9134.13919719</v>
      </c>
      <c r="C37" s="11">
        <f si="0" t="shared"/>
        <v>1.4434474925086281E-2</v>
      </c>
      <c r="E37" s="45">
        <v>26</v>
      </c>
      <c r="F37" s="343" t="n">
        <v>246.0</v>
      </c>
      <c r="G37" s="11">
        <f si="1" t="shared"/>
        <v>2.100927101420909E-4</v>
      </c>
    </row>
    <row r="38" spans="1:7" x14ac:dyDescent="0.25">
      <c r="A38">
        <v>27</v>
      </c>
      <c r="B38" s="341" t="n">
        <v>0.0</v>
      </c>
      <c r="C38" s="11">
        <f si="0" t="shared"/>
        <v>0</v>
      </c>
      <c r="E38" s="46">
        <v>27</v>
      </c>
      <c r="F38" s="343" t="n">
        <v>1143.0</v>
      </c>
      <c r="G38" s="11">
        <f si="1" t="shared"/>
        <v>2.0255092054724663E-3</v>
      </c>
    </row>
    <row r="39" spans="1:7" x14ac:dyDescent="0.25">
      <c r="A39">
        <v>28</v>
      </c>
      <c r="B39" s="341" t="n">
        <v>0.0</v>
      </c>
      <c r="C39" s="11">
        <f si="0" t="shared"/>
        <v>0</v>
      </c>
      <c r="E39" s="47">
        <v>28</v>
      </c>
      <c r="F39" s="343" t="n">
        <v>121.0</v>
      </c>
      <c r="G39" s="11">
        <f si="1" t="shared"/>
        <v>1.9034040406035586E-4</v>
      </c>
    </row>
    <row r="40" spans="1:7" x14ac:dyDescent="0.25">
      <c r="A40">
        <v>29</v>
      </c>
      <c r="B40" s="341" t="n">
        <v>0.0</v>
      </c>
      <c r="C40" s="11">
        <f si="0" t="shared"/>
        <v>0</v>
      </c>
      <c r="E40" s="48">
        <v>29</v>
      </c>
      <c r="F40" s="343" t="n">
        <v>92.0</v>
      </c>
      <c r="G40" s="11">
        <f si="1" t="shared"/>
        <v>2.1727536689908548E-4</v>
      </c>
    </row>
    <row r="41" spans="1:7" x14ac:dyDescent="0.25">
      <c r="A41">
        <v>30</v>
      </c>
      <c r="B41" s="341" t="n">
        <v>0.0</v>
      </c>
      <c r="C41" s="11">
        <f si="0" t="shared"/>
        <v>0</v>
      </c>
      <c r="E41" s="49">
        <v>30</v>
      </c>
      <c r="F41" s="343" t="n">
        <v>118.0</v>
      </c>
      <c r="G41" s="11">
        <f si="1" t="shared"/>
        <v>1.4724446351838851E-4</v>
      </c>
    </row>
    <row r="42" spans="1:7" x14ac:dyDescent="0.25">
      <c r="A42">
        <v>31</v>
      </c>
      <c r="B42" s="341" t="n">
        <v>889.701534148</v>
      </c>
      <c r="C42" s="11">
        <f si="0" t="shared"/>
        <v>1.40597534241879E-3</v>
      </c>
      <c r="E42" s="50">
        <v>31</v>
      </c>
      <c r="F42" s="343" t="n">
        <v>23.0</v>
      </c>
      <c r="G42" s="11">
        <f si="1" t="shared"/>
        <v>3.2321955406475523E-5</v>
      </c>
    </row>
    <row r="43" spans="1:7" x14ac:dyDescent="0.25">
      <c r="A43">
        <v>32</v>
      </c>
      <c r="B43" s="341" t="n">
        <v>0.0</v>
      </c>
      <c r="C43" s="11">
        <f si="0" t="shared"/>
        <v>0</v>
      </c>
      <c r="E43" s="51">
        <v>32</v>
      </c>
      <c r="F43" s="343" t="n">
        <v>32.0</v>
      </c>
      <c r="G43" s="11">
        <f si="1" t="shared"/>
        <v>8.0804888516188814E-5</v>
      </c>
    </row>
    <row r="44" spans="1:7" x14ac:dyDescent="0.25">
      <c r="A44">
        <v>33</v>
      </c>
      <c r="B44" s="341" t="n">
        <v>0.0</v>
      </c>
      <c r="C44" s="11">
        <f si="0" t="shared"/>
        <v>0</v>
      </c>
      <c r="E44" s="52">
        <v>33</v>
      </c>
      <c r="F44" s="343" t="n">
        <v>46.0</v>
      </c>
      <c r="G44" s="11">
        <f si="1" t="shared"/>
        <v>7.1826567569945605E-5</v>
      </c>
    </row>
    <row r="45" spans="1:7" x14ac:dyDescent="0.25">
      <c r="A45">
        <v>34</v>
      </c>
      <c r="B45" s="341" t="n">
        <v>0.0</v>
      </c>
      <c r="C45" s="11">
        <f si="0" t="shared"/>
        <v>0</v>
      </c>
      <c r="E45" s="53">
        <v>34</v>
      </c>
      <c r="F45" s="343" t="n">
        <v>17.0</v>
      </c>
      <c r="G45" s="11">
        <f si="1" t="shared"/>
        <v>3.9504612163470082E-5</v>
      </c>
    </row>
    <row r="46" spans="1:7" x14ac:dyDescent="0.25">
      <c r="A46">
        <v>35</v>
      </c>
      <c r="B46" s="341" t="n">
        <v>0.0</v>
      </c>
      <c r="C46" s="11">
        <f si="0" t="shared"/>
        <v>0</v>
      </c>
      <c r="E46" s="54">
        <v>35</v>
      </c>
      <c r="F46" s="343" t="n">
        <v>6.0</v>
      </c>
      <c r="G46" s="11">
        <f si="1" t="shared"/>
        <v>2.6934962838729603E-5</v>
      </c>
    </row>
    <row r="47" spans="1:7" x14ac:dyDescent="0.25">
      <c r="A47">
        <v>36</v>
      </c>
      <c r="B47" s="341" t="n">
        <v>183.053312801</v>
      </c>
      <c r="C47" s="11">
        <f si="0" t="shared"/>
        <v>2.8927503692880802E-4</v>
      </c>
      <c r="E47" s="55">
        <v>36</v>
      </c>
      <c r="F47" s="343" t="n">
        <v>16.0</v>
      </c>
      <c r="G47" s="11">
        <f si="1" t="shared"/>
        <v>4.3095940541967368E-5</v>
      </c>
    </row>
    <row r="48" spans="1:7" x14ac:dyDescent="0.25">
      <c r="A48">
        <v>37</v>
      </c>
      <c r="B48" s="341" t="n">
        <v>0.0</v>
      </c>
      <c r="C48" s="11">
        <f si="0" t="shared"/>
        <v>0</v>
      </c>
      <c r="E48" s="56">
        <v>37</v>
      </c>
      <c r="F48" s="343" t="n">
        <v>9.0</v>
      </c>
      <c r="G48" s="11">
        <f si="1" t="shared"/>
        <v>1.2569649324740482E-5</v>
      </c>
    </row>
    <row r="49" spans="1:7" x14ac:dyDescent="0.25">
      <c r="A49">
        <v>38</v>
      </c>
      <c r="B49" s="341" t="n">
        <v>0.0</v>
      </c>
      <c r="C49" s="11">
        <f si="0" t="shared"/>
        <v>0</v>
      </c>
      <c r="E49" s="57">
        <v>38</v>
      </c>
      <c r="F49" s="343" t="n">
        <v>6.0</v>
      </c>
      <c r="G49" s="11">
        <f si="1" t="shared"/>
        <v>2.3343634460232324E-5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2.0</v>
      </c>
      <c r="G50" s="11">
        <f si="1" t="shared"/>
        <v>7.1826567569945608E-6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4.0</v>
      </c>
      <c r="G51" s="11">
        <f si="1" t="shared"/>
        <v>3.5913283784972804E-6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2.0</v>
      </c>
      <c r="G52" s="11">
        <f si="1" t="shared"/>
        <v>5.386992567745921E-6</v>
      </c>
    </row>
    <row r="53" spans="1:7" x14ac:dyDescent="0.25">
      <c r="A53">
        <v>42</v>
      </c>
      <c r="B53" s="341" t="n">
        <v>0.0</v>
      </c>
      <c r="C53" s="11">
        <f si="0" t="shared"/>
        <v>0</v>
      </c>
      <c r="E53" s="61">
        <v>42</v>
      </c>
      <c r="F53" s="343" t="n">
        <v>6.0</v>
      </c>
      <c r="G53" s="11">
        <f si="1" t="shared"/>
        <v>1.7956641892486402E-6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1.0</v>
      </c>
      <c r="G54" s="11">
        <f si="1" t="shared"/>
        <v>1.7956641892486402E-6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3.0</v>
      </c>
      <c r="G55" s="11">
        <f si="1" t="shared"/>
        <v>0</v>
      </c>
    </row>
    <row r="56" spans="1:7" x14ac:dyDescent="0.25">
      <c r="A56">
        <v>45</v>
      </c>
      <c r="B56" s="341" t="n">
        <v>250.40304101</v>
      </c>
      <c r="C56" s="11">
        <f si="0" t="shared"/>
        <v>3.9570629903868027E-4</v>
      </c>
      <c r="E56" s="64">
        <v>45</v>
      </c>
      <c r="F56" s="343" t="n">
        <v>1.0</v>
      </c>
      <c r="G56" s="11">
        <f si="1" t="shared"/>
        <v>1.7956641892486402E-6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1.0</v>
      </c>
      <c r="G57" s="11">
        <f si="1" t="shared"/>
        <v>1.7956641892486402E-6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0.0</v>
      </c>
      <c r="G58" s="11">
        <f si="1" t="shared"/>
        <v>0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0.0</v>
      </c>
      <c r="G59" s="11">
        <f si="1" t="shared"/>
        <v>0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1.0</v>
      </c>
      <c r="G60" s="11">
        <f si="1" t="shared"/>
        <v>1.7956641892486402E-6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1.0</v>
      </c>
      <c r="G61" s="11">
        <f si="1" t="shared"/>
        <v>1.7956641892486402E-6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0.0</v>
      </c>
      <c r="G62" s="11">
        <f si="1" t="shared"/>
        <v>5.386992567745921E-6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0.0</v>
      </c>
      <c r="G63" s="11">
        <f si="1" t="shared"/>
        <v>0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0.0</v>
      </c>
      <c r="G64" s="11">
        <f si="1" t="shared"/>
        <v>3.5913283784972804E-6</v>
      </c>
    </row>
    <row r="65" spans="1:7" x14ac:dyDescent="0.25">
      <c r="A65">
        <v>54</v>
      </c>
      <c r="B65" s="341" t="n">
        <v>444.572467296</v>
      </c>
      <c r="C65" s="11">
        <f si="0" t="shared"/>
        <v>7.0254788032374335E-4</v>
      </c>
      <c r="E65" s="73">
        <v>54</v>
      </c>
      <c r="F65" s="343" t="n">
        <v>0.0</v>
      </c>
      <c r="G65" s="11">
        <f si="1" t="shared"/>
        <v>0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0.0</v>
      </c>
      <c r="G66" s="11">
        <f si="1" t="shared"/>
        <v>1.7956641892486402E-6</v>
      </c>
    </row>
    <row r="67" spans="1:7" x14ac:dyDescent="0.25">
      <c r="A67">
        <v>56</v>
      </c>
      <c r="B67" s="341" t="n">
        <v>668.711535771</v>
      </c>
      <c r="C67" s="11">
        <f si="0" t="shared"/>
        <v>1.0567498137286876E-3</v>
      </c>
      <c r="E67" s="75">
        <v>56</v>
      </c>
      <c r="F67" s="343" t="n">
        <v>0.0</v>
      </c>
      <c r="G67" s="11">
        <f si="1" t="shared"/>
        <v>0</v>
      </c>
    </row>
    <row r="68" spans="1:7" x14ac:dyDescent="0.25">
      <c r="A68">
        <v>57</v>
      </c>
      <c r="B68" s="341" t="n">
        <v>569.501209051</v>
      </c>
      <c r="C68" s="11">
        <f si="0" t="shared"/>
        <v>8.9996996371392022E-4</v>
      </c>
      <c r="E68" s="76">
        <v>57</v>
      </c>
      <c r="F68" s="343" t="n">
        <v>0.0</v>
      </c>
      <c r="G68" s="11">
        <f si="1" t="shared"/>
        <v>0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0.0</v>
      </c>
      <c r="G69" s="11">
        <f si="1" t="shared"/>
        <v>0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0.0</v>
      </c>
      <c r="G70" s="11">
        <f si="1" t="shared"/>
        <v>0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0.0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0.0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0.0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0.0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0.0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0.0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0.0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0.0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0.0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0.0</v>
      </c>
      <c r="G81" s="11">
        <f si="3" t="shared"/>
        <v>0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0.0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0.0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0.0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0.0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0.0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0.0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0.0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0.0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0.0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0.0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0.0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0.0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0.0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0.0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0.0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0.0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0.0</v>
      </c>
      <c r="G101" s="11">
        <f si="3" t="shared"/>
        <v>0</v>
      </c>
    </row>
    <row r="102" spans="1:7" x14ac:dyDescent="0.25">
      <c r="B102" s="341">
        <f>SUM(B11:B101)</f>
        <v>632800.24002226745</v>
      </c>
      <c r="C102" s="11">
        <f si="2" t="shared"/>
        <v>1</v>
      </c>
      <c r="F102" s="341">
        <f>SUM(F11:F101)</f>
        <v>556897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G19" sqref="G19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10262.0</v>
      </c>
      <c r="G11" s="11">
        <f>F11/F$102</f>
        <v>1.7992555176271376E-2</v>
      </c>
      <c r="K11" s="8" t="n">
        <v>22.604928500566565</v>
      </c>
      <c r="L11" s="8" t="n">
        <v>18.403557100128676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110">
        <v>1</v>
      </c>
      <c r="F12" s="200" t="n">
        <v>18428.0</v>
      </c>
      <c r="G12" s="11">
        <f>F12/F$102</f>
        <v>3.2591305034862822E-2</v>
      </c>
      <c r="K12" s="8"/>
      <c r="L12" s="290"/>
    </row>
    <row r="13" spans="1:12" x14ac:dyDescent="0.25">
      <c r="A13">
        <v>2</v>
      </c>
      <c r="B13" s="8" t="n">
        <v>0.0</v>
      </c>
      <c r="C13" s="11">
        <f ref="C13:C76" si="0" t="shared">B13/B$102</f>
        <v>0</v>
      </c>
      <c r="E13" s="111">
        <v>2</v>
      </c>
      <c r="F13" s="201" t="n">
        <v>21759.0</v>
      </c>
      <c r="G13" s="11">
        <f ref="G13:G76" si="1" t="shared">F13/F$102</f>
        <v>3.843978329924564E-2</v>
      </c>
    </row>
    <row r="14" spans="1:12" x14ac:dyDescent="0.25">
      <c r="A14">
        <v>3</v>
      </c>
      <c r="B14" s="8" t="n">
        <v>905.6325353825</v>
      </c>
      <c r="C14" s="11">
        <f si="0" t="shared"/>
        <v>1.4311507456928776E-3</v>
      </c>
      <c r="E14" s="112">
        <v>3</v>
      </c>
      <c r="F14" s="202" t="n">
        <v>21243.0</v>
      </c>
      <c r="G14" s="11">
        <f si="1" t="shared"/>
        <v>3.7753839578952661E-2</v>
      </c>
    </row>
    <row r="15" spans="1:12" x14ac:dyDescent="0.25">
      <c r="A15">
        <v>4</v>
      </c>
      <c r="B15" s="8" t="n">
        <v>1922.3984534631</v>
      </c>
      <c r="C15" s="11">
        <f si="0" t="shared"/>
        <v>3.0379230788462612E-3</v>
      </c>
      <c r="E15" s="113">
        <v>4</v>
      </c>
      <c r="F15" s="203" t="n">
        <v>19144.0</v>
      </c>
      <c r="G15" s="11">
        <f si="1" t="shared"/>
        <v>3.4182263506537115E-2</v>
      </c>
    </row>
    <row r="16" spans="1:12" x14ac:dyDescent="0.25">
      <c r="A16">
        <v>5</v>
      </c>
      <c r="B16" s="8" t="n">
        <v>13776.9524748966</v>
      </c>
      <c r="C16" s="11">
        <f si="0" t="shared"/>
        <v>2.1771408421734806E-2</v>
      </c>
      <c r="E16" s="114">
        <v>5</v>
      </c>
      <c r="F16" s="204" t="n">
        <v>17355.0</v>
      </c>
      <c r="G16" s="11">
        <f si="1" t="shared"/>
        <v>3.094288530913257E-2</v>
      </c>
    </row>
    <row r="17" spans="1:7" x14ac:dyDescent="0.25">
      <c r="A17">
        <v>6</v>
      </c>
      <c r="B17" s="8" t="n">
        <v>4617.1970782566</v>
      </c>
      <c r="C17" s="11">
        <f si="0" t="shared"/>
        <v>7.2964527922652605E-3</v>
      </c>
      <c r="E17" s="115">
        <v>6</v>
      </c>
      <c r="F17" s="205" t="n">
        <v>15782.0</v>
      </c>
      <c r="G17" s="11">
        <f si="1" t="shared"/>
        <v>2.9043072596907506E-2</v>
      </c>
    </row>
    <row r="18" spans="1:7" x14ac:dyDescent="0.25">
      <c r="A18">
        <v>7</v>
      </c>
      <c r="B18" s="8" t="n">
        <v>9098.1711981191</v>
      </c>
      <c r="C18" s="11">
        <f si="0" t="shared"/>
        <v>1.4377635504371723E-2</v>
      </c>
      <c r="E18" s="116">
        <v>7</v>
      </c>
      <c r="F18" s="206" t="n">
        <v>14736.0</v>
      </c>
      <c r="G18" s="11">
        <f si="1" t="shared"/>
        <v>2.6462703156957212E-2</v>
      </c>
    </row>
    <row r="19" spans="1:7" x14ac:dyDescent="0.25">
      <c r="A19">
        <v>8</v>
      </c>
      <c r="B19" s="8" t="n">
        <v>2031.3937728538</v>
      </c>
      <c r="C19" s="11">
        <f si="0" t="shared"/>
        <v>3.210165932905332E-3</v>
      </c>
      <c r="E19" s="117">
        <v>8</v>
      </c>
      <c r="F19" s="207" t="n">
        <v>13334.0</v>
      </c>
      <c r="G19" s="11">
        <f si="1" t="shared"/>
        <v>2.3704562962271299E-2</v>
      </c>
    </row>
    <row r="20" spans="1:7" x14ac:dyDescent="0.25">
      <c r="A20">
        <v>9</v>
      </c>
      <c r="B20" s="8" t="n">
        <v>6206.0492208721</v>
      </c>
      <c r="C20" s="11">
        <f si="0" t="shared"/>
        <v>9.8072801310153061E-3</v>
      </c>
      <c r="E20" s="118">
        <v>9</v>
      </c>
      <c r="F20" s="208" t="n">
        <v>12156.0</v>
      </c>
      <c r="G20" s="11">
        <f si="1" t="shared"/>
        <v>2.159106621152565E-2</v>
      </c>
    </row>
    <row r="21" spans="1:7" x14ac:dyDescent="0.25">
      <c r="A21">
        <v>10</v>
      </c>
      <c r="B21" s="8" t="n">
        <v>0.0</v>
      </c>
      <c r="C21" s="11">
        <f si="0" t="shared"/>
        <v>0</v>
      </c>
      <c r="E21" s="119">
        <v>10</v>
      </c>
      <c r="F21" s="209" t="n">
        <v>11012.0</v>
      </c>
      <c r="G21" s="11">
        <f si="1" t="shared"/>
        <v>1.9671501193218855E-2</v>
      </c>
    </row>
    <row r="22" spans="1:7" x14ac:dyDescent="0.25">
      <c r="A22">
        <v>11</v>
      </c>
      <c r="B22" s="8" t="n">
        <v>6771.105284935</v>
      </c>
      <c r="C22" s="11">
        <f si="0" t="shared"/>
        <v>1.0700225531988947E-2</v>
      </c>
      <c r="E22" s="120">
        <v>11</v>
      </c>
      <c r="F22" s="210" t="n">
        <v>10124.0</v>
      </c>
      <c r="G22" s="11">
        <f si="1" t="shared"/>
        <v>1.7735775197208821E-2</v>
      </c>
    </row>
    <row r="23" spans="1:7" x14ac:dyDescent="0.25">
      <c r="A23">
        <v>12</v>
      </c>
      <c r="B23" s="8" t="n">
        <v>13395.0287891857</v>
      </c>
      <c r="C23" s="11">
        <f si="0" t="shared"/>
        <v>2.1167863003203582E-2</v>
      </c>
      <c r="E23" s="121">
        <v>12</v>
      </c>
      <c r="F23" s="211" t="n">
        <v>9039.0</v>
      </c>
      <c r="G23" s="11">
        <f si="1" t="shared"/>
        <v>1.6040668202558103E-2</v>
      </c>
    </row>
    <row r="24" spans="1:7" x14ac:dyDescent="0.25">
      <c r="A24">
        <v>13</v>
      </c>
      <c r="B24" s="8" t="n">
        <v>22545.9521609489</v>
      </c>
      <c r="C24" s="11">
        <f si="0" t="shared"/>
        <v>3.5628861582219902E-2</v>
      </c>
      <c r="E24" s="122">
        <v>13</v>
      </c>
      <c r="F24" s="212" t="n">
        <v>8064.0</v>
      </c>
      <c r="G24" s="11">
        <f si="1" t="shared"/>
        <v>1.4331195894393398E-2</v>
      </c>
    </row>
    <row r="25" spans="1:7" x14ac:dyDescent="0.25">
      <c r="A25">
        <v>14</v>
      </c>
      <c r="B25" s="8" t="n">
        <v>13611.8570862351</v>
      </c>
      <c r="C25" s="11">
        <f si="0" t="shared"/>
        <v>2.1510511888800984E-2</v>
      </c>
      <c r="E25" s="123">
        <v>14</v>
      </c>
      <c r="F25" s="213" t="n">
        <v>7281.0</v>
      </c>
      <c r="G25" s="11">
        <f si="1" t="shared"/>
        <v>1.2923395170022464E-2</v>
      </c>
    </row>
    <row r="26" spans="1:7" x14ac:dyDescent="0.25">
      <c r="A26">
        <v>15</v>
      </c>
      <c r="B26" s="8" t="n">
        <v>6912.3527665287</v>
      </c>
      <c r="C26" s="11">
        <f si="0" t="shared"/>
        <v>1.0923435753256766E-2</v>
      </c>
      <c r="E26" s="124">
        <v>15</v>
      </c>
      <c r="F26" s="214" t="n">
        <v>6476.0</v>
      </c>
      <c r="G26" s="11">
        <f si="1" t="shared"/>
        <v>1.1774170088903335E-2</v>
      </c>
    </row>
    <row r="27" spans="1:7" x14ac:dyDescent="0.25">
      <c r="A27">
        <v>16</v>
      </c>
      <c r="B27" s="8" t="n">
        <v>29706.9973393438</v>
      </c>
      <c r="C27" s="11">
        <f si="0" t="shared"/>
        <v>4.6945300365718021E-2</v>
      </c>
      <c r="E27" s="125">
        <v>16</v>
      </c>
      <c r="F27" s="215" t="n">
        <v>5629.0</v>
      </c>
      <c r="G27" s="11">
        <f si="1" t="shared"/>
        <v>1.0111385049659093E-2</v>
      </c>
    </row>
    <row r="28" spans="1:7" x14ac:dyDescent="0.25">
      <c r="A28">
        <v>17</v>
      </c>
      <c r="B28" s="8" t="n">
        <v>18526.805034037</v>
      </c>
      <c r="C28" s="11">
        <f si="0" t="shared"/>
        <v>2.9277493689612164E-2</v>
      </c>
      <c r="E28" s="126">
        <v>17</v>
      </c>
      <c r="F28" s="216" t="n">
        <v>5031.0</v>
      </c>
      <c r="G28" s="11">
        <f si="1" t="shared"/>
        <v>9.2297139327380106E-3</v>
      </c>
    </row>
    <row r="29" spans="1:7" x14ac:dyDescent="0.25">
      <c r="A29">
        <v>18</v>
      </c>
      <c r="B29" s="8" t="n">
        <v>87092.3056741732</v>
      </c>
      <c r="C29" s="11">
        <f si="0" t="shared"/>
        <v>0.13763001365345331</v>
      </c>
      <c r="E29" s="127">
        <v>18</v>
      </c>
      <c r="F29" s="217" t="n">
        <v>60099.0</v>
      </c>
      <c r="G29" s="11">
        <f si="1" t="shared"/>
        <v>0.10878851924143962</v>
      </c>
    </row>
    <row r="30" spans="1:7" x14ac:dyDescent="0.25">
      <c r="A30">
        <v>19</v>
      </c>
      <c r="B30" s="8" t="n">
        <v>38349.9343843082</v>
      </c>
      <c r="C30" s="11">
        <f si="0" t="shared"/>
        <v>6.0603539567176394E-2</v>
      </c>
      <c r="E30" s="128">
        <v>19</v>
      </c>
      <c r="F30" s="218" t="n">
        <v>18536.0</v>
      </c>
      <c r="G30" s="11">
        <f si="1" t="shared"/>
        <v>3.2287837786879797E-2</v>
      </c>
    </row>
    <row r="31" spans="1:7" x14ac:dyDescent="0.25">
      <c r="A31">
        <v>20</v>
      </c>
      <c r="B31" s="8" t="n">
        <v>52638.9390673695</v>
      </c>
      <c r="C31" s="11">
        <f si="0" t="shared"/>
        <v>8.3184132587429488E-2</v>
      </c>
      <c r="E31" s="129">
        <v>20</v>
      </c>
      <c r="F31" s="219" t="n">
        <v>23337.0</v>
      </c>
      <c r="G31" s="11">
        <f si="1" t="shared"/>
        <v>3.8771981174256641E-2</v>
      </c>
    </row>
    <row r="32" spans="1:7" x14ac:dyDescent="0.25">
      <c r="A32">
        <v>21</v>
      </c>
      <c r="B32" s="8" t="n">
        <v>48357.3921048741</v>
      </c>
      <c r="C32" s="11">
        <f si="0" t="shared"/>
        <v>7.6418100130891967E-2</v>
      </c>
      <c r="E32" s="130">
        <v>21</v>
      </c>
      <c r="F32" s="220" t="n">
        <v>22302.0</v>
      </c>
      <c r="G32" s="11">
        <f si="1" t="shared"/>
        <v>4.0050494077001675E-2</v>
      </c>
    </row>
    <row r="33" spans="1:7" x14ac:dyDescent="0.25">
      <c r="A33">
        <v>22</v>
      </c>
      <c r="B33" s="8" t="n">
        <v>38944.0603750188</v>
      </c>
      <c r="C33" s="11">
        <f si="0" t="shared"/>
        <v>6.1542423520017007E-2</v>
      </c>
      <c r="E33" s="131">
        <v>22</v>
      </c>
      <c r="F33" s="221" t="n">
        <v>22238.0</v>
      </c>
      <c r="G33" s="11">
        <f si="1" t="shared"/>
        <v>4.0267769443900758E-2</v>
      </c>
    </row>
    <row r="34" spans="1:7" x14ac:dyDescent="0.25">
      <c r="A34">
        <v>23</v>
      </c>
      <c r="B34" s="8" t="n">
        <v>18104.746043858</v>
      </c>
      <c r="C34" s="11">
        <f si="0" t="shared"/>
        <v>2.8610523351288417E-2</v>
      </c>
      <c r="E34" s="132">
        <v>23</v>
      </c>
      <c r="F34" s="222" t="n">
        <v>16218.0</v>
      </c>
      <c r="G34" s="11">
        <f si="1" t="shared"/>
        <v>2.9364496486783014E-2</v>
      </c>
    </row>
    <row r="35" spans="1:7" x14ac:dyDescent="0.25">
      <c r="A35">
        <v>24</v>
      </c>
      <c r="B35" s="8" t="n">
        <v>13408.5565956222</v>
      </c>
      <c r="C35" s="11">
        <f si="0" t="shared"/>
        <v>2.1189240691739261E-2</v>
      </c>
      <c r="E35" s="133">
        <v>24</v>
      </c>
      <c r="F35" s="223" t="n">
        <v>12258.0</v>
      </c>
      <c r="G35" s="11">
        <f si="1" t="shared"/>
        <v>2.2494285298717717E-2</v>
      </c>
    </row>
    <row r="36" spans="1:7" x14ac:dyDescent="0.25">
      <c r="A36">
        <v>25</v>
      </c>
      <c r="B36" s="8" t="n">
        <v>10746.7671929896</v>
      </c>
      <c r="C36" s="11">
        <f si="0" t="shared"/>
        <v>1.6982874710369002E-2</v>
      </c>
      <c r="E36" s="134">
        <v>25</v>
      </c>
      <c r="F36" s="224" t="n">
        <v>20648.0</v>
      </c>
      <c r="G36" s="11">
        <f si="1" t="shared"/>
        <v>3.5809135261996382E-2</v>
      </c>
    </row>
    <row r="37" spans="1:7" x14ac:dyDescent="0.25">
      <c r="A37">
        <v>26</v>
      </c>
      <c r="B37" s="8" t="n">
        <v>48267.2588254755</v>
      </c>
      <c r="C37" s="11">
        <f si="0" t="shared"/>
        <v>7.6275664534793855E-2</v>
      </c>
      <c r="E37" s="135">
        <v>26</v>
      </c>
      <c r="F37" s="225" t="n">
        <v>13637.0</v>
      </c>
      <c r="G37" s="11">
        <f si="1" t="shared"/>
        <v>2.329515152712261E-2</v>
      </c>
    </row>
    <row r="38" spans="1:7" x14ac:dyDescent="0.25">
      <c r="A38">
        <v>27</v>
      </c>
      <c r="B38" s="8" t="n">
        <v>5870.9688970816</v>
      </c>
      <c r="C38" s="11">
        <f si="0" t="shared"/>
        <v>9.2777602247353878E-3</v>
      </c>
      <c r="E38" s="136">
        <v>27</v>
      </c>
      <c r="F38" s="226" t="n">
        <v>7775.0</v>
      </c>
      <c r="G38" s="11">
        <f si="1" t="shared"/>
        <v>1.6121473091074291E-2</v>
      </c>
    </row>
    <row r="39" spans="1:7" x14ac:dyDescent="0.25">
      <c r="A39">
        <v>28</v>
      </c>
      <c r="B39" s="8" t="n">
        <v>18355.4837541039</v>
      </c>
      <c r="C39" s="11">
        <f si="0" t="shared"/>
        <v>2.9006758520600428E-2</v>
      </c>
      <c r="E39" s="137">
        <v>28</v>
      </c>
      <c r="F39" s="227" t="n">
        <v>8867.0</v>
      </c>
      <c r="G39" s="11">
        <f si="1" t="shared"/>
        <v>1.3074230961919349E-2</v>
      </c>
    </row>
    <row r="40" spans="1:7" x14ac:dyDescent="0.25">
      <c r="A40">
        <v>29</v>
      </c>
      <c r="B40" s="8" t="n">
        <v>7071.405267097301</v>
      </c>
      <c r="C40" s="11">
        <f si="0" t="shared"/>
        <v>1.1174782845923804E-2</v>
      </c>
      <c r="E40" s="138">
        <v>29</v>
      </c>
      <c r="F40" s="228" t="n">
        <v>5511.0</v>
      </c>
      <c r="G40" s="11">
        <f si="1" t="shared"/>
        <v>1.514822310050153E-2</v>
      </c>
    </row>
    <row r="41" spans="1:7" x14ac:dyDescent="0.25">
      <c r="A41">
        <v>30</v>
      </c>
      <c r="B41" s="8" t="n">
        <v>2720.998350516</v>
      </c>
      <c r="C41" s="11">
        <f si="0" t="shared"/>
        <v>4.2999325512585954E-3</v>
      </c>
      <c r="E41" s="139">
        <v>30</v>
      </c>
      <c r="F41" s="229" t="n">
        <v>27699.0</v>
      </c>
      <c r="G41" s="11">
        <f si="1" t="shared"/>
        <v>4.6069560439363111E-2</v>
      </c>
    </row>
    <row r="42" spans="1:7" x14ac:dyDescent="0.25">
      <c r="A42">
        <v>31</v>
      </c>
      <c r="B42" s="8" t="n">
        <v>2803.8852006017</v>
      </c>
      <c r="C42" s="11">
        <f si="0" t="shared"/>
        <v>4.4309167779440712E-3</v>
      </c>
      <c r="E42" s="140">
        <v>31</v>
      </c>
      <c r="F42" s="230" t="n">
        <v>6766.0</v>
      </c>
      <c r="G42" s="11">
        <f si="1" t="shared"/>
        <v>1.3002404394349404E-2</v>
      </c>
    </row>
    <row r="43" spans="1:7" x14ac:dyDescent="0.25">
      <c r="A43">
        <v>32</v>
      </c>
      <c r="B43" s="8" t="n">
        <v>4062.4202194034997</v>
      </c>
      <c r="C43" s="11">
        <f si="0" t="shared"/>
        <v>6.4197513883062817E-3</v>
      </c>
      <c r="E43" s="141">
        <v>32</v>
      </c>
      <c r="F43" s="231" t="n">
        <v>18162.0</v>
      </c>
      <c r="G43" s="11">
        <f si="1" t="shared"/>
        <v>3.2769075789598437E-2</v>
      </c>
    </row>
    <row r="44" spans="1:7" x14ac:dyDescent="0.25">
      <c r="A44">
        <v>33</v>
      </c>
      <c r="B44" s="8" t="n">
        <v>3825.7504627266</v>
      </c>
      <c r="C44" s="11">
        <f si="0" t="shared"/>
        <v>6.0457474899060981E-3</v>
      </c>
      <c r="E44" s="142">
        <v>33</v>
      </c>
      <c r="F44" s="232" t="n">
        <v>4526.0</v>
      </c>
      <c r="G44" s="11">
        <f si="1" t="shared"/>
        <v>7.8434611786380604E-3</v>
      </c>
    </row>
    <row r="45" spans="1:7" x14ac:dyDescent="0.25">
      <c r="A45">
        <v>34</v>
      </c>
      <c r="B45" s="8" t="n">
        <v>7610.0547515784</v>
      </c>
      <c r="C45" s="11">
        <f si="0" t="shared"/>
        <v>1.2025998522552097E-2</v>
      </c>
      <c r="E45" s="143">
        <v>34</v>
      </c>
      <c r="F45" s="233" t="n">
        <v>8043.0</v>
      </c>
      <c r="G45" s="11">
        <f si="1" t="shared"/>
        <v>1.6701472624201602E-2</v>
      </c>
    </row>
    <row r="46" spans="1:7" x14ac:dyDescent="0.25">
      <c r="A46">
        <v>35</v>
      </c>
      <c r="B46" s="8" t="n">
        <v>1448.9269749027</v>
      </c>
      <c r="C46" s="11">
        <f si="0" t="shared"/>
        <v>2.289706740395222E-3</v>
      </c>
      <c r="E46" s="144">
        <v>35</v>
      </c>
      <c r="F46" s="234" t="n">
        <v>2757.0</v>
      </c>
      <c r="G46" s="11">
        <f si="1" t="shared"/>
        <v>4.9344851920552638E-3</v>
      </c>
    </row>
    <row r="47" spans="1:7" x14ac:dyDescent="0.25">
      <c r="A47">
        <v>36</v>
      </c>
      <c r="B47" s="8" t="n">
        <v>1422.0057125692</v>
      </c>
      <c r="C47" s="11">
        <f si="0" t="shared"/>
        <v>2.2471636744625153E-3</v>
      </c>
      <c r="E47" s="145">
        <v>36</v>
      </c>
      <c r="F47" s="235" t="n">
        <v>3660.0</v>
      </c>
      <c r="G47" s="11">
        <f si="1" t="shared"/>
        <v>7.1359694880740966E-3</v>
      </c>
    </row>
    <row r="48" spans="1:7" x14ac:dyDescent="0.25">
      <c r="A48">
        <v>37</v>
      </c>
      <c r="B48" s="8" t="n">
        <v>10426.127244151</v>
      </c>
      <c r="C48" s="11">
        <f si="0" t="shared"/>
        <v>1.6476174604143825E-2</v>
      </c>
      <c r="E48" s="146">
        <v>37</v>
      </c>
      <c r="F48" s="236" t="n">
        <v>4277.0</v>
      </c>
      <c r="G48" s="11">
        <f si="1" t="shared"/>
        <v>8.852624452995797E-3</v>
      </c>
    </row>
    <row r="49" spans="1:7" x14ac:dyDescent="0.25">
      <c r="A49">
        <v>38</v>
      </c>
      <c r="B49" s="8" t="n">
        <v>8598.1848292328</v>
      </c>
      <c r="C49" s="11">
        <f si="0" t="shared"/>
        <v>1.3587518280540223E-2</v>
      </c>
      <c r="E49" s="147">
        <v>38</v>
      </c>
      <c r="F49" s="237" t="n">
        <v>7804.0</v>
      </c>
      <c r="G49" s="11">
        <f si="1" t="shared"/>
        <v>1.0829650725358549E-2</v>
      </c>
    </row>
    <row r="50" spans="1:7" x14ac:dyDescent="0.25">
      <c r="A50">
        <v>39</v>
      </c>
      <c r="B50" s="8" t="n">
        <v>1092.3468692406</v>
      </c>
      <c r="C50" s="11">
        <f si="0" t="shared"/>
        <v>1.7262112119334242E-3</v>
      </c>
      <c r="E50" s="148">
        <v>39</v>
      </c>
      <c r="F50" s="238" t="n">
        <v>2570.0</v>
      </c>
      <c r="G50" s="11">
        <f si="1" t="shared"/>
        <v>4.2431544791945372E-3</v>
      </c>
    </row>
    <row r="51" spans="1:7" x14ac:dyDescent="0.25">
      <c r="A51">
        <v>40</v>
      </c>
      <c r="B51" s="8" t="n">
        <v>515.9615593377</v>
      </c>
      <c r="C51" s="11">
        <f si="0" t="shared"/>
        <v>8.1536245833210169E-4</v>
      </c>
      <c r="E51" s="149">
        <v>40</v>
      </c>
      <c r="F51" s="239" t="n">
        <v>2267.0</v>
      </c>
      <c r="G51" s="11">
        <f si="1" t="shared"/>
        <v>2.8443320757698463E-3</v>
      </c>
    </row>
    <row r="52" spans="1:7" x14ac:dyDescent="0.25">
      <c r="A52">
        <v>41</v>
      </c>
      <c r="B52" s="8" t="n">
        <v>2505.9070916342002</v>
      </c>
      <c r="C52" s="11">
        <f si="0" t="shared"/>
        <v>3.9600286680454176E-3</v>
      </c>
      <c r="E52" s="150">
        <v>41</v>
      </c>
      <c r="F52" s="240" t="n">
        <v>1077.0</v>
      </c>
      <c r="G52" s="11">
        <f si="1" t="shared"/>
        <v>3.483588527142362E-3</v>
      </c>
    </row>
    <row r="53" spans="1:7" x14ac:dyDescent="0.25">
      <c r="A53">
        <v>42</v>
      </c>
      <c r="B53" s="8" t="n">
        <v>1195.9900334889999</v>
      </c>
      <c r="C53" s="11">
        <f si="0" t="shared"/>
        <v>1.8899961754864608E-3</v>
      </c>
      <c r="E53" s="151">
        <v>42</v>
      </c>
      <c r="F53" s="241" t="n">
        <v>1112.0</v>
      </c>
      <c r="G53" s="11">
        <f si="1" t="shared"/>
        <v>1.4060050601816853E-3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2544.0</v>
      </c>
      <c r="G54" s="11">
        <f si="1" t="shared"/>
        <v>5.5737416434277791E-3</v>
      </c>
    </row>
    <row r="55" spans="1:7" x14ac:dyDescent="0.25">
      <c r="A55">
        <v>44</v>
      </c>
      <c r="B55" s="8" t="n">
        <v>157.2505044592</v>
      </c>
      <c r="C55" s="11">
        <f si="0" t="shared"/>
        <v>2.4849943870701842E-4</v>
      </c>
      <c r="E55" s="153">
        <v>44</v>
      </c>
      <c r="F55" s="243" t="n">
        <v>1091.0</v>
      </c>
      <c r="G55" s="11">
        <f si="1" t="shared"/>
        <v>2.515725529137345E-3</v>
      </c>
    </row>
    <row r="56" spans="1:7" x14ac:dyDescent="0.25">
      <c r="A56">
        <v>45</v>
      </c>
      <c r="B56" s="8" t="n">
        <v>28048.9221955688</v>
      </c>
      <c r="C56" s="11">
        <f si="0" t="shared"/>
        <v>4.4325081473707714E-2</v>
      </c>
      <c r="E56" s="154">
        <v>45</v>
      </c>
      <c r="F56" s="244" t="n">
        <v>430.0</v>
      </c>
      <c r="G56" s="11">
        <f si="1" t="shared"/>
        <v>3.2034649136195741E-3</v>
      </c>
    </row>
    <row r="57" spans="1:7" x14ac:dyDescent="0.25">
      <c r="A57">
        <v>46</v>
      </c>
      <c r="B57" s="8" t="n">
        <v>1142.4347019299998</v>
      </c>
      <c r="C57" s="11">
        <f si="0" t="shared"/>
        <v>1.8053638884362607E-3</v>
      </c>
      <c r="E57" s="155">
        <v>46</v>
      </c>
      <c r="F57" s="245" t="n">
        <v>1526.0</v>
      </c>
      <c r="G57" s="11">
        <f si="1" t="shared"/>
        <v>2.2751065277780273E-3</v>
      </c>
    </row>
    <row r="58" spans="1:7" x14ac:dyDescent="0.25">
      <c r="A58">
        <v>47</v>
      </c>
      <c r="B58" s="8" t="n">
        <v>1338.746931964</v>
      </c>
      <c r="C58" s="11">
        <f si="0" t="shared"/>
        <v>2.1155916943345204E-3</v>
      </c>
      <c r="E58" s="156">
        <v>47</v>
      </c>
      <c r="F58" s="246" t="n">
        <v>464.0</v>
      </c>
      <c r="G58" s="11">
        <f si="1" t="shared"/>
        <v>7.4879196691668296E-4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157">
        <v>48</v>
      </c>
      <c r="F59" s="247" t="n">
        <v>1777.0</v>
      </c>
      <c r="G59" s="11">
        <f si="1" t="shared"/>
        <v>6.1591281691228362E-4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158">
        <v>49</v>
      </c>
      <c r="F60" s="248" t="n">
        <v>808.0</v>
      </c>
      <c r="G60" s="11">
        <f si="1" t="shared"/>
        <v>1.183342700714854E-3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229.0</v>
      </c>
      <c r="G61" s="11">
        <f si="1" t="shared"/>
        <v>3.7529381555296583E-4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194.0</v>
      </c>
      <c r="G62" s="11">
        <f si="1" t="shared"/>
        <v>4.8662499528638148E-4</v>
      </c>
    </row>
    <row r="63" spans="1:7" x14ac:dyDescent="0.25">
      <c r="A63">
        <v>52</v>
      </c>
      <c r="B63" s="8" t="n">
        <v>1089.82717822</v>
      </c>
      <c r="C63" s="11">
        <f si="0" t="shared"/>
        <v>1.7222294008321652E-3</v>
      </c>
      <c r="E63" s="161">
        <v>52</v>
      </c>
      <c r="F63" s="251" t="n">
        <v>265.0</v>
      </c>
      <c r="G63" s="11">
        <f si="1" t="shared"/>
        <v>5.8718218988430533E-4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198.0</v>
      </c>
      <c r="G64" s="11">
        <f si="1" t="shared"/>
        <v>2.6934962838729603E-4</v>
      </c>
    </row>
    <row r="65" spans="1:7" x14ac:dyDescent="0.25">
      <c r="A65">
        <v>54</v>
      </c>
      <c r="B65" s="8" t="n">
        <v>10526.631561496999</v>
      </c>
      <c r="C65" s="11">
        <f si="0" t="shared"/>
        <v>1.6634999318468305E-2</v>
      </c>
      <c r="E65" s="163">
        <v>54</v>
      </c>
      <c r="F65" s="253" t="n">
        <v>158.0</v>
      </c>
      <c r="G65" s="11">
        <f si="1" t="shared"/>
        <v>2.9808025541527426E-4</v>
      </c>
    </row>
    <row r="66" spans="1:7" x14ac:dyDescent="0.25">
      <c r="A66">
        <v>55</v>
      </c>
      <c r="B66" s="8" t="n">
        <v>183.053312801</v>
      </c>
      <c r="C66" s="11">
        <f si="0" t="shared"/>
        <v>2.8927503692880802E-4</v>
      </c>
      <c r="E66" s="164">
        <v>55</v>
      </c>
      <c r="F66" s="254" t="n">
        <v>171.0</v>
      </c>
      <c r="G66" s="11">
        <f si="1" t="shared"/>
        <v>3.0346724798302021E-4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270.0</v>
      </c>
      <c r="G67" s="11">
        <f si="1" t="shared"/>
        <v>4.7585101015088969E-4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94.0</v>
      </c>
      <c r="G68" s="11">
        <f si="1" t="shared"/>
        <v>2.0829704595284225E-4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56.0</v>
      </c>
      <c r="G69" s="11">
        <f si="1" t="shared"/>
        <v>1.4904012770763713E-4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40.0</v>
      </c>
      <c r="G70" s="11">
        <f si="1" t="shared"/>
        <v>6.1052582434453773E-5</v>
      </c>
    </row>
    <row r="71" spans="1:7" x14ac:dyDescent="0.25">
      <c r="A71">
        <v>60</v>
      </c>
      <c r="B71" s="8" t="n">
        <v>643.990712412</v>
      </c>
      <c r="C71" s="11">
        <f si="0" t="shared"/>
        <v>1.0176840520625258E-3</v>
      </c>
      <c r="E71" s="169">
        <v>60</v>
      </c>
      <c r="F71" s="259" t="n">
        <v>49.0</v>
      </c>
      <c r="G71" s="11">
        <f si="1" t="shared"/>
        <v>8.4396216894686086E-5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33.0</v>
      </c>
      <c r="G72" s="11">
        <f si="1" t="shared"/>
        <v>7.1826567569945605E-5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60.0</v>
      </c>
      <c r="G73" s="11">
        <f si="1" t="shared"/>
        <v>4.8482933109713284E-5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29.0</v>
      </c>
      <c r="G74" s="11">
        <f si="1" t="shared"/>
        <v>3.2321955406475523E-5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20.0</v>
      </c>
      <c r="G75" s="11">
        <f si="1" t="shared"/>
        <v>3.4117619595724166E-5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18.0</v>
      </c>
      <c r="G76" s="11">
        <f si="1" t="shared"/>
        <v>3.0526291217226886E-5</v>
      </c>
    </row>
    <row r="77" spans="1:7" x14ac:dyDescent="0.25">
      <c r="A77">
        <v>66</v>
      </c>
      <c r="B77" s="8" t="n">
        <v>250.40304101</v>
      </c>
      <c r="C77" s="11">
        <f ref="C77:C102" si="2" t="shared">B77/B$102</f>
        <v>3.9570629903868027E-4</v>
      </c>
      <c r="E77" s="175">
        <v>66</v>
      </c>
      <c r="F77" s="265" t="n">
        <v>12.0</v>
      </c>
      <c r="G77" s="11">
        <f ref="G77:G102" si="3" t="shared">F77/F$102</f>
        <v>2.5139298649480964E-5</v>
      </c>
    </row>
    <row r="78" spans="1:7" x14ac:dyDescent="0.25">
      <c r="A78">
        <v>67</v>
      </c>
      <c r="B78" s="8" t="n">
        <v>1607.34705911</v>
      </c>
      <c r="C78" s="11">
        <f si="2" t="shared"/>
        <v>2.5400544396971775E-3</v>
      </c>
      <c r="E78" s="176">
        <v>67</v>
      </c>
      <c r="F78" s="266" t="n">
        <v>10.0</v>
      </c>
      <c r="G78" s="11">
        <f si="3" t="shared"/>
        <v>1.9752306081735041E-5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9.0</v>
      </c>
      <c r="G79" s="11">
        <f si="3" t="shared"/>
        <v>2.3343634460232324E-5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10.0</v>
      </c>
      <c r="G80" s="11">
        <f si="3" t="shared"/>
        <v>1.0773985135491842E-5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8.0</v>
      </c>
      <c r="G81" s="11">
        <f si="3" t="shared"/>
        <v>1.0055719459792385E-4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42.0</v>
      </c>
      <c r="G82" s="11">
        <f si="3" t="shared"/>
        <v>1.0773985135491842E-5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6.0</v>
      </c>
      <c r="G83" s="11">
        <f si="3" t="shared"/>
        <v>3.5913283784972804E-6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5.0</v>
      </c>
      <c r="G84" s="11">
        <f si="3" t="shared"/>
        <v>8.9783209462432006E-6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3.0</v>
      </c>
      <c r="G85" s="11">
        <f si="3" t="shared"/>
        <v>1.4365313513989122E-5</v>
      </c>
    </row>
    <row r="86" spans="1:7" x14ac:dyDescent="0.25">
      <c r="A86">
        <v>75</v>
      </c>
      <c r="B86" s="8" t="n">
        <v>444.572467296</v>
      </c>
      <c r="C86" s="11">
        <f si="2" t="shared"/>
        <v>7.0254788032374335E-4</v>
      </c>
      <c r="E86" s="184">
        <v>75</v>
      </c>
      <c r="F86" s="274" t="n">
        <v>3.0</v>
      </c>
      <c r="G86" s="11">
        <f si="3" t="shared"/>
        <v>8.9783209462432006E-6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3.0</v>
      </c>
      <c r="G87" s="11">
        <f si="3" t="shared"/>
        <v>5.386992567745921E-6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1.0</v>
      </c>
      <c r="G88" s="11">
        <f si="3" t="shared"/>
        <v>1.7956641892486402E-6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3.0</v>
      </c>
      <c r="G89" s="11">
        <f si="3" t="shared"/>
        <v>1.7956641892486402E-6</v>
      </c>
    </row>
    <row r="90" spans="1:7" x14ac:dyDescent="0.25">
      <c r="A90">
        <v>79</v>
      </c>
      <c r="B90" s="8" t="n">
        <v>256.371317496</v>
      </c>
      <c r="C90" s="11">
        <f si="2" t="shared"/>
        <v>4.0513783225963796E-4</v>
      </c>
      <c r="E90" s="188">
        <v>79</v>
      </c>
      <c r="F90" s="278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1.0</v>
      </c>
      <c r="G91" s="11">
        <f si="3" t="shared"/>
        <v>1.7956641892486402E-6</v>
      </c>
    </row>
    <row r="92" spans="1:7" x14ac:dyDescent="0.25">
      <c r="A92">
        <v>81</v>
      </c>
      <c r="B92" s="8" t="n">
        <v>668.711535771</v>
      </c>
      <c r="C92" s="11">
        <f si="2" t="shared"/>
        <v>1.0567498137286876E-3</v>
      </c>
      <c r="E92" s="190">
        <v>81</v>
      </c>
      <c r="F92" s="280" t="n">
        <v>0.0</v>
      </c>
      <c r="G92" s="11">
        <f si="3" t="shared"/>
        <v>7.1826567569945608E-6</v>
      </c>
    </row>
    <row r="93" spans="1:7" x14ac:dyDescent="0.25">
      <c r="A93">
        <v>82</v>
      </c>
      <c r="B93" s="8" t="n">
        <v>569.501209051</v>
      </c>
      <c r="C93" s="11">
        <f si="2" t="shared"/>
        <v>8.9996996371392022E-4</v>
      </c>
      <c r="E93" s="191">
        <v>82</v>
      </c>
      <c r="F93" s="281" t="n">
        <v>1.0</v>
      </c>
      <c r="G93" s="11">
        <f si="3" t="shared"/>
        <v>1.7956641892486402E-6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2.0</v>
      </c>
      <c r="G94" s="11">
        <f si="3" t="shared"/>
        <v>5.386992567745921E-6</v>
      </c>
    </row>
    <row r="95" spans="1:7" x14ac:dyDescent="0.25">
      <c r="A95">
        <v>84</v>
      </c>
      <c r="B95" s="8" t="n">
        <v>258.883817246</v>
      </c>
      <c r="C95" s="11">
        <f si="2" t="shared"/>
        <v>4.0910827915755876E-4</v>
      </c>
      <c r="E95" s="193">
        <v>84</v>
      </c>
      <c r="F95" s="283" t="n">
        <v>2.0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3.0</v>
      </c>
      <c r="G96" s="11">
        <f si="3" t="shared"/>
        <v>1.7956641892486402E-6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0.0</v>
      </c>
      <c r="G97" s="11">
        <f si="3" t="shared"/>
        <v>1.7956641892486402E-6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0.0</v>
      </c>
      <c r="G99" s="11">
        <f si="3" t="shared"/>
        <v>1.7956641892486402E-6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149.321800022</v>
      </c>
      <c r="C101" s="11">
        <f si="2" t="shared"/>
        <v>2.3596988524648085E-4</v>
      </c>
      <c r="E101" s="292">
        <v>90</v>
      </c>
      <c r="F101" s="292" t="n">
        <v>0.0</v>
      </c>
      <c r="G101" s="11">
        <f si="3" t="shared"/>
        <v>0</v>
      </c>
    </row>
    <row r="102" spans="1:7" x14ac:dyDescent="0.25">
      <c r="B102" s="8">
        <f>SUM(B11:B101)</f>
        <v>632800.24002226745</v>
      </c>
      <c r="C102" s="11">
        <f si="2" t="shared"/>
        <v>1</v>
      </c>
      <c r="F102" s="8">
        <f>SUM(F11:F101)</f>
        <v>556897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topLeftCell="F13" workbookViewId="0" zoomScaleNormal="100">
      <selection activeCell="AD37" sqref="AD37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244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249</v>
      </c>
      <c r="B7" s="12" t="n">
        <v>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0</v>
      </c>
      <c r="K7" s="12"/>
      <c r="L7" t="str">
        <f>$A$7</f>
        <v>Bellevue</v>
      </c>
      <c r="M7" s="343" t="n">
        <v>0.0</v>
      </c>
      <c r="N7" s="343" t="n">
        <v>0.0</v>
      </c>
      <c r="O7" s="343" t="n">
        <v>0.0</v>
      </c>
      <c r="P7" s="343" t="n">
        <v>0.0</v>
      </c>
      <c r="Q7" s="343" t="n">
        <v>0.0</v>
      </c>
      <c r="R7" s="343" t="n">
        <v>0.0</v>
      </c>
      <c r="S7" s="343" t="n">
        <v>0.0</v>
      </c>
      <c r="T7" s="291"/>
      <c r="U7" s="12">
        <f>SUM(M7:T7)</f>
        <v>0</v>
      </c>
    </row>
    <row r="8" spans="1:21" x14ac:dyDescent="0.25">
      <c r="A8" t="s">
        <v>250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Bellevue Downtown</v>
      </c>
      <c r="M8" s="343" t="n">
        <v>0.0</v>
      </c>
      <c r="N8" s="343" t="n">
        <v>0.0</v>
      </c>
      <c r="O8" s="343" t="n">
        <v>0.0</v>
      </c>
      <c r="P8" s="343" t="n">
        <v>0.0</v>
      </c>
      <c r="Q8" s="343" t="n">
        <v>0.0</v>
      </c>
      <c r="R8" s="343" t="n">
        <v>0.0</v>
      </c>
      <c r="S8" s="343" t="n">
        <v>0.0</v>
      </c>
      <c r="T8" s="291"/>
      <c r="U8" s="12">
        <f ref="U8:U14" si="1" t="shared">SUM(M8:T8)</f>
        <v>0</v>
      </c>
    </row>
    <row r="9" spans="1:21" x14ac:dyDescent="0.25">
      <c r="A9" t="s">
        <v>251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Kirkland</v>
      </c>
      <c r="M9" s="343" t="n">
        <v>0.0</v>
      </c>
      <c r="N9" s="343" t="n">
        <v>0.0</v>
      </c>
      <c r="O9" s="343" t="n">
        <v>0.0</v>
      </c>
      <c r="P9" s="343" t="n">
        <v>0.0</v>
      </c>
      <c r="Q9" s="343" t="n">
        <v>0.0</v>
      </c>
      <c r="R9" s="343" t="n">
        <v>0.0</v>
      </c>
      <c r="S9" s="343" t="n">
        <v>0.0</v>
      </c>
      <c r="T9" s="291"/>
      <c r="U9" s="12">
        <f si="1" t="shared"/>
        <v>0</v>
      </c>
    </row>
    <row r="10" spans="1:21" x14ac:dyDescent="0.25">
      <c r="A10" t="s">
        <v>252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si="0" t="shared"/>
        <v>0</v>
      </c>
      <c r="K10" s="13"/>
      <c r="L10" t="str">
        <f>$A$10</f>
        <v>Redmond</v>
      </c>
      <c r="M10" s="343" t="n">
        <v>0.0</v>
      </c>
      <c r="N10" s="343" t="n">
        <v>0.0</v>
      </c>
      <c r="O10" s="343" t="n">
        <v>0.0</v>
      </c>
      <c r="P10" s="343" t="n">
        <v>0.0</v>
      </c>
      <c r="Q10" s="343" t="n">
        <v>0.0</v>
      </c>
      <c r="R10" s="343" t="n">
        <v>0.0</v>
      </c>
      <c r="S10" s="343" t="n">
        <v>0.0</v>
      </c>
      <c r="T10" s="291"/>
      <c r="U10" s="12">
        <f si="1" t="shared"/>
        <v>0</v>
      </c>
    </row>
    <row r="11" spans="1:21" x14ac:dyDescent="0.25">
      <c r="A11" t="s">
        <v>248</v>
      </c>
      <c r="B11" s="12" t="n">
        <v>0.0</v>
      </c>
      <c r="C11" s="12" t="n">
        <v>109.0593083993</v>
      </c>
      <c r="D11" s="12" t="n">
        <v>0.0</v>
      </c>
      <c r="E11" s="12" t="n">
        <v>0.0</v>
      </c>
      <c r="F11" s="12" t="n">
        <v>89978.8314132858</v>
      </c>
      <c r="G11" s="12" t="n">
        <v>6946.5674062645</v>
      </c>
      <c r="H11" s="12" t="n">
        <v>8080.0100283098</v>
      </c>
      <c r="I11" s="12"/>
      <c r="J11" s="12">
        <f si="0" t="shared"/>
        <v>105114.46815625941</v>
      </c>
      <c r="K11" s="13"/>
      <c r="L11" t="str">
        <f>$A$11</f>
        <v>Seattle</v>
      </c>
      <c r="M11" s="343" t="n">
        <v>0.0</v>
      </c>
      <c r="N11" s="343" t="n">
        <v>0.0</v>
      </c>
      <c r="O11" s="343" t="n">
        <v>0.0</v>
      </c>
      <c r="P11" s="343" t="n">
        <v>0.0</v>
      </c>
      <c r="Q11" s="343" t="n">
        <v>67819.0</v>
      </c>
      <c r="R11" s="343" t="n">
        <v>9079.0</v>
      </c>
      <c r="S11" s="343" t="n">
        <v>5774.0</v>
      </c>
      <c r="T11" s="291"/>
      <c r="U11" s="12">
        <f si="1" t="shared"/>
        <v>81452</v>
      </c>
    </row>
    <row r="12" spans="1:21" x14ac:dyDescent="0.25">
      <c r="A12" t="s">
        <v>253</v>
      </c>
      <c r="B12" s="12" t="n">
        <v>71.9144943498</v>
      </c>
      <c r="C12" s="12" t="n">
        <v>0.0</v>
      </c>
      <c r="D12" s="12" t="n">
        <v>0.0</v>
      </c>
      <c r="E12" s="12" t="n">
        <v>0.0</v>
      </c>
      <c r="F12" s="12" t="n">
        <v>4435.5454678812</v>
      </c>
      <c r="G12" s="12" t="n">
        <v>8152.8204414182</v>
      </c>
      <c r="H12" s="12" t="n">
        <v>144.2305369303</v>
      </c>
      <c r="I12" s="12"/>
      <c r="J12" s="12">
        <f si="0" t="shared"/>
        <v>12804.510940579501</v>
      </c>
      <c r="K12" s="13"/>
      <c r="L12" t="str">
        <f>$A$12</f>
        <v>Seattle Downtown</v>
      </c>
      <c r="M12" s="343" t="n">
        <v>0.0</v>
      </c>
      <c r="N12" s="343" t="n">
        <v>0.0</v>
      </c>
      <c r="O12" s="343" t="n">
        <v>0.0</v>
      </c>
      <c r="P12" s="343" t="n">
        <v>0.0</v>
      </c>
      <c r="Q12" s="343" t="n">
        <v>1073.0</v>
      </c>
      <c r="R12" s="343" t="n">
        <v>11526.0</v>
      </c>
      <c r="S12" s="343" t="n">
        <v>68.0</v>
      </c>
      <c r="T12" s="291"/>
      <c r="U12" s="12">
        <f si="1" t="shared"/>
        <v>12565</v>
      </c>
    </row>
    <row r="13" spans="1:21" x14ac:dyDescent="0.25">
      <c r="A13" t="s">
        <v>254</v>
      </c>
      <c r="B13" s="12" t="n">
        <v>776.0514419</v>
      </c>
      <c r="C13" s="12" t="n">
        <v>1602.1303793089999</v>
      </c>
      <c r="D13" s="12" t="n">
        <v>1020.4236710519999</v>
      </c>
      <c r="E13" s="12" t="n">
        <v>272.274861354</v>
      </c>
      <c r="F13" s="12" t="n">
        <v>7156.233199811</v>
      </c>
      <c r="G13" s="12" t="n">
        <v>3107.520417879</v>
      </c>
      <c r="H13" s="12" t="n">
        <v>510378.8141281464</v>
      </c>
      <c r="I13" s="12"/>
      <c r="J13" s="12">
        <f si="0" t="shared"/>
        <v>524313.44809945137</v>
      </c>
      <c r="K13" s="13"/>
      <c r="L13" t="str">
        <f>$A$13</f>
        <v>Rest</v>
      </c>
      <c r="M13" s="343" t="n">
        <v>0.0</v>
      </c>
      <c r="N13" s="343" t="n">
        <v>0.0</v>
      </c>
      <c r="O13" s="343" t="n">
        <v>0.0</v>
      </c>
      <c r="P13" s="343" t="n">
        <v>0.0</v>
      </c>
      <c r="Q13" s="343" t="n">
        <v>4179.0</v>
      </c>
      <c r="R13" s="343" t="n">
        <v>588.0</v>
      </c>
      <c r="S13" s="343" t="n">
        <v>459159.0</v>
      </c>
      <c r="T13" s="291"/>
      <c r="U13" s="12">
        <f si="1" t="shared"/>
        <v>462553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847.96593624979994</v>
      </c>
      <c r="C15" s="15">
        <f si="2" t="shared"/>
        <v>1711.1896877083</v>
      </c>
      <c r="D15" s="15">
        <f si="2" t="shared"/>
        <v>1020.4236710519999</v>
      </c>
      <c r="E15" s="15">
        <f si="2" t="shared"/>
        <v>272.274861354</v>
      </c>
      <c r="F15" s="15">
        <f si="2" t="shared"/>
        <v>101570.610080978</v>
      </c>
      <c r="G15" s="15">
        <f si="2" t="shared"/>
        <v>18206.908265561702</v>
      </c>
      <c r="H15" s="15">
        <f si="2" t="shared"/>
        <v>518603.05469338648</v>
      </c>
      <c r="I15" s="15">
        <f si="2" t="shared"/>
        <v>0</v>
      </c>
      <c r="J15" s="15">
        <f si="2" t="shared"/>
        <v>642232.42719629034</v>
      </c>
      <c r="K15" s="12"/>
      <c r="L15" s="15" t="s">
        <v>4</v>
      </c>
      <c r="M15" s="15">
        <f ref="M15:U15" si="3" t="shared">SUM(M7:M14)</f>
        <v>0</v>
      </c>
      <c r="N15" s="15">
        <f si="3" t="shared"/>
        <v>0</v>
      </c>
      <c r="O15" s="15">
        <f si="3" t="shared"/>
        <v>0</v>
      </c>
      <c r="P15" s="15">
        <f si="3" t="shared"/>
        <v>0</v>
      </c>
      <c r="Q15" s="15">
        <f si="3" t="shared"/>
        <v>73861</v>
      </c>
      <c r="R15" s="15">
        <f si="3" t="shared"/>
        <v>19111</v>
      </c>
      <c r="S15" s="15">
        <f si="3" t="shared"/>
        <v>463598</v>
      </c>
      <c r="T15" s="15">
        <f si="3" t="shared"/>
        <v>0</v>
      </c>
      <c r="U15" s="15">
        <f si="3" t="shared"/>
        <v>556570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 t="e">
        <f ref="B20:G20" si="4" t="shared">($U7/$J7)*B7</f>
        <v>#DIV/0!</v>
      </c>
      <c r="C20" s="12" t="e">
        <f si="4" t="shared"/>
        <v>#DIV/0!</v>
      </c>
      <c r="D20" s="12" t="e">
        <f si="4" t="shared"/>
        <v>#DIV/0!</v>
      </c>
      <c r="E20" s="12" t="e">
        <f si="4" t="shared"/>
        <v>#DIV/0!</v>
      </c>
      <c r="F20" s="12" t="e">
        <f si="4" t="shared"/>
        <v>#DIV/0!</v>
      </c>
      <c r="G20" s="12" t="e">
        <f si="4" t="shared"/>
        <v>#DIV/0!</v>
      </c>
      <c r="H20" s="12" t="e">
        <f ref="H20" si="5" t="shared">($U7/$J7)*H7</f>
        <v>#DIV/0!</v>
      </c>
      <c r="I20" s="12"/>
      <c r="J20" s="12" t="e">
        <f>SUM(B20:I20)</f>
        <v>#DIV/0!</v>
      </c>
      <c r="K20" s="12"/>
      <c r="L20" t="str">
        <f>$A$7</f>
        <v>Bellevue</v>
      </c>
      <c r="M20" s="12">
        <f ref="M20:M26" si="6" t="shared">M7</f>
        <v>0</v>
      </c>
      <c r="N20" s="12">
        <f ref="N20:U20" si="7" t="shared">N7</f>
        <v>0</v>
      </c>
      <c r="O20" s="12">
        <f si="7" t="shared"/>
        <v>0</v>
      </c>
      <c r="P20" s="12">
        <f si="7" t="shared"/>
        <v>0</v>
      </c>
      <c r="Q20" s="12">
        <f si="7" t="shared"/>
        <v>0</v>
      </c>
      <c r="R20" s="12">
        <f si="7" t="shared"/>
        <v>0</v>
      </c>
      <c r="S20" s="12">
        <f ref="S20" si="8" t="shared">S7</f>
        <v>0</v>
      </c>
      <c r="T20" s="12"/>
      <c r="U20" s="12">
        <f si="7" t="shared"/>
        <v>0</v>
      </c>
    </row>
    <row r="21" spans="1:32" x14ac:dyDescent="0.25">
      <c r="A21" t="str">
        <f>$A$8</f>
        <v>Bellevue Downtown</v>
      </c>
      <c r="B21" s="12" t="e">
        <f ref="B21:G26" si="9" t="shared">($U8/$J8)*B8</f>
        <v>#DIV/0!</v>
      </c>
      <c r="C21" s="12" t="e">
        <f si="9" t="shared"/>
        <v>#DIV/0!</v>
      </c>
      <c r="D21" s="12" t="e">
        <f si="9" t="shared"/>
        <v>#DIV/0!</v>
      </c>
      <c r="E21" s="12" t="e">
        <f si="9" t="shared"/>
        <v>#DIV/0!</v>
      </c>
      <c r="F21" s="12" t="e">
        <f si="9" t="shared"/>
        <v>#DIV/0!</v>
      </c>
      <c r="G21" s="12" t="e">
        <f si="9" t="shared"/>
        <v>#DIV/0!</v>
      </c>
      <c r="H21" s="12" t="e">
        <f ref="H21" si="10" t="shared">($U8/$J8)*H8</f>
        <v>#DIV/0!</v>
      </c>
      <c r="I21" s="12"/>
      <c r="J21" s="12" t="e">
        <f ref="J21:J27" si="11" t="shared">SUM(B21:I21)</f>
        <v>#DIV/0!</v>
      </c>
      <c r="K21" s="12"/>
      <c r="L21" t="str">
        <f>$A$8</f>
        <v>Bellevue Downtown</v>
      </c>
      <c r="M21" s="12">
        <f si="6" t="shared"/>
        <v>0</v>
      </c>
      <c r="N21" s="12">
        <f ref="N21:R26" si="12" t="shared">N8</f>
        <v>0</v>
      </c>
      <c r="O21" s="12">
        <f si="12" t="shared"/>
        <v>0</v>
      </c>
      <c r="P21" s="12">
        <f si="12" t="shared"/>
        <v>0</v>
      </c>
      <c r="Q21" s="12">
        <f si="12" t="shared"/>
        <v>0</v>
      </c>
      <c r="R21" s="12">
        <f si="12" t="shared"/>
        <v>0</v>
      </c>
      <c r="S21" s="12">
        <f ref="S21" si="13" t="shared">S8</f>
        <v>0</v>
      </c>
      <c r="T21" s="12"/>
      <c r="U21" s="12">
        <f ref="U21:U26" si="14" t="shared">U8</f>
        <v>0</v>
      </c>
    </row>
    <row r="22" spans="1:32" x14ac:dyDescent="0.25">
      <c r="A22" t="str">
        <f>$A$9</f>
        <v>Kirkland</v>
      </c>
      <c r="B22" s="12" t="e">
        <f si="9" t="shared"/>
        <v>#DIV/0!</v>
      </c>
      <c r="C22" s="12" t="e">
        <f si="9" t="shared"/>
        <v>#DIV/0!</v>
      </c>
      <c r="D22" s="12" t="e">
        <f si="9" t="shared"/>
        <v>#DIV/0!</v>
      </c>
      <c r="E22" s="12" t="e">
        <f si="9" t="shared"/>
        <v>#DIV/0!</v>
      </c>
      <c r="F22" s="12" t="e">
        <f si="9" t="shared"/>
        <v>#DIV/0!</v>
      </c>
      <c r="G22" s="12" t="e">
        <f si="9" t="shared"/>
        <v>#DIV/0!</v>
      </c>
      <c r="H22" s="12" t="e">
        <f ref="H22" si="15" t="shared">($U9/$J9)*H9</f>
        <v>#DIV/0!</v>
      </c>
      <c r="I22" s="12"/>
      <c r="J22" s="12" t="e">
        <f si="11" t="shared"/>
        <v>#DIV/0!</v>
      </c>
      <c r="K22" s="13"/>
      <c r="L22" t="str">
        <f>$A$9</f>
        <v>Kirkland</v>
      </c>
      <c r="M22" s="12">
        <f si="6" t="shared"/>
        <v>0</v>
      </c>
      <c r="N22" s="12">
        <f si="12" t="shared"/>
        <v>0</v>
      </c>
      <c r="O22" s="12">
        <f si="12" t="shared"/>
        <v>0</v>
      </c>
      <c r="P22" s="12">
        <f si="12" t="shared"/>
        <v>0</v>
      </c>
      <c r="Q22" s="12">
        <f si="12" t="shared"/>
        <v>0</v>
      </c>
      <c r="R22" s="12">
        <f si="12" t="shared"/>
        <v>0</v>
      </c>
      <c r="S22" s="12">
        <f ref="S22" si="16" t="shared">S9</f>
        <v>0</v>
      </c>
      <c r="T22" s="12"/>
      <c r="U22" s="12">
        <f si="14" t="shared"/>
        <v>0</v>
      </c>
    </row>
    <row r="23" spans="1:32" x14ac:dyDescent="0.25">
      <c r="A23" t="str">
        <f>$A$10</f>
        <v>Redmond</v>
      </c>
      <c r="B23" s="12" t="e">
        <f si="9" t="shared"/>
        <v>#DIV/0!</v>
      </c>
      <c r="C23" s="12" t="e">
        <f si="9" t="shared"/>
        <v>#DIV/0!</v>
      </c>
      <c r="D23" s="12" t="e">
        <f si="9" t="shared"/>
        <v>#DIV/0!</v>
      </c>
      <c r="E23" s="12" t="e">
        <f si="9" t="shared"/>
        <v>#DIV/0!</v>
      </c>
      <c r="F23" s="12" t="e">
        <f si="9" t="shared"/>
        <v>#DIV/0!</v>
      </c>
      <c r="G23" s="12" t="e">
        <f si="9" t="shared"/>
        <v>#DIV/0!</v>
      </c>
      <c r="H23" s="12" t="e">
        <f ref="H23" si="17" t="shared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si="6" t="shared"/>
        <v>0</v>
      </c>
      <c r="N23" s="12">
        <f si="12" t="shared"/>
        <v>0</v>
      </c>
      <c r="O23" s="12">
        <f si="12" t="shared"/>
        <v>0</v>
      </c>
      <c r="P23" s="12">
        <f si="12" t="shared"/>
        <v>0</v>
      </c>
      <c r="Q23" s="12">
        <f si="12" t="shared"/>
        <v>0</v>
      </c>
      <c r="R23" s="12">
        <f si="12" t="shared"/>
        <v>0</v>
      </c>
      <c r="S23" s="12">
        <f ref="S23" si="18" t="shared">S10</f>
        <v>0</v>
      </c>
      <c r="T23" s="12"/>
      <c r="U23" s="12">
        <f si="14" t="shared"/>
        <v>0</v>
      </c>
    </row>
    <row r="24" spans="1:32" x14ac:dyDescent="0.25">
      <c r="A24" t="str">
        <f>$A$11</f>
        <v>Seattle</v>
      </c>
      <c r="B24" s="12">
        <f si="9" t="shared"/>
        <v>0</v>
      </c>
      <c r="C24" s="12">
        <f si="9" t="shared"/>
        <v>84.508811617963829</v>
      </c>
      <c r="D24" s="12">
        <f si="9" t="shared"/>
        <v>0</v>
      </c>
      <c r="E24" s="12">
        <f si="9" t="shared"/>
        <v>0</v>
      </c>
      <c r="F24" s="12">
        <f si="9" t="shared"/>
        <v>69723.568076090087</v>
      </c>
      <c r="G24" s="12">
        <f si="9" t="shared"/>
        <v>5382.8156894057684</v>
      </c>
      <c r="H24" s="12">
        <f ref="H24" si="19" t="shared">($U11/$J11)*H11</f>
        <v>6261.1074228861908</v>
      </c>
      <c r="I24" s="12"/>
      <c r="J24" s="12">
        <f si="11" t="shared"/>
        <v>81452</v>
      </c>
      <c r="K24" s="13"/>
      <c r="L24" t="str">
        <f>$A$11</f>
        <v>Seattle</v>
      </c>
      <c r="M24" s="12">
        <f si="6" t="shared"/>
        <v>0</v>
      </c>
      <c r="N24" s="12">
        <f si="12" t="shared"/>
        <v>0</v>
      </c>
      <c r="O24" s="12">
        <f si="12" t="shared"/>
        <v>0</v>
      </c>
      <c r="P24" s="12">
        <f si="12" t="shared"/>
        <v>0</v>
      </c>
      <c r="Q24" s="12">
        <f si="12" t="shared"/>
        <v>68161</v>
      </c>
      <c r="R24" s="12">
        <f si="12" t="shared"/>
        <v>7476</v>
      </c>
      <c r="S24" s="12">
        <f ref="S24" si="20" t="shared">S11</f>
        <v>5815</v>
      </c>
      <c r="T24" s="12"/>
      <c r="U24" s="12">
        <f si="14" t="shared"/>
        <v>81452</v>
      </c>
    </row>
    <row r="25" spans="1:32" x14ac:dyDescent="0.25">
      <c r="A25" t="str">
        <f>$A$12</f>
        <v>Seattle Downtown</v>
      </c>
      <c r="B25" s="12">
        <f si="9" t="shared"/>
        <v>70.569319335857571</v>
      </c>
      <c r="C25" s="12">
        <f si="9" t="shared"/>
        <v>0</v>
      </c>
      <c r="D25" s="12">
        <f si="9" t="shared"/>
        <v>0</v>
      </c>
      <c r="E25" s="12">
        <f si="9" t="shared"/>
        <v>0</v>
      </c>
      <c r="F25" s="12">
        <f si="9" t="shared"/>
        <v>4352.5777019176767</v>
      </c>
      <c r="G25" s="12">
        <f si="9" t="shared"/>
        <v>8000.3203028840935</v>
      </c>
      <c r="H25" s="12">
        <f ref="H25:H26" si="21" t="shared">($U12/$J12)*H12</f>
        <v>141.53267586237081</v>
      </c>
      <c r="I25" s="12"/>
      <c r="J25" s="12">
        <f si="11" t="shared"/>
        <v>12564.999999999998</v>
      </c>
      <c r="K25" s="13"/>
      <c r="L25" t="str">
        <f>$A$12</f>
        <v>Seattle Downtown</v>
      </c>
      <c r="M25" s="12">
        <f si="6" t="shared"/>
        <v>0</v>
      </c>
      <c r="N25" s="12">
        <f si="12" t="shared"/>
        <v>0</v>
      </c>
      <c r="O25" s="12">
        <f si="12" t="shared"/>
        <v>0</v>
      </c>
      <c r="P25" s="12">
        <f si="12" t="shared"/>
        <v>0</v>
      </c>
      <c r="Q25" s="12">
        <f si="12" t="shared"/>
        <v>1332</v>
      </c>
      <c r="R25" s="12">
        <f si="12" t="shared"/>
        <v>11144</v>
      </c>
      <c r="S25" s="12">
        <f ref="S25:S26" si="22" t="shared">S12</f>
        <v>89</v>
      </c>
      <c r="T25" s="12"/>
      <c r="U25" s="12">
        <f si="14" t="shared"/>
        <v>12565</v>
      </c>
    </row>
    <row r="26" spans="1:32" x14ac:dyDescent="0.25">
      <c r="A26" t="str">
        <f>$A$13</f>
        <v>Rest</v>
      </c>
      <c r="B26" s="12">
        <f si="9" t="shared"/>
        <v>684.63802312597272</v>
      </c>
      <c r="C26" s="12">
        <f si="9" t="shared"/>
        <v>1413.4106535446906</v>
      </c>
      <c r="D26" s="12">
        <f si="9" t="shared"/>
        <v>900.22491703586275</v>
      </c>
      <c r="E26" s="12">
        <f si="9" t="shared"/>
        <v>240.20279167050521</v>
      </c>
      <c r="F26" s="12">
        <f si="9" t="shared"/>
        <v>6313.2791029314076</v>
      </c>
      <c r="G26" s="12">
        <f si="9" t="shared"/>
        <v>2741.4763002198288</v>
      </c>
      <c r="H26" s="12">
        <f si="21" t="shared"/>
        <v>450259.76821147173</v>
      </c>
      <c r="I26" s="12"/>
      <c r="J26" s="12">
        <f si="11" t="shared"/>
        <v>462553</v>
      </c>
      <c r="K26" s="13"/>
      <c r="L26" t="str">
        <f>$A$13</f>
        <v>Rest</v>
      </c>
      <c r="M26" s="12">
        <f si="6" t="shared"/>
        <v>0</v>
      </c>
      <c r="N26" s="12">
        <f si="12" t="shared"/>
        <v>0</v>
      </c>
      <c r="O26" s="12">
        <f si="12" t="shared"/>
        <v>0</v>
      </c>
      <c r="P26" s="12">
        <f si="12" t="shared"/>
        <v>0</v>
      </c>
      <c r="Q26" s="12">
        <f si="12" t="shared"/>
        <v>4368</v>
      </c>
      <c r="R26" s="12">
        <f si="12" t="shared"/>
        <v>491</v>
      </c>
      <c r="S26" s="12">
        <f si="22" t="shared"/>
        <v>457694</v>
      </c>
      <c r="T26" s="12"/>
      <c r="U26" s="12">
        <f si="14" t="shared"/>
        <v>462553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0</v>
      </c>
      <c r="N28" s="15">
        <f si="24" t="shared"/>
        <v>0</v>
      </c>
      <c r="O28" s="15">
        <f si="24" t="shared"/>
        <v>0</v>
      </c>
      <c r="P28" s="15">
        <f si="24" t="shared"/>
        <v>0</v>
      </c>
      <c r="Q28" s="15">
        <f si="24" t="shared"/>
        <v>73861</v>
      </c>
      <c r="R28" s="15">
        <f si="24" t="shared"/>
        <v>19111</v>
      </c>
      <c r="S28" s="15">
        <f si="24" t="shared"/>
        <v>463598</v>
      </c>
      <c r="T28" s="15">
        <f si="24" t="shared"/>
        <v>0</v>
      </c>
      <c r="U28" s="15">
        <f si="24" t="shared"/>
        <v>556570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6"/>
      <c r="J33" s="16" t="e">
        <f ref="J33:J38" si="27" t="shared">J20/$J$28</f>
        <v>#DIV/0!</v>
      </c>
      <c r="K33" s="12"/>
      <c r="L33" t="str">
        <f>$A$7</f>
        <v>Bellevue</v>
      </c>
      <c r="M33" s="16">
        <f ref="M33:R33" si="28" t="shared">M20/$U$28</f>
        <v>0</v>
      </c>
      <c r="N33" s="16">
        <f si="28" t="shared"/>
        <v>0</v>
      </c>
      <c r="O33" s="16">
        <f si="28" t="shared"/>
        <v>0</v>
      </c>
      <c r="P33" s="16">
        <f si="28" t="shared"/>
        <v>0</v>
      </c>
      <c r="Q33" s="16">
        <f si="28" t="shared"/>
        <v>0</v>
      </c>
      <c r="R33" s="16">
        <f si="28" t="shared"/>
        <v>0</v>
      </c>
      <c r="S33" s="16">
        <f ref="S33" si="29" t="shared">S20/$U$28</f>
        <v>0</v>
      </c>
      <c r="T33" s="16"/>
      <c r="U33" s="16">
        <f ref="U33:U39" si="30" t="shared">U20/$U$28</f>
        <v>0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si="25" t="shared"/>
        <v>#DIV/0!</v>
      </c>
      <c r="C34" s="16" t="e">
        <f si="25" t="shared"/>
        <v>#DIV/0!</v>
      </c>
      <c r="D34" s="16" t="e">
        <f si="25" t="shared"/>
        <v>#DIV/0!</v>
      </c>
      <c r="E34" s="16" t="e">
        <f si="25" t="shared"/>
        <v>#DIV/0!</v>
      </c>
      <c r="F34" s="16" t="e">
        <f si="25" t="shared"/>
        <v>#DIV/0!</v>
      </c>
      <c r="G34" s="16" t="e">
        <f ref="G34:H34" si="33" t="shared">G21/$J$28</f>
        <v>#DIV/0!</v>
      </c>
      <c r="H34" s="16" t="e">
        <f si="33" t="shared"/>
        <v>#DIV/0!</v>
      </c>
      <c r="I34" s="16"/>
      <c r="J34" s="16" t="e">
        <f si="27" t="shared"/>
        <v>#DIV/0!</v>
      </c>
      <c r="K34" s="12"/>
      <c r="L34" t="str">
        <f>$A$8</f>
        <v>Bellevue Downtown</v>
      </c>
      <c r="M34" s="16">
        <f ref="M34:R39" si="34" t="shared">M21/$U$28</f>
        <v>0</v>
      </c>
      <c r="N34" s="16">
        <f si="34" t="shared"/>
        <v>0</v>
      </c>
      <c r="O34" s="16">
        <f si="34" t="shared"/>
        <v>0</v>
      </c>
      <c r="P34" s="16">
        <f si="34" t="shared"/>
        <v>0</v>
      </c>
      <c r="Q34" s="16">
        <f si="34" t="shared"/>
        <v>0</v>
      </c>
      <c r="R34" s="16">
        <f si="34" t="shared"/>
        <v>0</v>
      </c>
      <c r="S34" s="16">
        <f ref="S34" si="35" t="shared">S21/$U$28</f>
        <v>0</v>
      </c>
      <c r="T34" s="16"/>
      <c r="U34" s="16">
        <f si="30" t="shared"/>
        <v>0</v>
      </c>
      <c r="W34" t="str">
        <f>$A$8</f>
        <v>Bellevue Downtown</v>
      </c>
      <c r="X34" s="16" t="e">
        <f ref="X34:X38" si="36" t="shared">M34-B34</f>
        <v>#DIV/0!</v>
      </c>
      <c r="Y34" s="16" t="e">
        <f ref="Y34:AD38" si="37" t="shared">N34-C34</f>
        <v>#DIV/0!</v>
      </c>
      <c r="Z34" s="16" t="e">
        <f si="37" t="shared"/>
        <v>#DIV/0!</v>
      </c>
      <c r="AA34" s="16" t="e">
        <f si="37" t="shared"/>
        <v>#DIV/0!</v>
      </c>
      <c r="AB34" s="16" t="e">
        <f si="37" t="shared"/>
        <v>#DIV/0!</v>
      </c>
      <c r="AC34" s="16" t="e">
        <f si="37" t="shared"/>
        <v>#DIV/0!</v>
      </c>
      <c r="AD34" s="16" t="e">
        <f si="37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25" t="shared"/>
        <v>#DIV/0!</v>
      </c>
      <c r="C35" s="16" t="e">
        <f si="25" t="shared"/>
        <v>#DIV/0!</v>
      </c>
      <c r="D35" s="16" t="e">
        <f si="25" t="shared"/>
        <v>#DIV/0!</v>
      </c>
      <c r="E35" s="16" t="e">
        <f si="25" t="shared"/>
        <v>#DIV/0!</v>
      </c>
      <c r="F35" s="16" t="e">
        <f si="25" t="shared"/>
        <v>#DIV/0!</v>
      </c>
      <c r="G35" s="16" t="e">
        <f ref="G35:H35" si="38" t="shared">G22/$J$28</f>
        <v>#DIV/0!</v>
      </c>
      <c r="H35" s="16" t="e">
        <f si="38" t="shared"/>
        <v>#DIV/0!</v>
      </c>
      <c r="I35" s="16"/>
      <c r="J35" s="16" t="e">
        <f si="27" t="shared"/>
        <v>#DIV/0!</v>
      </c>
      <c r="K35" s="13"/>
      <c r="L35" t="str">
        <f>$A$9</f>
        <v>Kirkland</v>
      </c>
      <c r="M35" s="16">
        <f si="34" t="shared"/>
        <v>0</v>
      </c>
      <c r="N35" s="16">
        <f si="34" t="shared"/>
        <v>0</v>
      </c>
      <c r="O35" s="16">
        <f si="34" t="shared"/>
        <v>0</v>
      </c>
      <c r="P35" s="16">
        <f si="34" t="shared"/>
        <v>0</v>
      </c>
      <c r="Q35" s="16">
        <f si="34" t="shared"/>
        <v>0</v>
      </c>
      <c r="R35" s="16">
        <f si="34" t="shared"/>
        <v>0</v>
      </c>
      <c r="S35" s="16">
        <f ref="S35" si="39" t="shared">S22/$U$28</f>
        <v>0</v>
      </c>
      <c r="T35" s="16"/>
      <c r="U35" s="16">
        <f si="30" t="shared"/>
        <v>0</v>
      </c>
      <c r="W35" t="str">
        <f>$A$9</f>
        <v>Kirkland</v>
      </c>
      <c r="X35" s="16" t="e">
        <f si="36" t="shared"/>
        <v>#DIV/0!</v>
      </c>
      <c r="Y35" s="16" t="e">
        <f si="37" t="shared"/>
        <v>#DIV/0!</v>
      </c>
      <c r="Z35" s="16" t="e">
        <f si="37" t="shared"/>
        <v>#DIV/0!</v>
      </c>
      <c r="AA35" s="16" t="e">
        <f si="37" t="shared"/>
        <v>#DIV/0!</v>
      </c>
      <c r="AB35" s="16" t="e">
        <f si="37" t="shared"/>
        <v>#DIV/0!</v>
      </c>
      <c r="AC35" s="16" t="e">
        <f si="37" t="shared"/>
        <v>#DIV/0!</v>
      </c>
      <c r="AD35" s="16" t="e">
        <f si="37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25" t="shared"/>
        <v>#DIV/0!</v>
      </c>
      <c r="C36" s="16" t="e">
        <f si="25" t="shared"/>
        <v>#DIV/0!</v>
      </c>
      <c r="D36" s="16" t="e">
        <f si="25" t="shared"/>
        <v>#DIV/0!</v>
      </c>
      <c r="E36" s="16" t="e">
        <f si="25" t="shared"/>
        <v>#DIV/0!</v>
      </c>
      <c r="F36" s="16" t="e">
        <f si="25" t="shared"/>
        <v>#DIV/0!</v>
      </c>
      <c r="G36" s="16" t="e">
        <f ref="G36:H36" si="40" t="shared">G23/$J$28</f>
        <v>#DIV/0!</v>
      </c>
      <c r="H36" s="16" t="e">
        <f si="40" t="shared"/>
        <v>#DIV/0!</v>
      </c>
      <c r="I36" s="16"/>
      <c r="J36" s="16" t="e">
        <f si="27" t="shared"/>
        <v>#DIV/0!</v>
      </c>
      <c r="K36" s="13"/>
      <c r="L36" t="str">
        <f>$A$10</f>
        <v>Redmond</v>
      </c>
      <c r="M36" s="16">
        <f si="34" t="shared"/>
        <v>0</v>
      </c>
      <c r="N36" s="16">
        <f si="34" t="shared"/>
        <v>0</v>
      </c>
      <c r="O36" s="16">
        <f si="34" t="shared"/>
        <v>0</v>
      </c>
      <c r="P36" s="16">
        <f si="34" t="shared"/>
        <v>0</v>
      </c>
      <c r="Q36" s="16">
        <f si="34" t="shared"/>
        <v>0</v>
      </c>
      <c r="R36" s="16">
        <f si="34" t="shared"/>
        <v>0</v>
      </c>
      <c r="S36" s="16">
        <f ref="S36" si="41" t="shared">S23/$U$28</f>
        <v>0</v>
      </c>
      <c r="T36" s="16"/>
      <c r="U36" s="16">
        <f si="30" t="shared"/>
        <v>0</v>
      </c>
      <c r="W36" t="str">
        <f>$A$10</f>
        <v>Redmond</v>
      </c>
      <c r="X36" s="16" t="e">
        <f si="36" t="shared"/>
        <v>#DIV/0!</v>
      </c>
      <c r="Y36" s="16" t="e">
        <f si="37" t="shared"/>
        <v>#DIV/0!</v>
      </c>
      <c r="Z36" s="16" t="e">
        <f si="37" t="shared"/>
        <v>#DIV/0!</v>
      </c>
      <c r="AA36" s="16" t="e">
        <f si="37" t="shared"/>
        <v>#DIV/0!</v>
      </c>
      <c r="AB36" s="16" t="e">
        <f si="37" t="shared"/>
        <v>#DIV/0!</v>
      </c>
      <c r="AC36" s="16" t="e">
        <f si="37" t="shared"/>
        <v>#DIV/0!</v>
      </c>
      <c r="AD36" s="16" t="e">
        <f si="37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25" t="shared"/>
        <v>#DIV/0!</v>
      </c>
      <c r="C37" s="16" t="e">
        <f si="25" t="shared"/>
        <v>#DIV/0!</v>
      </c>
      <c r="D37" s="16" t="e">
        <f si="25" t="shared"/>
        <v>#DIV/0!</v>
      </c>
      <c r="E37" s="16" t="e">
        <f si="25" t="shared"/>
        <v>#DIV/0!</v>
      </c>
      <c r="F37" s="16" t="e">
        <f si="25" t="shared"/>
        <v>#DIV/0!</v>
      </c>
      <c r="G37" s="16" t="e">
        <f ref="G37:H37" si="42" t="shared">G24/$J$28</f>
        <v>#DIV/0!</v>
      </c>
      <c r="H37" s="16" t="e">
        <f si="42" t="shared"/>
        <v>#DIV/0!</v>
      </c>
      <c r="I37" s="16"/>
      <c r="J37" s="16" t="e">
        <f si="27" t="shared"/>
        <v>#DIV/0!</v>
      </c>
      <c r="K37" s="13"/>
      <c r="L37" t="str">
        <f>$A$11</f>
        <v>Seattle</v>
      </c>
      <c r="M37" s="16">
        <f si="34" t="shared"/>
        <v>0</v>
      </c>
      <c r="N37" s="16">
        <f si="34" t="shared"/>
        <v>0</v>
      </c>
      <c r="O37" s="16">
        <f si="34" t="shared"/>
        <v>0</v>
      </c>
      <c r="P37" s="16">
        <f si="34" t="shared"/>
        <v>0</v>
      </c>
      <c r="Q37" s="16">
        <f si="34" t="shared"/>
        <v>0.12246617676123399</v>
      </c>
      <c r="R37" s="16">
        <f si="34" t="shared"/>
        <v>1.3432272670104389E-2</v>
      </c>
      <c r="S37" s="16">
        <f ref="S37" si="43" t="shared">S24/$U$28</f>
        <v>1.0447922094255888E-2</v>
      </c>
      <c r="T37" s="16"/>
      <c r="U37" s="16">
        <f si="30" t="shared"/>
        <v>0.14634637152559427</v>
      </c>
      <c r="W37" t="str">
        <f>$A$11</f>
        <v>Seattle</v>
      </c>
      <c r="X37" s="16" t="e">
        <f si="36" t="shared"/>
        <v>#DIV/0!</v>
      </c>
      <c r="Y37" s="16" t="e">
        <f si="37" t="shared"/>
        <v>#DIV/0!</v>
      </c>
      <c r="Z37" s="16" t="e">
        <f si="37" t="shared"/>
        <v>#DIV/0!</v>
      </c>
      <c r="AA37" s="16" t="e">
        <f si="37" t="shared"/>
        <v>#DIV/0!</v>
      </c>
      <c r="AB37" s="16" t="e">
        <f si="37" t="shared"/>
        <v>#DIV/0!</v>
      </c>
      <c r="AC37" s="16" t="e">
        <f si="37" t="shared"/>
        <v>#DIV/0!</v>
      </c>
      <c r="AD37" s="16" t="e">
        <f si="37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25" t="shared"/>
        <v>#DIV/0!</v>
      </c>
      <c r="C38" s="16" t="e">
        <f si="25" t="shared"/>
        <v>#DIV/0!</v>
      </c>
      <c r="D38" s="16" t="e">
        <f si="25" t="shared"/>
        <v>#DIV/0!</v>
      </c>
      <c r="E38" s="16" t="e">
        <f si="25" t="shared"/>
        <v>#DIV/0!</v>
      </c>
      <c r="F38" s="16" t="e">
        <f si="25" t="shared"/>
        <v>#DIV/0!</v>
      </c>
      <c r="G38" s="16" t="e">
        <f ref="G38:H39" si="44" t="shared">G25/$J$28</f>
        <v>#DIV/0!</v>
      </c>
      <c r="H38" s="16" t="e">
        <f si="44" t="shared"/>
        <v>#DIV/0!</v>
      </c>
      <c r="I38" s="16"/>
      <c r="J38" s="16" t="e">
        <f si="27" t="shared"/>
        <v>#DIV/0!</v>
      </c>
      <c r="K38" s="13"/>
      <c r="L38" t="str">
        <f>$A$12</f>
        <v>Seattle Downtown</v>
      </c>
      <c r="M38" s="16">
        <f si="34" t="shared"/>
        <v>0</v>
      </c>
      <c r="N38" s="16">
        <f si="34" t="shared"/>
        <v>0</v>
      </c>
      <c r="O38" s="16">
        <f si="34" t="shared"/>
        <v>0</v>
      </c>
      <c r="P38" s="16">
        <f si="34" t="shared"/>
        <v>0</v>
      </c>
      <c r="Q38" s="16">
        <f si="34" t="shared"/>
        <v>2.3932299620892249E-3</v>
      </c>
      <c r="R38" s="16">
        <f si="34" t="shared"/>
        <v>2.0022638661803548E-2</v>
      </c>
      <c r="S38" s="16">
        <f ref="S38:S39" si="45" t="shared">S25/$U$28</f>
        <v>1.599080079774332E-4</v>
      </c>
      <c r="T38" s="16"/>
      <c r="U38" s="16">
        <f si="30" t="shared"/>
        <v>2.2575776631870204E-2</v>
      </c>
      <c r="W38" t="str">
        <f>$A$12</f>
        <v>Seattle Downtown</v>
      </c>
      <c r="X38" s="16" t="e">
        <f si="36" t="shared"/>
        <v>#DIV/0!</v>
      </c>
      <c r="Y38" s="16" t="e">
        <f si="37" t="shared"/>
        <v>#DIV/0!</v>
      </c>
      <c r="Z38" s="16" t="e">
        <f si="37" t="shared"/>
        <v>#DIV/0!</v>
      </c>
      <c r="AA38" s="16" t="e">
        <f si="37" t="shared"/>
        <v>#DIV/0!</v>
      </c>
      <c r="AB38" s="16" t="e">
        <f si="37" t="shared"/>
        <v>#DIV/0!</v>
      </c>
      <c r="AC38" s="16" t="e">
        <f si="37" t="shared"/>
        <v>#DIV/0!</v>
      </c>
      <c r="AD38" s="16" t="e">
        <f si="37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25" t="shared"/>
        <v>#DIV/0!</v>
      </c>
      <c r="C39" s="16" t="e">
        <f si="25" t="shared"/>
        <v>#DIV/0!</v>
      </c>
      <c r="D39" s="16" t="e">
        <f si="25" t="shared"/>
        <v>#DIV/0!</v>
      </c>
      <c r="E39" s="16" t="e">
        <f si="25" t="shared"/>
        <v>#DIV/0!</v>
      </c>
      <c r="F39" s="16" t="e">
        <f si="25" t="shared"/>
        <v>#DIV/0!</v>
      </c>
      <c r="G39" s="16" t="e">
        <f si="44" t="shared"/>
        <v>#DIV/0!</v>
      </c>
      <c r="H39" s="16" t="e">
        <f si="44" t="shared"/>
        <v>#DIV/0!</v>
      </c>
      <c r="I39" s="16"/>
      <c r="J39" s="16" t="e">
        <f si="25" t="shared"/>
        <v>#DIV/0!</v>
      </c>
      <c r="K39" s="13"/>
      <c r="L39" t="str">
        <f>$A$13</f>
        <v>Rest</v>
      </c>
      <c r="M39" s="16">
        <f si="34" t="shared"/>
        <v>0</v>
      </c>
      <c r="N39" s="16">
        <f si="34" t="shared"/>
        <v>0</v>
      </c>
      <c r="O39" s="16">
        <f si="34" t="shared"/>
        <v>0</v>
      </c>
      <c r="P39" s="16">
        <f si="34" t="shared"/>
        <v>0</v>
      </c>
      <c r="Q39" s="16">
        <f si="34" t="shared"/>
        <v>7.8480694252295313E-3</v>
      </c>
      <c r="R39" s="16">
        <f si="34" t="shared"/>
        <v>8.8218912266201913E-4</v>
      </c>
      <c r="S39" s="16">
        <f si="45" t="shared"/>
        <v>0.82234759329464402</v>
      </c>
      <c r="T39" s="16"/>
      <c r="U39" s="16">
        <f si="30" t="shared"/>
        <v>0.83107785184253558</v>
      </c>
      <c r="W39" t="str">
        <f>$A$13</f>
        <v>Rest</v>
      </c>
      <c r="X39" s="16" t="e">
        <f ref="X39" si="46" t="shared">M39-B39</f>
        <v>#DIV/0!</v>
      </c>
      <c r="Y39" s="16" t="e">
        <f ref="Y39" si="47" t="shared">N39-C39</f>
        <v>#DIV/0!</v>
      </c>
      <c r="Z39" s="16" t="e">
        <f ref="Z39" si="48" t="shared">O39-D39</f>
        <v>#DIV/0!</v>
      </c>
      <c r="AA39" s="16" t="e">
        <f ref="AA39" si="49" t="shared">P39-E39</f>
        <v>#DIV/0!</v>
      </c>
      <c r="AB39" s="16" t="e">
        <f ref="AB39" si="50" t="shared">Q39-F39</f>
        <v>#DIV/0!</v>
      </c>
      <c r="AC39" s="16" t="e">
        <f ref="AC39" si="51" t="shared">R39-G39</f>
        <v>#DIV/0!</v>
      </c>
      <c r="AD39" s="16" t="e">
        <f ref="AD39" si="52" t="shared">S39-H39</f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0</v>
      </c>
      <c r="N41" s="18">
        <f>N28/$U$28</f>
        <v>0</v>
      </c>
      <c r="O41" s="18">
        <f>O28/$U$28</f>
        <v>0</v>
      </c>
      <c r="P41" s="18">
        <f>P28/$U$28</f>
        <v>0</v>
      </c>
      <c r="Q41" s="18">
        <f ref="Q41:S41" si="54" t="shared">Q28/$U$28</f>
        <v>0.13270747614855274</v>
      </c>
      <c r="R41" s="18">
        <f si="54" t="shared"/>
        <v>3.4337100454569953E-2</v>
      </c>
      <c r="S41" s="18">
        <f si="54" t="shared"/>
        <v>0.83295542339687734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18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topLeftCell="A5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43</v>
      </c>
    </row>
    <row r="2" spans="1:4" x14ac:dyDescent="0.25">
      <c r="A2" t="s">
        <v>255</v>
      </c>
      <c r="B2" t="s">
        <v>262</v>
      </c>
      <c r="C2" t="s">
        <v>92</v>
      </c>
      <c r="D2" t="s">
        <v>278</v>
      </c>
    </row>
    <row r="3" spans="1:4" x14ac:dyDescent="0.25">
      <c r="A3">
        <v>1</v>
      </c>
      <c r="B3" t="s">
        <v>46</v>
      </c>
      <c r="C3" t="s">
        <v>279</v>
      </c>
      <c r="D3" t="s">
        <v>47</v>
      </c>
    </row>
    <row r="4" spans="1:4" x14ac:dyDescent="0.25">
      <c r="A4">
        <v>2</v>
      </c>
      <c r="B4" t="s">
        <v>49</v>
      </c>
      <c r="C4" t="s">
        <v>279</v>
      </c>
      <c r="D4" t="s">
        <v>50</v>
      </c>
    </row>
    <row r="5" spans="1:4" x14ac:dyDescent="0.25">
      <c r="A5">
        <v>3</v>
      </c>
      <c r="B5" t="s">
        <v>52</v>
      </c>
      <c r="C5" t="s">
        <v>279</v>
      </c>
      <c r="D5" t="s">
        <v>53</v>
      </c>
    </row>
    <row r="6" spans="1:4" x14ac:dyDescent="0.25">
      <c r="A6">
        <v>4</v>
      </c>
      <c r="B6" t="s">
        <v>55</v>
      </c>
      <c r="C6" t="s">
        <v>279</v>
      </c>
      <c r="D6" t="s">
        <v>56</v>
      </c>
    </row>
    <row r="7" spans="1:4" x14ac:dyDescent="0.25">
      <c r="A7">
        <v>5</v>
      </c>
      <c r="B7" t="s">
        <v>58</v>
      </c>
      <c r="C7" t="s">
        <v>279</v>
      </c>
      <c r="D7" t="s">
        <v>59</v>
      </c>
    </row>
    <row r="8" spans="1:4" x14ac:dyDescent="0.25">
      <c r="A8">
        <v>6</v>
      </c>
      <c r="B8" t="s">
        <v>60</v>
      </c>
      <c r="C8" t="s">
        <v>279</v>
      </c>
      <c r="D8" t="s">
        <v>61</v>
      </c>
    </row>
    <row r="9" spans="1:4" x14ac:dyDescent="0.25">
      <c r="A9">
        <v>7</v>
      </c>
      <c r="B9" t="s">
        <v>62</v>
      </c>
      <c r="C9" t="s">
        <v>279</v>
      </c>
      <c r="D9" t="s">
        <v>63</v>
      </c>
    </row>
    <row r="10" spans="1:4" x14ac:dyDescent="0.25">
      <c r="A10">
        <v>8</v>
      </c>
      <c r="B10" t="s">
        <v>65</v>
      </c>
      <c r="C10" t="s">
        <v>279</v>
      </c>
      <c r="D10" t="s">
        <v>66</v>
      </c>
    </row>
    <row r="11" spans="1:4" x14ac:dyDescent="0.25">
      <c r="A11">
        <v>9</v>
      </c>
      <c r="B11" t="s">
        <v>67</v>
      </c>
      <c r="C11" t="s">
        <v>279</v>
      </c>
      <c r="D11" t="s">
        <v>68</v>
      </c>
    </row>
    <row r="12" spans="1:4" x14ac:dyDescent="0.25">
      <c r="A12">
        <v>10</v>
      </c>
      <c r="B12" t="s">
        <v>69</v>
      </c>
      <c r="C12" t="s">
        <v>279</v>
      </c>
      <c r="D12" t="s">
        <v>70</v>
      </c>
    </row>
    <row r="13" spans="1:4" x14ac:dyDescent="0.25">
      <c r="A13">
        <v>11</v>
      </c>
      <c r="B13" t="s">
        <v>71</v>
      </c>
      <c r="C13" t="s">
        <v>279</v>
      </c>
      <c r="D13" t="s">
        <v>72</v>
      </c>
    </row>
    <row r="14" spans="1:4" x14ac:dyDescent="0.25">
      <c r="A14">
        <v>12</v>
      </c>
      <c r="B14" t="s">
        <v>73</v>
      </c>
      <c r="C14" t="s">
        <v>279</v>
      </c>
      <c r="D14" t="s">
        <v>74</v>
      </c>
    </row>
    <row r="15" spans="1:4" x14ac:dyDescent="0.25">
      <c r="A15">
        <v>13</v>
      </c>
      <c r="B15" t="s">
        <v>75</v>
      </c>
      <c r="C15" t="s">
        <v>279</v>
      </c>
      <c r="D15" t="s">
        <v>76</v>
      </c>
    </row>
    <row r="16" spans="1:4" x14ac:dyDescent="0.25">
      <c r="A16">
        <v>14</v>
      </c>
      <c r="B16" t="s">
        <v>77</v>
      </c>
      <c r="C16" t="s">
        <v>279</v>
      </c>
      <c r="D16" t="s">
        <v>78</v>
      </c>
    </row>
    <row r="17" spans="1:4" x14ac:dyDescent="0.25">
      <c r="A17">
        <v>15</v>
      </c>
      <c r="B17" t="s">
        <v>79</v>
      </c>
      <c r="C17" t="s">
        <v>279</v>
      </c>
      <c r="D17" t="s">
        <v>80</v>
      </c>
    </row>
    <row r="18" spans="1:4" x14ac:dyDescent="0.25">
      <c r="A18">
        <v>16</v>
      </c>
      <c r="B18" t="s">
        <v>81</v>
      </c>
      <c r="C18" t="s">
        <v>279</v>
      </c>
      <c r="D18" t="s">
        <v>82</v>
      </c>
    </row>
    <row r="19" spans="1:4" x14ac:dyDescent="0.25">
      <c r="A19">
        <v>17</v>
      </c>
      <c r="B19" t="s">
        <v>84</v>
      </c>
      <c r="C19" t="s">
        <v>279</v>
      </c>
      <c r="D19" t="s">
        <v>85</v>
      </c>
    </row>
    <row r="20" spans="1:4" x14ac:dyDescent="0.25">
      <c r="A20">
        <v>18</v>
      </c>
      <c r="B20" t="s">
        <v>87</v>
      </c>
      <c r="C20" t="s">
        <v>279</v>
      </c>
      <c r="D20" t="s">
        <v>88</v>
      </c>
    </row>
    <row r="21" spans="1:4" x14ac:dyDescent="0.25">
      <c r="A21">
        <v>19</v>
      </c>
      <c r="B21" t="s">
        <v>90</v>
      </c>
      <c r="C21" t="s">
        <v>279</v>
      </c>
      <c r="D21" t="s">
        <v>91</v>
      </c>
    </row>
    <row r="22" spans="1:4" x14ac:dyDescent="0.25">
      <c r="A22">
        <v>20</v>
      </c>
      <c r="B22" t="s">
        <v>93</v>
      </c>
      <c r="C22" t="s">
        <v>89</v>
      </c>
      <c r="D22" t="s">
        <v>94</v>
      </c>
    </row>
    <row r="23" spans="1:4" x14ac:dyDescent="0.25">
      <c r="A23">
        <v>21</v>
      </c>
      <c r="B23" t="s">
        <v>95</v>
      </c>
      <c r="C23" t="s">
        <v>89</v>
      </c>
      <c r="D23" t="s">
        <v>96</v>
      </c>
    </row>
    <row r="24" spans="1:4" x14ac:dyDescent="0.25">
      <c r="A24">
        <v>22</v>
      </c>
      <c r="B24" t="s">
        <v>97</v>
      </c>
      <c r="C24" t="s">
        <v>89</v>
      </c>
      <c r="D24" t="s">
        <v>98</v>
      </c>
    </row>
    <row r="25" spans="1:4" x14ac:dyDescent="0.25">
      <c r="A25">
        <v>23</v>
      </c>
      <c r="B25" t="s">
        <v>99</v>
      </c>
      <c r="C25" t="s">
        <v>89</v>
      </c>
      <c r="D25" t="s">
        <v>100</v>
      </c>
    </row>
    <row r="26" spans="1:4" x14ac:dyDescent="0.25">
      <c r="A26">
        <v>24</v>
      </c>
      <c r="B26" t="s">
        <v>101</v>
      </c>
      <c r="C26" t="s">
        <v>89</v>
      </c>
      <c r="D26" t="s">
        <v>102</v>
      </c>
    </row>
    <row r="27" spans="1:4" x14ac:dyDescent="0.25">
      <c r="A27">
        <v>25</v>
      </c>
      <c r="B27" t="s">
        <v>104</v>
      </c>
      <c r="C27" t="s">
        <v>89</v>
      </c>
      <c r="D27" t="s">
        <v>105</v>
      </c>
    </row>
    <row r="28" spans="1:4" x14ac:dyDescent="0.25">
      <c r="A28">
        <v>26</v>
      </c>
      <c r="B28" t="s">
        <v>106</v>
      </c>
      <c r="C28" t="s">
        <v>103</v>
      </c>
      <c r="D28" t="s">
        <v>94</v>
      </c>
    </row>
    <row r="29" spans="1:4" x14ac:dyDescent="0.25">
      <c r="A29">
        <v>27</v>
      </c>
      <c r="B29" t="s">
        <v>107</v>
      </c>
      <c r="C29" t="s">
        <v>103</v>
      </c>
      <c r="D29" t="s">
        <v>96</v>
      </c>
    </row>
    <row r="30" spans="1:4" x14ac:dyDescent="0.25">
      <c r="A30">
        <v>28</v>
      </c>
      <c r="B30" t="s">
        <v>109</v>
      </c>
      <c r="C30" t="s">
        <v>103</v>
      </c>
      <c r="D30" t="s">
        <v>98</v>
      </c>
    </row>
    <row r="31" spans="1:4" x14ac:dyDescent="0.25">
      <c r="A31">
        <v>29</v>
      </c>
      <c r="B31" t="s">
        <v>110</v>
      </c>
      <c r="C31" t="s">
        <v>103</v>
      </c>
      <c r="D31" t="s">
        <v>100</v>
      </c>
    </row>
    <row r="32" spans="1:4" x14ac:dyDescent="0.25">
      <c r="A32">
        <v>30</v>
      </c>
      <c r="B32" t="s">
        <v>111</v>
      </c>
      <c r="C32" t="s">
        <v>103</v>
      </c>
      <c r="D32" t="s">
        <v>112</v>
      </c>
    </row>
    <row r="33" spans="1:4" x14ac:dyDescent="0.25">
      <c r="A33">
        <v>31</v>
      </c>
      <c r="B33" t="s">
        <v>113</v>
      </c>
      <c r="C33" t="s">
        <v>103</v>
      </c>
      <c r="D33" t="s">
        <v>114</v>
      </c>
    </row>
    <row r="34" spans="1:4" x14ac:dyDescent="0.25">
      <c r="A34">
        <v>32</v>
      </c>
      <c r="B34" t="s">
        <v>115</v>
      </c>
      <c r="C34" t="s">
        <v>103</v>
      </c>
      <c r="D34" t="s">
        <v>116</v>
      </c>
    </row>
    <row r="35" spans="1:4" x14ac:dyDescent="0.25">
      <c r="A35">
        <v>33</v>
      </c>
      <c r="B35" t="s">
        <v>117</v>
      </c>
      <c r="C35" t="s">
        <v>103</v>
      </c>
      <c r="D35" t="s">
        <v>118</v>
      </c>
    </row>
    <row r="36" spans="1:4" x14ac:dyDescent="0.25">
      <c r="A36">
        <v>34</v>
      </c>
      <c r="B36" t="s">
        <v>119</v>
      </c>
      <c r="C36" t="s">
        <v>103</v>
      </c>
      <c r="D36" t="s">
        <v>120</v>
      </c>
    </row>
    <row r="37" spans="1:4" x14ac:dyDescent="0.25">
      <c r="A37">
        <v>35</v>
      </c>
      <c r="B37" t="s">
        <v>122</v>
      </c>
      <c r="C37" t="s">
        <v>103</v>
      </c>
      <c r="D37" t="s">
        <v>123</v>
      </c>
    </row>
    <row r="38" spans="1:4" x14ac:dyDescent="0.25">
      <c r="A38">
        <v>36</v>
      </c>
      <c r="B38" t="s">
        <v>124</v>
      </c>
      <c r="C38" t="s">
        <v>121</v>
      </c>
      <c r="D38" t="s">
        <v>94</v>
      </c>
    </row>
    <row r="39" spans="1:4" x14ac:dyDescent="0.25">
      <c r="A39">
        <v>37</v>
      </c>
      <c r="B39" t="s">
        <v>125</v>
      </c>
      <c r="C39" t="s">
        <v>121</v>
      </c>
      <c r="D39" t="s">
        <v>96</v>
      </c>
    </row>
    <row r="40" spans="1:4" x14ac:dyDescent="0.25">
      <c r="A40">
        <v>38</v>
      </c>
      <c r="B40" t="s">
        <v>127</v>
      </c>
      <c r="C40" t="s">
        <v>121</v>
      </c>
      <c r="D40" t="s">
        <v>98</v>
      </c>
    </row>
    <row r="41" spans="1:4" x14ac:dyDescent="0.25">
      <c r="A41">
        <v>39</v>
      </c>
      <c r="B41" t="s">
        <v>128</v>
      </c>
      <c r="C41" t="s">
        <v>121</v>
      </c>
      <c r="D41" t="s">
        <v>100</v>
      </c>
    </row>
    <row r="42" spans="1:4" x14ac:dyDescent="0.25">
      <c r="A42">
        <v>40</v>
      </c>
      <c r="B42" t="s">
        <v>129</v>
      </c>
      <c r="C42" t="s">
        <v>121</v>
      </c>
      <c r="D42" t="s">
        <v>112</v>
      </c>
    </row>
    <row r="43" spans="1:4" x14ac:dyDescent="0.25">
      <c r="A43">
        <v>41</v>
      </c>
      <c r="B43" t="s">
        <v>130</v>
      </c>
      <c r="C43" t="s">
        <v>121</v>
      </c>
      <c r="D43" t="s">
        <v>114</v>
      </c>
    </row>
    <row r="44" spans="1:4" x14ac:dyDescent="0.25">
      <c r="A44">
        <v>42</v>
      </c>
      <c r="B44" t="s">
        <v>132</v>
      </c>
      <c r="C44" t="s">
        <v>121</v>
      </c>
      <c r="D44" t="s">
        <v>133</v>
      </c>
    </row>
    <row r="45" spans="1:4" x14ac:dyDescent="0.25">
      <c r="A45">
        <v>43</v>
      </c>
      <c r="B45" t="s">
        <v>134</v>
      </c>
      <c r="C45" t="s">
        <v>131</v>
      </c>
      <c r="D45" t="s">
        <v>94</v>
      </c>
    </row>
    <row r="46" spans="1:4" x14ac:dyDescent="0.25">
      <c r="A46">
        <v>44</v>
      </c>
      <c r="B46" t="s">
        <v>135</v>
      </c>
      <c r="C46" t="s">
        <v>131</v>
      </c>
      <c r="D46" t="s">
        <v>136</v>
      </c>
    </row>
    <row r="47" spans="1:4" x14ac:dyDescent="0.25">
      <c r="A47">
        <v>45</v>
      </c>
      <c r="B47" t="s">
        <v>137</v>
      </c>
      <c r="C47" t="s">
        <v>131</v>
      </c>
      <c r="D47" t="s">
        <v>138</v>
      </c>
    </row>
    <row r="48" spans="1:4" x14ac:dyDescent="0.25">
      <c r="A48">
        <v>46</v>
      </c>
      <c r="B48" t="s">
        <v>139</v>
      </c>
      <c r="C48" t="s">
        <v>131</v>
      </c>
      <c r="D48" t="s">
        <v>140</v>
      </c>
    </row>
    <row r="49" spans="1:4" x14ac:dyDescent="0.25">
      <c r="A49">
        <v>47</v>
      </c>
      <c r="B49" t="s">
        <v>141</v>
      </c>
      <c r="C49" t="s">
        <v>131</v>
      </c>
      <c r="D49" t="s">
        <v>142</v>
      </c>
    </row>
    <row r="50" spans="1:4" x14ac:dyDescent="0.25">
      <c r="A50">
        <v>48</v>
      </c>
      <c r="B50" t="s">
        <v>144</v>
      </c>
      <c r="C50" t="s">
        <v>131</v>
      </c>
      <c r="D50" t="s">
        <v>145</v>
      </c>
    </row>
    <row r="51" spans="1:4" x14ac:dyDescent="0.25">
      <c r="A51">
        <v>49</v>
      </c>
      <c r="B51" t="s">
        <v>146</v>
      </c>
      <c r="C51" t="s">
        <v>143</v>
      </c>
      <c r="D51" t="s">
        <v>94</v>
      </c>
    </row>
    <row r="52" spans="1:4" x14ac:dyDescent="0.25">
      <c r="A52">
        <v>50</v>
      </c>
      <c r="B52" t="s">
        <v>147</v>
      </c>
      <c r="C52" t="s">
        <v>143</v>
      </c>
      <c r="D52" t="s">
        <v>96</v>
      </c>
    </row>
    <row r="53" spans="1:4" x14ac:dyDescent="0.25">
      <c r="A53">
        <v>51</v>
      </c>
      <c r="B53" t="s">
        <v>148</v>
      </c>
      <c r="C53" t="s">
        <v>143</v>
      </c>
      <c r="D53" t="s">
        <v>98</v>
      </c>
    </row>
    <row r="54" spans="1:4" x14ac:dyDescent="0.25">
      <c r="A54">
        <v>52</v>
      </c>
      <c r="B54" t="s">
        <v>149</v>
      </c>
      <c r="C54" t="s">
        <v>143</v>
      </c>
      <c r="D54" t="s">
        <v>100</v>
      </c>
    </row>
    <row r="55" spans="1:4" x14ac:dyDescent="0.25">
      <c r="A55">
        <v>53</v>
      </c>
      <c r="B55" t="s">
        <v>150</v>
      </c>
      <c r="C55" t="s">
        <v>143</v>
      </c>
      <c r="D55" t="s">
        <v>112</v>
      </c>
    </row>
    <row r="56" spans="1:4" x14ac:dyDescent="0.25">
      <c r="A56">
        <v>54</v>
      </c>
      <c r="B56" t="s">
        <v>151</v>
      </c>
      <c r="C56" t="s">
        <v>143</v>
      </c>
      <c r="D56" t="s">
        <v>152</v>
      </c>
    </row>
    <row r="57" spans="1:4" x14ac:dyDescent="0.25">
      <c r="A57">
        <v>55</v>
      </c>
      <c r="B57" t="s">
        <v>153</v>
      </c>
      <c r="C57" t="s">
        <v>143</v>
      </c>
      <c r="D57" t="s">
        <v>116</v>
      </c>
    </row>
    <row r="58" spans="1:4" x14ac:dyDescent="0.25">
      <c r="A58">
        <v>56</v>
      </c>
      <c r="B58" t="s">
        <v>154</v>
      </c>
      <c r="C58" t="s">
        <v>143</v>
      </c>
      <c r="D58" t="s">
        <v>120</v>
      </c>
    </row>
    <row r="59" spans="1:4" x14ac:dyDescent="0.25">
      <c r="A59">
        <v>57</v>
      </c>
      <c r="B59" t="s">
        <v>155</v>
      </c>
      <c r="C59" t="s">
        <v>143</v>
      </c>
      <c r="D59" t="s">
        <v>123</v>
      </c>
    </row>
    <row r="60" spans="1:4" x14ac:dyDescent="0.25">
      <c r="A60">
        <v>118</v>
      </c>
      <c r="B60" t="s">
        <v>280</v>
      </c>
    </row>
    <row r="61" spans="1:4" x14ac:dyDescent="0.25">
      <c r="A61">
        <v>70</v>
      </c>
      <c r="B61" t="s">
        <v>156</v>
      </c>
      <c r="C61" t="s">
        <v>89</v>
      </c>
    </row>
    <row r="62" spans="1:4" x14ac:dyDescent="0.25">
      <c r="A62">
        <v>71</v>
      </c>
      <c r="B62" t="s">
        <v>157</v>
      </c>
      <c r="C62" t="s">
        <v>89</v>
      </c>
      <c r="D62" t="s">
        <v>158</v>
      </c>
    </row>
    <row r="63" spans="1:4" x14ac:dyDescent="0.25">
      <c r="A63">
        <v>72</v>
      </c>
      <c r="B63" t="s">
        <v>159</v>
      </c>
      <c r="C63" t="s">
        <v>89</v>
      </c>
      <c r="D63" t="s">
        <v>160</v>
      </c>
    </row>
    <row r="64" spans="1:4" x14ac:dyDescent="0.25">
      <c r="A64">
        <v>73</v>
      </c>
      <c r="B64" t="s">
        <v>161</v>
      </c>
      <c r="C64" t="s">
        <v>89</v>
      </c>
      <c r="D64" t="s">
        <v>162</v>
      </c>
    </row>
    <row r="65" spans="1:4" x14ac:dyDescent="0.25">
      <c r="A65">
        <v>74</v>
      </c>
      <c r="B65" t="s">
        <v>163</v>
      </c>
      <c r="C65" t="s">
        <v>89</v>
      </c>
      <c r="D65" t="s">
        <v>164</v>
      </c>
    </row>
    <row r="66" spans="1:4" x14ac:dyDescent="0.25">
      <c r="A66">
        <v>75</v>
      </c>
      <c r="B66" t="s">
        <v>165</v>
      </c>
      <c r="C66" t="s">
        <v>89</v>
      </c>
      <c r="D66" t="s">
        <v>166</v>
      </c>
    </row>
    <row r="67" spans="1:4" x14ac:dyDescent="0.25">
      <c r="A67">
        <v>76</v>
      </c>
      <c r="B67" t="s">
        <v>167</v>
      </c>
      <c r="C67" t="s">
        <v>89</v>
      </c>
      <c r="D67" t="s">
        <v>168</v>
      </c>
    </row>
    <row r="68" spans="1:4" x14ac:dyDescent="0.25">
      <c r="A68">
        <v>77</v>
      </c>
      <c r="B68" t="s">
        <v>169</v>
      </c>
      <c r="C68" t="s">
        <v>89</v>
      </c>
      <c r="D68" t="s">
        <v>170</v>
      </c>
    </row>
    <row r="69" spans="1:4" x14ac:dyDescent="0.25">
      <c r="A69">
        <v>78</v>
      </c>
      <c r="B69" t="s">
        <v>171</v>
      </c>
      <c r="C69" t="s">
        <v>89</v>
      </c>
      <c r="D69" t="s">
        <v>172</v>
      </c>
    </row>
    <row r="70" spans="1:4" x14ac:dyDescent="0.25">
      <c r="A70">
        <v>79</v>
      </c>
      <c r="B70" t="s">
        <v>173</v>
      </c>
      <c r="C70" t="s">
        <v>89</v>
      </c>
      <c r="D70" t="s">
        <v>174</v>
      </c>
    </row>
    <row r="71" spans="1:4" x14ac:dyDescent="0.25">
      <c r="A71">
        <v>80</v>
      </c>
      <c r="B71" t="s">
        <v>175</v>
      </c>
      <c r="C71" t="s">
        <v>89</v>
      </c>
      <c r="D71" t="s">
        <v>176</v>
      </c>
    </row>
    <row r="72" spans="1:4" x14ac:dyDescent="0.25">
      <c r="A72">
        <v>81</v>
      </c>
      <c r="B72" t="s">
        <v>177</v>
      </c>
      <c r="C72" t="s">
        <v>89</v>
      </c>
      <c r="D72" t="s">
        <v>178</v>
      </c>
    </row>
    <row r="73" spans="1:4" x14ac:dyDescent="0.25">
      <c r="A73">
        <v>82</v>
      </c>
      <c r="B73" t="s">
        <v>179</v>
      </c>
      <c r="C73" t="s">
        <v>89</v>
      </c>
      <c r="D73" t="s">
        <v>178</v>
      </c>
    </row>
    <row r="74" spans="1:4" x14ac:dyDescent="0.25">
      <c r="A74">
        <v>83</v>
      </c>
      <c r="B74" t="s">
        <v>180</v>
      </c>
      <c r="C74" t="s">
        <v>89</v>
      </c>
      <c r="D74" t="s">
        <v>181</v>
      </c>
    </row>
    <row r="75" spans="1:4" x14ac:dyDescent="0.25">
      <c r="A75">
        <v>84</v>
      </c>
      <c r="B75" t="s">
        <v>182</v>
      </c>
      <c r="C75" t="s">
        <v>89</v>
      </c>
      <c r="D75" t="s">
        <v>183</v>
      </c>
    </row>
    <row r="76" spans="1:4" x14ac:dyDescent="0.25">
      <c r="A76">
        <v>85</v>
      </c>
      <c r="B76" t="s">
        <v>184</v>
      </c>
      <c r="C76" t="s">
        <v>89</v>
      </c>
      <c r="D76" t="s">
        <v>185</v>
      </c>
    </row>
    <row r="77" spans="1:4" x14ac:dyDescent="0.25">
      <c r="A77">
        <v>86</v>
      </c>
      <c r="B77" t="s">
        <v>186</v>
      </c>
      <c r="C77" t="s">
        <v>89</v>
      </c>
      <c r="D77" t="s">
        <v>187</v>
      </c>
    </row>
    <row r="78" spans="1:4" x14ac:dyDescent="0.25">
      <c r="A78">
        <v>87</v>
      </c>
      <c r="B78" t="s">
        <v>188</v>
      </c>
      <c r="C78" t="s">
        <v>89</v>
      </c>
      <c r="D78" t="s">
        <v>189</v>
      </c>
    </row>
    <row r="79" spans="1:4" x14ac:dyDescent="0.25">
      <c r="A79">
        <v>88</v>
      </c>
      <c r="B79" t="s">
        <v>190</v>
      </c>
      <c r="C79" t="s">
        <v>89</v>
      </c>
      <c r="D79" t="s">
        <v>191</v>
      </c>
    </row>
    <row r="80" spans="1:4" x14ac:dyDescent="0.25">
      <c r="A80">
        <v>89</v>
      </c>
      <c r="B80" t="s">
        <v>192</v>
      </c>
      <c r="C80" t="s">
        <v>103</v>
      </c>
      <c r="D80" t="s">
        <v>193</v>
      </c>
    </row>
    <row r="81" spans="1:4" x14ac:dyDescent="0.25">
      <c r="A81">
        <v>90</v>
      </c>
      <c r="B81" t="s">
        <v>194</v>
      </c>
      <c r="C81" t="s">
        <v>103</v>
      </c>
      <c r="D81" t="s">
        <v>195</v>
      </c>
    </row>
    <row r="82" spans="1:4" x14ac:dyDescent="0.25">
      <c r="A82">
        <v>91</v>
      </c>
      <c r="B82" t="s">
        <v>196</v>
      </c>
      <c r="C82" t="s">
        <v>103</v>
      </c>
      <c r="D82" t="s">
        <v>197</v>
      </c>
    </row>
    <row r="83" spans="1:4" x14ac:dyDescent="0.25">
      <c r="A83">
        <v>92</v>
      </c>
      <c r="B83" t="s">
        <v>198</v>
      </c>
      <c r="C83" t="s">
        <v>103</v>
      </c>
      <c r="D83" t="s">
        <v>199</v>
      </c>
    </row>
    <row r="84" spans="1:4" x14ac:dyDescent="0.25">
      <c r="A84">
        <v>93</v>
      </c>
      <c r="B84" t="s">
        <v>200</v>
      </c>
      <c r="C84" t="s">
        <v>103</v>
      </c>
      <c r="D84" t="s">
        <v>201</v>
      </c>
    </row>
    <row r="85" spans="1:4" x14ac:dyDescent="0.25">
      <c r="A85">
        <v>94</v>
      </c>
      <c r="B85" t="s">
        <v>202</v>
      </c>
      <c r="C85" t="s">
        <v>103</v>
      </c>
      <c r="D85" t="s">
        <v>203</v>
      </c>
    </row>
    <row r="86" spans="1:4" x14ac:dyDescent="0.25">
      <c r="A86">
        <v>95</v>
      </c>
      <c r="B86" t="s">
        <v>204</v>
      </c>
      <c r="C86" t="s">
        <v>103</v>
      </c>
      <c r="D86" t="s">
        <v>205</v>
      </c>
    </row>
    <row r="87" spans="1:4" x14ac:dyDescent="0.25">
      <c r="A87">
        <v>96</v>
      </c>
      <c r="B87" t="s">
        <v>206</v>
      </c>
      <c r="C87" t="s">
        <v>103</v>
      </c>
      <c r="D87" t="s">
        <v>207</v>
      </c>
    </row>
    <row r="88" spans="1:4" x14ac:dyDescent="0.25">
      <c r="A88">
        <v>97</v>
      </c>
      <c r="B88" t="s">
        <v>208</v>
      </c>
      <c r="C88" t="s">
        <v>103</v>
      </c>
      <c r="D88" t="s">
        <v>209</v>
      </c>
    </row>
    <row r="89" spans="1:4" x14ac:dyDescent="0.25">
      <c r="A89">
        <v>98</v>
      </c>
      <c r="B89" t="s">
        <v>210</v>
      </c>
      <c r="C89" t="s">
        <v>121</v>
      </c>
      <c r="D89" t="s">
        <v>195</v>
      </c>
    </row>
    <row r="90" spans="1:4" x14ac:dyDescent="0.25">
      <c r="A90">
        <v>99</v>
      </c>
      <c r="B90" t="s">
        <v>211</v>
      </c>
      <c r="C90" t="s">
        <v>121</v>
      </c>
      <c r="D90" t="s">
        <v>197</v>
      </c>
    </row>
    <row r="91" spans="1:4" x14ac:dyDescent="0.25">
      <c r="A91">
        <v>100</v>
      </c>
      <c r="B91" t="s">
        <v>212</v>
      </c>
      <c r="C91" t="s">
        <v>121</v>
      </c>
      <c r="D91" t="s">
        <v>199</v>
      </c>
    </row>
    <row r="92" spans="1:4" x14ac:dyDescent="0.25">
      <c r="A92">
        <v>101</v>
      </c>
      <c r="B92" t="s">
        <v>213</v>
      </c>
      <c r="C92" t="s">
        <v>121</v>
      </c>
      <c r="D92" t="s">
        <v>201</v>
      </c>
    </row>
    <row r="93" spans="1:4" x14ac:dyDescent="0.25">
      <c r="A93">
        <v>102</v>
      </c>
      <c r="B93" t="s">
        <v>214</v>
      </c>
      <c r="C93" t="s">
        <v>131</v>
      </c>
      <c r="D93" t="s">
        <v>195</v>
      </c>
    </row>
    <row r="94" spans="1:4" x14ac:dyDescent="0.25">
      <c r="A94">
        <v>103</v>
      </c>
      <c r="B94" t="s">
        <v>215</v>
      </c>
      <c r="C94" t="s">
        <v>131</v>
      </c>
      <c r="D94" t="s">
        <v>197</v>
      </c>
    </row>
    <row r="95" spans="1:4" x14ac:dyDescent="0.25">
      <c r="A95">
        <v>104</v>
      </c>
      <c r="B95" t="s">
        <v>216</v>
      </c>
      <c r="C95" t="s">
        <v>131</v>
      </c>
      <c r="D95" t="s">
        <v>199</v>
      </c>
    </row>
    <row r="96" spans="1:4" x14ac:dyDescent="0.25">
      <c r="A96">
        <v>105</v>
      </c>
      <c r="B96" t="s">
        <v>217</v>
      </c>
      <c r="C96" t="s">
        <v>131</v>
      </c>
      <c r="D96" t="s">
        <v>201</v>
      </c>
    </row>
    <row r="97" spans="1:4" x14ac:dyDescent="0.25">
      <c r="A97">
        <v>106</v>
      </c>
      <c r="B97" t="s">
        <v>218</v>
      </c>
      <c r="C97" t="s">
        <v>143</v>
      </c>
      <c r="D97" t="s">
        <v>195</v>
      </c>
    </row>
    <row r="98" spans="1:4" x14ac:dyDescent="0.25">
      <c r="A98">
        <v>107</v>
      </c>
      <c r="B98" t="s">
        <v>219</v>
      </c>
      <c r="C98" t="s">
        <v>143</v>
      </c>
      <c r="D98" t="s">
        <v>220</v>
      </c>
    </row>
    <row r="99" spans="1:4" x14ac:dyDescent="0.25">
      <c r="A99">
        <v>108</v>
      </c>
      <c r="B99" t="s">
        <v>221</v>
      </c>
      <c r="C99" t="s">
        <v>143</v>
      </c>
      <c r="D99" t="s">
        <v>197</v>
      </c>
    </row>
    <row r="100" spans="1:4" x14ac:dyDescent="0.25">
      <c r="A100">
        <v>109</v>
      </c>
      <c r="B100" t="s">
        <v>222</v>
      </c>
      <c r="C100" t="s">
        <v>143</v>
      </c>
      <c r="D100" t="s">
        <v>199</v>
      </c>
    </row>
    <row r="101" spans="1:4" x14ac:dyDescent="0.25">
      <c r="A101">
        <v>110</v>
      </c>
      <c r="B101" t="s">
        <v>223</v>
      </c>
      <c r="C101" t="s">
        <v>143</v>
      </c>
      <c r="D101" t="s">
        <v>201</v>
      </c>
    </row>
    <row r="102" spans="1:4" x14ac:dyDescent="0.25">
      <c r="A102">
        <v>111</v>
      </c>
      <c r="B102" t="s">
        <v>224</v>
      </c>
      <c r="C102" t="s">
        <v>143</v>
      </c>
      <c r="D102" t="s">
        <v>207</v>
      </c>
    </row>
    <row r="103" spans="1:4" x14ac:dyDescent="0.25">
      <c r="A103">
        <v>112</v>
      </c>
      <c r="B103" t="s">
        <v>225</v>
      </c>
      <c r="C103" t="s">
        <v>143</v>
      </c>
      <c r="D103" t="s">
        <v>226</v>
      </c>
    </row>
    <row r="104" spans="1:4" x14ac:dyDescent="0.25">
      <c r="A104">
        <v>113</v>
      </c>
      <c r="B104" t="s">
        <v>227</v>
      </c>
      <c r="C104" t="s">
        <v>143</v>
      </c>
      <c r="D104" t="s">
        <v>209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2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233</v>
      </c>
      <c r="B8" t="s">
        <v>234</v>
      </c>
      <c r="C8" t="s">
        <v>235</v>
      </c>
      <c r="D8" t="s">
        <v>282</v>
      </c>
    </row>
    <row r="9" spans="1:11" x14ac:dyDescent="0.2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25">
      <c r="A10" t="s">
        <v>241</v>
      </c>
    </row>
    <row r="11" spans="1:11" x14ac:dyDescent="0.2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2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2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2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2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2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2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2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2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2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2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2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2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2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2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2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2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2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2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2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2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Y104"/>
  <sheetViews>
    <sheetView tabSelected="1" topLeftCell="F1" workbookViewId="0">
      <selection activeCell="T18" sqref="T18"/>
    </sheetView>
  </sheetViews>
  <sheetFormatPr defaultColWidth="9.140625"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ht="15.75" r="2" spans="3:24" thickBot="1" x14ac:dyDescent="0.3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2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25">
      <c r="C4" s="302" t="s">
        <v>48</v>
      </c>
      <c r="D4" s="303">
        <f>TLFD!B11</f>
        <v>16604.983463742199</v>
      </c>
      <c r="F4" s="302" t="s">
        <v>48</v>
      </c>
      <c r="G4" s="303">
        <f>TLFD!F11</f>
        <v>86426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25">
      <c r="C5" s="305" t="s">
        <v>51</v>
      </c>
      <c r="D5" s="306">
        <f>TLFD!B12+TLFD!B13+(TLFD!B14/2)</f>
        <v>98937.578030146498</v>
      </c>
      <c r="F5" s="305" t="s">
        <v>51</v>
      </c>
      <c r="G5" s="306">
        <f>TLFD!F12+TLFD!F13+(TLFD!F14/2)</f>
        <v>123031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25">
      <c r="C6" s="305" t="s">
        <v>54</v>
      </c>
      <c r="D6" s="306">
        <f>(TLFD!B14/2)+SUM(TLFD!B15:B20)</f>
        <v>439265.02514850983</v>
      </c>
      <c r="F6" s="305" t="s">
        <v>54</v>
      </c>
      <c r="G6" s="306">
        <f>(TLFD!F14/2)+SUM(TLFD!F15:F20)</f>
        <v>285933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si="0" t="shared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25">
      <c r="C7" s="308" t="s">
        <v>57</v>
      </c>
      <c r="D7" s="309">
        <f>SUM(TLFD!B21:B101)</f>
        <v>77992.653379868687</v>
      </c>
      <c r="F7" s="308" t="s">
        <v>57</v>
      </c>
      <c r="G7" s="309">
        <f>SUM(TLFD!F21:F101)</f>
        <v>61507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si="0" t="shared"/>
        <v>-0.34490013167299999</v>
      </c>
      <c r="T7" s="321">
        <v>5</v>
      </c>
      <c r="U7" s="321" t="s">
        <v>270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632800.24002226721</v>
      </c>
      <c r="E8" s="313"/>
      <c r="F8" s="311" t="s">
        <v>4</v>
      </c>
      <c r="G8" s="312">
        <f>SUM(G4:G7)</f>
        <v>556897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si="0" t="shared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si="0" t="shared"/>
        <v>-3.9895313632499998</v>
      </c>
      <c r="T9" s="321"/>
      <c r="U9" s="365" t="s">
        <v>271</v>
      </c>
      <c r="V9" s="321"/>
      <c r="W9" s="321"/>
      <c r="X9" s="321"/>
    </row>
    <row ht="15.75" r="10" spans="3:24" thickBot="1" x14ac:dyDescent="0.3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si="0" t="shared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2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si="0" t="shared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25">
      <c r="C12" s="302" t="s">
        <v>48</v>
      </c>
      <c r="D12" s="316">
        <f>D4/D$8</f>
        <v>2.6240482246273952E-2</v>
      </c>
      <c r="F12" s="302" t="s">
        <v>48</v>
      </c>
      <c r="G12" s="316">
        <f>G4/G$8</f>
        <v>0.15519207322000297</v>
      </c>
      <c r="H12" s="316"/>
      <c r="I12" s="356">
        <f>D12/G12</f>
        <v>0.16908390810060892</v>
      </c>
      <c r="J12" s="357">
        <f>LN(I12)</f>
        <v>-1.7773601896364941</v>
      </c>
      <c r="K12" s="357">
        <f>K8*J12</f>
        <v>-1.7773601896364941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si="0" t="shared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25">
      <c r="C13" s="305" t="s">
        <v>51</v>
      </c>
      <c r="D13" s="317">
        <f ref="D13:D16" si="1" t="shared">D5/D$8</f>
        <v>0.15634883138897837</v>
      </c>
      <c r="F13" s="305" t="s">
        <v>51</v>
      </c>
      <c r="G13" s="317">
        <f ref="G13:G16" si="2" t="shared">G5/G$8</f>
        <v>0.22092236086744946</v>
      </c>
      <c r="H13" s="317"/>
      <c r="I13" s="356">
        <f ref="I13:I15" si="3" t="shared">D13/G13</f>
        <v>0.70770939969623825</v>
      </c>
      <c r="J13" s="357">
        <f ref="J13:J15" si="4" t="shared">LN(I13)</f>
        <v>-0.34572172195350631</v>
      </c>
      <c r="K13" s="357">
        <f>K8*(J13-J12)</f>
        <v>1.4316384676829879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si="0" t="shared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25">
      <c r="C14" s="305" t="s">
        <v>54</v>
      </c>
      <c r="D14" s="317">
        <f si="1" t="shared"/>
        <v>0.69416064875868699</v>
      </c>
      <c r="F14" s="305" t="s">
        <v>54</v>
      </c>
      <c r="G14" s="317">
        <f si="2" t="shared"/>
        <v>0.51343964862443148</v>
      </c>
      <c r="H14" s="317"/>
      <c r="I14" s="356">
        <f si="3" t="shared"/>
        <v>1.3519809983869175</v>
      </c>
      <c r="J14" s="357">
        <f si="4" t="shared"/>
        <v>0.30157092307446148</v>
      </c>
      <c r="K14" s="357">
        <f>K8*(J14-J13-J12)</f>
        <v>2.424652834664462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si="0" t="shared"/>
        <v>-0.80534348065299999</v>
      </c>
      <c r="T14" s="321">
        <v>5</v>
      </c>
      <c r="U14" s="294" t="s">
        <v>275</v>
      </c>
      <c r="V14" s="321"/>
      <c r="W14" s="321"/>
      <c r="X14" s="321"/>
    </row>
    <row ht="15.75" r="15" spans="3:24" thickBot="1" x14ac:dyDescent="0.3">
      <c r="C15" s="308" t="s">
        <v>57</v>
      </c>
      <c r="D15" s="317">
        <f si="1" t="shared"/>
        <v>0.12325003760606072</v>
      </c>
      <c r="F15" s="308" t="s">
        <v>57</v>
      </c>
      <c r="G15" s="317">
        <f si="2" t="shared"/>
        <v>0.11044591728811612</v>
      </c>
      <c r="H15" s="317"/>
      <c r="I15" s="358">
        <f si="3" t="shared"/>
        <v>1.115931132923121</v>
      </c>
      <c r="J15" s="359">
        <f si="4" t="shared"/>
        <v>0.10968915320479973</v>
      </c>
      <c r="K15" s="359">
        <f>K8*(J15-J14-J13-J12)</f>
        <v>1.9312001417203386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si="0" t="shared"/>
        <v>-0.51977799879300002</v>
      </c>
      <c r="T15" s="321">
        <v>6</v>
      </c>
      <c r="U15" s="321" t="s">
        <v>276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si="0" t="shared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si="0" t="shared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si="0" t="shared"/>
        <v>-0.493022087256</v>
      </c>
    </row>
    <row r="19" spans="2:24" x14ac:dyDescent="0.2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si="0" t="shared"/>
        <v>0.63771148688699997</v>
      </c>
    </row>
    <row r="23" spans="2:24" x14ac:dyDescent="0.2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si="0" t="shared"/>
        <v>-12.0946718381</v>
      </c>
    </row>
    <row r="24" spans="2:24" x14ac:dyDescent="0.25">
      <c r="B24" s="346">
        <v>38</v>
      </c>
      <c r="C24" s="305" t="s">
        <v>51</v>
      </c>
      <c r="D24" s="376">
        <f ref="D24:D26" si="5" t="shared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si="0" t="shared"/>
        <v>-4.03623745316</v>
      </c>
    </row>
    <row r="25" spans="2:24" x14ac:dyDescent="0.25">
      <c r="B25" s="346">
        <v>39</v>
      </c>
      <c r="C25" s="305" t="s">
        <v>54</v>
      </c>
      <c r="D25" s="376">
        <f si="5" t="shared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si="0" t="shared"/>
        <v>-2.16371815818</v>
      </c>
    </row>
    <row ht="15.75" r="26" spans="2:24" thickBot="1" x14ac:dyDescent="0.3">
      <c r="B26" s="347">
        <v>40</v>
      </c>
      <c r="C26" s="325" t="s">
        <v>57</v>
      </c>
      <c r="D26" s="377">
        <f si="5" t="shared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si="0" t="shared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si="0" t="shared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si="0" t="shared"/>
        <v>0.417326479157</v>
      </c>
    </row>
    <row r="29" spans="2:24" x14ac:dyDescent="0.2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si="0" t="shared"/>
        <v>-14.8384910501</v>
      </c>
    </row>
    <row r="30" spans="2:24" x14ac:dyDescent="0.2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si="0" t="shared"/>
        <v>-5.1880432348000003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si="0" t="shared"/>
        <v>-2.6156308707</v>
      </c>
    </row>
    <row r="32" spans="2:24" x14ac:dyDescent="0.2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si="0" t="shared"/>
        <v>-0.91046169190000004</v>
      </c>
    </row>
    <row r="33" spans="2:18" x14ac:dyDescent="0.25">
      <c r="B33" s="346">
        <f>B23</f>
        <v>37</v>
      </c>
      <c r="C33" s="302" t="s">
        <v>48</v>
      </c>
      <c r="D33" s="378">
        <f>K12</f>
        <v>-1.7773601896364941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si="0" t="shared"/>
        <v>5.7553461640599997E-2</v>
      </c>
    </row>
    <row r="34" spans="2:18" x14ac:dyDescent="0.25">
      <c r="B34" s="346">
        <f ref="B34:B36" si="6" t="shared">B24</f>
        <v>38</v>
      </c>
      <c r="C34" s="305" t="s">
        <v>51</v>
      </c>
      <c r="D34" s="379">
        <f ref="D34:D36" si="7" t="shared">K13</f>
        <v>1.4316384676829879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si="0" t="shared"/>
        <v>0.237798002151</v>
      </c>
    </row>
    <row r="35" spans="2:18" x14ac:dyDescent="0.25">
      <c r="B35" s="346">
        <f si="6" t="shared"/>
        <v>39</v>
      </c>
      <c r="C35" s="305" t="s">
        <v>54</v>
      </c>
      <c r="D35" s="379">
        <f si="7" t="shared"/>
        <v>2.424652834664462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si="0" t="shared"/>
        <v>0</v>
      </c>
    </row>
    <row ht="15.75" r="36" spans="2:18" thickBot="1" x14ac:dyDescent="0.3">
      <c r="B36" s="348">
        <f si="6" t="shared"/>
        <v>40</v>
      </c>
      <c r="C36" s="325" t="s">
        <v>57</v>
      </c>
      <c r="D36" s="326">
        <f si="7" t="shared"/>
        <v>1.9312001417203386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si="0" t="shared"/>
        <v>0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si="0" t="shared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si="0" t="shared"/>
        <v>0.61259135262599995</v>
      </c>
    </row>
    <row r="39" spans="2:18" x14ac:dyDescent="0.2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si="0" t="shared"/>
        <v>-22.587588578336494</v>
      </c>
      <c r="R39" s="296" t="str">
        <f>VLOOKUP(N39,Coeff_Descr!$A$2:$E$104,4,FALSE)</f>
        <v>distanceFromOrigin4</v>
      </c>
    </row>
    <row r="40" spans="2:18" x14ac:dyDescent="0.2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si="0" t="shared"/>
        <v>-5.7519988795470125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si="0" t="shared"/>
        <v>-1.2354447043855381</v>
      </c>
      <c r="R41" s="296" t="str">
        <f>VLOOKUP(N41,Coeff_Descr!$A$2:$E$104,4,FALSE)</f>
        <v>distanceFromOrigin9</v>
      </c>
    </row>
    <row r="42" spans="2:18" x14ac:dyDescent="0.2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si="0" t="shared"/>
        <v>0.5706544143603387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48</v>
      </c>
      <c r="D43" s="380">
        <f>D23+D33</f>
        <v>-22.587588578336494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si="0" t="shared"/>
        <v>-0.22141031751900001</v>
      </c>
    </row>
    <row r="44" spans="2:18" x14ac:dyDescent="0.25">
      <c r="B44" s="346">
        <f ref="B44:B46" si="8" t="shared">B34</f>
        <v>38</v>
      </c>
      <c r="C44" s="305" t="s">
        <v>51</v>
      </c>
      <c r="D44" s="380">
        <f ref="D44:D46" si="9" t="shared">D24+D34</f>
        <v>-5.7519988795470125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si="0" t="shared"/>
        <v>0.64228876129599999</v>
      </c>
    </row>
    <row r="45" spans="2:18" x14ac:dyDescent="0.25">
      <c r="B45" s="346">
        <f si="8" t="shared"/>
        <v>39</v>
      </c>
      <c r="C45" s="305" t="s">
        <v>54</v>
      </c>
      <c r="D45" s="380">
        <f si="9" t="shared"/>
        <v>-1.2354447043855381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si="0" t="shared"/>
        <v>0.74588429254199995</v>
      </c>
    </row>
    <row ht="15.75" r="46" spans="2:18" thickBot="1" x14ac:dyDescent="0.3">
      <c r="B46" s="348">
        <f si="8" t="shared"/>
        <v>40</v>
      </c>
      <c r="C46" s="325" t="s">
        <v>57</v>
      </c>
      <c r="D46" s="381">
        <f si="9" t="shared"/>
        <v>0.5706544143603387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si="0" t="shared"/>
        <v>-32.156094092099998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si="0" t="shared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si="0" t="shared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si="0" t="shared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si="0" t="shared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si="0" t="shared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si="0" t="shared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si="0" t="shared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si="0" t="shared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si="0" t="shared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si="0" t="shared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si="0" t="shared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si="0" t="shared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si="0" t="shared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si="0" t="shared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si="0" t="shared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si="0" t="shared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si="0" t="shared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si="0" t="shared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si="0" t="shared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si="0" t="shared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si="0" t="shared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si="0" t="shared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ref="Q69:Q104" si="10" t="shared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si="10" t="shared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si="10" t="shared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si="10" t="shared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si="10" t="shared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si="10" t="shared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si="10" t="shared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si="10" t="shared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si="10" t="shared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si="10" t="shared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si="10" t="shared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si="10" t="shared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2019-10-07T21:07:55Z</dcterms:modified>
</cp:coreProperties>
</file>