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outbkr\output\"/>
    </mc:Choice>
  </mc:AlternateContent>
  <xr:revisionPtr documentId="13_ncr:1_{AD1E1962-828E-45A2-B0C3-1B872B845C32}" revIDLastSave="0" xr10:uidLastSave="{00000000-0000-0000-0000-000000000000}" xr6:coauthVersionLast="41" xr6:coauthVersionMax="41"/>
  <bookViews>
    <workbookView activeTab="16" firstSheet="14" windowHeight="11265" windowWidth="21600" xWindow="12405" xr2:uid="{00000000-000D-0000-FFFF-FFFF00000000}" yWindow="264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Calibration" r:id="rId17" sheetId="15"/>
  </sheets>
  <definedNames>
    <definedName name="out1">Work!$B$4:$C$11</definedName>
    <definedName name="out10">Shop!$G$4:$H$11</definedName>
    <definedName name="out11">Meal!$B$4:$C$11</definedName>
    <definedName name="out12">Meal!$G$4:$H$11</definedName>
    <definedName name="out13">SocRec!$B$4:$C$11</definedName>
    <definedName name="out14">SocRec!$G$4:$H$11</definedName>
    <definedName name="out15">Workbased!$B$5:$H$11</definedName>
    <definedName name="out16">Workbased!$L$5:$R$11</definedName>
    <definedName name="out2">Work!$G$4:$H$11</definedName>
    <definedName name="out3">School!$B$4:$C$11</definedName>
    <definedName name="out4">School!$G$4:$H$11</definedName>
    <definedName name="out5">Escort!$B$4:$C$11</definedName>
    <definedName name="out6">Escort!$G$4:$H$11</definedName>
    <definedName name="out7">Personal_Business!$B$4:$C$11</definedName>
    <definedName name="out8">Personal_Business!$G$4:$H$11</definedName>
    <definedName name="out9">Shop!$B$4:$C$11</definedName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_1">Work!$B$4:$C$11</definedName>
    <definedName name="out_3">School!$B$4:$C$11</definedName>
    <definedName name="out_5">Escort!$B$4:$C$11</definedName>
    <definedName name="out_7">Personal_Business!$B$4:$C$11</definedName>
    <definedName name="out_9">Shop!$B$4:$C$11</definedName>
    <definedName name="out_11">Meal!$B$4:$C$11</definedName>
    <definedName name="out_13">SocRec!$B$4:$C$11</definedName>
    <definedName name="out_15">Workbased!$B$5:$H$11</definedName>
    <definedName name="out_2">Work!$G$4:$H$11</definedName>
    <definedName name="out_4">School!$G$4:$H$11</definedName>
    <definedName name="out_6">Escort!$G$4:$H$11</definedName>
    <definedName name="out_8">Personal_Business!$G$4:$H$11</definedName>
    <definedName name="out_10">Shop!$G$4:$H$11</definedName>
    <definedName name="out_12">Meal!$G$4:$H$11</definedName>
    <definedName name="out_14">SocRec!$G$4:$H$11</definedName>
    <definedName name="out_16">Workbased!$L$5:$R$11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5" l="1" r="AP18"/>
  <c i="15" r="AQ18"/>
  <c i="15" r="AR18"/>
  <c i="15" r="AU58"/>
  <c i="15" r="AV58"/>
  <c i="15" r="AW58"/>
  <c i="15" r="AU55"/>
  <c i="15" r="AV55"/>
  <c i="15" r="AW55"/>
  <c i="15" r="AU56"/>
  <c i="15" r="AV56"/>
  <c i="15" r="AW56"/>
  <c i="15" r="AU57"/>
  <c i="15" r="AV57"/>
  <c i="15" r="AW57"/>
  <c i="15" r="AU48"/>
  <c i="15" r="AV48"/>
  <c i="15" r="AW48"/>
  <c i="15" r="AU49"/>
  <c i="15" r="AV49"/>
  <c i="15" r="AW49"/>
  <c i="15" r="AU50"/>
  <c i="15" r="AV50"/>
  <c i="15" r="AW50"/>
  <c i="15" r="AU51"/>
  <c i="15" r="AV51"/>
  <c i="15" r="AW51"/>
  <c i="15" r="AU52"/>
  <c i="15" r="AV52"/>
  <c i="15" r="AW52"/>
  <c i="15" r="AU53"/>
  <c i="15" r="AV53"/>
  <c i="15" r="AW53"/>
  <c i="15" r="AU54"/>
  <c i="15" r="AV54"/>
  <c i="15" r="AW54"/>
  <c i="15" r="AF39"/>
  <c i="15" r="AG39"/>
  <c i="15" r="AH39"/>
  <c i="15" r="AF40"/>
  <c i="15" r="AG40"/>
  <c i="15" r="AH40"/>
  <c i="15" r="AF41"/>
  <c i="15" r="AG41"/>
  <c i="15" r="AH41"/>
  <c i="15" r="AF42"/>
  <c i="15" r="AG42"/>
  <c i="15" r="AH42"/>
  <c i="15" r="AF43"/>
  <c i="15" r="AG43"/>
  <c i="15" r="AH43"/>
  <c i="15" r="AF44"/>
  <c i="15" r="AG44"/>
  <c i="15" r="AH44"/>
  <c i="15" r="AF45"/>
  <c i="15" r="AG45"/>
  <c i="15" r="AH45"/>
  <c i="15" r="AF46"/>
  <c i="15" r="AG46"/>
  <c i="15" r="AH46"/>
  <c i="15" r="AF47"/>
  <c i="15" r="AG47"/>
  <c i="15" r="AH47"/>
  <c i="15" r="AF48"/>
  <c i="15" r="AG48"/>
  <c i="15" r="AH48"/>
  <c i="15" r="AF49"/>
  <c i="15" r="AG49"/>
  <c i="15" r="AH49"/>
  <c i="15" l="1" r="AR11"/>
  <c i="15" l="1" r="V60"/>
  <c i="15" r="V59"/>
  <c i="15" r="U60"/>
  <c i="15" r="U59"/>
  <c i="15" r="T60"/>
  <c i="15" r="S62"/>
  <c i="15" r="S60"/>
  <c i="15" r="S59"/>
  <c i="15" r="V56"/>
  <c i="15" r="V57"/>
  <c i="15" r="U56"/>
  <c i="15" r="U57"/>
  <c i="15" r="T56"/>
  <c i="15" r="T57"/>
  <c i="15" r="S56"/>
  <c i="15" r="S57"/>
  <c i="15" r="S55"/>
  <c i="15" r="T55"/>
  <c i="15" r="U55"/>
  <c i="15" r="V55"/>
  <c i="15" r="R56"/>
  <c i="15" r="R57"/>
  <c i="15" r="R58"/>
  <c i="15" r="R59"/>
  <c i="15" r="R60"/>
  <c i="15" r="R55"/>
  <c i="15" r="BB4"/>
  <c i="15" r="BB5"/>
  <c i="15" r="BB6"/>
  <c i="15" r="BB7"/>
  <c i="15" r="BB8"/>
  <c i="15" r="BB9"/>
  <c i="15" r="BB10"/>
  <c i="15" r="BB11"/>
  <c i="15" r="BB12"/>
  <c i="15" r="BB13"/>
  <c i="15" r="BB14"/>
  <c i="15" r="BB15"/>
  <c i="15" r="BB16"/>
  <c i="15" r="BB17"/>
  <c i="15" r="BB18"/>
  <c i="15" r="BB19"/>
  <c i="15" r="BB3"/>
  <c i="15" r="BA4"/>
  <c i="15" r="BA5"/>
  <c i="15" r="BA6"/>
  <c i="15" r="BA7"/>
  <c i="15" r="BA8"/>
  <c i="15" r="BA9"/>
  <c i="15" r="BA10"/>
  <c i="15" r="BA11"/>
  <c i="15" r="BA12"/>
  <c i="15" r="BA13"/>
  <c i="15" r="BA14"/>
  <c i="15" r="BA15"/>
  <c i="15" r="BA16"/>
  <c i="15" r="BA17"/>
  <c i="15" r="BA18"/>
  <c i="15" r="BA19"/>
  <c i="15" r="BA3"/>
  <c i="15" r="AZ4"/>
  <c i="15" r="AZ5"/>
  <c i="15" r="AZ6"/>
  <c i="15" r="AZ7"/>
  <c i="15" r="AZ8"/>
  <c i="15" r="AZ9"/>
  <c i="15" r="AZ10"/>
  <c i="15" r="AZ11"/>
  <c i="15" r="AZ12"/>
  <c i="15" r="AZ13"/>
  <c i="15" r="AZ14"/>
  <c i="15" r="AZ15"/>
  <c i="15" r="AZ16"/>
  <c i="15" r="AZ17"/>
  <c i="15" r="AZ18"/>
  <c i="15" r="AZ19"/>
  <c i="15" r="AZ3"/>
  <c i="15" r="AW4"/>
  <c i="15" r="AW5"/>
  <c i="15" r="AW6"/>
  <c i="15" r="AW7"/>
  <c i="15" r="AW8"/>
  <c i="15" r="AW9"/>
  <c i="15" r="AW10"/>
  <c i="15" r="AW11"/>
  <c i="15" r="AW12"/>
  <c i="15" r="AW13"/>
  <c i="15" r="AW14"/>
  <c i="15" r="AW15"/>
  <c i="15" r="AW16"/>
  <c i="15" r="AW17"/>
  <c i="15" r="AW18"/>
  <c i="15" r="AW19"/>
  <c i="15" r="AW20"/>
  <c i="15" r="AW21"/>
  <c i="15" r="AW22"/>
  <c i="15" r="AW23"/>
  <c i="15" r="AW24"/>
  <c i="15" r="AW25"/>
  <c i="15" r="AW26"/>
  <c i="15" r="AW27"/>
  <c i="15" r="AW28"/>
  <c i="15" r="AW29"/>
  <c i="15" r="AW30"/>
  <c i="15" r="AW31"/>
  <c i="15" r="AW32"/>
  <c i="15" r="AW33"/>
  <c i="15" r="AW34"/>
  <c i="15" r="AW35"/>
  <c i="15" r="AW36"/>
  <c i="15" r="AW37"/>
  <c i="15" r="AW38"/>
  <c i="15" r="AW39"/>
  <c i="15" r="AW40"/>
  <c i="15" r="AW41"/>
  <c i="15" r="AW42"/>
  <c i="15" r="AW43"/>
  <c i="15" r="AW44"/>
  <c i="15" r="AW45"/>
  <c i="15" r="AW46"/>
  <c i="15" r="AW47"/>
  <c i="15" r="AW3"/>
  <c i="15" r="AV4"/>
  <c i="15" r="AV5"/>
  <c i="15" r="AV6"/>
  <c i="15" r="AV7"/>
  <c i="15" r="AV8"/>
  <c i="15" r="AV9"/>
  <c i="15" r="AV10"/>
  <c i="15" r="AV11"/>
  <c i="15" r="AV12"/>
  <c i="15" r="AV13"/>
  <c i="15" r="AV14"/>
  <c i="15" r="AV15"/>
  <c i="15" r="AV16"/>
  <c i="15" r="AV17"/>
  <c i="15" r="AV18"/>
  <c i="15" r="AV19"/>
  <c i="15" r="AV20"/>
  <c i="15" r="AV21"/>
  <c i="15" r="AV22"/>
  <c i="15" r="AV23"/>
  <c i="15" r="AV24"/>
  <c i="15" r="AV25"/>
  <c i="15" r="AV26"/>
  <c i="15" r="AV27"/>
  <c i="15" r="AV28"/>
  <c i="15" r="AV29"/>
  <c i="15" r="AV30"/>
  <c i="15" r="AV31"/>
  <c i="15" r="AV32"/>
  <c i="15" r="AV33"/>
  <c i="15" r="AV34"/>
  <c i="15" r="AV35"/>
  <c i="15" r="AV36"/>
  <c i="15" r="AV37"/>
  <c i="15" r="AV38"/>
  <c i="15" r="AV39"/>
  <c i="15" r="AV40"/>
  <c i="15" r="AV41"/>
  <c i="15" r="AV42"/>
  <c i="15" r="AV43"/>
  <c i="15" r="AV44"/>
  <c i="15" r="AV45"/>
  <c i="15" r="AV46"/>
  <c i="15" r="AV47"/>
  <c i="15" r="AV3"/>
  <c i="15" r="AU4"/>
  <c i="15" r="AU5"/>
  <c i="15" r="AU6"/>
  <c i="15" r="AU7"/>
  <c i="15" r="AU8"/>
  <c i="15" r="AU9"/>
  <c i="15" r="AU10"/>
  <c i="15" r="AU11"/>
  <c i="15" r="AU12"/>
  <c i="15" r="AU13"/>
  <c i="15" r="AU14"/>
  <c i="15" r="AU15"/>
  <c i="15" r="AU16"/>
  <c i="15" r="AU17"/>
  <c i="15" r="AU18"/>
  <c i="15" r="AU19"/>
  <c i="15" r="AU20"/>
  <c i="15" r="AU21"/>
  <c i="15" r="AU22"/>
  <c i="15" r="AU23"/>
  <c i="15" r="AU24"/>
  <c i="15" r="AU25"/>
  <c i="15" r="AU26"/>
  <c i="15" r="AU27"/>
  <c i="15" r="AU28"/>
  <c i="15" r="AU29"/>
  <c i="15" r="AU30"/>
  <c i="15" r="AU31"/>
  <c i="15" r="AU32"/>
  <c i="15" r="AU33"/>
  <c i="15" r="AU34"/>
  <c i="15" r="AU35"/>
  <c i="15" r="AU36"/>
  <c i="15" r="AU37"/>
  <c i="15" r="AU38"/>
  <c i="15" r="AU39"/>
  <c i="15" r="AU40"/>
  <c i="15" r="AU41"/>
  <c i="15" r="AU42"/>
  <c i="15" r="AU43"/>
  <c i="15" r="AU44"/>
  <c i="15" r="AU45"/>
  <c i="15" r="AU46"/>
  <c i="15" r="AU47"/>
  <c i="15" r="AU3"/>
  <c i="15" r="AR4"/>
  <c i="15" r="AR5"/>
  <c i="15" r="AR6"/>
  <c i="15" r="AR7"/>
  <c i="15" r="AR8"/>
  <c i="15" r="AR9"/>
  <c i="15" r="AR10"/>
  <c i="15" r="AR12"/>
  <c i="15" r="AR13"/>
  <c i="15" r="AR14"/>
  <c i="15" r="AR15"/>
  <c i="15" r="AR16"/>
  <c i="15" r="AR17"/>
  <c i="15" r="AR3"/>
  <c i="15" r="AQ4"/>
  <c i="15" r="AQ5"/>
  <c i="15" r="AQ6"/>
  <c i="15" r="AQ7"/>
  <c i="15" r="AQ8"/>
  <c i="15" r="AQ9"/>
  <c i="15" r="AQ10"/>
  <c i="15" r="AQ11"/>
  <c i="15" r="AQ12"/>
  <c i="15" r="AQ13"/>
  <c i="15" r="AQ14"/>
  <c i="15" r="AQ15"/>
  <c i="15" r="AQ16"/>
  <c i="15" r="AQ17"/>
  <c i="15" r="AQ3"/>
  <c i="15" r="AP17"/>
  <c i="15" r="AP4"/>
  <c i="15" r="AP5"/>
  <c i="15" r="AP6"/>
  <c i="15" r="AP7"/>
  <c i="15" r="AP8"/>
  <c i="15" r="AP9"/>
  <c i="15" r="AP10"/>
  <c i="15" r="AP11"/>
  <c i="15" r="AP12"/>
  <c i="15" r="AP13"/>
  <c i="15" r="AP14"/>
  <c i="15" r="AP15"/>
  <c i="15" r="AP16"/>
  <c i="15" r="AP3"/>
  <c i="15" r="AM4"/>
  <c i="15" r="AM5"/>
  <c i="15" r="AM6"/>
  <c i="15" r="AM7"/>
  <c i="15" r="AM8"/>
  <c i="15" r="AM9"/>
  <c i="15" r="AM10"/>
  <c i="15" r="AM11"/>
  <c i="15" r="AM12"/>
  <c i="15" r="AM13"/>
  <c i="15" r="AM14"/>
  <c i="15" r="AM15"/>
  <c i="15" r="AM16"/>
  <c i="15" r="AM17"/>
  <c i="15" r="AM18"/>
  <c i="15" r="AM19"/>
  <c i="15" r="AM20"/>
  <c i="15" r="AM21"/>
  <c i="15" r="AM22"/>
  <c i="15" r="AM23"/>
  <c i="15" r="AM24"/>
  <c i="15" r="AM25"/>
  <c i="15" r="AM26"/>
  <c i="15" r="AM27"/>
  <c i="15" r="AM28"/>
  <c i="15" r="AM29"/>
  <c i="15" r="AM30"/>
  <c i="15" r="AM31"/>
  <c i="15" r="AM32"/>
  <c i="15" r="AM33"/>
  <c i="15" r="AM34"/>
  <c i="15" r="AM35"/>
  <c i="15" r="AM36"/>
  <c i="15" r="AM37"/>
  <c i="15" r="AM38"/>
  <c i="15" r="AM39"/>
  <c i="15" r="AM40"/>
  <c i="15" r="AM41"/>
  <c i="15" r="AM42"/>
  <c i="15" r="AM43"/>
  <c i="15" r="AM44"/>
  <c i="15" r="AM3"/>
  <c i="15" r="AL4"/>
  <c i="15" r="AL5"/>
  <c i="15" r="AL6"/>
  <c i="15" r="AL7"/>
  <c i="15" r="AL8"/>
  <c i="15" r="AL9"/>
  <c i="15" r="AL10"/>
  <c i="15" r="AL11"/>
  <c i="15" r="AL12"/>
  <c i="15" r="AL13"/>
  <c i="15" r="AL14"/>
  <c i="15" r="AL15"/>
  <c i="15" r="AL16"/>
  <c i="15" r="AL17"/>
  <c i="15" r="AL18"/>
  <c i="15" r="AL19"/>
  <c i="15" r="AL20"/>
  <c i="15" r="AL21"/>
  <c i="15" r="AL22"/>
  <c i="15" r="AL23"/>
  <c i="15" r="AL24"/>
  <c i="15" r="AL25"/>
  <c i="15" r="AL26"/>
  <c i="15" r="AL27"/>
  <c i="15" r="AL28"/>
  <c i="15" r="AL29"/>
  <c i="15" r="AL30"/>
  <c i="15" r="AL31"/>
  <c i="15" r="AL32"/>
  <c i="15" r="AL33"/>
  <c i="15" r="AL34"/>
  <c i="15" r="AL35"/>
  <c i="15" r="AL36"/>
  <c i="15" r="AL37"/>
  <c i="15" r="AL38"/>
  <c i="15" r="AL39"/>
  <c i="15" r="AL40"/>
  <c i="15" r="AL41"/>
  <c i="15" r="AL42"/>
  <c i="15" r="AL43"/>
  <c i="15" r="AL44"/>
  <c i="15" r="AL3"/>
  <c i="15" r="AK4"/>
  <c i="15" r="AK5"/>
  <c i="15" r="AK6"/>
  <c i="15" r="AK7"/>
  <c i="15" r="AK8"/>
  <c i="15" r="AK9"/>
  <c i="15" r="AK10"/>
  <c i="15" r="AK11"/>
  <c i="15" r="AK12"/>
  <c i="15" r="AK13"/>
  <c i="15" r="AK14"/>
  <c i="15" r="AK15"/>
  <c i="15" r="AK16"/>
  <c i="15" r="AK17"/>
  <c i="15" r="AK18"/>
  <c i="15" r="AK19"/>
  <c i="15" r="AK20"/>
  <c i="15" r="AK21"/>
  <c i="15" r="AK22"/>
  <c i="15" r="AK23"/>
  <c i="15" r="AK24"/>
  <c i="15" r="AK25"/>
  <c i="15" r="AK26"/>
  <c i="15" r="AK27"/>
  <c i="15" r="AK28"/>
  <c i="15" r="AK29"/>
  <c i="15" r="AK30"/>
  <c i="15" r="AK31"/>
  <c i="15" r="AK32"/>
  <c i="15" r="AK33"/>
  <c i="15" r="AK34"/>
  <c i="15" r="AK35"/>
  <c i="15" r="AK36"/>
  <c i="15" r="AK37"/>
  <c i="15" r="AK38"/>
  <c i="15" r="AK39"/>
  <c i="15" r="AK40"/>
  <c i="15" r="AK41"/>
  <c i="15" r="AK42"/>
  <c i="15" r="AK43"/>
  <c i="15" r="AK44"/>
  <c i="15" r="AK3"/>
  <c i="15" r="AH4"/>
  <c i="15" r="AH5"/>
  <c i="15" r="AH6"/>
  <c i="15" r="AH7"/>
  <c i="15" r="AH8"/>
  <c i="15" r="AH9"/>
  <c i="15" r="AH10"/>
  <c i="15" r="AH11"/>
  <c i="15" r="AH12"/>
  <c i="15" r="AH13"/>
  <c i="15" r="AH14"/>
  <c i="15" r="AH15"/>
  <c i="15" r="AH16"/>
  <c i="15" r="AH17"/>
  <c i="15" r="AH18"/>
  <c i="15" r="AH19"/>
  <c i="15" r="AH20"/>
  <c i="15" r="AH21"/>
  <c i="15" r="AH22"/>
  <c i="15" r="AH23"/>
  <c i="15" r="AH24"/>
  <c i="15" r="AH25"/>
  <c i="15" r="AH26"/>
  <c i="15" r="AH27"/>
  <c i="15" r="AH28"/>
  <c i="15" r="AH29"/>
  <c i="15" r="AH30"/>
  <c i="15" r="AH31"/>
  <c i="15" r="AH32"/>
  <c i="15" r="AH33"/>
  <c i="15" r="AH34"/>
  <c i="15" r="AH35"/>
  <c i="15" r="AH36"/>
  <c i="15" r="AH37"/>
  <c i="15" r="AH38"/>
  <c i="15" r="AH3"/>
  <c i="15" r="AG4"/>
  <c i="15" r="AG5"/>
  <c i="15" r="AG6"/>
  <c i="15" r="AG7"/>
  <c i="15" r="AG8"/>
  <c i="15" r="AG9"/>
  <c i="15" r="AG10"/>
  <c i="15" r="AG11"/>
  <c i="15" r="AG12"/>
  <c i="15" r="AG13"/>
  <c i="15" r="AG14"/>
  <c i="15" r="AG15"/>
  <c i="15" r="AG16"/>
  <c i="15" r="AG17"/>
  <c i="15" r="AG18"/>
  <c i="15" r="AG19"/>
  <c i="15" r="AG20"/>
  <c i="15" r="AG21"/>
  <c i="15" r="AG22"/>
  <c i="15" r="AG23"/>
  <c i="15" r="AG24"/>
  <c i="15" r="AG25"/>
  <c i="15" r="AG26"/>
  <c i="15" r="AG27"/>
  <c i="15" r="AG28"/>
  <c i="15" r="AG29"/>
  <c i="15" r="AG30"/>
  <c i="15" r="AG31"/>
  <c i="15" r="AG32"/>
  <c i="15" r="AG33"/>
  <c i="15" r="AG34"/>
  <c i="15" r="AG35"/>
  <c i="15" r="AG36"/>
  <c i="15" r="AG37"/>
  <c i="15" r="AG38"/>
  <c i="15" r="AG3"/>
  <c i="15" r="AF4"/>
  <c i="15" r="AF5"/>
  <c i="15" r="AF6"/>
  <c i="15" r="AF7"/>
  <c i="15" r="AF8"/>
  <c i="15" r="AF9"/>
  <c i="15" r="AF10"/>
  <c i="15" r="AF11"/>
  <c i="15" r="AF12"/>
  <c i="15" r="AF13"/>
  <c i="15" r="AF14"/>
  <c i="15" r="AF15"/>
  <c i="15" r="AF16"/>
  <c i="15" r="AF17"/>
  <c i="15" r="AF18"/>
  <c i="15" r="AF19"/>
  <c i="15" r="AF20"/>
  <c i="15" r="AF21"/>
  <c i="15" r="AF22"/>
  <c i="15" r="AF23"/>
  <c i="15" r="AF24"/>
  <c i="15" r="AF25"/>
  <c i="15" r="AF26"/>
  <c i="15" r="AF27"/>
  <c i="15" r="AF28"/>
  <c i="15" r="AF29"/>
  <c i="15" r="AF30"/>
  <c i="15" r="AF31"/>
  <c i="15" r="AF32"/>
  <c i="15" r="AF33"/>
  <c i="15" r="AF34"/>
  <c i="15" r="AF35"/>
  <c i="15" r="AF36"/>
  <c i="15" r="AF37"/>
  <c i="15" r="AF38"/>
  <c i="15" r="AF3"/>
  <c i="15" l="1" r="AS18"/>
  <c i="15" r="AX24"/>
  <c i="15" r="AX3"/>
  <c i="15" r="AX27"/>
  <c i="15" r="AX25"/>
  <c i="15" r="AX29"/>
  <c i="15" r="AX26"/>
  <c i="15" r="AX47"/>
  <c i="15" r="AX23"/>
  <c i="15" r="BC9"/>
  <c i="15" r="AX38"/>
  <c i="15" r="BC12"/>
  <c i="15" r="AX37"/>
  <c i="15" r="AX13"/>
  <c i="15" r="AX36"/>
  <c i="15" r="AX12"/>
  <c i="15" r="AX35"/>
  <c i="15" r="AX39"/>
  <c i="15" r="AX34"/>
  <c i="15" r="BC11"/>
  <c i="15" r="AX33"/>
  <c i="15" r="AX32"/>
  <c i="15" r="AX31"/>
  <c i="15" r="AX15"/>
  <c i="15" r="AX30"/>
  <c i="15" r="AX28"/>
  <c i="15" r="AX4"/>
  <c i="15" r="BC15"/>
  <c i="15" r="BC14"/>
  <c i="15" r="BC10"/>
  <c i="15" r="AN23"/>
  <c i="15" r="AN19"/>
  <c i="15" r="AN28"/>
  <c i="15" r="AN4"/>
  <c i="15" r="AN43"/>
  <c i="15" r="AN3"/>
  <c i="15" r="AN21"/>
  <c i="15" r="AS10"/>
  <c i="15" r="AN42"/>
  <c i="15" r="AN16"/>
  <c i="15" r="AS15"/>
  <c i="15" r="AN18"/>
  <c i="15" r="AX42"/>
  <c i="15" r="AN44"/>
  <c i="15" r="AN15"/>
  <c i="15" r="AN41"/>
  <c i="15" r="AN40"/>
  <c i="15" r="AN39"/>
  <c i="15" r="AN38"/>
  <c i="15" r="AS16"/>
  <c i="15" r="AS14"/>
  <c i="15" r="AN12"/>
  <c i="15" r="AN20"/>
  <c i="15" r="AN37"/>
  <c i="15" r="AN13"/>
  <c i="15" r="AN36"/>
  <c i="15" r="AS9"/>
  <c i="15" r="AS3"/>
  <c i="15" r="AS13"/>
  <c i="15" r="AX40"/>
  <c i="15" r="AN29"/>
  <c i="15" r="AN7"/>
  <c i="15" r="AN26"/>
  <c i="15" r="AN31"/>
  <c i="15" r="AN25"/>
  <c i="15" r="AN24"/>
  <c i="15" r="AI4"/>
  <c i="15" r="AI26"/>
  <c i="15" r="AI25"/>
  <c i="15" r="AX56"/>
  <c i="15" r="AX51"/>
  <c i="15" r="AX50"/>
  <c i="15" r="AX55"/>
  <c i="15" r="AX49"/>
  <c i="15" r="AX57"/>
  <c i="15" r="AX54"/>
  <c i="15" r="AX53"/>
  <c i="15" r="AX58"/>
  <c i="15" r="AX48"/>
  <c i="15" r="AX52"/>
  <c i="15" r="AI27"/>
  <c i="15" r="AI23"/>
  <c i="15" r="AX46"/>
  <c i="15" r="AX22"/>
  <c i="15" r="AI29"/>
  <c i="15" r="AX45"/>
  <c i="15" r="AI24"/>
  <c i="15" r="AI21"/>
  <c i="15" r="AX44"/>
  <c i="15" r="AX20"/>
  <c i="15" r="AI20"/>
  <c i="15" r="AX43"/>
  <c i="15" r="AX19"/>
  <c i="15" r="AI18"/>
  <c i="15" r="AX41"/>
  <c i="15" r="AX17"/>
  <c i="15" r="BC4"/>
  <c i="15" r="AI17"/>
  <c i="15" r="AN35"/>
  <c i="15" r="AN11"/>
  <c i="15" r="AX16"/>
  <c i="15" r="AI16"/>
  <c i="15" r="AN34"/>
  <c i="15" r="AN10"/>
  <c i="15" r="AI3"/>
  <c i="15" r="AN33"/>
  <c i="15" r="AN9"/>
  <c i="15" r="AI38"/>
  <c i="15" r="AI14"/>
  <c i="15" r="AN32"/>
  <c i="15" r="AI28"/>
  <c i="15" r="AI37"/>
  <c i="15" r="AI13"/>
  <c i="15" r="AI36"/>
  <c i="15" r="AI12"/>
  <c i="15" r="AN30"/>
  <c i="15" r="AN6"/>
  <c i="15" r="AX11"/>
  <c i="15" r="AI35"/>
  <c i="15" r="AI11"/>
  <c i="15" r="AS7"/>
  <c i="15" r="AX10"/>
  <c i="15" r="AI34"/>
  <c i="15" r="AI10"/>
  <c i="15" r="AS6"/>
  <c i="15" r="AX9"/>
  <c i="15" r="BC3"/>
  <c i="15" r="AI33"/>
  <c i="15" r="AS5"/>
  <c i="15" r="AX8"/>
  <c i="15" r="BC19"/>
  <c i="15" r="AI32"/>
  <c i="15" r="BC18"/>
  <c i="15" r="AI31"/>
  <c i="15" r="AI7"/>
  <c i="15" r="AS17"/>
  <c i="15" r="AX6"/>
  <c i="15" r="BC17"/>
  <c i="15" r="AI42"/>
  <c i="15" r="AI47"/>
  <c i="15" r="AI46"/>
  <c i="15" r="AI48"/>
  <c i="15" r="AI39"/>
  <c i="15" r="AI43"/>
  <c i="15" r="AI49"/>
  <c i="15" r="AI40"/>
  <c i="15" r="AI44"/>
  <c i="15" r="AI41"/>
  <c i="15" r="AI45"/>
  <c i="15" r="AI30"/>
  <c i="15" r="AI6"/>
  <c i="15" r="BC16"/>
  <c i="15" r="R46"/>
  <c i="15" r="U48"/>
  <c i="15" r="S44"/>
  <c i="15" r="R43"/>
  <c i="15" r="V48"/>
  <c i="15" r="T43"/>
  <c i="15" r="T48"/>
  <c i="15" r="T45"/>
  <c i="15" r="T44"/>
  <c i="15" r="U43"/>
  <c i="15" r="U45"/>
  <c i="15" r="U44"/>
  <c i="15" r="U47"/>
  <c i="15" r="V43"/>
  <c i="15" r="V45"/>
  <c i="15" r="V44"/>
  <c i="15" r="V47"/>
  <c i="15" r="R45"/>
  <c i="15" r="R44"/>
  <c i="15" r="R48"/>
  <c i="15" r="R47"/>
  <c i="15" r="S43"/>
  <c i="15" r="S50"/>
  <c i="15" r="S48"/>
  <c i="15" r="S47"/>
  <c i="15" r="S45"/>
  <c i="7" l="1" r="R12"/>
  <c i="7" r="Q12"/>
  <c i="7" r="P12"/>
  <c i="7" r="O12"/>
  <c i="7" r="N12"/>
  <c i="7" r="M12"/>
  <c i="7" r="L12"/>
  <c i="1" r="H12"/>
  <c i="1" r="G12"/>
  <c i="5" r="H12"/>
  <c i="5" r="G12"/>
  <c i="10" r="H12"/>
  <c i="10" r="G12"/>
  <c i="8" r="H12"/>
  <c i="8" r="G12"/>
  <c i="6" r="H12"/>
  <c i="6" r="G12"/>
  <c i="9" r="H12"/>
  <c i="9" r="G12"/>
  <c i="4" r="H12"/>
  <c i="4" r="G12"/>
  <c i="5" l="1" r="I12"/>
  <c i="8" r="I12"/>
  <c i="10" r="I12"/>
  <c i="9" r="I12"/>
  <c i="6" r="I12"/>
  <c i="4" r="I12"/>
  <c i="7" r="S11"/>
  <c i="15" r="O24" s="1"/>
  <c i="7" r="S10"/>
  <c i="15" r="O23" s="1"/>
  <c i="7" r="S9"/>
  <c i="15" r="O22" s="1"/>
  <c i="7" r="S8"/>
  <c i="15" r="O21" s="1"/>
  <c i="7" r="S7"/>
  <c i="15" r="O20" s="1"/>
  <c i="7" r="S6"/>
  <c i="15" r="O19" s="1"/>
  <c i="7" r="S5"/>
  <c i="15" r="O18" s="1"/>
  <c i="15" l="1" r="O26"/>
  <c i="15" r="O38" s="1"/>
  <c i="15" r="V38" s="1"/>
  <c i="7" r="S12"/>
  <c i="9" r="C12"/>
  <c i="9" r="B12"/>
  <c i="6" r="C12"/>
  <c i="6" r="B12"/>
  <c i="8" r="C12"/>
  <c i="8" r="B12"/>
  <c i="10" r="C12"/>
  <c i="10" r="B12"/>
  <c i="5" r="C12"/>
  <c i="5" r="B12"/>
  <c i="4" r="C12"/>
  <c i="4" r="B12"/>
  <c i="4" r="D11"/>
  <c i="15" r="D25" s="1"/>
  <c i="4" r="D10"/>
  <c i="15" r="D24" s="1"/>
  <c i="4" r="D9"/>
  <c i="15" r="D23" s="1"/>
  <c i="4" r="D8"/>
  <c i="15" r="D22" s="1"/>
  <c i="4" r="D7"/>
  <c i="15" r="D21" s="1"/>
  <c i="4" r="D6"/>
  <c i="15" r="D20" s="1"/>
  <c i="4" r="D5"/>
  <c i="15" r="D19" s="1"/>
  <c i="4" r="D4"/>
  <c i="15" r="D18" s="1"/>
  <c i="4" r="I11"/>
  <c i="15" r="L25" s="1"/>
  <c i="4" r="I10"/>
  <c i="15" r="L24" s="1"/>
  <c i="4" r="I9"/>
  <c i="15" r="L23" s="1"/>
  <c i="4" r="I8"/>
  <c i="15" r="L22" s="1"/>
  <c i="4" r="I7"/>
  <c i="15" r="L21" s="1"/>
  <c i="4" r="I6"/>
  <c i="15" r="L20" s="1"/>
  <c i="4" r="I5"/>
  <c i="15" r="L19" s="1"/>
  <c i="4" r="I4"/>
  <c i="15" r="L18" s="1"/>
  <c i="5" r="I11"/>
  <c i="15" r="M25" s="1"/>
  <c i="5" r="I10"/>
  <c i="15" r="M24" s="1"/>
  <c i="5" r="I9"/>
  <c i="15" r="M23" s="1"/>
  <c i="5" r="I8"/>
  <c i="15" r="M22" s="1"/>
  <c i="5" r="I7"/>
  <c i="15" r="M21" s="1"/>
  <c i="5" r="I6"/>
  <c i="15" r="M20" s="1"/>
  <c i="5" r="I5"/>
  <c i="15" r="M19" s="1"/>
  <c i="5" r="I4"/>
  <c i="15" r="M18" s="1"/>
  <c i="5" r="D11"/>
  <c i="15" r="E25" s="1"/>
  <c i="5" r="D10"/>
  <c i="15" r="E24" s="1"/>
  <c i="5" r="D9"/>
  <c i="15" r="E23" s="1"/>
  <c i="5" r="D8"/>
  <c i="15" r="E22" s="1"/>
  <c i="5" r="D7"/>
  <c i="15" r="E21" s="1"/>
  <c i="5" r="D6"/>
  <c i="15" r="E20" s="1"/>
  <c i="5" r="D5"/>
  <c i="15" r="E19" s="1"/>
  <c i="5" r="D4"/>
  <c i="15" r="E18" s="1"/>
  <c i="10" r="D11"/>
  <c i="10" r="D10"/>
  <c i="10" r="D9"/>
  <c i="10" r="D8"/>
  <c i="10" r="D7"/>
  <c i="10" r="D6"/>
  <c i="10" r="D5"/>
  <c i="10" r="D4"/>
  <c i="10" r="I11"/>
  <c i="10" r="I10"/>
  <c i="10" r="I9"/>
  <c i="10" r="I8"/>
  <c i="10" r="I7"/>
  <c i="10" r="I6"/>
  <c i="10" r="I5"/>
  <c i="10" r="I4"/>
  <c i="8" r="I11"/>
  <c i="8" r="I10"/>
  <c i="8" r="I9"/>
  <c i="8" r="I8"/>
  <c i="8" r="I7"/>
  <c i="8" r="I6"/>
  <c i="8" r="I5"/>
  <c i="8" r="I4"/>
  <c i="8" r="D11"/>
  <c i="8" r="D10"/>
  <c i="8" r="D9"/>
  <c i="8" r="D8"/>
  <c i="8" r="D7"/>
  <c i="8" r="D6"/>
  <c i="8" r="D5"/>
  <c i="8" r="D4"/>
  <c i="6" r="D11"/>
  <c i="6" r="D10"/>
  <c i="6" r="D9"/>
  <c i="6" r="D8"/>
  <c i="6" r="D7"/>
  <c i="6" r="D6"/>
  <c i="6" r="D5"/>
  <c i="6" r="D4"/>
  <c i="6" r="I11"/>
  <c i="6" r="I10"/>
  <c i="6" r="I9"/>
  <c i="6" r="I8"/>
  <c i="6" r="I7"/>
  <c i="6" r="I6"/>
  <c i="6" r="I5"/>
  <c i="6" r="I4"/>
  <c i="9" r="I11"/>
  <c i="9" r="I10"/>
  <c i="9" r="I9"/>
  <c i="9" r="I8"/>
  <c i="9" r="I7"/>
  <c i="9" r="I6"/>
  <c i="9" r="I5"/>
  <c i="9" r="I4"/>
  <c i="9" r="D11"/>
  <c i="9" r="D10"/>
  <c i="9" r="D9"/>
  <c i="9" r="D8"/>
  <c i="9" r="D7"/>
  <c i="9" r="D6"/>
  <c i="9" r="D5"/>
  <c i="9" r="D4"/>
  <c i="7" r="I11"/>
  <c i="15" r="G24" s="1"/>
  <c i="7" r="I10"/>
  <c i="15" r="G23" s="1"/>
  <c i="7" r="I9"/>
  <c i="15" r="G22" s="1"/>
  <c i="7" r="I8"/>
  <c i="15" r="G21" s="1"/>
  <c i="7" r="I7"/>
  <c i="15" r="G20" s="1"/>
  <c i="7" r="I6"/>
  <c i="15" r="G19" s="1"/>
  <c i="7" r="I5"/>
  <c i="15" r="G18" s="1"/>
  <c i="7" r="H12"/>
  <c i="7" r="G12"/>
  <c i="7" r="F12"/>
  <c i="7" r="E12"/>
  <c i="7" r="D12"/>
  <c i="7" r="C12"/>
  <c i="7" r="B12"/>
  <c i="1" r="I11"/>
  <c i="1" r="I10"/>
  <c i="15" r="K24" s="1"/>
  <c i="1" r="I9"/>
  <c i="1" r="I8"/>
  <c i="15" r="K22" s="1"/>
  <c i="1" r="I7"/>
  <c i="15" r="K21" s="1"/>
  <c i="1" r="I6"/>
  <c i="15" r="K20" s="1"/>
  <c i="1" r="I5"/>
  <c i="15" r="K19" s="1"/>
  <c i="1" r="I4"/>
  <c i="15" r="K18" s="1"/>
  <c i="1" r="D11"/>
  <c i="15" r="C25" s="1"/>
  <c i="1" r="D10"/>
  <c i="15" r="C24" s="1"/>
  <c i="1" r="D9"/>
  <c i="15" r="C23" s="1"/>
  <c i="1" r="D8"/>
  <c i="15" r="C22" s="1"/>
  <c i="1" r="D7"/>
  <c i="15" r="C21" s="1"/>
  <c i="1" r="D6"/>
  <c i="15" r="C20" s="1"/>
  <c i="1" r="D5"/>
  <c i="15" r="C19" s="1"/>
  <c i="1" r="D4"/>
  <c i="15" r="C18" s="1"/>
  <c i="1" r="C12"/>
  <c i="1" r="B12"/>
  <c i="15" l="1" r="F24"/>
  <c i="15" r="H24" s="1"/>
  <c i="15" r="E26"/>
  <c i="15" r="E37" s="1"/>
  <c i="15" r="D26"/>
  <c i="15" r="D38" s="1"/>
  <c i="15" r="C26"/>
  <c i="15" r="F25"/>
  <c i="15" r="F18"/>
  <c i="15" r="F19"/>
  <c i="15" r="H19" s="1"/>
  <c i="15" r="F20"/>
  <c i="15" r="H20" s="1"/>
  <c i="15" r="F21"/>
  <c i="15" r="H21" s="1"/>
  <c i="15" r="F22"/>
  <c i="15" r="H22" s="1"/>
  <c i="15" r="F23"/>
  <c i="15" r="H23" s="1"/>
  <c i="15" r="O37"/>
  <c i="15" r="O31"/>
  <c i="15" r="N18"/>
  <c i="15" r="P18" s="1"/>
  <c i="15" r="N19"/>
  <c i="15" r="P19" s="1"/>
  <c i="15" r="N20"/>
  <c i="15" r="P20" s="1"/>
  <c i="15" r="N21"/>
  <c i="15" r="P21" s="1"/>
  <c i="15" r="N22"/>
  <c i="15" r="P22" s="1"/>
  <c i="15" r="N23"/>
  <c i="15" r="N24"/>
  <c i="15" r="P24" s="1"/>
  <c i="15" r="N25"/>
  <c i="15" r="C35"/>
  <c i="15" r="C31"/>
  <c i="15" r="L26"/>
  <c i="15" r="L37" s="1"/>
  <c i="15" r="O36"/>
  <c i="11" r="E9"/>
  <c i="15" r="K23"/>
  <c i="15" r="O33"/>
  <c i="15" r="M26"/>
  <c i="15" r="M36" s="1"/>
  <c i="11" r="E11"/>
  <c i="15" r="K25"/>
  <c i="15" r="O35"/>
  <c i="15" r="O34"/>
  <c i="15" r="O32"/>
  <c i="1" r="I12"/>
  <c i="11" r="E5"/>
  <c i="11" r="E10"/>
  <c i="11" r="E6"/>
  <c i="11" r="E8"/>
  <c i="11" r="E7"/>
  <c i="11" r="B11"/>
  <c i="11" r="B10"/>
  <c i="4" r="D12"/>
  <c i="4" r="B17" s="1"/>
  <c i="11" r="B5"/>
  <c i="11" r="B7"/>
  <c i="11" r="B9"/>
  <c i="11" r="B4"/>
  <c i="11" r="B6"/>
  <c i="11" r="B8"/>
  <c i="6" r="H24"/>
  <c i="9" r="D12"/>
  <c i="9" r="C19" s="1"/>
  <c i="10" r="D12"/>
  <c i="10" r="C23" s="1"/>
  <c i="6" r="D12"/>
  <c i="6" r="B25" s="1"/>
  <c i="5" r="D12"/>
  <c i="5" r="D23" s="1"/>
  <c i="11" r="E4"/>
  <c i="8" r="I18"/>
  <c i="8" r="M31" s="1"/>
  <c i="7" r="I12"/>
  <c i="8" r="D12"/>
  <c i="8" r="D24" s="1"/>
  <c i="1" r="D12"/>
  <c i="1" r="B25" s="1"/>
  <c i="7" l="1" r="I22"/>
  <c i="15" r="G25"/>
  <c i="15" r="F26"/>
  <c i="15" r="F34" s="1"/>
  <c i="15" r="H18"/>
  <c i="15" r="M33"/>
  <c i="15" r="O39"/>
  <c i="15" r="D34"/>
  <c i="15" r="E35"/>
  <c i="15" r="M31"/>
  <c i="15" r="D36"/>
  <c i="15" r="E34"/>
  <c i="15" r="E33"/>
  <c i="15" r="T33" s="1"/>
  <c i="15" r="AA33" s="1"/>
  <c i="15" r="E38"/>
  <c i="15" r="D33"/>
  <c i="15" r="S33" s="1"/>
  <c i="15" r="Z33" s="1"/>
  <c i="15" r="D32"/>
  <c i="15" r="D37"/>
  <c i="15" r="C34"/>
  <c i="15" r="K26"/>
  <c i="15" r="K38" s="1"/>
  <c i="15" r="M38"/>
  <c i="15" r="D31"/>
  <c i="10" r="C17"/>
  <c i="15" r="N26"/>
  <c i="15" r="C36"/>
  <c i="15" r="M32"/>
  <c i="15" r="D35"/>
  <c i="15" r="L32"/>
  <c i="15" r="E36"/>
  <c i="15" r="T36" s="1"/>
  <c i="15" r="AA36" s="1"/>
  <c i="15" r="L31"/>
  <c i="15" r="M35"/>
  <c i="15" r="M37"/>
  <c i="15" r="L33"/>
  <c i="15" r="M34"/>
  <c i="15" r="C38"/>
  <c i="15" r="C32"/>
  <c i="15" r="E31"/>
  <c i="15" r="E32"/>
  <c i="15" r="C37"/>
  <c i="15" r="P23"/>
  <c i="15" r="L35"/>
  <c i="15" r="C33"/>
  <c i="15" r="L34"/>
  <c i="15" r="L38"/>
  <c i="15" r="S38" s="1"/>
  <c i="15" r="Z38" s="1"/>
  <c i="15" r="L36"/>
  <c i="15" r="P25"/>
  <c i="6" r="D24"/>
  <c i="6" r="L37" s="1"/>
  <c i="9" r="C25"/>
  <c i="9" r="B17"/>
  <c i="9" r="B22"/>
  <c i="9" r="B18"/>
  <c i="5" r="D17"/>
  <c i="5" r="L30" s="1"/>
  <c i="5" r="C19"/>
  <c i="5" r="B21"/>
  <c i="5" r="B22"/>
  <c i="7" r="S23"/>
  <c i="7" r="N21"/>
  <c i="7" r="R21"/>
  <c i="7" r="M21"/>
  <c i="7" r="O21"/>
  <c i="7" r="S21"/>
  <c i="7" r="L21"/>
  <c i="7" r="P21"/>
  <c i="7" r="Q21"/>
  <c i="4" r="H25"/>
  <c i="5" r="G22"/>
  <c i="8" r="I22"/>
  <c i="8" r="M35" s="1"/>
  <c i="10" r="G25"/>
  <c i="9" r="H25"/>
  <c i="6" r="H20"/>
  <c i="4" r="C25"/>
  <c i="6" r="H25"/>
  <c i="4" r="B21"/>
  <c i="6" r="G17"/>
  <c i="6" r="I17"/>
  <c i="6" r="M30" s="1"/>
  <c i="6" r="B17"/>
  <c i="6" r="G19"/>
  <c i="4" r="D24"/>
  <c i="4" r="L37" s="1"/>
  <c i="6" r="D18"/>
  <c i="6" r="L31" s="1"/>
  <c i="1" r="I22"/>
  <c i="1" r="M35" s="1"/>
  <c i="9" r="B24"/>
  <c i="9" r="D20"/>
  <c i="9" r="L33" s="1"/>
  <c i="9" r="D23"/>
  <c i="9" r="L36" s="1"/>
  <c i="9" r="B20"/>
  <c i="9" r="C24"/>
  <c i="9" r="C23"/>
  <c i="9" r="D22"/>
  <c i="9" r="L35" s="1"/>
  <c i="9" r="D18"/>
  <c i="9" r="L31" s="1"/>
  <c i="9" r="C20"/>
  <c i="9" r="B23"/>
  <c i="9" r="D21"/>
  <c i="9" r="L34" s="1"/>
  <c i="9" r="D19"/>
  <c i="9" r="L32" s="1"/>
  <c i="9" r="D17"/>
  <c i="9" r="L30" s="1"/>
  <c i="9" r="C22"/>
  <c i="9" r="C18"/>
  <c i="9" r="D25"/>
  <c i="9" r="L38" s="1"/>
  <c i="9" r="D24"/>
  <c i="9" r="L37" s="1"/>
  <c i="9" r="B25"/>
  <c i="9" r="B21"/>
  <c i="9" r="B19"/>
  <c i="9" r="C21"/>
  <c i="9" r="C17"/>
  <c i="6" r="H21"/>
  <c i="6" r="D23"/>
  <c i="6" r="L36" s="1"/>
  <c i="6" r="C22"/>
  <c i="6" r="C25"/>
  <c i="6" r="C17"/>
  <c i="6" r="D19"/>
  <c i="6" r="L32" s="1"/>
  <c i="6" r="H22"/>
  <c i="6" r="B21"/>
  <c i="6" r="B24"/>
  <c i="6" r="C23"/>
  <c i="6" r="I18"/>
  <c i="6" r="M31" s="1"/>
  <c i="6" r="H23"/>
  <c i="6" r="C18"/>
  <c i="6" r="D22"/>
  <c i="6" r="L35" s="1"/>
  <c i="6" r="C24"/>
  <c i="6" r="H37" s="1"/>
  <c i="6" r="B18"/>
  <c i="6" r="D20"/>
  <c i="6" r="L33" s="1"/>
  <c i="6" r="G18"/>
  <c i="6" r="D25"/>
  <c i="6" r="L38" s="1"/>
  <c i="6" r="D17"/>
  <c i="6" r="L30" s="1"/>
  <c i="8" r="I21"/>
  <c i="8" r="M34" s="1"/>
  <c i="8" r="G17"/>
  <c i="8" r="I24"/>
  <c i="8" r="M37" s="1"/>
  <c i="8" r="I25"/>
  <c i="8" r="M38" s="1"/>
  <c i="8" r="I20"/>
  <c i="8" r="M33" s="1"/>
  <c i="8" r="H17"/>
  <c i="8" r="H22"/>
  <c i="8" r="H20"/>
  <c i="8" r="G24"/>
  <c i="8" r="H19"/>
  <c i="8" r="G21"/>
  <c i="8" r="H25"/>
  <c i="8" r="I17"/>
  <c i="8" r="M30" s="1"/>
  <c i="8" r="G23"/>
  <c i="8" r="G20"/>
  <c i="8" r="H18"/>
  <c i="8" r="I23"/>
  <c i="8" r="M36" s="1"/>
  <c i="8" r="G25"/>
  <c i="8" r="G19"/>
  <c i="8" r="H24"/>
  <c i="8" r="H21"/>
  <c i="8" r="I19"/>
  <c i="8" r="M32" s="1"/>
  <c i="8" r="G18"/>
  <c i="10" r="H22"/>
  <c i="10" r="D21"/>
  <c i="10" r="L34" s="1"/>
  <c i="10" r="H18"/>
  <c i="10" r="G17"/>
  <c i="10" r="H23"/>
  <c i="10" r="H36" s="1"/>
  <c i="10" r="I25"/>
  <c i="10" r="M38" s="1"/>
  <c i="10" r="H20"/>
  <c i="10" r="H24"/>
  <c i="10" r="D22"/>
  <c i="10" r="L35" s="1"/>
  <c i="10" r="H17"/>
  <c i="10" r="H21"/>
  <c i="10" r="H25"/>
  <c i="10" r="D20"/>
  <c i="10" r="L33" s="1"/>
  <c i="10" r="B18"/>
  <c i="10" r="H19"/>
  <c i="5" r="C24"/>
  <c i="5" r="C17"/>
  <c i="5" r="C18"/>
  <c i="5" r="C23"/>
  <c i="5" r="B17"/>
  <c i="5" r="B18"/>
  <c i="5" r="D19"/>
  <c i="5" r="L32" s="1"/>
  <c i="5" r="D18"/>
  <c i="5" r="L31" s="1"/>
  <c i="5" r="B23"/>
  <c i="5" r="D21"/>
  <c i="5" r="L34" s="1"/>
  <c i="4" r="C22"/>
  <c i="4" r="B24"/>
  <c i="4" r="B19"/>
  <c i="4" r="B18"/>
  <c i="4" r="C18"/>
  <c i="4" r="D20"/>
  <c i="4" r="L33" s="1"/>
  <c i="4" r="B25"/>
  <c i="4" r="C17"/>
  <c i="4" r="D22"/>
  <c i="4" r="L35" s="1"/>
  <c i="4" r="D18"/>
  <c i="4" r="L31" s="1"/>
  <c i="4" r="B22"/>
  <c i="4" r="D25"/>
  <c i="4" r="L38" s="1"/>
  <c i="4" r="B20"/>
  <c i="4" r="C20"/>
  <c i="4" r="D23"/>
  <c i="4" r="L36" s="1"/>
  <c i="4" r="D21"/>
  <c i="4" r="L34" s="1"/>
  <c i="4" r="C21"/>
  <c i="4" r="B23"/>
  <c i="4" r="C24"/>
  <c i="4" r="C19"/>
  <c i="4" r="D19"/>
  <c i="4" r="L32" s="1"/>
  <c i="4" r="C23"/>
  <c i="4" r="D17"/>
  <c i="4" r="L30" s="1"/>
  <c i="10" r="D24"/>
  <c i="10" r="L37" s="1"/>
  <c i="10" r="B19"/>
  <c i="10" r="D25"/>
  <c i="10" r="L38" s="1"/>
  <c i="10" r="C21"/>
  <c i="10" r="B21"/>
  <c i="10" r="C20"/>
  <c i="10" r="B23"/>
  <c i="10" r="D18"/>
  <c i="10" r="L31" s="1"/>
  <c i="10" r="B24"/>
  <c i="10" r="B22"/>
  <c i="6" r="D21"/>
  <c i="6" r="L34" s="1"/>
  <c i="10" r="D17"/>
  <c i="10" r="L30" s="1"/>
  <c i="10" r="C24"/>
  <c i="10" r="B20"/>
  <c i="10" r="C25"/>
  <c i="6" r="C21"/>
  <c i="6" r="B20"/>
  <c i="6" r="C20"/>
  <c i="6" r="B23"/>
  <c i="6" r="B19"/>
  <c i="6" r="B22"/>
  <c i="5" r="B20"/>
  <c i="5" r="D25"/>
  <c i="5" r="L38" s="1"/>
  <c i="5" r="B24"/>
  <c i="5" r="C21"/>
  <c i="5" r="C25"/>
  <c i="10" r="C18"/>
  <c i="8" r="G22"/>
  <c i="5" r="B19"/>
  <c i="8" r="H23"/>
  <c i="5" r="D24"/>
  <c i="5" r="L37" s="1"/>
  <c i="6" r="I21"/>
  <c i="10" r="G21"/>
  <c i="6" r="I23"/>
  <c i="6" r="M36" s="1"/>
  <c i="5" r="C20"/>
  <c i="10" r="B17"/>
  <c i="6" r="C19"/>
  <c i="6" r="G20"/>
  <c i="10" r="G18"/>
  <c i="10" r="G19"/>
  <c i="10" r="I19"/>
  <c i="10" r="M32" s="1"/>
  <c i="10" r="G22"/>
  <c i="10" r="I22"/>
  <c i="10" r="M35" s="1"/>
  <c i="6" r="G25"/>
  <c i="6" r="G38" s="1"/>
  <c i="5" r="D20"/>
  <c i="5" r="L33" s="1"/>
  <c i="10" r="C22"/>
  <c i="10" r="D19"/>
  <c i="10" r="L32" s="1"/>
  <c i="6" r="I19"/>
  <c i="6" r="M32" s="1"/>
  <c i="10" r="I17"/>
  <c i="6" r="G21"/>
  <c i="6" r="G23"/>
  <c i="6" r="G24"/>
  <c i="6" r="I24"/>
  <c i="6" r="M37" s="1"/>
  <c i="10" r="G23"/>
  <c i="6" r="I25"/>
  <c i="6" r="M38" s="1"/>
  <c i="5" r="D22"/>
  <c i="5" r="L35" s="1"/>
  <c i="10" r="B25"/>
  <c i="10" r="D23"/>
  <c i="10" r="L36" s="1"/>
  <c i="10" r="I18"/>
  <c i="10" r="M31" s="1"/>
  <c i="6" r="I22"/>
  <c i="6" r="M35" s="1"/>
  <c i="10" r="I23"/>
  <c i="10" r="M36" s="1"/>
  <c i="6" r="H17"/>
  <c i="10" r="G24"/>
  <c i="6" r="H18"/>
  <c i="5" r="B25"/>
  <c i="10" r="C19"/>
  <c i="6" r="I20"/>
  <c i="6" r="M33" s="1"/>
  <c i="6" r="G22"/>
  <c i="10" r="G20"/>
  <c i="10" r="I20"/>
  <c i="10" r="M33" s="1"/>
  <c i="10" r="I21"/>
  <c i="10" r="M34" s="1"/>
  <c i="10" r="I24"/>
  <c i="10" r="M37" s="1"/>
  <c i="6" r="H19"/>
  <c i="5" r="C22"/>
  <c i="1" r="H17"/>
  <c i="1" r="G17"/>
  <c i="9" r="I23"/>
  <c i="9" r="M36" s="1"/>
  <c i="1" r="H20"/>
  <c i="11" r="E12"/>
  <c i="11" r="B12"/>
  <c i="11" r="B18" s="1"/>
  <c i="1" r="I24"/>
  <c i="1" r="M37" s="1"/>
  <c i="1" r="G22"/>
  <c i="5" r="H24"/>
  <c i="1" r="H22"/>
  <c i="5" r="G25"/>
  <c i="4" r="I22"/>
  <c i="4" r="M35" s="1"/>
  <c i="5" r="H25"/>
  <c i="5" r="H20"/>
  <c i="5" r="G18"/>
  <c i="9" r="I17"/>
  <c i="9" r="M30" s="1"/>
  <c i="5" r="G19"/>
  <c i="5" r="I19"/>
  <c i="5" r="M32" s="1"/>
  <c i="9" r="G24"/>
  <c i="5" r="I24"/>
  <c i="5" r="M37" s="1"/>
  <c i="5" r="H21"/>
  <c i="1" r="I20"/>
  <c i="1" r="M33" s="1"/>
  <c i="1" r="G20"/>
  <c i="1" r="H18"/>
  <c i="1" r="I23"/>
  <c i="1" r="M36" s="1"/>
  <c i="1" r="H23"/>
  <c i="1" r="G23"/>
  <c i="1" r="H25"/>
  <c i="5" r="I25"/>
  <c i="5" r="M38" s="1"/>
  <c i="5" r="G24"/>
  <c i="5" r="G21"/>
  <c i="5" r="H19"/>
  <c i="9" r="G19"/>
  <c i="9" r="I18"/>
  <c i="9" r="M31" s="1"/>
  <c i="8" r="L37"/>
  <c i="5" r="L36"/>
  <c i="1" r="I21"/>
  <c i="1" r="M34" s="1"/>
  <c i="1" r="G24"/>
  <c i="1" r="G21"/>
  <c i="1" r="H19"/>
  <c i="1" r="G19"/>
  <c i="1" r="I25"/>
  <c i="1" r="M38" s="1"/>
  <c i="1" r="I18"/>
  <c i="1" r="M31" s="1"/>
  <c i="5" r="I18"/>
  <c i="5" r="M31" s="1"/>
  <c i="5" r="I17"/>
  <c i="5" r="G23"/>
  <c i="5" r="G20"/>
  <c i="5" r="H18"/>
  <c i="5" r="I23"/>
  <c i="5" r="M36" s="1"/>
  <c i="5" r="H23"/>
  <c i="9" r="I20"/>
  <c i="9" r="M33" s="1"/>
  <c i="9" r="G17"/>
  <c i="1" r="G25"/>
  <c i="1" r="G38" s="1"/>
  <c i="1" r="H21"/>
  <c i="1" r="I19"/>
  <c i="1" r="M32" s="1"/>
  <c i="1" r="G18"/>
  <c i="1" r="I17"/>
  <c i="1" r="M30" s="1"/>
  <c i="1" r="H24"/>
  <c i="5" r="I22"/>
  <c i="5" r="M35" s="1"/>
  <c i="5" r="I20"/>
  <c i="5" r="M33" s="1"/>
  <c i="5" r="I21"/>
  <c i="5" r="H17"/>
  <c i="5" r="G17"/>
  <c i="5" r="H22"/>
  <c i="9" r="H23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35" s="1"/>
  <c i="7" r="S19"/>
  <c i="9" r="H17"/>
  <c i="9" r="I25"/>
  <c i="9" r="H19"/>
  <c i="9" r="H32" s="1"/>
  <c i="9" r="H24"/>
  <c i="9" r="H22"/>
  <c i="9" r="I22"/>
  <c i="9" r="M35" s="1"/>
  <c i="9" r="G18"/>
  <c i="9" r="G25"/>
  <c i="9" r="I21"/>
  <c i="9" r="H21"/>
  <c i="9" r="G21"/>
  <c i="9" r="I19"/>
  <c i="9" r="I24"/>
  <c i="9" r="G23"/>
  <c i="9" r="G22"/>
  <c i="9" r="H20"/>
  <c i="9" r="G20"/>
  <c i="9" r="H18"/>
  <c i="4" r="G24"/>
  <c i="4" r="H18"/>
  <c i="4" r="I24"/>
  <c i="4" r="H22"/>
  <c i="4" r="G17"/>
  <c i="4" r="G30" s="1"/>
  <c i="4" r="H23"/>
  <c i="4" r="H19"/>
  <c i="4" r="I18"/>
  <c i="4" r="I25"/>
  <c i="4" r="M38" s="1"/>
  <c i="4" r="I20"/>
  <c i="4" r="G22"/>
  <c i="4" r="I17"/>
  <c i="4" r="H24"/>
  <c i="4" r="H20"/>
  <c i="4" r="G25"/>
  <c i="4" r="I23"/>
  <c i="4" r="G23"/>
  <c i="4" r="G20"/>
  <c i="4" r="I21"/>
  <c i="4" r="H21"/>
  <c i="4" r="H17"/>
  <c i="4" r="G21"/>
  <c i="4" r="I19"/>
  <c i="4" r="M32" s="1"/>
  <c i="4" r="G19"/>
  <c i="4" r="G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8" r="B20"/>
  <c i="8" r="B25"/>
  <c i="8" r="B18"/>
  <c i="8" r="C24"/>
  <c i="8" r="B24"/>
  <c i="8" r="C20"/>
  <c i="8" r="B22"/>
  <c i="8" r="C19"/>
  <c i="8" r="C23"/>
  <c i="8" r="D17"/>
  <c i="8" r="D19"/>
  <c i="8" r="D21"/>
  <c i="8" r="D23"/>
  <c i="8" r="C18"/>
  <c i="8" r="C22"/>
  <c i="8" r="B17"/>
  <c i="8" r="B19"/>
  <c i="8" r="B21"/>
  <c i="8" r="B23"/>
  <c i="8" r="D25"/>
  <c i="8" r="C17"/>
  <c i="8" r="C21"/>
  <c i="8" r="C25"/>
  <c i="8" r="D18"/>
  <c i="8" r="D20"/>
  <c i="8" r="D22"/>
  <c i="1" r="D17"/>
  <c i="1" r="D25"/>
  <c i="1" r="C24"/>
  <c i="1" r="B23"/>
  <c i="1" r="C20"/>
  <c i="1" r="B19"/>
  <c i="1" r="B20"/>
  <c i="1" r="C17"/>
  <c i="1" r="C23"/>
  <c i="1" r="B22"/>
  <c i="1" r="C19"/>
  <c i="1" r="B18"/>
  <c i="1" r="D23"/>
  <c i="1" r="C22"/>
  <c i="1" r="B21"/>
  <c i="1" r="D19"/>
  <c i="1" r="C18"/>
  <c i="1" r="B17"/>
  <c i="1" r="C25"/>
  <c i="1" r="B24"/>
  <c i="1" r="D22"/>
  <c i="1" r="C21"/>
  <c i="1" r="D18"/>
  <c i="1" r="D21"/>
  <c i="1" r="D20"/>
  <c i="1" r="D24"/>
  <c i="9" l="1" r="G35"/>
  <c i="15" r="S36"/>
  <c i="15" r="Z36" s="1"/>
  <c i="15" r="K35"/>
  <c i="15" r="R35" s="1"/>
  <c i="15" r="Y35" s="1"/>
  <c i="15" r="H25"/>
  <c i="15" r="H26" s="1"/>
  <c i="15" r="G26"/>
  <c i="15" r="K37"/>
  <c i="15" r="K31"/>
  <c i="15" r="R31" s="1"/>
  <c i="15" r="Y31" s="1"/>
  <c i="15" r="Y55" s="1"/>
  <c i="15" r="AI19" s="1"/>
  <c i="15" r="K34"/>
  <c i="15" r="R34" s="1"/>
  <c i="15" r="Y34" s="1"/>
  <c i="15" r="Y58" s="1"/>
  <c i="15" r="AI5" s="1"/>
  <c i="15" r="K32"/>
  <c i="15" r="P26"/>
  <c i="7" r="S36"/>
  <c i="9" r="H36"/>
  <c i="5" r="G34"/>
  <c i="6" r="G35"/>
  <c i="15" r="K36"/>
  <c i="15" r="R36" s="1"/>
  <c i="10" r="N38"/>
  <c i="5" r="H32"/>
  <c i="9" r="N35"/>
  <c i="4" r="N38"/>
  <c i="15" r="K33"/>
  <c i="15" r="R33" s="1"/>
  <c i="15" r="Y33" s="1"/>
  <c i="15" r="Y57" s="1"/>
  <c i="15" r="AI9" s="1"/>
  <c i="9" r="H38"/>
  <c i="15" r="S35"/>
  <c i="15" r="Z35" s="1"/>
  <c i="15" r="F33"/>
  <c i="10" r="G35"/>
  <c i="10" r="H30"/>
  <c i="15" r="F31"/>
  <c i="15" r="F38"/>
  <c i="15" r="F32"/>
  <c i="15" r="S32"/>
  <c i="15" r="Z32" s="1"/>
  <c i="15" r="M39"/>
  <c i="15" r="N31"/>
  <c i="15" r="N32"/>
  <c i="15" r="N35"/>
  <c i="15" r="N33"/>
  <c i="15" r="N34"/>
  <c i="15" r="N38"/>
  <c i="15" r="N36"/>
  <c i="15" r="R32"/>
  <c i="15" r="N37"/>
  <c i="15" r="L39"/>
  <c i="15" r="C39"/>
  <c i="15" r="F37"/>
  <c i="15" r="D39"/>
  <c i="15" r="S31"/>
  <c i="15" r="Z57"/>
  <c i="15" r="AN14" s="1"/>
  <c i="15" r="F35"/>
  <c i="15" r="F36"/>
  <c i="15" r="T32"/>
  <c i="15" r="AA32" s="1"/>
  <c i="15" r="E39"/>
  <c i="15" r="T31"/>
  <c i="15" r="Y59"/>
  <c i="15" r="AI8" s="1"/>
  <c i="6" r="N37"/>
  <c i="10" r="H35"/>
  <c i="9" r="N31"/>
  <c i="6" r="N31"/>
  <c i="6" r="H35"/>
  <c i="10" r="G33"/>
  <c i="5" r="G35"/>
  <c i="7" r="Q34"/>
  <c i="7" r="P34"/>
  <c i="7" r="L34"/>
  <c i="7" r="S34"/>
  <c i="7" r="O34"/>
  <c i="7" r="M34"/>
  <c i="7" r="R34"/>
  <c i="7" r="N34"/>
  <c i="10" r="G38"/>
  <c i="9" r="H31"/>
  <c i="4" r="G33"/>
  <c i="10" r="H32"/>
  <c i="9" r="H35"/>
  <c i="8" r="N37"/>
  <c i="6" r="H33"/>
  <c i="8" r="I37"/>
  <c i="4" r="H38"/>
  <c i="5" r="H30"/>
  <c i="6" r="H32"/>
  <c i="6" r="N30"/>
  <c i="8" r="G32"/>
  <c i="9" r="H37"/>
  <c i="10" r="N37"/>
  <c i="6" r="I36"/>
  <c i="6" r="N36"/>
  <c i="4" r="H35"/>
  <c i="9" r="G31"/>
  <c i="6" r="G30"/>
  <c i="5" r="H31"/>
  <c i="4" r="G32"/>
  <c i="9" r="G37"/>
  <c i="4" r="G34"/>
  <c i="10" r="N31"/>
  <c i="4" r="H30"/>
  <c i="9" r="G34"/>
  <c i="5" r="G31"/>
  <c i="6" r="H31"/>
  <c i="7" r="L33"/>
  <c i="1" r="H30"/>
  <c i="10" r="G36"/>
  <c i="4" r="G31"/>
  <c i="6" r="G37"/>
  <c i="6" r="I31"/>
  <c i="9" r="N33"/>
  <c i="7" r="L35"/>
  <c i="5" r="H37"/>
  <c i="6" r="G32"/>
  <c i="8" r="G33"/>
  <c i="8" r="H34"/>
  <c i="10" r="H37"/>
  <c i="10" r="H33"/>
  <c i="1" r="H31"/>
  <c i="8" r="G30"/>
  <c i="4" r="G37"/>
  <c i="6" r="N35"/>
  <c i="6" r="G33"/>
  <c i="6" r="G31"/>
  <c i="6" r="H36"/>
  <c i="6" r="H38"/>
  <c i="8" r="G36"/>
  <c i="9" r="H33"/>
  <c i="5" r="G33"/>
  <c i="6" r="G36"/>
  <c i="8" r="H30"/>
  <c i="11" r="E17"/>
  <c i="7" r="R33"/>
  <c i="9" r="G33"/>
  <c i="9" r="H30"/>
  <c i="9" r="G38"/>
  <c i="9" r="N36"/>
  <c i="9" r="G36"/>
  <c i="9" r="H34"/>
  <c i="9" r="G30"/>
  <c i="9" r="G32"/>
  <c i="9" r="N30"/>
  <c i="6" r="N33"/>
  <c i="6" r="H34"/>
  <c i="6" r="I33"/>
  <c i="6" r="I30"/>
  <c i="6" r="H30"/>
  <c i="6" r="G34"/>
  <c i="8" r="G37"/>
  <c i="8" r="H32"/>
  <c i="8" r="H38"/>
  <c i="8" r="H35"/>
  <c i="8" r="G35"/>
  <c i="8" r="G31"/>
  <c i="8" r="G34"/>
  <c i="8" r="H31"/>
  <c i="8" r="H33"/>
  <c i="8" r="G38"/>
  <c i="8" r="H37"/>
  <c i="10" r="G32"/>
  <c i="10" r="I38"/>
  <c i="10" r="N34"/>
  <c i="10" r="G31"/>
  <c i="10" r="H31"/>
  <c i="10" r="H34"/>
  <c i="10" r="G30"/>
  <c i="10" r="I37"/>
  <c i="10" r="N33"/>
  <c i="10" r="H38"/>
  <c i="10" r="G34"/>
  <c i="10" r="G37"/>
  <c i="10" r="N35"/>
  <c i="5" r="G30"/>
  <c i="5" r="H36"/>
  <c i="5" r="G36"/>
  <c i="5" r="N31"/>
  <c i="5" r="G32"/>
  <c i="5" r="N37"/>
  <c i="5" r="G37"/>
  <c i="4" r="H33"/>
  <c i="4" r="H36"/>
  <c i="4" r="G36"/>
  <c i="4" r="H37"/>
  <c i="4" r="H31"/>
  <c i="4" r="G38"/>
  <c i="4" r="N35"/>
  <c i="4" r="H34"/>
  <c i="4" r="N32"/>
  <c i="4" r="G35"/>
  <c i="4" r="H32"/>
  <c i="1" r="G37"/>
  <c i="10" r="I33"/>
  <c i="10" r="I34"/>
  <c i="10" r="I32"/>
  <c i="10" r="I30"/>
  <c i="8" r="H36"/>
  <c i="6" r="I34"/>
  <c i="10" r="N36"/>
  <c i="10" r="N32"/>
  <c i="5" r="H34"/>
  <c i="5" r="H35"/>
  <c i="5" r="H38"/>
  <c i="5" r="N33"/>
  <c i="6" r="I37"/>
  <c i="5" r="H33"/>
  <c i="11" r="B19"/>
  <c i="1" r="G30"/>
  <c i="5" r="G38"/>
  <c i="10" r="I31"/>
  <c i="4" r="I35"/>
  <c i="6" r="I35"/>
  <c i="1" r="H35"/>
  <c i="7" r="N33"/>
  <c i="7" r="N35"/>
  <c i="7" r="N31"/>
  <c i="6" r="I32"/>
  <c i="1" r="G32"/>
  <c i="10" r="I35"/>
  <c i="9" r="I31"/>
  <c i="10" r="M30"/>
  <c i="10" r="N30" s="1"/>
  <c i="10" r="I36"/>
  <c i="6" r="N38"/>
  <c i="1" r="G31"/>
  <c i="6" r="N32"/>
  <c i="6" r="I38"/>
  <c i="6" r="M34"/>
  <c i="6" r="N34" s="1"/>
  <c i="5" r="N32"/>
  <c i="7" r="M37"/>
  <c i="7" r="L31"/>
  <c i="4" r="I32"/>
  <c i="9" r="I35"/>
  <c i="9" r="I30"/>
  <c i="7" r="O35"/>
  <c i="7" r="L37"/>
  <c i="7" r="O31"/>
  <c i="7" r="N37"/>
  <c i="7" r="M33"/>
  <c i="7" r="Q35"/>
  <c i="7" r="Q33"/>
  <c i="5" r="I33"/>
  <c i="7" r="M31"/>
  <c i="1" r="G36"/>
  <c i="7" r="M35"/>
  <c i="9" r="I36"/>
  <c i="9" r="I33"/>
  <c i="11" r="B20"/>
  <c i="5" r="N38"/>
  <c i="1" r="H36"/>
  <c i="1" r="H33"/>
  <c i="1" r="H34"/>
  <c i="1" r="G35"/>
  <c i="1" r="H38"/>
  <c i="1" r="G33"/>
  <c i="1" r="H37"/>
  <c i="11" r="E20"/>
  <c i="11" r="E18"/>
  <c i="11" r="E31" s="1"/>
  <c i="11" r="E25"/>
  <c i="11" r="E23"/>
  <c i="11" r="E24"/>
  <c i="11" r="E21"/>
  <c i="11" r="E22"/>
  <c i="11" r="E19"/>
  <c i="11" r="B21"/>
  <c i="11" r="B24"/>
  <c i="11" r="B17"/>
  <c i="11" r="B22"/>
  <c i="11" r="B23"/>
  <c i="11" r="B25"/>
  <c i="5" r="I37"/>
  <c i="5" r="N36"/>
  <c i="5" r="I32"/>
  <c i="1" r="H32"/>
  <c i="5" r="I31"/>
  <c i="5" r="I36"/>
  <c i="1" r="I38"/>
  <c i="1" r="L38"/>
  <c i="1" r="N38" s="1"/>
  <c i="8" r="I31"/>
  <c i="8" r="L31"/>
  <c i="8" r="N31" s="1"/>
  <c i="8" r="I34"/>
  <c i="8" r="L34"/>
  <c i="8" r="N34" s="1"/>
  <c i="1" r="I33"/>
  <c i="1" r="L33"/>
  <c i="1" r="N33" s="1"/>
  <c i="1" r="I35"/>
  <c i="1" r="L35"/>
  <c i="1" r="N35" s="1"/>
  <c i="1" r="I36"/>
  <c i="1" r="L36"/>
  <c i="1" r="N36" s="1"/>
  <c i="1" r="I30"/>
  <c i="1" r="L30"/>
  <c i="1" r="N30" s="1"/>
  <c i="8" r="I33"/>
  <c i="8" r="L33"/>
  <c i="8" r="N33" s="1"/>
  <c i="8" r="I36"/>
  <c i="8" r="L36"/>
  <c i="8" r="N36" s="1"/>
  <c i="4" r="I36"/>
  <c i="4" r="M36"/>
  <c i="4" r="N36" s="1"/>
  <c i="4" r="I30"/>
  <c i="4" r="M30"/>
  <c i="4" r="N30" s="1"/>
  <c i="4" r="I31"/>
  <c i="4" r="M31"/>
  <c i="4" r="N31" s="1"/>
  <c i="4" r="I37"/>
  <c i="4" r="M37"/>
  <c i="4" r="N37" s="1"/>
  <c i="4" r="I38"/>
  <c i="5" r="N35"/>
  <c i="5" r="I38"/>
  <c i="8" r="I35"/>
  <c i="8" r="L35"/>
  <c i="8" r="N35" s="1"/>
  <c i="9" r="I38"/>
  <c i="9" r="M38"/>
  <c i="9" r="N38" s="1"/>
  <c i="1" r="I31"/>
  <c i="1" r="L31"/>
  <c i="1" r="N31" s="1"/>
  <c i="8" r="I32"/>
  <c i="8" r="L32"/>
  <c i="8" r="N32" s="1"/>
  <c i="4" r="I33"/>
  <c i="4" r="M33"/>
  <c i="4" r="N33" s="1"/>
  <c i="9" r="I37"/>
  <c i="9" r="M37"/>
  <c i="9" r="N37" s="1"/>
  <c i="9" r="I34"/>
  <c i="9" r="M34"/>
  <c i="9" r="N34" s="1"/>
  <c i="1" r="G34"/>
  <c i="1" r="I37"/>
  <c i="1" r="L37"/>
  <c i="1" r="N37" s="1"/>
  <c i="8" r="I30"/>
  <c i="8" r="L30"/>
  <c i="8" r="N30" s="1"/>
  <c i="9" r="I32"/>
  <c i="9" r="M32"/>
  <c i="9" r="N32" s="1"/>
  <c i="1" r="I34"/>
  <c i="1" r="L34"/>
  <c i="1" r="N34" s="1"/>
  <c i="1" r="I32"/>
  <c i="1" r="L32"/>
  <c i="1" r="N32" s="1"/>
  <c i="8" r="I38"/>
  <c i="8" r="L38"/>
  <c i="8" r="N38" s="1"/>
  <c i="4" r="I34"/>
  <c i="4" r="M34"/>
  <c i="4" r="N34" s="1"/>
  <c i="5" r="M34"/>
  <c i="5" r="N34" s="1"/>
  <c i="5" r="I34"/>
  <c i="5" r="I30"/>
  <c i="5" r="M30"/>
  <c i="5" r="N30" s="1"/>
  <c i="5" r="I35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15" l="1" r="G36"/>
  <c i="15" r="V36" s="1"/>
  <c i="15" r="AC36" s="1"/>
  <c i="15" r="AC60" s="1"/>
  <c i="15" r="BC13" s="1"/>
  <c i="15" r="G37"/>
  <c i="15" r="G31"/>
  <c i="15" r="G34"/>
  <c i="15" r="G32"/>
  <c i="15" r="V32" s="1"/>
  <c i="15" r="AC32" s="1"/>
  <c i="15" r="AC56" s="1"/>
  <c i="15" r="BC7" s="1"/>
  <c i="15" r="G35"/>
  <c i="15" r="V35" s="1"/>
  <c i="15" r="AC35" s="1"/>
  <c i="15" r="AC59" s="1"/>
  <c i="15" r="BC5" s="1"/>
  <c i="15" r="G33"/>
  <c i="15" r="V33" s="1"/>
  <c i="15" r="AC33" s="1"/>
  <c i="15" r="AC57" s="1"/>
  <c i="15" r="BC6" s="1"/>
  <c i="15" r="G38"/>
  <c i="15" r="K39"/>
  <c i="15" r="U32"/>
  <c i="15" r="AB32" s="1"/>
  <c i="15" r="AB56" s="1"/>
  <c i="15" r="AX14" s="1"/>
  <c i="15" r="U33"/>
  <c i="15" r="AB33" s="1"/>
  <c i="15" r="AB57" s="1"/>
  <c i="15" r="AX7" s="1"/>
  <c i="15" r="U31"/>
  <c i="15" r="AB31" s="1"/>
  <c i="15" r="AB55" s="1"/>
  <c i="15" r="AX18" s="1"/>
  <c i="15" r="Y32"/>
  <c i="15" r="Y56" s="1"/>
  <c i="15" r="AI15" s="1"/>
  <c i="15" r="AA31"/>
  <c i="15" r="AA55" s="1"/>
  <c i="15" r="AS11" s="1"/>
  <c i="15" r="Y36"/>
  <c i="15" r="Y60" s="1"/>
  <c i="15" r="AI22" s="1"/>
  <c i="15" r="U36"/>
  <c i="15" r="Z31"/>
  <c i="15" r="Z55" s="1"/>
  <c i="15" r="AN22" s="1"/>
  <c i="15" r="U35"/>
  <c i="15" r="N39"/>
  <c i="15" r="AA56"/>
  <c i="15" r="AS8" s="1"/>
  <c i="15" r="F39"/>
  <c i="15" r="Z59"/>
  <c i="15" r="AN8" s="1"/>
  <c i="15" r="AA60"/>
  <c i="15" r="AS12" s="1"/>
  <c i="15" r="AA57"/>
  <c i="15" r="AS4" s="1"/>
  <c i="15" r="Z56"/>
  <c i="15" r="AN17" s="1"/>
  <c i="15" r="Z60"/>
  <c i="15" r="AN27" s="1"/>
  <c i="15" r="Z62"/>
  <c i="15" r="AN5" s="1"/>
  <c i="11" r="E33"/>
  <c i="11" r="E36"/>
  <c i="11" r="E34"/>
  <c i="11" r="E32"/>
  <c i="11" r="E35"/>
  <c i="11" r="E30"/>
  <c i="11" r="E38"/>
  <c i="11" r="E37"/>
  <c i="15" l="1" r="V31"/>
  <c i="15" r="AC31" s="1"/>
  <c i="15" r="AC55" s="1"/>
  <c i="15" r="BC8" s="1"/>
  <c i="15" r="G39"/>
  <c i="15" r="AB36"/>
  <c i="15" r="AB60" s="1"/>
  <c i="15" r="AX21" s="1"/>
  <c i="15" r="AB35"/>
  <c i="15" r="AB59" s="1"/>
  <c i="15" r="AX5" s="1"/>
</calcChain>
</file>

<file path=xl/sharedStrings.xml><?xml version="1.0" encoding="utf-8"?>
<sst xmlns="http://schemas.openxmlformats.org/spreadsheetml/2006/main" count="1900" uniqueCount="289">
  <si>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</si>
  <si>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</si>
  <si>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</si>
  <si>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</si>
  <si>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</si>
  <si>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</si>
  <si>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</si>
  <si>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</si>
  <si>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</si>
  <si>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</si>
  <si>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</si>
  <si>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</si>
  <si>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</si>
  <si>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</si>
  <si>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</si>
  <si>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</si>
  <si>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</si>
  <si>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</si>
  <si>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</si>
  <si>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</si>
  <si>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</si>
  <si>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</si>
  <si>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</si>
  <si>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</si>
  <si>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</si>
  <si>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</si>
  <si>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</si>
  <si>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</si>
  <si>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</si>
  <si>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</si>
  <si>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</si>
  <si>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</si>
  <si>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</si>
  <si>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</si>
  <si>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</si>
  <si>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</si>
  <si>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</si>
  <si>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</si>
  <si>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</si>
  <si>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</si>
  <si>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</si>
  <si>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</si>
  <si>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</si>
  <si>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</si>
  <si>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Work Tour Modes All Purposes: Survey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</si>
  <si>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</si>
  <si>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</si>
  <si>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</si>
  <si>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</si>
  <si>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</si>
  <si>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</si>
  <si>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</si>
  <si>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</si>
  <si>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</si>
  <si>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</si>
  <si>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</si>
  <si>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</si>
  <si>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</si>
  <si>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</si>
  <si>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</si>
  <si>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</si>
  <si>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</si>
  <si>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</si>
  <si>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</si>
  <si>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</si>
  <si>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</si>
  <si>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</si>
  <si>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</si>
  <si>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</si>
  <si>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</si>
  <si>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</si>
  <si>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</si>
  <si>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</si>
  <si>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</si>
  <si>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</si>
  <si>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</si>
  <si>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</si>
  <si>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</si>
  <si>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</si>
  <si>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</si>
  <si>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</si>
  <si>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</si>
  <si>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</si>
  <si>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</si>
  <si>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</si>
  <si>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</si>
  <si>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</si>
  <si>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</si>
  <si>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</si>
  <si>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</si>
  <si>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</si>
  <si>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</si>
  <si>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</si>
  <si>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</si>
  <si>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</si>
  <si>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</si>
  <si>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</si>
  <si>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</si>
  <si>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</si>
  <si>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</si>
  <si>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</si>
  <si>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</si>
  <si>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</si>
  <si>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</si>
  <si>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</si>
  <si>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</si>
  <si>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</si>
  <si>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</si>
  <si>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</si>
  <si>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</si>
  <si>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</si>
  <si>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</si>
  <si>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</si>
  <si>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</si>
  <si>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</si>
  <si>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</si>
  <si>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</si>
  <si>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</si>
  <si>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</si>
  <si>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</si>
  <si>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</si>
  <si>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</si>
  <si>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</si>
  <si>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</si>
  <si>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</si>
  <si>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</si>
  <si>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</si>
  <si>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</si>
  <si>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</si>
  <si>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</si>
  <si>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</si>
  <si>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</si>
  <si>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</si>
  <si>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</si>
  <si>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</si>
  <si>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</si>
  <si>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</si>
  <si>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</si>
  <si>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</si>
  <si>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</si>
  <si>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</si>
  <si>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</si>
  <si>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</si>
  <si>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</si>
  <si>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</si>
  <si>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</si>
  <si>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</si>
  <si>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</si>
  <si>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</si>
  <si>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</si>
  <si>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</si>
  <si>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</si>
  <si>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</si>
  <si>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</si>
  <si>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</si>
  <si>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</si>
  <si>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</si>
  <si>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</si>
  <si>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</si>
  <si>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</si>
  <si>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</si>
  <si>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</si>
  <si>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</si>
  <si>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</si>
  <si>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</si>
  <si>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</si>
  <si>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</si>
  <si>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</si>
  <si>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</si>
  <si>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</si>
  <si>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</si>
  <si>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</si>
  <si>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</si>
  <si>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</si>
  <si>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</si>
  <si>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</si>
  <si>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</si>
  <si>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</si>
  <si>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</si>
  <si>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</si>
  <si>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</si>
  <si>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</si>
  <si>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</si>
  <si>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</si>
  <si>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</si>
  <si>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</si>
  <si>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</si>
  <si>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</si>
  <si>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</si>
  <si>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</si>
  <si>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</si>
  <si>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</si>
  <si>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</si>
  <si>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</si>
  <si>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Constants for each purpose</t>
  </si>
  <si>
    <t>work</t>
  </si>
  <si>
    <t>school</t>
  </si>
  <si>
    <t>Escort</t>
  </si>
  <si>
    <t>Other</t>
  </si>
  <si>
    <t>x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</si>
  <si>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</si>
  <si>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</si>
  <si>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</si>
  <si>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</si>
  <si>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</si>
  <si>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</si>
  <si>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</si>
  <si>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</si>
  <si>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</si>
  <si>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</si>
  <si>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</si>
  <si>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</si>
  <si>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</si>
  <si>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</si>
  <si>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</si>
  <si>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</si>
  <si>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Workbased</t>
  </si>
  <si>
    <t>Share</t>
  </si>
  <si>
    <t>Ratio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</si>
  <si>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</si>
  <si>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</si>
  <si>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</si>
  <si>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</si>
  <si>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</si>
  <si>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</si>
  <si>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</si>
  <si>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</si>
  <si>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</si>
  <si>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</si>
  <si>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</si>
  <si>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</si>
  <si>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</si>
  <si>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</si>
  <si>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</si>
  <si>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</si>
  <si>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</si>
  <si>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</si>
  <si>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</si>
  <si>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</si>
  <si>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</si>
  <si>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</si>
  <si>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</si>
  <si>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</si>
  <si>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</si>
  <si>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</si>
  <si>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SurveyAdjusted (Reduce transit share)</t>
  </si>
  <si>
    <t>distcont1</t>
  </si>
  <si>
    <t>distcont2</t>
  </si>
  <si>
    <t>distcont3</t>
  </si>
  <si>
    <t>distcont4</t>
  </si>
  <si>
    <t>distcont5</t>
  </si>
  <si>
    <t>distcont6</t>
  </si>
  <si>
    <t>distcont7</t>
  </si>
  <si>
    <t>distcont8</t>
  </si>
  <si>
    <t>distcont9</t>
  </si>
  <si>
    <t>distcon10</t>
  </si>
  <si>
    <t>distcon11</t>
  </si>
  <si>
    <t>011:14:23</t>
  </si>
  <si>
    <t>011:29:54</t>
  </si>
  <si>
    <t>Nov</t>
  </si>
  <si>
    <t>Theta0999</t>
  </si>
  <si>
    <t>013:20:32</t>
  </si>
  <si>
    <t>010:51:21</t>
  </si>
  <si>
    <t>Sep</t>
  </si>
  <si>
    <t>013:19:05</t>
  </si>
  <si>
    <t>Open "WorkbasedSubTourModeModel.F12" in Notepad+</t>
  </si>
  <si>
    <t>Open "OtherHomeBasedTourModeModel.F12" ini Notepad+</t>
  </si>
  <si>
    <t>Open "EscortTourModeModel.F12" ini Notepad+</t>
  </si>
  <si>
    <t>Open "SchoolTourModeModel.F12" ini Notepad+</t>
  </si>
  <si>
    <t>Open "WorkTourModeModel.F12" ini Notepad+</t>
  </si>
  <si>
    <t>WorkTourModeModel.F12</t>
  </si>
  <si>
    <t>SchoolTourModeModel.F12</t>
  </si>
  <si>
    <t>EscortTourModeModel.F12</t>
  </si>
  <si>
    <t>OtherHomeBasedTourModeModel.F12</t>
  </si>
  <si>
    <t>WorkBasedSubtourModeModel.F12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</si>
  <si>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</si>
  <si>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</si>
  <si>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</si>
  <si>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</si>
  <si>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</si>
  <si>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</si>
  <si>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</si>
  <si>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</si>
  <si>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WarkTourModeModel.F12</t>
  </si>
  <si>
    <t>Copy (Ctrl-c) cells AI3:AI49</t>
  </si>
  <si>
    <t>Open "WorkTourModeModel.F12" in UltraEdit</t>
  </si>
  <si>
    <t>Open "WorkTourModeModel.F12"</t>
  </si>
  <si>
    <t>Choose column mode and select 4th columns from line 4 to line 50</t>
  </si>
  <si>
    <t>Hold Alt and using mouse select the 4th column from line line 4 to line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</si>
</sst>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mm/dd/yyyy\ hh:mm:ss"/>
    <numFmt numFmtId="166" formatCode="0.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</cellStyleXfs>
  <cellXfs count="70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Border="1" applyFill="1" applyNumberFormat="1" borderId="0" fillId="0" fontId="0" numFmtId="3" xfId="0"/>
    <xf applyBorder="1" applyFill="1" applyNumberFormat="1" borderId="4" fillId="0" fontId="0" numFmtId="3" xfId="0"/>
    <xf applyAlignment="1" applyNumberFormat="1" borderId="0" fillId="0" fontId="0" numFmtId="3" quotePrefix="1" xfId="0">
      <alignment horizontal="right"/>
    </xf>
    <xf applyNumberFormat="1" borderId="0" fillId="0" fontId="0" numFmtId="9" xfId="0"/>
    <xf applyBorder="1" applyNumberFormat="1" borderId="4" fillId="0" fontId="0" numFmtId="9" xfId="0"/>
    <xf applyNumberFormat="1" borderId="0" fillId="0" fontId="0" numFmtId="2" xfId="0"/>
    <xf applyBorder="1" borderId="0" fillId="0" fontId="0" numFmtId="0" xfId="0"/>
    <xf applyBorder="1" applyNumberFormat="1" borderId="3" fillId="0" fontId="0" numFmtId="2" xfId="0"/>
    <xf applyBorder="1" applyNumberFormat="1" borderId="0" fillId="0" fontId="0" numFmtId="9" xfId="0"/>
    <xf applyBorder="1" applyFill="1" applyNumberFormat="1" borderId="5" fillId="0" fontId="0" numFmtId="3" xfId="0"/>
    <xf applyBorder="1" applyNumberFormat="1" borderId="5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NumberFormat="1" borderId="0" fillId="0" fontId="0" numFmtId="0" xfId="0"/>
    <xf applyBorder="1" applyNumberFormat="1" borderId="3" fillId="0" fontId="0" numFmtId="0" xfId="0"/>
    <xf applyFill="1" borderId="0" fillId="6" fontId="0" numFmtId="0" xfId="0"/>
    <xf applyNumberFormat="1" borderId="0" fillId="0" fontId="0" numFmtId="166" xfId="0"/>
    <xf applyFill="1" applyNumberFormat="1" borderId="0" fillId="6" fontId="0" numFmtId="166" xfId="0"/>
    <xf applyBorder="1" applyNumberFormat="1" borderId="0" fillId="0" fontId="0" numFmtId="2" xfId="0"/>
    <xf applyBorder="1" applyFill="1" applyFont="1" applyNumberFormat="1" borderId="0" fillId="0" fontId="6" numFmtId="3" xfId="0"/>
    <xf applyFill="1" borderId="0" fillId="0" fontId="0" numFmtId="0" xfId="0"/>
    <xf applyFill="1" applyNumberFormat="1" borderId="0" fillId="0" fontId="0" numFmtId="2" xfId="0"/>
    <xf applyFill="1" applyFont="1" borderId="0" fillId="6" fontId="6" numFmtId="0" xfId="0"/>
    <xf applyFill="1" borderId="0" fillId="7" fontId="0" numFmtId="0" xfId="0"/>
    <xf applyFill="1" applyFont="1" borderId="0" fillId="0" fontId="6" numFmtId="0" xfId="0"/>
    <xf applyFont="1" borderId="0" fillId="0" fontId="7" numFmtId="0" xfId="0"/>
    <xf applyFont="1" borderId="0" fillId="0" fontId="0" numFmtId="0" xfId="0"/>
    <xf applyFont="1" borderId="0" fillId="0" fontId="8" numFmtId="0" xfId="0"/>
    <xf applyFont="1" borderId="0" fillId="0" fontId="9" numFmtId="0" xfId="0"/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8">
    <cellStyle builtinId="0" name="Normal" xfId="0"/>
    <cellStyle name="XLConnect.Boolean" xfId="6" xr:uid="{00000000-0005-0000-0000-000001000000}"/>
    <cellStyle name="XLConnect.Date" xfId="3" xr:uid="{00000000-0005-0000-0000-000002000000}"/>
    <cellStyle name="XLConnect.DateTime" xfId="7" xr:uid="{00000000-0005-0000-0000-000003000000}"/>
    <cellStyle name="XLConnect.General" xfId="1" xr:uid="{00000000-0005-0000-0000-000004000000}"/>
    <cellStyle name="XLConnect.Header" xfId="2" xr:uid="{00000000-0005-0000-0000-000005000000}"/>
    <cellStyle name="XLConnect.Numeric" xfId="5" xr:uid="{00000000-0005-0000-0000-000006000000}"/>
    <cellStyle name="XLConnect.String" xfId="4" xr:uid="{00000000-0005-0000-0000-000007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theme/theme1.xml" Type="http://schemas.openxmlformats.org/officeDocument/2006/relationships/theme"/><Relationship Id="rId19" Target="styles.xml" Type="http://schemas.openxmlformats.org/officeDocument/2006/relationships/styles"/><Relationship Id="rId2" Target="worksheets/sheet2.xml" Type="http://schemas.openxmlformats.org/officeDocument/2006/relationships/worksheet"/><Relationship Id="rId20" Target="sharedStrings.xml" Type="http://schemas.openxmlformats.org/officeDocument/2006/relationships/sharedStrings"/><Relationship Id="rId21" Target="calcChain.xml" Type="http://schemas.openxmlformats.org/officeDocument/2006/relationships/calcChain"/><Relationship Id="rId22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F38"/>
  <sheetViews>
    <sheetView workbookViewId="0">
      <selection activeCell="E3" sqref="E3:E12"/>
    </sheetView>
  </sheetViews>
  <sheetFormatPr defaultRowHeight="15" x14ac:dyDescent="0.25"/>
  <cols>
    <col min="1" max="2" customWidth="true" width="16.7109375" collapsed="true"/>
    <col min="4" max="5" customWidth="true" width="16.7109375" collapsed="true"/>
  </cols>
  <sheetData>
    <row ht="15.75" r="2" spans="1:5" thickBot="1" x14ac:dyDescent="0.3">
      <c r="A2" s="1" t="s">
        <v>44</v>
      </c>
      <c r="B2" s="3"/>
      <c r="D2" s="1" t="s">
        <v>24</v>
      </c>
      <c r="E2" s="3"/>
    </row>
    <row r="3" spans="1:5" x14ac:dyDescent="0.25">
      <c r="A3" s="2" t="s">
        <v>0</v>
      </c>
      <c r="B3" s="7" t="s">
        <v>19</v>
      </c>
      <c r="D3" s="2" t="s">
        <v>0</v>
      </c>
      <c r="E3" s="7" t="s">
        <v>19</v>
      </c>
    </row>
    <row r="4" spans="1:5" x14ac:dyDescent="0.25">
      <c r="A4" s="9" t="s">
        <v>1</v>
      </c>
      <c r="B4" s="9">
        <f>SUM(Work!D4,Workbased!I5,School!D4,Escort!D4,Personal_Business!D4,Shop!D4,Meal!D4,SocRec!D4)</f>
        <v>1837889.4653301768</v>
      </c>
      <c r="D4" s="9" t="s">
        <v>1</v>
      </c>
      <c r="E4" s="9">
        <f>SUM(Work!I4,Workbased!S5,School!I4,Escort!I4,Personal_Business!I4,Shop!I4,Meal!I4,SocRec!I4)</f>
        <v>1524054</v>
      </c>
    </row>
    <row r="5" spans="1:5" x14ac:dyDescent="0.25">
      <c r="A5" s="9" t="s">
        <v>2</v>
      </c>
      <c r="B5" s="9">
        <f>SUM(Work!D5,Workbased!I6,School!D5,Escort!D5,Personal_Business!D5,Shop!D5,Meal!D5,SocRec!D5)</f>
        <v>1138072.6421127599</v>
      </c>
      <c r="D5" s="9" t="s">
        <v>2</v>
      </c>
      <c r="E5" s="9">
        <f>SUM(Work!I5,Workbased!S6,School!I5,Escort!I5,Personal_Business!I5,Shop!I5,Meal!I5,SocRec!I5)</f>
        <v>1108674</v>
      </c>
    </row>
    <row r="6" spans="1:5" x14ac:dyDescent="0.25">
      <c r="A6" s="9" t="s">
        <v>3</v>
      </c>
      <c r="B6" s="9">
        <f>SUM(Work!D6,Workbased!I7,School!D6,Escort!D6,Personal_Business!D6,Shop!D6,Meal!D6,SocRec!D6)</f>
        <v>1055854.4102729179</v>
      </c>
      <c r="D6" s="9" t="s">
        <v>3</v>
      </c>
      <c r="E6" s="9">
        <f>SUM(Work!I6,Workbased!S7,School!I6,Escort!I6,Personal_Business!I6,Shop!I6,Meal!I6,SocRec!I6)</f>
        <v>960951</v>
      </c>
    </row>
    <row r="7" spans="1:5" x14ac:dyDescent="0.25">
      <c r="A7" s="9" t="s">
        <v>4</v>
      </c>
      <c r="B7" s="9">
        <f>SUM(Work!D7,Workbased!I8,School!D7,Escort!D7,Personal_Business!D7,Shop!D7,Meal!D7,SocRec!D7)</f>
        <v>49663.141664877287</v>
      </c>
      <c r="D7" s="9" t="s">
        <v>4</v>
      </c>
      <c r="E7" s="9">
        <f>SUM(Work!I7,Workbased!S8,School!I7,Escort!I7,Personal_Business!I7,Shop!I7,Meal!I7,SocRec!I7)</f>
        <v>37084</v>
      </c>
    </row>
    <row r="8" spans="1:5" x14ac:dyDescent="0.25">
      <c r="A8" s="9" t="s">
        <v>5</v>
      </c>
      <c r="B8" s="9">
        <f>SUM(Work!D8,Workbased!I9,School!D8,Escort!D8,Personal_Business!D8,Shop!D8,Meal!D8,SocRec!D8)</f>
        <v>308559.52033329447</v>
      </c>
      <c r="D8" s="9" t="s">
        <v>5</v>
      </c>
      <c r="E8" s="9">
        <f>SUM(Work!I8,Workbased!S9,School!I8,Escort!I8,Personal_Business!I8,Shop!I8,Meal!I8,SocRec!I8)</f>
        <v>158638</v>
      </c>
    </row>
    <row r="9" spans="1:5" x14ac:dyDescent="0.25">
      <c r="A9" s="9" t="s">
        <v>6</v>
      </c>
      <c r="B9" s="9">
        <f>SUM(Work!D9,Workbased!I10,School!D9,Escort!D9,Personal_Business!D9,Shop!D9,Meal!D9,SocRec!D9)</f>
        <v>73446.300038408604</v>
      </c>
      <c r="D9" s="9" t="s">
        <v>6</v>
      </c>
      <c r="E9" s="9">
        <f>SUM(Work!I9,Workbased!S10,School!I9,Escort!I9,Personal_Business!I9,Shop!I9,Meal!I9,SocRec!I9)</f>
        <v>74713</v>
      </c>
    </row>
    <row r="10" spans="1:5" x14ac:dyDescent="0.25">
      <c r="A10" s="9" t="s">
        <v>7</v>
      </c>
      <c r="B10" s="9">
        <f>SUM(Work!D10,Workbased!I11,School!D10,Escort!D10,Personal_Business!D10,Shop!D10,Meal!D10,SocRec!D10)</f>
        <v>671288.95444158744</v>
      </c>
      <c r="D10" s="9" t="s">
        <v>7</v>
      </c>
      <c r="E10" s="9">
        <f>SUM(Work!I10,Workbased!S11,School!I10,Escort!I10,Personal_Business!I10,Shop!I10,Meal!I10,SocRec!I10)</f>
        <v>436297</v>
      </c>
    </row>
    <row r="11" spans="1:5" x14ac:dyDescent="0.25">
      <c r="A11" s="14" t="s">
        <v>8</v>
      </c>
      <c r="B11" s="14">
        <f>SUM(Work!D11,School!D11,Escort!D11,Personal_Business!D11,Shop!D11,Meal!D11,SocRec!D11)</f>
        <v>194255.10682920698</v>
      </c>
      <c r="D11" s="14" t="s">
        <v>8</v>
      </c>
      <c r="E11" s="14">
        <f>SUM(Work!I11,School!I11,Escort!I11,Personal_Business!I11,Shop!I11,Meal!I11,SocRec!I11)</f>
        <v>139820</v>
      </c>
    </row>
    <row ht="15.75" r="12" spans="1:5" thickBot="1" x14ac:dyDescent="0.3">
      <c r="A12" s="13" t="s">
        <v>19</v>
      </c>
      <c r="B12" s="10">
        <f>SUM(B4:B11)</f>
        <v>5329029.5410232292</v>
      </c>
      <c r="D12" s="13" t="s">
        <v>19</v>
      </c>
      <c r="E12" s="10">
        <f>SUM(E4:E11)</f>
        <v>4440231</v>
      </c>
    </row>
    <row r="14" spans="1:5" x14ac:dyDescent="0.25">
      <c r="E14" s="8"/>
    </row>
    <row ht="15.75" r="15" spans="1:5" thickBot="1" x14ac:dyDescent="0.3">
      <c r="A15" s="1" t="s">
        <v>45</v>
      </c>
      <c r="B15" s="3"/>
      <c r="D15" s="1" t="s">
        <v>25</v>
      </c>
      <c r="E15" s="3"/>
    </row>
    <row r="16" spans="1:5" x14ac:dyDescent="0.2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25">
      <c r="A17" s="9" t="s">
        <v>1</v>
      </c>
      <c r="B17" s="16">
        <f ref="B17:B25" si="0" t="shared">B4/$B$12</f>
        <v>0.34488258156236129</v>
      </c>
      <c r="D17" s="9" t="s">
        <v>1</v>
      </c>
      <c r="E17" s="16">
        <f ref="E17:E25" si="1" t="shared">E4/$E$12</f>
        <v>0.34323754777623056</v>
      </c>
    </row>
    <row r="18" spans="1:5" x14ac:dyDescent="0.25">
      <c r="A18" s="9" t="s">
        <v>2</v>
      </c>
      <c r="B18" s="16">
        <f si="0" t="shared"/>
        <v>0.2135609557709898</v>
      </c>
      <c r="D18" s="9" t="s">
        <v>2</v>
      </c>
      <c r="E18" s="16">
        <f si="1" t="shared"/>
        <v>0.24968836080825524</v>
      </c>
    </row>
    <row r="19" spans="1:5" x14ac:dyDescent="0.25">
      <c r="A19" s="9" t="s">
        <v>3</v>
      </c>
      <c r="B19" s="16">
        <f si="0" t="shared"/>
        <v>0.19813258720839871</v>
      </c>
      <c r="D19" s="9" t="s">
        <v>3</v>
      </c>
      <c r="E19" s="16">
        <f si="1" t="shared"/>
        <v>0.21641914576065974</v>
      </c>
    </row>
    <row r="20" spans="1:5" x14ac:dyDescent="0.25">
      <c r="A20" s="9" t="s">
        <v>4</v>
      </c>
      <c r="B20" s="16">
        <f si="0" t="shared"/>
        <v>9.3193594223051433E-3</v>
      </c>
      <c r="D20" s="9" t="s">
        <v>4</v>
      </c>
      <c r="E20" s="16">
        <f si="1" t="shared"/>
        <v>8.3518177320053844E-3</v>
      </c>
    </row>
    <row r="21" spans="1:5" x14ac:dyDescent="0.25">
      <c r="A21" s="9" t="s">
        <v>5</v>
      </c>
      <c r="B21" s="16">
        <f si="0" t="shared"/>
        <v>5.7901634426677964E-2</v>
      </c>
      <c r="D21" s="9" t="s">
        <v>5</v>
      </c>
      <c r="E21" s="16">
        <f si="1" t="shared"/>
        <v>3.5727420487807957E-2</v>
      </c>
    </row>
    <row r="22" spans="1:5" x14ac:dyDescent="0.25">
      <c r="A22" s="9" t="s">
        <v>6</v>
      </c>
      <c r="B22" s="16">
        <f si="0" t="shared"/>
        <v>1.378230303904567E-2</v>
      </c>
      <c r="D22" s="9" t="s">
        <v>6</v>
      </c>
      <c r="E22" s="16">
        <f si="1" t="shared"/>
        <v>1.6826376825890364E-2</v>
      </c>
    </row>
    <row r="23" spans="1:5" x14ac:dyDescent="0.25">
      <c r="A23" s="9" t="s">
        <v>7</v>
      </c>
      <c r="B23" s="16">
        <f si="0" t="shared"/>
        <v>0.12596833049506664</v>
      </c>
      <c r="D23" s="9" t="s">
        <v>7</v>
      </c>
      <c r="E23" s="16">
        <f si="1" t="shared"/>
        <v>9.8259977915563401E-2</v>
      </c>
    </row>
    <row r="24" spans="1:5" x14ac:dyDescent="0.25">
      <c r="A24" s="14" t="s">
        <v>8</v>
      </c>
      <c r="B24" s="17">
        <f si="0" t="shared"/>
        <v>3.6452248075154785E-2</v>
      </c>
      <c r="D24" s="14" t="s">
        <v>8</v>
      </c>
      <c r="E24" s="17">
        <f si="1" t="shared"/>
        <v>3.1489352693587339E-2</v>
      </c>
    </row>
    <row ht="15.75" r="25" spans="1:5" thickBot="1" x14ac:dyDescent="0.3">
      <c r="A25" s="13" t="s">
        <v>19</v>
      </c>
      <c r="B25" s="18">
        <f si="0" t="shared"/>
        <v>1</v>
      </c>
      <c r="D25" s="13" t="s">
        <v>19</v>
      </c>
      <c r="E25" s="18">
        <f si="1" t="shared"/>
        <v>1</v>
      </c>
    </row>
    <row ht="15.75" r="28" spans="1:5" thickBot="1" x14ac:dyDescent="0.3">
      <c r="D28" s="1" t="s">
        <v>26</v>
      </c>
      <c r="E28" s="3"/>
    </row>
    <row r="29" spans="1:5" x14ac:dyDescent="0.25">
      <c r="D29" s="2" t="s">
        <v>0</v>
      </c>
      <c r="E29" s="7" t="s">
        <v>19</v>
      </c>
    </row>
    <row r="30" spans="1:5" x14ac:dyDescent="0.25">
      <c r="D30" s="9" t="s">
        <v>1</v>
      </c>
      <c r="E30" s="16">
        <f>E17-B17</f>
        <v>-1.645033786130734E-3</v>
      </c>
    </row>
    <row r="31" spans="1:5" x14ac:dyDescent="0.25">
      <c r="D31" s="9" t="s">
        <v>2</v>
      </c>
      <c r="E31" s="16">
        <f ref="E31:E36" si="2" t="shared">E18-B18</f>
        <v>3.6127405037265442E-2</v>
      </c>
    </row>
    <row r="32" spans="1:5" x14ac:dyDescent="0.25">
      <c r="D32" s="9" t="s">
        <v>3</v>
      </c>
      <c r="E32" s="16">
        <f si="2" t="shared"/>
        <v>1.8286558552261023E-2</v>
      </c>
    </row>
    <row r="33" spans="4:5" x14ac:dyDescent="0.25">
      <c r="D33" s="9" t="s">
        <v>4</v>
      </c>
      <c r="E33" s="16">
        <f si="2" t="shared"/>
        <v>-9.6754169029975891E-4</v>
      </c>
    </row>
    <row r="34" spans="4:5" x14ac:dyDescent="0.25">
      <c r="D34" s="9" t="s">
        <v>5</v>
      </c>
      <c r="E34" s="16">
        <f si="2" t="shared"/>
        <v>-2.2174213938870008E-2</v>
      </c>
    </row>
    <row r="35" spans="4:5" x14ac:dyDescent="0.25">
      <c r="D35" s="9" t="s">
        <v>6</v>
      </c>
      <c r="E35" s="16">
        <f si="2" t="shared"/>
        <v>3.0440737868446931E-3</v>
      </c>
    </row>
    <row r="36" spans="4:5" x14ac:dyDescent="0.25">
      <c r="D36" s="9" t="s">
        <v>7</v>
      </c>
      <c r="E36" s="16">
        <f si="2" t="shared"/>
        <v>-2.7708352579503243E-2</v>
      </c>
    </row>
    <row r="37" spans="4:5" x14ac:dyDescent="0.25">
      <c r="D37" s="14" t="s">
        <v>8</v>
      </c>
      <c r="E37" s="17">
        <f>E24-B24</f>
        <v>-4.9628953815674462E-3</v>
      </c>
    </row>
    <row ht="15.75" r="38" spans="4:5" thickBot="1" x14ac:dyDescent="0.3">
      <c r="D38" s="13" t="s">
        <v>19</v>
      </c>
      <c r="E38" s="18">
        <f>E25-B25</f>
        <v>0</v>
      </c>
    </row>
  </sheetData>
  <pageMargins bottom="0.75" footer="0.3" header="0.3" left="0.7" right="0.7" top="0.75"/>
  <pageSetup orientation="portrait"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46</v>
      </c>
      <c r="B2" s="1"/>
      <c r="C2" s="3"/>
      <c r="D2" s="3"/>
      <c r="F2" s="1" t="s">
        <v>11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685.5322932921999</v>
      </c>
      <c r="C4" s="9" t="n">
        <v>912774.8137945666</v>
      </c>
      <c r="D4" s="9">
        <f>SUM(B4:C4)</f>
        <v>913460.34608785878</v>
      </c>
      <c r="F4" s="9" t="s">
        <v>1</v>
      </c>
      <c r="G4" s="9" t="n">
        <v>0.0</v>
      </c>
      <c r="H4" s="9" t="n">
        <v>858406.0</v>
      </c>
      <c r="I4" s="9">
        <f>SUM(G4:H4)</f>
        <v>853091</v>
      </c>
    </row>
    <row r="5" spans="1:9" x14ac:dyDescent="0.25">
      <c r="A5" s="9" t="s">
        <v>2</v>
      </c>
      <c r="B5" s="9" t="n">
        <v>2607.3955390933997</v>
      </c>
      <c r="C5" s="9" t="n">
        <v>195418.5127860848</v>
      </c>
      <c r="D5" s="9">
        <f ref="D5:D11" si="0" t="shared">SUM(B5:C5)</f>
        <v>198025.9083251782</v>
      </c>
      <c r="F5" s="9" t="s">
        <v>2</v>
      </c>
      <c r="G5" s="9" t="n">
        <v>5498.0</v>
      </c>
      <c r="H5" s="9" t="n">
        <v>209968.0</v>
      </c>
      <c r="I5" s="9">
        <f ref="I5:I11" si="1" t="shared">SUM(G5:H5)</f>
        <v>214032</v>
      </c>
    </row>
    <row r="6" spans="1:9" x14ac:dyDescent="0.25">
      <c r="A6" s="9" t="s">
        <v>3</v>
      </c>
      <c r="B6" s="9" t="n">
        <v>785.8655753408</v>
      </c>
      <c r="C6" s="9" t="n">
        <v>109298.8563192352</v>
      </c>
      <c r="D6" s="9">
        <f si="0" t="shared"/>
        <v>110084.721894576</v>
      </c>
      <c r="F6" s="9" t="s">
        <v>3</v>
      </c>
      <c r="G6" s="9" t="n">
        <v>2910.0</v>
      </c>
      <c r="H6" s="9" t="n">
        <v>113254.0</v>
      </c>
      <c r="I6" s="9">
        <f si="1" t="shared"/>
        <v>115429</v>
      </c>
    </row>
    <row r="7" spans="1:9" x14ac:dyDescent="0.25">
      <c r="A7" s="9" t="s">
        <v>4</v>
      </c>
      <c r="B7" s="9" t="n">
        <v>10.4025</v>
      </c>
      <c r="C7" s="9" t="n">
        <v>41116.6460954404</v>
      </c>
      <c r="D7" s="9">
        <f si="0" t="shared"/>
        <v>41127.048595440399</v>
      </c>
      <c r="F7" s="9" t="s">
        <v>4</v>
      </c>
      <c r="G7" s="9" t="n">
        <v>2482.0</v>
      </c>
      <c r="H7" s="9" t="n">
        <v>35790.0</v>
      </c>
      <c r="I7" s="9">
        <f si="1" t="shared"/>
        <v>37084</v>
      </c>
    </row>
    <row r="8" spans="1:9" x14ac:dyDescent="0.25">
      <c r="A8" s="9" t="s">
        <v>5</v>
      </c>
      <c r="B8" s="9" t="n">
        <v>34551.6311380029</v>
      </c>
      <c r="C8" s="9" t="n">
        <v>133408.4000449238</v>
      </c>
      <c r="D8" s="9">
        <f si="0" t="shared"/>
        <v>167960.0311829267</v>
      </c>
      <c r="F8" s="9" t="s">
        <v>5</v>
      </c>
      <c r="G8" s="9" t="n">
        <v>24879.0</v>
      </c>
      <c r="H8" s="9" t="n">
        <v>88124.0</v>
      </c>
      <c r="I8" s="9">
        <f si="1" t="shared"/>
        <v>110073</v>
      </c>
    </row>
    <row r="9" spans="1:9" x14ac:dyDescent="0.25">
      <c r="A9" s="9" t="s">
        <v>6</v>
      </c>
      <c r="B9" s="9" t="n">
        <v>3006.0014558363</v>
      </c>
      <c r="C9" s="9" t="n">
        <v>33532.8935841053</v>
      </c>
      <c r="D9" s="9">
        <f si="0" t="shared"/>
        <v>36538.895039941606</v>
      </c>
      <c r="F9" s="9" t="s">
        <v>6</v>
      </c>
      <c r="G9" s="9" t="n">
        <v>6561.0</v>
      </c>
      <c r="H9" s="9" t="n">
        <v>20832.0</v>
      </c>
      <c r="I9" s="9">
        <f si="1" t="shared"/>
        <v>26635</v>
      </c>
    </row>
    <row r="10" spans="1:9" x14ac:dyDescent="0.25">
      <c r="A10" s="9" t="s">
        <v>7</v>
      </c>
      <c r="B10" s="9" t="n">
        <v>9248.5659279849</v>
      </c>
      <c r="C10" s="9" t="n">
        <v>28869.9224513057</v>
      </c>
      <c r="D10" s="9">
        <f si="0" t="shared"/>
        <v>38118.488379290604</v>
      </c>
      <c r="F10" s="9" t="s">
        <v>7</v>
      </c>
      <c r="G10" s="9" t="n">
        <v>3495.0</v>
      </c>
      <c r="H10" s="9" t="n">
        <v>11808.0</v>
      </c>
      <c r="I10" s="9">
        <f si="1" t="shared"/>
        <v>15176</v>
      </c>
    </row>
    <row r="11" spans="1:9" x14ac:dyDescent="0.25">
      <c r="A11" s="14" t="s">
        <v>8</v>
      </c>
      <c r="B11" s="14" t="n">
        <v>0.0</v>
      </c>
      <c r="C11" s="14" t="n">
        <v>471.694905567</v>
      </c>
      <c r="D11" s="14">
        <f si="0" t="shared"/>
        <v>471.69490556699998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50895.394429550499</v>
      </c>
      <c r="C12" s="10">
        <f>SUM(C4:C11)</f>
        <v>1454891.739981229</v>
      </c>
      <c r="D12" s="10">
        <f>SUM(D4:D11)</f>
        <v>1505787.1344107792</v>
      </c>
      <c r="F12" s="13" t="s">
        <v>19</v>
      </c>
      <c r="G12" s="10">
        <f>SUM(G4:G11)</f>
        <v>45399</v>
      </c>
      <c r="H12" s="10">
        <f>SUM(H4:H11)</f>
        <v>1326121</v>
      </c>
      <c r="I12" s="10">
        <f>SUM(I4:I11)</f>
        <v>1371520</v>
      </c>
    </row>
    <row r="14" spans="1:9" x14ac:dyDescent="0.25">
      <c r="G14" s="8"/>
      <c r="H14" s="8"/>
      <c r="I14" s="8"/>
    </row>
    <row ht="15.75" r="15" spans="1:9" thickBot="1" x14ac:dyDescent="0.3">
      <c r="A15" s="1" t="s">
        <v>46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4.5526507540552975E-4</v>
      </c>
      <c r="C17" s="16">
        <f ref="C17:D17" si="2" t="shared">C4/$D$12</f>
        <v>0.60617785405089086</v>
      </c>
      <c r="D17" s="16">
        <f si="2" t="shared"/>
        <v>0.60663311912629647</v>
      </c>
      <c r="F17" s="9" t="s">
        <v>1</v>
      </c>
      <c r="G17" s="16">
        <f ref="G17:I25" si="3" t="shared">G4/$I$12</f>
        <v>0</v>
      </c>
      <c r="H17" s="16">
        <f si="3" t="shared"/>
        <v>0.62200405389640689</v>
      </c>
      <c r="I17" s="16">
        <f si="3" t="shared"/>
        <v>0.62200405389640689</v>
      </c>
    </row>
    <row r="18" spans="1:14" x14ac:dyDescent="0.25">
      <c r="A18" s="9" t="s">
        <v>2</v>
      </c>
      <c r="B18" s="16">
        <f ref="B18:D18" si="4" t="shared">B5/$D$12</f>
        <v>1.731583090005404E-3</v>
      </c>
      <c r="C18" s="16">
        <f si="4" t="shared"/>
        <v>0.12977831216664823</v>
      </c>
      <c r="D18" s="16">
        <f si="4" t="shared"/>
        <v>0.13150989525665363</v>
      </c>
      <c r="F18" s="9" t="s">
        <v>2</v>
      </c>
      <c r="G18" s="16">
        <f si="3" t="shared"/>
        <v>4.085248483434438E-3</v>
      </c>
      <c r="H18" s="16">
        <f si="3" t="shared"/>
        <v>0.15196934787680821</v>
      </c>
      <c r="I18" s="16">
        <f si="3" t="shared"/>
        <v>0.15605459636024266</v>
      </c>
    </row>
    <row r="19" spans="1:14" x14ac:dyDescent="0.25">
      <c r="A19" s="9" t="s">
        <v>3</v>
      </c>
      <c r="B19" s="16">
        <f ref="B19:D19" si="5" t="shared">B6/$D$12</f>
        <v>5.2189685871390607E-4</v>
      </c>
      <c r="C19" s="16">
        <f si="5" t="shared"/>
        <v>7.2585861455114836E-2</v>
      </c>
      <c r="D19" s="16">
        <f si="5" t="shared"/>
        <v>7.3107758313828736E-2</v>
      </c>
      <c r="F19" s="9" t="s">
        <v>3</v>
      </c>
      <c r="G19" s="16">
        <f si="3" t="shared"/>
        <v>2.1603768082127856E-3</v>
      </c>
      <c r="H19" s="16">
        <f si="3" t="shared"/>
        <v>8.2000991600559958E-2</v>
      </c>
      <c r="I19" s="16">
        <f si="3" t="shared"/>
        <v>8.4161368408772752E-2</v>
      </c>
    </row>
    <row r="20" spans="1:14" x14ac:dyDescent="0.25">
      <c r="A20" s="9" t="s">
        <v>4</v>
      </c>
      <c r="B20" s="16">
        <f ref="B20:D20" si="6" t="shared">B7/$D$12</f>
        <v>6.9083469783201077E-6</v>
      </c>
      <c r="C20" s="16">
        <f si="6" t="shared"/>
        <v>2.7305749369102902E-2</v>
      </c>
      <c r="D20" s="16">
        <f si="6" t="shared"/>
        <v>2.7312657716081219E-2</v>
      </c>
      <c r="F20" s="9" t="s">
        <v>4</v>
      </c>
      <c r="G20" s="16">
        <f si="3" t="shared"/>
        <v>1.7170730284647691E-3</v>
      </c>
      <c r="H20" s="16">
        <f si="3" t="shared"/>
        <v>2.532154106392907E-2</v>
      </c>
      <c r="I20" s="16">
        <f si="3" t="shared"/>
        <v>2.7038614092393842E-2</v>
      </c>
    </row>
    <row r="21" spans="1:14" x14ac:dyDescent="0.25">
      <c r="A21" s="9" t="s">
        <v>5</v>
      </c>
      <c r="B21" s="16">
        <f ref="B21:D21" si="7" t="shared">B8/$D$12</f>
        <v>2.2945893445638382E-2</v>
      </c>
      <c r="C21" s="16">
        <f si="7" t="shared"/>
        <v>8.859711774408742E-2</v>
      </c>
      <c r="D21" s="16">
        <f si="7" t="shared"/>
        <v>0.1115430111897258</v>
      </c>
      <c r="F21" s="9" t="s">
        <v>5</v>
      </c>
      <c r="G21" s="16">
        <f si="3" t="shared"/>
        <v>1.781235417638824E-2</v>
      </c>
      <c r="H21" s="16">
        <f si="3" t="shared"/>
        <v>6.2443857909472704E-2</v>
      </c>
      <c r="I21" s="16">
        <f si="3" t="shared"/>
        <v>8.0256212085860937E-2</v>
      </c>
    </row>
    <row r="22" spans="1:14" x14ac:dyDescent="0.25">
      <c r="A22" s="9" t="s">
        <v>6</v>
      </c>
      <c r="B22" s="16">
        <f ref="B22:D22" si="8" t="shared">B9/$D$12</f>
        <v>1.9962990698632584E-3</v>
      </c>
      <c r="C22" s="16">
        <f si="8" t="shared"/>
        <v>2.2269345259897485E-2</v>
      </c>
      <c r="D22" s="16">
        <f si="8" t="shared"/>
        <v>2.4265644329760746E-2</v>
      </c>
      <c r="F22" s="9" t="s">
        <v>6</v>
      </c>
      <c r="G22" s="16">
        <f si="3" t="shared"/>
        <v>4.7669738684087727E-3</v>
      </c>
      <c r="H22" s="16">
        <f si="3" t="shared"/>
        <v>1.4653085627624825E-2</v>
      </c>
      <c r="I22" s="16">
        <f si="3" t="shared"/>
        <v>1.9420059496033596E-2</v>
      </c>
    </row>
    <row r="23" spans="1:14" x14ac:dyDescent="0.25">
      <c r="A23" s="9" t="s">
        <v>7</v>
      </c>
      <c r="B23" s="16">
        <f ref="B23:D23" si="9" t="shared">B10/$D$12</f>
        <v>6.1420141775908469E-3</v>
      </c>
      <c r="C23" s="16">
        <f si="9" t="shared"/>
        <v>1.91726451844089E-2</v>
      </c>
      <c r="D23" s="16">
        <f si="9" t="shared"/>
        <v>2.5314659361999746E-2</v>
      </c>
      <c r="F23" s="9" t="s">
        <v>7</v>
      </c>
      <c r="G23" s="16">
        <f si="3" t="shared"/>
        <v>2.5592043863742419E-3</v>
      </c>
      <c r="H23" s="16">
        <f si="3" t="shared"/>
        <v>8.5058912739150727E-3</v>
      </c>
      <c r="I23" s="16">
        <f si="3" t="shared"/>
        <v>1.1065095660289313E-2</v>
      </c>
    </row>
    <row r="24" spans="1:14" x14ac:dyDescent="0.25">
      <c r="A24" s="14" t="s">
        <v>8</v>
      </c>
      <c r="B24" s="17">
        <f ref="B24:D24" si="10" t="shared">B11/$D$12</f>
        <v>0</v>
      </c>
      <c r="C24" s="17">
        <f si="10" t="shared"/>
        <v>3.1325470565371521E-4</v>
      </c>
      <c r="D24" s="17">
        <f si="10" t="shared"/>
        <v>3.1325470565371521E-4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ref="B25:D25" si="11" t="shared">B12/$D$12</f>
        <v>3.379986006419565E-2</v>
      </c>
      <c r="C25" s="18">
        <f si="11" t="shared"/>
        <v>0.96620013993580456</v>
      </c>
      <c r="D25" s="18">
        <f si="11" t="shared"/>
        <v>1</v>
      </c>
      <c r="F25" s="13" t="s">
        <v>19</v>
      </c>
      <c r="G25" s="18">
        <f si="3" t="shared"/>
        <v>3.3101230751283246E-2</v>
      </c>
      <c r="H25" s="18">
        <f si="3" t="shared"/>
        <v>0.96689876924871676</v>
      </c>
      <c r="I25" s="18">
        <f si="3" t="shared"/>
        <v>1</v>
      </c>
    </row>
    <row ht="15.75" r="28" spans="1:14" thickBot="1" x14ac:dyDescent="0.3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12" t="shared">G17-B17</f>
        <v>-4.5526507540552975E-4</v>
      </c>
      <c r="H30" s="16">
        <f ref="H30:H38" si="13" t="shared">H17-C17</f>
        <v>1.5826199845516031E-2</v>
      </c>
      <c r="I30" s="16">
        <f ref="I30:I38" si="14" t="shared">I17-D17</f>
        <v>1.5370934770110423E-2</v>
      </c>
      <c r="K30" s="23" t="s">
        <v>1</v>
      </c>
      <c r="L30" s="24">
        <f>D17</f>
        <v>0.60663311912629647</v>
      </c>
      <c r="M30" s="24">
        <f ref="M30:M38" si="15" t="shared">I17</f>
        <v>0.62200405389640689</v>
      </c>
      <c r="N30" s="24">
        <f>M30-L30</f>
        <v>1.5370934770110423E-2</v>
      </c>
    </row>
    <row r="31" spans="1:14" x14ac:dyDescent="0.25">
      <c r="F31" s="9" t="s">
        <v>2</v>
      </c>
      <c r="G31" s="16">
        <f si="12" t="shared"/>
        <v>2.3536653934290337E-3</v>
      </c>
      <c r="H31" s="16">
        <f si="13" t="shared"/>
        <v>2.2191035710159984E-2</v>
      </c>
      <c r="I31" s="16">
        <f si="14" t="shared"/>
        <v>2.4544701103589028E-2</v>
      </c>
      <c r="K31" s="30" t="s">
        <v>2</v>
      </c>
      <c r="L31" s="31">
        <f ref="L31:L38" si="16" t="shared">D18</f>
        <v>0.13150989525665363</v>
      </c>
      <c r="M31" s="31">
        <f si="15" t="shared"/>
        <v>0.15605459636024266</v>
      </c>
      <c r="N31" s="31">
        <f ref="N31:N38" si="17" t="shared">M31-L31</f>
        <v>2.4544701103589028E-2</v>
      </c>
    </row>
    <row r="32" spans="1:14" x14ac:dyDescent="0.25">
      <c r="F32" s="9" t="s">
        <v>3</v>
      </c>
      <c r="G32" s="16">
        <f si="12" t="shared"/>
        <v>1.6384799494988797E-3</v>
      </c>
      <c r="H32" s="16">
        <f si="13" t="shared"/>
        <v>9.4151301454451219E-3</v>
      </c>
      <c r="I32" s="16">
        <f si="14" t="shared"/>
        <v>1.1053610094944016E-2</v>
      </c>
      <c r="K32" s="23" t="s">
        <v>3</v>
      </c>
      <c r="L32" s="24">
        <f si="16" t="shared"/>
        <v>7.3107758313828736E-2</v>
      </c>
      <c r="M32" s="24">
        <f si="15" t="shared"/>
        <v>8.4161368408772752E-2</v>
      </c>
      <c r="N32" s="24">
        <f si="17" t="shared"/>
        <v>1.1053610094944016E-2</v>
      </c>
    </row>
    <row r="33" spans="6:14" x14ac:dyDescent="0.25">
      <c r="F33" s="9" t="s">
        <v>4</v>
      </c>
      <c r="G33" s="16">
        <f si="12" t="shared"/>
        <v>1.710164681486449E-3</v>
      </c>
      <c r="H33" s="16">
        <f si="13" t="shared"/>
        <v>-1.9842083051738318E-3</v>
      </c>
      <c r="I33" s="16">
        <f si="14" t="shared"/>
        <v>-2.7404362368737764E-4</v>
      </c>
      <c r="K33" s="30" t="s">
        <v>4</v>
      </c>
      <c r="L33" s="31">
        <f si="16" t="shared"/>
        <v>2.7312657716081219E-2</v>
      </c>
      <c r="M33" s="31">
        <f si="15" t="shared"/>
        <v>2.7038614092393842E-2</v>
      </c>
      <c r="N33" s="31">
        <f si="17" t="shared"/>
        <v>-2.7404362368737764E-4</v>
      </c>
    </row>
    <row r="34" spans="6:14" x14ac:dyDescent="0.25">
      <c r="F34" s="9" t="s">
        <v>5</v>
      </c>
      <c r="G34" s="16">
        <f si="12" t="shared"/>
        <v>-5.1335392692501425E-3</v>
      </c>
      <c r="H34" s="16">
        <f si="13" t="shared"/>
        <v>-2.6153259834614716E-2</v>
      </c>
      <c r="I34" s="16">
        <f si="14" t="shared"/>
        <v>-3.1286799103864865E-2</v>
      </c>
      <c r="K34" s="23" t="s">
        <v>5</v>
      </c>
      <c r="L34" s="24">
        <f si="16" t="shared"/>
        <v>0.1115430111897258</v>
      </c>
      <c r="M34" s="24">
        <f si="15" t="shared"/>
        <v>8.0256212085860937E-2</v>
      </c>
      <c r="N34" s="24">
        <f si="17" t="shared"/>
        <v>-3.1286799103864865E-2</v>
      </c>
    </row>
    <row r="35" spans="6:14" x14ac:dyDescent="0.25">
      <c r="F35" s="9" t="s">
        <v>6</v>
      </c>
      <c r="G35" s="16">
        <f si="12" t="shared"/>
        <v>2.7706747985455143E-3</v>
      </c>
      <c r="H35" s="16">
        <f si="13" t="shared"/>
        <v>-7.6162596322726598E-3</v>
      </c>
      <c r="I35" s="16">
        <f si="14" t="shared"/>
        <v>-4.8455848337271498E-3</v>
      </c>
      <c r="K35" s="30" t="s">
        <v>6</v>
      </c>
      <c r="L35" s="31">
        <f si="16" t="shared"/>
        <v>2.4265644329760746E-2</v>
      </c>
      <c r="M35" s="31">
        <f si="15" t="shared"/>
        <v>1.9420059496033596E-2</v>
      </c>
      <c r="N35" s="31">
        <f si="17" t="shared"/>
        <v>-4.8455848337271498E-3</v>
      </c>
    </row>
    <row r="36" spans="6:14" x14ac:dyDescent="0.25">
      <c r="F36" s="9" t="s">
        <v>7</v>
      </c>
      <c r="G36" s="16">
        <f si="12" t="shared"/>
        <v>-3.582809791216605E-3</v>
      </c>
      <c r="H36" s="16">
        <f si="13" t="shared"/>
        <v>-1.0666753910493827E-2</v>
      </c>
      <c r="I36" s="16">
        <f si="14" t="shared"/>
        <v>-1.4249563701710433E-2</v>
      </c>
      <c r="K36" s="23" t="s">
        <v>7</v>
      </c>
      <c r="L36" s="24">
        <f si="16" t="shared"/>
        <v>2.5314659361999746E-2</v>
      </c>
      <c r="M36" s="24">
        <f si="15" t="shared"/>
        <v>1.1065095660289313E-2</v>
      </c>
      <c r="N36" s="24">
        <f si="17" t="shared"/>
        <v>-1.4249563701710433E-2</v>
      </c>
    </row>
    <row r="37" spans="6:14" x14ac:dyDescent="0.25">
      <c r="F37" s="14" t="s">
        <v>8</v>
      </c>
      <c r="G37" s="17">
        <f si="12" t="shared"/>
        <v>0</v>
      </c>
      <c r="H37" s="17">
        <f si="13" t="shared"/>
        <v>-3.1325470565371521E-4</v>
      </c>
      <c r="I37" s="17">
        <f si="14" t="shared"/>
        <v>-3.1325470565371521E-4</v>
      </c>
      <c r="K37" s="32" t="s">
        <v>8</v>
      </c>
      <c r="L37" s="33">
        <f si="16" t="shared"/>
        <v>3.1325470565371521E-4</v>
      </c>
      <c r="M37" s="33">
        <f si="15" t="shared"/>
        <v>0</v>
      </c>
      <c r="N37" s="33">
        <f si="17" t="shared"/>
        <v>-3.1325470565371521E-4</v>
      </c>
    </row>
    <row ht="15.75" r="38" spans="6:14" thickBot="1" x14ac:dyDescent="0.3">
      <c r="F38" s="13" t="s">
        <v>19</v>
      </c>
      <c r="G38" s="18">
        <f si="12" t="shared"/>
        <v>-6.9862931291240354E-4</v>
      </c>
      <c r="H38" s="18">
        <f si="13" t="shared"/>
        <v>6.9862931291220232E-4</v>
      </c>
      <c r="I38" s="18">
        <f si="14" t="shared"/>
        <v>0</v>
      </c>
      <c r="K38" s="25" t="s">
        <v>19</v>
      </c>
      <c r="L38" s="26">
        <f si="16" t="shared"/>
        <v>1</v>
      </c>
      <c r="M38" s="26">
        <f si="15" t="shared"/>
        <v>1</v>
      </c>
      <c r="N38" s="26">
        <f si="17" t="shared"/>
        <v>0</v>
      </c>
    </row>
  </sheetData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48</v>
      </c>
      <c r="B2" s="1"/>
      <c r="C2" s="3"/>
      <c r="D2" s="3"/>
      <c r="F2" s="1" t="s">
        <v>12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5.20125</v>
      </c>
      <c r="C4" s="9" t="n">
        <v>76414.5680027401</v>
      </c>
      <c r="D4" s="9">
        <f>SUM(B4:C4)</f>
        <v>76419.769252740094</v>
      </c>
      <c r="E4" s="9"/>
      <c r="F4" s="9" t="s">
        <v>1</v>
      </c>
      <c r="G4" s="9" t="n">
        <v>0.0</v>
      </c>
      <c r="H4" s="9" t="n">
        <v>47102.0</v>
      </c>
      <c r="I4" s="9">
        <f>SUM(G4:H4)</f>
        <v>46071</v>
      </c>
    </row>
    <row r="5" spans="1:9" x14ac:dyDescent="0.25">
      <c r="A5" s="9" t="s">
        <v>2</v>
      </c>
      <c r="B5" s="9" t="n">
        <v>221.8325</v>
      </c>
      <c r="C5" s="9" t="n">
        <v>111469.5378760396</v>
      </c>
      <c r="D5" s="9">
        <f ref="D5:D12" si="0" t="shared">SUM(B5:C5)</f>
        <v>111691.3703760396</v>
      </c>
      <c r="E5" s="9"/>
      <c r="F5" s="9" t="s">
        <v>2</v>
      </c>
      <c r="G5" s="9" t="n">
        <v>2290.0</v>
      </c>
      <c r="H5" s="9" t="n">
        <v>76998.0</v>
      </c>
      <c r="I5" s="9">
        <f ref="I5:I12" si="1" t="shared">SUM(G5:H5)</f>
        <v>78177</v>
      </c>
    </row>
    <row r="6" spans="1:9" x14ac:dyDescent="0.25">
      <c r="A6" s="9" t="s">
        <v>3</v>
      </c>
      <c r="B6" s="9" t="n">
        <v>1143.620625</v>
      </c>
      <c r="C6" s="9" t="n">
        <v>193821.371805183</v>
      </c>
      <c r="D6" s="9">
        <f si="0" t="shared"/>
        <v>194964.99243018302</v>
      </c>
      <c r="E6" s="9"/>
      <c r="F6" s="9" t="s">
        <v>3</v>
      </c>
      <c r="G6" s="9" t="n">
        <v>3015.0</v>
      </c>
      <c r="H6" s="9" t="n">
        <v>129666.0</v>
      </c>
      <c r="I6" s="9">
        <f si="1" t="shared"/>
        <v>130535</v>
      </c>
    </row>
    <row r="7" spans="1:9" x14ac:dyDescent="0.25">
      <c r="A7" s="9" t="s">
        <v>4</v>
      </c>
      <c r="B7" s="9" t="n">
        <v>14.49375</v>
      </c>
      <c r="C7" s="9" t="n">
        <v>5494.719707688</v>
      </c>
      <c r="D7" s="9">
        <f si="0" t="shared"/>
        <v>5509.2134576879998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9190.8316878318</v>
      </c>
      <c r="C8" s="9" t="n">
        <v>33327.7120561602</v>
      </c>
      <c r="D8" s="9">
        <f si="0" t="shared"/>
        <v>42518.543743991999</v>
      </c>
      <c r="E8" s="9"/>
      <c r="F8" s="9" t="s">
        <v>5</v>
      </c>
      <c r="G8" s="9" t="n">
        <v>4027.0</v>
      </c>
      <c r="H8" s="9" t="n">
        <v>17978.0</v>
      </c>
      <c r="I8" s="9">
        <f si="1" t="shared"/>
        <v>22065</v>
      </c>
    </row>
    <row r="9" spans="1:9" x14ac:dyDescent="0.25">
      <c r="A9" s="9" t="s">
        <v>6</v>
      </c>
      <c r="B9" s="9" t="n">
        <v>659.070115641</v>
      </c>
      <c r="C9" s="9" t="n">
        <v>7212.814251594</v>
      </c>
      <c r="D9" s="9">
        <f si="0" t="shared"/>
        <v>7871.8843672349994</v>
      </c>
      <c r="E9" s="9"/>
      <c r="F9" s="9" t="s">
        <v>6</v>
      </c>
      <c r="G9" s="9" t="n">
        <v>950.0</v>
      </c>
      <c r="H9" s="9" t="n">
        <v>5456.0</v>
      </c>
      <c r="I9" s="9">
        <f si="1" t="shared"/>
        <v>6473</v>
      </c>
    </row>
    <row r="10" spans="1:9" x14ac:dyDescent="0.25">
      <c r="A10" s="9" t="s">
        <v>7</v>
      </c>
      <c r="B10" s="9" t="n">
        <v>12917.9071079409</v>
      </c>
      <c r="C10" s="9" t="n">
        <v>42497.9065218635</v>
      </c>
      <c r="D10" s="9">
        <f si="0" t="shared"/>
        <v>55415.813629804397</v>
      </c>
      <c r="E10" s="9"/>
      <c r="F10" s="9" t="s">
        <v>7</v>
      </c>
      <c r="G10" s="9" t="n">
        <v>3906.0</v>
      </c>
      <c r="H10" s="9" t="n">
        <v>27467.0</v>
      </c>
      <c r="I10" s="9">
        <f si="1" t="shared"/>
        <v>30250</v>
      </c>
    </row>
    <row r="11" spans="1:9" x14ac:dyDescent="0.25">
      <c r="A11" s="14" t="s">
        <v>8</v>
      </c>
      <c r="B11" s="14" t="n">
        <v>3907.507943768</v>
      </c>
      <c r="C11" s="14" t="n">
        <v>185611.069224454</v>
      </c>
      <c r="D11" s="14">
        <f si="0" t="shared"/>
        <v>189518.57716822199</v>
      </c>
      <c r="E11" s="9"/>
      <c r="F11" s="14" t="s">
        <v>8</v>
      </c>
      <c r="G11" s="14" t="n">
        <v>7073.0</v>
      </c>
      <c r="H11" s="14" t="n">
        <v>134986.0</v>
      </c>
      <c r="I11" s="14">
        <f si="1" t="shared"/>
        <v>139820</v>
      </c>
    </row>
    <row ht="15.75" r="12" spans="1:9" thickBot="1" x14ac:dyDescent="0.3">
      <c r="A12" s="13" t="s">
        <v>19</v>
      </c>
      <c r="B12" s="10">
        <f>SUM(B4:B11)</f>
        <v>28060.4649801817</v>
      </c>
      <c r="C12" s="10">
        <f>SUM(C4:C11)</f>
        <v>655849.69944572239</v>
      </c>
      <c r="D12" s="10">
        <f si="0" t="shared"/>
        <v>683910.16442590405</v>
      </c>
      <c r="E12" s="9"/>
      <c r="F12" s="13" t="s">
        <v>19</v>
      </c>
      <c r="G12" s="10">
        <f>SUM(G4:G11)</f>
        <v>20817</v>
      </c>
      <c r="H12" s="10">
        <f>SUM(H4:H11)</f>
        <v>432574</v>
      </c>
      <c r="I12" s="10">
        <f si="1" t="shared"/>
        <v>453391</v>
      </c>
    </row>
    <row ht="15.75" r="15" spans="1:9" thickBot="1" x14ac:dyDescent="0.3">
      <c r="A15" s="1" t="s">
        <v>48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7.6051655181438848E-6</v>
      </c>
      <c r="C17" s="16">
        <f ref="C17:D17" si="2" t="shared">C4/$D$12</f>
        <v>0.11173187938635905</v>
      </c>
      <c r="D17" s="16">
        <f si="2" t="shared"/>
        <v>0.11173948455187718</v>
      </c>
      <c r="F17" s="9" t="s">
        <v>1</v>
      </c>
      <c r="G17" s="16">
        <f ref="G17:I25" si="3" t="shared">G4/$I$12</f>
        <v>0</v>
      </c>
      <c r="H17" s="16">
        <f si="3" t="shared"/>
        <v>0.10161427994821247</v>
      </c>
      <c r="I17" s="16">
        <f si="3" t="shared"/>
        <v>0.10161427994821247</v>
      </c>
    </row>
    <row r="18" spans="1:14" x14ac:dyDescent="0.25">
      <c r="A18" s="9" t="s">
        <v>2</v>
      </c>
      <c r="B18" s="16">
        <f ref="B18:D25" si="4" t="shared">B5/$D$12</f>
        <v>3.2435912132730658E-4</v>
      </c>
      <c r="C18" s="16">
        <f si="4" t="shared"/>
        <v>0.16298856732098824</v>
      </c>
      <c r="D18" s="16">
        <f si="4" t="shared"/>
        <v>0.16331292644231554</v>
      </c>
      <c r="F18" s="9" t="s">
        <v>2</v>
      </c>
      <c r="G18" s="16">
        <f si="3" t="shared"/>
        <v>5.1721361914991697E-3</v>
      </c>
      <c r="H18" s="16">
        <f si="3" t="shared"/>
        <v>0.16725519474360981</v>
      </c>
      <c r="I18" s="16">
        <f si="3" t="shared"/>
        <v>0.17242733093510898</v>
      </c>
    </row>
    <row r="19" spans="1:14" x14ac:dyDescent="0.25">
      <c r="A19" s="9" t="s">
        <v>3</v>
      </c>
      <c r="B19" s="16">
        <f si="4" t="shared"/>
        <v>1.6721795997285572E-3</v>
      </c>
      <c r="C19" s="16">
        <f si="4" t="shared"/>
        <v>0.28340180024650291</v>
      </c>
      <c r="D19" s="16">
        <f si="4" t="shared"/>
        <v>0.28507397984623145</v>
      </c>
      <c r="F19" s="9" t="s">
        <v>3</v>
      </c>
      <c r="G19" s="16">
        <f si="3" t="shared"/>
        <v>6.3234603245322469E-3</v>
      </c>
      <c r="H19" s="16">
        <f si="3" t="shared"/>
        <v>0.28158476899629681</v>
      </c>
      <c r="I19" s="16">
        <f si="3" t="shared"/>
        <v>0.28790822932082905</v>
      </c>
    </row>
    <row r="20" spans="1:14" x14ac:dyDescent="0.25">
      <c r="A20" s="9" t="s">
        <v>4</v>
      </c>
      <c r="B20" s="16">
        <f si="4" t="shared"/>
        <v>2.1192476371756393E-5</v>
      </c>
      <c r="C20" s="16">
        <f si="4" t="shared"/>
        <v>8.0342711565055368E-3</v>
      </c>
      <c r="D20" s="16">
        <f si="4" t="shared"/>
        <v>8.0554636328772928E-3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1.3438653445876005E-2</v>
      </c>
      <c r="C21" s="16">
        <f si="4" t="shared"/>
        <v>4.8731125504088015E-2</v>
      </c>
      <c r="D21" s="16">
        <f si="4" t="shared"/>
        <v>6.2169778949964019E-2</v>
      </c>
      <c r="F21" s="9" t="s">
        <v>5</v>
      </c>
      <c r="G21" s="16">
        <f si="3" t="shared"/>
        <v>8.7319774763945472E-3</v>
      </c>
      <c r="H21" s="16">
        <f si="3" t="shared"/>
        <v>3.993462596302088E-2</v>
      </c>
      <c r="I21" s="16">
        <f si="3" t="shared"/>
        <v>4.866660343941543E-2</v>
      </c>
    </row>
    <row r="22" spans="1:14" x14ac:dyDescent="0.25">
      <c r="A22" s="9" t="s">
        <v>6</v>
      </c>
      <c r="B22" s="16">
        <f si="4" t="shared"/>
        <v>9.6367936890402034E-4</v>
      </c>
      <c r="C22" s="16">
        <f si="4" t="shared"/>
        <v>1.0546435229031382E-2</v>
      </c>
      <c r="D22" s="16">
        <f si="4" t="shared"/>
        <v>1.1510114597935403E-2</v>
      </c>
      <c r="F22" s="9" t="s">
        <v>6</v>
      </c>
      <c r="G22" s="16">
        <f si="3" t="shared"/>
        <v>2.1239945212851601E-3</v>
      </c>
      <c r="H22" s="16">
        <f si="3" t="shared"/>
        <v>1.2152865848682484E-2</v>
      </c>
      <c r="I22" s="16">
        <f si="3" t="shared"/>
        <v>1.4276860369967644E-2</v>
      </c>
    </row>
    <row r="23" spans="1:14" x14ac:dyDescent="0.25">
      <c r="A23" s="9" t="s">
        <v>7</v>
      </c>
      <c r="B23" s="16">
        <f si="4" t="shared"/>
        <v>1.8888309868569656E-2</v>
      </c>
      <c r="C23" s="16">
        <f si="4" t="shared"/>
        <v>6.2139603609397437E-2</v>
      </c>
      <c r="D23" s="16">
        <f si="4" t="shared"/>
        <v>8.102791347796709E-2</v>
      </c>
      <c r="F23" s="9" t="s">
        <v>7</v>
      </c>
      <c r="G23" s="16">
        <f si="3" t="shared"/>
        <v>7.8916431953876456E-3</v>
      </c>
      <c r="H23" s="16">
        <f si="3" t="shared"/>
        <v>5.8827810874057931E-2</v>
      </c>
      <c r="I23" s="16">
        <f si="3" t="shared"/>
        <v>6.6719454069445572E-2</v>
      </c>
    </row>
    <row r="24" spans="1:14" x14ac:dyDescent="0.25">
      <c r="A24" s="14" t="s">
        <v>8</v>
      </c>
      <c r="B24" s="17">
        <f si="4" t="shared"/>
        <v>5.7134813123417847E-3</v>
      </c>
      <c r="C24" s="17">
        <f si="4" t="shared"/>
        <v>0.27139685718849027</v>
      </c>
      <c r="D24" s="17">
        <f si="4" t="shared"/>
        <v>0.27711033850083205</v>
      </c>
      <c r="F24" s="14" t="s">
        <v>8</v>
      </c>
      <c r="G24" s="17">
        <f si="3" t="shared"/>
        <v>1.5670800699616887E-2</v>
      </c>
      <c r="H24" s="17">
        <f si="3" t="shared"/>
        <v>0.29271644121740398</v>
      </c>
      <c r="I24" s="17">
        <f si="3" t="shared"/>
        <v>0.30838724191702083</v>
      </c>
    </row>
    <row ht="15.75" r="25" spans="1:14" thickBot="1" x14ac:dyDescent="0.3">
      <c r="A25" s="13" t="s">
        <v>19</v>
      </c>
      <c r="B25" s="18">
        <f si="4" t="shared"/>
        <v>4.1029460358637228E-2</v>
      </c>
      <c r="C25" s="18">
        <f si="4" t="shared"/>
        <v>0.95897053964136281</v>
      </c>
      <c r="D25" s="18">
        <f si="4" t="shared"/>
        <v>1</v>
      </c>
      <c r="F25" s="13" t="s">
        <v>19</v>
      </c>
      <c r="G25" s="18">
        <f si="3" t="shared"/>
        <v>4.5914012408715656E-2</v>
      </c>
      <c r="H25" s="18">
        <f si="3" t="shared"/>
        <v>0.95408598759128438</v>
      </c>
      <c r="I25" s="18">
        <f si="3" t="shared"/>
        <v>1</v>
      </c>
    </row>
    <row ht="15.75" r="28" spans="1:14" thickBot="1" x14ac:dyDescent="0.3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-7.6051655181438848E-6</v>
      </c>
      <c r="H30" s="16">
        <f ref="H30:H38" si="6" t="shared">H17-C17</f>
        <v>-1.0117599438146579E-2</v>
      </c>
      <c r="I30" s="16">
        <f ref="I30:I38" si="7" t="shared">I17-D17</f>
        <v>-1.0125204603664714E-2</v>
      </c>
      <c r="K30" s="23" t="s">
        <v>1</v>
      </c>
      <c r="L30" s="24">
        <f>D17</f>
        <v>0.11173948455187718</v>
      </c>
      <c r="M30" s="24">
        <f ref="M30:M38" si="8" t="shared">I17</f>
        <v>0.10161427994821247</v>
      </c>
      <c r="N30" s="24">
        <f>M30-L30</f>
        <v>-1.0125204603664714E-2</v>
      </c>
    </row>
    <row r="31" spans="1:14" x14ac:dyDescent="0.25">
      <c r="F31" s="9" t="s">
        <v>2</v>
      </c>
      <c r="G31" s="16">
        <f si="5" t="shared"/>
        <v>4.8477770701718633E-3</v>
      </c>
      <c r="H31" s="16">
        <f si="6" t="shared"/>
        <v>4.2666274226215717E-3</v>
      </c>
      <c r="I31" s="16">
        <f si="7" t="shared"/>
        <v>9.1144044927934376E-3</v>
      </c>
      <c r="K31" s="30" t="s">
        <v>2</v>
      </c>
      <c r="L31" s="31">
        <f ref="L31:L38" si="9" t="shared">D18</f>
        <v>0.16331292644231554</v>
      </c>
      <c r="M31" s="31">
        <f si="8" t="shared"/>
        <v>0.17242733093510898</v>
      </c>
      <c r="N31" s="31">
        <f ref="N31:N38" si="10" t="shared">M31-L31</f>
        <v>9.1144044927934376E-3</v>
      </c>
    </row>
    <row r="32" spans="1:14" x14ac:dyDescent="0.25">
      <c r="F32" s="9" t="s">
        <v>3</v>
      </c>
      <c r="G32" s="16">
        <f si="5" t="shared"/>
        <v>4.65128072480369E-3</v>
      </c>
      <c r="H32" s="16">
        <f si="6" t="shared"/>
        <v>-1.8170312502061026E-3</v>
      </c>
      <c r="I32" s="16">
        <f si="7" t="shared"/>
        <v>2.8342494745975944E-3</v>
      </c>
      <c r="K32" s="23" t="s">
        <v>3</v>
      </c>
      <c r="L32" s="24">
        <f si="9" t="shared"/>
        <v>0.28507397984623145</v>
      </c>
      <c r="M32" s="24">
        <f si="8" t="shared"/>
        <v>0.28790822932082905</v>
      </c>
      <c r="N32" s="24">
        <f si="10" t="shared"/>
        <v>2.8342494745975944E-3</v>
      </c>
    </row>
    <row r="33" spans="6:14" x14ac:dyDescent="0.25">
      <c r="F33" s="9" t="s">
        <v>4</v>
      </c>
      <c r="G33" s="16">
        <f si="5" t="shared"/>
        <v>-2.1192476371756393E-5</v>
      </c>
      <c r="H33" s="16">
        <f si="6" t="shared"/>
        <v>-8.0342711565055368E-3</v>
      </c>
      <c r="I33" s="16">
        <f si="7" t="shared"/>
        <v>-8.0554636328772928E-3</v>
      </c>
      <c r="K33" s="30" t="s">
        <v>4</v>
      </c>
      <c r="L33" s="31">
        <f si="9" t="shared"/>
        <v>8.0554636328772928E-3</v>
      </c>
      <c r="M33" s="31">
        <f si="8" t="shared"/>
        <v>0</v>
      </c>
      <c r="N33" s="31">
        <f si="10" t="shared"/>
        <v>-8.0554636328772928E-3</v>
      </c>
    </row>
    <row r="34" spans="6:14" x14ac:dyDescent="0.25">
      <c r="F34" s="9" t="s">
        <v>5</v>
      </c>
      <c r="G34" s="16">
        <f si="5" t="shared"/>
        <v>-4.7066759694814574E-3</v>
      </c>
      <c r="H34" s="16">
        <f si="6" t="shared"/>
        <v>-8.7964995410671348E-3</v>
      </c>
      <c r="I34" s="16">
        <f si="7" t="shared"/>
        <v>-1.3503175510548589E-2</v>
      </c>
      <c r="K34" s="23" t="s">
        <v>5</v>
      </c>
      <c r="L34" s="24">
        <f si="9" t="shared"/>
        <v>6.2169778949964019E-2</v>
      </c>
      <c r="M34" s="24">
        <f si="8" t="shared"/>
        <v>4.866660343941543E-2</v>
      </c>
      <c r="N34" s="24">
        <f si="10" t="shared"/>
        <v>-1.3503175510548589E-2</v>
      </c>
    </row>
    <row r="35" spans="6:14" x14ac:dyDescent="0.25">
      <c r="F35" s="9" t="s">
        <v>6</v>
      </c>
      <c r="G35" s="16">
        <f si="5" t="shared"/>
        <v>1.1603151523811397E-3</v>
      </c>
      <c r="H35" s="16">
        <f si="6" t="shared"/>
        <v>1.606430619651102E-3</v>
      </c>
      <c r="I35" s="16">
        <f si="7" t="shared"/>
        <v>2.7667457720322412E-3</v>
      </c>
      <c r="K35" s="30" t="s">
        <v>6</v>
      </c>
      <c r="L35" s="31">
        <f si="9" t="shared"/>
        <v>1.1510114597935403E-2</v>
      </c>
      <c r="M35" s="31">
        <f si="8" t="shared"/>
        <v>1.4276860369967644E-2</v>
      </c>
      <c r="N35" s="31">
        <f si="10" t="shared"/>
        <v>2.7667457720322412E-3</v>
      </c>
    </row>
    <row r="36" spans="6:14" x14ac:dyDescent="0.25">
      <c r="F36" s="9" t="s">
        <v>7</v>
      </c>
      <c r="G36" s="16">
        <f si="5" t="shared"/>
        <v>-1.0996666673182011E-2</v>
      </c>
      <c r="H36" s="16">
        <f si="6" t="shared"/>
        <v>-3.3117927353395055E-3</v>
      </c>
      <c r="I36" s="16">
        <f si="7" t="shared"/>
        <v>-1.4308459408521518E-2</v>
      </c>
      <c r="K36" s="23" t="s">
        <v>7</v>
      </c>
      <c r="L36" s="24">
        <f si="9" t="shared"/>
        <v>8.102791347796709E-2</v>
      </c>
      <c r="M36" s="24">
        <f si="8" t="shared"/>
        <v>6.6719454069445572E-2</v>
      </c>
      <c r="N36" s="24">
        <f si="10" t="shared"/>
        <v>-1.4308459408521518E-2</v>
      </c>
    </row>
    <row r="37" spans="6:14" x14ac:dyDescent="0.25">
      <c r="F37" s="14" t="s">
        <v>8</v>
      </c>
      <c r="G37" s="17">
        <f si="5" t="shared"/>
        <v>9.9573193872751035E-3</v>
      </c>
      <c r="H37" s="17">
        <f si="6" t="shared"/>
        <v>2.1319584028913707E-2</v>
      </c>
      <c r="I37" s="17">
        <f si="7" t="shared"/>
        <v>3.1276903416188773E-2</v>
      </c>
      <c r="K37" s="32" t="s">
        <v>8</v>
      </c>
      <c r="L37" s="33">
        <f si="9" t="shared"/>
        <v>0.27711033850083205</v>
      </c>
      <c r="M37" s="33">
        <f si="8" t="shared"/>
        <v>0.30838724191702083</v>
      </c>
      <c r="N37" s="33">
        <f si="10" t="shared"/>
        <v>3.1276903416188773E-2</v>
      </c>
    </row>
    <row ht="15.75" r="38" spans="6:14" thickBot="1" x14ac:dyDescent="0.3">
      <c r="F38" s="13" t="s">
        <v>19</v>
      </c>
      <c r="G38" s="18">
        <f si="5" t="shared"/>
        <v>4.8845520500784279E-3</v>
      </c>
      <c r="H38" s="18">
        <f si="6" t="shared"/>
        <v>-4.8845520500784279E-3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49</v>
      </c>
      <c r="B2" s="1"/>
      <c r="C2" s="3"/>
      <c r="D2" s="3"/>
      <c r="F2" s="1" t="s">
        <v>13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17476.619615021198</v>
      </c>
      <c r="D4" s="9">
        <f>SUM(B4:C4)</f>
        <v>17476.619615021198</v>
      </c>
      <c r="F4" s="9" t="s">
        <v>1</v>
      </c>
      <c r="G4" s="9" t="n">
        <v>0.0</v>
      </c>
      <c r="H4" s="9" t="n">
        <v>115.0</v>
      </c>
      <c r="I4" s="9">
        <f>SUM(G4:H4)</f>
        <v>115</v>
      </c>
    </row>
    <row r="5" spans="1:9" x14ac:dyDescent="0.25">
      <c r="A5" s="9" t="s">
        <v>2</v>
      </c>
      <c r="B5" s="9" t="n">
        <v>902.868622613</v>
      </c>
      <c r="C5" s="9" t="n">
        <v>240446.1442331847</v>
      </c>
      <c r="D5" s="9">
        <f ref="D5:D12" si="0" t="shared">SUM(B5:C5)</f>
        <v>241349.01285579769</v>
      </c>
      <c r="F5" s="9" t="s">
        <v>2</v>
      </c>
      <c r="G5" s="9" t="n">
        <v>10098.0</v>
      </c>
      <c r="H5" s="9" t="n">
        <v>248623.0</v>
      </c>
      <c r="I5" s="9">
        <f ref="I5:I12" si="1" t="shared">SUM(G5:H5)</f>
        <v>255961</v>
      </c>
    </row>
    <row r="6" spans="1:9" x14ac:dyDescent="0.25">
      <c r="A6" s="9" t="s">
        <v>3</v>
      </c>
      <c r="B6" s="9" t="n">
        <v>624.485452184</v>
      </c>
      <c r="C6" s="9" t="n">
        <v>250550.7722057827</v>
      </c>
      <c r="D6" s="9">
        <f si="0" t="shared"/>
        <v>251175.25765796669</v>
      </c>
      <c r="F6" s="9" t="s">
        <v>3</v>
      </c>
      <c r="G6" s="9" t="n">
        <v>7167.0</v>
      </c>
      <c r="H6" s="9" t="n">
        <v>202542.0</v>
      </c>
      <c r="I6" s="9">
        <f si="1" t="shared"/>
        <v>208114</v>
      </c>
    </row>
    <row r="7" spans="1:9" x14ac:dyDescent="0.25">
      <c r="A7" s="9" t="s">
        <v>4</v>
      </c>
      <c r="B7" s="9" t="n">
        <v>0.0</v>
      </c>
      <c r="C7" s="9" t="n">
        <v>186.533928278</v>
      </c>
      <c r="D7" s="9">
        <f si="0" t="shared"/>
        <v>186.53392827799999</v>
      </c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102.3610283245</v>
      </c>
      <c r="C8" s="9" t="n">
        <v>2415.8089222076</v>
      </c>
      <c r="D8" s="9">
        <f si="0" t="shared"/>
        <v>2518.1699505320998</v>
      </c>
      <c r="F8" s="9" t="s">
        <v>5</v>
      </c>
      <c r="G8" s="9" t="n">
        <v>0.0</v>
      </c>
      <c r="H8" s="9" t="n">
        <v>0.0</v>
      </c>
      <c r="I8" s="9">
        <f si="1" t="shared"/>
        <v>0</v>
      </c>
    </row>
    <row r="9" spans="1:9" x14ac:dyDescent="0.25">
      <c r="A9" s="9" t="s">
        <v>6</v>
      </c>
      <c r="B9" s="9" t="n">
        <v>0.0</v>
      </c>
      <c r="C9" s="9" t="n">
        <v>1930.3885838934002</v>
      </c>
      <c r="D9" s="9">
        <f si="0" t="shared"/>
        <v>1930.3885838934002</v>
      </c>
      <c r="F9" s="9" t="s">
        <v>6</v>
      </c>
      <c r="G9" s="9" t="n">
        <v>542.0</v>
      </c>
      <c r="H9" s="9" t="n">
        <v>1994.0</v>
      </c>
      <c r="I9" s="9">
        <f si="1" t="shared"/>
        <v>2551</v>
      </c>
    </row>
    <row r="10" spans="1:9" x14ac:dyDescent="0.25">
      <c r="A10" s="9" t="s">
        <v>7</v>
      </c>
      <c r="B10" s="9" t="n">
        <v>265.0081224095</v>
      </c>
      <c r="C10" s="9" t="n">
        <v>32037.1967511977</v>
      </c>
      <c r="D10" s="9">
        <f si="0" t="shared"/>
        <v>32302.204873607203</v>
      </c>
      <c r="F10" s="9" t="s">
        <v>7</v>
      </c>
      <c r="G10" s="9" t="n">
        <v>14.0</v>
      </c>
      <c r="H10" s="9" t="n">
        <v>4.0</v>
      </c>
      <c r="I10" s="9">
        <f si="1" t="shared"/>
        <v>23</v>
      </c>
    </row>
    <row r="11" spans="1:9" x14ac:dyDescent="0.25">
      <c r="A11" s="14" t="s">
        <v>8</v>
      </c>
      <c r="B11" s="14" t="n">
        <v>0.0</v>
      </c>
      <c r="C11" s="14" t="n">
        <v>659.6315</v>
      </c>
      <c r="D11" s="14">
        <f si="0" t="shared"/>
        <v>659.63149999999996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1894.723225531</v>
      </c>
      <c r="C12" s="10">
        <f>SUM(C4:C11)</f>
        <v>545703.09573956544</v>
      </c>
      <c r="D12" s="10">
        <f si="0" t="shared"/>
        <v>547597.81896509649</v>
      </c>
      <c r="F12" s="13" t="s">
        <v>19</v>
      </c>
      <c r="G12" s="10">
        <f>SUM(G4:G11)</f>
        <v>17410</v>
      </c>
      <c r="H12" s="10">
        <f>SUM(H4:H11)</f>
        <v>449354</v>
      </c>
      <c r="I12" s="10">
        <f si="1" t="shared"/>
        <v>466764</v>
      </c>
    </row>
    <row ht="15.75" r="15" spans="1:9" thickBot="1" x14ac:dyDescent="0.3">
      <c r="A15" s="1" t="s">
        <v>49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3.1915064322298091E-2</v>
      </c>
      <c r="D17" s="16">
        <f si="2" t="shared"/>
        <v>3.1915064322298091E-2</v>
      </c>
      <c r="F17" s="9" t="s">
        <v>1</v>
      </c>
      <c r="G17" s="16">
        <f ref="G17:I25" si="3" t="shared">G4/$I$12</f>
        <v>0</v>
      </c>
      <c r="H17" s="16">
        <f si="3" t="shared"/>
        <v>2.4637718418729805E-4</v>
      </c>
      <c r="I17" s="16">
        <f si="3" t="shared"/>
        <v>2.4637718418729805E-4</v>
      </c>
    </row>
    <row r="18" spans="1:14" x14ac:dyDescent="0.25">
      <c r="A18" s="9" t="s">
        <v>2</v>
      </c>
      <c r="B18" s="16">
        <f ref="B18:D25" si="4" t="shared">B5/$D$12</f>
        <v>1.6487805307905147E-3</v>
      </c>
      <c r="C18" s="16">
        <f si="4" t="shared"/>
        <v>0.43909258931601142</v>
      </c>
      <c r="D18" s="16">
        <f si="4" t="shared"/>
        <v>0.44074136984680196</v>
      </c>
      <c r="F18" s="9" t="s">
        <v>2</v>
      </c>
      <c r="G18" s="16">
        <f si="3" t="shared"/>
        <v>2.1053465991378941E-2</v>
      </c>
      <c r="H18" s="16">
        <f si="3" t="shared"/>
        <v>0.52732001611092538</v>
      </c>
      <c r="I18" s="16">
        <f si="3" t="shared"/>
        <v>0.54837348210230441</v>
      </c>
    </row>
    <row r="19" spans="1:14" x14ac:dyDescent="0.25">
      <c r="A19" s="9" t="s">
        <v>3</v>
      </c>
      <c r="B19" s="16">
        <f si="4" t="shared"/>
        <v>1.1404089471433857E-3</v>
      </c>
      <c r="C19" s="16">
        <f si="4" t="shared"/>
        <v>0.45754523398083996</v>
      </c>
      <c r="D19" s="16">
        <f si="4" t="shared"/>
        <v>0.45868564292798331</v>
      </c>
      <c r="F19" s="9" t="s">
        <v>3</v>
      </c>
      <c r="G19" s="16">
        <f si="3" t="shared"/>
        <v>1.499687208096597E-2</v>
      </c>
      <c r="H19" s="16">
        <f si="3" t="shared"/>
        <v>0.43086870452734144</v>
      </c>
      <c r="I19" s="16">
        <f si="3" t="shared"/>
        <v>0.44586557660830739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3.4064037842687162E-4</v>
      </c>
      <c r="D20" s="16">
        <f si="4" t="shared"/>
        <v>3.4064037842687162E-4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1.8692738498840591E-4</v>
      </c>
      <c r="C21" s="16">
        <f si="4" t="shared"/>
        <v>4.4116481814577531E-3</v>
      </c>
      <c r="D21" s="16">
        <f si="4" t="shared"/>
        <v>4.5985755664461588E-3</v>
      </c>
      <c r="F21" s="9" t="s">
        <v>5</v>
      </c>
      <c r="G21" s="16">
        <f si="3" t="shared"/>
        <v>0</v>
      </c>
      <c r="H21" s="16">
        <f si="3" t="shared"/>
        <v>0</v>
      </c>
      <c r="I21" s="16">
        <f si="3" t="shared"/>
        <v>0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3.5251940695118834E-3</v>
      </c>
      <c r="D22" s="16">
        <f si="4" t="shared"/>
        <v>3.5251940695118834E-3</v>
      </c>
      <c r="F22" s="9" t="s">
        <v>6</v>
      </c>
      <c r="G22" s="16">
        <f si="3" t="shared"/>
        <v>1.2168890488555245E-3</v>
      </c>
      <c r="H22" s="16">
        <f si="3" t="shared"/>
        <v>4.248399619507931E-3</v>
      </c>
      <c r="I22" s="16">
        <f si="3" t="shared"/>
        <v>5.4652886683634553E-3</v>
      </c>
    </row>
    <row r="23" spans="1:14" x14ac:dyDescent="0.25">
      <c r="A23" s="9" t="s">
        <v>7</v>
      </c>
      <c r="B23" s="16">
        <f si="4" t="shared"/>
        <v>4.8394663607378508E-4</v>
      </c>
      <c r="C23" s="16">
        <f si="4" t="shared"/>
        <v>5.8504975077776432E-2</v>
      </c>
      <c r="D23" s="16">
        <f si="4" t="shared"/>
        <v>5.8988921713850222E-2</v>
      </c>
      <c r="F23" s="9" t="s">
        <v>7</v>
      </c>
      <c r="G23" s="16">
        <f si="3" t="shared"/>
        <v>3.2136154459212793E-5</v>
      </c>
      <c r="H23" s="16">
        <f si="3" t="shared"/>
        <v>1.7139282378246823E-5</v>
      </c>
      <c r="I23" s="16">
        <f si="3" t="shared"/>
        <v>4.9275436837459616E-5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1.2045911746811474E-3</v>
      </c>
      <c r="D24" s="17">
        <f si="4" t="shared"/>
        <v>1.2045911746811474E-3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3.4600634989960916E-3</v>
      </c>
      <c r="C25" s="18">
        <f si="4" t="shared"/>
        <v>0.99653993650100381</v>
      </c>
      <c r="D25" s="18">
        <f si="4" t="shared"/>
        <v>1</v>
      </c>
      <c r="F25" s="13" t="s">
        <v>19</v>
      </c>
      <c r="G25" s="18">
        <f si="3" t="shared"/>
        <v>3.729936327565965E-2</v>
      </c>
      <c r="H25" s="18">
        <f si="3" t="shared"/>
        <v>0.96270063672434036</v>
      </c>
      <c r="I25" s="18">
        <f si="3" t="shared"/>
        <v>1</v>
      </c>
    </row>
    <row ht="15.75" r="28" spans="1:14" thickBot="1" x14ac:dyDescent="0.3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-3.1668687138110795E-2</v>
      </c>
      <c r="I30" s="16">
        <f ref="I30:I38" si="7" t="shared">I17-D17</f>
        <v>-3.1668687138110795E-2</v>
      </c>
      <c r="K30" s="23" t="s">
        <v>1</v>
      </c>
      <c r="L30" s="24">
        <f>D17</f>
        <v>3.1915064322298091E-2</v>
      </c>
      <c r="M30" s="24">
        <f ref="M30:M38" si="8" t="shared">I17</f>
        <v>2.4637718418729805E-4</v>
      </c>
      <c r="N30" s="24">
        <f>M30-L30</f>
        <v>-3.1668687138110795E-2</v>
      </c>
    </row>
    <row r="31" spans="1:14" x14ac:dyDescent="0.25">
      <c r="F31" s="9" t="s">
        <v>2</v>
      </c>
      <c r="G31" s="16">
        <f si="5" t="shared"/>
        <v>1.9404685460588426E-2</v>
      </c>
      <c r="H31" s="16">
        <f si="6" t="shared"/>
        <v>8.8227426794913966E-2</v>
      </c>
      <c r="I31" s="16">
        <f si="7" t="shared"/>
        <v>0.10763211225550245</v>
      </c>
      <c r="K31" s="30" t="s">
        <v>2</v>
      </c>
      <c r="L31" s="31">
        <f ref="L31:L38" si="9" t="shared">D18</f>
        <v>0.44074136984680196</v>
      </c>
      <c r="M31" s="31">
        <f si="8" t="shared"/>
        <v>0.54837348210230441</v>
      </c>
      <c r="N31" s="31">
        <f ref="N31:N38" si="10" t="shared">M31-L31</f>
        <v>0.10763211225550245</v>
      </c>
    </row>
    <row r="32" spans="1:14" x14ac:dyDescent="0.25">
      <c r="F32" s="9" t="s">
        <v>3</v>
      </c>
      <c r="G32" s="16">
        <f si="5" t="shared"/>
        <v>1.3856463133822584E-2</v>
      </c>
      <c r="H32" s="16">
        <f si="6" t="shared"/>
        <v>-2.6676529453498521E-2</v>
      </c>
      <c r="I32" s="16">
        <f si="7" t="shared"/>
        <v>-1.2820066319675916E-2</v>
      </c>
      <c r="K32" s="23" t="s">
        <v>3</v>
      </c>
      <c r="L32" s="24">
        <f si="9" t="shared"/>
        <v>0.45868564292798331</v>
      </c>
      <c r="M32" s="24">
        <f si="8" t="shared"/>
        <v>0.44586557660830739</v>
      </c>
      <c r="N32" s="24">
        <f si="10" t="shared"/>
        <v>-1.2820066319675916E-2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-3.4064037842687162E-4</v>
      </c>
      <c r="I33" s="16">
        <f si="7" t="shared"/>
        <v>-3.4064037842687162E-4</v>
      </c>
      <c r="K33" s="30" t="s">
        <v>4</v>
      </c>
      <c r="L33" s="31">
        <f si="9" t="shared"/>
        <v>3.4064037842687162E-4</v>
      </c>
      <c r="M33" s="31">
        <f si="8" t="shared"/>
        <v>0</v>
      </c>
      <c r="N33" s="31">
        <f si="10" t="shared"/>
        <v>-3.4064037842687162E-4</v>
      </c>
    </row>
    <row r="34" spans="6:14" x14ac:dyDescent="0.25">
      <c r="F34" s="9" t="s">
        <v>5</v>
      </c>
      <c r="G34" s="16">
        <f si="5" t="shared"/>
        <v>-1.8692738498840591E-4</v>
      </c>
      <c r="H34" s="16">
        <f si="6" t="shared"/>
        <v>-4.4116481814577531E-3</v>
      </c>
      <c r="I34" s="16">
        <f si="7" t="shared"/>
        <v>-4.5985755664461588E-3</v>
      </c>
      <c r="K34" s="23" t="s">
        <v>5</v>
      </c>
      <c r="L34" s="24">
        <f si="9" t="shared"/>
        <v>4.5985755664461588E-3</v>
      </c>
      <c r="M34" s="24">
        <f si="8" t="shared"/>
        <v>0</v>
      </c>
      <c r="N34" s="24">
        <f si="10" t="shared"/>
        <v>-4.5985755664461588E-3</v>
      </c>
    </row>
    <row r="35" spans="6:14" x14ac:dyDescent="0.25">
      <c r="F35" s="9" t="s">
        <v>6</v>
      </c>
      <c r="G35" s="16">
        <f si="5" t="shared"/>
        <v>1.2168890488555245E-3</v>
      </c>
      <c r="H35" s="16">
        <f si="6" t="shared"/>
        <v>7.2320554999604761E-4</v>
      </c>
      <c r="I35" s="16">
        <f si="7" t="shared"/>
        <v>1.9400945988515719E-3</v>
      </c>
      <c r="K35" s="30" t="s">
        <v>6</v>
      </c>
      <c r="L35" s="31">
        <f si="9" t="shared"/>
        <v>3.5251940695118834E-3</v>
      </c>
      <c r="M35" s="31">
        <f si="8" t="shared"/>
        <v>5.4652886683634553E-3</v>
      </c>
      <c r="N35" s="31">
        <f si="10" t="shared"/>
        <v>1.9400945988515719E-3</v>
      </c>
    </row>
    <row r="36" spans="6:14" x14ac:dyDescent="0.25">
      <c r="F36" s="9" t="s">
        <v>7</v>
      </c>
      <c r="G36" s="16">
        <f si="5" t="shared"/>
        <v>-4.5181048161457231E-4</v>
      </c>
      <c r="H36" s="16">
        <f si="6" t="shared"/>
        <v>-5.8487835795398187E-2</v>
      </c>
      <c r="I36" s="16">
        <f si="7" t="shared"/>
        <v>-5.8939646277012765E-2</v>
      </c>
      <c r="K36" s="23" t="s">
        <v>7</v>
      </c>
      <c r="L36" s="24">
        <f si="9" t="shared"/>
        <v>5.8988921713850222E-2</v>
      </c>
      <c r="M36" s="24">
        <f si="8" t="shared"/>
        <v>4.9275436837459616E-5</v>
      </c>
      <c r="N36" s="24">
        <f si="10" t="shared"/>
        <v>-5.8939646277012765E-2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-1.2045911746811474E-3</v>
      </c>
      <c r="I37" s="17">
        <f si="7" t="shared"/>
        <v>-1.2045911746811474E-3</v>
      </c>
      <c r="K37" s="32" t="s">
        <v>8</v>
      </c>
      <c r="L37" s="33">
        <f si="9" t="shared"/>
        <v>1.2045911746811474E-3</v>
      </c>
      <c r="M37" s="33">
        <f si="8" t="shared"/>
        <v>0</v>
      </c>
      <c r="N37" s="33">
        <f si="10" t="shared"/>
        <v>-1.2045911746811474E-3</v>
      </c>
    </row>
    <row ht="15.75" r="38" spans="6:14" thickBot="1" x14ac:dyDescent="0.3">
      <c r="F38" s="13" t="s">
        <v>19</v>
      </c>
      <c r="G38" s="18">
        <f si="5" t="shared"/>
        <v>3.3839299776663556E-2</v>
      </c>
      <c r="H38" s="18">
        <f si="6" t="shared"/>
        <v>-3.3839299776663445E-2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50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1544.198767938</v>
      </c>
      <c r="C4" s="9" t="n">
        <v>243421.8191937993</v>
      </c>
      <c r="D4" s="9">
        <f>SUM(B4:C4)</f>
        <v>244966.01796173732</v>
      </c>
      <c r="E4" s="9"/>
      <c r="F4" s="9" t="s">
        <v>1</v>
      </c>
      <c r="G4" s="9" t="n">
        <v>0.0</v>
      </c>
      <c r="H4" s="9" t="n">
        <v>181298.0</v>
      </c>
      <c r="I4" s="9">
        <f>SUM(G4:H4)</f>
        <v>180759</v>
      </c>
    </row>
    <row r="5" spans="1:9" x14ac:dyDescent="0.25">
      <c r="A5" s="9" t="s">
        <v>2</v>
      </c>
      <c r="B5" s="9" t="n">
        <v>3142.104887806</v>
      </c>
      <c r="C5" s="9" t="n">
        <v>153907.8778811198</v>
      </c>
      <c r="D5" s="9">
        <f ref="D5:D12" si="0" t="shared">SUM(B5:C5)</f>
        <v>157049.98276892581</v>
      </c>
      <c r="E5" s="9"/>
      <c r="F5" s="9" t="s">
        <v>2</v>
      </c>
      <c r="G5" s="9" t="n">
        <v>12122.0</v>
      </c>
      <c r="H5" s="9" t="n">
        <v>138592.0</v>
      </c>
      <c r="I5" s="9">
        <f ref="I5:I12" si="1" t="shared">SUM(G5:H5)</f>
        <v>149473</v>
      </c>
    </row>
    <row r="6" spans="1:9" x14ac:dyDescent="0.25">
      <c r="A6" s="9" t="s">
        <v>3</v>
      </c>
      <c r="B6" s="9" t="n">
        <v>1184.4207664</v>
      </c>
      <c r="C6" s="9" t="n">
        <v>128449.14722647199</v>
      </c>
      <c r="D6" s="9">
        <f si="0" t="shared"/>
        <v>129633.56799287199</v>
      </c>
      <c r="E6" s="9"/>
      <c r="F6" s="9" t="s">
        <v>3</v>
      </c>
      <c r="G6" s="9" t="n">
        <v>7042.0</v>
      </c>
      <c r="H6" s="9" t="n">
        <v>126684.0</v>
      </c>
      <c r="I6" s="9">
        <f si="1" t="shared"/>
        <v>133141</v>
      </c>
    </row>
    <row r="7" spans="1:9" x14ac:dyDescent="0.25">
      <c r="A7" s="9" t="s">
        <v>4</v>
      </c>
      <c r="B7" s="9" t="n">
        <v>0.0</v>
      </c>
      <c r="C7" s="9" t="n">
        <v>1584.9143703309999</v>
      </c>
      <c r="D7" s="9">
        <f si="0" t="shared"/>
        <v>1584.9143703309999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16961.7797687516</v>
      </c>
      <c r="C8" s="9" t="n">
        <v>14271.9700780102</v>
      </c>
      <c r="D8" s="9">
        <f si="0" t="shared"/>
        <v>31233.749846761799</v>
      </c>
      <c r="E8" s="9"/>
      <c r="F8" s="9" t="s">
        <v>5</v>
      </c>
      <c r="G8" s="9" t="n">
        <v>6476.0</v>
      </c>
      <c r="H8" s="9" t="n">
        <v>4030.0</v>
      </c>
      <c r="I8" s="9">
        <f si="1" t="shared"/>
        <v>9945</v>
      </c>
    </row>
    <row r="9" spans="1:9" x14ac:dyDescent="0.25">
      <c r="A9" s="9" t="s">
        <v>6</v>
      </c>
      <c r="B9" s="9" t="n">
        <v>538.0071736062</v>
      </c>
      <c r="C9" s="9" t="n">
        <v>4369.2265788014</v>
      </c>
      <c r="D9" s="9">
        <f si="0" t="shared"/>
        <v>4907.2337524076002</v>
      </c>
      <c r="E9" s="9"/>
      <c r="F9" s="9" t="s">
        <v>6</v>
      </c>
      <c r="G9" s="9" t="n">
        <v>3618.0</v>
      </c>
      <c r="H9" s="9" t="n">
        <v>7714.0</v>
      </c>
      <c r="I9" s="9">
        <f si="1" t="shared"/>
        <v>11430</v>
      </c>
    </row>
    <row r="10" spans="1:9" x14ac:dyDescent="0.25">
      <c r="A10" s="9" t="s">
        <v>7</v>
      </c>
      <c r="B10" s="9" t="n">
        <v>12234.4142697879</v>
      </c>
      <c r="C10" s="9" t="n">
        <v>48939.1961873045</v>
      </c>
      <c r="D10" s="9">
        <f si="0" t="shared"/>
        <v>61173.6104570924</v>
      </c>
      <c r="E10" s="9"/>
      <c r="F10" s="9" t="s">
        <v>7</v>
      </c>
      <c r="G10" s="9" t="n">
        <v>10942.0</v>
      </c>
      <c r="H10" s="9" t="n">
        <v>24939.0</v>
      </c>
      <c r="I10" s="9">
        <f si="1" t="shared"/>
        <v>35763</v>
      </c>
    </row>
    <row r="11" spans="1:9" x14ac:dyDescent="0.25">
      <c r="A11" s="14" t="s">
        <v>8</v>
      </c>
      <c r="B11" s="14" t="n">
        <v>0.0</v>
      </c>
      <c r="C11" s="14" t="n">
        <v>2859.93925</v>
      </c>
      <c r="D11" s="14">
        <f si="0" t="shared"/>
        <v>2859.9392499999999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35604.925634289699</v>
      </c>
      <c r="C12" s="10">
        <f>SUM(C4:C11)</f>
        <v>597804.09076583828</v>
      </c>
      <c r="D12" s="10">
        <f si="0" t="shared"/>
        <v>633409.01640012802</v>
      </c>
      <c r="F12" s="13" t="s">
        <v>19</v>
      </c>
      <c r="G12" s="10">
        <f>SUM(G4:G11)</f>
        <v>39569</v>
      </c>
      <c r="H12" s="10">
        <f>SUM(H4:H11)</f>
        <v>480942</v>
      </c>
      <c r="I12" s="10">
        <f si="1" t="shared"/>
        <v>520511</v>
      </c>
    </row>
    <row ht="15.75" r="15" spans="1:9" thickBot="1" x14ac:dyDescent="0.3">
      <c r="A15" s="1" t="s">
        <v>51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2.4379172508692567E-3</v>
      </c>
      <c r="C17" s="16">
        <f ref="C17:D17" si="2" t="shared">C4/$D$12</f>
        <v>0.38430431662821229</v>
      </c>
      <c r="D17" s="16">
        <f si="2" t="shared"/>
        <v>0.38674223387908158</v>
      </c>
      <c r="F17" s="9" t="s">
        <v>1</v>
      </c>
      <c r="G17" s="16">
        <f ref="G17:I25" si="3" t="shared">G4/$I$12</f>
        <v>0</v>
      </c>
      <c r="H17" s="16">
        <f si="3" t="shared"/>
        <v>0.34727219981902402</v>
      </c>
      <c r="I17" s="16">
        <f si="3" t="shared"/>
        <v>0.34727219981902402</v>
      </c>
    </row>
    <row r="18" spans="1:14" x14ac:dyDescent="0.25">
      <c r="A18" s="9" t="s">
        <v>2</v>
      </c>
      <c r="B18" s="16">
        <f ref="B18:D25" si="4" t="shared">B5/$D$12</f>
        <v>4.9606254512504682E-3</v>
      </c>
      <c r="C18" s="16">
        <f si="4" t="shared"/>
        <v>0.24298340234534227</v>
      </c>
      <c r="D18" s="16">
        <f si="4" t="shared"/>
        <v>0.24794402779659275</v>
      </c>
      <c r="F18" s="9" t="s">
        <v>2</v>
      </c>
      <c r="G18" s="16">
        <f si="3" t="shared"/>
        <v>2.3275204558597225E-2</v>
      </c>
      <c r="H18" s="16">
        <f si="3" t="shared"/>
        <v>0.26389067666197258</v>
      </c>
      <c r="I18" s="16">
        <f si="3" t="shared"/>
        <v>0.2871658812205698</v>
      </c>
    </row>
    <row r="19" spans="1:14" x14ac:dyDescent="0.25">
      <c r="A19" s="9" t="s">
        <v>3</v>
      </c>
      <c r="B19" s="16">
        <f si="4" t="shared"/>
        <v>1.8699145982029957E-3</v>
      </c>
      <c r="C19" s="16">
        <f si="4" t="shared"/>
        <v>0.20279020964445815</v>
      </c>
      <c r="D19" s="16">
        <f si="4" t="shared"/>
        <v>0.20466012424266114</v>
      </c>
      <c r="F19" s="9" t="s">
        <v>3</v>
      </c>
      <c r="G19" s="16">
        <f si="3" t="shared"/>
        <v>1.3135169093448553E-2</v>
      </c>
      <c r="H19" s="16">
        <f si="3" t="shared"/>
        <v>0.24265385361692646</v>
      </c>
      <c r="I19" s="16">
        <f si="3" t="shared"/>
        <v>0.25578902271037501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2.502197362675053E-3</v>
      </c>
      <c r="D20" s="16">
        <f si="4" t="shared"/>
        <v>2.502197362675053E-3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2.6778557503255918E-2</v>
      </c>
      <c r="C21" s="16">
        <f si="4" t="shared"/>
        <v>2.2531997032695403E-2</v>
      </c>
      <c r="D21" s="16">
        <f si="4" t="shared"/>
        <v>4.9310554535951324E-2</v>
      </c>
      <c r="F21" s="9" t="s">
        <v>5</v>
      </c>
      <c r="G21" s="16">
        <f si="3" t="shared"/>
        <v>1.1774967291757523E-2</v>
      </c>
      <c r="H21" s="16">
        <f si="3" t="shared"/>
        <v>7.3312571684364019E-3</v>
      </c>
      <c r="I21" s="16">
        <f si="3" t="shared"/>
        <v>1.9106224460193926E-2</v>
      </c>
    </row>
    <row r="22" spans="1:14" x14ac:dyDescent="0.25">
      <c r="A22" s="9" t="s">
        <v>6</v>
      </c>
      <c r="B22" s="16">
        <f si="4" t="shared"/>
        <v>8.4938350998517811E-4</v>
      </c>
      <c r="C22" s="16">
        <f si="4" t="shared"/>
        <v>6.8979545059733331E-3</v>
      </c>
      <c r="D22" s="16">
        <f si="4" t="shared"/>
        <v>7.7473380159585117E-3</v>
      </c>
      <c r="F22" s="9" t="s">
        <v>6</v>
      </c>
      <c r="G22" s="16">
        <f si="3" t="shared"/>
        <v>7.1199263800380778E-3</v>
      </c>
      <c r="H22" s="16">
        <f si="3" t="shared"/>
        <v>1.483926372353322E-2</v>
      </c>
      <c r="I22" s="16">
        <f si="3" t="shared"/>
        <v>2.1959190103571297E-2</v>
      </c>
    </row>
    <row r="23" spans="1:14" x14ac:dyDescent="0.25">
      <c r="A23" s="9" t="s">
        <v>7</v>
      </c>
      <c r="B23" s="16">
        <f si="4" t="shared"/>
        <v>1.9315188058610381E-2</v>
      </c>
      <c r="C23" s="16">
        <f si="4" t="shared"/>
        <v>7.7263182114839582E-2</v>
      </c>
      <c r="D23" s="16">
        <f si="4" t="shared"/>
        <v>9.6578370173449959E-2</v>
      </c>
      <c r="F23" s="9" t="s">
        <v>7</v>
      </c>
      <c r="G23" s="16">
        <f si="3" t="shared"/>
        <v>2.0714259641006625E-2</v>
      </c>
      <c r="H23" s="16">
        <f si="3" t="shared"/>
        <v>4.7993222045259368E-2</v>
      </c>
      <c r="I23" s="16">
        <f si="3" t="shared"/>
        <v>6.8707481686266003E-2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4.515153993629545E-3</v>
      </c>
      <c r="D24" s="17">
        <f si="4" t="shared"/>
        <v>4.515153993629545E-3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5.6211586372174195E-2</v>
      </c>
      <c r="C25" s="18">
        <f si="4" t="shared"/>
        <v>0.94378841362782573</v>
      </c>
      <c r="D25" s="18">
        <f si="4" t="shared"/>
        <v>1</v>
      </c>
      <c r="F25" s="13" t="s">
        <v>19</v>
      </c>
      <c r="G25" s="18">
        <f si="3" t="shared"/>
        <v>7.6019526964848011E-2</v>
      </c>
      <c r="H25" s="18">
        <f si="3" t="shared"/>
        <v>0.92398047303515196</v>
      </c>
      <c r="I25" s="18">
        <f si="3" t="shared"/>
        <v>1</v>
      </c>
    </row>
    <row ht="15.75" r="28" spans="1:14" thickBot="1" x14ac:dyDescent="0.3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-2.4379172508692567E-3</v>
      </c>
      <c r="H30" s="16">
        <f ref="H30:H38" si="6" t="shared">H17-C17</f>
        <v>-3.7032116809188276E-2</v>
      </c>
      <c r="I30" s="16">
        <f ref="I30:I38" si="7" t="shared">I17-D17</f>
        <v>-3.9470034060057557E-2</v>
      </c>
      <c r="K30" s="23" t="s">
        <v>1</v>
      </c>
      <c r="L30" s="24">
        <f>D17</f>
        <v>0.38674223387908158</v>
      </c>
      <c r="M30" s="24">
        <f ref="M30:M38" si="8" t="shared">I17</f>
        <v>0.34727219981902402</v>
      </c>
      <c r="N30" s="24">
        <f>M30-L30</f>
        <v>-3.9470034060057557E-2</v>
      </c>
    </row>
    <row r="31" spans="1:14" x14ac:dyDescent="0.25">
      <c r="F31" s="9" t="s">
        <v>2</v>
      </c>
      <c r="G31" s="16">
        <f si="5" t="shared"/>
        <v>1.8314579107346757E-2</v>
      </c>
      <c r="H31" s="16">
        <f si="6" t="shared"/>
        <v>2.0907274316630309E-2</v>
      </c>
      <c r="I31" s="16">
        <f si="7" t="shared"/>
        <v>3.9221853423977049E-2</v>
      </c>
      <c r="K31" s="30" t="s">
        <v>2</v>
      </c>
      <c r="L31" s="31">
        <f ref="L31:L38" si="9" t="shared">D18</f>
        <v>0.24794402779659275</v>
      </c>
      <c r="M31" s="31">
        <f si="8" t="shared"/>
        <v>0.2871658812205698</v>
      </c>
      <c r="N31" s="31">
        <f ref="N31:N38" si="10" t="shared">M31-L31</f>
        <v>3.9221853423977049E-2</v>
      </c>
    </row>
    <row r="32" spans="1:14" x14ac:dyDescent="0.25">
      <c r="F32" s="9" t="s">
        <v>3</v>
      </c>
      <c r="G32" s="16">
        <f si="5" t="shared"/>
        <v>1.1265254495245557E-2</v>
      </c>
      <c r="H32" s="16">
        <f si="6" t="shared"/>
        <v>3.9863643972468304E-2</v>
      </c>
      <c r="I32" s="16">
        <f si="7" t="shared"/>
        <v>5.1128898467713874E-2</v>
      </c>
      <c r="K32" s="23" t="s">
        <v>3</v>
      </c>
      <c r="L32" s="24">
        <f si="9" t="shared"/>
        <v>0.20466012424266114</v>
      </c>
      <c r="M32" s="24">
        <f si="8" t="shared"/>
        <v>0.25578902271037501</v>
      </c>
      <c r="N32" s="24">
        <f si="10" t="shared"/>
        <v>5.1128898467713874E-2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-2.502197362675053E-3</v>
      </c>
      <c r="I33" s="16">
        <f si="7" t="shared"/>
        <v>-2.502197362675053E-3</v>
      </c>
      <c r="K33" s="30" t="s">
        <v>4</v>
      </c>
      <c r="L33" s="31">
        <f si="9" t="shared"/>
        <v>2.502197362675053E-3</v>
      </c>
      <c r="M33" s="31">
        <f si="8" t="shared"/>
        <v>0</v>
      </c>
      <c r="N33" s="31">
        <f si="10" t="shared"/>
        <v>-2.502197362675053E-3</v>
      </c>
    </row>
    <row r="34" spans="6:14" x14ac:dyDescent="0.25">
      <c r="F34" s="9" t="s">
        <v>5</v>
      </c>
      <c r="G34" s="16">
        <f si="5" t="shared"/>
        <v>-1.5003590211498394E-2</v>
      </c>
      <c r="H34" s="16">
        <f si="6" t="shared"/>
        <v>-1.5200739864259002E-2</v>
      </c>
      <c r="I34" s="16">
        <f si="7" t="shared"/>
        <v>-3.0204330075757398E-2</v>
      </c>
      <c r="K34" s="23" t="s">
        <v>5</v>
      </c>
      <c r="L34" s="24">
        <f si="9" t="shared"/>
        <v>4.9310554535951324E-2</v>
      </c>
      <c r="M34" s="24">
        <f si="8" t="shared"/>
        <v>1.9106224460193926E-2</v>
      </c>
      <c r="N34" s="24">
        <f si="10" t="shared"/>
        <v>-3.0204330075757398E-2</v>
      </c>
    </row>
    <row r="35" spans="6:14" x14ac:dyDescent="0.25">
      <c r="F35" s="9" t="s">
        <v>6</v>
      </c>
      <c r="G35" s="16">
        <f si="5" t="shared"/>
        <v>6.2705428700529E-3</v>
      </c>
      <c r="H35" s="16">
        <f si="6" t="shared"/>
        <v>7.9413092175598873E-3</v>
      </c>
      <c r="I35" s="16">
        <f si="7" t="shared"/>
        <v>1.4211852087612786E-2</v>
      </c>
      <c r="K35" s="30" t="s">
        <v>6</v>
      </c>
      <c r="L35" s="31">
        <f si="9" t="shared"/>
        <v>7.7473380159585117E-3</v>
      </c>
      <c r="M35" s="31">
        <f si="8" t="shared"/>
        <v>2.1959190103571297E-2</v>
      </c>
      <c r="N35" s="31">
        <f si="10" t="shared"/>
        <v>1.4211852087612786E-2</v>
      </c>
    </row>
    <row r="36" spans="6:14" x14ac:dyDescent="0.25">
      <c r="F36" s="9" t="s">
        <v>7</v>
      </c>
      <c r="G36" s="16">
        <f si="5" t="shared"/>
        <v>1.3990715823962441E-3</v>
      </c>
      <c r="H36" s="16">
        <f si="6" t="shared"/>
        <v>-2.9269960069580214E-2</v>
      </c>
      <c r="I36" s="16">
        <f si="7" t="shared"/>
        <v>-2.7870888487183956E-2</v>
      </c>
      <c r="K36" s="23" t="s">
        <v>7</v>
      </c>
      <c r="L36" s="24">
        <f si="9" t="shared"/>
        <v>9.6578370173449959E-2</v>
      </c>
      <c r="M36" s="24">
        <f si="8" t="shared"/>
        <v>6.8707481686266003E-2</v>
      </c>
      <c r="N36" s="24">
        <f si="10" t="shared"/>
        <v>-2.7870888487183956E-2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-4.515153993629545E-3</v>
      </c>
      <c r="I37" s="17">
        <f si="7" t="shared"/>
        <v>-4.515153993629545E-3</v>
      </c>
      <c r="K37" s="32" t="s">
        <v>8</v>
      </c>
      <c r="L37" s="33">
        <f si="9" t="shared"/>
        <v>4.515153993629545E-3</v>
      </c>
      <c r="M37" s="33">
        <f si="8" t="shared"/>
        <v>0</v>
      </c>
      <c r="N37" s="33">
        <f si="10" t="shared"/>
        <v>-4.515153993629545E-3</v>
      </c>
    </row>
    <row ht="15.75" r="38" spans="6:14" thickBot="1" x14ac:dyDescent="0.3">
      <c r="F38" s="13" t="s">
        <v>19</v>
      </c>
      <c r="G38" s="18">
        <f si="5" t="shared"/>
        <v>1.9807940592673816E-2</v>
      </c>
      <c r="H38" s="18">
        <f si="6" t="shared"/>
        <v>-1.9807940592673767E-2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52</v>
      </c>
      <c r="B2" s="1"/>
      <c r="C2" s="3"/>
      <c r="D2" s="3"/>
      <c r="F2" s="1" t="s">
        <v>15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2047.0027573749999</v>
      </c>
      <c r="C4" s="9" t="n">
        <v>244224.6765631157</v>
      </c>
      <c r="D4" s="9">
        <f>SUM(B4:C4)</f>
        <v>246271.67932049072</v>
      </c>
      <c r="E4" s="9"/>
      <c r="F4" s="9" t="s">
        <v>1</v>
      </c>
      <c r="G4" s="9" t="n">
        <v>0.0</v>
      </c>
      <c r="H4" s="9" t="n">
        <v>187758.0</v>
      </c>
      <c r="I4" s="9">
        <f>SUM(G4:H4)</f>
        <v>187625</v>
      </c>
    </row>
    <row r="5" spans="1:9" x14ac:dyDescent="0.25">
      <c r="A5" s="9" t="s">
        <v>2</v>
      </c>
      <c r="B5" s="9" t="n">
        <v>5471.1925544225</v>
      </c>
      <c r="C5" s="9" t="n">
        <v>143650.6989539791</v>
      </c>
      <c r="D5" s="9">
        <f ref="D5:D12" si="0" t="shared">SUM(B5:C5)</f>
        <v>149121.8915084016</v>
      </c>
      <c r="E5" s="9"/>
      <c r="F5" s="9" t="s">
        <v>2</v>
      </c>
      <c r="G5" s="9" t="n">
        <v>16748.0</v>
      </c>
      <c r="H5" s="9" t="n">
        <v>135526.0</v>
      </c>
      <c r="I5" s="9">
        <f ref="I5:I12" si="1" t="shared">SUM(G5:H5)</f>
        <v>151625</v>
      </c>
    </row>
    <row r="6" spans="1:9" x14ac:dyDescent="0.25">
      <c r="A6" s="9" t="s">
        <v>3</v>
      </c>
      <c r="B6" s="9" t="n">
        <v>2068.327236208</v>
      </c>
      <c r="C6" s="9" t="n">
        <v>129078.6227459507</v>
      </c>
      <c r="D6" s="9">
        <f si="0" t="shared"/>
        <v>131146.94998215869</v>
      </c>
      <c r="E6" s="9"/>
      <c r="F6" s="9" t="s">
        <v>3</v>
      </c>
      <c r="G6" s="9" t="n">
        <v>9616.0</v>
      </c>
      <c r="H6" s="9" t="n">
        <v>143047.0</v>
      </c>
      <c r="I6" s="9">
        <f si="1" t="shared"/>
        <v>152572</v>
      </c>
    </row>
    <row r="7" spans="1:9" x14ac:dyDescent="0.25">
      <c r="A7" s="9" t="s">
        <v>4</v>
      </c>
      <c r="B7" s="9" t="n">
        <v>24.97125</v>
      </c>
      <c r="C7" s="9" t="n">
        <v>212.651176194</v>
      </c>
      <c r="D7" s="9">
        <f si="0" t="shared"/>
        <v>237.62242619399998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21162.117538021</v>
      </c>
      <c r="C8" s="9" t="n">
        <v>11482.7907007267</v>
      </c>
      <c r="D8" s="9">
        <f si="0" t="shared"/>
        <v>32644.908238747703</v>
      </c>
      <c r="E8" s="9"/>
      <c r="F8" s="9" t="s">
        <v>5</v>
      </c>
      <c r="G8" s="9" t="n">
        <v>4612.0</v>
      </c>
      <c r="H8" s="9" t="n">
        <v>2465.0</v>
      </c>
      <c r="I8" s="9">
        <f si="1" t="shared"/>
        <v>6357</v>
      </c>
    </row>
    <row r="9" spans="1:9" x14ac:dyDescent="0.25">
      <c r="A9" s="9" t="s">
        <v>6</v>
      </c>
      <c r="B9" s="9" t="n">
        <v>1196.8745161056</v>
      </c>
      <c r="C9" s="9" t="n">
        <v>2093.4175745485</v>
      </c>
      <c r="D9" s="9">
        <f si="0" t="shared"/>
        <v>3290.2920906540999</v>
      </c>
      <c r="E9" s="9"/>
      <c r="F9" s="9" t="s">
        <v>6</v>
      </c>
      <c r="G9" s="9" t="n">
        <v>5636.0</v>
      </c>
      <c r="H9" s="9" t="n">
        <v>8988.0</v>
      </c>
      <c r="I9" s="9">
        <f si="1" t="shared"/>
        <v>14498</v>
      </c>
    </row>
    <row r="10" spans="1:9" x14ac:dyDescent="0.25">
      <c r="A10" s="9" t="s">
        <v>7</v>
      </c>
      <c r="B10" s="9" t="n">
        <v>33714.2463600806</v>
      </c>
      <c r="C10" s="9" t="n">
        <v>43925.1906810498</v>
      </c>
      <c r="D10" s="9">
        <f si="0" t="shared"/>
        <v>77639.437041130397</v>
      </c>
      <c r="E10" s="9"/>
      <c r="F10" s="9" t="s">
        <v>7</v>
      </c>
      <c r="G10" s="9" t="n">
        <v>16415.0</v>
      </c>
      <c r="H10" s="9" t="n">
        <v>28454.0</v>
      </c>
      <c r="I10" s="9">
        <f si="1" t="shared"/>
        <v>43893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65684.732212212693</v>
      </c>
      <c r="C12" s="10">
        <f>SUM(C4:C11)</f>
        <v>574668.04839556455</v>
      </c>
      <c r="D12" s="10">
        <f si="0" t="shared"/>
        <v>640352.78060777718</v>
      </c>
      <c r="F12" s="13" t="s">
        <v>19</v>
      </c>
      <c r="G12" s="10">
        <f>SUM(G4:G11)</f>
        <v>51191</v>
      </c>
      <c r="H12" s="10">
        <f>SUM(H4:H11)</f>
        <v>505379</v>
      </c>
      <c r="I12" s="10">
        <f si="1" t="shared"/>
        <v>556570</v>
      </c>
    </row>
    <row ht="15.75" r="15" spans="1:9" thickBot="1" x14ac:dyDescent="0.3">
      <c r="A15" s="1" t="s">
        <v>52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3.1966797355547217E-3</v>
      </c>
      <c r="C17" s="16">
        <f ref="C17:D17" si="2" t="shared">C4/$D$12</f>
        <v>0.38139082699276339</v>
      </c>
      <c r="D17" s="16">
        <f si="2" t="shared"/>
        <v>0.3845875067283181</v>
      </c>
      <c r="F17" s="9" t="s">
        <v>1</v>
      </c>
      <c r="G17" s="16">
        <f ref="G17:I25" si="3" t="shared">G4/$I$12</f>
        <v>0</v>
      </c>
      <c r="H17" s="16">
        <f si="3" t="shared"/>
        <v>0.33710943816590905</v>
      </c>
      <c r="I17" s="16">
        <f si="3" t="shared"/>
        <v>0.33710943816590905</v>
      </c>
    </row>
    <row r="18" spans="1:14" x14ac:dyDescent="0.25">
      <c r="A18" s="9" t="s">
        <v>2</v>
      </c>
      <c r="B18" s="16">
        <f ref="B18:D25" si="4" t="shared">B5/$D$12</f>
        <v>8.5440287293351552E-3</v>
      </c>
      <c r="C18" s="16">
        <f si="4" t="shared"/>
        <v>0.22433056169075444</v>
      </c>
      <c r="D18" s="16">
        <f si="4" t="shared"/>
        <v>0.23287459042008959</v>
      </c>
      <c r="F18" s="9" t="s">
        <v>2</v>
      </c>
      <c r="G18" s="16">
        <f si="3" t="shared"/>
        <v>2.9297303124494672E-2</v>
      </c>
      <c r="H18" s="16">
        <f si="3" t="shared"/>
        <v>0.24313024417413803</v>
      </c>
      <c r="I18" s="16">
        <f si="3" t="shared"/>
        <v>0.27242754729863272</v>
      </c>
    </row>
    <row r="19" spans="1:14" x14ac:dyDescent="0.25">
      <c r="A19" s="9" t="s">
        <v>3</v>
      </c>
      <c r="B19" s="16">
        <f si="4" t="shared"/>
        <v>3.2299808774858313E-3</v>
      </c>
      <c r="C19" s="16">
        <f si="4" t="shared"/>
        <v>0.20157423635052929</v>
      </c>
      <c r="D19" s="16">
        <f si="4" t="shared"/>
        <v>0.20480421722801509</v>
      </c>
      <c r="F19" s="9" t="s">
        <v>3</v>
      </c>
      <c r="G19" s="16">
        <f si="3" t="shared"/>
        <v>1.7349120505956123E-2</v>
      </c>
      <c r="H19" s="16">
        <f si="3" t="shared"/>
        <v>0.25677991986632409</v>
      </c>
      <c r="I19" s="16">
        <f si="3" t="shared"/>
        <v>0.2741290403722802</v>
      </c>
    </row>
    <row r="20" spans="1:14" x14ac:dyDescent="0.25">
      <c r="A20" s="9" t="s">
        <v>4</v>
      </c>
      <c r="B20" s="16">
        <f si="4" t="shared"/>
        <v>3.8996082715997691E-5</v>
      </c>
      <c r="C20" s="16">
        <f si="4" t="shared"/>
        <v>3.3208441133365059E-4</v>
      </c>
      <c r="D20" s="16">
        <f si="4" t="shared"/>
        <v>3.7108049404964828E-4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3.3047592169328018E-2</v>
      </c>
      <c r="C21" s="16">
        <f si="4" t="shared"/>
        <v>1.793197601145427E-2</v>
      </c>
      <c r="D21" s="16">
        <f si="4" t="shared"/>
        <v>5.0979568180782295E-2</v>
      </c>
      <c r="F21" s="9" t="s">
        <v>5</v>
      </c>
      <c r="G21" s="16">
        <f si="3" t="shared"/>
        <v>7.3288175791005623E-3</v>
      </c>
      <c r="H21" s="16">
        <f si="3" t="shared"/>
        <v>4.0929263165459867E-3</v>
      </c>
      <c r="I21" s="16">
        <f si="3" t="shared"/>
        <v>1.142174389564655E-2</v>
      </c>
    </row>
    <row r="22" spans="1:14" x14ac:dyDescent="0.25">
      <c r="A22" s="9" t="s">
        <v>6</v>
      </c>
      <c r="B22" s="16">
        <f si="4" t="shared"/>
        <v>1.8690861543063997E-3</v>
      </c>
      <c r="C22" s="16">
        <f si="4" t="shared"/>
        <v>3.2691629332218678E-3</v>
      </c>
      <c r="D22" s="16">
        <f si="4" t="shared"/>
        <v>5.1382490875282677E-3</v>
      </c>
      <c r="F22" s="9" t="s">
        <v>6</v>
      </c>
      <c r="G22" s="16">
        <f si="3" t="shared"/>
        <v>9.7705589593402448E-3</v>
      </c>
      <c r="H22" s="16">
        <f si="3" t="shared"/>
        <v>1.6278275868264549E-2</v>
      </c>
      <c r="I22" s="16">
        <f si="3" t="shared"/>
        <v>2.6048834827604794E-2</v>
      </c>
    </row>
    <row r="23" spans="1:14" x14ac:dyDescent="0.25">
      <c r="A23" s="9" t="s">
        <v>7</v>
      </c>
      <c r="B23" s="16">
        <f si="4" t="shared"/>
        <v>5.2649488502386828E-2</v>
      </c>
      <c r="C23" s="16">
        <f si="4" t="shared"/>
        <v>6.85952993588302E-2</v>
      </c>
      <c r="D23" s="16">
        <f si="4" t="shared"/>
        <v>0.12124478786121703</v>
      </c>
      <c r="F23" s="9" t="s">
        <v>7</v>
      </c>
      <c r="G23" s="16">
        <f si="3" t="shared"/>
        <v>2.8230051925184612E-2</v>
      </c>
      <c r="H23" s="16">
        <f si="3" t="shared"/>
        <v>5.063334351474208E-2</v>
      </c>
      <c r="I23" s="16">
        <f si="3" t="shared"/>
        <v>7.8863395439926695E-2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0.10257585225111295</v>
      </c>
      <c r="C25" s="18">
        <f si="4" t="shared"/>
        <v>0.89742414774888712</v>
      </c>
      <c r="D25" s="18">
        <f si="4" t="shared"/>
        <v>1</v>
      </c>
      <c r="F25" s="13" t="s">
        <v>19</v>
      </c>
      <c r="G25" s="18">
        <f si="3" t="shared"/>
        <v>9.1975852094076216E-2</v>
      </c>
      <c r="H25" s="18">
        <f si="3" t="shared"/>
        <v>0.90802414790592378</v>
      </c>
      <c r="I25" s="18">
        <f si="3" t="shared"/>
        <v>1</v>
      </c>
    </row>
    <row ht="15.75" r="28" spans="1:14" thickBot="1" x14ac:dyDescent="0.3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-3.1966797355547217E-3</v>
      </c>
      <c r="H30" s="16">
        <f ref="H30:H38" si="6" t="shared">H17-C17</f>
        <v>-4.428138882685434E-2</v>
      </c>
      <c r="I30" s="16">
        <f ref="I30:I38" si="7" t="shared">I17-D17</f>
        <v>-4.7478068562409048E-2</v>
      </c>
      <c r="K30" s="23" t="s">
        <v>1</v>
      </c>
      <c r="L30" s="24">
        <f>D17</f>
        <v>0.3845875067283181</v>
      </c>
      <c r="M30" s="24">
        <f ref="M30:M38" si="8" t="shared">I17</f>
        <v>0.33710943816590905</v>
      </c>
      <c r="N30" s="24">
        <f>M30-L30</f>
        <v>-4.7478068562409048E-2</v>
      </c>
    </row>
    <row r="31" spans="1:14" x14ac:dyDescent="0.25">
      <c r="F31" s="9" t="s">
        <v>2</v>
      </c>
      <c r="G31" s="16">
        <f si="5" t="shared"/>
        <v>2.0753274395159518E-2</v>
      </c>
      <c r="H31" s="16">
        <f si="6" t="shared"/>
        <v>1.8799682483383595E-2</v>
      </c>
      <c r="I31" s="16">
        <f si="7" t="shared"/>
        <v>3.9552956878543127E-2</v>
      </c>
      <c r="K31" s="30" t="s">
        <v>2</v>
      </c>
      <c r="L31" s="31">
        <f ref="L31:L38" si="9" t="shared">D18</f>
        <v>0.23287459042008959</v>
      </c>
      <c r="M31" s="31">
        <f si="8" t="shared"/>
        <v>0.27242754729863272</v>
      </c>
      <c r="N31" s="31">
        <f ref="N31:N38" si="10" t="shared">M31-L31</f>
        <v>3.9552956878543127E-2</v>
      </c>
    </row>
    <row r="32" spans="1:14" x14ac:dyDescent="0.25">
      <c r="F32" s="9" t="s">
        <v>3</v>
      </c>
      <c r="G32" s="16">
        <f si="5" t="shared"/>
        <v>1.4119139628470292E-2</v>
      </c>
      <c r="H32" s="16">
        <f si="6" t="shared"/>
        <v>5.5205683515794801E-2</v>
      </c>
      <c r="I32" s="16">
        <f si="7" t="shared"/>
        <v>6.9324823144265107E-2</v>
      </c>
      <c r="K32" s="23" t="s">
        <v>3</v>
      </c>
      <c r="L32" s="24">
        <f si="9" t="shared"/>
        <v>0.20480421722801509</v>
      </c>
      <c r="M32" s="24">
        <f si="8" t="shared"/>
        <v>0.2741290403722802</v>
      </c>
      <c r="N32" s="24">
        <f si="10" t="shared"/>
        <v>6.9324823144265107E-2</v>
      </c>
    </row>
    <row r="33" spans="6:14" x14ac:dyDescent="0.25">
      <c r="F33" s="9" t="s">
        <v>4</v>
      </c>
      <c r="G33" s="16">
        <f si="5" t="shared"/>
        <v>-3.8996082715997691E-5</v>
      </c>
      <c r="H33" s="16">
        <f si="6" t="shared"/>
        <v>-3.3208441133365059E-4</v>
      </c>
      <c r="I33" s="16">
        <f si="7" t="shared"/>
        <v>-3.7108049404964828E-4</v>
      </c>
      <c r="K33" s="30" t="s">
        <v>4</v>
      </c>
      <c r="L33" s="31">
        <f si="9" t="shared"/>
        <v>3.7108049404964828E-4</v>
      </c>
      <c r="M33" s="31">
        <f si="8" t="shared"/>
        <v>0</v>
      </c>
      <c r="N33" s="31">
        <f si="10" t="shared"/>
        <v>-3.7108049404964828E-4</v>
      </c>
    </row>
    <row r="34" spans="6:14" x14ac:dyDescent="0.25">
      <c r="F34" s="9" t="s">
        <v>5</v>
      </c>
      <c r="G34" s="16">
        <f si="5" t="shared"/>
        <v>-2.5718774590227457E-2</v>
      </c>
      <c r="H34" s="16">
        <f si="6" t="shared"/>
        <v>-1.3839049694908283E-2</v>
      </c>
      <c r="I34" s="16">
        <f si="7" t="shared"/>
        <v>-3.9557824285135747E-2</v>
      </c>
      <c r="K34" s="23" t="s">
        <v>5</v>
      </c>
      <c r="L34" s="24">
        <f si="9" t="shared"/>
        <v>5.0979568180782295E-2</v>
      </c>
      <c r="M34" s="24">
        <f si="8" t="shared"/>
        <v>1.142174389564655E-2</v>
      </c>
      <c r="N34" s="24">
        <f si="10" t="shared"/>
        <v>-3.9557824285135747E-2</v>
      </c>
    </row>
    <row r="35" spans="6:14" x14ac:dyDescent="0.25">
      <c r="F35" s="9" t="s">
        <v>6</v>
      </c>
      <c r="G35" s="16">
        <f si="5" t="shared"/>
        <v>7.9014728050338448E-3</v>
      </c>
      <c r="H35" s="16">
        <f si="6" t="shared"/>
        <v>1.3009112935042682E-2</v>
      </c>
      <c r="I35" s="16">
        <f si="7" t="shared"/>
        <v>2.0910585740076527E-2</v>
      </c>
      <c r="K35" s="30" t="s">
        <v>6</v>
      </c>
      <c r="L35" s="31">
        <f si="9" t="shared"/>
        <v>5.1382490875282677E-3</v>
      </c>
      <c r="M35" s="31">
        <f si="8" t="shared"/>
        <v>2.6048834827604794E-2</v>
      </c>
      <c r="N35" s="31">
        <f si="10" t="shared"/>
        <v>2.0910585740076527E-2</v>
      </c>
    </row>
    <row r="36" spans="6:14" x14ac:dyDescent="0.25">
      <c r="F36" s="9" t="s">
        <v>7</v>
      </c>
      <c r="G36" s="16">
        <f si="5" t="shared"/>
        <v>-2.4419436577202216E-2</v>
      </c>
      <c r="H36" s="16">
        <f si="6" t="shared"/>
        <v>-1.7961955844088121E-2</v>
      </c>
      <c r="I36" s="16">
        <f si="7" t="shared"/>
        <v>-4.238139242129034E-2</v>
      </c>
      <c r="K36" s="23" t="s">
        <v>7</v>
      </c>
      <c r="L36" s="24">
        <f si="9" t="shared"/>
        <v>0.12124478786121703</v>
      </c>
      <c r="M36" s="24">
        <f si="8" t="shared"/>
        <v>7.8863395439926695E-2</v>
      </c>
      <c r="N36" s="24">
        <f si="10" t="shared"/>
        <v>-4.238139242129034E-2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-1.0600000157036729E-2</v>
      </c>
      <c r="H38" s="18">
        <f si="6" t="shared"/>
        <v>1.060000015703666E-2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53</v>
      </c>
      <c r="B2" s="1"/>
      <c r="C2" s="3"/>
      <c r="D2" s="3"/>
      <c r="F2" s="1" t="s">
        <v>14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78.7797765685</v>
      </c>
      <c r="C4" s="9" t="n">
        <v>47034.3823645538</v>
      </c>
      <c r="D4" s="9">
        <f>SUM(B4:C4)</f>
        <v>47113.162141122302</v>
      </c>
      <c r="E4" s="9"/>
      <c r="F4" s="9" t="s">
        <v>1</v>
      </c>
      <c r="G4" s="9" t="n">
        <v>0.0</v>
      </c>
      <c r="H4" s="9" t="n">
        <v>28967.0</v>
      </c>
      <c r="I4" s="9">
        <f>SUM(G4:H4)</f>
        <v>28548</v>
      </c>
    </row>
    <row r="5" spans="1:9" x14ac:dyDescent="0.25">
      <c r="A5" s="9" t="s">
        <v>2</v>
      </c>
      <c r="B5" s="9" t="n">
        <v>2199.8988636568</v>
      </c>
      <c r="C5" s="9" t="n">
        <v>69080.8932730155</v>
      </c>
      <c r="D5" s="9">
        <f ref="D5:D12" si="0" t="shared">SUM(B5:C5)</f>
        <v>71280.792136672302</v>
      </c>
      <c r="E5" s="9"/>
      <c r="F5" s="9" t="s">
        <v>2</v>
      </c>
      <c r="G5" s="9" t="n">
        <v>2010.0</v>
      </c>
      <c r="H5" s="9" t="n">
        <v>51517.0</v>
      </c>
      <c r="I5" s="9">
        <f ref="I5:I12" si="1" t="shared">SUM(G5:H5)</f>
        <v>52812</v>
      </c>
    </row>
    <row r="6" spans="1:9" x14ac:dyDescent="0.25">
      <c r="A6" s="9" t="s">
        <v>3</v>
      </c>
      <c r="B6" s="9" t="n">
        <v>474.295056466</v>
      </c>
      <c r="C6" s="9" t="n">
        <v>30538.726314833002</v>
      </c>
      <c r="D6" s="9">
        <f si="0" t="shared"/>
        <v>31013.021371299001</v>
      </c>
      <c r="E6" s="9"/>
      <c r="F6" s="9" t="s">
        <v>3</v>
      </c>
      <c r="G6" s="9" t="n">
        <v>1192.0</v>
      </c>
      <c r="H6" s="9" t="n">
        <v>41720.0</v>
      </c>
      <c r="I6" s="9">
        <f si="1" t="shared"/>
        <v>42119</v>
      </c>
    </row>
    <row r="7" spans="1:9" x14ac:dyDescent="0.25">
      <c r="A7" s="9" t="s">
        <v>4</v>
      </c>
      <c r="B7" s="9" t="n">
        <v>0.0</v>
      </c>
      <c r="C7" s="9" t="n">
        <v>288.324112389</v>
      </c>
      <c r="D7" s="9">
        <f si="0" t="shared"/>
        <v>288.32411238899999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8080.0232762711</v>
      </c>
      <c r="C8" s="9" t="n">
        <v>2352.0421887478</v>
      </c>
      <c r="D8" s="9">
        <f si="0" t="shared"/>
        <v>10432.065465018901</v>
      </c>
      <c r="E8" s="9"/>
      <c r="F8" s="9" t="s">
        <v>5</v>
      </c>
      <c r="G8" s="9" t="n">
        <v>818.0</v>
      </c>
      <c r="H8" s="9" t="n">
        <v>967.0</v>
      </c>
      <c r="I8" s="9">
        <f si="1" t="shared"/>
        <v>1664</v>
      </c>
    </row>
    <row r="9" spans="1:9" x14ac:dyDescent="0.25">
      <c r="A9" s="9" t="s">
        <v>6</v>
      </c>
      <c r="B9" s="9" t="n">
        <v>1903.3855107507</v>
      </c>
      <c r="C9" s="9" t="n">
        <v>1409.4001897420999</v>
      </c>
      <c r="D9" s="9">
        <f si="0" t="shared"/>
        <v>3312.7857004928001</v>
      </c>
      <c r="E9" s="9"/>
      <c r="F9" s="9" t="s">
        <v>6</v>
      </c>
      <c r="G9" s="9" t="n">
        <v>180.0</v>
      </c>
      <c r="H9" s="9" t="n">
        <v>833.0</v>
      </c>
      <c r="I9" s="9">
        <f si="1" t="shared"/>
        <v>1075</v>
      </c>
    </row>
    <row r="10" spans="1:9" x14ac:dyDescent="0.25">
      <c r="A10" s="9" t="s">
        <v>7</v>
      </c>
      <c r="B10" s="9" t="n">
        <v>10106.5037902775</v>
      </c>
      <c r="C10" s="9" t="n">
        <v>22160.261840978</v>
      </c>
      <c r="D10" s="9">
        <f si="0" t="shared"/>
        <v>32266.765631255501</v>
      </c>
      <c r="E10" s="9"/>
      <c r="F10" s="9" t="s">
        <v>7</v>
      </c>
      <c r="G10" s="9" t="n">
        <v>5568.0</v>
      </c>
      <c r="H10" s="9" t="n">
        <v>26559.0</v>
      </c>
      <c r="I10" s="9">
        <f si="1" t="shared"/>
        <v>31791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22842.886273990604</v>
      </c>
      <c r="C12" s="10">
        <f>SUM(C4:C11)</f>
        <v>172864.03028425921</v>
      </c>
      <c r="D12" s="10">
        <f si="0" t="shared"/>
        <v>195706.9165582498</v>
      </c>
      <c r="F12" s="13" t="s">
        <v>19</v>
      </c>
      <c r="G12" s="10">
        <f>SUM(G4:G11)</f>
        <v>9549</v>
      </c>
      <c r="H12" s="10">
        <f>SUM(H4:H11)</f>
        <v>148460</v>
      </c>
      <c r="I12" s="10">
        <f si="1" t="shared"/>
        <v>158009</v>
      </c>
    </row>
    <row ht="15.75" r="15" spans="1:9" thickBot="1" x14ac:dyDescent="0.3">
      <c r="A15" s="1" t="s">
        <v>53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4.0253956249447194E-4</v>
      </c>
      <c r="C17" s="16">
        <f ref="C17:D17" si="2" t="shared">C4/$D$12</f>
        <v>0.24033071079812646</v>
      </c>
      <c r="D17" s="16">
        <f si="2" t="shared"/>
        <v>0.24073325036062096</v>
      </c>
      <c r="F17" s="9" t="s">
        <v>1</v>
      </c>
      <c r="G17" s="16">
        <f ref="G17:I25" si="3" t="shared">G4/$I$12</f>
        <v>0</v>
      </c>
      <c r="H17" s="16">
        <f si="3" t="shared"/>
        <v>0.18067325278939808</v>
      </c>
      <c r="I17" s="16">
        <f si="3" t="shared"/>
        <v>0.18067325278939808</v>
      </c>
    </row>
    <row r="18" spans="1:14" x14ac:dyDescent="0.25">
      <c r="A18" s="9" t="s">
        <v>2</v>
      </c>
      <c r="B18" s="16">
        <f ref="B18:D25" si="4" t="shared">B5/$D$12</f>
        <v>1.1240782402302203E-2</v>
      </c>
      <c r="C18" s="16">
        <f si="4" t="shared"/>
        <v>0.35298135849202045</v>
      </c>
      <c r="D18" s="16">
        <f si="4" t="shared"/>
        <v>0.36422214089432264</v>
      </c>
      <c r="F18" s="9" t="s">
        <v>2</v>
      </c>
      <c r="G18" s="16">
        <f si="3" t="shared"/>
        <v>1.2670164357726459E-2</v>
      </c>
      <c r="H18" s="16">
        <f si="3" t="shared"/>
        <v>0.32156396154649419</v>
      </c>
      <c r="I18" s="16">
        <f si="3" t="shared"/>
        <v>0.33423412590422064</v>
      </c>
    </row>
    <row r="19" spans="1:14" x14ac:dyDescent="0.25">
      <c r="A19" s="9" t="s">
        <v>3</v>
      </c>
      <c r="B19" s="16">
        <f si="4" t="shared"/>
        <v>2.4234966490049004E-3</v>
      </c>
      <c r="C19" s="16">
        <f si="4" t="shared"/>
        <v>0.15604316317427402</v>
      </c>
      <c r="D19" s="16">
        <f si="4" t="shared"/>
        <v>0.1584666598232789</v>
      </c>
      <c r="F19" s="9" t="s">
        <v>3</v>
      </c>
      <c r="G19" s="16">
        <f si="3" t="shared"/>
        <v>7.8603117543937367E-3</v>
      </c>
      <c r="H19" s="16">
        <f si="3" t="shared"/>
        <v>0.2587004537716206</v>
      </c>
      <c r="I19" s="16">
        <f si="3" t="shared"/>
        <v>0.26656076552601432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1.4732443669316297E-3</v>
      </c>
      <c r="D20" s="16">
        <f si="4" t="shared"/>
        <v>1.4732443669316297E-3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4.1286345001844527E-2</v>
      </c>
      <c r="C21" s="16">
        <f si="4" t="shared"/>
        <v>1.2018186327348033E-2</v>
      </c>
      <c r="D21" s="16">
        <f si="4" t="shared"/>
        <v>5.3304531329192564E-2</v>
      </c>
      <c r="F21" s="9" t="s">
        <v>5</v>
      </c>
      <c r="G21" s="16">
        <f si="3" t="shared"/>
        <v>4.3858261238283892E-3</v>
      </c>
      <c r="H21" s="16">
        <f si="3" t="shared"/>
        <v>6.145219576100096E-3</v>
      </c>
      <c r="I21" s="16">
        <f si="3" t="shared"/>
        <v>1.0531045699928484E-2</v>
      </c>
    </row>
    <row r="22" spans="1:14" x14ac:dyDescent="0.25">
      <c r="A22" s="9" t="s">
        <v>6</v>
      </c>
      <c r="B22" s="16">
        <f si="4" t="shared"/>
        <v>9.7256936250599002E-3</v>
      </c>
      <c r="C22" s="16">
        <f si="4" t="shared"/>
        <v>7.2015859966942401E-3</v>
      </c>
      <c r="D22" s="16">
        <f si="4" t="shared"/>
        <v>1.6927279621754141E-2</v>
      </c>
      <c r="F22" s="9" t="s">
        <v>6</v>
      </c>
      <c r="G22" s="16">
        <f si="3" t="shared"/>
        <v>1.246764424811245E-3</v>
      </c>
      <c r="H22" s="16">
        <f si="3" t="shared"/>
        <v>5.5566455075343807E-3</v>
      </c>
      <c r="I22" s="16">
        <f si="3" t="shared"/>
        <v>6.8034099323456259E-3</v>
      </c>
    </row>
    <row r="23" spans="1:14" x14ac:dyDescent="0.25">
      <c r="A23" s="9" t="s">
        <v>7</v>
      </c>
      <c r="B23" s="16">
        <f si="4" t="shared"/>
        <v>5.1641014880889104E-2</v>
      </c>
      <c r="C23" s="16">
        <f si="4" t="shared"/>
        <v>0.11323187872301012</v>
      </c>
      <c r="D23" s="16">
        <f si="4" t="shared"/>
        <v>0.16487289360389923</v>
      </c>
      <c r="F23" s="9" t="s">
        <v>7</v>
      </c>
      <c r="G23" s="16">
        <f si="3" t="shared"/>
        <v>3.427019979874564E-2</v>
      </c>
      <c r="H23" s="16">
        <f si="3" t="shared"/>
        <v>0.16692720034934719</v>
      </c>
      <c r="I23" s="16">
        <f si="3" t="shared"/>
        <v>0.20119740014809284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0.11671987212159513</v>
      </c>
      <c r="C25" s="18">
        <f si="4" t="shared"/>
        <v>0.88328012787840493</v>
      </c>
      <c r="D25" s="18">
        <f si="4" t="shared"/>
        <v>1</v>
      </c>
      <c r="F25" s="13" t="s">
        <v>19</v>
      </c>
      <c r="G25" s="18">
        <f si="3" t="shared"/>
        <v>6.0433266459505468E-2</v>
      </c>
      <c r="H25" s="18">
        <f si="3" t="shared"/>
        <v>0.93956673354049458</v>
      </c>
      <c r="I25" s="18">
        <f si="3" t="shared"/>
        <v>1</v>
      </c>
    </row>
    <row ht="15.75" r="28" spans="1:14" thickBot="1" x14ac:dyDescent="0.3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-4.0253956249447194E-4</v>
      </c>
      <c r="H30" s="16">
        <f ref="H30:H38" si="6" t="shared">H17-C17</f>
        <v>-5.9657458008728376E-2</v>
      </c>
      <c r="I30" s="16">
        <f ref="I30:I38" si="7" t="shared">I17-D17</f>
        <v>-6.0059997571222878E-2</v>
      </c>
      <c r="K30" s="23" t="s">
        <v>1</v>
      </c>
      <c r="L30" s="24">
        <f>D17</f>
        <v>0.24073325036062096</v>
      </c>
      <c r="M30" s="24">
        <f ref="M30:M38" si="8" t="shared">I17</f>
        <v>0.18067325278939808</v>
      </c>
      <c r="N30" s="24">
        <f>M30-L30</f>
        <v>-6.0059997571222878E-2</v>
      </c>
    </row>
    <row r="31" spans="1:14" x14ac:dyDescent="0.25">
      <c r="F31" s="9" t="s">
        <v>2</v>
      </c>
      <c r="G31" s="16">
        <f si="5" t="shared"/>
        <v>1.4293819554242557E-3</v>
      </c>
      <c r="H31" s="16">
        <f si="6" t="shared"/>
        <v>-3.1417396945526255E-2</v>
      </c>
      <c r="I31" s="16">
        <f si="7" t="shared"/>
        <v>-2.9988014990102008E-2</v>
      </c>
      <c r="K31" s="30" t="s">
        <v>2</v>
      </c>
      <c r="L31" s="31">
        <f ref="L31:L38" si="9" t="shared">D18</f>
        <v>0.36422214089432264</v>
      </c>
      <c r="M31" s="31">
        <f si="8" t="shared"/>
        <v>0.33423412590422064</v>
      </c>
      <c r="N31" s="31">
        <f ref="N31:N38" si="10" t="shared">M31-L31</f>
        <v>-2.9988014990102008E-2</v>
      </c>
    </row>
    <row r="32" spans="1:14" x14ac:dyDescent="0.25">
      <c r="F32" s="9" t="s">
        <v>3</v>
      </c>
      <c r="G32" s="16">
        <f si="5" t="shared"/>
        <v>5.4368151053888359E-3</v>
      </c>
      <c r="H32" s="16">
        <f si="6" t="shared"/>
        <v>0.10265729059734657</v>
      </c>
      <c r="I32" s="16">
        <f si="7" t="shared"/>
        <v>0.10809410570273542</v>
      </c>
      <c r="K32" s="23" t="s">
        <v>3</v>
      </c>
      <c r="L32" s="24">
        <f si="9" t="shared"/>
        <v>0.1584666598232789</v>
      </c>
      <c r="M32" s="24">
        <f si="8" t="shared"/>
        <v>0.26656076552601432</v>
      </c>
      <c r="N32" s="24">
        <f si="10" t="shared"/>
        <v>0.10809410570273542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-1.4732443669316297E-3</v>
      </c>
      <c r="I33" s="16">
        <f si="7" t="shared"/>
        <v>-1.4732443669316297E-3</v>
      </c>
      <c r="K33" s="30" t="s">
        <v>4</v>
      </c>
      <c r="L33" s="31">
        <f si="9" t="shared"/>
        <v>1.4732443669316297E-3</v>
      </c>
      <c r="M33" s="31">
        <f si="8" t="shared"/>
        <v>0</v>
      </c>
      <c r="N33" s="31">
        <f si="10" t="shared"/>
        <v>-1.4732443669316297E-3</v>
      </c>
    </row>
    <row r="34" spans="6:14" x14ac:dyDescent="0.25">
      <c r="F34" s="9" t="s">
        <v>5</v>
      </c>
      <c r="G34" s="16">
        <f si="5" t="shared"/>
        <v>-3.6900518878016139E-2</v>
      </c>
      <c r="H34" s="16">
        <f si="6" t="shared"/>
        <v>-5.8729667512479366E-3</v>
      </c>
      <c r="I34" s="16">
        <f si="7" t="shared"/>
        <v>-4.2773485629264078E-2</v>
      </c>
      <c r="K34" s="23" t="s">
        <v>5</v>
      </c>
      <c r="L34" s="24">
        <f si="9" t="shared"/>
        <v>5.3304531329192564E-2</v>
      </c>
      <c r="M34" s="24">
        <f si="8" t="shared"/>
        <v>1.0531045699928484E-2</v>
      </c>
      <c r="N34" s="24">
        <f si="10" t="shared"/>
        <v>-4.2773485629264078E-2</v>
      </c>
    </row>
    <row r="35" spans="6:14" x14ac:dyDescent="0.25">
      <c r="F35" s="9" t="s">
        <v>6</v>
      </c>
      <c r="G35" s="16">
        <f si="5" t="shared"/>
        <v>-8.4789292002486558E-3</v>
      </c>
      <c r="H35" s="16">
        <f si="6" t="shared"/>
        <v>-1.6449404891598594E-3</v>
      </c>
      <c r="I35" s="16">
        <f si="7" t="shared"/>
        <v>-1.0123869689408515E-2</v>
      </c>
      <c r="K35" s="30" t="s">
        <v>6</v>
      </c>
      <c r="L35" s="31">
        <f si="9" t="shared"/>
        <v>1.6927279621754141E-2</v>
      </c>
      <c r="M35" s="31">
        <f si="8" t="shared"/>
        <v>6.8034099323456259E-3</v>
      </c>
      <c r="N35" s="31">
        <f si="10" t="shared"/>
        <v>-1.0123869689408515E-2</v>
      </c>
    </row>
    <row r="36" spans="6:14" x14ac:dyDescent="0.25">
      <c r="F36" s="9" t="s">
        <v>7</v>
      </c>
      <c r="G36" s="16">
        <f si="5" t="shared"/>
        <v>-1.7370815082143463E-2</v>
      </c>
      <c r="H36" s="16">
        <f si="6" t="shared"/>
        <v>5.369532162633707E-2</v>
      </c>
      <c r="I36" s="16">
        <f si="7" t="shared"/>
        <v>3.6324506544193613E-2</v>
      </c>
      <c r="K36" s="23" t="s">
        <v>7</v>
      </c>
      <c r="L36" s="24">
        <f si="9" t="shared"/>
        <v>0.16487289360389923</v>
      </c>
      <c r="M36" s="24">
        <f si="8" t="shared"/>
        <v>0.20119740014809284</v>
      </c>
      <c r="N36" s="24">
        <f si="10" t="shared"/>
        <v>3.6324506544193613E-2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-5.6286605662089657E-2</v>
      </c>
      <c r="H38" s="18">
        <f si="6" t="shared"/>
        <v>5.628660566208965E-2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O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54</v>
      </c>
      <c r="B2" s="1"/>
      <c r="C2" s="3"/>
      <c r="D2" s="3"/>
      <c r="F2" s="1" t="s">
        <v>16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99.3565974342</v>
      </c>
      <c r="C4" s="9" t="n">
        <v>225667.8518653468</v>
      </c>
      <c r="D4" s="9">
        <f>SUM(B4:C4)</f>
        <v>225767.20846278101</v>
      </c>
      <c r="E4" s="9"/>
      <c r="F4" s="9" t="s">
        <v>1</v>
      </c>
      <c r="G4" s="9" t="n">
        <v>0.0</v>
      </c>
      <c r="H4" s="9" t="n">
        <v>156249.0</v>
      </c>
      <c r="I4" s="9">
        <f>SUM(G4:H4)</f>
        <v>154400</v>
      </c>
    </row>
    <row r="5" spans="1:9" x14ac:dyDescent="0.25">
      <c r="A5" s="9" t="s">
        <v>2</v>
      </c>
      <c r="B5" s="9" t="n">
        <v>1712.3968538774</v>
      </c>
      <c r="C5" s="9" t="n">
        <v>195316.4279606373</v>
      </c>
      <c r="D5" s="9">
        <f ref="D5:D12" si="0" t="shared">SUM(B5:C5)</f>
        <v>197028.82481451469</v>
      </c>
      <c r="E5" s="9"/>
      <c r="F5" s="9" t="s">
        <v>2</v>
      </c>
      <c r="G5" s="9" t="n">
        <v>9483.0</v>
      </c>
      <c r="H5" s="9" t="n">
        <v>181170.0</v>
      </c>
      <c r="I5" s="9">
        <f ref="I5:I12" si="1" t="shared">SUM(G5:H5)</f>
        <v>188999</v>
      </c>
    </row>
    <row r="6" spans="1:9" x14ac:dyDescent="0.25">
      <c r="A6" s="9" t="s">
        <v>3</v>
      </c>
      <c r="B6" s="9" t="n">
        <v>842.0799996000001</v>
      </c>
      <c r="C6" s="9" t="n">
        <v>202513.2528260626</v>
      </c>
      <c r="D6" s="9">
        <f si="0" t="shared"/>
        <v>203355.33282566263</v>
      </c>
      <c r="E6" s="9"/>
      <c r="F6" s="9" t="s">
        <v>3</v>
      </c>
      <c r="G6" s="9" t="n">
        <v>5778.0</v>
      </c>
      <c r="H6" s="9" t="n">
        <v>168284.0</v>
      </c>
      <c r="I6" s="9">
        <f si="1" t="shared"/>
        <v>172202</v>
      </c>
    </row>
    <row r="7" spans="1:9" x14ac:dyDescent="0.25">
      <c r="A7" s="9" t="s">
        <v>4</v>
      </c>
      <c r="B7" s="9" t="n">
        <v>240.321304484</v>
      </c>
      <c r="C7" s="9" t="n">
        <v>489.1634700729</v>
      </c>
      <c r="D7" s="9">
        <f si="0" t="shared"/>
        <v>729.48477455689999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8272.695610896</v>
      </c>
      <c r="C8" s="9" t="n">
        <v>9694.9037049906</v>
      </c>
      <c r="D8" s="9">
        <f si="0" t="shared"/>
        <v>17967.5993158866</v>
      </c>
      <c r="E8" s="9"/>
      <c r="F8" s="9" t="s">
        <v>5</v>
      </c>
      <c r="G8" s="9" t="n">
        <v>4352.0</v>
      </c>
      <c r="H8" s="9" t="n">
        <v>3331.0</v>
      </c>
      <c r="I8" s="9">
        <f si="1" t="shared"/>
        <v>7195</v>
      </c>
    </row>
    <row r="9" spans="1:9" x14ac:dyDescent="0.25">
      <c r="A9" s="9" t="s">
        <v>6</v>
      </c>
      <c r="B9" s="9" t="n">
        <v>1103.2478982475</v>
      </c>
      <c r="C9" s="9" t="n">
        <v>14000.1314566996</v>
      </c>
      <c r="D9" s="9">
        <f si="0" t="shared"/>
        <v>15103.379354947101</v>
      </c>
      <c r="E9" s="9"/>
      <c r="F9" s="9" t="s">
        <v>6</v>
      </c>
      <c r="G9" s="9" t="n">
        <v>1994.0</v>
      </c>
      <c r="H9" s="9" t="n">
        <v>9939.0</v>
      </c>
      <c r="I9" s="9">
        <f si="1" t="shared"/>
        <v>11660</v>
      </c>
    </row>
    <row r="10" spans="1:9" x14ac:dyDescent="0.25">
      <c r="A10" s="9" t="s">
        <v>7</v>
      </c>
      <c r="B10" s="9" t="n">
        <v>20161.8858654473</v>
      </c>
      <c r="C10" s="9" t="n">
        <v>284958.9603021097</v>
      </c>
      <c r="D10" s="9">
        <f si="0" t="shared"/>
        <v>305120.846167557</v>
      </c>
      <c r="E10" s="9"/>
      <c r="F10" s="9" t="s">
        <v>7</v>
      </c>
      <c r="G10" s="9" t="n">
        <v>11726.0</v>
      </c>
      <c r="H10" s="9" t="n">
        <v>226571.0</v>
      </c>
      <c r="I10" s="9">
        <f si="1" t="shared"/>
        <v>235025</v>
      </c>
    </row>
    <row r="11" spans="1:9" x14ac:dyDescent="0.25">
      <c r="A11" s="14" t="s">
        <v>8</v>
      </c>
      <c r="B11" s="14" t="n">
        <v>745.264005418</v>
      </c>
      <c r="C11" s="14" t="n">
        <v>0.0</v>
      </c>
      <c r="D11" s="14">
        <f si="0" t="shared"/>
        <v>745.26400541800001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33177.248135404399</v>
      </c>
      <c r="C12" s="10">
        <f>SUM(C4:C11)</f>
        <v>932640.69158591959</v>
      </c>
      <c r="D12" s="10">
        <f si="0" t="shared"/>
        <v>965817.93972132402</v>
      </c>
      <c r="F12" s="13" t="s">
        <v>19</v>
      </c>
      <c r="G12" s="10">
        <f>SUM(G4:G11)</f>
        <v>32331</v>
      </c>
      <c r="H12" s="10">
        <f>SUM(H4:H11)</f>
        <v>737150</v>
      </c>
      <c r="I12" s="10">
        <f si="1" t="shared"/>
        <v>769481</v>
      </c>
    </row>
    <row ht="15.75" r="15" spans="1:9" thickBot="1" x14ac:dyDescent="0.3">
      <c r="A15" s="1" t="s">
        <v>55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1.0287300882283076E-4</v>
      </c>
      <c r="C17" s="16">
        <f ref="C17:D17" si="2" t="shared">C4/$D$12</f>
        <v>0.23365464916758613</v>
      </c>
      <c r="D17" s="16">
        <f si="2" t="shared"/>
        <v>0.23375752217640897</v>
      </c>
      <c r="F17" s="9" t="s">
        <v>1</v>
      </c>
      <c r="G17" s="16">
        <f ref="G17:I25" si="3" t="shared">G4/$I$12</f>
        <v>0</v>
      </c>
      <c r="H17" s="16">
        <f si="3" t="shared"/>
        <v>0.20065472701730128</v>
      </c>
      <c r="I17" s="16">
        <f si="3" t="shared"/>
        <v>0.20065472701730128</v>
      </c>
    </row>
    <row r="18" spans="1:14" x14ac:dyDescent="0.25">
      <c r="A18" s="9" t="s">
        <v>2</v>
      </c>
      <c r="B18" s="16">
        <f ref="B18:D25" si="4" t="shared">B5/$D$12</f>
        <v>1.7730017050330345E-3</v>
      </c>
      <c r="C18" s="16">
        <f si="4" t="shared"/>
        <v>0.20222903295521066</v>
      </c>
      <c r="D18" s="16">
        <f si="4" t="shared"/>
        <v>0.20400203466024369</v>
      </c>
      <c r="F18" s="9" t="s">
        <v>2</v>
      </c>
      <c r="G18" s="16">
        <f si="3" t="shared"/>
        <v>1.195870983169175E-2</v>
      </c>
      <c r="H18" s="16">
        <f si="3" t="shared"/>
        <v>0.2336600903726018</v>
      </c>
      <c r="I18" s="16">
        <f si="3" t="shared"/>
        <v>0.24561880020429355</v>
      </c>
    </row>
    <row r="19" spans="1:14" x14ac:dyDescent="0.25">
      <c r="A19" s="9" t="s">
        <v>3</v>
      </c>
      <c r="B19" s="16">
        <f si="4" t="shared"/>
        <v>8.7188274825685354E-4</v>
      </c>
      <c r="C19" s="16">
        <f si="4" t="shared"/>
        <v>0.20968056659259773</v>
      </c>
      <c r="D19" s="16">
        <f si="4" t="shared"/>
        <v>0.2105524493408546</v>
      </c>
      <c r="F19" s="9" t="s">
        <v>3</v>
      </c>
      <c r="G19" s="16">
        <f si="3" t="shared"/>
        <v>7.1541727476052037E-3</v>
      </c>
      <c r="H19" s="16">
        <f si="3" t="shared"/>
        <v>0.2166356284300717</v>
      </c>
      <c r="I19" s="16">
        <f si="3" t="shared"/>
        <v>0.22378980117767691</v>
      </c>
    </row>
    <row r="20" spans="1:14" x14ac:dyDescent="0.25">
      <c r="A20" s="9" t="s">
        <v>4</v>
      </c>
      <c r="B20" s="16">
        <f si="4" t="shared"/>
        <v>2.4882671422871069E-4</v>
      </c>
      <c r="C20" s="16">
        <f si="4" t="shared"/>
        <v>5.0647585839422554E-4</v>
      </c>
      <c r="D20" s="16">
        <f si="4" t="shared"/>
        <v>7.5530257262293628E-4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8.5654814128664804E-3</v>
      </c>
      <c r="C21" s="16">
        <f si="4" t="shared"/>
        <v>1.00380240480809E-2</v>
      </c>
      <c r="D21" s="16">
        <f si="4" t="shared"/>
        <v>1.860350546094738E-2</v>
      </c>
      <c r="F21" s="9" t="s">
        <v>5</v>
      </c>
      <c r="G21" s="16">
        <f si="3" t="shared"/>
        <v>5.3841485364810827E-3</v>
      </c>
      <c r="H21" s="16">
        <f si="3" t="shared"/>
        <v>3.9663097594352555E-3</v>
      </c>
      <c r="I21" s="16">
        <f si="3" t="shared"/>
        <v>9.350458295916339E-3</v>
      </c>
    </row>
    <row r="22" spans="1:14" x14ac:dyDescent="0.25">
      <c r="A22" s="9" t="s">
        <v>6</v>
      </c>
      <c r="B22" s="16">
        <f si="4" t="shared"/>
        <v>1.1422938556782552E-3</v>
      </c>
      <c r="C22" s="16">
        <f si="4" t="shared"/>
        <v>1.4495621670414594E-2</v>
      </c>
      <c r="D22" s="16">
        <f si="4" t="shared"/>
        <v>1.5637915526092849E-2</v>
      </c>
      <c r="F22" s="9" t="s">
        <v>6</v>
      </c>
      <c r="G22" s="16">
        <f si="3" t="shared"/>
        <v>2.5705637955972921E-3</v>
      </c>
      <c r="H22" s="16">
        <f si="3" t="shared"/>
        <v>1.2582506910502014E-2</v>
      </c>
      <c r="I22" s="16">
        <f si="3" t="shared"/>
        <v>1.5153070706099305E-2</v>
      </c>
    </row>
    <row r="23" spans="1:14" x14ac:dyDescent="0.25">
      <c r="A23" s="9" t="s">
        <v>7</v>
      </c>
      <c r="B23" s="16">
        <f si="4" t="shared"/>
        <v>2.0875451817828926E-2</v>
      </c>
      <c r="C23" s="16">
        <f si="4" t="shared"/>
        <v>0.29504417818572665</v>
      </c>
      <c r="D23" s="16">
        <f si="4" t="shared"/>
        <v>0.31591963000355555</v>
      </c>
      <c r="F23" s="9" t="s">
        <v>7</v>
      </c>
      <c r="G23" s="16">
        <f si="3" t="shared"/>
        <v>1.4949037078238449E-2</v>
      </c>
      <c r="H23" s="16">
        <f si="3" t="shared"/>
        <v>0.29048410552047421</v>
      </c>
      <c r="I23" s="16">
        <f si="3" t="shared"/>
        <v>0.30543314259871263</v>
      </c>
    </row>
    <row r="24" spans="1:14" x14ac:dyDescent="0.25">
      <c r="A24" s="14" t="s">
        <v>8</v>
      </c>
      <c r="B24" s="17">
        <f si="4" t="shared"/>
        <v>7.7164025927395547E-4</v>
      </c>
      <c r="C24" s="17">
        <f si="4" t="shared"/>
        <v>0</v>
      </c>
      <c r="D24" s="17">
        <f si="4" t="shared"/>
        <v>7.7164025927395547E-4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3.4351451521989047E-2</v>
      </c>
      <c r="C25" s="18">
        <f si="4" t="shared"/>
        <v>0.96564854847801096</v>
      </c>
      <c r="D25" s="18">
        <f si="4" t="shared"/>
        <v>1</v>
      </c>
      <c r="F25" s="13" t="s">
        <v>19</v>
      </c>
      <c r="G25" s="18">
        <f si="3" t="shared"/>
        <v>4.2016631989613779E-2</v>
      </c>
      <c r="H25" s="18">
        <f si="3" t="shared"/>
        <v>0.95798336801038619</v>
      </c>
      <c r="I25" s="18">
        <f si="3" t="shared"/>
        <v>1</v>
      </c>
    </row>
    <row ht="15.75" r="28" spans="1:14" thickBot="1" x14ac:dyDescent="0.3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-1.0287300882283076E-4</v>
      </c>
      <c r="H30" s="16">
        <f ref="H30:H38" si="6" t="shared">H17-C17</f>
        <v>-3.2999922150284855E-2</v>
      </c>
      <c r="I30" s="16">
        <f ref="I30:I38" si="7" t="shared">I17-D17</f>
        <v>-3.310279515910769E-2</v>
      </c>
      <c r="K30" s="23" t="s">
        <v>1</v>
      </c>
      <c r="L30" s="24">
        <f>D17</f>
        <v>0.23375752217640897</v>
      </c>
      <c r="M30" s="24">
        <f ref="M30:M38" si="8" t="shared">I17</f>
        <v>0.20065472701730128</v>
      </c>
      <c r="N30" s="24">
        <f>M30-L30</f>
        <v>-3.310279515910769E-2</v>
      </c>
    </row>
    <row r="31" spans="1:14" x14ac:dyDescent="0.25">
      <c r="F31" s="9" t="s">
        <v>2</v>
      </c>
      <c r="G31" s="16">
        <f si="5" t="shared"/>
        <v>1.0185708126658715E-2</v>
      </c>
      <c r="H31" s="16">
        <f si="6" t="shared"/>
        <v>3.1431057417391134E-2</v>
      </c>
      <c r="I31" s="16">
        <f si="7" t="shared"/>
        <v>4.1616765544049861E-2</v>
      </c>
      <c r="K31" s="30" t="s">
        <v>2</v>
      </c>
      <c r="L31" s="31">
        <f ref="L31:L38" si="9" t="shared">D18</f>
        <v>0.20400203466024369</v>
      </c>
      <c r="M31" s="31">
        <f si="8" t="shared"/>
        <v>0.24561880020429355</v>
      </c>
      <c r="N31" s="31">
        <f ref="N31:N38" si="10" t="shared">M31-L31</f>
        <v>4.1616765544049861E-2</v>
      </c>
    </row>
    <row r="32" spans="1:14" x14ac:dyDescent="0.25">
      <c r="F32" s="9" t="s">
        <v>3</v>
      </c>
      <c r="G32" s="16">
        <f si="5" t="shared"/>
        <v>6.2822899993483505E-3</v>
      </c>
      <c r="H32" s="16">
        <f si="6" t="shared"/>
        <v>6.9550618374739637E-3</v>
      </c>
      <c r="I32" s="16">
        <f si="7" t="shared"/>
        <v>1.3237351836822314E-2</v>
      </c>
      <c r="K32" s="23" t="s">
        <v>3</v>
      </c>
      <c r="L32" s="24">
        <f si="9" t="shared"/>
        <v>0.2105524493408546</v>
      </c>
      <c r="M32" s="24">
        <f si="8" t="shared"/>
        <v>0.22378980117767691</v>
      </c>
      <c r="N32" s="24">
        <f si="10" t="shared"/>
        <v>1.3237351836822314E-2</v>
      </c>
    </row>
    <row r="33" spans="6:14" x14ac:dyDescent="0.25">
      <c r="F33" s="9" t="s">
        <v>4</v>
      </c>
      <c r="G33" s="16">
        <f si="5" t="shared"/>
        <v>-2.4882671422871069E-4</v>
      </c>
      <c r="H33" s="16">
        <f si="6" t="shared"/>
        <v>-5.0647585839422554E-4</v>
      </c>
      <c r="I33" s="16">
        <f si="7" t="shared"/>
        <v>-7.5530257262293628E-4</v>
      </c>
      <c r="K33" s="30" t="s">
        <v>4</v>
      </c>
      <c r="L33" s="31">
        <f si="9" t="shared"/>
        <v>7.5530257262293628E-4</v>
      </c>
      <c r="M33" s="31">
        <f si="8" t="shared"/>
        <v>0</v>
      </c>
      <c r="N33" s="31">
        <f si="10" t="shared"/>
        <v>-7.5530257262293628E-4</v>
      </c>
    </row>
    <row r="34" spans="6:14" x14ac:dyDescent="0.25">
      <c r="F34" s="9" t="s">
        <v>5</v>
      </c>
      <c r="G34" s="16">
        <f si="5" t="shared"/>
        <v>-3.1813328763853977E-3</v>
      </c>
      <c r="H34" s="16">
        <f si="6" t="shared"/>
        <v>-6.0717142886456445E-3</v>
      </c>
      <c r="I34" s="16">
        <f si="7" t="shared"/>
        <v>-9.2530471650310413E-3</v>
      </c>
      <c r="K34" s="23" t="s">
        <v>5</v>
      </c>
      <c r="L34" s="24">
        <f si="9" t="shared"/>
        <v>1.860350546094738E-2</v>
      </c>
      <c r="M34" s="24">
        <f si="8" t="shared"/>
        <v>9.350458295916339E-3</v>
      </c>
      <c r="N34" s="24">
        <f si="10" t="shared"/>
        <v>-9.2530471650310413E-3</v>
      </c>
    </row>
    <row r="35" spans="6:14" x14ac:dyDescent="0.25">
      <c r="F35" s="9" t="s">
        <v>6</v>
      </c>
      <c r="G35" s="16">
        <f si="5" t="shared"/>
        <v>1.4282699399190369E-3</v>
      </c>
      <c r="H35" s="16">
        <f si="6" t="shared"/>
        <v>-1.9131147599125795E-3</v>
      </c>
      <c r="I35" s="16">
        <f si="7" t="shared"/>
        <v>-4.8484481999354345E-4</v>
      </c>
      <c r="K35" s="30" t="s">
        <v>6</v>
      </c>
      <c r="L35" s="31">
        <f si="9" t="shared"/>
        <v>1.5637915526092849E-2</v>
      </c>
      <c r="M35" s="31">
        <f si="8" t="shared"/>
        <v>1.5153070706099305E-2</v>
      </c>
      <c r="N35" s="31">
        <f si="10" t="shared"/>
        <v>-4.8484481999354345E-4</v>
      </c>
    </row>
    <row r="36" spans="6:14" x14ac:dyDescent="0.25">
      <c r="F36" s="9" t="s">
        <v>7</v>
      </c>
      <c r="G36" s="16">
        <f si="5" t="shared"/>
        <v>-5.926414739590477E-3</v>
      </c>
      <c r="H36" s="16">
        <f si="6" t="shared"/>
        <v>-4.5600726652524348E-3</v>
      </c>
      <c r="I36" s="16">
        <f si="7" t="shared"/>
        <v>-1.0486487404842926E-2</v>
      </c>
      <c r="K36" s="23" t="s">
        <v>7</v>
      </c>
      <c r="L36" s="24">
        <f si="9" t="shared"/>
        <v>0.31591963000355555</v>
      </c>
      <c r="M36" s="24">
        <f si="8" t="shared"/>
        <v>0.30543314259871263</v>
      </c>
      <c r="N36" s="24">
        <f si="10" t="shared"/>
        <v>-1.0486487404842926E-2</v>
      </c>
    </row>
    <row r="37" spans="6:14" x14ac:dyDescent="0.25">
      <c r="F37" s="14" t="s">
        <v>8</v>
      </c>
      <c r="G37" s="17">
        <f si="5" t="shared"/>
        <v>-7.7164025927395547E-4</v>
      </c>
      <c r="H37" s="17">
        <f si="6" t="shared"/>
        <v>0</v>
      </c>
      <c r="I37" s="17">
        <f si="7" t="shared"/>
        <v>-7.7164025927395547E-4</v>
      </c>
      <c r="K37" s="32" t="s">
        <v>8</v>
      </c>
      <c r="L37" s="33">
        <f si="9" t="shared"/>
        <v>7.7164025927395547E-4</v>
      </c>
      <c r="M37" s="33">
        <f si="8" t="shared"/>
        <v>0</v>
      </c>
      <c r="N37" s="33">
        <f si="10" t="shared"/>
        <v>-7.7164025927395547E-4</v>
      </c>
    </row>
    <row ht="15.75" r="38" spans="6:14" thickBot="1" x14ac:dyDescent="0.3">
      <c r="F38" s="13" t="s">
        <v>19</v>
      </c>
      <c r="G38" s="18">
        <f si="5" t="shared"/>
        <v>7.6651804676247312E-3</v>
      </c>
      <c r="H38" s="18">
        <f si="6" t="shared"/>
        <v>-7.6651804676247659E-3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T38"/>
  <sheetViews>
    <sheetView workbookViewId="0">
      <selection activeCell="K2" sqref="K2:S12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customWidth="true" width="3.710937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56</v>
      </c>
      <c r="B2" s="1"/>
      <c r="C2" s="3"/>
      <c r="D2" s="3"/>
      <c r="E2" s="3"/>
      <c r="F2" s="3"/>
      <c r="G2" s="3"/>
      <c r="H2" s="3"/>
      <c r="I2" s="3"/>
      <c r="K2" s="1" t="s">
        <v>57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68" t="s">
        <v>18</v>
      </c>
      <c r="C3" s="68"/>
      <c r="D3" s="68"/>
      <c r="E3" s="68"/>
      <c r="F3" s="68"/>
      <c r="G3" s="68"/>
      <c r="H3" s="68"/>
      <c r="I3" s="11"/>
      <c r="K3" s="5"/>
      <c r="L3" s="69" t="s">
        <v>18</v>
      </c>
      <c r="M3" s="69"/>
      <c r="N3" s="69"/>
      <c r="O3" s="69"/>
      <c r="P3" s="69"/>
      <c r="Q3" s="69"/>
      <c r="R3" s="69"/>
      <c r="S3" s="69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46017.5803871504</v>
      </c>
      <c r="C5" s="9" t="n">
        <v>13164.9555952994</v>
      </c>
      <c r="D5" s="9" t="n">
        <v>6188.5090409141</v>
      </c>
      <c r="E5" s="9" t="n">
        <v>0.0</v>
      </c>
      <c r="F5" s="9" t="n">
        <v>98.7368188154</v>
      </c>
      <c r="G5" s="9" t="n">
        <v>944.880646246</v>
      </c>
      <c r="H5" s="9" t="n">
        <v>0.0</v>
      </c>
      <c r="I5" s="9">
        <f>SUM(B5:H5)</f>
        <v>66414.662488425296</v>
      </c>
      <c r="J5" s="9"/>
      <c r="K5" s="9" t="s">
        <v>1</v>
      </c>
      <c r="L5" s="9" t="n">
        <v>52977.0</v>
      </c>
      <c r="M5" s="9" t="n">
        <v>12429.0</v>
      </c>
      <c r="N5" s="9" t="n">
        <v>4608.0</v>
      </c>
      <c r="O5" s="9" t="n">
        <v>823.0</v>
      </c>
      <c r="P5" s="9" t="n">
        <v>2044.0</v>
      </c>
      <c r="Q5" s="9" t="n">
        <v>462.0</v>
      </c>
      <c r="R5" s="9" t="n">
        <v>199.0</v>
      </c>
      <c r="S5" s="9">
        <f>SUM(L5:R5)</f>
        <v>73445</v>
      </c>
    </row>
    <row r="6" spans="1:19" x14ac:dyDescent="0.25">
      <c r="A6" t="s">
        <v>2</v>
      </c>
      <c r="B6" s="9" t="n">
        <v>7002.021584479</v>
      </c>
      <c r="C6" s="9" t="n">
        <v>3098.6000074291</v>
      </c>
      <c r="D6" s="9" t="n">
        <v>976.17787462</v>
      </c>
      <c r="E6" s="9" t="n">
        <v>0.0</v>
      </c>
      <c r="F6" s="9" t="n">
        <v>607.0170828128</v>
      </c>
      <c r="G6" s="9" t="n">
        <v>618.622298941</v>
      </c>
      <c r="H6" s="9" t="n">
        <v>222.420478948</v>
      </c>
      <c r="I6" s="9">
        <f ref="I6:I11" si="0" t="shared">SUM(B6:H6)</f>
        <v>12524.8593272299</v>
      </c>
      <c r="J6" s="9"/>
      <c r="K6" s="9" t="s">
        <v>2</v>
      </c>
      <c r="L6" s="9" t="n">
        <v>7397.0</v>
      </c>
      <c r="M6" s="9" t="n">
        <v>4429.0</v>
      </c>
      <c r="N6" s="9" t="n">
        <v>2720.0</v>
      </c>
      <c r="O6" s="9" t="n">
        <v>534.0</v>
      </c>
      <c r="P6" s="9" t="n">
        <v>2178.0</v>
      </c>
      <c r="Q6" s="9" t="n">
        <v>471.0</v>
      </c>
      <c r="R6" s="9" t="n">
        <v>161.0</v>
      </c>
      <c r="S6" s="9">
        <f ref="S6:S11" si="1" t="shared">SUM(L6:R6)</f>
        <v>17595</v>
      </c>
    </row>
    <row r="7" spans="1:19" x14ac:dyDescent="0.25">
      <c r="A7" t="s">
        <v>3</v>
      </c>
      <c r="B7" s="9" t="n">
        <v>1767.5680300348</v>
      </c>
      <c r="C7" s="9" t="n">
        <v>821.3736036434</v>
      </c>
      <c r="D7" s="9" t="n">
        <v>633.5890298532</v>
      </c>
      <c r="E7" s="9" t="n">
        <v>174.354369882</v>
      </c>
      <c r="F7" s="9" t="n">
        <v>562.3867576932</v>
      </c>
      <c r="G7" s="9" t="n">
        <v>521.2943270932001</v>
      </c>
      <c r="H7" s="9" t="n">
        <v>0.0</v>
      </c>
      <c r="I7" s="9">
        <f si="0" t="shared"/>
        <v>4480.5661181997993</v>
      </c>
      <c r="J7" s="9"/>
      <c r="K7" s="9" t="s">
        <v>3</v>
      </c>
      <c r="L7" s="9" t="n">
        <v>2715.0</v>
      </c>
      <c r="M7" s="9" t="n">
        <v>1740.0</v>
      </c>
      <c r="N7" s="9" t="n">
        <v>1015.0</v>
      </c>
      <c r="O7" s="9" t="n">
        <v>220.0</v>
      </c>
      <c r="P7" s="9" t="n">
        <v>936.0</v>
      </c>
      <c r="Q7" s="9" t="n">
        <v>195.0</v>
      </c>
      <c r="R7" s="9" t="n">
        <v>71.0</v>
      </c>
      <c r="S7" s="9">
        <f si="1" t="shared"/>
        <v>6839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si="0" t="shared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1" t="shared"/>
        <v>0</v>
      </c>
    </row>
    <row r="9" spans="1:19" x14ac:dyDescent="0.25">
      <c r="A9" t="s">
        <v>5</v>
      </c>
      <c r="B9" s="9" t="n">
        <v>0.0</v>
      </c>
      <c r="C9" s="9" t="n">
        <v>0.0</v>
      </c>
      <c r="D9" s="9" t="n">
        <v>408.197592432</v>
      </c>
      <c r="E9" s="9" t="n">
        <v>174.354369882</v>
      </c>
      <c r="F9" s="9" t="n">
        <v>2701.9006271147</v>
      </c>
      <c r="G9" s="9" t="n">
        <v>0.0</v>
      </c>
      <c r="H9" s="9" t="n">
        <v>0.0</v>
      </c>
      <c r="I9" s="9">
        <f si="0" t="shared"/>
        <v>3284.4525894286999</v>
      </c>
      <c r="J9" s="9"/>
      <c r="K9" s="9" t="s">
        <v>5</v>
      </c>
      <c r="L9" s="9" t="n">
        <v>504.0</v>
      </c>
      <c r="M9" s="9" t="n">
        <v>120.0</v>
      </c>
      <c r="N9" s="9" t="n">
        <v>249.0</v>
      </c>
      <c r="O9" s="9" t="n">
        <v>59.0</v>
      </c>
      <c r="P9" s="9" t="n">
        <v>363.0</v>
      </c>
      <c r="Q9" s="9" t="n">
        <v>49.0</v>
      </c>
      <c r="R9" s="9" t="n">
        <v>34.0</v>
      </c>
      <c r="S9" s="9">
        <f si="1" t="shared"/>
        <v>1339</v>
      </c>
    </row>
    <row r="10" spans="1:19" x14ac:dyDescent="0.25">
      <c r="A10" t="s">
        <v>6</v>
      </c>
      <c r="B10" s="9" t="n">
        <v>135.968692975</v>
      </c>
      <c r="C10" s="9" t="n">
        <v>87.5112846175</v>
      </c>
      <c r="D10" s="9" t="n">
        <v>0.0</v>
      </c>
      <c r="E10" s="9" t="n">
        <v>0.0</v>
      </c>
      <c r="F10" s="9" t="n">
        <v>0.0</v>
      </c>
      <c r="G10" s="9" t="n">
        <v>267.9611712445</v>
      </c>
      <c r="H10" s="9" t="n">
        <v>0.0</v>
      </c>
      <c r="I10" s="9">
        <f si="0" t="shared"/>
        <v>491.44114883700001</v>
      </c>
      <c r="J10" s="9"/>
      <c r="K10" s="9" t="s">
        <v>6</v>
      </c>
      <c r="L10" s="9" t="n">
        <v>139.0</v>
      </c>
      <c r="M10" s="9" t="n">
        <v>56.0</v>
      </c>
      <c r="N10" s="9" t="n">
        <v>44.0</v>
      </c>
      <c r="O10" s="9" t="n">
        <v>16.0</v>
      </c>
      <c r="P10" s="9" t="n">
        <v>26.0</v>
      </c>
      <c r="Q10" s="9" t="n">
        <v>119.0</v>
      </c>
      <c r="R10" s="9" t="n">
        <v>3.0</v>
      </c>
      <c r="S10" s="9">
        <f si="1" t="shared"/>
        <v>391</v>
      </c>
    </row>
    <row r="11" spans="1:19" x14ac:dyDescent="0.25">
      <c r="A11" s="6" t="s">
        <v>7</v>
      </c>
      <c r="B11" s="14" t="n">
        <v>29918.5128862195</v>
      </c>
      <c r="C11" s="14" t="n">
        <v>6297.1902382455</v>
      </c>
      <c r="D11" s="14" t="n">
        <v>2630.7362256855</v>
      </c>
      <c r="E11" s="14" t="n">
        <v>3779.2665750906003</v>
      </c>
      <c r="F11" s="14" t="n">
        <v>15658.917879024</v>
      </c>
      <c r="G11" s="14" t="n">
        <v>5908.7121650947</v>
      </c>
      <c r="H11" s="14" t="n">
        <v>5058.4522924902</v>
      </c>
      <c r="I11" s="9">
        <f si="0" t="shared"/>
        <v>69251.788261850001</v>
      </c>
      <c r="J11" s="9"/>
      <c r="K11" s="6" t="s">
        <v>7</v>
      </c>
      <c r="L11" s="12" t="n">
        <v>21759.0</v>
      </c>
      <c r="M11" s="12" t="n">
        <v>7197.0</v>
      </c>
      <c r="N11" s="12" t="n">
        <v>4911.0</v>
      </c>
      <c r="O11" s="12" t="n">
        <v>1440.0</v>
      </c>
      <c r="P11" s="12" t="n">
        <v>8009.0</v>
      </c>
      <c r="Q11" s="12" t="n">
        <v>980.0</v>
      </c>
      <c r="R11" s="12" t="n">
        <v>1128.0</v>
      </c>
      <c r="S11" s="9">
        <f si="1" t="shared"/>
        <v>44376</v>
      </c>
    </row>
    <row ht="15.75" r="12" spans="1:19" thickBot="1" x14ac:dyDescent="0.3">
      <c r="A12" s="15" t="s">
        <v>19</v>
      </c>
      <c r="B12" s="19">
        <f>SUM(B5:B11)</f>
        <v>84841.651580858714</v>
      </c>
      <c r="C12" s="19">
        <f ref="C12:I12" si="2" t="shared">SUM(C5:C11)</f>
        <v>23469.630729234901</v>
      </c>
      <c r="D12" s="19">
        <f si="2" t="shared"/>
        <v>10837.209763504799</v>
      </c>
      <c r="E12" s="19">
        <f si="2" t="shared"/>
        <v>4127.9753148546006</v>
      </c>
      <c r="F12" s="19">
        <f si="2" t="shared"/>
        <v>19628.959165460099</v>
      </c>
      <c r="G12" s="19">
        <f si="2" t="shared"/>
        <v>8261.4706086194001</v>
      </c>
      <c r="H12" s="19">
        <f si="2" t="shared"/>
        <v>5280.8727714382003</v>
      </c>
      <c r="I12" s="19">
        <f si="2" t="shared"/>
        <v>156447.7699339707</v>
      </c>
      <c r="K12" s="13" t="s">
        <v>19</v>
      </c>
      <c r="L12" s="19">
        <f>SUM(L5:L11)</f>
        <v>85265</v>
      </c>
      <c r="M12" s="19">
        <f ref="M12:S12" si="3" t="shared">SUM(M5:M11)</f>
        <v>25413</v>
      </c>
      <c r="N12" s="19">
        <f si="3" t="shared"/>
        <v>13332</v>
      </c>
      <c r="O12" s="19">
        <f si="3" t="shared"/>
        <v>2923</v>
      </c>
      <c r="P12" s="19">
        <f si="3" t="shared"/>
        <v>13151</v>
      </c>
      <c r="Q12" s="19">
        <f si="3" t="shared"/>
        <v>2236</v>
      </c>
      <c r="R12" s="19">
        <f si="3" t="shared"/>
        <v>1665</v>
      </c>
      <c r="S12" s="19">
        <f si="3" t="shared"/>
        <v>143985</v>
      </c>
    </row>
    <row ht="15.75" r="15" spans="1:19" thickBot="1" x14ac:dyDescent="0.3">
      <c r="A15" s="1" t="s">
        <v>58</v>
      </c>
      <c r="B15" s="1"/>
      <c r="C15" s="3"/>
      <c r="D15" s="3"/>
      <c r="E15" s="3"/>
      <c r="F15" s="3"/>
      <c r="G15" s="3"/>
      <c r="H15" s="3"/>
      <c r="I15" s="3"/>
      <c r="K15" s="1" t="s">
        <v>59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68" t="s">
        <v>18</v>
      </c>
      <c r="C16" s="68"/>
      <c r="D16" s="68"/>
      <c r="E16" s="68"/>
      <c r="F16" s="68"/>
      <c r="G16" s="68"/>
      <c r="H16" s="68"/>
      <c r="I16" s="11"/>
      <c r="K16" s="5"/>
      <c r="L16" s="69" t="s">
        <v>18</v>
      </c>
      <c r="M16" s="69"/>
      <c r="N16" s="69"/>
      <c r="O16" s="69"/>
      <c r="P16" s="69"/>
      <c r="Q16" s="69"/>
      <c r="R16" s="69"/>
      <c r="S16" s="69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0.29414021309841792</v>
      </c>
      <c r="C18" s="16">
        <f ref="C18:I18" si="4" t="shared">C5/$I$12</f>
        <v>8.4149205839467778E-2</v>
      </c>
      <c r="D18" s="16">
        <f si="4" t="shared"/>
        <v>3.9556390247850647E-2</v>
      </c>
      <c r="E18" s="16">
        <f si="4" t="shared"/>
        <v>0</v>
      </c>
      <c r="F18" s="16">
        <f si="4" t="shared"/>
        <v>6.3111681845687034E-4</v>
      </c>
      <c r="G18" s="16">
        <f si="4" t="shared"/>
        <v>6.0395916582562346E-3</v>
      </c>
      <c r="H18" s="16">
        <f si="4" t="shared"/>
        <v>0</v>
      </c>
      <c r="I18" s="16">
        <f si="4" t="shared"/>
        <v>0.42451651766244941</v>
      </c>
      <c r="J18" s="9"/>
      <c r="K18" s="9" t="s">
        <v>1</v>
      </c>
      <c r="L18" s="16">
        <f ref="L18:S25" si="5" t="shared">L5/$S$12</f>
        <v>0.36937875473139564</v>
      </c>
      <c r="M18" s="16">
        <f si="5" t="shared"/>
        <v>8.3828176546168004E-2</v>
      </c>
      <c r="N18" s="16">
        <f si="5" t="shared"/>
        <v>3.1753307636212105E-2</v>
      </c>
      <c r="O18" s="16">
        <f si="5" t="shared"/>
        <v>5.5214084800500052E-3</v>
      </c>
      <c r="P18" s="16">
        <f si="5" t="shared"/>
        <v>1.4439004062923221E-2</v>
      </c>
      <c r="Q18" s="16">
        <f si="5" t="shared"/>
        <v>3.5628711324096258E-3</v>
      </c>
      <c r="R18" s="16">
        <f si="5" t="shared"/>
        <v>1.6043337847692469E-3</v>
      </c>
      <c r="S18" s="16">
        <f si="5" t="shared"/>
        <v>0.51008785637392784</v>
      </c>
    </row>
    <row r="19" spans="1:19" x14ac:dyDescent="0.25">
      <c r="A19" t="s">
        <v>2</v>
      </c>
      <c r="B19" s="16">
        <f ref="B19:I19" si="6" t="shared">B6/$I$12</f>
        <v>4.4756288871578204E-2</v>
      </c>
      <c r="C19" s="16">
        <f si="6" t="shared"/>
        <v>1.9805971083748104E-2</v>
      </c>
      <c r="D19" s="16">
        <f si="6" t="shared"/>
        <v>6.2396407122453654E-3</v>
      </c>
      <c r="E19" s="16">
        <f si="6" t="shared"/>
        <v>0</v>
      </c>
      <c r="F19" s="16">
        <f si="6" t="shared"/>
        <v>3.8799983091417256E-3</v>
      </c>
      <c r="G19" s="16">
        <f si="6" t="shared"/>
        <v>3.9541778013332607E-3</v>
      </c>
      <c r="H19" s="16">
        <f si="6" t="shared"/>
        <v>1.4216915910138783E-3</v>
      </c>
      <c r="I19" s="16">
        <f si="6" t="shared"/>
        <v>8.0057768369060534E-2</v>
      </c>
      <c r="J19" s="9"/>
      <c r="K19" s="9" t="s">
        <v>2</v>
      </c>
      <c r="L19" s="16">
        <f si="5" t="shared"/>
        <v>4.9880195853734766E-2</v>
      </c>
      <c r="M19" s="16">
        <f si="5" t="shared"/>
        <v>3.1440775080737574E-2</v>
      </c>
      <c r="N19" s="16">
        <f si="5" t="shared"/>
        <v>1.8092162378025488E-2</v>
      </c>
      <c r="O19" s="16">
        <f si="5" t="shared"/>
        <v>3.6462131472028338E-3</v>
      </c>
      <c r="P19" s="16">
        <f si="5" t="shared"/>
        <v>1.4522346077716429E-2</v>
      </c>
      <c r="Q19" s="16">
        <f si="5" t="shared"/>
        <v>3.0975448831475501E-3</v>
      </c>
      <c r="R19" s="16">
        <f si="5" t="shared"/>
        <v>1.5209917699760393E-3</v>
      </c>
      <c r="S19" s="16">
        <f si="5" t="shared"/>
        <v>0.12220022919054069</v>
      </c>
    </row>
    <row r="20" spans="1:19" x14ac:dyDescent="0.25">
      <c r="A20" t="s">
        <v>3</v>
      </c>
      <c r="B20" s="16">
        <f ref="B20:I20" si="7" t="shared">B7/$I$12</f>
        <v>1.1298135031140475E-2</v>
      </c>
      <c r="C20" s="16">
        <f si="7" t="shared"/>
        <v>5.2501458089818948E-3</v>
      </c>
      <c r="D20" s="16">
        <f si="7" t="shared"/>
        <v>4.0498437920886204E-3</v>
      </c>
      <c r="E20" s="16">
        <f si="7" t="shared"/>
        <v>1.114457367820499E-3</v>
      </c>
      <c r="F20" s="16">
        <f si="7" t="shared"/>
        <v>3.5947253062830952E-3</v>
      </c>
      <c r="G20" s="16">
        <f si="7" t="shared"/>
        <v>3.3320662053106546E-3</v>
      </c>
      <c r="H20" s="16">
        <f si="7" t="shared"/>
        <v>0</v>
      </c>
      <c r="I20" s="16">
        <f si="7" t="shared"/>
        <v>2.8639373511625234E-2</v>
      </c>
      <c r="J20" s="9"/>
      <c r="K20" s="9" t="s">
        <v>3</v>
      </c>
      <c r="L20" s="16">
        <f si="5" t="shared"/>
        <v>1.9265895753029831E-2</v>
      </c>
      <c r="M20" s="16">
        <f si="5" t="shared"/>
        <v>1.2084592145015106E-2</v>
      </c>
      <c r="N20" s="16">
        <f si="5" t="shared"/>
        <v>6.9382227315345352E-3</v>
      </c>
      <c r="O20" s="16">
        <f si="5" t="shared"/>
        <v>1.4654304267805675E-3</v>
      </c>
      <c r="P20" s="16">
        <f si="5" t="shared"/>
        <v>6.1256380873007605E-3</v>
      </c>
      <c r="Q20" s="16">
        <f si="5" t="shared"/>
        <v>1.1876237108032087E-3</v>
      </c>
      <c r="R20" s="16">
        <f si="5" t="shared"/>
        <v>4.3060040976490609E-4</v>
      </c>
      <c r="S20" s="16">
        <f si="5" t="shared"/>
        <v>4.7498003264228914E-2</v>
      </c>
    </row>
    <row r="21" spans="1:19" x14ac:dyDescent="0.25">
      <c r="A21" t="s">
        <v>4</v>
      </c>
      <c r="B21" s="16">
        <f ref="B21:I21" si="8" t="shared">B8/$I$12</f>
        <v>0</v>
      </c>
      <c r="C21" s="16">
        <f si="8" t="shared"/>
        <v>0</v>
      </c>
      <c r="D21" s="16">
        <f si="8" t="shared"/>
        <v>0</v>
      </c>
      <c r="E21" s="16">
        <f si="8" t="shared"/>
        <v>0</v>
      </c>
      <c r="F21" s="16">
        <f si="8" t="shared"/>
        <v>0</v>
      </c>
      <c r="G21" s="16">
        <f si="8" t="shared"/>
        <v>0</v>
      </c>
      <c r="H21" s="16">
        <f si="8" t="shared"/>
        <v>0</v>
      </c>
      <c r="I21" s="16">
        <f si="8" t="shared"/>
        <v>0</v>
      </c>
      <c r="J21" s="9"/>
      <c r="K21" t="s">
        <v>4</v>
      </c>
      <c r="L21" s="16">
        <f si="5" t="shared"/>
        <v>0</v>
      </c>
      <c r="M21" s="16">
        <f si="5" t="shared"/>
        <v>0</v>
      </c>
      <c r="N21" s="16">
        <f si="5" t="shared"/>
        <v>0</v>
      </c>
      <c r="O21" s="16">
        <f si="5" t="shared"/>
        <v>0</v>
      </c>
      <c r="P21" s="16">
        <f si="5" t="shared"/>
        <v>0</v>
      </c>
      <c r="Q21" s="16">
        <f si="5" t="shared"/>
        <v>0</v>
      </c>
      <c r="R21" s="16">
        <f si="5" t="shared"/>
        <v>0</v>
      </c>
      <c r="S21" s="16">
        <f si="5" t="shared"/>
        <v>0</v>
      </c>
    </row>
    <row r="22" spans="1:19" x14ac:dyDescent="0.25">
      <c r="A22" t="s">
        <v>5</v>
      </c>
      <c r="B22" s="16">
        <f ref="B22:I22" si="9" t="shared">B9/$I$12</f>
        <v>0</v>
      </c>
      <c r="C22" s="16">
        <f si="9" t="shared"/>
        <v>0</v>
      </c>
      <c r="D22" s="16">
        <f si="9" t="shared"/>
        <v>2.60916210313692E-3</v>
      </c>
      <c r="E22" s="16">
        <f si="9" t="shared"/>
        <v>1.114457367820499E-3</v>
      </c>
      <c r="F22" s="16">
        <f si="9" t="shared"/>
        <v>1.7270304512841863E-2</v>
      </c>
      <c r="G22" s="16">
        <f si="9" t="shared"/>
        <v>0</v>
      </c>
      <c r="H22" s="16">
        <f si="9" t="shared"/>
        <v>0</v>
      </c>
      <c r="I22" s="16">
        <f si="9" t="shared"/>
        <v>2.0993923983799283E-2</v>
      </c>
      <c r="J22" s="9"/>
      <c r="K22" s="9" t="s">
        <v>5</v>
      </c>
      <c r="L22" s="16">
        <f si="5" t="shared"/>
        <v>3.2781192485328331E-3</v>
      </c>
      <c r="M22" s="16">
        <f si="5" t="shared"/>
        <v>1.0348300170156613E-3</v>
      </c>
      <c r="N22" s="16">
        <f si="5" t="shared"/>
        <v>1.569607945272077E-3</v>
      </c>
      <c r="O22" s="16">
        <f si="5" t="shared"/>
        <v>4.3754557766434004E-4</v>
      </c>
      <c r="P22" s="16">
        <f si="5" t="shared"/>
        <v>2.3613570858075496E-3</v>
      </c>
      <c r="Q22" s="16">
        <f si="5" t="shared"/>
        <v>4.2365524186547209E-4</v>
      </c>
      <c r="R22" s="16">
        <f si="5" t="shared"/>
        <v>1.9446470118415112E-4</v>
      </c>
      <c r="S22" s="16">
        <f si="5" t="shared"/>
        <v>9.2995798173420834E-3</v>
      </c>
    </row>
    <row r="23" spans="1:19" x14ac:dyDescent="0.25">
      <c r="A23" t="s">
        <v>6</v>
      </c>
      <c r="B23" s="16">
        <f ref="B23:I23" si="10" t="shared">B10/$I$12</f>
        <v>8.6909959171924307E-4</v>
      </c>
      <c r="C23" s="16">
        <f si="10" t="shared"/>
        <v>5.5936421883440342E-4</v>
      </c>
      <c r="D23" s="16">
        <f si="10" t="shared"/>
        <v>0</v>
      </c>
      <c r="E23" s="16">
        <f si="10" t="shared"/>
        <v>0</v>
      </c>
      <c r="F23" s="16">
        <f si="10" t="shared"/>
        <v>0</v>
      </c>
      <c r="G23" s="16">
        <f si="10" t="shared"/>
        <v>1.7127835785552834E-3</v>
      </c>
      <c r="H23" s="16">
        <f si="10" t="shared"/>
        <v>0</v>
      </c>
      <c r="I23" s="16">
        <f si="10" t="shared"/>
        <v>3.1412473891089298E-3</v>
      </c>
      <c r="J23" s="9"/>
      <c r="K23" s="9" t="s">
        <v>6</v>
      </c>
      <c r="L23" s="16">
        <f si="5" t="shared"/>
        <v>1.0417751849150954E-3</v>
      </c>
      <c r="M23" s="16">
        <f si="5" t="shared"/>
        <v>3.1253255547452859E-4</v>
      </c>
      <c r="N23" s="16">
        <f si="5" t="shared"/>
        <v>3.5420356287113239E-4</v>
      </c>
      <c r="O23" s="16">
        <f si="5" t="shared"/>
        <v>6.2506511094905724E-5</v>
      </c>
      <c r="P23" s="16">
        <f si="5" t="shared"/>
        <v>2.7780671597735874E-4</v>
      </c>
      <c r="Q23" s="16">
        <f si="5" t="shared"/>
        <v>6.4590061464735908E-4</v>
      </c>
      <c r="R23" s="16">
        <f si="5" t="shared"/>
        <v>2.0835503698301906E-5</v>
      </c>
      <c r="S23" s="16">
        <f si="5" t="shared"/>
        <v>2.7155606486786816E-3</v>
      </c>
    </row>
    <row r="24" spans="1:19" x14ac:dyDescent="0.25">
      <c r="A24" s="6" t="s">
        <v>7</v>
      </c>
      <c r="B24" s="17">
        <f ref="B24:I24" si="11" t="shared">B11/$I$12</f>
        <v>0.19123642924949782</v>
      </c>
      <c r="C24" s="17">
        <f si="11" t="shared"/>
        <v>4.0251070634648549E-2</v>
      </c>
      <c r="D24" s="17">
        <f si="11" t="shared"/>
        <v>1.6815428093323481E-2</v>
      </c>
      <c r="E24" s="17">
        <f si="11" t="shared"/>
        <v>2.4156730240933778E-2</v>
      </c>
      <c r="F24" s="17">
        <f si="11" t="shared"/>
        <v>0.10009038726236173</v>
      </c>
      <c r="G24" s="17">
        <f si="11" t="shared"/>
        <v>3.7767953915792421E-2</v>
      </c>
      <c r="H24" s="17">
        <f si="11" t="shared"/>
        <v>3.2333169687398786E-2</v>
      </c>
      <c r="I24" s="16">
        <f si="11" t="shared"/>
        <v>0.44265116908395657</v>
      </c>
      <c r="J24" s="9"/>
      <c r="K24" s="6" t="s">
        <v>7</v>
      </c>
      <c r="L24" s="20">
        <f si="5" t="shared"/>
        <v>0.14933500017362919</v>
      </c>
      <c r="M24" s="20">
        <f si="5" t="shared"/>
        <v>4.7796645483904575E-2</v>
      </c>
      <c r="N24" s="20">
        <f si="5" t="shared"/>
        <v>3.3885474181338332E-2</v>
      </c>
      <c r="O24" s="20">
        <f si="5" t="shared"/>
        <v>9.167621627252839E-3</v>
      </c>
      <c r="P24" s="20">
        <f si="5" t="shared"/>
        <v>5.3609751015730803E-2</v>
      </c>
      <c r="Q24" s="20">
        <f si="5" t="shared"/>
        <v>6.6117998402611382E-3</v>
      </c>
      <c r="R24" s="20">
        <f si="5" t="shared"/>
        <v>7.7924783831649132E-3</v>
      </c>
      <c r="S24" s="16">
        <f si="5" t="shared"/>
        <v>0.30819877070528179</v>
      </c>
    </row>
    <row ht="15.75" r="25" spans="1:19" thickBot="1" x14ac:dyDescent="0.3">
      <c r="A25" s="15" t="s">
        <v>19</v>
      </c>
      <c r="B25" s="18">
        <f ref="B25:I25" si="12" t="shared">B12/$I$12</f>
        <v>0.54230016584235374</v>
      </c>
      <c r="C25" s="18">
        <f si="12" t="shared"/>
        <v>0.15001575758568075</v>
      </c>
      <c r="D25" s="18">
        <f si="12" t="shared"/>
        <v>6.9270464948645027E-2</v>
      </c>
      <c r="E25" s="18">
        <f si="12" t="shared"/>
        <v>2.6385644976574779E-2</v>
      </c>
      <c r="F25" s="18">
        <f si="12" t="shared"/>
        <v>0.12546653220908527</v>
      </c>
      <c r="G25" s="18">
        <f si="12" t="shared"/>
        <v>5.2806573159247847E-2</v>
      </c>
      <c r="H25" s="18">
        <f si="12" t="shared"/>
        <v>3.3754861278412658E-2</v>
      </c>
      <c r="I25" s="18">
        <f si="12" t="shared"/>
        <v>1</v>
      </c>
      <c r="K25" s="13" t="s">
        <v>19</v>
      </c>
      <c r="L25" s="18">
        <f si="5" t="shared"/>
        <v>0.5921797409452374</v>
      </c>
      <c r="M25" s="18">
        <f si="5" t="shared"/>
        <v>0.17649755182831545</v>
      </c>
      <c r="N25" s="18">
        <f si="5" t="shared"/>
        <v>9.2592978435253673E-2</v>
      </c>
      <c r="O25" s="18">
        <f si="5" t="shared"/>
        <v>2.0300725770045491E-2</v>
      </c>
      <c r="P25" s="18">
        <f si="5" t="shared"/>
        <v>9.1335903045456121E-2</v>
      </c>
      <c r="Q25" s="18">
        <f si="5" t="shared"/>
        <v>1.5529395423134354E-2</v>
      </c>
      <c r="R25" s="18">
        <f si="5" t="shared"/>
        <v>1.1563704552557558E-2</v>
      </c>
      <c r="S25" s="18">
        <f si="5" t="shared"/>
        <v>1</v>
      </c>
    </row>
    <row ht="15.75" r="28" spans="1:19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69" t="s">
        <v>18</v>
      </c>
      <c r="M29" s="69"/>
      <c r="N29" s="69"/>
      <c r="O29" s="69"/>
      <c r="P29" s="69"/>
      <c r="Q29" s="69"/>
      <c r="R29" s="69"/>
      <c r="S29" s="69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ref="L31:S33" si="13" t="shared">L18-B18</f>
        <v>7.5238541632977718E-2</v>
      </c>
      <c r="M31" s="16">
        <f si="13" t="shared"/>
        <v>-3.2102929329977381E-4</v>
      </c>
      <c r="N31" s="16">
        <f si="13" t="shared"/>
        <v>-7.8030826116385413E-3</v>
      </c>
      <c r="O31" s="16">
        <f si="13" t="shared"/>
        <v>5.5214084800500052E-3</v>
      </c>
      <c r="P31" s="16">
        <f si="13" t="shared"/>
        <v>1.380788724446635E-2</v>
      </c>
      <c r="Q31" s="16">
        <f si="13" t="shared"/>
        <v>-2.4767205258466088E-3</v>
      </c>
      <c r="R31" s="16">
        <f si="13" t="shared"/>
        <v>1.6043337847692469E-3</v>
      </c>
      <c r="S31" s="16">
        <f si="13" t="shared"/>
        <v>8.5571338711478429E-2</v>
      </c>
    </row>
    <row r="32" spans="1:19" x14ac:dyDescent="0.25">
      <c r="K32" s="9" t="s">
        <v>2</v>
      </c>
      <c r="L32" s="16">
        <f si="13" t="shared"/>
        <v>5.1239069821565619E-3</v>
      </c>
      <c r="M32" s="16">
        <f si="13" t="shared"/>
        <v>1.1634803996989469E-2</v>
      </c>
      <c r="N32" s="16">
        <f si="13" t="shared"/>
        <v>1.1852521665780123E-2</v>
      </c>
      <c r="O32" s="16">
        <f si="13" t="shared"/>
        <v>3.6462131472028338E-3</v>
      </c>
      <c r="P32" s="16">
        <f si="13" t="shared"/>
        <v>1.0642347768574704E-2</v>
      </c>
      <c r="Q32" s="16">
        <f si="13" t="shared"/>
        <v>-8.5663291818571059E-4</v>
      </c>
      <c r="R32" s="16">
        <f si="13" t="shared"/>
        <v>9.9300178962160928E-5</v>
      </c>
      <c r="S32" s="16">
        <f si="13" t="shared"/>
        <v>4.2142460821480154E-2</v>
      </c>
    </row>
    <row r="33" spans="11:19" x14ac:dyDescent="0.25">
      <c r="K33" s="9" t="s">
        <v>3</v>
      </c>
      <c r="L33" s="16">
        <f si="13" t="shared"/>
        <v>7.9677607218893564E-3</v>
      </c>
      <c r="M33" s="16">
        <f si="13" t="shared"/>
        <v>6.8344463360332109E-3</v>
      </c>
      <c r="N33" s="16">
        <f si="13" t="shared"/>
        <v>2.8883789394459148E-3</v>
      </c>
      <c r="O33" s="16">
        <f si="13" t="shared"/>
        <v>3.5097305896006846E-4</v>
      </c>
      <c r="P33" s="16">
        <f si="13" t="shared"/>
        <v>2.5309127810176652E-3</v>
      </c>
      <c r="Q33" s="16">
        <f si="13" t="shared"/>
        <v>-2.1444424945074462E-3</v>
      </c>
      <c r="R33" s="16">
        <f si="13" t="shared"/>
        <v>4.3060040976490609E-4</v>
      </c>
      <c r="S33" s="16">
        <f si="13" t="shared"/>
        <v>1.8858629752603679E-2</v>
      </c>
    </row>
    <row r="34" spans="11:19" x14ac:dyDescent="0.25">
      <c r="K34" t="s">
        <v>4</v>
      </c>
      <c r="L34" s="16">
        <f>L21-B21</f>
        <v>0</v>
      </c>
      <c r="M34" s="16">
        <f ref="M34:S34" si="14" t="shared">M21-C21</f>
        <v>0</v>
      </c>
      <c r="N34" s="16">
        <f si="14" t="shared"/>
        <v>0</v>
      </c>
      <c r="O34" s="16">
        <f si="14" t="shared"/>
        <v>0</v>
      </c>
      <c r="P34" s="16">
        <f si="14" t="shared"/>
        <v>0</v>
      </c>
      <c r="Q34" s="16">
        <f si="14" t="shared"/>
        <v>0</v>
      </c>
      <c r="R34" s="16">
        <f si="14" t="shared"/>
        <v>0</v>
      </c>
      <c r="S34" s="16">
        <f si="14" t="shared"/>
        <v>0</v>
      </c>
    </row>
    <row r="35" spans="11:19" x14ac:dyDescent="0.25">
      <c r="K35" s="9" t="s">
        <v>5</v>
      </c>
      <c r="L35" s="16">
        <f>L22-B22</f>
        <v>3.2781192485328331E-3</v>
      </c>
      <c r="M35" s="16">
        <f ref="M35:S38" si="15" t="shared">M22-C22</f>
        <v>1.0348300170156613E-3</v>
      </c>
      <c r="N35" s="16">
        <f si="15" t="shared"/>
        <v>-1.039554157864843E-3</v>
      </c>
      <c r="O35" s="16">
        <f si="15" t="shared"/>
        <v>-6.7691179015615891E-4</v>
      </c>
      <c r="P35" s="16">
        <f si="15" t="shared"/>
        <v>-1.4908947427034313E-2</v>
      </c>
      <c r="Q35" s="16">
        <f si="15" t="shared"/>
        <v>4.2365524186547209E-4</v>
      </c>
      <c r="R35" s="16">
        <f si="15" t="shared"/>
        <v>1.9446470118415112E-4</v>
      </c>
      <c r="S35" s="16">
        <f si="15" t="shared"/>
        <v>-1.1694344166457199E-2</v>
      </c>
    </row>
    <row r="36" spans="11:19" x14ac:dyDescent="0.25">
      <c r="K36" s="9" t="s">
        <v>6</v>
      </c>
      <c r="L36" s="16">
        <f>L23-B23</f>
        <v>1.7267559319585231E-4</v>
      </c>
      <c r="M36" s="16">
        <f si="15" t="shared"/>
        <v>-2.4683166335987483E-4</v>
      </c>
      <c r="N36" s="16">
        <f si="15" t="shared"/>
        <v>3.5420356287113239E-4</v>
      </c>
      <c r="O36" s="16">
        <f si="15" t="shared"/>
        <v>6.2506511094905724E-5</v>
      </c>
      <c r="P36" s="16">
        <f si="15" t="shared"/>
        <v>2.7780671597735874E-4</v>
      </c>
      <c r="Q36" s="16">
        <f si="15" t="shared"/>
        <v>-1.0668829639079243E-3</v>
      </c>
      <c r="R36" s="16">
        <f si="15" t="shared"/>
        <v>2.0835503698301906E-5</v>
      </c>
      <c r="S36" s="16">
        <f si="15" t="shared"/>
        <v>-4.2568674043024814E-4</v>
      </c>
    </row>
    <row r="37" spans="11:19" x14ac:dyDescent="0.25">
      <c r="K37" s="6" t="s">
        <v>7</v>
      </c>
      <c r="L37" s="20">
        <f>L24-B24</f>
        <v>-4.1901429075868635E-2</v>
      </c>
      <c r="M37" s="20">
        <f si="15" t="shared"/>
        <v>7.545574849256026E-3</v>
      </c>
      <c r="N37" s="20">
        <f si="15" t="shared"/>
        <v>1.7070046088014851E-2</v>
      </c>
      <c r="O37" s="20">
        <f si="15" t="shared"/>
        <v>-1.4989108613680939E-2</v>
      </c>
      <c r="P37" s="20">
        <f si="15" t="shared"/>
        <v>-4.648063624663093E-2</v>
      </c>
      <c r="Q37" s="20">
        <f si="15" t="shared"/>
        <v>-3.1156154075531281E-2</v>
      </c>
      <c r="R37" s="20">
        <f si="15" t="shared"/>
        <v>-2.4540691304233871E-2</v>
      </c>
      <c r="S37" s="16">
        <f si="15" t="shared"/>
        <v>-0.13445239837867479</v>
      </c>
    </row>
    <row ht="15.75" r="38" spans="11:19" thickBot="1" x14ac:dyDescent="0.3">
      <c r="K38" s="13" t="s">
        <v>19</v>
      </c>
      <c r="L38" s="18">
        <f>L25-B25</f>
        <v>4.9879575102883655E-2</v>
      </c>
      <c r="M38" s="18">
        <f si="15" t="shared"/>
        <v>2.6481794242634693E-2</v>
      </c>
      <c r="N38" s="18">
        <f si="15" t="shared"/>
        <v>2.3322513486608645E-2</v>
      </c>
      <c r="O38" s="18">
        <f si="15" t="shared"/>
        <v>-6.0849192065292879E-3</v>
      </c>
      <c r="P38" s="18">
        <f si="15" t="shared"/>
        <v>-3.4130629163629148E-2</v>
      </c>
      <c r="Q38" s="18">
        <f si="15" t="shared"/>
        <v>-3.7277177736113491E-2</v>
      </c>
      <c r="R38" s="18">
        <f si="15" t="shared"/>
        <v>-2.2191156725855102E-2</v>
      </c>
      <c r="S38" s="18">
        <f si="15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C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G47"/>
  <sheetViews>
    <sheetView workbookViewId="0">
      <selection activeCell="I32" sqref="I31:I32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36" t="s">
        <v>109</v>
      </c>
      <c r="M1" s="36" t="s">
        <v>144</v>
      </c>
      <c r="W1" s="36" t="s">
        <v>164</v>
      </c>
      <c r="AL1" s="36" t="s">
        <v>185</v>
      </c>
      <c r="AZ1" s="36" t="s">
        <v>207</v>
      </c>
    </row>
    <row r="2" spans="1:58" x14ac:dyDescent="0.25">
      <c r="A2" t="s">
        <v>60</v>
      </c>
      <c r="B2" t="s">
        <v>61</v>
      </c>
      <c r="E2" s="34" t="s">
        <v>62</v>
      </c>
      <c r="M2" t="s">
        <v>60</v>
      </c>
      <c r="N2" t="s">
        <v>61</v>
      </c>
      <c r="Q2" s="34" t="s">
        <v>62</v>
      </c>
      <c r="W2" t="s">
        <v>60</v>
      </c>
      <c r="X2" t="s">
        <v>61</v>
      </c>
      <c r="AA2" t="s">
        <v>62</v>
      </c>
      <c r="AL2" t="s">
        <v>60</v>
      </c>
      <c r="AM2" t="s">
        <v>61</v>
      </c>
      <c r="AP2" t="s">
        <v>62</v>
      </c>
      <c r="AZ2" t="s">
        <v>60</v>
      </c>
      <c r="BA2" t="s">
        <v>61</v>
      </c>
      <c r="BD2" t="s">
        <v>62</v>
      </c>
    </row>
    <row r="3" spans="1:58" x14ac:dyDescent="0.25">
      <c r="A3">
        <v>1</v>
      </c>
      <c r="B3" t="s">
        <v>63</v>
      </c>
      <c r="C3" t="s">
        <v>64</v>
      </c>
      <c r="D3" s="35">
        <v>8.2714292376400003E-2</v>
      </c>
      <c r="E3" t="s">
        <v>115</v>
      </c>
      <c r="F3" t="s">
        <v>122</v>
      </c>
      <c r="G3" t="s">
        <v>123</v>
      </c>
      <c r="M3">
        <v>2</v>
      </c>
      <c r="N3" t="s">
        <v>65</v>
      </c>
      <c r="O3" t="s">
        <v>64</v>
      </c>
      <c r="P3">
        <v>3.3415951052600001</v>
      </c>
      <c r="Q3" t="s">
        <v>145</v>
      </c>
      <c r="W3">
        <v>1</v>
      </c>
      <c r="X3" t="s">
        <v>63</v>
      </c>
      <c r="Y3" t="s">
        <v>64</v>
      </c>
      <c r="Z3">
        <v>0.52879225620699999</v>
      </c>
      <c r="AA3" t="s">
        <v>168</v>
      </c>
      <c r="AB3" t="s">
        <v>170</v>
      </c>
      <c r="AC3" t="s">
        <v>171</v>
      </c>
      <c r="AL3">
        <v>1</v>
      </c>
      <c r="AM3" t="s">
        <v>63</v>
      </c>
      <c r="AN3" t="s">
        <v>64</v>
      </c>
      <c r="AO3">
        <v>0.37910550304899998</v>
      </c>
      <c r="AP3" t="s">
        <v>187</v>
      </c>
      <c r="AQ3" t="s">
        <v>122</v>
      </c>
      <c r="AR3" t="s">
        <v>123</v>
      </c>
      <c r="AZ3">
        <v>1</v>
      </c>
      <c r="BA3" t="s">
        <v>63</v>
      </c>
      <c r="BB3" t="s">
        <v>64</v>
      </c>
      <c r="BC3">
        <v>1.4514354035000001</v>
      </c>
      <c r="BD3" t="s">
        <v>208</v>
      </c>
      <c r="BE3" t="s">
        <v>211</v>
      </c>
      <c r="BF3" t="s">
        <v>212</v>
      </c>
    </row>
    <row r="4" spans="1:58" x14ac:dyDescent="0.25">
      <c r="A4">
        <v>2</v>
      </c>
      <c r="B4" t="s">
        <v>65</v>
      </c>
      <c r="C4" t="s">
        <v>64</v>
      </c>
      <c r="D4">
        <v>1.0220354865200001</v>
      </c>
      <c r="E4" t="s">
        <v>132</v>
      </c>
      <c r="M4">
        <v>30</v>
      </c>
      <c r="N4" t="s">
        <v>76</v>
      </c>
      <c r="O4" t="s">
        <v>64</v>
      </c>
      <c r="P4">
        <v>-2.1800862739200002</v>
      </c>
      <c r="Q4">
        <v>1</v>
      </c>
      <c r="W4">
        <v>2</v>
      </c>
      <c r="X4" t="s">
        <v>65</v>
      </c>
      <c r="Y4" t="s">
        <v>64</v>
      </c>
      <c r="Z4">
        <v>0.55879276356800001</v>
      </c>
      <c r="AA4" t="s">
        <v>193</v>
      </c>
      <c r="AL4">
        <v>2</v>
      </c>
      <c r="AM4" t="s">
        <v>65</v>
      </c>
      <c r="AN4" t="s">
        <v>64</v>
      </c>
      <c r="AO4">
        <v>2.0186908853599999</v>
      </c>
      <c r="AP4" t="s">
        <v>145</v>
      </c>
      <c r="AZ4">
        <v>2</v>
      </c>
      <c r="BA4" t="s">
        <v>65</v>
      </c>
      <c r="BB4" t="s">
        <v>64</v>
      </c>
      <c r="BC4">
        <v>1.3039408369400001</v>
      </c>
      <c r="BD4" t="s">
        <v>215</v>
      </c>
    </row>
    <row r="5" spans="1:58" x14ac:dyDescent="0.25">
      <c r="A5">
        <v>10</v>
      </c>
      <c r="B5" t="s">
        <v>66</v>
      </c>
      <c r="C5" t="s">
        <v>64</v>
      </c>
      <c r="D5">
        <v>-1.1944700928600001</v>
      </c>
      <c r="E5">
        <v>1</v>
      </c>
      <c r="G5" t="s">
        <v>8</v>
      </c>
      <c r="M5">
        <v>31</v>
      </c>
      <c r="N5" t="s">
        <v>134</v>
      </c>
      <c r="O5" t="s">
        <v>64</v>
      </c>
      <c r="P5">
        <v>1.16680397388</v>
      </c>
      <c r="Q5" t="s">
        <v>146</v>
      </c>
      <c r="W5">
        <v>10</v>
      </c>
      <c r="X5" t="s">
        <v>151</v>
      </c>
      <c r="Y5" t="s">
        <v>64</v>
      </c>
      <c r="Z5">
        <v>-1.6038121758199999</v>
      </c>
      <c r="AA5">
        <v>1</v>
      </c>
      <c r="AL5">
        <v>20</v>
      </c>
      <c r="AM5" t="s">
        <v>69</v>
      </c>
      <c r="AN5" t="s">
        <v>64</v>
      </c>
      <c r="AO5">
        <v>-4.4200798368200003</v>
      </c>
      <c r="AP5">
        <v>1</v>
      </c>
      <c r="AZ5">
        <v>20</v>
      </c>
      <c r="BA5" t="s">
        <v>69</v>
      </c>
      <c r="BB5" t="s">
        <v>64</v>
      </c>
      <c r="BC5">
        <v>-3.4980731239099998</v>
      </c>
      <c r="BD5">
        <v>1</v>
      </c>
    </row>
    <row r="6" spans="1:58" x14ac:dyDescent="0.25">
      <c r="A6">
        <v>17</v>
      </c>
      <c r="B6" t="s">
        <v>67</v>
      </c>
      <c r="C6" t="s">
        <v>64</v>
      </c>
      <c r="D6">
        <v>-0.37388358649999998</v>
      </c>
      <c r="E6" t="s">
        <v>110</v>
      </c>
      <c r="M6">
        <v>32</v>
      </c>
      <c r="N6" t="s">
        <v>135</v>
      </c>
      <c r="O6" t="s">
        <v>64</v>
      </c>
      <c r="P6">
        <v>0.48228420681</v>
      </c>
      <c r="Q6" t="s">
        <v>147</v>
      </c>
      <c r="W6">
        <v>11</v>
      </c>
      <c r="X6" t="s">
        <v>152</v>
      </c>
      <c r="Y6" t="s">
        <v>73</v>
      </c>
      <c r="Z6">
        <v>-2</v>
      </c>
      <c r="AA6" t="s">
        <v>107</v>
      </c>
      <c r="AD6" t="s">
        <v>166</v>
      </c>
      <c r="AL6">
        <v>21</v>
      </c>
      <c r="AM6" t="s">
        <v>70</v>
      </c>
      <c r="AN6" t="s">
        <v>64</v>
      </c>
      <c r="AO6">
        <v>4.94579205397</v>
      </c>
      <c r="AP6" t="s">
        <v>107</v>
      </c>
      <c r="AZ6">
        <v>30</v>
      </c>
      <c r="BA6" t="s">
        <v>76</v>
      </c>
      <c r="BB6" t="s">
        <v>64</v>
      </c>
      <c r="BC6">
        <v>-2.6353130235300002</v>
      </c>
      <c r="BD6">
        <v>1</v>
      </c>
    </row>
    <row r="7" spans="1:58" x14ac:dyDescent="0.25">
      <c r="A7">
        <v>18</v>
      </c>
      <c r="B7" t="s">
        <v>68</v>
      </c>
      <c r="C7" t="s">
        <v>64</v>
      </c>
      <c r="D7">
        <v>-2.1552189459600002</v>
      </c>
      <c r="E7" t="s">
        <v>111</v>
      </c>
      <c r="M7">
        <v>33</v>
      </c>
      <c r="N7" t="s">
        <v>136</v>
      </c>
      <c r="O7" t="s">
        <v>64</v>
      </c>
      <c r="P7" s="35">
        <v>7.7733428152199996E-2</v>
      </c>
      <c r="Q7" t="s">
        <v>148</v>
      </c>
      <c r="W7">
        <v>13</v>
      </c>
      <c r="X7" t="s">
        <v>153</v>
      </c>
      <c r="Y7" t="s">
        <v>64</v>
      </c>
      <c r="Z7">
        <v>-1.01072071817</v>
      </c>
      <c r="AA7" t="s">
        <v>165</v>
      </c>
      <c r="AL7">
        <v>30</v>
      </c>
      <c r="AM7" t="s">
        <v>76</v>
      </c>
      <c r="AN7" t="s">
        <v>64</v>
      </c>
      <c r="AO7">
        <v>-0.81129976642199997</v>
      </c>
      <c r="AP7">
        <v>1</v>
      </c>
      <c r="AZ7">
        <v>40</v>
      </c>
      <c r="BA7" t="s">
        <v>79</v>
      </c>
      <c r="BB7" t="s">
        <v>64</v>
      </c>
      <c r="BC7">
        <v>-1.7745103655700001</v>
      </c>
      <c r="BD7">
        <v>1</v>
      </c>
    </row>
    <row r="8" spans="1:58" x14ac:dyDescent="0.25">
      <c r="A8">
        <v>20</v>
      </c>
      <c r="B8" t="s">
        <v>69</v>
      </c>
      <c r="C8" t="s">
        <v>64</v>
      </c>
      <c r="D8">
        <v>-3.89062176924</v>
      </c>
      <c r="E8">
        <v>1</v>
      </c>
      <c r="G8" t="s">
        <v>133</v>
      </c>
      <c r="M8">
        <v>40</v>
      </c>
      <c r="N8" t="s">
        <v>79</v>
      </c>
      <c r="O8" t="s">
        <v>64</v>
      </c>
      <c r="P8">
        <v>-1.3015858506</v>
      </c>
      <c r="Q8">
        <v>1</v>
      </c>
      <c r="W8">
        <v>20</v>
      </c>
      <c r="X8" t="s">
        <v>69</v>
      </c>
      <c r="Y8" t="s">
        <v>64</v>
      </c>
      <c r="Z8">
        <v>-1.9181554270400001</v>
      </c>
      <c r="AA8">
        <v>1</v>
      </c>
      <c r="AL8">
        <v>31</v>
      </c>
      <c r="AM8" t="s">
        <v>154</v>
      </c>
      <c r="AN8" t="s">
        <v>64</v>
      </c>
      <c r="AO8">
        <v>0.59818794862500002</v>
      </c>
      <c r="AP8" t="s">
        <v>146</v>
      </c>
      <c r="AZ8">
        <v>50</v>
      </c>
      <c r="BA8" t="s">
        <v>84</v>
      </c>
      <c r="BB8" t="s">
        <v>64</v>
      </c>
      <c r="BC8">
        <v>-2.30718445759</v>
      </c>
      <c r="BD8">
        <v>1</v>
      </c>
    </row>
    <row r="9" spans="1:58" x14ac:dyDescent="0.25">
      <c r="A9">
        <v>21</v>
      </c>
      <c r="B9" t="s">
        <v>70</v>
      </c>
      <c r="C9" t="s">
        <v>64</v>
      </c>
      <c r="D9">
        <v>1.02924701291</v>
      </c>
      <c r="E9" t="s">
        <v>107</v>
      </c>
      <c r="M9">
        <v>41</v>
      </c>
      <c r="N9" t="s">
        <v>80</v>
      </c>
      <c r="O9" t="s">
        <v>73</v>
      </c>
      <c r="P9">
        <v>-5.9139999999999997</v>
      </c>
      <c r="Q9" t="s">
        <v>107</v>
      </c>
      <c r="W9">
        <v>30</v>
      </c>
      <c r="X9" t="s">
        <v>76</v>
      </c>
      <c r="Y9" t="s">
        <v>64</v>
      </c>
      <c r="Z9">
        <v>-0.96957991101999996</v>
      </c>
      <c r="AA9">
        <v>1</v>
      </c>
      <c r="AL9">
        <v>32</v>
      </c>
      <c r="AM9" t="s">
        <v>155</v>
      </c>
      <c r="AN9" t="s">
        <v>64</v>
      </c>
      <c r="AO9">
        <v>0.126346118476</v>
      </c>
      <c r="AP9" t="s">
        <v>147</v>
      </c>
      <c r="AZ9">
        <v>54</v>
      </c>
      <c r="BA9" t="s">
        <v>86</v>
      </c>
      <c r="BB9" t="s">
        <v>64</v>
      </c>
      <c r="BC9">
        <v>-0.13556679442799999</v>
      </c>
      <c r="BD9" t="s">
        <v>118</v>
      </c>
    </row>
    <row r="10" spans="1:58" x14ac:dyDescent="0.25">
      <c r="A10">
        <v>22</v>
      </c>
      <c r="B10" t="s">
        <v>71</v>
      </c>
      <c r="C10" t="s">
        <v>64</v>
      </c>
      <c r="D10">
        <v>0.28476332632899998</v>
      </c>
      <c r="E10" t="s">
        <v>108</v>
      </c>
      <c r="M10">
        <v>42</v>
      </c>
      <c r="N10" t="s">
        <v>137</v>
      </c>
      <c r="O10" t="s">
        <v>64</v>
      </c>
      <c r="P10" s="35">
        <v>-3.2567490020500002E-2</v>
      </c>
      <c r="Q10" t="s">
        <v>108</v>
      </c>
      <c r="W10">
        <v>31</v>
      </c>
      <c r="X10" t="s">
        <v>154</v>
      </c>
      <c r="Y10" t="s">
        <v>64</v>
      </c>
      <c r="Z10">
        <v>0.32331883684899998</v>
      </c>
      <c r="AA10" t="s">
        <v>146</v>
      </c>
      <c r="AL10">
        <v>34</v>
      </c>
      <c r="AM10" t="s">
        <v>172</v>
      </c>
      <c r="AN10" t="s">
        <v>64</v>
      </c>
      <c r="AO10">
        <v>0.182457426512</v>
      </c>
      <c r="AP10" t="s">
        <v>188</v>
      </c>
      <c r="AZ10">
        <v>55</v>
      </c>
      <c r="BA10" t="s">
        <v>200</v>
      </c>
      <c r="BB10" t="s">
        <v>64</v>
      </c>
      <c r="BC10">
        <v>-0.13243830190100001</v>
      </c>
      <c r="BD10" t="s">
        <v>119</v>
      </c>
    </row>
    <row r="11" spans="1:58" x14ac:dyDescent="0.25">
      <c r="A11">
        <v>27</v>
      </c>
      <c r="B11" t="s">
        <v>72</v>
      </c>
      <c r="C11" t="s">
        <v>73</v>
      </c>
      <c r="D11">
        <v>-5</v>
      </c>
      <c r="E11" t="s">
        <v>110</v>
      </c>
      <c r="M11">
        <v>50</v>
      </c>
      <c r="N11" s="37" t="s">
        <v>138</v>
      </c>
      <c r="O11" t="s">
        <v>73</v>
      </c>
      <c r="P11">
        <v>-10</v>
      </c>
      <c r="Q11">
        <v>1</v>
      </c>
      <c r="W11">
        <v>32</v>
      </c>
      <c r="X11" t="s">
        <v>155</v>
      </c>
      <c r="Y11" t="s">
        <v>64</v>
      </c>
      <c r="Z11">
        <v>0.27882626875799998</v>
      </c>
      <c r="AA11" t="s">
        <v>147</v>
      </c>
      <c r="AL11">
        <v>35</v>
      </c>
      <c r="AM11" t="s">
        <v>156</v>
      </c>
      <c r="AN11" t="s">
        <v>64</v>
      </c>
      <c r="AO11">
        <v>0.22510711488400001</v>
      </c>
      <c r="AP11" t="s">
        <v>169</v>
      </c>
      <c r="AZ11">
        <v>58</v>
      </c>
      <c r="BA11" t="s">
        <v>201</v>
      </c>
      <c r="BB11" t="s">
        <v>64</v>
      </c>
      <c r="BC11">
        <v>2.76787980308</v>
      </c>
      <c r="BD11" t="s">
        <v>209</v>
      </c>
    </row>
    <row r="12" spans="1:58" x14ac:dyDescent="0.25">
      <c r="A12">
        <v>28</v>
      </c>
      <c r="B12" t="s">
        <v>74</v>
      </c>
      <c r="C12" t="s">
        <v>64</v>
      </c>
      <c r="D12">
        <v>1.6189300503899999</v>
      </c>
      <c r="E12" t="s">
        <v>111</v>
      </c>
      <c r="M12">
        <v>60</v>
      </c>
      <c r="N12" t="s">
        <v>89</v>
      </c>
      <c r="O12" t="s">
        <v>73</v>
      </c>
      <c r="P12">
        <v>-10</v>
      </c>
      <c r="Q12">
        <v>1</v>
      </c>
      <c r="W12">
        <v>35</v>
      </c>
      <c r="X12" t="s">
        <v>156</v>
      </c>
      <c r="Y12" t="s">
        <v>64</v>
      </c>
      <c r="Z12">
        <v>-0.135816439973</v>
      </c>
      <c r="AA12" t="s">
        <v>169</v>
      </c>
      <c r="AL12">
        <v>38</v>
      </c>
      <c r="AM12" t="s">
        <v>157</v>
      </c>
      <c r="AN12" t="s">
        <v>64</v>
      </c>
      <c r="AO12">
        <v>-3.6449456511</v>
      </c>
      <c r="AP12" t="s">
        <v>117</v>
      </c>
      <c r="AZ12">
        <v>59</v>
      </c>
      <c r="BA12" t="s">
        <v>202</v>
      </c>
      <c r="BB12" t="s">
        <v>64</v>
      </c>
      <c r="BC12">
        <v>2.0325205083700002</v>
      </c>
      <c r="BD12" t="s">
        <v>210</v>
      </c>
    </row>
    <row r="13" spans="1:58" x14ac:dyDescent="0.25">
      <c r="A13">
        <v>29</v>
      </c>
      <c r="B13" t="s">
        <v>75</v>
      </c>
      <c r="C13" t="s">
        <v>64</v>
      </c>
      <c r="D13">
        <v>1.4418614350800001</v>
      </c>
      <c r="E13" t="s">
        <v>112</v>
      </c>
      <c r="M13">
        <v>73</v>
      </c>
      <c r="N13" t="s">
        <v>139</v>
      </c>
      <c r="O13" t="s">
        <v>64</v>
      </c>
      <c r="P13">
        <v>-2.3805019629599999</v>
      </c>
      <c r="Q13" t="s">
        <v>149</v>
      </c>
      <c r="W13">
        <v>38</v>
      </c>
      <c r="X13" t="s">
        <v>157</v>
      </c>
      <c r="Y13" t="s">
        <v>64</v>
      </c>
      <c r="Z13">
        <v>-0.61753363761699998</v>
      </c>
      <c r="AA13" t="s">
        <v>117</v>
      </c>
      <c r="AL13">
        <v>39</v>
      </c>
      <c r="AM13" t="s">
        <v>77</v>
      </c>
      <c r="AN13" t="s">
        <v>64</v>
      </c>
      <c r="AO13">
        <v>-2.0456438236599999</v>
      </c>
      <c r="AP13" t="s">
        <v>116</v>
      </c>
      <c r="AZ13">
        <v>60</v>
      </c>
      <c r="BA13" t="s">
        <v>89</v>
      </c>
      <c r="BB13" t="s">
        <v>64</v>
      </c>
      <c r="BC13">
        <v>-4.8566896576699996</v>
      </c>
      <c r="BD13">
        <v>1</v>
      </c>
    </row>
    <row r="14" spans="1:58" x14ac:dyDescent="0.25">
      <c r="A14">
        <v>30</v>
      </c>
      <c r="B14" t="s">
        <v>76</v>
      </c>
      <c r="C14" t="s">
        <v>64</v>
      </c>
      <c r="D14">
        <v>-0.436326716236</v>
      </c>
      <c r="E14">
        <v>1</v>
      </c>
      <c r="M14">
        <v>76</v>
      </c>
      <c r="N14" t="s">
        <v>140</v>
      </c>
      <c r="O14" t="s">
        <v>64</v>
      </c>
      <c r="P14" s="35">
        <v>1.5103600785499999E-3</v>
      </c>
      <c r="Q14" t="s">
        <v>150</v>
      </c>
      <c r="W14">
        <v>39</v>
      </c>
      <c r="X14" t="s">
        <v>77</v>
      </c>
      <c r="Y14" t="s">
        <v>64</v>
      </c>
      <c r="Z14">
        <v>-1.24532834343</v>
      </c>
      <c r="AA14" t="s">
        <v>116</v>
      </c>
      <c r="AL14">
        <v>40</v>
      </c>
      <c r="AM14" t="s">
        <v>79</v>
      </c>
      <c r="AN14" t="s">
        <v>64</v>
      </c>
      <c r="AO14">
        <v>-0.72293440404700005</v>
      </c>
      <c r="AP14">
        <v>1</v>
      </c>
      <c r="AZ14">
        <v>61</v>
      </c>
      <c r="BA14" t="s">
        <v>90</v>
      </c>
      <c r="BB14" t="s">
        <v>64</v>
      </c>
      <c r="BC14" s="35">
        <v>-7.61146297547E-2</v>
      </c>
      <c r="BD14" t="s">
        <v>125</v>
      </c>
    </row>
    <row r="15" spans="1:58" x14ac:dyDescent="0.25">
      <c r="A15">
        <v>37</v>
      </c>
      <c r="B15" t="s">
        <v>77</v>
      </c>
      <c r="C15" t="s">
        <v>64</v>
      </c>
      <c r="D15">
        <v>-1.17061677191</v>
      </c>
      <c r="E15" t="s">
        <v>116</v>
      </c>
      <c r="H15" t="s">
        <v>117</v>
      </c>
      <c r="M15">
        <v>81</v>
      </c>
      <c r="N15" t="s">
        <v>141</v>
      </c>
      <c r="O15" t="s">
        <v>64</v>
      </c>
      <c r="P15">
        <v>0.91500335831599999</v>
      </c>
      <c r="Q15" t="s">
        <v>146</v>
      </c>
      <c r="W15">
        <v>40</v>
      </c>
      <c r="X15" t="s">
        <v>79</v>
      </c>
      <c r="Y15" t="s">
        <v>64</v>
      </c>
      <c r="Z15">
        <v>-0.43668173859600001</v>
      </c>
      <c r="AA15">
        <v>1</v>
      </c>
      <c r="AL15">
        <v>41</v>
      </c>
      <c r="AM15" t="s">
        <v>80</v>
      </c>
      <c r="AN15" t="s">
        <v>64</v>
      </c>
      <c r="AO15">
        <v>-0.92857142151799998</v>
      </c>
      <c r="AP15" t="s">
        <v>107</v>
      </c>
      <c r="AZ15">
        <v>69</v>
      </c>
      <c r="BA15" t="s">
        <v>203</v>
      </c>
      <c r="BB15" t="s">
        <v>64</v>
      </c>
      <c r="BC15">
        <v>4.2535185960500002</v>
      </c>
      <c r="BD15" t="s">
        <v>213</v>
      </c>
    </row>
    <row r="16" spans="1:58" x14ac:dyDescent="0.25">
      <c r="A16">
        <v>38</v>
      </c>
      <c r="B16" t="s">
        <v>78</v>
      </c>
      <c r="C16" t="s">
        <v>64</v>
      </c>
      <c r="D16">
        <v>-0.50005425535900005</v>
      </c>
      <c r="E16" t="s">
        <v>117</v>
      </c>
      <c r="M16">
        <v>82</v>
      </c>
      <c r="N16" t="s">
        <v>142</v>
      </c>
      <c r="O16" t="s">
        <v>64</v>
      </c>
      <c r="P16" s="35">
        <v>-2.7232831171200001E-2</v>
      </c>
      <c r="Q16" t="s">
        <v>147</v>
      </c>
      <c r="W16">
        <v>41</v>
      </c>
      <c r="X16" t="s">
        <v>80</v>
      </c>
      <c r="Y16" t="s">
        <v>64</v>
      </c>
      <c r="Z16">
        <v>-3.1062781391100001</v>
      </c>
      <c r="AA16" t="s">
        <v>107</v>
      </c>
      <c r="AL16">
        <v>43</v>
      </c>
      <c r="AM16" t="s">
        <v>173</v>
      </c>
      <c r="AN16" t="s">
        <v>64</v>
      </c>
      <c r="AO16">
        <v>-0.115623185214</v>
      </c>
      <c r="AP16" t="s">
        <v>165</v>
      </c>
      <c r="AZ16">
        <v>79</v>
      </c>
      <c r="BA16" t="s">
        <v>204</v>
      </c>
      <c r="BB16" t="s">
        <v>73</v>
      </c>
      <c r="BC16">
        <v>5</v>
      </c>
      <c r="BD16" t="s">
        <v>214</v>
      </c>
    </row>
    <row r="17" spans="1:56" x14ac:dyDescent="0.25">
      <c r="A17">
        <v>40</v>
      </c>
      <c r="B17" t="s">
        <v>79</v>
      </c>
      <c r="C17" t="s">
        <v>64</v>
      </c>
      <c r="D17">
        <v>-1.07632083804</v>
      </c>
      <c r="E17">
        <v>1</v>
      </c>
      <c r="M17">
        <v>83</v>
      </c>
      <c r="N17" t="s">
        <v>143</v>
      </c>
      <c r="O17" t="s">
        <v>64</v>
      </c>
      <c r="P17">
        <v>-1.41548419308</v>
      </c>
      <c r="Q17" t="s">
        <v>148</v>
      </c>
      <c r="W17">
        <v>42</v>
      </c>
      <c r="X17" t="s">
        <v>137</v>
      </c>
      <c r="Y17" t="s">
        <v>64</v>
      </c>
      <c r="Z17">
        <v>0.43342144713399999</v>
      </c>
      <c r="AA17" t="s">
        <v>108</v>
      </c>
      <c r="AL17">
        <v>48</v>
      </c>
      <c r="AM17" t="s">
        <v>78</v>
      </c>
      <c r="AN17" t="s">
        <v>64</v>
      </c>
      <c r="AO17">
        <v>-2.1236838848900002</v>
      </c>
      <c r="AP17" t="s">
        <v>117</v>
      </c>
      <c r="AZ17">
        <v>88</v>
      </c>
      <c r="BA17" t="s">
        <v>205</v>
      </c>
      <c r="BB17" t="s">
        <v>64</v>
      </c>
      <c r="BC17">
        <v>-0.23852894050599999</v>
      </c>
      <c r="BD17" t="s">
        <v>209</v>
      </c>
    </row>
    <row r="18" spans="1:56" x14ac:dyDescent="0.25">
      <c r="A18">
        <v>41</v>
      </c>
      <c r="B18" t="s">
        <v>80</v>
      </c>
      <c r="C18" t="s">
        <v>64</v>
      </c>
      <c r="D18">
        <v>-1.7451141218699999</v>
      </c>
      <c r="E18" t="s">
        <v>107</v>
      </c>
      <c r="W18">
        <v>48</v>
      </c>
      <c r="X18" t="s">
        <v>78</v>
      </c>
      <c r="Y18" t="s">
        <v>64</v>
      </c>
      <c r="Z18">
        <v>-0.39332327498699998</v>
      </c>
      <c r="AA18" t="s">
        <v>117</v>
      </c>
      <c r="AL18">
        <v>50</v>
      </c>
      <c r="AM18" t="s">
        <v>84</v>
      </c>
      <c r="AN18" t="s">
        <v>64</v>
      </c>
      <c r="AO18">
        <v>1.21463609016</v>
      </c>
      <c r="AP18">
        <v>1</v>
      </c>
      <c r="AZ18">
        <v>89</v>
      </c>
      <c r="BA18" t="s">
        <v>206</v>
      </c>
      <c r="BB18" t="s">
        <v>64</v>
      </c>
      <c r="BC18">
        <v>1.3187843664700001</v>
      </c>
      <c r="BD18" t="s">
        <v>210</v>
      </c>
    </row>
    <row r="19" spans="1:56" x14ac:dyDescent="0.25">
      <c r="A19">
        <v>44</v>
      </c>
      <c r="B19" t="s">
        <v>81</v>
      </c>
      <c r="C19" t="s">
        <v>64</v>
      </c>
      <c r="D19">
        <v>-0.26427109019</v>
      </c>
      <c r="E19" t="s">
        <v>118</v>
      </c>
      <c r="W19">
        <v>50</v>
      </c>
      <c r="X19" t="s">
        <v>84</v>
      </c>
      <c r="Y19" t="s">
        <v>64</v>
      </c>
      <c r="Z19">
        <v>2.20032936544</v>
      </c>
      <c r="AA19">
        <v>1</v>
      </c>
      <c r="AL19">
        <v>52</v>
      </c>
      <c r="AM19" t="s">
        <v>85</v>
      </c>
      <c r="AN19" t="s">
        <v>64</v>
      </c>
      <c r="AO19">
        <v>-0.87685347122000001</v>
      </c>
      <c r="AP19" t="s">
        <v>108</v>
      </c>
      <c r="AZ19">
        <v>99</v>
      </c>
      <c r="BA19" t="s">
        <v>106</v>
      </c>
      <c r="BB19" t="s">
        <v>64</v>
      </c>
      <c r="BC19">
        <v>0.96666822906600003</v>
      </c>
    </row>
    <row r="20" spans="1:56" x14ac:dyDescent="0.25">
      <c r="A20">
        <v>45</v>
      </c>
      <c r="B20" t="s">
        <v>82</v>
      </c>
      <c r="C20" t="s">
        <v>64</v>
      </c>
      <c r="D20">
        <v>-0.26346992705599998</v>
      </c>
      <c r="E20" t="s">
        <v>119</v>
      </c>
      <c r="W20">
        <v>53</v>
      </c>
      <c r="X20" t="s">
        <v>158</v>
      </c>
      <c r="Y20" t="s">
        <v>64</v>
      </c>
      <c r="Z20">
        <v>-1.27744217244</v>
      </c>
      <c r="AA20" t="s">
        <v>165</v>
      </c>
      <c r="AL20">
        <v>54</v>
      </c>
      <c r="AM20" t="s">
        <v>174</v>
      </c>
      <c r="AN20" t="s">
        <v>64</v>
      </c>
      <c r="AO20">
        <v>0.114530953724</v>
      </c>
      <c r="AP20" t="s">
        <v>118</v>
      </c>
    </row>
    <row r="21" spans="1:56" x14ac:dyDescent="0.25">
      <c r="A21">
        <v>47</v>
      </c>
      <c r="B21" t="s">
        <v>83</v>
      </c>
      <c r="C21" t="s">
        <v>64</v>
      </c>
      <c r="D21">
        <v>1.3756218553499999</v>
      </c>
      <c r="E21" t="s">
        <v>110</v>
      </c>
      <c r="W21">
        <v>54</v>
      </c>
      <c r="X21" t="s">
        <v>86</v>
      </c>
      <c r="Y21" t="s">
        <v>64</v>
      </c>
      <c r="Z21">
        <v>-0.17415467666600001</v>
      </c>
      <c r="AA21" t="s">
        <v>118</v>
      </c>
      <c r="AL21">
        <v>60</v>
      </c>
      <c r="AM21" t="s">
        <v>89</v>
      </c>
      <c r="AN21" t="s">
        <v>64</v>
      </c>
      <c r="AO21">
        <v>-6.5774811724299997</v>
      </c>
      <c r="AP21">
        <v>1</v>
      </c>
    </row>
    <row r="22" spans="1:56" x14ac:dyDescent="0.25">
      <c r="A22">
        <v>50</v>
      </c>
      <c r="B22" t="s">
        <v>84</v>
      </c>
      <c r="C22" t="s">
        <v>64</v>
      </c>
      <c r="D22">
        <v>1.2145079058199999</v>
      </c>
      <c r="E22">
        <v>1</v>
      </c>
      <c r="W22">
        <v>60</v>
      </c>
      <c r="X22" t="s">
        <v>89</v>
      </c>
      <c r="Y22" t="s">
        <v>64</v>
      </c>
      <c r="Z22">
        <v>-9.5721045222600001</v>
      </c>
      <c r="AA22">
        <v>1</v>
      </c>
      <c r="AL22">
        <v>61</v>
      </c>
      <c r="AM22" t="s">
        <v>90</v>
      </c>
      <c r="AN22" t="s">
        <v>64</v>
      </c>
      <c r="AO22">
        <v>1.0360071208699999</v>
      </c>
      <c r="AP22" t="s">
        <v>125</v>
      </c>
    </row>
    <row r="23" spans="1:56" x14ac:dyDescent="0.25">
      <c r="A23">
        <v>52</v>
      </c>
      <c r="B23" t="s">
        <v>85</v>
      </c>
      <c r="C23" t="s">
        <v>64</v>
      </c>
      <c r="D23">
        <v>-1.01885889266</v>
      </c>
      <c r="E23" t="s">
        <v>108</v>
      </c>
      <c r="W23">
        <v>61</v>
      </c>
      <c r="X23" t="s">
        <v>90</v>
      </c>
      <c r="Y23" t="s">
        <v>64</v>
      </c>
      <c r="Z23">
        <v>0.76617238553300004</v>
      </c>
      <c r="AA23" t="s">
        <v>125</v>
      </c>
      <c r="AL23">
        <v>63</v>
      </c>
      <c r="AM23" t="s">
        <v>159</v>
      </c>
      <c r="AN23" t="s">
        <v>64</v>
      </c>
      <c r="AO23">
        <v>-0.76682515659200001</v>
      </c>
      <c r="AP23" t="s">
        <v>149</v>
      </c>
    </row>
    <row r="24" spans="1:56" x14ac:dyDescent="0.25">
      <c r="A24">
        <v>54</v>
      </c>
      <c r="B24" t="s">
        <v>86</v>
      </c>
      <c r="C24" t="s">
        <v>64</v>
      </c>
      <c r="D24">
        <v>-0.78347783300499996</v>
      </c>
      <c r="E24" t="s">
        <v>118</v>
      </c>
      <c r="W24">
        <v>63</v>
      </c>
      <c r="X24" t="s">
        <v>159</v>
      </c>
      <c r="Y24" t="s">
        <v>64</v>
      </c>
      <c r="Z24">
        <v>-0.66187614505199999</v>
      </c>
      <c r="AA24" t="s">
        <v>149</v>
      </c>
      <c r="AL24">
        <v>73</v>
      </c>
      <c r="AM24" t="s">
        <v>139</v>
      </c>
      <c r="AN24" t="s">
        <v>64</v>
      </c>
      <c r="AO24">
        <v>-0.36705005247900002</v>
      </c>
      <c r="AP24" t="s">
        <v>149</v>
      </c>
    </row>
    <row r="25" spans="1:56" x14ac:dyDescent="0.25">
      <c r="A25">
        <v>56</v>
      </c>
      <c r="B25" t="s">
        <v>87</v>
      </c>
      <c r="C25" t="s">
        <v>64</v>
      </c>
      <c r="D25">
        <v>0.30803328101299998</v>
      </c>
      <c r="E25" t="s">
        <v>124</v>
      </c>
      <c r="W25">
        <v>71</v>
      </c>
      <c r="X25" t="s">
        <v>160</v>
      </c>
      <c r="Y25" t="s">
        <v>64</v>
      </c>
      <c r="Z25">
        <v>-0.659709011367</v>
      </c>
      <c r="AA25" t="s">
        <v>125</v>
      </c>
      <c r="AL25">
        <v>120</v>
      </c>
      <c r="AM25" t="s">
        <v>175</v>
      </c>
      <c r="AN25" t="s">
        <v>64</v>
      </c>
      <c r="AO25">
        <v>-1.37393186115</v>
      </c>
      <c r="AP25" t="s">
        <v>186</v>
      </c>
    </row>
    <row r="26" spans="1:56" x14ac:dyDescent="0.25">
      <c r="A26">
        <v>59</v>
      </c>
      <c r="B26" t="s">
        <v>88</v>
      </c>
      <c r="C26" t="s">
        <v>64</v>
      </c>
      <c r="D26">
        <v>-1.56467364191</v>
      </c>
      <c r="E26" t="s">
        <v>112</v>
      </c>
      <c r="W26">
        <v>124</v>
      </c>
      <c r="X26" t="s">
        <v>161</v>
      </c>
      <c r="Y26" t="s">
        <v>64</v>
      </c>
      <c r="Z26">
        <v>2.0023107306000001</v>
      </c>
      <c r="AA26" t="s">
        <v>167</v>
      </c>
      <c r="AL26">
        <v>124</v>
      </c>
      <c r="AM26" t="s">
        <v>161</v>
      </c>
      <c r="AN26" t="s">
        <v>64</v>
      </c>
      <c r="AO26">
        <v>1.98544962266</v>
      </c>
      <c r="AP26" t="s">
        <v>167</v>
      </c>
    </row>
    <row r="27" spans="1:56" x14ac:dyDescent="0.25">
      <c r="A27">
        <v>60</v>
      </c>
      <c r="B27" t="s">
        <v>89</v>
      </c>
      <c r="C27" t="s">
        <v>64</v>
      </c>
      <c r="D27">
        <v>-3.5143971590500001</v>
      </c>
      <c r="E27">
        <v>1</v>
      </c>
      <c r="G27" t="s">
        <v>6</v>
      </c>
      <c r="W27">
        <v>127</v>
      </c>
      <c r="X27" t="s">
        <v>162</v>
      </c>
      <c r="Y27" t="s">
        <v>64</v>
      </c>
      <c r="Z27" s="35">
        <v>1.0987901816399999E-2</v>
      </c>
      <c r="AA27" t="s">
        <v>150</v>
      </c>
      <c r="AL27">
        <v>128</v>
      </c>
      <c r="AM27" t="s">
        <v>163</v>
      </c>
      <c r="AN27" t="s">
        <v>64</v>
      </c>
      <c r="AO27" s="35">
        <v>1.56308175885E-4</v>
      </c>
      <c r="AP27" t="s">
        <v>127</v>
      </c>
    </row>
    <row r="28" spans="1:56" x14ac:dyDescent="0.25">
      <c r="A28">
        <v>61</v>
      </c>
      <c r="B28" t="s">
        <v>90</v>
      </c>
      <c r="C28" t="s">
        <v>64</v>
      </c>
      <c r="D28">
        <v>0.16084114056400001</v>
      </c>
      <c r="E28" t="s">
        <v>125</v>
      </c>
      <c r="W28">
        <v>128</v>
      </c>
      <c r="X28" t="s">
        <v>163</v>
      </c>
      <c r="Y28" t="s">
        <v>64</v>
      </c>
      <c r="Z28" s="35">
        <v>9.8072993996499997E-5</v>
      </c>
      <c r="AA28" t="s">
        <v>127</v>
      </c>
      <c r="AL28">
        <v>131</v>
      </c>
      <c r="AM28" t="s">
        <v>95</v>
      </c>
      <c r="AN28" t="s">
        <v>64</v>
      </c>
      <c r="AO28">
        <v>-0.48853505686199999</v>
      </c>
      <c r="AP28" t="s">
        <v>120</v>
      </c>
    </row>
    <row r="29" spans="1:56" x14ac:dyDescent="0.25">
      <c r="A29">
        <v>69</v>
      </c>
      <c r="B29" t="s">
        <v>91</v>
      </c>
      <c r="C29" t="s">
        <v>64</v>
      </c>
      <c r="D29">
        <v>0.51493638010999998</v>
      </c>
      <c r="E29" t="s">
        <v>111</v>
      </c>
      <c r="W29">
        <v>131</v>
      </c>
      <c r="X29" t="s">
        <v>95</v>
      </c>
      <c r="Y29" t="s">
        <v>64</v>
      </c>
      <c r="Z29">
        <v>-2.2170416796199999</v>
      </c>
      <c r="AA29" t="s">
        <v>120</v>
      </c>
      <c r="AL29">
        <v>132</v>
      </c>
      <c r="AM29" t="s">
        <v>96</v>
      </c>
      <c r="AN29" t="s">
        <v>64</v>
      </c>
      <c r="AO29">
        <v>0.231801803532</v>
      </c>
      <c r="AP29" t="s">
        <v>121</v>
      </c>
    </row>
    <row r="30" spans="1:56" x14ac:dyDescent="0.25">
      <c r="A30">
        <v>79</v>
      </c>
      <c r="B30" t="s">
        <v>92</v>
      </c>
      <c r="C30" t="s">
        <v>64</v>
      </c>
      <c r="D30" s="35">
        <v>-7.3787571266299996E-3</v>
      </c>
      <c r="E30" t="s">
        <v>111</v>
      </c>
      <c r="G30" t="s">
        <v>7</v>
      </c>
      <c r="W30">
        <v>132</v>
      </c>
      <c r="X30" t="s">
        <v>96</v>
      </c>
      <c r="Y30" t="s">
        <v>64</v>
      </c>
      <c r="Z30" s="35">
        <v>-3.1767087365000002E-2</v>
      </c>
      <c r="AA30" t="s">
        <v>121</v>
      </c>
      <c r="AL30">
        <v>133</v>
      </c>
      <c r="AM30" t="s">
        <v>97</v>
      </c>
      <c r="AN30" t="s">
        <v>64</v>
      </c>
      <c r="AO30">
        <v>-0.448982673572</v>
      </c>
      <c r="AP30" t="s">
        <v>120</v>
      </c>
    </row>
    <row r="31" spans="1:56" x14ac:dyDescent="0.25">
      <c r="A31">
        <v>122</v>
      </c>
      <c r="B31" t="s">
        <v>93</v>
      </c>
      <c r="C31" t="s">
        <v>64</v>
      </c>
      <c r="D31">
        <v>0.41910856576200001</v>
      </c>
      <c r="E31" t="s">
        <v>114</v>
      </c>
      <c r="W31">
        <v>133</v>
      </c>
      <c r="X31" t="s">
        <v>97</v>
      </c>
      <c r="Y31" t="s">
        <v>64</v>
      </c>
      <c r="Z31">
        <v>3.7030999967599998</v>
      </c>
      <c r="AA31" t="s">
        <v>120</v>
      </c>
      <c r="AL31">
        <v>134</v>
      </c>
      <c r="AM31" t="s">
        <v>98</v>
      </c>
      <c r="AN31" t="s">
        <v>64</v>
      </c>
      <c r="AO31">
        <v>0.337153571657</v>
      </c>
      <c r="AP31" t="s">
        <v>121</v>
      </c>
    </row>
    <row r="32" spans="1:56" x14ac:dyDescent="0.25">
      <c r="A32">
        <v>129</v>
      </c>
      <c r="B32" t="s">
        <v>94</v>
      </c>
      <c r="C32" t="s">
        <v>64</v>
      </c>
      <c r="D32">
        <v>2.5894917765500001</v>
      </c>
      <c r="E32" t="s">
        <v>113</v>
      </c>
      <c r="W32">
        <v>134</v>
      </c>
      <c r="X32" t="s">
        <v>98</v>
      </c>
      <c r="Y32" t="s">
        <v>64</v>
      </c>
      <c r="Z32">
        <v>0.24299252372800001</v>
      </c>
      <c r="AA32" t="s">
        <v>121</v>
      </c>
      <c r="AL32">
        <v>136</v>
      </c>
      <c r="AM32" t="s">
        <v>176</v>
      </c>
      <c r="AN32" t="s">
        <v>64</v>
      </c>
      <c r="AO32" s="35">
        <v>7.2810588779500002E-2</v>
      </c>
      <c r="AP32" t="s">
        <v>186</v>
      </c>
    </row>
    <row r="33" spans="1:42" x14ac:dyDescent="0.25">
      <c r="A33">
        <v>131</v>
      </c>
      <c r="B33" t="s">
        <v>95</v>
      </c>
      <c r="C33" t="s">
        <v>64</v>
      </c>
      <c r="D33">
        <v>-1.78374770832</v>
      </c>
      <c r="E33" t="s">
        <v>120</v>
      </c>
      <c r="W33">
        <v>162</v>
      </c>
      <c r="X33" t="s">
        <v>100</v>
      </c>
      <c r="Y33" t="s">
        <v>64</v>
      </c>
      <c r="Z33">
        <v>0.47993312787800002</v>
      </c>
      <c r="AA33" t="s">
        <v>129</v>
      </c>
      <c r="AD33" t="s">
        <v>130</v>
      </c>
      <c r="AL33">
        <v>137</v>
      </c>
      <c r="AM33" t="s">
        <v>177</v>
      </c>
      <c r="AN33" t="s">
        <v>64</v>
      </c>
      <c r="AO33">
        <v>2.1739211388099999</v>
      </c>
      <c r="AP33" t="s">
        <v>189</v>
      </c>
    </row>
    <row r="34" spans="1:42" x14ac:dyDescent="0.25">
      <c r="A34">
        <v>132</v>
      </c>
      <c r="B34" t="s">
        <v>96</v>
      </c>
      <c r="C34" t="s">
        <v>64</v>
      </c>
      <c r="D34">
        <v>0.219607287175</v>
      </c>
      <c r="E34" t="s">
        <v>121</v>
      </c>
      <c r="W34">
        <v>164</v>
      </c>
      <c r="X34" t="s">
        <v>102</v>
      </c>
      <c r="Y34" t="s">
        <v>64</v>
      </c>
      <c r="Z34">
        <v>2.4096342508199999</v>
      </c>
      <c r="AA34" t="s">
        <v>128</v>
      </c>
      <c r="AL34">
        <v>138</v>
      </c>
      <c r="AM34" t="s">
        <v>178</v>
      </c>
      <c r="AN34" t="s">
        <v>64</v>
      </c>
      <c r="AO34">
        <v>0.54895052211899997</v>
      </c>
      <c r="AP34" t="s">
        <v>190</v>
      </c>
    </row>
    <row r="35" spans="1:42" x14ac:dyDescent="0.25">
      <c r="A35">
        <v>133</v>
      </c>
      <c r="B35" t="s">
        <v>97</v>
      </c>
      <c r="C35" t="s">
        <v>64</v>
      </c>
      <c r="D35">
        <v>1.28842096954</v>
      </c>
      <c r="E35" t="s">
        <v>120</v>
      </c>
      <c r="W35">
        <v>168</v>
      </c>
      <c r="X35" t="s">
        <v>103</v>
      </c>
      <c r="Y35" t="s">
        <v>64</v>
      </c>
      <c r="Z35" s="35">
        <v>1.5323914424799999E-4</v>
      </c>
      <c r="AA35" t="s">
        <v>127</v>
      </c>
      <c r="AL35">
        <v>160</v>
      </c>
      <c r="AM35" t="s">
        <v>179</v>
      </c>
      <c r="AN35" t="s">
        <v>64</v>
      </c>
      <c r="AO35">
        <v>0.97577037596600003</v>
      </c>
      <c r="AP35" t="s">
        <v>190</v>
      </c>
    </row>
    <row r="36" spans="1:42" x14ac:dyDescent="0.25">
      <c r="A36">
        <v>134</v>
      </c>
      <c r="B36" t="s">
        <v>98</v>
      </c>
      <c r="C36" t="s">
        <v>64</v>
      </c>
      <c r="D36">
        <v>0.22135756046499999</v>
      </c>
      <c r="E36" t="s">
        <v>121</v>
      </c>
      <c r="W36">
        <v>169</v>
      </c>
      <c r="X36" t="s">
        <v>104</v>
      </c>
      <c r="Y36" t="s">
        <v>64</v>
      </c>
      <c r="Z36">
        <v>7.1710322282799996</v>
      </c>
      <c r="AA36" t="s">
        <v>126</v>
      </c>
      <c r="AL36">
        <v>161</v>
      </c>
      <c r="AM36" t="s">
        <v>99</v>
      </c>
      <c r="AN36" t="s">
        <v>64</v>
      </c>
      <c r="AO36">
        <v>0.73068915349300001</v>
      </c>
      <c r="AP36" t="s">
        <v>129</v>
      </c>
    </row>
    <row r="37" spans="1:42" x14ac:dyDescent="0.25">
      <c r="A37">
        <v>161</v>
      </c>
      <c r="B37" t="s">
        <v>99</v>
      </c>
      <c r="C37" t="s">
        <v>64</v>
      </c>
      <c r="D37">
        <v>1.07764073896</v>
      </c>
      <c r="E37" t="s">
        <v>129</v>
      </c>
      <c r="W37">
        <v>179</v>
      </c>
      <c r="X37" t="s">
        <v>105</v>
      </c>
      <c r="Y37" t="s">
        <v>64</v>
      </c>
      <c r="Z37">
        <v>0.925274561946</v>
      </c>
      <c r="AA37" t="s">
        <v>126</v>
      </c>
      <c r="AE37" t="s">
        <v>128</v>
      </c>
      <c r="AL37">
        <v>162</v>
      </c>
      <c r="AM37" t="s">
        <v>100</v>
      </c>
      <c r="AN37" t="s">
        <v>64</v>
      </c>
      <c r="AO37">
        <v>0.91913294534199996</v>
      </c>
      <c r="AP37" t="s">
        <v>130</v>
      </c>
    </row>
    <row r="38" spans="1:42" x14ac:dyDescent="0.25">
      <c r="A38">
        <v>162</v>
      </c>
      <c r="B38" t="s">
        <v>100</v>
      </c>
      <c r="C38" t="s">
        <v>64</v>
      </c>
      <c r="D38">
        <v>0.88180479210700002</v>
      </c>
      <c r="E38" t="s">
        <v>130</v>
      </c>
      <c r="W38">
        <v>99</v>
      </c>
      <c r="X38" t="s">
        <v>106</v>
      </c>
      <c r="Y38" t="s">
        <v>64</v>
      </c>
      <c r="Z38">
        <v>0.95968590185500002</v>
      </c>
      <c r="AL38">
        <v>163</v>
      </c>
      <c r="AM38" t="s">
        <v>101</v>
      </c>
      <c r="AN38" t="s">
        <v>64</v>
      </c>
      <c r="AO38">
        <v>-0.88337105065300003</v>
      </c>
      <c r="AP38" t="s">
        <v>131</v>
      </c>
    </row>
    <row r="39" spans="1:42" x14ac:dyDescent="0.25">
      <c r="A39">
        <v>163</v>
      </c>
      <c r="B39" t="s">
        <v>101</v>
      </c>
      <c r="C39" t="s">
        <v>64</v>
      </c>
      <c r="D39">
        <v>-1.1532748156899999</v>
      </c>
      <c r="E39" t="s">
        <v>131</v>
      </c>
      <c r="AL39">
        <v>164</v>
      </c>
      <c r="AM39" t="s">
        <v>102</v>
      </c>
      <c r="AN39" t="s">
        <v>64</v>
      </c>
      <c r="AO39">
        <v>2.8689614342600001</v>
      </c>
      <c r="AP39" t="s">
        <v>128</v>
      </c>
    </row>
    <row r="40" spans="1:42" x14ac:dyDescent="0.25">
      <c r="A40">
        <v>164</v>
      </c>
      <c r="B40" t="s">
        <v>102</v>
      </c>
      <c r="C40" t="s">
        <v>64</v>
      </c>
      <c r="D40">
        <v>0.93583173807599995</v>
      </c>
      <c r="E40" t="s">
        <v>128</v>
      </c>
      <c r="AL40">
        <v>165</v>
      </c>
      <c r="AM40" t="s">
        <v>180</v>
      </c>
      <c r="AN40" t="s">
        <v>64</v>
      </c>
      <c r="AO40" s="35">
        <v>8.0969107286800002E-4</v>
      </c>
      <c r="AP40" t="s">
        <v>191</v>
      </c>
    </row>
    <row r="41" spans="1:42" x14ac:dyDescent="0.25">
      <c r="A41">
        <v>168</v>
      </c>
      <c r="B41" t="s">
        <v>103</v>
      </c>
      <c r="C41" t="s">
        <v>64</v>
      </c>
      <c r="D41" s="35">
        <v>1.7653108240300001E-4</v>
      </c>
      <c r="E41" t="s">
        <v>127</v>
      </c>
      <c r="AL41">
        <v>168</v>
      </c>
      <c r="AM41" t="s">
        <v>103</v>
      </c>
      <c r="AN41" t="s">
        <v>64</v>
      </c>
      <c r="AO41" s="35">
        <v>5.6436182079000003E-5</v>
      </c>
      <c r="AP41" t="s">
        <v>127</v>
      </c>
    </row>
    <row r="42" spans="1:42" x14ac:dyDescent="0.25">
      <c r="A42">
        <v>169</v>
      </c>
      <c r="B42" t="s">
        <v>104</v>
      </c>
      <c r="C42" t="s">
        <v>64</v>
      </c>
      <c r="D42">
        <v>0.21170918018000001</v>
      </c>
      <c r="E42" t="s">
        <v>126</v>
      </c>
      <c r="AL42">
        <v>169</v>
      </c>
      <c r="AM42" t="s">
        <v>104</v>
      </c>
      <c r="AN42" t="s">
        <v>64</v>
      </c>
      <c r="AO42">
        <v>1.04301037572</v>
      </c>
      <c r="AP42" t="s">
        <v>126</v>
      </c>
    </row>
    <row r="43" spans="1:42" x14ac:dyDescent="0.25">
      <c r="A43">
        <v>179</v>
      </c>
      <c r="B43" t="s">
        <v>105</v>
      </c>
      <c r="C43" t="s">
        <v>64</v>
      </c>
      <c r="D43">
        <v>0.18728146335900001</v>
      </c>
      <c r="E43" t="s">
        <v>126</v>
      </c>
      <c r="AL43">
        <v>171</v>
      </c>
      <c r="AM43" t="s">
        <v>181</v>
      </c>
      <c r="AN43" t="s">
        <v>64</v>
      </c>
      <c r="AO43">
        <v>1.2382774015</v>
      </c>
      <c r="AP43" t="s">
        <v>189</v>
      </c>
    </row>
    <row r="44" spans="1:42" x14ac:dyDescent="0.25">
      <c r="A44">
        <v>99</v>
      </c>
      <c r="B44" t="s">
        <v>106</v>
      </c>
      <c r="C44" t="s">
        <v>64</v>
      </c>
      <c r="D44">
        <v>1</v>
      </c>
      <c r="AL44">
        <v>172</v>
      </c>
      <c r="AM44" t="s">
        <v>182</v>
      </c>
      <c r="AN44" t="s">
        <v>64</v>
      </c>
      <c r="AO44">
        <v>1.3528226166499999</v>
      </c>
      <c r="AP44" t="s">
        <v>190</v>
      </c>
    </row>
    <row r="45" spans="1:42" x14ac:dyDescent="0.25">
      <c r="AL45">
        <v>175</v>
      </c>
      <c r="AM45" t="s">
        <v>183</v>
      </c>
      <c r="AN45" t="s">
        <v>64</v>
      </c>
      <c r="AO45" s="35">
        <v>8.3440753078999996E-4</v>
      </c>
      <c r="AP45" t="s">
        <v>191</v>
      </c>
    </row>
    <row r="46" spans="1:42" x14ac:dyDescent="0.25">
      <c r="AL46">
        <v>178</v>
      </c>
      <c r="AM46" t="s">
        <v>184</v>
      </c>
      <c r="AN46" t="s">
        <v>64</v>
      </c>
      <c r="AO46" s="35">
        <v>1.08742831019E-5</v>
      </c>
      <c r="AP46" t="s">
        <v>192</v>
      </c>
    </row>
    <row r="47" spans="1:42" x14ac:dyDescent="0.25">
      <c r="AL47">
        <v>99</v>
      </c>
      <c r="AM47" t="s">
        <v>106</v>
      </c>
      <c r="AN47" t="s">
        <v>64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</sheetPr>
  <dimension ref="A1:L123"/>
  <sheetViews>
    <sheetView workbookViewId="0">
      <selection activeCell="B3" sqref="B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269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227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0.46832175925925923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0.98306756366900006</v>
      </c>
      <c r="F11">
        <v>0.125473538597</v>
      </c>
    </row>
    <row r="12" spans="1:11" x14ac:dyDescent="0.25">
      <c r="B12">
        <v>2</v>
      </c>
      <c r="C12" t="s">
        <v>65</v>
      </c>
      <c r="D12" t="s">
        <v>64</v>
      </c>
      <c r="E12">
        <v>0.51430888706199995</v>
      </c>
      <c r="F12" s="35">
        <v>3.6453648191500002E-2</v>
      </c>
    </row>
    <row r="13" spans="1:11" x14ac:dyDescent="0.25">
      <c r="B13">
        <v>10</v>
      </c>
      <c r="C13" t="s">
        <v>151</v>
      </c>
      <c r="D13" t="s">
        <v>64</v>
      </c>
      <c r="E13">
        <v>-3.8200751962199999</v>
      </c>
      <c r="F13">
        <v>0.66233066856800005</v>
      </c>
    </row>
    <row r="14" spans="1:11" x14ac:dyDescent="0.25">
      <c r="B14">
        <v>11</v>
      </c>
      <c r="C14" t="s">
        <v>152</v>
      </c>
      <c r="D14" t="s">
        <v>64</v>
      </c>
      <c r="E14">
        <v>-2.5630624741500001</v>
      </c>
      <c r="F14">
        <v>0.72359141074400002</v>
      </c>
    </row>
    <row r="15" spans="1:11" x14ac:dyDescent="0.25">
      <c r="B15">
        <v>13</v>
      </c>
      <c r="C15" t="s">
        <v>153</v>
      </c>
      <c r="D15" t="s">
        <v>64</v>
      </c>
      <c r="E15">
        <v>-1.1851493333800001</v>
      </c>
      <c r="F15">
        <v>0.37337494340799998</v>
      </c>
    </row>
    <row r="16" spans="1:11" x14ac:dyDescent="0.25">
      <c r="B16">
        <v>20</v>
      </c>
      <c r="C16" t="s">
        <v>69</v>
      </c>
      <c r="D16" t="s">
        <v>64</v>
      </c>
      <c r="E16">
        <v>-3.0715896153100002</v>
      </c>
      <c r="F16">
        <v>0.72739498695600002</v>
      </c>
    </row>
    <row r="17" spans="2:6" x14ac:dyDescent="0.25">
      <c r="B17">
        <v>30</v>
      </c>
      <c r="C17" t="s">
        <v>76</v>
      </c>
      <c r="D17" t="s">
        <v>64</v>
      </c>
      <c r="E17">
        <v>-2.4689708000600001</v>
      </c>
      <c r="F17">
        <v>0.67969898658799999</v>
      </c>
    </row>
    <row r="18" spans="2:6" x14ac:dyDescent="0.25">
      <c r="B18">
        <v>31</v>
      </c>
      <c r="C18" t="s">
        <v>154</v>
      </c>
      <c r="D18" t="s">
        <v>73</v>
      </c>
      <c r="E18">
        <v>0</v>
      </c>
      <c r="F18">
        <v>0</v>
      </c>
    </row>
    <row r="19" spans="2:6" x14ac:dyDescent="0.25">
      <c r="B19">
        <v>32</v>
      </c>
      <c r="C19" t="s">
        <v>155</v>
      </c>
      <c r="D19" t="s">
        <v>64</v>
      </c>
      <c r="E19">
        <v>0.44708751338699998</v>
      </c>
      <c r="F19" s="35">
        <v>0.16001698481000001</v>
      </c>
    </row>
    <row r="20" spans="2:6" x14ac:dyDescent="0.25">
      <c r="B20">
        <v>35</v>
      </c>
      <c r="C20" t="s">
        <v>156</v>
      </c>
      <c r="D20" t="s">
        <v>64</v>
      </c>
      <c r="E20">
        <v>-0.353876441667</v>
      </c>
      <c r="F20" s="35">
        <v>8.4897093652699998E-2</v>
      </c>
    </row>
    <row r="21" spans="2:6" x14ac:dyDescent="0.25">
      <c r="B21">
        <v>38</v>
      </c>
      <c r="C21" t="s">
        <v>157</v>
      </c>
      <c r="D21" t="s">
        <v>64</v>
      </c>
      <c r="E21">
        <v>-2.0693221341900001</v>
      </c>
      <c r="F21">
        <v>0.36550627885499998</v>
      </c>
    </row>
    <row r="22" spans="2:6" x14ac:dyDescent="0.25">
      <c r="B22">
        <v>39</v>
      </c>
      <c r="C22" t="s">
        <v>77</v>
      </c>
      <c r="D22" t="s">
        <v>64</v>
      </c>
      <c r="E22">
        <v>-1.1541206636100001</v>
      </c>
      <c r="F22">
        <v>0.16234260984099999</v>
      </c>
    </row>
    <row r="23" spans="2:6" x14ac:dyDescent="0.25">
      <c r="B23">
        <v>40</v>
      </c>
      <c r="C23" t="s">
        <v>79</v>
      </c>
      <c r="D23" t="s">
        <v>64</v>
      </c>
      <c r="E23">
        <v>-1.9489459630199999</v>
      </c>
      <c r="F23">
        <v>0.67404926510399998</v>
      </c>
    </row>
    <row r="24" spans="2:6" x14ac:dyDescent="0.25">
      <c r="B24">
        <v>41</v>
      </c>
      <c r="C24" t="s">
        <v>80</v>
      </c>
      <c r="D24" t="s">
        <v>64</v>
      </c>
      <c r="E24">
        <v>-3.5522207297700001</v>
      </c>
      <c r="F24">
        <v>0.60852166979699995</v>
      </c>
    </row>
    <row r="25" spans="2:6" x14ac:dyDescent="0.25">
      <c r="B25">
        <v>42</v>
      </c>
      <c r="C25" t="s">
        <v>137</v>
      </c>
      <c r="D25" t="s">
        <v>64</v>
      </c>
      <c r="E25">
        <v>0.41721974571499998</v>
      </c>
      <c r="F25">
        <v>0.194101402162</v>
      </c>
    </row>
    <row r="26" spans="2:6" x14ac:dyDescent="0.25">
      <c r="B26">
        <v>48</v>
      </c>
      <c r="C26" t="s">
        <v>78</v>
      </c>
      <c r="D26" t="s">
        <v>64</v>
      </c>
      <c r="E26">
        <v>-1.9493287002999999</v>
      </c>
      <c r="F26">
        <v>0.33514522941199998</v>
      </c>
    </row>
    <row r="27" spans="2:6" x14ac:dyDescent="0.25">
      <c r="B27">
        <v>50</v>
      </c>
      <c r="C27" t="s">
        <v>84</v>
      </c>
      <c r="D27" t="s">
        <v>64</v>
      </c>
      <c r="E27">
        <v>1.48159853972</v>
      </c>
      <c r="F27">
        <v>0.64311556075099996</v>
      </c>
    </row>
    <row r="28" spans="2:6" x14ac:dyDescent="0.25">
      <c r="B28">
        <v>53</v>
      </c>
      <c r="C28" t="s">
        <v>158</v>
      </c>
      <c r="D28" t="s">
        <v>64</v>
      </c>
      <c r="E28">
        <v>-2.5141990240499998</v>
      </c>
      <c r="F28">
        <v>0.27078973018199998</v>
      </c>
    </row>
    <row r="29" spans="2:6" x14ac:dyDescent="0.25">
      <c r="B29">
        <v>54</v>
      </c>
      <c r="C29" t="s">
        <v>86</v>
      </c>
      <c r="D29" t="s">
        <v>64</v>
      </c>
      <c r="E29">
        <v>0.76160210176200005</v>
      </c>
      <c r="F29">
        <v>0.35985234117499998</v>
      </c>
    </row>
    <row r="30" spans="2:6" x14ac:dyDescent="0.25">
      <c r="B30">
        <v>60</v>
      </c>
      <c r="C30" t="s">
        <v>89</v>
      </c>
      <c r="D30" t="s">
        <v>64</v>
      </c>
      <c r="E30">
        <v>-3.8984872554700001</v>
      </c>
      <c r="F30">
        <v>0.74918801820699998</v>
      </c>
    </row>
    <row r="31" spans="2:6" x14ac:dyDescent="0.25">
      <c r="B31">
        <v>61</v>
      </c>
      <c r="C31" t="s">
        <v>90</v>
      </c>
      <c r="D31" t="s">
        <v>64</v>
      </c>
      <c r="E31">
        <v>1.7828694027100001</v>
      </c>
      <c r="F31">
        <v>0.28202992258199999</v>
      </c>
    </row>
    <row r="32" spans="2:6" x14ac:dyDescent="0.25">
      <c r="B32">
        <v>63</v>
      </c>
      <c r="C32" t="s">
        <v>159</v>
      </c>
      <c r="D32" t="s">
        <v>64</v>
      </c>
      <c r="E32">
        <v>-1.1592853190600001</v>
      </c>
      <c r="F32">
        <v>0.37184639859200003</v>
      </c>
    </row>
    <row r="33" spans="2:6" x14ac:dyDescent="0.25">
      <c r="B33">
        <v>71</v>
      </c>
      <c r="C33" t="s">
        <v>160</v>
      </c>
      <c r="D33" t="s">
        <v>64</v>
      </c>
      <c r="E33">
        <v>0.93477131512</v>
      </c>
      <c r="F33">
        <v>0.25661433948200002</v>
      </c>
    </row>
    <row r="34" spans="2:6" x14ac:dyDescent="0.25">
      <c r="B34">
        <v>124</v>
      </c>
      <c r="C34" t="s">
        <v>161</v>
      </c>
      <c r="D34" t="s">
        <v>64</v>
      </c>
      <c r="E34">
        <v>1.3254575719699999</v>
      </c>
      <c r="F34">
        <v>0.40464440664700002</v>
      </c>
    </row>
    <row r="35" spans="2:6" x14ac:dyDescent="0.25">
      <c r="B35">
        <v>127</v>
      </c>
      <c r="C35" t="s">
        <v>162</v>
      </c>
      <c r="D35" t="s">
        <v>64</v>
      </c>
      <c r="E35" s="35">
        <v>9.2856179122299994E-3</v>
      </c>
      <c r="F35" s="35">
        <v>1.5363030317499999E-3</v>
      </c>
    </row>
    <row r="36" spans="2:6" x14ac:dyDescent="0.25">
      <c r="B36">
        <v>128</v>
      </c>
      <c r="C36" t="s">
        <v>163</v>
      </c>
      <c r="D36" t="s">
        <v>64</v>
      </c>
      <c r="E36" s="35">
        <v>4.4706577237899998E-5</v>
      </c>
      <c r="F36" s="35">
        <v>6.84493236824E-6</v>
      </c>
    </row>
    <row r="37" spans="2:6" x14ac:dyDescent="0.25">
      <c r="B37">
        <v>131</v>
      </c>
      <c r="C37" t="s">
        <v>95</v>
      </c>
      <c r="D37" t="s">
        <v>64</v>
      </c>
      <c r="E37">
        <v>-4.5175524463099999</v>
      </c>
      <c r="F37">
        <v>0.64926463798400003</v>
      </c>
    </row>
    <row r="38" spans="2:6" x14ac:dyDescent="0.25">
      <c r="B38">
        <v>132</v>
      </c>
      <c r="C38" t="s">
        <v>96</v>
      </c>
      <c r="D38" t="s">
        <v>64</v>
      </c>
      <c r="E38" s="35">
        <v>0.19300757939999999</v>
      </c>
      <c r="F38" s="35">
        <v>7.4666823169400001E-2</v>
      </c>
    </row>
    <row r="39" spans="2:6" x14ac:dyDescent="0.25">
      <c r="B39">
        <v>133</v>
      </c>
      <c r="C39" t="s">
        <v>97</v>
      </c>
      <c r="D39" t="s">
        <v>64</v>
      </c>
      <c r="E39">
        <v>5.5028395569699997</v>
      </c>
      <c r="F39">
        <v>0.57644688837799996</v>
      </c>
    </row>
    <row r="40" spans="2:6" x14ac:dyDescent="0.25">
      <c r="B40">
        <v>134</v>
      </c>
      <c r="C40" t="s">
        <v>98</v>
      </c>
      <c r="D40" t="s">
        <v>64</v>
      </c>
      <c r="E40">
        <v>0.423723185512</v>
      </c>
      <c r="F40" s="35">
        <v>8.9627643835499995E-2</v>
      </c>
    </row>
    <row r="41" spans="2:6" x14ac:dyDescent="0.25">
      <c r="B41">
        <v>162</v>
      </c>
      <c r="C41" t="s">
        <v>100</v>
      </c>
      <c r="D41" t="s">
        <v>73</v>
      </c>
      <c r="E41">
        <v>0</v>
      </c>
      <c r="F41">
        <v>0</v>
      </c>
    </row>
    <row r="42" spans="2:6" x14ac:dyDescent="0.25">
      <c r="B42">
        <v>164</v>
      </c>
      <c r="C42" t="s">
        <v>102</v>
      </c>
      <c r="D42" t="s">
        <v>64</v>
      </c>
      <c r="E42">
        <v>1.3361857056099999</v>
      </c>
      <c r="F42">
        <v>0.60670995996099997</v>
      </c>
    </row>
    <row r="43" spans="2:6" x14ac:dyDescent="0.25">
      <c r="B43">
        <v>168</v>
      </c>
      <c r="C43" t="s">
        <v>103</v>
      </c>
      <c r="D43" t="s">
        <v>64</v>
      </c>
      <c r="E43" s="35">
        <v>-6.5359456601400004E-7</v>
      </c>
      <c r="F43" s="35">
        <v>7.8084473408900002E-6</v>
      </c>
    </row>
    <row r="44" spans="2:6" x14ac:dyDescent="0.25">
      <c r="B44">
        <v>169</v>
      </c>
      <c r="C44" t="s">
        <v>104</v>
      </c>
      <c r="D44" t="s">
        <v>64</v>
      </c>
      <c r="E44">
        <v>1.3874495017599999</v>
      </c>
      <c r="F44">
        <v>0.54198850735799997</v>
      </c>
    </row>
    <row r="45" spans="2:6" x14ac:dyDescent="0.25">
      <c r="B45">
        <v>179</v>
      </c>
      <c r="C45" t="s">
        <v>105</v>
      </c>
      <c r="D45" t="s">
        <v>64</v>
      </c>
      <c r="E45">
        <v>1.7360965114</v>
      </c>
      <c r="F45">
        <v>0.40505155627599998</v>
      </c>
    </row>
    <row r="46" spans="2:6" x14ac:dyDescent="0.25">
      <c r="B46">
        <v>201</v>
      </c>
      <c r="C46" t="s">
        <v>246</v>
      </c>
      <c r="D46" t="s">
        <v>73</v>
      </c>
      <c r="E46">
        <v>-0.8</v>
      </c>
      <c r="F46">
        <v>0</v>
      </c>
    </row>
    <row r="47" spans="2:6" x14ac:dyDescent="0.25">
      <c r="B47">
        <v>202</v>
      </c>
      <c r="C47" t="s">
        <v>247</v>
      </c>
      <c r="D47" t="s">
        <v>73</v>
      </c>
      <c r="E47">
        <v>-0.8</v>
      </c>
      <c r="F47">
        <v>0</v>
      </c>
    </row>
    <row r="48" spans="2:6" x14ac:dyDescent="0.25">
      <c r="B48">
        <v>203</v>
      </c>
      <c r="C48" s="35" t="s">
        <v>248</v>
      </c>
      <c r="D48" s="35" t="s">
        <v>73</v>
      </c>
      <c r="E48" s="35">
        <v>0</v>
      </c>
      <c r="F48">
        <v>0</v>
      </c>
    </row>
    <row r="49" spans="2:11" x14ac:dyDescent="0.25">
      <c r="B49">
        <v>204</v>
      </c>
      <c r="C49" t="s">
        <v>249</v>
      </c>
      <c r="D49" t="s">
        <v>73</v>
      </c>
      <c r="E49">
        <v>0</v>
      </c>
      <c r="F49">
        <v>0</v>
      </c>
    </row>
    <row r="50" spans="2:11" x14ac:dyDescent="0.25">
      <c r="B50">
        <v>205</v>
      </c>
      <c r="C50" t="s">
        <v>250</v>
      </c>
      <c r="D50" t="s">
        <v>73</v>
      </c>
      <c r="E50">
        <v>0</v>
      </c>
      <c r="F50">
        <v>0</v>
      </c>
    </row>
    <row r="51" spans="2:11" x14ac:dyDescent="0.25">
      <c r="B51">
        <v>206</v>
      </c>
      <c r="C51" t="s">
        <v>251</v>
      </c>
      <c r="D51" t="s">
        <v>73</v>
      </c>
      <c r="E51">
        <v>0</v>
      </c>
      <c r="F51">
        <v>0</v>
      </c>
    </row>
    <row r="52" spans="2:11" x14ac:dyDescent="0.25">
      <c r="B52">
        <v>207</v>
      </c>
      <c r="C52" t="s">
        <v>252</v>
      </c>
      <c r="D52" t="s">
        <v>73</v>
      </c>
      <c r="E52">
        <v>0</v>
      </c>
      <c r="F52">
        <v>0</v>
      </c>
    </row>
    <row r="53" spans="2:11" x14ac:dyDescent="0.25">
      <c r="B53">
        <v>208</v>
      </c>
      <c r="C53" t="s">
        <v>253</v>
      </c>
      <c r="D53" t="s">
        <v>73</v>
      </c>
      <c r="E53">
        <v>-2</v>
      </c>
      <c r="F53">
        <v>0</v>
      </c>
    </row>
    <row r="54" spans="2:11" x14ac:dyDescent="0.25">
      <c r="B54">
        <v>209</v>
      </c>
      <c r="C54" t="s">
        <v>254</v>
      </c>
      <c r="D54" t="s">
        <v>73</v>
      </c>
      <c r="E54">
        <v>-1</v>
      </c>
      <c r="F54">
        <v>0</v>
      </c>
    </row>
    <row r="55" spans="2:11" x14ac:dyDescent="0.25">
      <c r="B55">
        <v>210</v>
      </c>
      <c r="C55" t="s">
        <v>255</v>
      </c>
      <c r="D55" t="s">
        <v>73</v>
      </c>
      <c r="E55">
        <v>-2</v>
      </c>
      <c r="F55">
        <v>0</v>
      </c>
    </row>
    <row r="56" spans="2:11" x14ac:dyDescent="0.25">
      <c r="B56">
        <v>211</v>
      </c>
      <c r="C56" t="s">
        <v>256</v>
      </c>
      <c r="D56" t="s">
        <v>73</v>
      </c>
      <c r="E56">
        <v>0</v>
      </c>
      <c r="F56">
        <v>0</v>
      </c>
    </row>
    <row r="57" spans="2:11" x14ac:dyDescent="0.25">
      <c r="B57">
        <v>99</v>
      </c>
      <c r="C57" t="s">
        <v>106</v>
      </c>
      <c r="D57" t="s">
        <v>64</v>
      </c>
      <c r="E57">
        <v>0.53642515987899997</v>
      </c>
      <c r="F57" s="35">
        <v>3.9633220910000003E-2</v>
      </c>
    </row>
    <row r="58" spans="2:11" x14ac:dyDescent="0.25">
      <c r="B58">
        <v>-1</v>
      </c>
    </row>
    <row r="59" spans="2:11" x14ac:dyDescent="0.25">
      <c r="B59">
        <v>5421</v>
      </c>
      <c r="C59" s="35">
        <v>-7038.2122773399997</v>
      </c>
      <c r="D59" s="35">
        <v>-9577.4811960099996</v>
      </c>
      <c r="E59" s="35">
        <v>-4910.39365825</v>
      </c>
    </row>
    <row r="60" spans="2:11" x14ac:dyDescent="0.25">
      <c r="B60">
        <v>15</v>
      </c>
      <c r="C60" t="s">
        <v>257</v>
      </c>
      <c r="D60" t="s">
        <v>235</v>
      </c>
      <c r="E60">
        <v>6</v>
      </c>
      <c r="F60" t="s">
        <v>236</v>
      </c>
      <c r="G60">
        <v>17</v>
      </c>
    </row>
    <row r="61" spans="2:11" x14ac:dyDescent="0.25">
      <c r="B61">
        <v>42848</v>
      </c>
      <c r="C61">
        <v>-18163</v>
      </c>
      <c r="D61">
        <v>-31275</v>
      </c>
      <c r="E61">
        <v>3054</v>
      </c>
      <c r="F61">
        <v>6272</v>
      </c>
      <c r="G61">
        <v>-4564</v>
      </c>
      <c r="H61">
        <v>438</v>
      </c>
      <c r="I61">
        <v>1153</v>
      </c>
      <c r="J61">
        <v>-5503</v>
      </c>
      <c r="K61">
        <v>5491</v>
      </c>
    </row>
    <row r="62" spans="2:11" x14ac:dyDescent="0.25">
      <c r="B62">
        <v>-17263</v>
      </c>
      <c r="C62">
        <v>-26021</v>
      </c>
      <c r="D62">
        <v>87948</v>
      </c>
      <c r="E62">
        <v>-1445</v>
      </c>
      <c r="F62">
        <v>-1357</v>
      </c>
      <c r="G62">
        <v>-14800</v>
      </c>
      <c r="H62">
        <v>-27427</v>
      </c>
      <c r="I62">
        <v>86635</v>
      </c>
      <c r="J62">
        <v>-1522</v>
      </c>
      <c r="K62">
        <v>-370</v>
      </c>
    </row>
    <row r="63" spans="2:11" x14ac:dyDescent="0.25">
      <c r="B63">
        <v>76889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15521</v>
      </c>
      <c r="K63">
        <v>19780</v>
      </c>
    </row>
    <row r="64" spans="2:11" x14ac:dyDescent="0.25">
      <c r="B64">
        <v>-8220</v>
      </c>
      <c r="C64">
        <v>1257</v>
      </c>
      <c r="D64">
        <v>-683</v>
      </c>
      <c r="E64">
        <v>-7524</v>
      </c>
      <c r="F64">
        <v>-12107</v>
      </c>
      <c r="G64">
        <v>0</v>
      </c>
      <c r="H64">
        <v>-8337</v>
      </c>
      <c r="I64">
        <v>-26807</v>
      </c>
      <c r="J64">
        <v>12707</v>
      </c>
      <c r="K64">
        <v>-2144</v>
      </c>
    </row>
    <row r="65" spans="2:11" x14ac:dyDescent="0.25">
      <c r="B65">
        <v>-171</v>
      </c>
      <c r="C65">
        <v>10949</v>
      </c>
      <c r="D65">
        <v>-20909</v>
      </c>
      <c r="E65">
        <v>0</v>
      </c>
      <c r="F65">
        <v>-8066</v>
      </c>
      <c r="G65">
        <v>-22037</v>
      </c>
      <c r="H65">
        <v>-29253</v>
      </c>
      <c r="I65">
        <v>9826</v>
      </c>
      <c r="J65">
        <v>-2056</v>
      </c>
      <c r="K65">
        <v>-151</v>
      </c>
    </row>
    <row r="66" spans="2:11" x14ac:dyDescent="0.25">
      <c r="B66">
        <v>9916</v>
      </c>
      <c r="C66">
        <v>-2626</v>
      </c>
      <c r="D66">
        <v>0</v>
      </c>
      <c r="E66">
        <v>2520</v>
      </c>
      <c r="F66">
        <v>13843</v>
      </c>
      <c r="G66">
        <v>-3494</v>
      </c>
      <c r="H66">
        <v>-2313</v>
      </c>
      <c r="I66">
        <v>1163</v>
      </c>
      <c r="J66">
        <v>-110</v>
      </c>
      <c r="K66">
        <v>261</v>
      </c>
    </row>
    <row r="67" spans="2:11" x14ac:dyDescent="0.25">
      <c r="B67">
        <v>1065</v>
      </c>
      <c r="C67">
        <v>-7327</v>
      </c>
      <c r="D67">
        <v>0</v>
      </c>
      <c r="E67">
        <v>7310</v>
      </c>
      <c r="F67">
        <v>1677</v>
      </c>
      <c r="G67">
        <v>16097</v>
      </c>
      <c r="H67">
        <v>-14141</v>
      </c>
      <c r="I67">
        <v>-27101</v>
      </c>
      <c r="J67">
        <v>87188</v>
      </c>
      <c r="K67">
        <v>-1492</v>
      </c>
    </row>
    <row r="68" spans="2:11" x14ac:dyDescent="0.25">
      <c r="B68">
        <v>-333</v>
      </c>
      <c r="C68">
        <v>77378</v>
      </c>
      <c r="D68">
        <v>99139</v>
      </c>
      <c r="E68">
        <v>0</v>
      </c>
      <c r="F68">
        <v>-11109</v>
      </c>
      <c r="G68">
        <v>-21035</v>
      </c>
      <c r="H68">
        <v>-59</v>
      </c>
      <c r="I68">
        <v>-442</v>
      </c>
      <c r="J68">
        <v>-26773</v>
      </c>
      <c r="K68">
        <v>-32589</v>
      </c>
    </row>
    <row r="69" spans="2:11" x14ac:dyDescent="0.25">
      <c r="B69">
        <v>12980</v>
      </c>
      <c r="C69">
        <v>-1120</v>
      </c>
      <c r="D69">
        <v>454</v>
      </c>
      <c r="E69">
        <v>12999</v>
      </c>
      <c r="F69">
        <v>4330</v>
      </c>
      <c r="G69">
        <v>0</v>
      </c>
      <c r="H69">
        <v>-8389</v>
      </c>
      <c r="I69">
        <v>12422</v>
      </c>
      <c r="J69">
        <v>6204</v>
      </c>
      <c r="K69">
        <v>1243</v>
      </c>
    </row>
    <row r="70" spans="2:11" x14ac:dyDescent="0.25">
      <c r="B70">
        <v>4114</v>
      </c>
      <c r="C70">
        <v>8036</v>
      </c>
      <c r="D70">
        <v>14360</v>
      </c>
      <c r="E70">
        <v>-2464</v>
      </c>
      <c r="F70">
        <v>1732</v>
      </c>
      <c r="G70">
        <v>4548</v>
      </c>
      <c r="H70">
        <v>-2849</v>
      </c>
      <c r="I70">
        <v>-17956</v>
      </c>
      <c r="J70">
        <v>0</v>
      </c>
      <c r="K70">
        <v>9299</v>
      </c>
    </row>
    <row r="71" spans="2:11" x14ac:dyDescent="0.25">
      <c r="B71">
        <v>8220</v>
      </c>
      <c r="C71">
        <v>14090</v>
      </c>
      <c r="D71">
        <v>2542</v>
      </c>
      <c r="E71">
        <v>-17640</v>
      </c>
      <c r="F71">
        <v>2360</v>
      </c>
      <c r="G71">
        <v>-21486</v>
      </c>
      <c r="H71">
        <v>-30375</v>
      </c>
      <c r="I71">
        <v>10049</v>
      </c>
      <c r="J71">
        <v>-2148</v>
      </c>
      <c r="K71">
        <v>-218</v>
      </c>
    </row>
    <row r="72" spans="2:11" x14ac:dyDescent="0.25">
      <c r="B72">
        <v>10191</v>
      </c>
      <c r="C72">
        <v>-266</v>
      </c>
      <c r="D72">
        <v>0</v>
      </c>
      <c r="E72">
        <v>1355</v>
      </c>
      <c r="F72">
        <v>14299</v>
      </c>
      <c r="G72">
        <v>74379</v>
      </c>
      <c r="H72">
        <v>3427</v>
      </c>
      <c r="I72">
        <v>-916</v>
      </c>
      <c r="J72">
        <v>5905</v>
      </c>
      <c r="K72">
        <v>14864</v>
      </c>
    </row>
    <row r="73" spans="2:11" x14ac:dyDescent="0.25">
      <c r="B73">
        <v>11269</v>
      </c>
      <c r="C73">
        <v>-1292</v>
      </c>
      <c r="D73">
        <v>84044</v>
      </c>
      <c r="E73">
        <v>294</v>
      </c>
      <c r="F73">
        <v>-97</v>
      </c>
      <c r="G73">
        <v>73373</v>
      </c>
      <c r="H73">
        <v>83338</v>
      </c>
      <c r="I73">
        <v>0</v>
      </c>
      <c r="J73">
        <v>3316</v>
      </c>
      <c r="K73">
        <v>4657</v>
      </c>
    </row>
    <row r="74" spans="2:11" x14ac:dyDescent="0.25">
      <c r="B74">
        <v>-7500</v>
      </c>
      <c r="C74">
        <v>-418</v>
      </c>
      <c r="D74">
        <v>84094</v>
      </c>
      <c r="E74">
        <v>-8567</v>
      </c>
      <c r="F74">
        <v>4589</v>
      </c>
      <c r="G74">
        <v>-7868</v>
      </c>
      <c r="H74">
        <v>-43246</v>
      </c>
      <c r="I74">
        <v>-51936</v>
      </c>
      <c r="J74">
        <v>18693</v>
      </c>
      <c r="K74">
        <v>-2941</v>
      </c>
    </row>
    <row r="75" spans="2:11" x14ac:dyDescent="0.25">
      <c r="B75">
        <v>4542</v>
      </c>
      <c r="C75">
        <v>17835</v>
      </c>
      <c r="D75">
        <v>12136</v>
      </c>
      <c r="E75">
        <v>0</v>
      </c>
      <c r="F75">
        <v>-20428</v>
      </c>
      <c r="G75">
        <v>14648</v>
      </c>
      <c r="H75">
        <v>25477</v>
      </c>
      <c r="I75">
        <v>3335</v>
      </c>
      <c r="J75">
        <v>11991</v>
      </c>
      <c r="K75">
        <v>31351</v>
      </c>
    </row>
    <row r="76" spans="2:11" x14ac:dyDescent="0.25">
      <c r="B76">
        <v>9558</v>
      </c>
      <c r="C76">
        <v>26040</v>
      </c>
      <c r="D76">
        <v>-14865</v>
      </c>
      <c r="E76">
        <v>9942</v>
      </c>
      <c r="F76">
        <v>12830</v>
      </c>
      <c r="G76">
        <v>-5865</v>
      </c>
      <c r="H76">
        <v>1019</v>
      </c>
      <c r="I76">
        <v>327</v>
      </c>
      <c r="J76">
        <v>-5261</v>
      </c>
      <c r="K76">
        <v>-5321</v>
      </c>
    </row>
    <row r="77" spans="2:11" x14ac:dyDescent="0.25">
      <c r="B77">
        <v>0</v>
      </c>
      <c r="C77">
        <v>7257</v>
      </c>
      <c r="D77">
        <v>-5804</v>
      </c>
      <c r="E77">
        <v>-1494</v>
      </c>
      <c r="F77">
        <v>-327</v>
      </c>
      <c r="G77">
        <v>-5254</v>
      </c>
      <c r="H77">
        <v>-5864</v>
      </c>
      <c r="I77">
        <v>7197</v>
      </c>
      <c r="J77">
        <v>-1332</v>
      </c>
      <c r="K77">
        <v>-1568</v>
      </c>
    </row>
    <row r="78" spans="2:11" x14ac:dyDescent="0.25">
      <c r="B78">
        <v>-12743</v>
      </c>
      <c r="C78">
        <v>-25706</v>
      </c>
      <c r="D78">
        <v>-41789</v>
      </c>
      <c r="E78">
        <v>61047</v>
      </c>
      <c r="F78">
        <v>-2860</v>
      </c>
      <c r="G78">
        <v>-448</v>
      </c>
      <c r="H78">
        <v>55601</v>
      </c>
      <c r="I78">
        <v>56423</v>
      </c>
      <c r="J78">
        <v>0</v>
      </c>
      <c r="K78">
        <v>-11513</v>
      </c>
    </row>
    <row r="79" spans="2:11" x14ac:dyDescent="0.25">
      <c r="B79">
        <v>13139</v>
      </c>
      <c r="C79">
        <v>16368</v>
      </c>
      <c r="D79">
        <v>1349</v>
      </c>
      <c r="E79">
        <v>56627</v>
      </c>
      <c r="F79">
        <v>18494</v>
      </c>
      <c r="G79">
        <v>-7778</v>
      </c>
      <c r="H79">
        <v>16971</v>
      </c>
      <c r="I79">
        <v>43522</v>
      </c>
      <c r="J79">
        <v>29568</v>
      </c>
      <c r="K79">
        <v>-7474</v>
      </c>
    </row>
    <row r="80" spans="2:11" x14ac:dyDescent="0.25">
      <c r="B80">
        <v>23194</v>
      </c>
      <c r="C80">
        <v>36921</v>
      </c>
      <c r="D80">
        <v>-2544</v>
      </c>
      <c r="E80">
        <v>2425</v>
      </c>
      <c r="F80">
        <v>387</v>
      </c>
      <c r="G80">
        <v>-2659</v>
      </c>
      <c r="H80">
        <v>223</v>
      </c>
      <c r="I80">
        <v>0</v>
      </c>
      <c r="J80">
        <v>10683</v>
      </c>
      <c r="K80">
        <v>-9296</v>
      </c>
    </row>
    <row r="81" spans="2:11" x14ac:dyDescent="0.25">
      <c r="B81">
        <v>-15493</v>
      </c>
      <c r="C81">
        <v>-1261</v>
      </c>
      <c r="D81">
        <v>459</v>
      </c>
      <c r="E81">
        <v>-18068</v>
      </c>
      <c r="F81">
        <v>8222</v>
      </c>
      <c r="G81">
        <v>-16100</v>
      </c>
      <c r="H81">
        <v>16426</v>
      </c>
      <c r="I81">
        <v>-27298</v>
      </c>
      <c r="J81">
        <v>6189</v>
      </c>
      <c r="K81">
        <v>-35311</v>
      </c>
    </row>
    <row r="82" spans="2:11" x14ac:dyDescent="0.25">
      <c r="B82">
        <v>-6355</v>
      </c>
      <c r="C82">
        <v>-10712</v>
      </c>
      <c r="D82">
        <v>4242</v>
      </c>
      <c r="E82">
        <v>-820</v>
      </c>
      <c r="F82">
        <v>-260</v>
      </c>
      <c r="G82">
        <v>3820</v>
      </c>
      <c r="H82">
        <v>3082</v>
      </c>
      <c r="I82">
        <v>0</v>
      </c>
      <c r="J82">
        <v>-3743</v>
      </c>
      <c r="K82">
        <v>3503</v>
      </c>
    </row>
    <row r="83" spans="2:11" x14ac:dyDescent="0.25">
      <c r="B83">
        <v>4723</v>
      </c>
      <c r="C83">
        <v>411</v>
      </c>
      <c r="D83">
        <v>3049</v>
      </c>
      <c r="E83">
        <v>4828</v>
      </c>
      <c r="F83">
        <v>-3320</v>
      </c>
      <c r="G83">
        <v>4916</v>
      </c>
      <c r="H83">
        <v>-1437</v>
      </c>
      <c r="I83">
        <v>7380</v>
      </c>
      <c r="J83">
        <v>-2139</v>
      </c>
      <c r="K83">
        <v>-2116</v>
      </c>
    </row>
    <row r="84" spans="2:11" x14ac:dyDescent="0.25">
      <c r="B84">
        <v>-5035</v>
      </c>
      <c r="C84">
        <v>10699</v>
      </c>
      <c r="D84">
        <v>20993</v>
      </c>
      <c r="E84">
        <v>15257</v>
      </c>
      <c r="F84">
        <v>1409</v>
      </c>
      <c r="G84">
        <v>345</v>
      </c>
      <c r="H84">
        <v>13478</v>
      </c>
      <c r="I84">
        <v>16448</v>
      </c>
      <c r="J84">
        <v>0</v>
      </c>
      <c r="K84">
        <v>6299</v>
      </c>
    </row>
    <row r="85" spans="2:11" x14ac:dyDescent="0.25">
      <c r="B85">
        <v>-4988</v>
      </c>
      <c r="C85">
        <v>-8844</v>
      </c>
      <c r="D85">
        <v>-584</v>
      </c>
      <c r="E85">
        <v>16707</v>
      </c>
      <c r="F85">
        <v>-10317</v>
      </c>
      <c r="G85">
        <v>5730</v>
      </c>
      <c r="H85">
        <v>-9267</v>
      </c>
      <c r="I85">
        <v>26740</v>
      </c>
      <c r="J85">
        <v>-14860</v>
      </c>
      <c r="K85">
        <v>3814</v>
      </c>
    </row>
    <row r="86" spans="2:11" x14ac:dyDescent="0.25">
      <c r="B86">
        <v>-2577</v>
      </c>
      <c r="C86">
        <v>49833</v>
      </c>
      <c r="D86">
        <v>-2629</v>
      </c>
      <c r="E86">
        <v>5992</v>
      </c>
      <c r="F86">
        <v>2193</v>
      </c>
      <c r="G86">
        <v>-1038</v>
      </c>
      <c r="H86">
        <v>730</v>
      </c>
      <c r="I86">
        <v>3939</v>
      </c>
      <c r="J86">
        <v>-45446</v>
      </c>
      <c r="K86">
        <v>2851</v>
      </c>
    </row>
    <row r="87" spans="2:11" x14ac:dyDescent="0.25">
      <c r="B87">
        <v>0</v>
      </c>
      <c r="C87">
        <v>1772</v>
      </c>
      <c r="D87">
        <v>-1556</v>
      </c>
      <c r="E87">
        <v>-5054</v>
      </c>
      <c r="F87">
        <v>-130</v>
      </c>
      <c r="G87">
        <v>2930</v>
      </c>
      <c r="H87">
        <v>-5006</v>
      </c>
      <c r="I87">
        <v>4371</v>
      </c>
      <c r="J87">
        <v>-5356</v>
      </c>
      <c r="K87">
        <v>8112</v>
      </c>
    </row>
    <row r="88" spans="2:11" x14ac:dyDescent="0.25">
      <c r="B88">
        <v>-5454</v>
      </c>
      <c r="C88">
        <v>1271</v>
      </c>
      <c r="D88">
        <v>-3897</v>
      </c>
      <c r="E88">
        <v>4190</v>
      </c>
      <c r="F88">
        <v>-1059</v>
      </c>
      <c r="G88">
        <v>2953</v>
      </c>
      <c r="H88">
        <v>17688</v>
      </c>
      <c r="I88">
        <v>34017</v>
      </c>
      <c r="J88">
        <v>-25342</v>
      </c>
      <c r="K88">
        <v>2216</v>
      </c>
    </row>
    <row r="89" spans="2:11" x14ac:dyDescent="0.25">
      <c r="B89">
        <v>-45</v>
      </c>
      <c r="C89">
        <v>-24783</v>
      </c>
      <c r="D89">
        <v>-5218</v>
      </c>
      <c r="E89">
        <v>0</v>
      </c>
      <c r="F89">
        <v>11275</v>
      </c>
      <c r="G89">
        <v>-10471</v>
      </c>
      <c r="H89">
        <v>-17845</v>
      </c>
      <c r="I89">
        <v>-1209</v>
      </c>
      <c r="J89">
        <v>-5095</v>
      </c>
      <c r="K89">
        <v>-22770</v>
      </c>
    </row>
    <row r="90" spans="2:11" x14ac:dyDescent="0.25">
      <c r="B90">
        <v>10637</v>
      </c>
      <c r="C90">
        <v>-18755</v>
      </c>
      <c r="D90">
        <v>12491</v>
      </c>
      <c r="E90">
        <v>-29437</v>
      </c>
      <c r="F90">
        <v>5717</v>
      </c>
      <c r="G90">
        <v>-20244</v>
      </c>
      <c r="H90">
        <v>20112</v>
      </c>
      <c r="I90">
        <v>-7232</v>
      </c>
      <c r="J90">
        <v>11534</v>
      </c>
      <c r="K90">
        <v>6931</v>
      </c>
    </row>
    <row r="91" spans="2:11" x14ac:dyDescent="0.25">
      <c r="B91">
        <v>1814</v>
      </c>
      <c r="C91">
        <v>34239</v>
      </c>
      <c r="D91">
        <v>-9495</v>
      </c>
      <c r="E91">
        <v>2781</v>
      </c>
      <c r="F91">
        <v>404</v>
      </c>
      <c r="G91">
        <v>-11136</v>
      </c>
      <c r="H91">
        <v>-3868</v>
      </c>
      <c r="I91">
        <v>0</v>
      </c>
      <c r="J91">
        <v>11763</v>
      </c>
      <c r="K91">
        <v>-10601</v>
      </c>
    </row>
    <row r="92" spans="2:11" x14ac:dyDescent="0.25">
      <c r="B92">
        <v>-18525</v>
      </c>
      <c r="C92">
        <v>-782</v>
      </c>
      <c r="D92">
        <v>-3865</v>
      </c>
      <c r="E92">
        <v>-23052</v>
      </c>
      <c r="F92">
        <v>8734</v>
      </c>
      <c r="G92">
        <v>-19833</v>
      </c>
      <c r="H92">
        <v>14445</v>
      </c>
      <c r="I92">
        <v>-33641</v>
      </c>
      <c r="J92">
        <v>3585</v>
      </c>
      <c r="K92">
        <v>-20061</v>
      </c>
    </row>
    <row r="93" spans="2:11" x14ac:dyDescent="0.25">
      <c r="B93">
        <v>20598</v>
      </c>
      <c r="C93">
        <v>-5586</v>
      </c>
      <c r="D93">
        <v>15084</v>
      </c>
      <c r="E93">
        <v>9529</v>
      </c>
      <c r="F93">
        <v>-1745</v>
      </c>
      <c r="G93">
        <v>-35128</v>
      </c>
      <c r="H93">
        <v>-40445</v>
      </c>
      <c r="I93">
        <v>14083</v>
      </c>
      <c r="J93">
        <v>-2962</v>
      </c>
      <c r="K93">
        <v>-345</v>
      </c>
    </row>
    <row r="94" spans="2:11" x14ac:dyDescent="0.25">
      <c r="B94">
        <v>13295</v>
      </c>
      <c r="C94">
        <v>7532</v>
      </c>
      <c r="D94">
        <v>0</v>
      </c>
      <c r="E94">
        <v>-8775</v>
      </c>
      <c r="F94">
        <v>15880</v>
      </c>
      <c r="G94">
        <v>19608</v>
      </c>
      <c r="H94">
        <v>1539</v>
      </c>
      <c r="I94">
        <v>7269</v>
      </c>
      <c r="J94">
        <v>22055</v>
      </c>
      <c r="K94">
        <v>-7749</v>
      </c>
    </row>
    <row r="95" spans="2:11" x14ac:dyDescent="0.25">
      <c r="B95">
        <v>20317</v>
      </c>
      <c r="C95">
        <v>-11414</v>
      </c>
      <c r="D95">
        <v>37891</v>
      </c>
      <c r="E95">
        <v>-9422</v>
      </c>
      <c r="F95">
        <v>22999</v>
      </c>
      <c r="G95">
        <v>-21334</v>
      </c>
      <c r="H95">
        <v>5683</v>
      </c>
      <c r="I95">
        <v>-11511</v>
      </c>
      <c r="J95">
        <v>-5289</v>
      </c>
      <c r="K95">
        <v>-23244</v>
      </c>
    </row>
    <row r="96" spans="2:11" x14ac:dyDescent="0.25">
      <c r="B96">
        <v>-23013</v>
      </c>
      <c r="C96">
        <v>16302</v>
      </c>
      <c r="D96">
        <v>14201</v>
      </c>
      <c r="E96">
        <v>-3255</v>
      </c>
      <c r="F96">
        <v>1121</v>
      </c>
      <c r="G96">
        <v>576</v>
      </c>
      <c r="H96">
        <v>-4034</v>
      </c>
      <c r="I96">
        <v>-7344</v>
      </c>
      <c r="J96">
        <v>0</v>
      </c>
      <c r="K96">
        <v>4146</v>
      </c>
    </row>
    <row r="97" spans="2:11" x14ac:dyDescent="0.25">
      <c r="B97">
        <v>-2011</v>
      </c>
      <c r="C97">
        <v>-7920</v>
      </c>
      <c r="D97">
        <v>-932</v>
      </c>
      <c r="E97">
        <v>-7281</v>
      </c>
      <c r="F97">
        <v>-11140</v>
      </c>
      <c r="G97">
        <v>1893</v>
      </c>
      <c r="H97">
        <v>-8069</v>
      </c>
      <c r="I97">
        <v>-2252</v>
      </c>
      <c r="J97">
        <v>-13145</v>
      </c>
      <c r="K97">
        <v>1693</v>
      </c>
    </row>
    <row r="98" spans="2:11" x14ac:dyDescent="0.25">
      <c r="B98">
        <v>-8651</v>
      </c>
      <c r="C98">
        <v>6528</v>
      </c>
      <c r="D98">
        <v>-1391</v>
      </c>
      <c r="E98">
        <v>2784</v>
      </c>
      <c r="F98">
        <v>4124</v>
      </c>
      <c r="G98">
        <v>9884</v>
      </c>
      <c r="H98">
        <v>8412</v>
      </c>
      <c r="I98">
        <v>-16186</v>
      </c>
      <c r="J98">
        <v>37719</v>
      </c>
      <c r="K98">
        <v>54827</v>
      </c>
    </row>
    <row r="99" spans="2:11" x14ac:dyDescent="0.25">
      <c r="B99">
        <v>-16445</v>
      </c>
      <c r="C99">
        <v>3861</v>
      </c>
      <c r="D99">
        <v>172</v>
      </c>
      <c r="E99">
        <v>-16937</v>
      </c>
      <c r="F99">
        <v>-16022</v>
      </c>
      <c r="G99">
        <v>0</v>
      </c>
      <c r="H99">
        <v>13535</v>
      </c>
      <c r="I99">
        <v>-12247</v>
      </c>
      <c r="J99">
        <v>-26683</v>
      </c>
      <c r="K99">
        <v>-768</v>
      </c>
    </row>
    <row r="100" spans="2:11" x14ac:dyDescent="0.25">
      <c r="B100">
        <v>-15638</v>
      </c>
      <c r="C100">
        <v>-27123</v>
      </c>
      <c r="D100">
        <v>16456</v>
      </c>
      <c r="E100">
        <v>-28071</v>
      </c>
      <c r="F100">
        <v>14797</v>
      </c>
      <c r="G100">
        <v>-47371</v>
      </c>
      <c r="H100">
        <v>9662</v>
      </c>
      <c r="I100">
        <v>-30566</v>
      </c>
      <c r="J100">
        <v>28956</v>
      </c>
      <c r="K100">
        <v>-9582</v>
      </c>
    </row>
    <row r="101" spans="2:11" x14ac:dyDescent="0.25">
      <c r="B101">
        <v>17310</v>
      </c>
      <c r="C101">
        <v>9928</v>
      </c>
      <c r="D101">
        <v>34016</v>
      </c>
      <c r="E101">
        <v>37572</v>
      </c>
      <c r="F101">
        <v>-2603</v>
      </c>
      <c r="G101">
        <v>8849</v>
      </c>
      <c r="H101">
        <v>23527</v>
      </c>
      <c r="I101">
        <v>26288</v>
      </c>
      <c r="J101">
        <v>-7701</v>
      </c>
      <c r="K101">
        <v>1957</v>
      </c>
    </row>
    <row r="102" spans="2:11" x14ac:dyDescent="0.25">
      <c r="B102">
        <v>683</v>
      </c>
      <c r="C102">
        <v>-8281</v>
      </c>
      <c r="D102">
        <v>-14684</v>
      </c>
      <c r="E102">
        <v>0</v>
      </c>
      <c r="F102">
        <v>11076</v>
      </c>
      <c r="G102">
        <v>-6627</v>
      </c>
      <c r="H102">
        <v>-19901</v>
      </c>
      <c r="I102">
        <v>-2539</v>
      </c>
      <c r="J102">
        <v>-14740</v>
      </c>
      <c r="K102">
        <v>-16210</v>
      </c>
    </row>
    <row r="103" spans="2:11" x14ac:dyDescent="0.25">
      <c r="B103">
        <v>6165</v>
      </c>
      <c r="C103">
        <v>-20630</v>
      </c>
      <c r="D103">
        <v>3862</v>
      </c>
      <c r="E103">
        <v>-23550</v>
      </c>
      <c r="F103">
        <v>5336</v>
      </c>
      <c r="G103">
        <v>-15412</v>
      </c>
      <c r="H103">
        <v>12946</v>
      </c>
      <c r="I103">
        <v>-3681</v>
      </c>
      <c r="J103">
        <v>6573</v>
      </c>
      <c r="K103">
        <v>5745</v>
      </c>
    </row>
    <row r="104" spans="2:11" x14ac:dyDescent="0.25">
      <c r="B104">
        <v>17130</v>
      </c>
      <c r="C104">
        <v>16501</v>
      </c>
      <c r="D104">
        <v>-20976</v>
      </c>
      <c r="E104">
        <v>62229</v>
      </c>
      <c r="F104">
        <v>17921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11524</v>
      </c>
      <c r="H107">
        <v>18403</v>
      </c>
      <c r="I107">
        <v>13501</v>
      </c>
      <c r="J107">
        <v>1953</v>
      </c>
      <c r="K107">
        <v>853</v>
      </c>
    </row>
    <row r="108" spans="2:11" x14ac:dyDescent="0.25">
      <c r="B108">
        <v>10626</v>
      </c>
      <c r="C108">
        <v>14483</v>
      </c>
      <c r="D108">
        <v>0</v>
      </c>
      <c r="E108">
        <v>5501</v>
      </c>
      <c r="F108">
        <v>-5513</v>
      </c>
      <c r="G108">
        <v>-9857</v>
      </c>
      <c r="H108">
        <v>-361</v>
      </c>
      <c r="I108">
        <v>14750</v>
      </c>
      <c r="J108">
        <v>-9473</v>
      </c>
      <c r="K108">
        <v>7884</v>
      </c>
    </row>
    <row r="109" spans="2:11" x14ac:dyDescent="0.25">
      <c r="B109">
        <v>-10397</v>
      </c>
      <c r="C109">
        <v>26487</v>
      </c>
      <c r="D109">
        <v>-15970</v>
      </c>
      <c r="E109">
        <v>3686</v>
      </c>
      <c r="F109">
        <v>-43442</v>
      </c>
      <c r="G109">
        <v>16151</v>
      </c>
      <c r="H109">
        <v>794</v>
      </c>
      <c r="I109">
        <v>10730</v>
      </c>
      <c r="J109">
        <v>6615</v>
      </c>
      <c r="K109">
        <v>14583</v>
      </c>
    </row>
    <row r="110" spans="2:11" x14ac:dyDescent="0.25">
      <c r="B110">
        <v>15697</v>
      </c>
      <c r="C110">
        <v>-13847</v>
      </c>
      <c r="D110">
        <v>6653</v>
      </c>
      <c r="E110">
        <v>20697</v>
      </c>
      <c r="F110">
        <v>10754</v>
      </c>
      <c r="G110">
        <v>0</v>
      </c>
      <c r="H110">
        <v>-15193</v>
      </c>
      <c r="I110">
        <v>-1466</v>
      </c>
      <c r="J110">
        <v>767</v>
      </c>
      <c r="K110">
        <v>-78</v>
      </c>
    </row>
    <row r="111" spans="2:11" x14ac:dyDescent="0.25">
      <c r="B111">
        <v>44</v>
      </c>
      <c r="C111">
        <v>-177</v>
      </c>
      <c r="D111">
        <v>2377</v>
      </c>
      <c r="E111">
        <v>0</v>
      </c>
      <c r="F111">
        <v>-380</v>
      </c>
      <c r="G111">
        <v>-433</v>
      </c>
      <c r="H111">
        <v>144</v>
      </c>
      <c r="I111">
        <v>512</v>
      </c>
      <c r="J111">
        <v>2280</v>
      </c>
      <c r="K111">
        <v>-1556</v>
      </c>
    </row>
    <row r="112" spans="2:11" x14ac:dyDescent="0.25">
      <c r="B112">
        <v>83</v>
      </c>
      <c r="C112">
        <v>-228</v>
      </c>
      <c r="D112">
        <v>1898</v>
      </c>
      <c r="E112">
        <v>-131</v>
      </c>
      <c r="F112">
        <v>-2093</v>
      </c>
      <c r="G112">
        <v>2724</v>
      </c>
      <c r="H112">
        <v>-5943</v>
      </c>
      <c r="I112">
        <v>4376</v>
      </c>
      <c r="J112">
        <v>4259</v>
      </c>
      <c r="K112">
        <v>2088</v>
      </c>
    </row>
    <row r="113" spans="2:11" x14ac:dyDescent="0.25">
      <c r="B113">
        <v>1342</v>
      </c>
      <c r="C113">
        <v>20337</v>
      </c>
      <c r="D113">
        <v>1435</v>
      </c>
      <c r="E113">
        <v>-638</v>
      </c>
      <c r="F113">
        <v>1665</v>
      </c>
      <c r="G113">
        <v>-334</v>
      </c>
      <c r="H113">
        <v>0</v>
      </c>
      <c r="I113">
        <v>-12490</v>
      </c>
      <c r="J113">
        <v>9639</v>
      </c>
      <c r="K113">
        <v>19669</v>
      </c>
    </row>
    <row r="114" spans="2:11" x14ac:dyDescent="0.25">
      <c r="B114">
        <v>15186</v>
      </c>
      <c r="C114">
        <v>1596</v>
      </c>
      <c r="D114">
        <v>530</v>
      </c>
      <c r="E114">
        <v>12645</v>
      </c>
      <c r="F114">
        <v>16939</v>
      </c>
      <c r="G114">
        <v>0</v>
      </c>
      <c r="H114">
        <v>5852</v>
      </c>
      <c r="I114">
        <v>-5548</v>
      </c>
      <c r="J114">
        <v>-10264</v>
      </c>
      <c r="K114">
        <v>-514</v>
      </c>
    </row>
    <row r="115" spans="2:11" x14ac:dyDescent="0.25">
      <c r="B115">
        <v>17193</v>
      </c>
      <c r="C115">
        <v>-10983</v>
      </c>
      <c r="D115">
        <v>7110</v>
      </c>
      <c r="E115">
        <v>-10840</v>
      </c>
      <c r="F115">
        <v>28629</v>
      </c>
      <c r="G115">
        <v>-16338</v>
      </c>
      <c r="H115">
        <v>3079</v>
      </c>
      <c r="I115">
        <v>-37424</v>
      </c>
      <c r="J115">
        <v>18527</v>
      </c>
      <c r="K115">
        <v>-2903</v>
      </c>
    </row>
    <row r="116" spans="2:11" x14ac:dyDescent="0.25">
      <c r="B116">
        <v>8299</v>
      </c>
      <c r="C116">
        <v>5079</v>
      </c>
      <c r="D116">
        <v>17585</v>
      </c>
      <c r="E116">
        <v>15608</v>
      </c>
      <c r="F116">
        <v>-13627</v>
      </c>
      <c r="G116">
        <v>7598</v>
      </c>
      <c r="H116">
        <v>19933</v>
      </c>
      <c r="I116">
        <v>11291</v>
      </c>
      <c r="J116">
        <v>0</v>
      </c>
      <c r="K116">
        <v>3093</v>
      </c>
    </row>
    <row r="117" spans="2:11" x14ac:dyDescent="0.25">
      <c r="B117">
        <v>-6325</v>
      </c>
      <c r="C117">
        <v>4073</v>
      </c>
      <c r="D117">
        <v>18037</v>
      </c>
      <c r="E117">
        <v>77107</v>
      </c>
      <c r="F117">
        <v>1766</v>
      </c>
      <c r="G117">
        <v>810</v>
      </c>
      <c r="H117">
        <v>68689</v>
      </c>
      <c r="I117">
        <v>76594</v>
      </c>
      <c r="J117">
        <v>0</v>
      </c>
      <c r="K117">
        <v>4104</v>
      </c>
    </row>
    <row r="118" spans="2:11" x14ac:dyDescent="0.25">
      <c r="B118">
        <v>-4137</v>
      </c>
      <c r="C118">
        <v>-9279</v>
      </c>
      <c r="D118">
        <v>-136</v>
      </c>
      <c r="E118">
        <v>77325</v>
      </c>
      <c r="F118">
        <v>-9318</v>
      </c>
      <c r="G118">
        <v>8121</v>
      </c>
      <c r="H118">
        <v>-9953</v>
      </c>
      <c r="I118">
        <v>91381</v>
      </c>
      <c r="J118">
        <v>-14049</v>
      </c>
      <c r="K118">
        <v>1644</v>
      </c>
    </row>
    <row r="119" spans="2:11" x14ac:dyDescent="0.25">
      <c r="B119">
        <v>37020</v>
      </c>
      <c r="C119">
        <v>12388</v>
      </c>
      <c r="D119">
        <v>-3066</v>
      </c>
      <c r="E119">
        <v>11060</v>
      </c>
      <c r="F119">
        <v>6085</v>
      </c>
      <c r="G119">
        <v>16587</v>
      </c>
      <c r="H119">
        <v>19703</v>
      </c>
      <c r="I119">
        <v>-12081</v>
      </c>
      <c r="J119">
        <v>6840</v>
      </c>
      <c r="K119">
        <v>19883</v>
      </c>
    </row>
    <row r="120" spans="2:11" x14ac:dyDescent="0.25">
      <c r="B120">
        <v>10342</v>
      </c>
      <c r="C120">
        <v>0</v>
      </c>
      <c r="D120">
        <v>30389</v>
      </c>
      <c r="E120">
        <v>4468</v>
      </c>
      <c r="F120">
        <v>32919</v>
      </c>
      <c r="G120">
        <v>-58701</v>
      </c>
      <c r="H120">
        <v>-77567</v>
      </c>
      <c r="I120">
        <v>24941</v>
      </c>
      <c r="J120">
        <v>-5599</v>
      </c>
      <c r="K120">
        <v>-713</v>
      </c>
    </row>
    <row r="121" spans="2:11" x14ac:dyDescent="0.25">
      <c r="B121">
        <v>24748</v>
      </c>
      <c r="C121">
        <v>18110</v>
      </c>
      <c r="D121">
        <v>0</v>
      </c>
      <c r="E121">
        <v>-25222</v>
      </c>
      <c r="F121">
        <v>20479</v>
      </c>
      <c r="G121">
        <v>37484</v>
      </c>
      <c r="H121">
        <v>3136</v>
      </c>
      <c r="I121">
        <v>17724</v>
      </c>
      <c r="J121">
        <v>42166</v>
      </c>
      <c r="K121">
        <v>-18621</v>
      </c>
    </row>
    <row r="122" spans="2:11" x14ac:dyDescent="0.25">
      <c r="B122">
        <v>38872</v>
      </c>
      <c r="C122">
        <v>-20831</v>
      </c>
      <c r="D122">
        <v>67166</v>
      </c>
      <c r="E122">
        <v>-14050</v>
      </c>
      <c r="F122">
        <v>43735</v>
      </c>
      <c r="G122">
        <v>-41111</v>
      </c>
      <c r="H122">
        <v>12545</v>
      </c>
      <c r="I122">
        <v>-23628</v>
      </c>
      <c r="J122">
        <v>-12609</v>
      </c>
      <c r="K122">
        <v>-46837</v>
      </c>
    </row>
    <row r="123" spans="2:11" x14ac:dyDescent="0.25">
      <c r="B123">
        <v>-49497</v>
      </c>
      <c r="C123">
        <v>50734</v>
      </c>
      <c r="D123">
        <v>-19668</v>
      </c>
      <c r="E123">
        <v>-71781</v>
      </c>
      <c r="F123">
        <v>-34765</v>
      </c>
      <c r="G123">
        <v>0</v>
      </c>
      <c r="H123">
        <v>-28190</v>
      </c>
      <c r="I123">
        <v>-288</v>
      </c>
      <c r="J123">
        <v>-27425</v>
      </c>
      <c r="K123">
        <v>-26001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</sheetPr>
  <dimension ref="A1:L142"/>
  <sheetViews>
    <sheetView workbookViewId="0">
      <selection activeCell="B3" sqref="B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268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7" spans="1:11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</row>
    <row r="8" spans="1:11" x14ac:dyDescent="0.25">
      <c r="A8" t="s">
        <v>238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0.47909722222222223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 s="35">
        <v>1.6366214970499999</v>
      </c>
      <c r="F11">
        <v>0.19501361520499999</v>
      </c>
    </row>
    <row r="12" spans="1:11" x14ac:dyDescent="0.25">
      <c r="B12">
        <v>2</v>
      </c>
      <c r="C12" t="s">
        <v>65</v>
      </c>
      <c r="D12" t="s">
        <v>64</v>
      </c>
      <c r="E12">
        <v>0.91289459530399997</v>
      </c>
      <c r="F12" s="35">
        <v>8.35249730602E-2</v>
      </c>
    </row>
    <row r="13" spans="1:11" x14ac:dyDescent="0.25">
      <c r="B13">
        <v>10</v>
      </c>
      <c r="C13" t="s">
        <v>66</v>
      </c>
      <c r="D13" t="s">
        <v>64</v>
      </c>
      <c r="E13">
        <v>-0.38914266604300002</v>
      </c>
      <c r="F13">
        <v>0.34431279040599999</v>
      </c>
    </row>
    <row r="14" spans="1:11" x14ac:dyDescent="0.25">
      <c r="B14">
        <v>17</v>
      </c>
      <c r="C14" t="s">
        <v>67</v>
      </c>
      <c r="D14" t="s">
        <v>73</v>
      </c>
      <c r="E14">
        <v>-5.7474999999999996</v>
      </c>
      <c r="F14">
        <v>0</v>
      </c>
    </row>
    <row r="15" spans="1:11" x14ac:dyDescent="0.25">
      <c r="B15">
        <v>18</v>
      </c>
      <c r="C15" t="s">
        <v>68</v>
      </c>
      <c r="D15" t="s">
        <v>64</v>
      </c>
      <c r="E15">
        <v>-5.2693623948299999</v>
      </c>
      <c r="F15">
        <v>0.68354835491400001</v>
      </c>
    </row>
    <row r="16" spans="1:11" x14ac:dyDescent="0.25">
      <c r="B16">
        <v>20</v>
      </c>
      <c r="C16" t="s">
        <v>69</v>
      </c>
      <c r="D16" t="s">
        <v>64</v>
      </c>
      <c r="E16">
        <v>-4.2802421756499998</v>
      </c>
      <c r="F16">
        <v>0.93323297654000004</v>
      </c>
    </row>
    <row r="17" spans="2:6" x14ac:dyDescent="0.25">
      <c r="B17">
        <v>21</v>
      </c>
      <c r="C17" t="s">
        <v>70</v>
      </c>
      <c r="D17" t="s">
        <v>64</v>
      </c>
      <c r="E17" s="35">
        <v>-5.0045350575299997E-2</v>
      </c>
      <c r="F17">
        <v>0.17611836478599999</v>
      </c>
    </row>
    <row r="18" spans="2:6" x14ac:dyDescent="0.25">
      <c r="B18">
        <v>22</v>
      </c>
      <c r="C18" t="s">
        <v>71</v>
      </c>
      <c r="D18" t="s">
        <v>64</v>
      </c>
      <c r="E18" s="35">
        <v>-5.0746490196100003E-2</v>
      </c>
      <c r="F18">
        <v>0.30093288138099999</v>
      </c>
    </row>
    <row r="19" spans="2:6" x14ac:dyDescent="0.25">
      <c r="B19">
        <v>27</v>
      </c>
      <c r="C19" t="s">
        <v>72</v>
      </c>
      <c r="D19" t="s">
        <v>73</v>
      </c>
      <c r="E19">
        <v>-5</v>
      </c>
      <c r="F19">
        <v>0</v>
      </c>
    </row>
    <row r="20" spans="2:6" x14ac:dyDescent="0.25">
      <c r="B20">
        <v>28</v>
      </c>
      <c r="C20" t="s">
        <v>74</v>
      </c>
      <c r="D20" t="s">
        <v>64</v>
      </c>
      <c r="E20">
        <v>5.2955199731100002</v>
      </c>
      <c r="F20">
        <v>0.93271155108000003</v>
      </c>
    </row>
    <row r="21" spans="2:6" x14ac:dyDescent="0.25">
      <c r="B21">
        <v>29</v>
      </c>
      <c r="C21" t="s">
        <v>75</v>
      </c>
      <c r="D21" t="s">
        <v>64</v>
      </c>
      <c r="E21">
        <v>3.2469681077099999</v>
      </c>
      <c r="F21">
        <v>0.84554667239000003</v>
      </c>
    </row>
    <row r="22" spans="2:6" x14ac:dyDescent="0.25">
      <c r="B22">
        <v>30</v>
      </c>
      <c r="C22" t="s">
        <v>76</v>
      </c>
      <c r="D22" t="s">
        <v>64</v>
      </c>
      <c r="E22">
        <v>-0.48513089974599999</v>
      </c>
      <c r="F22">
        <v>0.34398669711899998</v>
      </c>
    </row>
    <row r="23" spans="2:6" x14ac:dyDescent="0.25">
      <c r="B23">
        <v>37</v>
      </c>
      <c r="C23" t="s">
        <v>77</v>
      </c>
      <c r="D23" t="s">
        <v>64</v>
      </c>
      <c r="E23">
        <v>-2.1066630984999999</v>
      </c>
      <c r="F23">
        <v>0.316662478729</v>
      </c>
    </row>
    <row r="24" spans="2:6" x14ac:dyDescent="0.25">
      <c r="B24">
        <v>38</v>
      </c>
      <c r="C24" t="s">
        <v>78</v>
      </c>
      <c r="D24" t="s">
        <v>64</v>
      </c>
      <c r="E24">
        <v>-1.0239845561200001</v>
      </c>
      <c r="F24">
        <v>0.333698615945</v>
      </c>
    </row>
    <row r="25" spans="2:6" x14ac:dyDescent="0.25">
      <c r="B25">
        <v>40</v>
      </c>
      <c r="C25" t="s">
        <v>79</v>
      </c>
      <c r="D25" t="s">
        <v>64</v>
      </c>
      <c r="E25">
        <v>-0.93652639794899994</v>
      </c>
      <c r="F25">
        <v>0.34599367384800001</v>
      </c>
    </row>
    <row r="26" spans="2:6" x14ac:dyDescent="0.25">
      <c r="B26">
        <v>41</v>
      </c>
      <c r="C26" t="s">
        <v>80</v>
      </c>
      <c r="D26" t="s">
        <v>64</v>
      </c>
      <c r="E26">
        <v>-1.3307406132499999</v>
      </c>
      <c r="F26">
        <v>0.33748375614499998</v>
      </c>
    </row>
    <row r="27" spans="2:6" x14ac:dyDescent="0.25">
      <c r="B27">
        <v>44</v>
      </c>
      <c r="C27" t="s">
        <v>81</v>
      </c>
      <c r="D27" t="s">
        <v>64</v>
      </c>
      <c r="E27">
        <v>0.22708982679199999</v>
      </c>
      <c r="F27">
        <v>0.29066758908599999</v>
      </c>
    </row>
    <row r="28" spans="2:6" x14ac:dyDescent="0.25">
      <c r="B28">
        <v>45</v>
      </c>
      <c r="C28" t="s">
        <v>82</v>
      </c>
      <c r="D28" t="s">
        <v>64</v>
      </c>
      <c r="E28">
        <v>-0.52505228928900005</v>
      </c>
      <c r="F28">
        <v>0.27106838531499999</v>
      </c>
    </row>
    <row r="29" spans="2:6" x14ac:dyDescent="0.25">
      <c r="B29">
        <v>47</v>
      </c>
      <c r="C29" t="s">
        <v>83</v>
      </c>
      <c r="D29" t="s">
        <v>64</v>
      </c>
      <c r="E29">
        <v>1.5640234951300001</v>
      </c>
      <c r="F29">
        <v>0.53692477379299997</v>
      </c>
    </row>
    <row r="30" spans="2:6" x14ac:dyDescent="0.25">
      <c r="B30">
        <v>50</v>
      </c>
      <c r="C30" t="s">
        <v>84</v>
      </c>
      <c r="D30" t="s">
        <v>64</v>
      </c>
      <c r="E30">
        <v>2.16938021038</v>
      </c>
      <c r="F30">
        <v>0.50214802606200004</v>
      </c>
    </row>
    <row r="31" spans="2:6" x14ac:dyDescent="0.25">
      <c r="B31">
        <v>52</v>
      </c>
      <c r="C31" t="s">
        <v>85</v>
      </c>
      <c r="D31" t="s">
        <v>64</v>
      </c>
      <c r="E31">
        <v>-2.1575125928499999</v>
      </c>
      <c r="F31">
        <v>0.36306057243700002</v>
      </c>
    </row>
    <row r="32" spans="2:6" x14ac:dyDescent="0.25">
      <c r="B32">
        <v>54</v>
      </c>
      <c r="C32" t="s">
        <v>86</v>
      </c>
      <c r="D32" t="s">
        <v>73</v>
      </c>
      <c r="E32">
        <v>0</v>
      </c>
      <c r="F32">
        <v>0</v>
      </c>
    </row>
    <row r="33" spans="2:6" x14ac:dyDescent="0.25">
      <c r="B33">
        <v>56</v>
      </c>
      <c r="C33" t="s">
        <v>87</v>
      </c>
      <c r="D33" t="s">
        <v>64</v>
      </c>
      <c r="E33">
        <v>0.30919284203500003</v>
      </c>
      <c r="F33">
        <v>0.30424957775799999</v>
      </c>
    </row>
    <row r="34" spans="2:6" x14ac:dyDescent="0.25">
      <c r="B34">
        <v>59</v>
      </c>
      <c r="C34" t="s">
        <v>88</v>
      </c>
      <c r="D34" t="s">
        <v>64</v>
      </c>
      <c r="E34">
        <v>-3.2597140629700001</v>
      </c>
      <c r="F34">
        <v>0.471635145413</v>
      </c>
    </row>
    <row r="35" spans="2:6" x14ac:dyDescent="0.25">
      <c r="B35">
        <v>60</v>
      </c>
      <c r="C35" t="s">
        <v>89</v>
      </c>
      <c r="D35" t="s">
        <v>64</v>
      </c>
      <c r="E35">
        <v>-3.8099771367100002</v>
      </c>
      <c r="F35">
        <v>0.61260220369700003</v>
      </c>
    </row>
    <row r="36" spans="2:6" x14ac:dyDescent="0.25">
      <c r="B36">
        <v>61</v>
      </c>
      <c r="C36" t="s">
        <v>90</v>
      </c>
      <c r="D36" t="s">
        <v>64</v>
      </c>
      <c r="E36">
        <v>1.04459519659</v>
      </c>
      <c r="F36">
        <v>0.217909240496</v>
      </c>
    </row>
    <row r="37" spans="2:6" x14ac:dyDescent="0.25">
      <c r="B37">
        <v>69</v>
      </c>
      <c r="C37" t="s">
        <v>91</v>
      </c>
      <c r="D37" t="s">
        <v>64</v>
      </c>
      <c r="E37">
        <v>2.65579810914</v>
      </c>
      <c r="F37">
        <v>0.53218512319</v>
      </c>
    </row>
    <row r="38" spans="2:6" x14ac:dyDescent="0.25">
      <c r="B38">
        <v>79</v>
      </c>
      <c r="C38" t="s">
        <v>92</v>
      </c>
      <c r="D38" t="s">
        <v>64</v>
      </c>
      <c r="E38" s="35">
        <v>3.1769310325200002</v>
      </c>
      <c r="F38">
        <v>0.44329049731600001</v>
      </c>
    </row>
    <row r="39" spans="2:6" x14ac:dyDescent="0.25">
      <c r="B39">
        <v>122</v>
      </c>
      <c r="C39" t="s">
        <v>93</v>
      </c>
      <c r="D39" t="s">
        <v>64</v>
      </c>
      <c r="E39">
        <v>-0.24379659264299999</v>
      </c>
      <c r="F39">
        <v>0.107571898717</v>
      </c>
    </row>
    <row r="40" spans="2:6" x14ac:dyDescent="0.25">
      <c r="B40">
        <v>129</v>
      </c>
      <c r="C40" t="s">
        <v>94</v>
      </c>
      <c r="D40" t="s">
        <v>64</v>
      </c>
      <c r="E40">
        <v>0.77462376479600004</v>
      </c>
      <c r="F40">
        <v>0.28644455923099998</v>
      </c>
    </row>
    <row r="41" spans="2:6" x14ac:dyDescent="0.25">
      <c r="B41">
        <v>131</v>
      </c>
      <c r="C41" t="s">
        <v>95</v>
      </c>
      <c r="D41" t="s">
        <v>73</v>
      </c>
      <c r="E41">
        <v>0</v>
      </c>
      <c r="F41">
        <v>0</v>
      </c>
    </row>
    <row r="42" spans="2:6" x14ac:dyDescent="0.25">
      <c r="B42">
        <v>132</v>
      </c>
      <c r="C42" t="s">
        <v>96</v>
      </c>
      <c r="D42" t="s">
        <v>64</v>
      </c>
      <c r="E42" s="35">
        <v>1.33790703339E-2</v>
      </c>
      <c r="F42" s="35">
        <v>9.0433152226200006E-2</v>
      </c>
    </row>
    <row r="43" spans="2:6" x14ac:dyDescent="0.25">
      <c r="B43">
        <v>133</v>
      </c>
      <c r="C43" t="s">
        <v>97</v>
      </c>
      <c r="D43" t="s">
        <v>73</v>
      </c>
      <c r="E43">
        <v>0</v>
      </c>
      <c r="F43">
        <v>0</v>
      </c>
    </row>
    <row r="44" spans="2:6" x14ac:dyDescent="0.25">
      <c r="B44">
        <v>134</v>
      </c>
      <c r="C44" t="s">
        <v>98</v>
      </c>
      <c r="D44" t="s">
        <v>64</v>
      </c>
      <c r="E44">
        <v>0.43389099526199998</v>
      </c>
      <c r="F44" s="35">
        <v>7.2106749913899995E-2</v>
      </c>
    </row>
    <row r="45" spans="2:6" x14ac:dyDescent="0.25">
      <c r="B45">
        <v>161</v>
      </c>
      <c r="C45" t="s">
        <v>99</v>
      </c>
      <c r="D45" t="s">
        <v>73</v>
      </c>
      <c r="E45">
        <v>0</v>
      </c>
      <c r="F45">
        <v>0</v>
      </c>
    </row>
    <row r="46" spans="2:6" x14ac:dyDescent="0.25">
      <c r="B46">
        <v>162</v>
      </c>
      <c r="C46" t="s">
        <v>100</v>
      </c>
      <c r="D46" t="s">
        <v>73</v>
      </c>
      <c r="E46">
        <v>0</v>
      </c>
      <c r="F46">
        <v>0</v>
      </c>
    </row>
    <row r="47" spans="2:6" x14ac:dyDescent="0.25">
      <c r="B47">
        <v>163</v>
      </c>
      <c r="C47" t="s">
        <v>101</v>
      </c>
      <c r="D47" t="s">
        <v>73</v>
      </c>
      <c r="E47">
        <v>0</v>
      </c>
      <c r="F47">
        <v>0</v>
      </c>
    </row>
    <row r="48" spans="2:6" x14ac:dyDescent="0.25">
      <c r="B48">
        <v>164</v>
      </c>
      <c r="C48" t="s">
        <v>102</v>
      </c>
      <c r="D48" t="s">
        <v>73</v>
      </c>
      <c r="E48">
        <v>0</v>
      </c>
      <c r="F48">
        <v>0</v>
      </c>
    </row>
    <row r="49" spans="2:11" x14ac:dyDescent="0.25">
      <c r="B49">
        <v>168</v>
      </c>
      <c r="C49" t="s">
        <v>103</v>
      </c>
      <c r="D49" t="s">
        <v>64</v>
      </c>
      <c r="E49" s="35">
        <v>1.1363647136500001E-5</v>
      </c>
      <c r="F49" s="35">
        <v>1.31537878938E-5</v>
      </c>
    </row>
    <row r="50" spans="2:11" x14ac:dyDescent="0.25">
      <c r="B50">
        <v>169</v>
      </c>
      <c r="C50" t="s">
        <v>104</v>
      </c>
      <c r="D50" t="s">
        <v>64</v>
      </c>
      <c r="E50">
        <v>-0.36651267651399999</v>
      </c>
      <c r="F50">
        <v>0.81267331412900001</v>
      </c>
    </row>
    <row r="51" spans="2:11" x14ac:dyDescent="0.25">
      <c r="B51">
        <v>179</v>
      </c>
      <c r="C51" t="s">
        <v>105</v>
      </c>
      <c r="D51" t="s">
        <v>64</v>
      </c>
      <c r="E51">
        <v>0.502373344261</v>
      </c>
      <c r="F51">
        <v>0.27871621834499999</v>
      </c>
    </row>
    <row r="52" spans="2:11" x14ac:dyDescent="0.25">
      <c r="B52">
        <v>99</v>
      </c>
      <c r="C52" t="s">
        <v>106</v>
      </c>
      <c r="D52" t="s">
        <v>64</v>
      </c>
      <c r="E52">
        <v>0.78311080353600004</v>
      </c>
      <c r="F52" s="35">
        <v>6.7494321499999996E-2</v>
      </c>
    </row>
    <row r="53" spans="2:11" x14ac:dyDescent="0.25">
      <c r="B53">
        <v>-1</v>
      </c>
    </row>
    <row r="54" spans="2:11" x14ac:dyDescent="0.25">
      <c r="B54">
        <v>2988</v>
      </c>
      <c r="C54" s="35">
        <v>-4862.5542158400003</v>
      </c>
      <c r="D54" s="35">
        <v>-5385.7599593000004</v>
      </c>
      <c r="E54" s="35">
        <v>-3079.5241074099999</v>
      </c>
    </row>
    <row r="55" spans="2:11" x14ac:dyDescent="0.25">
      <c r="B55">
        <v>11</v>
      </c>
      <c r="C55" t="s">
        <v>258</v>
      </c>
      <c r="D55" t="s">
        <v>235</v>
      </c>
      <c r="E55">
        <v>6</v>
      </c>
      <c r="F55" t="s">
        <v>236</v>
      </c>
      <c r="G55">
        <v>17</v>
      </c>
    </row>
    <row r="56" spans="2:11" x14ac:dyDescent="0.25">
      <c r="B56">
        <v>57952</v>
      </c>
      <c r="C56">
        <v>-7620</v>
      </c>
      <c r="D56">
        <v>-21641</v>
      </c>
      <c r="E56">
        <v>0</v>
      </c>
      <c r="F56">
        <v>0</v>
      </c>
      <c r="G56">
        <v>0</v>
      </c>
      <c r="H56">
        <v>-54301</v>
      </c>
      <c r="I56">
        <v>-51114</v>
      </c>
      <c r="J56">
        <v>4975</v>
      </c>
      <c r="K56">
        <v>0</v>
      </c>
    </row>
    <row r="57" spans="2:11" x14ac:dyDescent="0.25">
      <c r="B57">
        <v>-33925</v>
      </c>
      <c r="C57">
        <v>-34266</v>
      </c>
      <c r="D57">
        <v>33256</v>
      </c>
      <c r="E57">
        <v>0</v>
      </c>
      <c r="F57">
        <v>28331</v>
      </c>
      <c r="G57">
        <v>-3871</v>
      </c>
      <c r="H57">
        <v>-2854</v>
      </c>
      <c r="I57">
        <v>-1743</v>
      </c>
      <c r="J57">
        <v>0</v>
      </c>
      <c r="K57">
        <v>9710</v>
      </c>
    </row>
    <row r="58" spans="2:11" x14ac:dyDescent="0.25">
      <c r="B58">
        <v>837</v>
      </c>
      <c r="C58">
        <v>756</v>
      </c>
      <c r="D58">
        <v>-4274</v>
      </c>
      <c r="E58">
        <v>-1715</v>
      </c>
      <c r="F58">
        <v>0</v>
      </c>
      <c r="G58">
        <v>-8710</v>
      </c>
      <c r="H58">
        <v>-6587</v>
      </c>
      <c r="I58">
        <v>22274</v>
      </c>
      <c r="J58">
        <v>0</v>
      </c>
      <c r="K58">
        <v>0</v>
      </c>
    </row>
    <row r="59" spans="2:11" x14ac:dyDescent="0.2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35111</v>
      </c>
      <c r="I59">
        <v>43921</v>
      </c>
      <c r="J59">
        <v>-3961</v>
      </c>
      <c r="K59">
        <v>0</v>
      </c>
    </row>
    <row r="60" spans="2:11" x14ac:dyDescent="0.25">
      <c r="B60">
        <v>-24832</v>
      </c>
      <c r="C60">
        <v>-86641</v>
      </c>
      <c r="D60">
        <v>-6973</v>
      </c>
      <c r="E60">
        <v>-7225</v>
      </c>
      <c r="F60">
        <v>0</v>
      </c>
      <c r="G60">
        <v>23723</v>
      </c>
      <c r="H60">
        <v>27648</v>
      </c>
      <c r="I60">
        <v>-2208</v>
      </c>
      <c r="J60">
        <v>0</v>
      </c>
      <c r="K60">
        <v>-19656</v>
      </c>
    </row>
    <row r="61" spans="2:11" x14ac:dyDescent="0.25">
      <c r="B61">
        <v>-82417</v>
      </c>
      <c r="C61">
        <v>-6944</v>
      </c>
      <c r="D61">
        <v>-18288</v>
      </c>
      <c r="E61">
        <v>0</v>
      </c>
      <c r="F61">
        <v>88465</v>
      </c>
      <c r="G61">
        <v>-693</v>
      </c>
      <c r="H61">
        <v>-13462</v>
      </c>
      <c r="I61">
        <v>94663</v>
      </c>
      <c r="J61">
        <v>0</v>
      </c>
      <c r="K61">
        <v>1404</v>
      </c>
    </row>
    <row r="62" spans="2:11" x14ac:dyDescent="0.25">
      <c r="B62">
        <v>29091</v>
      </c>
      <c r="C62">
        <v>-2714</v>
      </c>
      <c r="D62">
        <v>-2182</v>
      </c>
      <c r="E62">
        <v>0</v>
      </c>
      <c r="F62">
        <v>1817</v>
      </c>
      <c r="G62">
        <v>1155</v>
      </c>
      <c r="H62">
        <v>-26941</v>
      </c>
      <c r="I62">
        <v>-28984</v>
      </c>
      <c r="J62">
        <v>5247</v>
      </c>
      <c r="K62">
        <v>0</v>
      </c>
    </row>
    <row r="63" spans="2:11" x14ac:dyDescent="0.25">
      <c r="B63">
        <v>44288</v>
      </c>
      <c r="C63">
        <v>17989</v>
      </c>
      <c r="D63">
        <v>-1517</v>
      </c>
      <c r="E63">
        <v>-20378</v>
      </c>
      <c r="F63">
        <v>0</v>
      </c>
      <c r="G63">
        <v>-5184</v>
      </c>
      <c r="H63">
        <v>-8322</v>
      </c>
      <c r="I63">
        <v>-289</v>
      </c>
      <c r="J63">
        <v>-9371</v>
      </c>
      <c r="K63">
        <v>-18569</v>
      </c>
    </row>
    <row r="64" spans="2:11" x14ac:dyDescent="0.25">
      <c r="B64">
        <v>3861</v>
      </c>
      <c r="C64">
        <v>0</v>
      </c>
      <c r="D64">
        <v>35453</v>
      </c>
      <c r="E64">
        <v>12035</v>
      </c>
      <c r="F64">
        <v>-2305</v>
      </c>
      <c r="G64">
        <v>-21913</v>
      </c>
      <c r="H64">
        <v>0</v>
      </c>
      <c r="I64">
        <v>1629</v>
      </c>
      <c r="J64">
        <v>-3848</v>
      </c>
      <c r="K64">
        <v>1988</v>
      </c>
    </row>
    <row r="65" spans="2:11" x14ac:dyDescent="0.25">
      <c r="B65">
        <v>71658</v>
      </c>
      <c r="C65">
        <v>-803</v>
      </c>
      <c r="D65">
        <v>-13726</v>
      </c>
      <c r="E65">
        <v>94183</v>
      </c>
      <c r="F65">
        <v>0</v>
      </c>
      <c r="G65">
        <v>2240</v>
      </c>
      <c r="H65">
        <v>29193</v>
      </c>
      <c r="I65">
        <v>-2703</v>
      </c>
      <c r="J65">
        <v>-2491</v>
      </c>
      <c r="K65">
        <v>0</v>
      </c>
    </row>
    <row r="66" spans="2:11" x14ac:dyDescent="0.25">
      <c r="B66">
        <v>1823</v>
      </c>
      <c r="C66">
        <v>1016</v>
      </c>
      <c r="D66">
        <v>97226</v>
      </c>
      <c r="E66">
        <v>3889</v>
      </c>
      <c r="F66">
        <v>92</v>
      </c>
      <c r="G66">
        <v>-33193</v>
      </c>
      <c r="H66">
        <v>-30650</v>
      </c>
      <c r="I66">
        <v>3915</v>
      </c>
      <c r="J66">
        <v>0</v>
      </c>
      <c r="K66">
        <v>31111</v>
      </c>
    </row>
    <row r="67" spans="2:11" x14ac:dyDescent="0.25">
      <c r="B67">
        <v>15535</v>
      </c>
      <c r="C67">
        <v>29975</v>
      </c>
      <c r="D67">
        <v>-320</v>
      </c>
      <c r="E67">
        <v>0</v>
      </c>
      <c r="F67">
        <v>-18487</v>
      </c>
      <c r="G67">
        <v>-12772</v>
      </c>
      <c r="H67">
        <v>296</v>
      </c>
      <c r="I67">
        <v>-4227</v>
      </c>
      <c r="J67">
        <v>-12207</v>
      </c>
      <c r="K67">
        <v>288</v>
      </c>
    </row>
    <row r="68" spans="2:11" x14ac:dyDescent="0.25">
      <c r="B68">
        <v>6941</v>
      </c>
      <c r="C68">
        <v>4764</v>
      </c>
      <c r="D68">
        <v>786</v>
      </c>
      <c r="E68">
        <v>0</v>
      </c>
      <c r="F68">
        <v>-2187</v>
      </c>
      <c r="G68">
        <v>-3129</v>
      </c>
      <c r="H68">
        <v>-1756</v>
      </c>
      <c r="I68">
        <v>4931</v>
      </c>
      <c r="J68">
        <v>0</v>
      </c>
      <c r="K68">
        <v>5641</v>
      </c>
    </row>
    <row r="69" spans="2:11" x14ac:dyDescent="0.25">
      <c r="B69">
        <v>1674</v>
      </c>
      <c r="C69">
        <v>-4827</v>
      </c>
      <c r="D69">
        <v>6165</v>
      </c>
      <c r="E69">
        <v>9653</v>
      </c>
      <c r="F69">
        <v>-5274</v>
      </c>
      <c r="G69">
        <v>-9391</v>
      </c>
      <c r="H69">
        <v>-11913</v>
      </c>
      <c r="I69">
        <v>-14163</v>
      </c>
      <c r="J69">
        <v>202</v>
      </c>
      <c r="K69">
        <v>0</v>
      </c>
    </row>
    <row r="70" spans="2:11" x14ac:dyDescent="0.25">
      <c r="B70">
        <v>11851</v>
      </c>
      <c r="C70">
        <v>5937</v>
      </c>
      <c r="D70">
        <v>2266</v>
      </c>
      <c r="E70">
        <v>6656</v>
      </c>
      <c r="F70">
        <v>0</v>
      </c>
      <c r="G70">
        <v>-8013</v>
      </c>
      <c r="H70">
        <v>-6978</v>
      </c>
      <c r="I70">
        <v>-8674</v>
      </c>
      <c r="J70">
        <v>13260</v>
      </c>
      <c r="K70">
        <v>12907</v>
      </c>
    </row>
    <row r="71" spans="2:11" x14ac:dyDescent="0.25">
      <c r="B71">
        <v>-8916</v>
      </c>
      <c r="C71">
        <v>8746</v>
      </c>
      <c r="D71">
        <v>9010</v>
      </c>
      <c r="E71">
        <v>22681</v>
      </c>
      <c r="F71">
        <v>25927</v>
      </c>
      <c r="G71">
        <v>-2180</v>
      </c>
      <c r="H71">
        <v>0</v>
      </c>
      <c r="I71">
        <v>-20050</v>
      </c>
      <c r="J71">
        <v>-12782</v>
      </c>
      <c r="K71">
        <v>-2233</v>
      </c>
    </row>
    <row r="72" spans="2:11" x14ac:dyDescent="0.25">
      <c r="B72">
        <v>-1444</v>
      </c>
      <c r="C72">
        <v>0</v>
      </c>
      <c r="D72">
        <v>15439</v>
      </c>
      <c r="E72">
        <v>10033</v>
      </c>
      <c r="F72">
        <v>-1935</v>
      </c>
      <c r="G72">
        <v>-9857</v>
      </c>
      <c r="H72">
        <v>-5823</v>
      </c>
      <c r="I72">
        <v>-2030</v>
      </c>
      <c r="J72">
        <v>-11541</v>
      </c>
      <c r="K72">
        <v>6169</v>
      </c>
    </row>
    <row r="73" spans="2:11" x14ac:dyDescent="0.25">
      <c r="B73">
        <v>-1192</v>
      </c>
      <c r="C73">
        <v>42743</v>
      </c>
      <c r="D73">
        <v>26487</v>
      </c>
      <c r="E73">
        <v>61811</v>
      </c>
      <c r="F73">
        <v>0</v>
      </c>
      <c r="G73">
        <v>-11704</v>
      </c>
      <c r="H73">
        <v>3467</v>
      </c>
      <c r="I73">
        <v>-7843</v>
      </c>
      <c r="J73">
        <v>-19631</v>
      </c>
      <c r="K73">
        <v>0</v>
      </c>
    </row>
    <row r="74" spans="2:11" x14ac:dyDescent="0.25">
      <c r="B74">
        <v>33548</v>
      </c>
      <c r="C74">
        <v>17872</v>
      </c>
      <c r="D74">
        <v>67032</v>
      </c>
      <c r="E74">
        <v>15544</v>
      </c>
      <c r="F74">
        <v>24261</v>
      </c>
      <c r="G74">
        <v>67212</v>
      </c>
      <c r="H74">
        <v>-14992</v>
      </c>
      <c r="I74">
        <v>7994</v>
      </c>
      <c r="J74">
        <v>-6398</v>
      </c>
      <c r="K74">
        <v>12886</v>
      </c>
    </row>
    <row r="75" spans="2:11" x14ac:dyDescent="0.25">
      <c r="B75">
        <v>-50920</v>
      </c>
      <c r="C75">
        <v>-43868</v>
      </c>
      <c r="D75">
        <v>3817</v>
      </c>
      <c r="E75">
        <v>0</v>
      </c>
      <c r="F75">
        <v>27296</v>
      </c>
      <c r="G75">
        <v>19510</v>
      </c>
      <c r="H75">
        <v>9079</v>
      </c>
      <c r="I75">
        <v>29218</v>
      </c>
      <c r="J75">
        <v>0</v>
      </c>
      <c r="K75">
        <v>-31636</v>
      </c>
    </row>
    <row r="76" spans="2:11" x14ac:dyDescent="0.25">
      <c r="B76">
        <v>-22524</v>
      </c>
      <c r="C76">
        <v>-1739</v>
      </c>
      <c r="D76">
        <v>1881</v>
      </c>
      <c r="E76">
        <v>-8170</v>
      </c>
      <c r="F76">
        <v>-1845</v>
      </c>
      <c r="G76">
        <v>20871</v>
      </c>
      <c r="H76">
        <v>1815</v>
      </c>
      <c r="I76">
        <v>14118</v>
      </c>
      <c r="J76">
        <v>-16327</v>
      </c>
      <c r="K76">
        <v>-46710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-6989</v>
      </c>
      <c r="D79">
        <v>6004</v>
      </c>
      <c r="E79">
        <v>-3731</v>
      </c>
      <c r="F79">
        <v>0</v>
      </c>
      <c r="G79">
        <v>-9944</v>
      </c>
      <c r="H79">
        <v>-3424</v>
      </c>
      <c r="I79">
        <v>564</v>
      </c>
      <c r="J79">
        <v>7015</v>
      </c>
      <c r="K79">
        <v>0</v>
      </c>
    </row>
    <row r="80" spans="2:11" x14ac:dyDescent="0.25">
      <c r="B80">
        <v>-545</v>
      </c>
      <c r="C80">
        <v>1040</v>
      </c>
      <c r="D80">
        <v>-1596</v>
      </c>
      <c r="E80">
        <v>-19162</v>
      </c>
      <c r="F80">
        <v>-21551</v>
      </c>
      <c r="G80">
        <v>-1987</v>
      </c>
      <c r="H80">
        <v>-1963</v>
      </c>
      <c r="I80">
        <v>-8943</v>
      </c>
      <c r="J80">
        <v>-9983</v>
      </c>
      <c r="K80">
        <v>385</v>
      </c>
    </row>
    <row r="81" spans="2:11" x14ac:dyDescent="0.25">
      <c r="B81">
        <v>-22707</v>
      </c>
      <c r="C81">
        <v>-3831</v>
      </c>
      <c r="D81">
        <v>0</v>
      </c>
      <c r="E81">
        <v>-48620</v>
      </c>
      <c r="F81">
        <v>-52725</v>
      </c>
      <c r="G81">
        <v>7263</v>
      </c>
      <c r="H81">
        <v>0</v>
      </c>
      <c r="I81">
        <v>29859</v>
      </c>
      <c r="J81">
        <v>26126</v>
      </c>
      <c r="K81">
        <v>4988</v>
      </c>
    </row>
    <row r="82" spans="2:11" x14ac:dyDescent="0.25">
      <c r="B82">
        <v>4860</v>
      </c>
      <c r="C82">
        <v>0</v>
      </c>
      <c r="D82">
        <v>-40635</v>
      </c>
      <c r="E82">
        <v>-20781</v>
      </c>
      <c r="F82">
        <v>-552</v>
      </c>
      <c r="G82">
        <v>6027</v>
      </c>
      <c r="H82">
        <v>-2983</v>
      </c>
      <c r="I82">
        <v>-672</v>
      </c>
      <c r="J82">
        <v>22999</v>
      </c>
      <c r="K82">
        <v>-7472</v>
      </c>
    </row>
    <row r="83" spans="2:11" x14ac:dyDescent="0.25">
      <c r="B83">
        <v>10462</v>
      </c>
      <c r="C83">
        <v>-18330</v>
      </c>
      <c r="D83">
        <v>-43223</v>
      </c>
      <c r="E83">
        <v>29061</v>
      </c>
      <c r="F83">
        <v>0</v>
      </c>
      <c r="G83">
        <v>-25970</v>
      </c>
      <c r="H83">
        <v>-27661</v>
      </c>
      <c r="I83">
        <v>-37157</v>
      </c>
      <c r="J83">
        <v>45360</v>
      </c>
      <c r="K83">
        <v>0</v>
      </c>
    </row>
    <row r="84" spans="2:11" x14ac:dyDescent="0.25">
      <c r="B84">
        <v>24233</v>
      </c>
      <c r="C84">
        <v>29510</v>
      </c>
      <c r="D84">
        <v>2511</v>
      </c>
      <c r="E84">
        <v>1780</v>
      </c>
      <c r="F84">
        <v>0</v>
      </c>
      <c r="G84">
        <v>-20242</v>
      </c>
      <c r="H84">
        <v>-12708</v>
      </c>
      <c r="I84">
        <v>41567</v>
      </c>
      <c r="J84">
        <v>13831</v>
      </c>
      <c r="K84">
        <v>8897</v>
      </c>
    </row>
    <row r="85" spans="2:11" x14ac:dyDescent="0.25">
      <c r="B85">
        <v>41546</v>
      </c>
      <c r="C85">
        <v>15249</v>
      </c>
      <c r="D85">
        <v>-1929</v>
      </c>
      <c r="E85">
        <v>5928</v>
      </c>
      <c r="F85">
        <v>-9169</v>
      </c>
      <c r="G85">
        <v>12269</v>
      </c>
      <c r="H85">
        <v>20431</v>
      </c>
      <c r="I85">
        <v>0</v>
      </c>
      <c r="J85">
        <v>-3337</v>
      </c>
      <c r="K85">
        <v>24469</v>
      </c>
    </row>
    <row r="86" spans="2:11" x14ac:dyDescent="0.25">
      <c r="B86">
        <v>7216</v>
      </c>
      <c r="C86">
        <v>8491</v>
      </c>
      <c r="D86">
        <v>-924</v>
      </c>
      <c r="E86">
        <v>0</v>
      </c>
      <c r="F86">
        <v>-6355</v>
      </c>
      <c r="G86">
        <v>-3918</v>
      </c>
      <c r="H86">
        <v>-1897</v>
      </c>
      <c r="I86">
        <v>-309</v>
      </c>
      <c r="J86">
        <v>0</v>
      </c>
      <c r="K86">
        <v>4966</v>
      </c>
    </row>
    <row r="87" spans="2:11" x14ac:dyDescent="0.25">
      <c r="B87">
        <v>3248</v>
      </c>
      <c r="C87">
        <v>76</v>
      </c>
      <c r="D87">
        <v>-3617</v>
      </c>
      <c r="E87">
        <v>-2292</v>
      </c>
      <c r="F87">
        <v>7</v>
      </c>
      <c r="G87">
        <v>-4103</v>
      </c>
      <c r="H87">
        <v>391</v>
      </c>
      <c r="I87">
        <v>-1719</v>
      </c>
      <c r="J87">
        <v>3065</v>
      </c>
      <c r="K87">
        <v>4362</v>
      </c>
    </row>
    <row r="88" spans="2:11" x14ac:dyDescent="0.25">
      <c r="B88">
        <v>-5400</v>
      </c>
      <c r="C88">
        <v>0</v>
      </c>
      <c r="D88">
        <v>516</v>
      </c>
      <c r="E88">
        <v>-6171</v>
      </c>
      <c r="F88">
        <v>-30047</v>
      </c>
      <c r="G88">
        <v>23370</v>
      </c>
      <c r="H88">
        <v>43843</v>
      </c>
      <c r="I88">
        <v>-2306</v>
      </c>
      <c r="J88">
        <v>0</v>
      </c>
      <c r="K88">
        <v>-11448</v>
      </c>
    </row>
    <row r="89" spans="2:11" x14ac:dyDescent="0.25">
      <c r="B89">
        <v>-16172</v>
      </c>
      <c r="C89">
        <v>4248</v>
      </c>
      <c r="D89">
        <v>-16688</v>
      </c>
      <c r="E89">
        <v>0</v>
      </c>
      <c r="F89">
        <v>37002</v>
      </c>
      <c r="G89">
        <v>19405</v>
      </c>
      <c r="H89">
        <v>3506</v>
      </c>
      <c r="I89">
        <v>10333</v>
      </c>
      <c r="J89">
        <v>15576</v>
      </c>
      <c r="K89">
        <v>3778</v>
      </c>
    </row>
    <row r="90" spans="2:11" x14ac:dyDescent="0.25">
      <c r="B90">
        <v>-10540</v>
      </c>
      <c r="C90">
        <v>5450</v>
      </c>
      <c r="D90">
        <v>-7735</v>
      </c>
      <c r="E90">
        <v>6075</v>
      </c>
      <c r="F90">
        <v>41182</v>
      </c>
      <c r="G90">
        <v>-34166</v>
      </c>
      <c r="H90">
        <v>0</v>
      </c>
      <c r="I90">
        <v>-3916</v>
      </c>
      <c r="J90">
        <v>-44284</v>
      </c>
      <c r="K90">
        <v>-35043</v>
      </c>
    </row>
    <row r="91" spans="2:11" x14ac:dyDescent="0.25">
      <c r="B91">
        <v>9790</v>
      </c>
      <c r="C91">
        <v>26874</v>
      </c>
      <c r="D91">
        <v>61053</v>
      </c>
      <c r="E91">
        <v>-11409</v>
      </c>
      <c r="F91">
        <v>0</v>
      </c>
      <c r="G91">
        <v>-12680</v>
      </c>
      <c r="H91">
        <v>-20756</v>
      </c>
      <c r="I91">
        <v>7094</v>
      </c>
      <c r="J91">
        <v>-20686</v>
      </c>
      <c r="K91">
        <v>0</v>
      </c>
    </row>
    <row r="92" spans="2:11" x14ac:dyDescent="0.25">
      <c r="B92">
        <v>44280</v>
      </c>
      <c r="C92">
        <v>23084</v>
      </c>
      <c r="D92">
        <v>-4476</v>
      </c>
      <c r="E92">
        <v>13092</v>
      </c>
      <c r="F92">
        <v>19184</v>
      </c>
      <c r="G92">
        <v>-4056</v>
      </c>
      <c r="H92">
        <v>-11686</v>
      </c>
      <c r="I92">
        <v>5918</v>
      </c>
      <c r="J92">
        <v>-9228</v>
      </c>
      <c r="K92">
        <v>3838</v>
      </c>
    </row>
    <row r="93" spans="2:11" x14ac:dyDescent="0.25">
      <c r="B93">
        <v>43466</v>
      </c>
      <c r="C93">
        <v>-41063</v>
      </c>
      <c r="D93">
        <v>0</v>
      </c>
      <c r="E93">
        <v>-4153</v>
      </c>
      <c r="F93">
        <v>-52760</v>
      </c>
      <c r="G93">
        <v>-25992</v>
      </c>
      <c r="H93">
        <v>5600</v>
      </c>
      <c r="I93">
        <v>67924</v>
      </c>
      <c r="J93">
        <v>-20878</v>
      </c>
      <c r="K93">
        <v>-28011</v>
      </c>
    </row>
    <row r="94" spans="2:11" x14ac:dyDescent="0.25">
      <c r="B94">
        <v>19300</v>
      </c>
      <c r="C94">
        <v>0</v>
      </c>
      <c r="D94">
        <v>16876</v>
      </c>
      <c r="E94">
        <v>-4663</v>
      </c>
      <c r="F94">
        <v>-9688</v>
      </c>
      <c r="G94">
        <v>2962</v>
      </c>
      <c r="H94">
        <v>0</v>
      </c>
      <c r="I94">
        <v>-13446</v>
      </c>
      <c r="J94">
        <v>-5926</v>
      </c>
      <c r="K94">
        <v>17059</v>
      </c>
    </row>
    <row r="95" spans="2:11" x14ac:dyDescent="0.25">
      <c r="B95">
        <v>11256</v>
      </c>
      <c r="C95">
        <v>7441</v>
      </c>
      <c r="D95">
        <v>17082</v>
      </c>
      <c r="E95">
        <v>9131</v>
      </c>
      <c r="F95">
        <v>-861</v>
      </c>
      <c r="G95">
        <v>3498</v>
      </c>
      <c r="H95">
        <v>-4188</v>
      </c>
      <c r="I95">
        <v>3071</v>
      </c>
      <c r="J95">
        <v>11394</v>
      </c>
      <c r="K95">
        <v>0</v>
      </c>
    </row>
    <row r="96" spans="2:11" x14ac:dyDescent="0.25">
      <c r="B96">
        <v>-4226</v>
      </c>
      <c r="C96">
        <v>14221</v>
      </c>
      <c r="D96">
        <v>14470</v>
      </c>
      <c r="E96">
        <v>-1842</v>
      </c>
      <c r="F96">
        <v>-6114</v>
      </c>
      <c r="G96">
        <v>-11161</v>
      </c>
      <c r="H96">
        <v>34598</v>
      </c>
      <c r="I96">
        <v>23552</v>
      </c>
      <c r="J96">
        <v>4728</v>
      </c>
      <c r="K96">
        <v>0</v>
      </c>
    </row>
    <row r="97" spans="2:11" x14ac:dyDescent="0.25">
      <c r="B97">
        <v>-20254</v>
      </c>
      <c r="C97">
        <v>-34433</v>
      </c>
      <c r="D97">
        <v>290</v>
      </c>
      <c r="E97">
        <v>-14258</v>
      </c>
      <c r="F97">
        <v>0</v>
      </c>
      <c r="G97">
        <v>26205</v>
      </c>
      <c r="H97">
        <v>11762</v>
      </c>
      <c r="I97">
        <v>7328</v>
      </c>
      <c r="J97">
        <v>-12151</v>
      </c>
      <c r="K97">
        <v>-5646</v>
      </c>
    </row>
    <row r="98" spans="2:11" x14ac:dyDescent="0.25">
      <c r="B98">
        <v>7269</v>
      </c>
      <c r="C98">
        <v>-7734</v>
      </c>
      <c r="D98">
        <v>2881</v>
      </c>
      <c r="E98">
        <v>-4059</v>
      </c>
      <c r="F98">
        <v>10350</v>
      </c>
      <c r="G98">
        <v>21039</v>
      </c>
      <c r="H98">
        <v>-17996</v>
      </c>
      <c r="I98">
        <v>0</v>
      </c>
      <c r="J98">
        <v>-1116</v>
      </c>
      <c r="K98">
        <v>-18646</v>
      </c>
    </row>
    <row r="99" spans="2:11" x14ac:dyDescent="0.25">
      <c r="B99">
        <v>-10349</v>
      </c>
      <c r="C99">
        <v>2447</v>
      </c>
      <c r="D99">
        <v>4827</v>
      </c>
      <c r="E99">
        <v>5702</v>
      </c>
      <c r="F99">
        <v>10266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5799</v>
      </c>
      <c r="H102">
        <v>742</v>
      </c>
      <c r="I102">
        <v>1089</v>
      </c>
      <c r="J102">
        <v>0</v>
      </c>
      <c r="K102">
        <v>232</v>
      </c>
    </row>
    <row r="103" spans="2:11" x14ac:dyDescent="0.25">
      <c r="B103">
        <v>913</v>
      </c>
      <c r="C103">
        <v>-1124</v>
      </c>
      <c r="D103">
        <v>-1502</v>
      </c>
      <c r="E103">
        <v>0</v>
      </c>
      <c r="F103">
        <v>959</v>
      </c>
      <c r="G103">
        <v>437</v>
      </c>
      <c r="H103">
        <v>-558</v>
      </c>
      <c r="I103">
        <v>1809</v>
      </c>
      <c r="J103">
        <v>3819</v>
      </c>
      <c r="K103">
        <v>-512</v>
      </c>
    </row>
    <row r="104" spans="2:11" x14ac:dyDescent="0.25">
      <c r="B104">
        <v>-9350</v>
      </c>
      <c r="C104">
        <v>1748</v>
      </c>
      <c r="D104">
        <v>-1547</v>
      </c>
      <c r="E104">
        <v>727</v>
      </c>
      <c r="F104">
        <v>-15797</v>
      </c>
      <c r="G104">
        <v>7153</v>
      </c>
      <c r="H104">
        <v>0</v>
      </c>
      <c r="I104">
        <v>10785</v>
      </c>
      <c r="J104">
        <v>3897</v>
      </c>
      <c r="K104">
        <v>311</v>
      </c>
    </row>
    <row r="105" spans="2:11" x14ac:dyDescent="0.25">
      <c r="B105">
        <v>-571</v>
      </c>
      <c r="C105">
        <v>1733</v>
      </c>
      <c r="D105">
        <v>1751</v>
      </c>
      <c r="E105">
        <v>-1122</v>
      </c>
      <c r="F105">
        <v>-1629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37363</v>
      </c>
      <c r="K108">
        <v>40110</v>
      </c>
    </row>
    <row r="109" spans="2:11" x14ac:dyDescent="0.25">
      <c r="B109">
        <v>-2947</v>
      </c>
      <c r="C109">
        <v>0</v>
      </c>
      <c r="D109">
        <v>-26678</v>
      </c>
      <c r="E109">
        <v>-18165</v>
      </c>
      <c r="F109">
        <v>-3959</v>
      </c>
      <c r="G109">
        <v>-4551</v>
      </c>
      <c r="H109">
        <v>0</v>
      </c>
      <c r="I109">
        <v>27929</v>
      </c>
      <c r="J109">
        <v>16408</v>
      </c>
      <c r="K109">
        <v>-3839</v>
      </c>
    </row>
    <row r="110" spans="2:11" x14ac:dyDescent="0.25">
      <c r="B110">
        <v>-31848</v>
      </c>
      <c r="C110">
        <v>-25543</v>
      </c>
      <c r="D110">
        <v>-4391</v>
      </c>
      <c r="E110">
        <v>-27747</v>
      </c>
      <c r="F110">
        <v>5791</v>
      </c>
      <c r="G110">
        <v>-11269</v>
      </c>
      <c r="H110">
        <v>15621</v>
      </c>
      <c r="I110">
        <v>23864</v>
      </c>
      <c r="J110">
        <v>-26714</v>
      </c>
      <c r="K110">
        <v>0</v>
      </c>
    </row>
    <row r="111" spans="2:11" x14ac:dyDescent="0.25">
      <c r="B111">
        <v>3027</v>
      </c>
      <c r="C111">
        <v>-33847</v>
      </c>
      <c r="D111">
        <v>-17981</v>
      </c>
      <c r="E111">
        <v>4593</v>
      </c>
      <c r="F111">
        <v>29344</v>
      </c>
      <c r="G111">
        <v>34462</v>
      </c>
      <c r="H111">
        <v>-11013</v>
      </c>
      <c r="I111">
        <v>11352</v>
      </c>
      <c r="J111">
        <v>0</v>
      </c>
      <c r="K111">
        <v>24360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-1033</v>
      </c>
      <c r="F126">
        <v>1925</v>
      </c>
      <c r="G126">
        <v>236</v>
      </c>
      <c r="H126">
        <v>0</v>
      </c>
      <c r="I126">
        <v>923</v>
      </c>
      <c r="J126">
        <v>1448</v>
      </c>
      <c r="K126">
        <v>-54</v>
      </c>
    </row>
    <row r="127" spans="2:11" x14ac:dyDescent="0.25">
      <c r="B127">
        <v>-481</v>
      </c>
      <c r="C127">
        <v>0</v>
      </c>
      <c r="D127">
        <v>-761</v>
      </c>
      <c r="E127">
        <v>-502</v>
      </c>
      <c r="F127">
        <v>47</v>
      </c>
      <c r="G127">
        <v>599</v>
      </c>
      <c r="H127">
        <v>528</v>
      </c>
      <c r="I127">
        <v>67</v>
      </c>
      <c r="J127">
        <v>624</v>
      </c>
      <c r="K127">
        <v>-254</v>
      </c>
    </row>
    <row r="128" spans="2:11" x14ac:dyDescent="0.25">
      <c r="B128">
        <v>82</v>
      </c>
      <c r="C128">
        <v>-1182</v>
      </c>
      <c r="D128">
        <v>-481</v>
      </c>
      <c r="E128">
        <v>665</v>
      </c>
      <c r="F128">
        <v>0</v>
      </c>
      <c r="G128">
        <v>-122</v>
      </c>
      <c r="H128">
        <v>918</v>
      </c>
      <c r="I128">
        <v>25861</v>
      </c>
      <c r="J128">
        <v>3316</v>
      </c>
      <c r="K128">
        <v>4698</v>
      </c>
    </row>
    <row r="129" spans="2:11" x14ac:dyDescent="0.25">
      <c r="B129">
        <v>-299</v>
      </c>
      <c r="C129">
        <v>-1922</v>
      </c>
      <c r="D129">
        <v>-760</v>
      </c>
      <c r="E129">
        <v>0</v>
      </c>
      <c r="F129">
        <v>1066</v>
      </c>
      <c r="G129">
        <v>0</v>
      </c>
      <c r="H129">
        <v>2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5971</v>
      </c>
      <c r="D130">
        <v>6958</v>
      </c>
      <c r="E130">
        <v>10184</v>
      </c>
      <c r="F130">
        <v>0</v>
      </c>
      <c r="G130">
        <v>-4713</v>
      </c>
      <c r="H130">
        <v>-1888</v>
      </c>
      <c r="I130">
        <v>-1636</v>
      </c>
      <c r="J130">
        <v>-2609</v>
      </c>
      <c r="K130">
        <v>0</v>
      </c>
    </row>
    <row r="131" spans="2:11" x14ac:dyDescent="0.25">
      <c r="B131">
        <v>5960</v>
      </c>
      <c r="C131">
        <v>3405</v>
      </c>
      <c r="D131">
        <v>10895</v>
      </c>
      <c r="E131">
        <v>-1742</v>
      </c>
      <c r="F131">
        <v>-697</v>
      </c>
      <c r="G131">
        <v>10820</v>
      </c>
      <c r="H131">
        <v>-3682</v>
      </c>
      <c r="I131">
        <v>1115</v>
      </c>
      <c r="J131">
        <v>-1406</v>
      </c>
      <c r="K131">
        <v>8832</v>
      </c>
    </row>
    <row r="132" spans="2:11" x14ac:dyDescent="0.25">
      <c r="B132">
        <v>12448</v>
      </c>
      <c r="C132">
        <v>-6177</v>
      </c>
      <c r="D132">
        <v>0</v>
      </c>
      <c r="E132">
        <v>-884</v>
      </c>
      <c r="F132">
        <v>-5497</v>
      </c>
      <c r="G132">
        <v>-55455</v>
      </c>
      <c r="H132">
        <v>1159</v>
      </c>
      <c r="I132">
        <v>-21048</v>
      </c>
      <c r="J132">
        <v>2160</v>
      </c>
      <c r="K132">
        <v>2951</v>
      </c>
    </row>
    <row r="133" spans="2:11" x14ac:dyDescent="0.25">
      <c r="B133">
        <v>10043</v>
      </c>
      <c r="C133">
        <v>0</v>
      </c>
      <c r="D133">
        <v>156</v>
      </c>
      <c r="E133">
        <v>0</v>
      </c>
      <c r="F133">
        <v>5012</v>
      </c>
      <c r="G133">
        <v>0</v>
      </c>
      <c r="H133">
        <v>0</v>
      </c>
      <c r="I133">
        <v>0</v>
      </c>
      <c r="J133">
        <v>0</v>
      </c>
      <c r="K133">
        <v>-46600</v>
      </c>
    </row>
    <row r="134" spans="2:11" x14ac:dyDescent="0.25">
      <c r="B134">
        <v>9385</v>
      </c>
      <c r="C134">
        <v>10491</v>
      </c>
      <c r="D134">
        <v>80301</v>
      </c>
      <c r="E134">
        <v>0</v>
      </c>
      <c r="F134">
        <v>-7825</v>
      </c>
      <c r="G134">
        <v>19407</v>
      </c>
      <c r="H134">
        <v>-2626</v>
      </c>
      <c r="I134">
        <v>-3274</v>
      </c>
      <c r="J134">
        <v>0</v>
      </c>
      <c r="K134">
        <v>9216</v>
      </c>
    </row>
    <row r="135" spans="2:11" x14ac:dyDescent="0.25">
      <c r="B135">
        <v>5778</v>
      </c>
      <c r="C135">
        <v>81526</v>
      </c>
      <c r="D135">
        <v>-3046</v>
      </c>
      <c r="E135">
        <v>-1340</v>
      </c>
      <c r="F135">
        <v>81039</v>
      </c>
      <c r="G135">
        <v>-4970</v>
      </c>
      <c r="H135">
        <v>2660</v>
      </c>
      <c r="I135">
        <v>-3397</v>
      </c>
      <c r="J135">
        <v>20499</v>
      </c>
      <c r="K135">
        <v>63896</v>
      </c>
    </row>
    <row r="136" spans="2:11" x14ac:dyDescent="0.25">
      <c r="B136">
        <v>-9355</v>
      </c>
      <c r="C136">
        <v>0</v>
      </c>
      <c r="D136">
        <v>-2670</v>
      </c>
      <c r="E136">
        <v>-8968</v>
      </c>
      <c r="F136">
        <v>31247</v>
      </c>
      <c r="G136">
        <v>1623</v>
      </c>
      <c r="H136">
        <v>6031</v>
      </c>
      <c r="I136">
        <v>-12830</v>
      </c>
      <c r="J136">
        <v>13211</v>
      </c>
      <c r="K136">
        <v>13759</v>
      </c>
    </row>
    <row r="137" spans="2:11" x14ac:dyDescent="0.25">
      <c r="B137">
        <v>0</v>
      </c>
      <c r="C137">
        <v>1562</v>
      </c>
      <c r="D137">
        <v>0</v>
      </c>
      <c r="E137">
        <v>9556</v>
      </c>
      <c r="F137">
        <v>0</v>
      </c>
      <c r="G137">
        <v>0</v>
      </c>
      <c r="H137">
        <v>0</v>
      </c>
      <c r="I137">
        <v>0</v>
      </c>
      <c r="J137">
        <v>936</v>
      </c>
      <c r="K137">
        <v>15543</v>
      </c>
    </row>
    <row r="138" spans="2:11" x14ac:dyDescent="0.25">
      <c r="B138">
        <v>-71926</v>
      </c>
      <c r="C138">
        <v>-82067</v>
      </c>
      <c r="D138">
        <v>9365</v>
      </c>
      <c r="E138">
        <v>0</v>
      </c>
      <c r="F138">
        <v>63439</v>
      </c>
      <c r="G138">
        <v>41003</v>
      </c>
      <c r="H138">
        <v>7400</v>
      </c>
      <c r="I138">
        <v>4257</v>
      </c>
      <c r="J138">
        <v>0</v>
      </c>
      <c r="K138">
        <v>-52777</v>
      </c>
    </row>
    <row r="139" spans="2:11" x14ac:dyDescent="0.25">
      <c r="B139">
        <v>-33991</v>
      </c>
      <c r="C139">
        <v>-668</v>
      </c>
      <c r="D139">
        <v>35795</v>
      </c>
      <c r="E139">
        <v>22954</v>
      </c>
      <c r="F139">
        <v>-52</v>
      </c>
      <c r="G139">
        <v>39007</v>
      </c>
      <c r="H139">
        <v>-6602</v>
      </c>
      <c r="I139">
        <v>17263</v>
      </c>
      <c r="J139">
        <v>-30573</v>
      </c>
      <c r="K139">
        <v>-42524</v>
      </c>
    </row>
    <row r="140" spans="2:11" x14ac:dyDescent="0.25">
      <c r="B140">
        <v>52939</v>
      </c>
      <c r="C140">
        <v>0</v>
      </c>
      <c r="D140">
        <v>-6668</v>
      </c>
      <c r="E140">
        <v>63181</v>
      </c>
      <c r="F140">
        <v>37708</v>
      </c>
      <c r="G140">
        <v>-9660</v>
      </c>
      <c r="H140">
        <v>-49519</v>
      </c>
      <c r="I140">
        <v>-58501</v>
      </c>
      <c r="J140">
        <v>21824</v>
      </c>
      <c r="K140">
        <v>-26186</v>
      </c>
    </row>
    <row r="141" spans="2:11" x14ac:dyDescent="0.25">
      <c r="B141">
        <v>0</v>
      </c>
      <c r="C141">
        <v>-1063</v>
      </c>
      <c r="D141">
        <v>0</v>
      </c>
      <c r="E141">
        <v>-48243</v>
      </c>
      <c r="F141">
        <v>0</v>
      </c>
      <c r="G141">
        <v>0</v>
      </c>
      <c r="H141">
        <v>0</v>
      </c>
      <c r="I141">
        <v>0</v>
      </c>
      <c r="J141">
        <v>1490</v>
      </c>
      <c r="K141">
        <v>-8597</v>
      </c>
    </row>
    <row r="142" spans="2:11" x14ac:dyDescent="0.25">
      <c r="B142">
        <v>-15228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FF00"/>
  </sheetPr>
  <dimension ref="A1:L41"/>
  <sheetViews>
    <sheetView workbookViewId="0">
      <selection activeCell="J10" sqref="J10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267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0.55592592592592593</v>
      </c>
      <c r="G9" t="s">
        <v>235</v>
      </c>
      <c r="H9">
        <v>1</v>
      </c>
      <c r="I9" t="s">
        <v>259</v>
      </c>
      <c r="J9">
        <v>13</v>
      </c>
    </row>
    <row r="10" spans="1:11" x14ac:dyDescent="0.25">
      <c r="A10" t="s">
        <v>237</v>
      </c>
    </row>
    <row r="11" spans="1:11" x14ac:dyDescent="0.25">
      <c r="B11">
        <v>2</v>
      </c>
      <c r="C11" t="s">
        <v>65</v>
      </c>
      <c r="D11" t="s">
        <v>64</v>
      </c>
      <c r="E11">
        <v>2.59443218487</v>
      </c>
      <c r="F11">
        <v>0.121537711752</v>
      </c>
    </row>
    <row r="12" spans="1:11" x14ac:dyDescent="0.25">
      <c r="B12">
        <v>30</v>
      </c>
      <c r="C12" t="s">
        <v>76</v>
      </c>
      <c r="D12" t="s">
        <v>64</v>
      </c>
      <c r="E12">
        <v>-0.98936486869100004</v>
      </c>
      <c r="F12">
        <v>0.31954551805600001</v>
      </c>
    </row>
    <row r="13" spans="1:11" x14ac:dyDescent="0.25">
      <c r="B13">
        <v>31</v>
      </c>
      <c r="C13" t="s">
        <v>134</v>
      </c>
      <c r="D13" t="s">
        <v>64</v>
      </c>
      <c r="E13">
        <v>1.33539482367</v>
      </c>
      <c r="F13" s="35">
        <v>7.57384490262E-2</v>
      </c>
    </row>
    <row r="14" spans="1:11" x14ac:dyDescent="0.25">
      <c r="B14">
        <v>32</v>
      </c>
      <c r="C14" t="s">
        <v>135</v>
      </c>
      <c r="D14" t="s">
        <v>64</v>
      </c>
      <c r="E14">
        <v>0.52987540495700003</v>
      </c>
      <c r="F14" s="35">
        <v>4.1777237341099997E-2</v>
      </c>
    </row>
    <row r="15" spans="1:11" x14ac:dyDescent="0.25">
      <c r="B15">
        <v>33</v>
      </c>
      <c r="C15" t="s">
        <v>136</v>
      </c>
      <c r="D15" t="s">
        <v>64</v>
      </c>
      <c r="E15" s="35">
        <v>0.27683051131000003</v>
      </c>
      <c r="F15">
        <v>0.106871305268</v>
      </c>
    </row>
    <row r="16" spans="1:11" x14ac:dyDescent="0.25">
      <c r="B16">
        <v>40</v>
      </c>
      <c r="C16" t="s">
        <v>79</v>
      </c>
      <c r="D16" t="s">
        <v>64</v>
      </c>
      <c r="E16">
        <v>-0.12564727430100001</v>
      </c>
      <c r="F16">
        <v>0.32242089310900002</v>
      </c>
    </row>
    <row r="17" spans="2:11" x14ac:dyDescent="0.25">
      <c r="B17">
        <v>41</v>
      </c>
      <c r="C17" t="s">
        <v>80</v>
      </c>
      <c r="D17" t="s">
        <v>73</v>
      </c>
      <c r="E17">
        <v>-5.9139999999999997</v>
      </c>
      <c r="F17">
        <v>0</v>
      </c>
    </row>
    <row r="18" spans="2:11" x14ac:dyDescent="0.25">
      <c r="B18">
        <v>42</v>
      </c>
      <c r="C18" t="s">
        <v>137</v>
      </c>
      <c r="D18" t="s">
        <v>64</v>
      </c>
      <c r="E18" s="35">
        <v>1.7160894484299999E-2</v>
      </c>
      <c r="F18">
        <v>0.102197155318</v>
      </c>
    </row>
    <row r="19" spans="2:11" x14ac:dyDescent="0.25">
      <c r="B19">
        <v>50</v>
      </c>
      <c r="C19" t="s">
        <v>138</v>
      </c>
      <c r="D19" t="s">
        <v>73</v>
      </c>
      <c r="E19">
        <v>-10</v>
      </c>
      <c r="F19">
        <v>0</v>
      </c>
    </row>
    <row r="20" spans="2:11" x14ac:dyDescent="0.25">
      <c r="B20">
        <v>60</v>
      </c>
      <c r="C20" t="s">
        <v>89</v>
      </c>
      <c r="D20" t="s">
        <v>73</v>
      </c>
      <c r="E20">
        <v>-10</v>
      </c>
      <c r="F20">
        <v>0</v>
      </c>
    </row>
    <row r="21" spans="2:11" x14ac:dyDescent="0.25">
      <c r="B21">
        <v>73</v>
      </c>
      <c r="C21" t="s">
        <v>139</v>
      </c>
      <c r="D21" t="s">
        <v>64</v>
      </c>
      <c r="E21">
        <v>-2.00293581172</v>
      </c>
      <c r="F21">
        <v>0.46528308622499998</v>
      </c>
    </row>
    <row r="22" spans="2:11" x14ac:dyDescent="0.25">
      <c r="B22">
        <v>76</v>
      </c>
      <c r="C22" t="s">
        <v>140</v>
      </c>
      <c r="D22" t="s">
        <v>73</v>
      </c>
      <c r="E22" s="35">
        <v>0</v>
      </c>
      <c r="F22" s="35">
        <v>0</v>
      </c>
    </row>
    <row r="23" spans="2:11" x14ac:dyDescent="0.25">
      <c r="B23">
        <v>81</v>
      </c>
      <c r="C23" t="s">
        <v>141</v>
      </c>
      <c r="D23" t="s">
        <v>64</v>
      </c>
      <c r="E23">
        <v>0.55040750847099995</v>
      </c>
      <c r="F23">
        <v>0.200151546352</v>
      </c>
    </row>
    <row r="24" spans="2:11" x14ac:dyDescent="0.25">
      <c r="B24">
        <v>82</v>
      </c>
      <c r="C24" t="s">
        <v>142</v>
      </c>
      <c r="D24" t="s">
        <v>64</v>
      </c>
      <c r="E24" s="35">
        <v>0.55327396092299996</v>
      </c>
      <c r="F24">
        <v>0.13971981922000001</v>
      </c>
    </row>
    <row r="25" spans="2:11" x14ac:dyDescent="0.25">
      <c r="B25">
        <v>83</v>
      </c>
      <c r="C25" t="s">
        <v>143</v>
      </c>
      <c r="D25" t="s">
        <v>64</v>
      </c>
      <c r="E25">
        <v>-3.0048826474500001</v>
      </c>
      <c r="F25">
        <v>0.93082185257600003</v>
      </c>
    </row>
    <row r="26" spans="2:11" x14ac:dyDescent="0.25">
      <c r="B26">
        <v>999</v>
      </c>
      <c r="C26" t="s">
        <v>260</v>
      </c>
      <c r="D26" t="s">
        <v>64</v>
      </c>
      <c r="E26">
        <v>0.54150419246199999</v>
      </c>
      <c r="F26" s="35">
        <v>2.7348360382299999E-2</v>
      </c>
    </row>
    <row r="27" spans="2:11" x14ac:dyDescent="0.25">
      <c r="B27">
        <v>-1</v>
      </c>
      <c r="C27" s="35"/>
      <c r="D27" s="35"/>
      <c r="E27" s="35"/>
    </row>
    <row r="28" spans="2:11" x14ac:dyDescent="0.25">
      <c r="B28">
        <v>3459</v>
      </c>
      <c r="C28" s="35">
        <v>-3308.4146490799999</v>
      </c>
      <c r="D28" s="35">
        <v>-5262.7241615299999</v>
      </c>
      <c r="E28" s="35">
        <v>-2794.0832923600001</v>
      </c>
    </row>
    <row r="29" spans="2:11" x14ac:dyDescent="0.25">
      <c r="B29">
        <v>14</v>
      </c>
      <c r="C29" t="s">
        <v>261</v>
      </c>
      <c r="D29" t="s">
        <v>235</v>
      </c>
      <c r="E29">
        <v>1</v>
      </c>
      <c r="F29" t="s">
        <v>259</v>
      </c>
      <c r="G29">
        <v>13</v>
      </c>
    </row>
    <row r="30" spans="2:11" x14ac:dyDescent="0.25">
      <c r="B30">
        <v>11726</v>
      </c>
      <c r="C30">
        <v>4532</v>
      </c>
      <c r="D30">
        <v>-1929</v>
      </c>
      <c r="E30">
        <v>6014</v>
      </c>
      <c r="F30">
        <v>-3328</v>
      </c>
      <c r="G30">
        <v>18324</v>
      </c>
      <c r="H30">
        <v>1673</v>
      </c>
      <c r="I30">
        <v>-3560</v>
      </c>
      <c r="J30">
        <v>19405</v>
      </c>
      <c r="K30">
        <v>2150</v>
      </c>
    </row>
    <row r="31" spans="2:11" x14ac:dyDescent="0.25">
      <c r="B31">
        <v>13344</v>
      </c>
      <c r="C31">
        <v>97546</v>
      </c>
      <c r="D31">
        <v>8728</v>
      </c>
      <c r="E31">
        <v>11633</v>
      </c>
      <c r="F31">
        <v>1423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 x14ac:dyDescent="0.25">
      <c r="B32">
        <v>0</v>
      </c>
      <c r="C32">
        <v>-931</v>
      </c>
      <c r="D32">
        <v>-125</v>
      </c>
      <c r="E32">
        <v>-6387</v>
      </c>
      <c r="F32">
        <v>-17532</v>
      </c>
      <c r="G32">
        <v>35540</v>
      </c>
      <c r="H32">
        <v>-7738</v>
      </c>
      <c r="I32">
        <v>0</v>
      </c>
      <c r="J32">
        <v>0</v>
      </c>
      <c r="K32">
        <v>0</v>
      </c>
    </row>
    <row r="33" spans="2:11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23808</v>
      </c>
      <c r="H34">
        <v>29041</v>
      </c>
      <c r="I34">
        <v>1513</v>
      </c>
      <c r="J34">
        <v>1574</v>
      </c>
      <c r="K34">
        <v>119</v>
      </c>
    </row>
    <row r="35" spans="2:11" x14ac:dyDescent="0.25">
      <c r="B35">
        <v>29336</v>
      </c>
      <c r="C35">
        <v>0</v>
      </c>
      <c r="D35">
        <v>-572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 x14ac:dyDescent="0.2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27308</v>
      </c>
      <c r="I36">
        <v>42087</v>
      </c>
      <c r="J36">
        <v>30683</v>
      </c>
      <c r="K36">
        <v>6687</v>
      </c>
    </row>
    <row r="37" spans="2:11" x14ac:dyDescent="0.25">
      <c r="B37">
        <v>3868</v>
      </c>
      <c r="C37">
        <v>44673</v>
      </c>
      <c r="D37">
        <v>0</v>
      </c>
      <c r="E37">
        <v>-2559</v>
      </c>
      <c r="F37">
        <v>0</v>
      </c>
      <c r="G37">
        <v>0</v>
      </c>
      <c r="H37">
        <v>23824</v>
      </c>
      <c r="I37">
        <v>0</v>
      </c>
      <c r="J37">
        <v>36859</v>
      </c>
      <c r="K37">
        <v>66991</v>
      </c>
    </row>
    <row r="38" spans="2:11" x14ac:dyDescent="0.25">
      <c r="B38">
        <v>5291</v>
      </c>
      <c r="C38">
        <v>21220</v>
      </c>
      <c r="D38">
        <v>-1131</v>
      </c>
      <c r="E38">
        <v>69629</v>
      </c>
      <c r="F38">
        <v>0</v>
      </c>
      <c r="G38">
        <v>-5818</v>
      </c>
      <c r="H38">
        <v>0</v>
      </c>
      <c r="I38">
        <v>0</v>
      </c>
      <c r="J38">
        <v>24833</v>
      </c>
      <c r="K38">
        <v>0</v>
      </c>
    </row>
    <row r="39" spans="2:11" x14ac:dyDescent="0.25">
      <c r="B39">
        <v>21394</v>
      </c>
      <c r="C39">
        <v>7921</v>
      </c>
      <c r="D39">
        <v>-1728</v>
      </c>
      <c r="E39">
        <v>424</v>
      </c>
      <c r="F39">
        <v>-1132</v>
      </c>
      <c r="G39">
        <v>5654</v>
      </c>
      <c r="H39">
        <v>-1706</v>
      </c>
      <c r="I39">
        <v>0</v>
      </c>
      <c r="J39">
        <v>3721</v>
      </c>
      <c r="K39">
        <v>0</v>
      </c>
    </row>
    <row r="40" spans="2:11" x14ac:dyDescent="0.25">
      <c r="B40">
        <v>0</v>
      </c>
      <c r="C40">
        <v>3387</v>
      </c>
      <c r="D40">
        <v>0</v>
      </c>
      <c r="E40">
        <v>7339</v>
      </c>
      <c r="F40">
        <v>-1268</v>
      </c>
      <c r="G40">
        <v>-7542</v>
      </c>
      <c r="H40">
        <v>-73284</v>
      </c>
      <c r="I40">
        <v>-5351</v>
      </c>
      <c r="J40">
        <v>-6321</v>
      </c>
      <c r="K40">
        <v>-2684</v>
      </c>
    </row>
    <row r="41" spans="2:11" x14ac:dyDescent="0.25">
      <c r="B41">
        <v>-73910</v>
      </c>
      <c r="C41">
        <v>0</v>
      </c>
      <c r="D41">
        <v>-60</v>
      </c>
      <c r="E41">
        <v>0</v>
      </c>
      <c r="F41">
        <v>0</v>
      </c>
      <c r="G41">
        <v>-6825</v>
      </c>
      <c r="H41">
        <v>0</v>
      </c>
      <c r="I41">
        <v>-18867</v>
      </c>
      <c r="J41">
        <v>-37193</v>
      </c>
      <c r="K41">
        <v>12812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L168"/>
  <sheetViews>
    <sheetView workbookViewId="0">
      <selection activeCell="B3" sqref="B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266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198</v>
      </c>
      <c r="B8" t="s">
        <v>239</v>
      </c>
      <c r="C8" t="s">
        <v>228</v>
      </c>
      <c r="D8" t="s">
        <v>229</v>
      </c>
      <c r="E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0.45232638888888888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0.46184606085000002</v>
      </c>
      <c r="F11" s="35">
        <v>7.4326487376599998E-2</v>
      </c>
    </row>
    <row r="12" spans="1:11" x14ac:dyDescent="0.25">
      <c r="B12">
        <v>2</v>
      </c>
      <c r="C12" t="s">
        <v>65</v>
      </c>
      <c r="D12" t="s">
        <v>64</v>
      </c>
      <c r="E12">
        <v>0.65961163706299997</v>
      </c>
      <c r="F12" s="35">
        <v>3.57174532657E-2</v>
      </c>
    </row>
    <row r="13" spans="1:11" x14ac:dyDescent="0.25">
      <c r="B13">
        <v>20</v>
      </c>
      <c r="C13" t="s">
        <v>69</v>
      </c>
      <c r="D13" t="s">
        <v>64</v>
      </c>
      <c r="E13">
        <v>-3.1934860859500001</v>
      </c>
      <c r="F13">
        <v>0.36431753467099998</v>
      </c>
    </row>
    <row r="14" spans="1:11" x14ac:dyDescent="0.25">
      <c r="B14">
        <v>21</v>
      </c>
      <c r="C14" t="s">
        <v>70</v>
      </c>
      <c r="D14" t="s">
        <v>64</v>
      </c>
      <c r="E14">
        <v>1.5917605661800001</v>
      </c>
      <c r="F14">
        <v>0.182769557926</v>
      </c>
    </row>
    <row r="15" spans="1:11" x14ac:dyDescent="0.25">
      <c r="B15">
        <v>30</v>
      </c>
      <c r="C15" t="s">
        <v>76</v>
      </c>
      <c r="D15" t="s">
        <v>64</v>
      </c>
      <c r="E15">
        <v>-1.78022496899</v>
      </c>
      <c r="F15">
        <v>0.159066664518</v>
      </c>
    </row>
    <row r="16" spans="1:11" x14ac:dyDescent="0.25">
      <c r="B16">
        <v>31</v>
      </c>
      <c r="C16" t="s">
        <v>154</v>
      </c>
      <c r="D16" t="s">
        <v>64</v>
      </c>
      <c r="E16">
        <v>0.51412339771600002</v>
      </c>
      <c r="F16" s="35">
        <v>8.2478811738099997E-2</v>
      </c>
    </row>
    <row r="17" spans="2:6" x14ac:dyDescent="0.25">
      <c r="B17">
        <v>32</v>
      </c>
      <c r="C17" t="s">
        <v>155</v>
      </c>
      <c r="D17" t="s">
        <v>64</v>
      </c>
      <c r="E17">
        <v>0.22481870389600001</v>
      </c>
      <c r="F17" s="35">
        <v>6.4725020359900007E-2</v>
      </c>
    </row>
    <row r="18" spans="2:6" x14ac:dyDescent="0.25">
      <c r="B18">
        <v>34</v>
      </c>
      <c r="C18" t="s">
        <v>172</v>
      </c>
      <c r="D18" t="s">
        <v>64</v>
      </c>
      <c r="E18">
        <v>0.11332032202599999</v>
      </c>
      <c r="F18" s="35">
        <v>4.5464323547000002E-2</v>
      </c>
    </row>
    <row r="19" spans="2:6" x14ac:dyDescent="0.25">
      <c r="B19">
        <v>35</v>
      </c>
      <c r="C19" t="s">
        <v>156</v>
      </c>
      <c r="D19" t="s">
        <v>64</v>
      </c>
      <c r="E19">
        <v>0.15232257376399999</v>
      </c>
      <c r="F19" s="35">
        <v>3.3780747199699999E-2</v>
      </c>
    </row>
    <row r="20" spans="2:6" x14ac:dyDescent="0.25">
      <c r="B20">
        <v>38</v>
      </c>
      <c r="C20" t="s">
        <v>157</v>
      </c>
      <c r="D20" t="s">
        <v>64</v>
      </c>
      <c r="E20">
        <v>-2.7924179320700002</v>
      </c>
      <c r="F20">
        <v>0.18268823407599999</v>
      </c>
    </row>
    <row r="21" spans="2:6" x14ac:dyDescent="0.25">
      <c r="B21">
        <v>39</v>
      </c>
      <c r="C21" t="s">
        <v>77</v>
      </c>
      <c r="D21" t="s">
        <v>64</v>
      </c>
      <c r="E21">
        <v>-2.8161782516899998</v>
      </c>
      <c r="F21">
        <v>0.130705252962</v>
      </c>
    </row>
    <row r="22" spans="2:6" x14ac:dyDescent="0.25">
      <c r="B22">
        <v>40</v>
      </c>
      <c r="C22" t="s">
        <v>79</v>
      </c>
      <c r="D22" t="s">
        <v>64</v>
      </c>
      <c r="E22">
        <v>-2.0094454428500002</v>
      </c>
      <c r="F22">
        <v>0.15878498310399999</v>
      </c>
    </row>
    <row r="23" spans="2:6" x14ac:dyDescent="0.25">
      <c r="B23">
        <v>41</v>
      </c>
      <c r="C23" t="s">
        <v>80</v>
      </c>
      <c r="D23" t="s">
        <v>64</v>
      </c>
      <c r="E23">
        <v>-1.48012105583</v>
      </c>
      <c r="F23">
        <v>0.20632039414700001</v>
      </c>
    </row>
    <row r="24" spans="2:6" x14ac:dyDescent="0.25">
      <c r="B24">
        <v>43</v>
      </c>
      <c r="C24" t="s">
        <v>173</v>
      </c>
      <c r="D24" t="s">
        <v>64</v>
      </c>
      <c r="E24" s="35">
        <v>-8.92899546287E-2</v>
      </c>
      <c r="F24">
        <v>0.137321579832</v>
      </c>
    </row>
    <row r="25" spans="2:6" x14ac:dyDescent="0.25">
      <c r="B25">
        <v>48</v>
      </c>
      <c r="C25" t="s">
        <v>78</v>
      </c>
      <c r="D25" t="s">
        <v>64</v>
      </c>
      <c r="E25">
        <v>-1.4328025129299999</v>
      </c>
      <c r="F25">
        <v>0.133715087486</v>
      </c>
    </row>
    <row r="26" spans="2:6" x14ac:dyDescent="0.25">
      <c r="B26">
        <v>50</v>
      </c>
      <c r="C26" t="s">
        <v>84</v>
      </c>
      <c r="D26" t="s">
        <v>64</v>
      </c>
      <c r="E26">
        <v>-0.461309408531</v>
      </c>
      <c r="F26">
        <v>0.112940823683</v>
      </c>
    </row>
    <row r="27" spans="2:6" x14ac:dyDescent="0.25">
      <c r="B27">
        <v>52</v>
      </c>
      <c r="C27" t="s">
        <v>85</v>
      </c>
      <c r="D27" t="s">
        <v>64</v>
      </c>
      <c r="E27">
        <v>-0.79057828054699997</v>
      </c>
      <c r="F27" s="35">
        <v>9.1545835750600005E-2</v>
      </c>
    </row>
    <row r="28" spans="2:6" x14ac:dyDescent="0.25">
      <c r="B28">
        <v>54</v>
      </c>
      <c r="C28" t="s">
        <v>174</v>
      </c>
      <c r="D28" t="s">
        <v>64</v>
      </c>
      <c r="E28" s="35">
        <v>7.4242773487299997E-3</v>
      </c>
      <c r="F28">
        <v>0.123737072552</v>
      </c>
    </row>
    <row r="29" spans="2:6" x14ac:dyDescent="0.25">
      <c r="B29">
        <v>60</v>
      </c>
      <c r="C29" t="s">
        <v>89</v>
      </c>
      <c r="D29" t="s">
        <v>64</v>
      </c>
      <c r="E29">
        <v>-4.4410848396300002</v>
      </c>
      <c r="F29">
        <v>0.360616471386</v>
      </c>
    </row>
    <row r="30" spans="2:6" x14ac:dyDescent="0.25">
      <c r="B30">
        <v>61</v>
      </c>
      <c r="C30" t="s">
        <v>90</v>
      </c>
      <c r="D30" t="s">
        <v>64</v>
      </c>
      <c r="E30">
        <v>0.614663848254</v>
      </c>
      <c r="F30">
        <v>0.19703563410200001</v>
      </c>
    </row>
    <row r="31" spans="2:6" x14ac:dyDescent="0.25">
      <c r="B31">
        <v>63</v>
      </c>
      <c r="C31" t="s">
        <v>159</v>
      </c>
      <c r="D31" t="s">
        <v>64</v>
      </c>
      <c r="E31">
        <v>-0.87809104489900003</v>
      </c>
      <c r="F31">
        <v>0.25115235263000002</v>
      </c>
    </row>
    <row r="32" spans="2:6" x14ac:dyDescent="0.25">
      <c r="B32">
        <v>73</v>
      </c>
      <c r="C32" t="s">
        <v>139</v>
      </c>
      <c r="D32" t="s">
        <v>64</v>
      </c>
      <c r="E32" s="35">
        <v>-8.2669199618100001E-2</v>
      </c>
      <c r="F32" s="35">
        <v>9.2527875377600002E-2</v>
      </c>
    </row>
    <row r="33" spans="2:6" x14ac:dyDescent="0.25">
      <c r="B33">
        <v>120</v>
      </c>
      <c r="C33" t="s">
        <v>175</v>
      </c>
      <c r="D33" t="s">
        <v>64</v>
      </c>
      <c r="E33">
        <v>-0.40759393652199999</v>
      </c>
      <c r="F33">
        <v>0.16284307180900001</v>
      </c>
    </row>
    <row r="34" spans="2:6" x14ac:dyDescent="0.25">
      <c r="B34">
        <v>124</v>
      </c>
      <c r="C34" t="s">
        <v>161</v>
      </c>
      <c r="D34" t="s">
        <v>64</v>
      </c>
      <c r="E34">
        <v>0.22849027283199999</v>
      </c>
      <c r="F34">
        <v>0.34013272862600002</v>
      </c>
    </row>
    <row r="35" spans="2:6" x14ac:dyDescent="0.25">
      <c r="B35">
        <v>128</v>
      </c>
      <c r="C35" t="s">
        <v>163</v>
      </c>
      <c r="D35" t="s">
        <v>64</v>
      </c>
      <c r="E35" s="35">
        <v>4.0664487494199999E-5</v>
      </c>
      <c r="F35" s="35">
        <v>5.8556062497599999E-6</v>
      </c>
    </row>
    <row r="36" spans="2:6" x14ac:dyDescent="0.25">
      <c r="B36">
        <v>131</v>
      </c>
      <c r="C36" t="s">
        <v>95</v>
      </c>
      <c r="D36" t="s">
        <v>73</v>
      </c>
      <c r="E36">
        <v>0</v>
      </c>
      <c r="F36">
        <v>0</v>
      </c>
    </row>
    <row r="37" spans="2:6" x14ac:dyDescent="0.25">
      <c r="B37">
        <v>132</v>
      </c>
      <c r="C37" t="s">
        <v>96</v>
      </c>
      <c r="D37" t="s">
        <v>64</v>
      </c>
      <c r="E37">
        <v>0.20969220422099999</v>
      </c>
      <c r="F37" s="35">
        <v>4.9885146709800002E-2</v>
      </c>
    </row>
    <row r="38" spans="2:6" x14ac:dyDescent="0.25">
      <c r="B38">
        <v>133</v>
      </c>
      <c r="C38" t="s">
        <v>97</v>
      </c>
      <c r="D38" t="s">
        <v>73</v>
      </c>
      <c r="E38">
        <v>0</v>
      </c>
      <c r="F38">
        <v>0</v>
      </c>
    </row>
    <row r="39" spans="2:6" x14ac:dyDescent="0.25">
      <c r="B39">
        <v>134</v>
      </c>
      <c r="C39" t="s">
        <v>98</v>
      </c>
      <c r="D39" t="s">
        <v>64</v>
      </c>
      <c r="E39">
        <v>0.29636782425199998</v>
      </c>
      <c r="F39" s="35">
        <v>5.10788332025E-2</v>
      </c>
    </row>
    <row r="40" spans="2:6" x14ac:dyDescent="0.25">
      <c r="B40">
        <v>136</v>
      </c>
      <c r="C40" t="s">
        <v>176</v>
      </c>
      <c r="D40" t="s">
        <v>64</v>
      </c>
      <c r="E40" s="35">
        <v>-4.3232317637700003E-2</v>
      </c>
      <c r="F40" s="35">
        <v>9.22378391051E-2</v>
      </c>
    </row>
    <row r="41" spans="2:6" x14ac:dyDescent="0.25">
      <c r="B41">
        <v>137</v>
      </c>
      <c r="C41" t="s">
        <v>177</v>
      </c>
      <c r="D41" t="s">
        <v>64</v>
      </c>
      <c r="E41">
        <v>1.3197710740099999</v>
      </c>
      <c r="F41">
        <v>0.138120133182</v>
      </c>
    </row>
    <row r="42" spans="2:6" x14ac:dyDescent="0.25">
      <c r="B42">
        <v>138</v>
      </c>
      <c r="C42" t="s">
        <v>178</v>
      </c>
      <c r="D42" t="s">
        <v>64</v>
      </c>
      <c r="E42">
        <v>0.46798410365199999</v>
      </c>
      <c r="F42" s="35">
        <v>9.1582777661300005E-2</v>
      </c>
    </row>
    <row r="43" spans="2:6" x14ac:dyDescent="0.25">
      <c r="B43">
        <v>160</v>
      </c>
      <c r="C43" t="s">
        <v>179</v>
      </c>
      <c r="D43" t="s">
        <v>64</v>
      </c>
      <c r="E43">
        <v>1.5982044369999999</v>
      </c>
      <c r="F43">
        <v>0.213434357464</v>
      </c>
    </row>
    <row r="44" spans="2:6" x14ac:dyDescent="0.25">
      <c r="B44">
        <v>161</v>
      </c>
      <c r="C44" t="s">
        <v>99</v>
      </c>
      <c r="D44" t="s">
        <v>73</v>
      </c>
      <c r="E44">
        <v>0</v>
      </c>
      <c r="F44">
        <v>0</v>
      </c>
    </row>
    <row r="45" spans="2:6" x14ac:dyDescent="0.25">
      <c r="B45">
        <v>162</v>
      </c>
      <c r="C45" t="s">
        <v>100</v>
      </c>
      <c r="D45" t="s">
        <v>73</v>
      </c>
      <c r="E45">
        <v>0</v>
      </c>
      <c r="F45">
        <v>0</v>
      </c>
    </row>
    <row r="46" spans="2:6" x14ac:dyDescent="0.25">
      <c r="B46">
        <v>163</v>
      </c>
      <c r="C46" t="s">
        <v>101</v>
      </c>
      <c r="D46" t="s">
        <v>73</v>
      </c>
      <c r="E46">
        <v>0</v>
      </c>
      <c r="F46">
        <v>0</v>
      </c>
    </row>
    <row r="47" spans="2:6" x14ac:dyDescent="0.25">
      <c r="B47">
        <v>164</v>
      </c>
      <c r="C47" t="s">
        <v>102</v>
      </c>
      <c r="D47" t="s">
        <v>64</v>
      </c>
      <c r="E47">
        <v>0.12061822421899999</v>
      </c>
      <c r="F47">
        <v>0.44489167615000003</v>
      </c>
    </row>
    <row r="48" spans="2:6" x14ac:dyDescent="0.25">
      <c r="B48">
        <v>165</v>
      </c>
      <c r="C48" t="s">
        <v>180</v>
      </c>
      <c r="D48" t="s">
        <v>64</v>
      </c>
      <c r="E48" s="35">
        <v>2.0963293927600001E-4</v>
      </c>
      <c r="F48" s="35">
        <v>7.62851190323E-5</v>
      </c>
    </row>
    <row r="49" spans="2:6" x14ac:dyDescent="0.25">
      <c r="B49">
        <v>168</v>
      </c>
      <c r="C49" t="s">
        <v>103</v>
      </c>
      <c r="D49" t="s">
        <v>64</v>
      </c>
      <c r="E49" s="35">
        <v>-2.9531002106099999E-6</v>
      </c>
      <c r="F49" s="35">
        <v>1.30015078683E-5</v>
      </c>
    </row>
    <row r="50" spans="2:6" x14ac:dyDescent="0.25">
      <c r="B50">
        <v>169</v>
      </c>
      <c r="C50" t="s">
        <v>104</v>
      </c>
      <c r="D50" t="s">
        <v>73</v>
      </c>
      <c r="E50">
        <v>0</v>
      </c>
      <c r="F50">
        <v>0</v>
      </c>
    </row>
    <row r="51" spans="2:6" x14ac:dyDescent="0.25">
      <c r="B51">
        <v>171</v>
      </c>
      <c r="C51" t="s">
        <v>181</v>
      </c>
      <c r="D51" t="s">
        <v>64</v>
      </c>
      <c r="E51">
        <v>1.10874798884</v>
      </c>
      <c r="F51">
        <v>0.15703122009699999</v>
      </c>
    </row>
    <row r="52" spans="2:6" x14ac:dyDescent="0.25">
      <c r="B52">
        <v>172</v>
      </c>
      <c r="C52" t="s">
        <v>182</v>
      </c>
      <c r="D52" t="s">
        <v>64</v>
      </c>
      <c r="E52">
        <v>2.0996029740900002</v>
      </c>
      <c r="F52">
        <v>0.14331732884100001</v>
      </c>
    </row>
    <row r="53" spans="2:6" x14ac:dyDescent="0.25">
      <c r="B53">
        <v>175</v>
      </c>
      <c r="C53" t="s">
        <v>183</v>
      </c>
      <c r="D53" t="s">
        <v>64</v>
      </c>
      <c r="E53" s="35">
        <v>1.37939187897E-4</v>
      </c>
      <c r="F53" s="35">
        <v>4.8952507234399999E-5</v>
      </c>
    </row>
    <row r="54" spans="2:6" x14ac:dyDescent="0.25">
      <c r="B54">
        <v>178</v>
      </c>
      <c r="C54" t="s">
        <v>184</v>
      </c>
      <c r="D54" t="s">
        <v>64</v>
      </c>
      <c r="E54" s="35">
        <v>-6.1957253739600003E-6</v>
      </c>
      <c r="F54" s="35">
        <v>4.64771480534E-5</v>
      </c>
    </row>
    <row r="55" spans="2:6" x14ac:dyDescent="0.25">
      <c r="B55">
        <v>201</v>
      </c>
      <c r="C55" t="s">
        <v>246</v>
      </c>
      <c r="D55" t="s">
        <v>73</v>
      </c>
      <c r="E55">
        <v>-4.5</v>
      </c>
      <c r="F55" s="35">
        <v>0</v>
      </c>
    </row>
    <row r="56" spans="2:6" x14ac:dyDescent="0.25">
      <c r="B56">
        <v>202</v>
      </c>
      <c r="C56" t="s">
        <v>247</v>
      </c>
      <c r="D56" t="s">
        <v>73</v>
      </c>
      <c r="E56">
        <v>-4.5</v>
      </c>
      <c r="F56">
        <v>0</v>
      </c>
    </row>
    <row r="57" spans="2:6" x14ac:dyDescent="0.25">
      <c r="B57">
        <v>203</v>
      </c>
      <c r="C57" s="35" t="s">
        <v>248</v>
      </c>
      <c r="D57" s="35" t="s">
        <v>73</v>
      </c>
      <c r="E57" s="35">
        <v>0</v>
      </c>
      <c r="F57">
        <v>0</v>
      </c>
    </row>
    <row r="58" spans="2:6" x14ac:dyDescent="0.25">
      <c r="B58">
        <v>204</v>
      </c>
      <c r="C58" t="s">
        <v>249</v>
      </c>
      <c r="D58" t="s">
        <v>73</v>
      </c>
      <c r="E58">
        <v>0</v>
      </c>
      <c r="F58">
        <v>0</v>
      </c>
    </row>
    <row r="59" spans="2:6" x14ac:dyDescent="0.25">
      <c r="B59">
        <v>205</v>
      </c>
      <c r="C59" t="s">
        <v>250</v>
      </c>
      <c r="D59" t="s">
        <v>73</v>
      </c>
      <c r="E59">
        <v>0</v>
      </c>
      <c r="F59">
        <v>0</v>
      </c>
    </row>
    <row r="60" spans="2:6" x14ac:dyDescent="0.25">
      <c r="B60">
        <v>206</v>
      </c>
      <c r="C60" t="s">
        <v>251</v>
      </c>
      <c r="D60" t="s">
        <v>73</v>
      </c>
      <c r="E60">
        <v>0</v>
      </c>
      <c r="F60">
        <v>0</v>
      </c>
    </row>
    <row r="61" spans="2:6" x14ac:dyDescent="0.25">
      <c r="B61">
        <v>207</v>
      </c>
      <c r="C61" t="s">
        <v>252</v>
      </c>
      <c r="D61" t="s">
        <v>73</v>
      </c>
      <c r="E61">
        <v>0</v>
      </c>
      <c r="F61">
        <v>0</v>
      </c>
    </row>
    <row r="62" spans="2:6" x14ac:dyDescent="0.25">
      <c r="B62">
        <v>208</v>
      </c>
      <c r="C62" t="s">
        <v>253</v>
      </c>
      <c r="D62" t="s">
        <v>73</v>
      </c>
      <c r="E62">
        <v>0</v>
      </c>
      <c r="F62">
        <v>0</v>
      </c>
    </row>
    <row r="63" spans="2:6" x14ac:dyDescent="0.25">
      <c r="B63">
        <v>209</v>
      </c>
      <c r="C63" t="s">
        <v>254</v>
      </c>
      <c r="D63" t="s">
        <v>73</v>
      </c>
      <c r="E63">
        <v>0</v>
      </c>
      <c r="F63">
        <v>0</v>
      </c>
    </row>
    <row r="64" spans="2:6" x14ac:dyDescent="0.25">
      <c r="B64">
        <v>210</v>
      </c>
      <c r="C64" t="s">
        <v>255</v>
      </c>
      <c r="D64" t="s">
        <v>73</v>
      </c>
      <c r="E64">
        <v>0</v>
      </c>
      <c r="F64">
        <v>0</v>
      </c>
    </row>
    <row r="65" spans="2:11" x14ac:dyDescent="0.25">
      <c r="B65">
        <v>211</v>
      </c>
      <c r="C65" t="s">
        <v>256</v>
      </c>
      <c r="D65" t="s">
        <v>73</v>
      </c>
      <c r="E65">
        <v>0</v>
      </c>
      <c r="F65">
        <v>0</v>
      </c>
    </row>
    <row r="66" spans="2:11" x14ac:dyDescent="0.25">
      <c r="B66">
        <v>99</v>
      </c>
      <c r="C66" t="s">
        <v>106</v>
      </c>
      <c r="D66" t="s">
        <v>64</v>
      </c>
      <c r="E66">
        <v>0.87615014565899996</v>
      </c>
      <c r="F66" s="35">
        <v>4.6027559906999999E-2</v>
      </c>
    </row>
    <row r="67" spans="2:11" x14ac:dyDescent="0.25">
      <c r="B67">
        <v>-1</v>
      </c>
    </row>
    <row r="68" spans="2:11" x14ac:dyDescent="0.25">
      <c r="B68">
        <v>8060</v>
      </c>
      <c r="C68" s="35">
        <v>-10930.082431500001</v>
      </c>
      <c r="D68" s="35">
        <v>-13318.5283795</v>
      </c>
      <c r="E68" s="35">
        <v>-7668.86425667</v>
      </c>
    </row>
    <row r="69" spans="2:11" x14ac:dyDescent="0.25">
      <c r="B69">
        <v>8</v>
      </c>
      <c r="C69" t="s">
        <v>262</v>
      </c>
      <c r="D69" t="s">
        <v>235</v>
      </c>
      <c r="E69">
        <v>6</v>
      </c>
      <c r="F69" t="s">
        <v>236</v>
      </c>
      <c r="G69">
        <v>17</v>
      </c>
    </row>
    <row r="70" spans="2:11" x14ac:dyDescent="0.25">
      <c r="B70">
        <v>28140</v>
      </c>
      <c r="C70">
        <v>-15227</v>
      </c>
      <c r="D70">
        <v>-40220</v>
      </c>
      <c r="E70">
        <v>21470</v>
      </c>
      <c r="F70">
        <v>36603</v>
      </c>
      <c r="G70">
        <v>-41982</v>
      </c>
      <c r="H70">
        <v>-21064</v>
      </c>
      <c r="I70">
        <v>-51250</v>
      </c>
      <c r="J70">
        <v>34768</v>
      </c>
      <c r="K70">
        <v>-25411</v>
      </c>
    </row>
    <row r="71" spans="2:11" x14ac:dyDescent="0.25">
      <c r="B71">
        <v>16035</v>
      </c>
      <c r="C71">
        <v>39482</v>
      </c>
      <c r="D71">
        <v>-23241</v>
      </c>
      <c r="E71">
        <v>22761</v>
      </c>
      <c r="F71">
        <v>-44693</v>
      </c>
      <c r="G71">
        <v>11356</v>
      </c>
      <c r="H71">
        <v>24776</v>
      </c>
      <c r="I71">
        <v>-15547</v>
      </c>
      <c r="J71">
        <v>15512</v>
      </c>
      <c r="K71">
        <v>-35264</v>
      </c>
    </row>
    <row r="72" spans="2:11" x14ac:dyDescent="0.25">
      <c r="B72">
        <v>7082</v>
      </c>
      <c r="C72">
        <v>4644</v>
      </c>
      <c r="D72">
        <v>7842</v>
      </c>
      <c r="E72">
        <v>-2919</v>
      </c>
      <c r="F72">
        <v>4071</v>
      </c>
      <c r="G72">
        <v>-32729</v>
      </c>
      <c r="H72">
        <v>11307</v>
      </c>
      <c r="I72">
        <v>12219</v>
      </c>
      <c r="J72">
        <v>10946</v>
      </c>
      <c r="K72">
        <v>11455</v>
      </c>
    </row>
    <row r="73" spans="2:11" x14ac:dyDescent="0.25">
      <c r="B73">
        <v>-10323</v>
      </c>
      <c r="C73">
        <v>13051</v>
      </c>
      <c r="D73">
        <v>-32039</v>
      </c>
      <c r="E73">
        <v>24641</v>
      </c>
      <c r="F73">
        <v>17909</v>
      </c>
      <c r="G73">
        <v>-5481</v>
      </c>
      <c r="H73">
        <v>-18684</v>
      </c>
      <c r="I73">
        <v>-37660</v>
      </c>
      <c r="J73">
        <v>22496</v>
      </c>
      <c r="K73">
        <v>-22084</v>
      </c>
    </row>
    <row r="74" spans="2:11" x14ac:dyDescent="0.25">
      <c r="B74">
        <v>8329</v>
      </c>
      <c r="C74">
        <v>-12534</v>
      </c>
      <c r="D74">
        <v>-5821</v>
      </c>
      <c r="E74">
        <v>10265</v>
      </c>
      <c r="F74">
        <v>-18346</v>
      </c>
      <c r="G74">
        <v>-5860</v>
      </c>
      <c r="H74">
        <v>-10265</v>
      </c>
      <c r="I74">
        <v>6084</v>
      </c>
      <c r="J74">
        <v>-6247</v>
      </c>
      <c r="K74">
        <v>-5135</v>
      </c>
    </row>
    <row r="75" spans="2:11" x14ac:dyDescent="0.25">
      <c r="B75">
        <v>2022</v>
      </c>
      <c r="C75">
        <v>2825</v>
      </c>
      <c r="D75">
        <v>-3200</v>
      </c>
      <c r="E75">
        <v>-4801</v>
      </c>
      <c r="F75">
        <v>17531</v>
      </c>
      <c r="G75">
        <v>-21978</v>
      </c>
      <c r="H75">
        <v>-55084</v>
      </c>
      <c r="I75">
        <v>37237</v>
      </c>
      <c r="J75">
        <v>-27836</v>
      </c>
      <c r="K75">
        <v>94896</v>
      </c>
    </row>
    <row r="76" spans="2:11" x14ac:dyDescent="0.25">
      <c r="B76">
        <v>-43186</v>
      </c>
      <c r="C76">
        <v>-33549</v>
      </c>
      <c r="D76">
        <v>-34207</v>
      </c>
      <c r="E76">
        <v>-34047</v>
      </c>
      <c r="F76">
        <v>17979</v>
      </c>
      <c r="G76">
        <v>6703</v>
      </c>
      <c r="H76">
        <v>-9746</v>
      </c>
      <c r="I76">
        <v>-31676</v>
      </c>
      <c r="J76">
        <v>12375</v>
      </c>
      <c r="K76">
        <v>12408</v>
      </c>
    </row>
    <row r="77" spans="2:11" x14ac:dyDescent="0.25">
      <c r="B77">
        <v>11695</v>
      </c>
      <c r="C77">
        <v>-14701</v>
      </c>
      <c r="D77">
        <v>-9163</v>
      </c>
      <c r="E77">
        <v>-4164</v>
      </c>
      <c r="F77">
        <v>-8763</v>
      </c>
      <c r="G77">
        <v>5694</v>
      </c>
      <c r="H77">
        <v>3813</v>
      </c>
      <c r="I77">
        <v>13185</v>
      </c>
      <c r="J77">
        <v>-4289</v>
      </c>
      <c r="K77">
        <v>-4538</v>
      </c>
    </row>
    <row r="78" spans="2:11" x14ac:dyDescent="0.25">
      <c r="B78">
        <v>2688</v>
      </c>
      <c r="C78">
        <v>-1920</v>
      </c>
      <c r="D78">
        <v>-15075</v>
      </c>
      <c r="E78">
        <v>967</v>
      </c>
      <c r="F78">
        <v>9930</v>
      </c>
      <c r="G78">
        <v>32107</v>
      </c>
      <c r="H78">
        <v>466</v>
      </c>
      <c r="I78">
        <v>11239</v>
      </c>
      <c r="J78">
        <v>-730</v>
      </c>
      <c r="K78">
        <v>-15544</v>
      </c>
    </row>
    <row r="79" spans="2:11" x14ac:dyDescent="0.25">
      <c r="B79">
        <v>7303</v>
      </c>
      <c r="C79">
        <v>-18427</v>
      </c>
      <c r="D79">
        <v>-43719</v>
      </c>
      <c r="E79">
        <v>26281</v>
      </c>
      <c r="F79">
        <v>-25384</v>
      </c>
      <c r="G79">
        <v>15408</v>
      </c>
      <c r="H79">
        <v>-17299</v>
      </c>
      <c r="I79">
        <v>-8898</v>
      </c>
      <c r="J79">
        <v>16090</v>
      </c>
      <c r="K79">
        <v>-21480</v>
      </c>
    </row>
    <row r="80" spans="2:11" x14ac:dyDescent="0.25">
      <c r="B80">
        <v>50073</v>
      </c>
      <c r="C80">
        <v>9352</v>
      </c>
      <c r="D80">
        <v>16330</v>
      </c>
      <c r="E80">
        <v>5156</v>
      </c>
      <c r="F80">
        <v>15543</v>
      </c>
      <c r="G80">
        <v>-4926</v>
      </c>
      <c r="H80">
        <v>-33805</v>
      </c>
      <c r="I80">
        <v>27088</v>
      </c>
      <c r="J80">
        <v>-10292</v>
      </c>
      <c r="K80">
        <v>56185</v>
      </c>
    </row>
    <row r="81" spans="2:11" x14ac:dyDescent="0.25">
      <c r="B81">
        <v>-12315</v>
      </c>
      <c r="C81">
        <v>-9995</v>
      </c>
      <c r="D81">
        <v>-585</v>
      </c>
      <c r="E81">
        <v>21735</v>
      </c>
      <c r="F81">
        <v>7915</v>
      </c>
      <c r="G81">
        <v>3018</v>
      </c>
      <c r="H81">
        <v>57397</v>
      </c>
      <c r="I81">
        <v>-668</v>
      </c>
      <c r="J81">
        <v>-5757</v>
      </c>
      <c r="K81">
        <v>8708</v>
      </c>
    </row>
    <row r="82" spans="2:11" x14ac:dyDescent="0.25">
      <c r="B82">
        <v>-17998</v>
      </c>
      <c r="C82">
        <v>-40901</v>
      </c>
      <c r="D82">
        <v>22721</v>
      </c>
      <c r="E82">
        <v>-24067</v>
      </c>
      <c r="F82">
        <v>24464</v>
      </c>
      <c r="G82">
        <v>-29170</v>
      </c>
      <c r="H82">
        <v>-14298</v>
      </c>
      <c r="I82">
        <v>-7</v>
      </c>
      <c r="J82">
        <v>-19261</v>
      </c>
      <c r="K82">
        <v>16018</v>
      </c>
    </row>
    <row r="83" spans="2:11" x14ac:dyDescent="0.25">
      <c r="B83">
        <v>3401</v>
      </c>
      <c r="C83">
        <v>25534</v>
      </c>
      <c r="D83">
        <v>21737</v>
      </c>
      <c r="E83">
        <v>24255</v>
      </c>
      <c r="F83">
        <v>18810</v>
      </c>
      <c r="G83">
        <v>-13556</v>
      </c>
      <c r="H83">
        <v>1682</v>
      </c>
      <c r="I83">
        <v>2020</v>
      </c>
      <c r="J83">
        <v>-968</v>
      </c>
      <c r="K83">
        <v>940</v>
      </c>
    </row>
    <row r="84" spans="2:11" x14ac:dyDescent="0.25">
      <c r="B84">
        <v>-3895</v>
      </c>
      <c r="C84">
        <v>436</v>
      </c>
      <c r="D84">
        <v>14</v>
      </c>
      <c r="E84">
        <v>5619</v>
      </c>
      <c r="F84">
        <v>-2105</v>
      </c>
      <c r="G84">
        <v>6832</v>
      </c>
      <c r="H84">
        <v>372</v>
      </c>
      <c r="I84">
        <v>-3704</v>
      </c>
      <c r="J84">
        <v>-2215</v>
      </c>
      <c r="K84">
        <v>3458</v>
      </c>
    </row>
    <row r="85" spans="2:11" x14ac:dyDescent="0.25">
      <c r="B85">
        <v>9230</v>
      </c>
      <c r="C85">
        <v>-9179</v>
      </c>
      <c r="D85">
        <v>-4211</v>
      </c>
      <c r="E85">
        <v>-11951</v>
      </c>
      <c r="F85">
        <v>-31767</v>
      </c>
      <c r="G85">
        <v>20592</v>
      </c>
      <c r="H85">
        <v>-16727</v>
      </c>
      <c r="I85">
        <v>26120</v>
      </c>
      <c r="J85">
        <v>-15875</v>
      </c>
      <c r="K85">
        <v>-8997</v>
      </c>
    </row>
    <row r="86" spans="2:11" x14ac:dyDescent="0.25">
      <c r="B86">
        <v>-3599</v>
      </c>
      <c r="C86">
        <v>-5920</v>
      </c>
      <c r="D86">
        <v>15169</v>
      </c>
      <c r="E86">
        <v>4190</v>
      </c>
      <c r="F86">
        <v>27758</v>
      </c>
      <c r="G86">
        <v>11452</v>
      </c>
      <c r="H86">
        <v>1333</v>
      </c>
      <c r="I86">
        <v>17590</v>
      </c>
      <c r="J86">
        <v>20481</v>
      </c>
      <c r="K86">
        <v>16902</v>
      </c>
    </row>
    <row r="87" spans="2:11" x14ac:dyDescent="0.25">
      <c r="B87">
        <v>-857</v>
      </c>
      <c r="C87">
        <v>167</v>
      </c>
      <c r="D87">
        <v>826</v>
      </c>
      <c r="E87">
        <v>57</v>
      </c>
      <c r="F87">
        <v>276</v>
      </c>
      <c r="G87">
        <v>-223</v>
      </c>
      <c r="H87">
        <v>335</v>
      </c>
      <c r="I87">
        <v>730</v>
      </c>
      <c r="J87">
        <v>264</v>
      </c>
      <c r="K87">
        <v>111</v>
      </c>
    </row>
    <row r="88" spans="2:11" x14ac:dyDescent="0.25">
      <c r="B88">
        <v>-418</v>
      </c>
      <c r="C88">
        <v>-72</v>
      </c>
      <c r="D88">
        <v>-249</v>
      </c>
      <c r="E88">
        <v>-70</v>
      </c>
      <c r="F88">
        <v>183</v>
      </c>
      <c r="G88">
        <v>-525</v>
      </c>
      <c r="H88">
        <v>220</v>
      </c>
      <c r="I88">
        <v>-290</v>
      </c>
      <c r="J88">
        <v>-551</v>
      </c>
      <c r="K88">
        <v>-32883</v>
      </c>
    </row>
    <row r="89" spans="2:11" x14ac:dyDescent="0.25">
      <c r="B89">
        <v>-4860</v>
      </c>
      <c r="C89">
        <v>-10950</v>
      </c>
      <c r="D89">
        <v>8201</v>
      </c>
      <c r="E89">
        <v>-7354</v>
      </c>
      <c r="F89">
        <v>9755</v>
      </c>
      <c r="G89">
        <v>-9735</v>
      </c>
      <c r="H89">
        <v>-7803</v>
      </c>
      <c r="I89">
        <v>2320</v>
      </c>
      <c r="J89">
        <v>-3940</v>
      </c>
      <c r="K89">
        <v>7380</v>
      </c>
    </row>
    <row r="90" spans="2:11" x14ac:dyDescent="0.25">
      <c r="B90">
        <v>2313</v>
      </c>
      <c r="C90">
        <v>10732</v>
      </c>
      <c r="D90">
        <v>3208</v>
      </c>
      <c r="E90">
        <v>-108</v>
      </c>
      <c r="F90">
        <v>8488</v>
      </c>
      <c r="G90">
        <v>8336</v>
      </c>
      <c r="H90">
        <v>5526</v>
      </c>
      <c r="I90">
        <v>859</v>
      </c>
      <c r="J90">
        <v>-17792</v>
      </c>
      <c r="K90">
        <v>317</v>
      </c>
    </row>
    <row r="91" spans="2:11" x14ac:dyDescent="0.25">
      <c r="B91">
        <v>-2271</v>
      </c>
      <c r="C91">
        <v>-835</v>
      </c>
      <c r="D91">
        <v>12860</v>
      </c>
      <c r="E91">
        <v>-4787</v>
      </c>
      <c r="F91">
        <v>23822</v>
      </c>
      <c r="G91">
        <v>-11169</v>
      </c>
      <c r="H91">
        <v>-9640</v>
      </c>
      <c r="I91">
        <v>8190</v>
      </c>
      <c r="J91">
        <v>1631</v>
      </c>
      <c r="K91">
        <v>4059</v>
      </c>
    </row>
    <row r="92" spans="2:11" x14ac:dyDescent="0.25">
      <c r="B92">
        <v>1878</v>
      </c>
      <c r="C92">
        <v>24732</v>
      </c>
      <c r="D92">
        <v>-3890</v>
      </c>
      <c r="E92">
        <v>-2739</v>
      </c>
      <c r="F92">
        <v>4429</v>
      </c>
      <c r="G92">
        <v>37966</v>
      </c>
      <c r="H92">
        <v>-2753</v>
      </c>
      <c r="I92">
        <v>3468</v>
      </c>
      <c r="J92">
        <v>7473</v>
      </c>
      <c r="K92">
        <v>-208</v>
      </c>
    </row>
    <row r="93" spans="2:11" x14ac:dyDescent="0.25">
      <c r="B93">
        <v>17023</v>
      </c>
      <c r="C93">
        <v>-2888</v>
      </c>
      <c r="D93">
        <v>-9803</v>
      </c>
      <c r="E93">
        <v>-8130</v>
      </c>
      <c r="F93">
        <v>-14617</v>
      </c>
      <c r="G93">
        <v>-317</v>
      </c>
      <c r="H93">
        <v>-6386</v>
      </c>
      <c r="I93">
        <v>-4567</v>
      </c>
      <c r="J93">
        <v>-792</v>
      </c>
      <c r="K93">
        <v>-5082</v>
      </c>
    </row>
    <row r="94" spans="2:11" x14ac:dyDescent="0.25">
      <c r="B94">
        <v>5620</v>
      </c>
      <c r="C94">
        <v>1621</v>
      </c>
      <c r="D94">
        <v>347</v>
      </c>
      <c r="E94">
        <v>3537</v>
      </c>
      <c r="F94">
        <v>952</v>
      </c>
      <c r="G94">
        <v>6550</v>
      </c>
      <c r="H94">
        <v>-5830</v>
      </c>
      <c r="I94">
        <v>7810</v>
      </c>
      <c r="J94">
        <v>1096</v>
      </c>
      <c r="K94">
        <v>3712</v>
      </c>
    </row>
    <row r="95" spans="2:11" x14ac:dyDescent="0.25">
      <c r="B95">
        <v>-79</v>
      </c>
      <c r="C95">
        <v>1939</v>
      </c>
      <c r="D95">
        <v>106</v>
      </c>
      <c r="E95">
        <v>-5508</v>
      </c>
      <c r="F95">
        <v>2392</v>
      </c>
      <c r="G95">
        <v>-81451</v>
      </c>
      <c r="H95">
        <v>11565</v>
      </c>
      <c r="I95">
        <v>-994</v>
      </c>
      <c r="J95">
        <v>2290</v>
      </c>
      <c r="K95">
        <v>1311</v>
      </c>
    </row>
    <row r="96" spans="2:11" x14ac:dyDescent="0.25">
      <c r="B96">
        <v>-485</v>
      </c>
      <c r="C96">
        <v>3489</v>
      </c>
      <c r="D96">
        <v>-2924</v>
      </c>
      <c r="E96">
        <v>-457</v>
      </c>
      <c r="F96">
        <v>-1324</v>
      </c>
      <c r="G96">
        <v>2099</v>
      </c>
      <c r="H96">
        <v>250</v>
      </c>
      <c r="I96">
        <v>-3878</v>
      </c>
      <c r="J96">
        <v>1306</v>
      </c>
      <c r="K96">
        <v>-2838</v>
      </c>
    </row>
    <row r="97" spans="2:11" x14ac:dyDescent="0.25">
      <c r="B97">
        <v>-173</v>
      </c>
      <c r="C97">
        <v>-2327</v>
      </c>
      <c r="D97">
        <v>-431</v>
      </c>
      <c r="E97">
        <v>-663</v>
      </c>
      <c r="F97">
        <v>-533</v>
      </c>
      <c r="G97">
        <v>-175</v>
      </c>
      <c r="H97">
        <v>-17843</v>
      </c>
      <c r="I97">
        <v>26977</v>
      </c>
      <c r="J97">
        <v>-38939</v>
      </c>
      <c r="K97">
        <v>11294</v>
      </c>
    </row>
    <row r="98" spans="2:11" x14ac:dyDescent="0.25">
      <c r="B98">
        <v>-10938</v>
      </c>
      <c r="C98">
        <v>16699</v>
      </c>
      <c r="D98">
        <v>9550</v>
      </c>
      <c r="E98">
        <v>2702</v>
      </c>
      <c r="F98">
        <v>13165</v>
      </c>
      <c r="G98">
        <v>-15347</v>
      </c>
      <c r="H98">
        <v>-3630</v>
      </c>
      <c r="I98">
        <v>-12929</v>
      </c>
      <c r="J98">
        <v>-20391</v>
      </c>
      <c r="K98">
        <v>-1147</v>
      </c>
    </row>
    <row r="99" spans="2:11" x14ac:dyDescent="0.25">
      <c r="B99">
        <v>-19380</v>
      </c>
      <c r="C99">
        <v>3297</v>
      </c>
      <c r="D99">
        <v>-19064</v>
      </c>
      <c r="E99">
        <v>-84</v>
      </c>
      <c r="F99">
        <v>-11000</v>
      </c>
      <c r="G99">
        <v>262</v>
      </c>
      <c r="H99">
        <v>-4164</v>
      </c>
      <c r="I99">
        <v>2791</v>
      </c>
      <c r="J99">
        <v>2402</v>
      </c>
      <c r="K99">
        <v>21747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10425</v>
      </c>
      <c r="H102">
        <v>18433</v>
      </c>
      <c r="I102">
        <v>-10139</v>
      </c>
      <c r="J102">
        <v>10228</v>
      </c>
      <c r="K102">
        <v>-22400</v>
      </c>
    </row>
    <row r="103" spans="2:11" x14ac:dyDescent="0.25">
      <c r="B103">
        <v>13085</v>
      </c>
      <c r="C103">
        <v>9111</v>
      </c>
      <c r="D103">
        <v>3263</v>
      </c>
      <c r="E103">
        <v>9178</v>
      </c>
      <c r="F103">
        <v>-10684</v>
      </c>
      <c r="G103">
        <v>-2705</v>
      </c>
      <c r="H103">
        <v>-23434</v>
      </c>
      <c r="I103">
        <v>-14300</v>
      </c>
      <c r="J103">
        <v>-1173</v>
      </c>
      <c r="K103">
        <v>-12392</v>
      </c>
    </row>
    <row r="104" spans="2:11" x14ac:dyDescent="0.25">
      <c r="B104">
        <v>-24960</v>
      </c>
      <c r="C104">
        <v>-9555</v>
      </c>
      <c r="D104">
        <v>-2146</v>
      </c>
      <c r="E104">
        <v>-7034</v>
      </c>
      <c r="F104">
        <v>-821</v>
      </c>
      <c r="G104">
        <v>-2229</v>
      </c>
      <c r="H104">
        <v>1230</v>
      </c>
      <c r="I104">
        <v>-2859</v>
      </c>
      <c r="J104">
        <v>2272</v>
      </c>
      <c r="K104">
        <v>10647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12405</v>
      </c>
      <c r="K107">
        <v>24713</v>
      </c>
    </row>
    <row r="108" spans="2:11" x14ac:dyDescent="0.25">
      <c r="B108">
        <v>-13750</v>
      </c>
      <c r="C108">
        <v>13796</v>
      </c>
      <c r="D108">
        <v>-29515</v>
      </c>
      <c r="E108">
        <v>18183</v>
      </c>
      <c r="F108">
        <v>12603</v>
      </c>
      <c r="G108">
        <v>3658</v>
      </c>
      <c r="H108">
        <v>5792</v>
      </c>
      <c r="I108">
        <v>-16536</v>
      </c>
      <c r="J108">
        <v>-4139</v>
      </c>
      <c r="K108">
        <v>-31170</v>
      </c>
    </row>
    <row r="109" spans="2:11" x14ac:dyDescent="0.25">
      <c r="B109">
        <v>-15814</v>
      </c>
      <c r="C109">
        <v>-1802</v>
      </c>
      <c r="D109">
        <v>-19445</v>
      </c>
      <c r="E109">
        <v>-19736</v>
      </c>
      <c r="F109">
        <v>-14332</v>
      </c>
      <c r="G109">
        <v>-595</v>
      </c>
      <c r="H109">
        <v>-9731</v>
      </c>
      <c r="I109">
        <v>-778</v>
      </c>
      <c r="J109">
        <v>-3190</v>
      </c>
      <c r="K109">
        <v>783</v>
      </c>
    </row>
    <row r="110" spans="2:11" x14ac:dyDescent="0.25">
      <c r="B110">
        <v>-3440</v>
      </c>
      <c r="C110">
        <v>2559</v>
      </c>
      <c r="D110">
        <v>13286</v>
      </c>
      <c r="E110">
        <v>0</v>
      </c>
      <c r="F110">
        <v>78489</v>
      </c>
      <c r="G110">
        <v>0</v>
      </c>
      <c r="H110">
        <v>759</v>
      </c>
      <c r="I110">
        <v>-2477</v>
      </c>
      <c r="J110">
        <v>-753</v>
      </c>
      <c r="K110">
        <v>-1215</v>
      </c>
    </row>
    <row r="111" spans="2:11" x14ac:dyDescent="0.25">
      <c r="B111">
        <v>-30539</v>
      </c>
      <c r="C111">
        <v>-1391</v>
      </c>
      <c r="D111">
        <v>1478</v>
      </c>
      <c r="E111">
        <v>463</v>
      </c>
      <c r="F111">
        <v>9135</v>
      </c>
      <c r="G111">
        <v>1957</v>
      </c>
      <c r="H111">
        <v>143</v>
      </c>
      <c r="I111">
        <v>-30564</v>
      </c>
      <c r="J111">
        <v>-1220</v>
      </c>
      <c r="K111">
        <v>-1179</v>
      </c>
    </row>
    <row r="112" spans="2:11" x14ac:dyDescent="0.25">
      <c r="B112">
        <v>2605</v>
      </c>
      <c r="C112">
        <v>-58</v>
      </c>
      <c r="D112">
        <v>-295</v>
      </c>
      <c r="E112">
        <v>933</v>
      </c>
      <c r="F112">
        <v>819</v>
      </c>
      <c r="G112">
        <v>70</v>
      </c>
      <c r="H112">
        <v>197</v>
      </c>
      <c r="I112">
        <v>-146</v>
      </c>
      <c r="J112">
        <v>13191</v>
      </c>
      <c r="K112">
        <v>-892</v>
      </c>
    </row>
    <row r="113" spans="2:11" x14ac:dyDescent="0.25">
      <c r="B113">
        <v>-1457</v>
      </c>
      <c r="C113">
        <v>0</v>
      </c>
      <c r="D113">
        <v>-548</v>
      </c>
      <c r="E113">
        <v>0</v>
      </c>
      <c r="F113">
        <v>-2401</v>
      </c>
      <c r="G113">
        <v>14199</v>
      </c>
      <c r="H113">
        <v>36859</v>
      </c>
      <c r="I113">
        <v>-19408</v>
      </c>
      <c r="J113">
        <v>22664</v>
      </c>
      <c r="K113">
        <v>-40784</v>
      </c>
    </row>
    <row r="114" spans="2:11" x14ac:dyDescent="0.25">
      <c r="B114">
        <v>26062</v>
      </c>
      <c r="C114">
        <v>17898</v>
      </c>
      <c r="D114">
        <v>10646</v>
      </c>
      <c r="E114">
        <v>21046</v>
      </c>
      <c r="F114">
        <v>-21913</v>
      </c>
      <c r="G114">
        <v>-6832</v>
      </c>
      <c r="H114">
        <v>-43664</v>
      </c>
      <c r="I114">
        <v>-16700</v>
      </c>
      <c r="J114">
        <v>-4242</v>
      </c>
      <c r="K114">
        <v>-25014</v>
      </c>
    </row>
    <row r="115" spans="2:11" x14ac:dyDescent="0.25">
      <c r="B115">
        <v>1029</v>
      </c>
      <c r="C115">
        <v>-27821</v>
      </c>
      <c r="D115">
        <v>-957</v>
      </c>
      <c r="E115">
        <v>-14270</v>
      </c>
      <c r="F115">
        <v>708</v>
      </c>
      <c r="G115">
        <v>-6410</v>
      </c>
      <c r="H115">
        <v>-630</v>
      </c>
      <c r="I115">
        <v>-8663</v>
      </c>
      <c r="J115">
        <v>2400</v>
      </c>
      <c r="K115">
        <v>18417</v>
      </c>
    </row>
    <row r="116" spans="2:11" x14ac:dyDescent="0.25">
      <c r="B116">
        <v>0</v>
      </c>
      <c r="C116">
        <v>9936</v>
      </c>
      <c r="D116">
        <v>0</v>
      </c>
      <c r="E116">
        <v>12910</v>
      </c>
      <c r="F116">
        <v>30423</v>
      </c>
      <c r="G116">
        <v>9225</v>
      </c>
      <c r="H116">
        <v>20932</v>
      </c>
      <c r="I116">
        <v>-9938</v>
      </c>
      <c r="J116">
        <v>12291</v>
      </c>
      <c r="K116">
        <v>-39154</v>
      </c>
    </row>
    <row r="117" spans="2:11" x14ac:dyDescent="0.25">
      <c r="B117">
        <v>12201</v>
      </c>
      <c r="C117">
        <v>6455</v>
      </c>
      <c r="D117">
        <v>12735</v>
      </c>
      <c r="E117">
        <v>10363</v>
      </c>
      <c r="F117">
        <v>-11448</v>
      </c>
      <c r="G117">
        <v>-3390</v>
      </c>
      <c r="H117">
        <v>-40574</v>
      </c>
      <c r="I117">
        <v>-7351</v>
      </c>
      <c r="J117">
        <v>-3026</v>
      </c>
      <c r="K117">
        <v>-13124</v>
      </c>
    </row>
    <row r="118" spans="2:11" x14ac:dyDescent="0.25">
      <c r="B118">
        <v>4972</v>
      </c>
      <c r="C118">
        <v>-17511</v>
      </c>
      <c r="D118">
        <v>-1630</v>
      </c>
      <c r="E118">
        <v>-8490</v>
      </c>
      <c r="F118">
        <v>468</v>
      </c>
      <c r="G118">
        <v>-3569</v>
      </c>
      <c r="H118">
        <v>-777</v>
      </c>
      <c r="I118">
        <v>-5066</v>
      </c>
      <c r="J118">
        <v>1179</v>
      </c>
      <c r="K118">
        <v>8467</v>
      </c>
    </row>
    <row r="119" spans="2:11" x14ac:dyDescent="0.25">
      <c r="B119">
        <v>0</v>
      </c>
      <c r="C119">
        <v>6314</v>
      </c>
      <c r="D119">
        <v>0</v>
      </c>
      <c r="E119">
        <v>7689</v>
      </c>
      <c r="F119">
        <v>46291</v>
      </c>
      <c r="G119">
        <v>45042</v>
      </c>
      <c r="H119">
        <v>9969</v>
      </c>
      <c r="I119">
        <v>23453</v>
      </c>
      <c r="J119">
        <v>-10623</v>
      </c>
      <c r="K119">
        <v>10147</v>
      </c>
    </row>
    <row r="120" spans="2:11" x14ac:dyDescent="0.25">
      <c r="B120">
        <v>-9194</v>
      </c>
      <c r="C120">
        <v>13386</v>
      </c>
      <c r="D120">
        <v>9183</v>
      </c>
      <c r="E120">
        <v>2620</v>
      </c>
      <c r="F120">
        <v>8761</v>
      </c>
      <c r="G120">
        <v>-13091</v>
      </c>
      <c r="H120">
        <v>-3565</v>
      </c>
      <c r="I120">
        <v>-10594</v>
      </c>
      <c r="J120">
        <v>-13368</v>
      </c>
      <c r="K120">
        <v>-2390</v>
      </c>
    </row>
    <row r="121" spans="2:11" x14ac:dyDescent="0.25">
      <c r="B121">
        <v>-15234</v>
      </c>
      <c r="C121">
        <v>5649</v>
      </c>
      <c r="D121">
        <v>-16129</v>
      </c>
      <c r="E121">
        <v>-1544</v>
      </c>
      <c r="F121">
        <v>-43393</v>
      </c>
      <c r="G121">
        <v>1483</v>
      </c>
      <c r="H121">
        <v>4426</v>
      </c>
      <c r="I121">
        <v>383</v>
      </c>
      <c r="J121">
        <v>-9523</v>
      </c>
      <c r="K121">
        <v>2557</v>
      </c>
    </row>
    <row r="122" spans="2:11" x14ac:dyDescent="0.25">
      <c r="B122">
        <v>10526</v>
      </c>
      <c r="C122">
        <v>0</v>
      </c>
      <c r="D122">
        <v>8109</v>
      </c>
      <c r="E122">
        <v>0</v>
      </c>
      <c r="F122">
        <v>9876</v>
      </c>
      <c r="G122">
        <v>-2167</v>
      </c>
      <c r="H122">
        <v>13254</v>
      </c>
      <c r="I122">
        <v>19174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2338</v>
      </c>
      <c r="C133">
        <v>6520</v>
      </c>
      <c r="D133">
        <v>-5236</v>
      </c>
      <c r="E133">
        <v>6099</v>
      </c>
      <c r="F133">
        <v>-5034</v>
      </c>
      <c r="G133">
        <v>3792</v>
      </c>
      <c r="H133">
        <v>882</v>
      </c>
      <c r="I133">
        <v>1115</v>
      </c>
      <c r="J133">
        <v>2200</v>
      </c>
      <c r="K133">
        <v>-3778</v>
      </c>
    </row>
    <row r="134" spans="2:11" x14ac:dyDescent="0.25">
      <c r="B134">
        <v>-1038</v>
      </c>
      <c r="C134">
        <v>-5461</v>
      </c>
      <c r="D134">
        <v>-1379</v>
      </c>
      <c r="E134">
        <v>402</v>
      </c>
      <c r="F134">
        <v>-4400</v>
      </c>
      <c r="G134">
        <v>-2233</v>
      </c>
      <c r="H134">
        <v>-4676</v>
      </c>
      <c r="I134">
        <v>454</v>
      </c>
      <c r="J134">
        <v>-70938</v>
      </c>
      <c r="K134">
        <v>749</v>
      </c>
    </row>
    <row r="135" spans="2:11" x14ac:dyDescent="0.25">
      <c r="B135">
        <v>5635</v>
      </c>
      <c r="C135">
        <v>-830</v>
      </c>
      <c r="D135">
        <v>-1159</v>
      </c>
      <c r="E135">
        <v>1465</v>
      </c>
      <c r="F135">
        <v>2742</v>
      </c>
      <c r="G135">
        <v>0</v>
      </c>
      <c r="H135">
        <v>1810</v>
      </c>
      <c r="I135">
        <v>0</v>
      </c>
      <c r="J135">
        <v>2562</v>
      </c>
      <c r="K135">
        <v>-104</v>
      </c>
    </row>
    <row r="136" spans="2:11" x14ac:dyDescent="0.25">
      <c r="B136">
        <v>4268</v>
      </c>
      <c r="C136">
        <v>2113</v>
      </c>
      <c r="D136">
        <v>7150</v>
      </c>
      <c r="E136">
        <v>0</v>
      </c>
      <c r="F136">
        <v>0</v>
      </c>
      <c r="G136">
        <v>0</v>
      </c>
      <c r="H136">
        <v>-1356</v>
      </c>
      <c r="I136">
        <v>14309</v>
      </c>
      <c r="J136">
        <v>-7673</v>
      </c>
      <c r="K136">
        <v>16076</v>
      </c>
    </row>
    <row r="137" spans="2:11" x14ac:dyDescent="0.25">
      <c r="B137">
        <v>-3262</v>
      </c>
      <c r="C137">
        <v>7816</v>
      </c>
      <c r="D137">
        <v>4256</v>
      </c>
      <c r="E137">
        <v>1370</v>
      </c>
      <c r="F137">
        <v>6597</v>
      </c>
      <c r="G137">
        <v>-7331</v>
      </c>
      <c r="H137">
        <v>-1834</v>
      </c>
      <c r="I137">
        <v>-4094</v>
      </c>
      <c r="J137">
        <v>-1065</v>
      </c>
      <c r="K137">
        <v>790</v>
      </c>
    </row>
    <row r="138" spans="2:11" x14ac:dyDescent="0.25">
      <c r="B138">
        <v>-8868</v>
      </c>
      <c r="C138">
        <v>5638</v>
      </c>
      <c r="D138">
        <v>-9107</v>
      </c>
      <c r="E138">
        <v>669</v>
      </c>
      <c r="F138">
        <v>1464</v>
      </c>
      <c r="G138">
        <v>-3008</v>
      </c>
      <c r="H138">
        <v>4556</v>
      </c>
      <c r="I138">
        <v>888</v>
      </c>
      <c r="J138">
        <v>-2676</v>
      </c>
      <c r="K138">
        <v>3741</v>
      </c>
    </row>
    <row r="139" spans="2:11" x14ac:dyDescent="0.25">
      <c r="B139">
        <v>11745</v>
      </c>
      <c r="C139">
        <v>0</v>
      </c>
      <c r="D139">
        <v>5532</v>
      </c>
      <c r="E139">
        <v>0</v>
      </c>
      <c r="F139">
        <v>6792</v>
      </c>
      <c r="G139">
        <v>-869</v>
      </c>
      <c r="H139">
        <v>8637</v>
      </c>
      <c r="I139">
        <v>4351</v>
      </c>
      <c r="J139">
        <v>5220</v>
      </c>
      <c r="K139">
        <v>0</v>
      </c>
    </row>
    <row r="140" spans="2:11" x14ac:dyDescent="0.25">
      <c r="B140">
        <v>0</v>
      </c>
      <c r="C140">
        <v>0</v>
      </c>
      <c r="D140">
        <v>-38461</v>
      </c>
      <c r="E140">
        <v>-11075</v>
      </c>
      <c r="F140">
        <v>-481</v>
      </c>
      <c r="G140">
        <v>319</v>
      </c>
      <c r="H140">
        <v>-1503</v>
      </c>
      <c r="I140">
        <v>2268</v>
      </c>
      <c r="J140">
        <v>-323</v>
      </c>
      <c r="K140">
        <v>-551</v>
      </c>
    </row>
    <row r="141" spans="2:11" x14ac:dyDescent="0.25">
      <c r="B141">
        <v>-494</v>
      </c>
      <c r="C141">
        <v>-67</v>
      </c>
      <c r="D141">
        <v>738</v>
      </c>
      <c r="E141">
        <v>341</v>
      </c>
      <c r="F141">
        <v>2213</v>
      </c>
      <c r="G141">
        <v>-980</v>
      </c>
      <c r="H141">
        <v>67</v>
      </c>
      <c r="I141">
        <v>321</v>
      </c>
      <c r="J141">
        <v>2254</v>
      </c>
      <c r="K141">
        <v>-5</v>
      </c>
    </row>
    <row r="142" spans="2:11" x14ac:dyDescent="0.25">
      <c r="B142">
        <v>-582</v>
      </c>
      <c r="C142">
        <v>-302</v>
      </c>
      <c r="D142">
        <v>1683</v>
      </c>
      <c r="E142">
        <v>-4897</v>
      </c>
      <c r="F142">
        <v>391</v>
      </c>
      <c r="G142">
        <v>325</v>
      </c>
      <c r="H142">
        <v>781</v>
      </c>
      <c r="I142">
        <v>10675</v>
      </c>
      <c r="J142">
        <v>0</v>
      </c>
      <c r="K142">
        <v>96</v>
      </c>
    </row>
    <row r="143" spans="2:11" x14ac:dyDescent="0.25">
      <c r="B143">
        <v>0</v>
      </c>
      <c r="C143">
        <v>40</v>
      </c>
      <c r="D143">
        <v>-352</v>
      </c>
      <c r="E143">
        <v>1102</v>
      </c>
      <c r="F143">
        <v>-141</v>
      </c>
      <c r="G143">
        <v>5454</v>
      </c>
      <c r="H143">
        <v>0</v>
      </c>
      <c r="I143">
        <v>0</v>
      </c>
      <c r="J143">
        <v>0</v>
      </c>
      <c r="K143">
        <v>-6368</v>
      </c>
    </row>
    <row r="144" spans="2:11" x14ac:dyDescent="0.25">
      <c r="B144">
        <v>-26948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6007</v>
      </c>
      <c r="C148">
        <v>24898</v>
      </c>
      <c r="D148">
        <v>-3816</v>
      </c>
      <c r="E148">
        <v>13113</v>
      </c>
      <c r="F148">
        <v>1809</v>
      </c>
      <c r="G148">
        <v>13020</v>
      </c>
      <c r="H148">
        <v>7565</v>
      </c>
      <c r="I148">
        <v>2273</v>
      </c>
      <c r="J148">
        <v>5975</v>
      </c>
      <c r="K148">
        <v>-12897</v>
      </c>
    </row>
    <row r="149" spans="2:11" x14ac:dyDescent="0.25">
      <c r="B149">
        <v>-3322</v>
      </c>
      <c r="C149">
        <v>486</v>
      </c>
      <c r="D149">
        <v>-10873</v>
      </c>
      <c r="E149">
        <v>-2817</v>
      </c>
      <c r="F149">
        <v>-15280</v>
      </c>
      <c r="G149">
        <v>19856</v>
      </c>
      <c r="H149">
        <v>-17786</v>
      </c>
      <c r="I149">
        <v>-1696</v>
      </c>
      <c r="J149">
        <v>-3523</v>
      </c>
      <c r="K149">
        <v>619</v>
      </c>
    </row>
    <row r="150" spans="2:11" x14ac:dyDescent="0.25">
      <c r="B150">
        <v>-3628</v>
      </c>
      <c r="C150">
        <v>5020</v>
      </c>
      <c r="D150">
        <v>-16145</v>
      </c>
      <c r="E150">
        <v>712</v>
      </c>
      <c r="F150">
        <v>11550</v>
      </c>
      <c r="G150">
        <v>0</v>
      </c>
      <c r="H150">
        <v>7318</v>
      </c>
      <c r="I150">
        <v>0</v>
      </c>
      <c r="J150">
        <v>9257</v>
      </c>
      <c r="K150">
        <v>-4065</v>
      </c>
    </row>
    <row r="151" spans="2:11" x14ac:dyDescent="0.25">
      <c r="B151">
        <v>38602</v>
      </c>
      <c r="C151">
        <v>11690</v>
      </c>
      <c r="D151">
        <v>10477</v>
      </c>
      <c r="E151">
        <v>0</v>
      </c>
      <c r="F151">
        <v>0</v>
      </c>
      <c r="G151">
        <v>0</v>
      </c>
      <c r="H151">
        <v>2319</v>
      </c>
      <c r="I151">
        <v>4769</v>
      </c>
      <c r="J151">
        <v>1545</v>
      </c>
      <c r="K151">
        <v>0</v>
      </c>
    </row>
    <row r="152" spans="2:11" x14ac:dyDescent="0.25">
      <c r="B152">
        <v>24182</v>
      </c>
      <c r="C152">
        <v>64555</v>
      </c>
      <c r="D152">
        <v>-22685</v>
      </c>
      <c r="E152">
        <v>29071</v>
      </c>
      <c r="F152">
        <v>-15404</v>
      </c>
      <c r="G152">
        <v>35007</v>
      </c>
      <c r="H152">
        <v>23528</v>
      </c>
      <c r="I152">
        <v>6748</v>
      </c>
      <c r="J152">
        <v>19896</v>
      </c>
      <c r="K152">
        <v>-33563</v>
      </c>
    </row>
    <row r="153" spans="2:11" x14ac:dyDescent="0.25">
      <c r="B153">
        <v>-9023</v>
      </c>
      <c r="C153">
        <v>-18915</v>
      </c>
      <c r="D153">
        <v>-30618</v>
      </c>
      <c r="E153">
        <v>-5520</v>
      </c>
      <c r="F153">
        <v>-39173</v>
      </c>
      <c r="G153">
        <v>21374</v>
      </c>
      <c r="H153">
        <v>-39705</v>
      </c>
      <c r="I153">
        <v>-2180</v>
      </c>
      <c r="J153">
        <v>-18208</v>
      </c>
      <c r="K153">
        <v>582</v>
      </c>
    </row>
    <row r="154" spans="2:11" x14ac:dyDescent="0.25">
      <c r="B154">
        <v>-9374</v>
      </c>
      <c r="C154">
        <v>4674</v>
      </c>
      <c r="D154">
        <v>-19141</v>
      </c>
      <c r="E154">
        <v>3967</v>
      </c>
      <c r="F154">
        <v>26444</v>
      </c>
      <c r="G154">
        <v>0</v>
      </c>
      <c r="H154">
        <v>19435</v>
      </c>
      <c r="I154">
        <v>0</v>
      </c>
      <c r="J154">
        <v>24074</v>
      </c>
      <c r="K154">
        <v>-4575</v>
      </c>
    </row>
    <row r="155" spans="2:11" x14ac:dyDescent="0.25">
      <c r="B155">
        <v>36453</v>
      </c>
      <c r="C155">
        <v>36244</v>
      </c>
      <c r="D155">
        <v>36427</v>
      </c>
      <c r="E155">
        <v>0</v>
      </c>
      <c r="F155">
        <v>0</v>
      </c>
      <c r="G155">
        <v>0</v>
      </c>
      <c r="H155">
        <v>5595</v>
      </c>
      <c r="I155">
        <v>13818</v>
      </c>
      <c r="J155">
        <v>812</v>
      </c>
      <c r="K155">
        <v>0</v>
      </c>
    </row>
    <row r="156" spans="2:11" x14ac:dyDescent="0.25">
      <c r="B156">
        <v>40470</v>
      </c>
      <c r="C156">
        <v>-7659</v>
      </c>
      <c r="D156">
        <v>16297</v>
      </c>
      <c r="E156">
        <v>-8561</v>
      </c>
      <c r="F156">
        <v>20403</v>
      </c>
      <c r="G156">
        <v>1877</v>
      </c>
      <c r="H156">
        <v>6386</v>
      </c>
      <c r="I156">
        <v>2766</v>
      </c>
      <c r="J156">
        <v>1541</v>
      </c>
      <c r="K156">
        <v>7864</v>
      </c>
    </row>
    <row r="157" spans="2:11" x14ac:dyDescent="0.25">
      <c r="B157">
        <v>-6125</v>
      </c>
      <c r="C157">
        <v>-1271</v>
      </c>
      <c r="D157">
        <v>1221</v>
      </c>
      <c r="E157">
        <v>2324</v>
      </c>
      <c r="F157">
        <v>2507</v>
      </c>
      <c r="G157">
        <v>-7776</v>
      </c>
      <c r="H157">
        <v>13309</v>
      </c>
      <c r="I157">
        <v>-8060</v>
      </c>
      <c r="J157">
        <v>884</v>
      </c>
      <c r="K157">
        <v>-4543</v>
      </c>
    </row>
    <row r="158" spans="2:11" x14ac:dyDescent="0.25">
      <c r="B158">
        <v>354</v>
      </c>
      <c r="C158">
        <v>-1708</v>
      </c>
      <c r="D158">
        <v>7365</v>
      </c>
      <c r="E158">
        <v>-1702</v>
      </c>
      <c r="F158">
        <v>8774</v>
      </c>
      <c r="G158">
        <v>18021</v>
      </c>
      <c r="H158">
        <v>0</v>
      </c>
      <c r="I158">
        <v>6268</v>
      </c>
      <c r="J158">
        <v>0</v>
      </c>
      <c r="K158">
        <v>7468</v>
      </c>
    </row>
    <row r="159" spans="2:11" x14ac:dyDescent="0.25">
      <c r="B159">
        <v>-1032</v>
      </c>
      <c r="C159">
        <v>8416</v>
      </c>
      <c r="D159">
        <v>3703</v>
      </c>
      <c r="E159">
        <v>6402</v>
      </c>
      <c r="F159">
        <v>0</v>
      </c>
      <c r="G159">
        <v>0</v>
      </c>
      <c r="H159">
        <v>0</v>
      </c>
      <c r="I159">
        <v>768</v>
      </c>
      <c r="J159">
        <v>25832</v>
      </c>
      <c r="K159">
        <v>-402</v>
      </c>
    </row>
    <row r="160" spans="2:11" x14ac:dyDescent="0.25">
      <c r="B160">
        <v>0</v>
      </c>
      <c r="C160">
        <v>5541</v>
      </c>
      <c r="D160">
        <v>11082</v>
      </c>
      <c r="E160">
        <v>-11949</v>
      </c>
      <c r="F160">
        <v>-8804</v>
      </c>
      <c r="G160">
        <v>10295</v>
      </c>
      <c r="H160">
        <v>-3095</v>
      </c>
      <c r="I160">
        <v>14183</v>
      </c>
      <c r="J160">
        <v>-2243</v>
      </c>
      <c r="K160">
        <v>-1926</v>
      </c>
    </row>
    <row r="161" spans="2:11" x14ac:dyDescent="0.25">
      <c r="B161">
        <v>-1336</v>
      </c>
      <c r="C161">
        <v>1123</v>
      </c>
      <c r="D161">
        <v>1656</v>
      </c>
      <c r="E161">
        <v>557</v>
      </c>
      <c r="F161">
        <v>14170</v>
      </c>
      <c r="G161">
        <v>191</v>
      </c>
      <c r="H161">
        <v>776</v>
      </c>
      <c r="I161">
        <v>1440</v>
      </c>
      <c r="J161">
        <v>18231</v>
      </c>
      <c r="K161">
        <v>1383</v>
      </c>
    </row>
    <row r="162" spans="2:11" x14ac:dyDescent="0.25">
      <c r="B162">
        <v>-800</v>
      </c>
      <c r="C162">
        <v>6729</v>
      </c>
      <c r="D162">
        <v>305</v>
      </c>
      <c r="E162">
        <v>698</v>
      </c>
      <c r="F162">
        <v>-2035</v>
      </c>
      <c r="G162">
        <v>1232</v>
      </c>
      <c r="H162">
        <v>-4847</v>
      </c>
      <c r="I162">
        <v>6803</v>
      </c>
      <c r="J162">
        <v>0</v>
      </c>
      <c r="K162">
        <v>-1116</v>
      </c>
    </row>
    <row r="163" spans="2:11" x14ac:dyDescent="0.25">
      <c r="B163">
        <v>0</v>
      </c>
      <c r="C163">
        <v>-1575</v>
      </c>
      <c r="D163">
        <v>849</v>
      </c>
      <c r="E163">
        <v>-1031</v>
      </c>
      <c r="F163">
        <v>-423</v>
      </c>
      <c r="G163">
        <v>-2550</v>
      </c>
      <c r="H163">
        <v>0</v>
      </c>
      <c r="I163">
        <v>0</v>
      </c>
      <c r="J163">
        <v>0</v>
      </c>
      <c r="K163">
        <v>212</v>
      </c>
    </row>
    <row r="164" spans="2:11" x14ac:dyDescent="0.25">
      <c r="B164">
        <v>-4535</v>
      </c>
      <c r="C164">
        <v>7193</v>
      </c>
      <c r="D164">
        <v>0</v>
      </c>
      <c r="E164">
        <v>-4162</v>
      </c>
      <c r="F164">
        <v>4609</v>
      </c>
      <c r="G164">
        <v>-67872</v>
      </c>
      <c r="H164">
        <v>-33844</v>
      </c>
      <c r="I164">
        <v>-80602</v>
      </c>
      <c r="J164">
        <v>46284</v>
      </c>
      <c r="K164">
        <v>-48229</v>
      </c>
    </row>
    <row r="165" spans="2:11" x14ac:dyDescent="0.25">
      <c r="B165">
        <v>46995</v>
      </c>
      <c r="C165">
        <v>-47720</v>
      </c>
      <c r="D165">
        <v>-31903</v>
      </c>
      <c r="E165">
        <v>-8740</v>
      </c>
      <c r="F165">
        <v>-32601</v>
      </c>
      <c r="G165">
        <v>46361</v>
      </c>
      <c r="H165">
        <v>12723</v>
      </c>
      <c r="I165">
        <v>52079</v>
      </c>
      <c r="J165">
        <v>35193</v>
      </c>
      <c r="K165">
        <v>5786</v>
      </c>
    </row>
    <row r="166" spans="2:11" x14ac:dyDescent="0.25">
      <c r="B166">
        <v>53957</v>
      </c>
      <c r="C166">
        <v>11049</v>
      </c>
      <c r="D166">
        <v>51534</v>
      </c>
      <c r="E166">
        <v>-1536</v>
      </c>
      <c r="F166">
        <v>33344</v>
      </c>
      <c r="G166">
        <v>-704</v>
      </c>
      <c r="H166">
        <v>13851</v>
      </c>
      <c r="I166">
        <v>3374</v>
      </c>
      <c r="J166">
        <v>13007</v>
      </c>
      <c r="K166">
        <v>-5635</v>
      </c>
    </row>
    <row r="167" spans="2:11" x14ac:dyDescent="0.25">
      <c r="B167">
        <v>-36657</v>
      </c>
      <c r="C167">
        <v>0</v>
      </c>
      <c r="D167">
        <v>-23150</v>
      </c>
      <c r="E167">
        <v>0</v>
      </c>
      <c r="F167">
        <v>-29906</v>
      </c>
      <c r="G167">
        <v>2081</v>
      </c>
      <c r="H167">
        <v>-46017</v>
      </c>
      <c r="I167">
        <v>-25909</v>
      </c>
      <c r="J167">
        <v>-28292</v>
      </c>
      <c r="K167">
        <v>0</v>
      </c>
    </row>
    <row r="168" spans="2:11" x14ac:dyDescent="0.25">
      <c r="B168">
        <v>0</v>
      </c>
      <c r="C168">
        <v>0</v>
      </c>
      <c r="D168">
        <v>-9155</v>
      </c>
      <c r="E168">
        <v>-18609</v>
      </c>
      <c r="F168">
        <v>398</v>
      </c>
      <c r="G168">
        <v>0</v>
      </c>
      <c r="H168">
        <v>-28733</v>
      </c>
      <c r="I168">
        <v>-72155</v>
      </c>
      <c r="J168">
        <v>-17712</v>
      </c>
      <c r="K168">
        <v>2817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L44"/>
  <sheetViews>
    <sheetView workbookViewId="0">
      <selection activeCell="J12" sqref="J12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265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240</v>
      </c>
      <c r="B8" t="s">
        <v>241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0.55491898148148155</v>
      </c>
      <c r="G9" t="s">
        <v>235</v>
      </c>
      <c r="H9">
        <v>25</v>
      </c>
      <c r="I9" t="s">
        <v>263</v>
      </c>
      <c r="J9">
        <v>16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1.1237337245300001</v>
      </c>
      <c r="F11">
        <v>0.30334200688000001</v>
      </c>
    </row>
    <row r="12" spans="1:11" x14ac:dyDescent="0.25">
      <c r="B12">
        <v>2</v>
      </c>
      <c r="C12" t="s">
        <v>65</v>
      </c>
      <c r="D12" t="s">
        <v>64</v>
      </c>
      <c r="E12">
        <v>0.86183614476100001</v>
      </c>
      <c r="F12">
        <v>0.16474248438299999</v>
      </c>
    </row>
    <row r="13" spans="1:11" x14ac:dyDescent="0.25">
      <c r="B13">
        <v>20</v>
      </c>
      <c r="C13" t="s">
        <v>69</v>
      </c>
      <c r="D13" t="s">
        <v>64</v>
      </c>
      <c r="E13">
        <v>-4.7905352725499997</v>
      </c>
      <c r="F13">
        <v>0.98002855584299997</v>
      </c>
    </row>
    <row r="14" spans="1:11" x14ac:dyDescent="0.25">
      <c r="B14">
        <v>30</v>
      </c>
      <c r="C14" t="s">
        <v>76</v>
      </c>
      <c r="D14" t="s">
        <v>64</v>
      </c>
      <c r="E14">
        <v>-4.7133255538499998</v>
      </c>
      <c r="F14">
        <v>0.78965735436999995</v>
      </c>
    </row>
    <row r="15" spans="1:11" x14ac:dyDescent="0.25">
      <c r="B15">
        <v>40</v>
      </c>
      <c r="C15" t="s">
        <v>79</v>
      </c>
      <c r="D15" t="s">
        <v>64</v>
      </c>
      <c r="E15">
        <v>-4.0965030205600002</v>
      </c>
      <c r="F15">
        <v>0.77119785792399997</v>
      </c>
    </row>
    <row r="16" spans="1:11" x14ac:dyDescent="0.25">
      <c r="B16">
        <v>50</v>
      </c>
      <c r="C16" t="s">
        <v>84</v>
      </c>
      <c r="D16" t="s">
        <v>64</v>
      </c>
      <c r="E16">
        <v>-3.4804368051500001</v>
      </c>
      <c r="F16">
        <v>0.771734676954</v>
      </c>
    </row>
    <row r="17" spans="2:11" x14ac:dyDescent="0.25">
      <c r="B17">
        <v>54</v>
      </c>
      <c r="C17" t="s">
        <v>86</v>
      </c>
      <c r="D17" t="s">
        <v>64</v>
      </c>
      <c r="E17">
        <v>0.97510624866100004</v>
      </c>
      <c r="F17">
        <v>0.89739255443099997</v>
      </c>
    </row>
    <row r="18" spans="2:11" x14ac:dyDescent="0.25">
      <c r="B18">
        <v>55</v>
      </c>
      <c r="C18" t="s">
        <v>200</v>
      </c>
      <c r="D18" t="s">
        <v>64</v>
      </c>
      <c r="E18">
        <v>0.14671643063500001</v>
      </c>
      <c r="F18">
        <v>0.36361883445299997</v>
      </c>
    </row>
    <row r="19" spans="2:11" x14ac:dyDescent="0.25">
      <c r="B19">
        <v>58</v>
      </c>
      <c r="C19" t="s">
        <v>201</v>
      </c>
      <c r="D19" t="s">
        <v>64</v>
      </c>
      <c r="E19">
        <v>2.1275969903499998</v>
      </c>
      <c r="F19">
        <v>0.59092289655399999</v>
      </c>
    </row>
    <row r="20" spans="2:11" x14ac:dyDescent="0.25">
      <c r="B20">
        <v>59</v>
      </c>
      <c r="C20" t="s">
        <v>202</v>
      </c>
      <c r="D20" t="s">
        <v>64</v>
      </c>
      <c r="E20">
        <v>1.74975968113</v>
      </c>
      <c r="F20">
        <v>0.61586796181699999</v>
      </c>
    </row>
    <row r="21" spans="2:11" x14ac:dyDescent="0.25">
      <c r="B21">
        <v>60</v>
      </c>
      <c r="C21" t="s">
        <v>89</v>
      </c>
      <c r="D21" t="s">
        <v>64</v>
      </c>
      <c r="E21">
        <v>-6.3776051105600002</v>
      </c>
      <c r="F21">
        <v>1.0399279453800001</v>
      </c>
    </row>
    <row r="22" spans="2:11" x14ac:dyDescent="0.25">
      <c r="B22">
        <v>61</v>
      </c>
      <c r="C22" t="s">
        <v>90</v>
      </c>
      <c r="D22" t="s">
        <v>64</v>
      </c>
      <c r="E22" s="35">
        <v>-0.40221769537000002</v>
      </c>
      <c r="F22">
        <v>0.98038106821600002</v>
      </c>
    </row>
    <row r="23" spans="2:11" x14ac:dyDescent="0.25">
      <c r="B23">
        <v>69</v>
      </c>
      <c r="C23" t="s">
        <v>203</v>
      </c>
      <c r="D23" t="s">
        <v>64</v>
      </c>
      <c r="E23">
        <v>2.9044382565300002</v>
      </c>
      <c r="F23">
        <v>1.00067132879</v>
      </c>
    </row>
    <row r="24" spans="2:11" x14ac:dyDescent="0.25">
      <c r="B24">
        <v>79</v>
      </c>
      <c r="C24" t="s">
        <v>204</v>
      </c>
      <c r="D24" t="s">
        <v>73</v>
      </c>
      <c r="E24">
        <v>5</v>
      </c>
      <c r="F24">
        <v>0</v>
      </c>
    </row>
    <row r="25" spans="2:11" x14ac:dyDescent="0.25">
      <c r="B25">
        <v>88</v>
      </c>
      <c r="C25" t="s">
        <v>205</v>
      </c>
      <c r="D25" t="s">
        <v>64</v>
      </c>
      <c r="E25">
        <v>0.53543285841400001</v>
      </c>
      <c r="F25">
        <v>0.40277430181399998</v>
      </c>
    </row>
    <row r="26" spans="2:11" x14ac:dyDescent="0.25">
      <c r="B26">
        <v>89</v>
      </c>
      <c r="C26" t="s">
        <v>206</v>
      </c>
      <c r="D26" t="s">
        <v>64</v>
      </c>
      <c r="E26">
        <v>1.1826209493099999</v>
      </c>
      <c r="F26">
        <v>0.54170029730799996</v>
      </c>
    </row>
    <row r="27" spans="2:11" x14ac:dyDescent="0.25">
      <c r="B27">
        <v>99</v>
      </c>
      <c r="C27" t="s">
        <v>106</v>
      </c>
      <c r="D27" t="s">
        <v>64</v>
      </c>
      <c r="E27">
        <v>0.88959318905899998</v>
      </c>
      <c r="F27">
        <v>0.177685142273</v>
      </c>
    </row>
    <row r="28" spans="2:11" x14ac:dyDescent="0.25">
      <c r="B28">
        <v>-1</v>
      </c>
    </row>
    <row r="29" spans="2:11" x14ac:dyDescent="0.25">
      <c r="B29">
        <v>685</v>
      </c>
      <c r="C29" s="35">
        <v>-726.70858824899994</v>
      </c>
      <c r="D29" s="35">
        <v>-1177.89730981</v>
      </c>
      <c r="E29" s="35">
        <v>-470.20109433499999</v>
      </c>
    </row>
    <row r="30" spans="2:11" x14ac:dyDescent="0.25">
      <c r="B30">
        <v>12</v>
      </c>
      <c r="C30" t="s">
        <v>264</v>
      </c>
      <c r="D30" t="s">
        <v>235</v>
      </c>
      <c r="E30">
        <v>25</v>
      </c>
      <c r="F30" t="s">
        <v>263</v>
      </c>
      <c r="G30">
        <v>16</v>
      </c>
    </row>
    <row r="31" spans="2:11" x14ac:dyDescent="0.25">
      <c r="B31">
        <v>60466</v>
      </c>
      <c r="C31">
        <v>-68272</v>
      </c>
      <c r="D31">
        <v>-87167</v>
      </c>
      <c r="E31">
        <v>-55289</v>
      </c>
      <c r="F31">
        <v>-87980</v>
      </c>
      <c r="G31">
        <v>86738</v>
      </c>
      <c r="H31">
        <v>-53835</v>
      </c>
      <c r="I31">
        <v>-88315</v>
      </c>
      <c r="J31">
        <v>86888</v>
      </c>
      <c r="K31">
        <v>95860</v>
      </c>
    </row>
    <row r="32" spans="2:11" x14ac:dyDescent="0.25">
      <c r="B32">
        <v>-50235</v>
      </c>
      <c r="C32">
        <v>-85098</v>
      </c>
      <c r="D32">
        <v>83444</v>
      </c>
      <c r="E32">
        <v>87632</v>
      </c>
      <c r="F32">
        <v>88445</v>
      </c>
      <c r="G32">
        <v>19745</v>
      </c>
      <c r="H32">
        <v>19431</v>
      </c>
      <c r="I32">
        <v>-20458</v>
      </c>
      <c r="J32">
        <v>-17770</v>
      </c>
      <c r="K32">
        <v>-17861</v>
      </c>
    </row>
    <row r="33" spans="2:11" x14ac:dyDescent="0.25">
      <c r="B33">
        <v>-20944</v>
      </c>
      <c r="C33">
        <v>9632</v>
      </c>
      <c r="D33">
        <v>6089</v>
      </c>
      <c r="E33">
        <v>-7979</v>
      </c>
      <c r="F33">
        <v>-6303</v>
      </c>
      <c r="G33">
        <v>-6311</v>
      </c>
      <c r="H33">
        <v>-9350</v>
      </c>
      <c r="I33">
        <v>7789</v>
      </c>
      <c r="J33">
        <v>47681</v>
      </c>
      <c r="K33">
        <v>66291</v>
      </c>
    </row>
    <row r="34" spans="2:11" x14ac:dyDescent="0.25">
      <c r="B34">
        <v>-69441</v>
      </c>
      <c r="C34">
        <v>-73897</v>
      </c>
      <c r="D34">
        <v>-74455</v>
      </c>
      <c r="E34">
        <v>-90292</v>
      </c>
      <c r="F34">
        <v>16415</v>
      </c>
      <c r="G34">
        <v>-1713</v>
      </c>
      <c r="H34">
        <v>32994</v>
      </c>
      <c r="I34">
        <v>53569</v>
      </c>
      <c r="J34">
        <v>-55282</v>
      </c>
      <c r="K34">
        <v>-60957</v>
      </c>
    </row>
    <row r="35" spans="2:11" x14ac:dyDescent="0.25">
      <c r="B35">
        <v>-61594</v>
      </c>
      <c r="C35">
        <v>-77357</v>
      </c>
      <c r="D35">
        <v>9672</v>
      </c>
      <c r="E35">
        <v>2885</v>
      </c>
      <c r="F35">
        <v>75985</v>
      </c>
      <c r="G35">
        <v>-41009</v>
      </c>
      <c r="H35">
        <v>-55703</v>
      </c>
      <c r="I35">
        <v>55534</v>
      </c>
      <c r="J35">
        <v>54030</v>
      </c>
      <c r="K35">
        <v>54146</v>
      </c>
    </row>
    <row r="36" spans="2:11" x14ac:dyDescent="0.25">
      <c r="B36">
        <v>51988</v>
      </c>
      <c r="C36">
        <v>-11751</v>
      </c>
      <c r="D36">
        <v>-4401</v>
      </c>
      <c r="E36">
        <v>-42013</v>
      </c>
      <c r="F36">
        <v>-33681</v>
      </c>
      <c r="G36">
        <v>-1031</v>
      </c>
      <c r="H36">
        <v>-3418</v>
      </c>
      <c r="I36">
        <v>2538</v>
      </c>
      <c r="J36">
        <v>2591</v>
      </c>
      <c r="K36">
        <v>2667</v>
      </c>
    </row>
    <row r="37" spans="2:11" x14ac:dyDescent="0.25">
      <c r="B37">
        <v>2955</v>
      </c>
      <c r="C37">
        <v>-1172</v>
      </c>
      <c r="D37">
        <v>-571</v>
      </c>
      <c r="E37">
        <v>-2262</v>
      </c>
      <c r="F37">
        <v>-1727</v>
      </c>
      <c r="G37">
        <v>-38807</v>
      </c>
      <c r="H37">
        <v>15036</v>
      </c>
      <c r="I37">
        <v>19760</v>
      </c>
      <c r="J37">
        <v>-20035</v>
      </c>
      <c r="K37">
        <v>-18442</v>
      </c>
    </row>
    <row r="38" spans="2:11" x14ac:dyDescent="0.25">
      <c r="B38">
        <v>-18482</v>
      </c>
      <c r="C38">
        <v>-17860</v>
      </c>
      <c r="D38">
        <v>4060</v>
      </c>
      <c r="E38">
        <v>1627</v>
      </c>
      <c r="F38">
        <v>13398</v>
      </c>
      <c r="G38">
        <v>10431</v>
      </c>
      <c r="H38">
        <v>-64054</v>
      </c>
      <c r="I38">
        <v>91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12488</v>
      </c>
      <c r="D40">
        <v>28222</v>
      </c>
      <c r="E40">
        <v>-27666</v>
      </c>
      <c r="F40">
        <v>-52453</v>
      </c>
      <c r="G40">
        <v>-53667</v>
      </c>
      <c r="H40">
        <v>-38653</v>
      </c>
      <c r="I40">
        <v>4295</v>
      </c>
      <c r="J40">
        <v>1497</v>
      </c>
      <c r="K40">
        <v>49209</v>
      </c>
    </row>
    <row r="41" spans="2:11" x14ac:dyDescent="0.25">
      <c r="B41">
        <v>32609</v>
      </c>
      <c r="C41">
        <v>-16887</v>
      </c>
      <c r="D41">
        <v>-74</v>
      </c>
      <c r="E41">
        <v>2284</v>
      </c>
      <c r="F41">
        <v>0</v>
      </c>
      <c r="G41">
        <v>23817</v>
      </c>
      <c r="H41">
        <v>42192</v>
      </c>
      <c r="I41">
        <v>-42982</v>
      </c>
      <c r="J41">
        <v>-60247</v>
      </c>
      <c r="K41">
        <v>-61377</v>
      </c>
    </row>
    <row r="42" spans="2:11" x14ac:dyDescent="0.25">
      <c r="B42">
        <v>-49209</v>
      </c>
      <c r="C42">
        <v>3648</v>
      </c>
      <c r="D42">
        <v>1778</v>
      </c>
      <c r="E42">
        <v>44389</v>
      </c>
      <c r="F42">
        <v>65322</v>
      </c>
      <c r="G42">
        <v>-26357</v>
      </c>
      <c r="H42">
        <v>-687</v>
      </c>
      <c r="I42">
        <v>7052</v>
      </c>
      <c r="J42">
        <v>0</v>
      </c>
      <c r="K42">
        <v>51296</v>
      </c>
    </row>
    <row r="43" spans="2:11" x14ac:dyDescent="0.25">
      <c r="B43">
        <v>-72758</v>
      </c>
      <c r="C43">
        <v>-86036</v>
      </c>
      <c r="D43">
        <v>93479</v>
      </c>
      <c r="E43">
        <v>87082</v>
      </c>
      <c r="F43">
        <v>87170</v>
      </c>
      <c r="G43">
        <v>83834</v>
      </c>
      <c r="H43">
        <v>-21378</v>
      </c>
      <c r="I43">
        <v>-9329</v>
      </c>
      <c r="J43">
        <v>-71655</v>
      </c>
      <c r="K43">
        <v>-56223</v>
      </c>
    </row>
    <row r="44" spans="2:11" x14ac:dyDescent="0.25">
      <c r="B44">
        <v>56292</v>
      </c>
      <c r="C44">
        <v>3278</v>
      </c>
      <c r="D44">
        <v>-21409</v>
      </c>
      <c r="E44">
        <v>0</v>
      </c>
      <c r="F44">
        <v>-25667</v>
      </c>
      <c r="G44">
        <v>-42357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50"/>
  </sheetPr>
  <dimension ref="B1:BD62"/>
  <sheetViews>
    <sheetView tabSelected="1" topLeftCell="J1" workbookViewId="0">
      <selection activeCell="X10" sqref="X10"/>
    </sheetView>
  </sheetViews>
  <sheetFormatPr defaultRowHeight="15" x14ac:dyDescent="0.25"/>
  <cols>
    <col min="2" max="2" bestFit="true" customWidth="true" width="14.140625" collapsed="true"/>
    <col min="18" max="18" bestFit="true" customWidth="true" width="7.7109375" collapsed="true"/>
    <col min="24" max="24" bestFit="true" customWidth="true" width="16.85546875" collapsed="true"/>
    <col min="33" max="33" bestFit="true" customWidth="true" width="11.0" collapsed="true"/>
    <col min="37" max="37" style="59" width="9.140625" collapsed="true"/>
    <col min="38" max="38" bestFit="true" customWidth="true" width="11.0" collapsed="true"/>
    <col min="39" max="40" bestFit="true" customWidth="true" width="9.28515625" collapsed="true"/>
    <col min="42" max="42" style="59" width="9.140625" collapsed="true"/>
    <col min="47" max="47" style="59" width="9.140625" collapsed="true"/>
    <col min="48" max="48" bestFit="true" customWidth="true" width="11.7109375" collapsed="true"/>
    <col min="49" max="50" bestFit="true" customWidth="true" width="12.7109375" collapsed="true"/>
    <col min="52" max="52" style="59" width="9.140625" collapsed="true"/>
  </cols>
  <sheetData>
    <row r="1" spans="2:55" x14ac:dyDescent="0.25">
      <c r="Q1" s="36" t="s">
        <v>283</v>
      </c>
      <c r="R1" s="64"/>
      <c r="S1" s="64"/>
      <c r="T1" s="64"/>
      <c r="U1" s="64"/>
      <c r="V1" s="65"/>
      <c r="AF1" s="36" t="s">
        <v>270</v>
      </c>
      <c r="AK1" s="63" t="s">
        <v>271</v>
      </c>
      <c r="AP1" s="63" t="s">
        <v>272</v>
      </c>
      <c r="AU1" s="63" t="s">
        <v>273</v>
      </c>
      <c r="AZ1" s="63" t="s">
        <v>274</v>
      </c>
    </row>
    <row r="2" spans="2:55" x14ac:dyDescent="0.25">
      <c r="B2" t="s">
        <v>194</v>
      </c>
      <c r="Q2" s="64"/>
      <c r="R2" s="36" t="s">
        <v>275</v>
      </c>
      <c r="T2" s="64"/>
      <c r="U2" s="64"/>
      <c r="V2" s="65"/>
      <c r="AH2" s="51" t="s">
        <v>242</v>
      </c>
      <c r="AI2" s="51" t="s">
        <v>243</v>
      </c>
      <c r="AM2" s="51" t="s">
        <v>242</v>
      </c>
      <c r="AN2" s="51" t="s">
        <v>243</v>
      </c>
      <c r="AR2" s="51" t="s">
        <v>242</v>
      </c>
      <c r="AS2" s="51" t="s">
        <v>243</v>
      </c>
      <c r="AW2" s="51" t="s">
        <v>242</v>
      </c>
      <c r="AX2" s="51" t="s">
        <v>243</v>
      </c>
      <c r="BB2" s="51" t="s">
        <v>242</v>
      </c>
      <c r="BC2" s="51" t="s">
        <v>243</v>
      </c>
    </row>
    <row ht="15.75" r="3" spans="2:55" thickBot="1" x14ac:dyDescent="0.3">
      <c r="Q3">
        <v>1</v>
      </c>
      <c r="R3" s="66" t="s">
        <v>284</v>
      </c>
      <c r="T3" s="64"/>
      <c r="U3" s="64"/>
      <c r="V3" s="65"/>
      <c r="AF3" s="59">
        <f>WorkCoefficients!B11</f>
        <v>1</v>
      </c>
      <c r="AG3" t="str">
        <f>WorkCoefficients!C11</f>
        <v>costutil</v>
      </c>
      <c r="AH3">
        <f>WorkCoefficients!E11</f>
        <v>0.98306756366900006</v>
      </c>
      <c r="AI3" s="62">
        <f>_xlfn.IFNA(VLOOKUP(AF3,$R$55:$AC$62,8,FALSE),AH3)</f>
        <v>0.98306756366900006</v>
      </c>
      <c r="AK3" s="59">
        <f>SchoolCoeffcients!B11</f>
        <v>1</v>
      </c>
      <c r="AL3" t="str">
        <f>SchoolCoeffcients!C11</f>
        <v>costutil</v>
      </c>
      <c r="AM3" s="55">
        <f>SchoolCoeffcients!E11</f>
        <v>1.6366214970499999</v>
      </c>
      <c r="AN3" s="62">
        <f>_xlfn.IFNA(VLOOKUP(AK3,$S$55:$AC$62,8,FALSE),AM3)</f>
        <v>1.6366214970499999</v>
      </c>
      <c r="AP3" s="59">
        <f>EscortCoefficients!B11</f>
        <v>2</v>
      </c>
      <c r="AQ3" t="str">
        <f>EscortCoefficients!C11</f>
        <v>timeutil</v>
      </c>
      <c r="AR3">
        <f>EscortCoefficients!E11</f>
        <v>2.59443218487</v>
      </c>
      <c r="AS3" s="62">
        <f>_xlfn.IFNA(VLOOKUP(AP3,$T$55:$AC$62,8,FALSE),AR3)</f>
        <v>2.59443218487</v>
      </c>
      <c r="AU3" s="59">
        <f>OtherCoefficients!B11</f>
        <v>1</v>
      </c>
      <c r="AV3" t="str">
        <f>OtherCoefficients!C11</f>
        <v>costutil</v>
      </c>
      <c r="AW3">
        <f>OtherCoefficients!E11</f>
        <v>0.46184606085000002</v>
      </c>
      <c r="AX3" s="62">
        <f>_xlfn.IFNA(VLOOKUP(AU3,$U$55:$AC$62,8,FALSE),AW3)</f>
        <v>0.46184606085000002</v>
      </c>
      <c r="AZ3" s="59">
        <f>WorkBasedCoefficients!B11</f>
        <v>1</v>
      </c>
      <c r="BA3" t="str">
        <f>WorkBasedCoefficients!C11</f>
        <v>costutil</v>
      </c>
      <c r="BB3">
        <f>WorkBasedCoefficients!E11</f>
        <v>1.1237337245300001</v>
      </c>
      <c r="BC3" s="62">
        <f>_xlfn.IFNA(VLOOKUP(AZ3,$V$55:$AC$62,8,FALSE),BB3)</f>
        <v>1.1237337245300001</v>
      </c>
    </row>
    <row r="4" spans="2:55" x14ac:dyDescent="0.25">
      <c r="B4" s="2" t="s">
        <v>0</v>
      </c>
      <c r="C4" s="2" t="s">
        <v>195</v>
      </c>
      <c r="D4" s="2" t="s">
        <v>196</v>
      </c>
      <c r="E4" s="2" t="s">
        <v>197</v>
      </c>
      <c r="F4" s="2" t="s">
        <v>198</v>
      </c>
      <c r="G4" s="2" t="s">
        <v>216</v>
      </c>
      <c r="H4" s="45"/>
      <c r="Q4">
        <v>2</v>
      </c>
      <c r="R4" s="66" t="s">
        <v>285</v>
      </c>
      <c r="T4" s="64"/>
      <c r="U4" s="64"/>
      <c r="V4" s="65"/>
      <c r="AF4" s="59">
        <f>WorkCoefficients!B12</f>
        <v>2</v>
      </c>
      <c r="AG4" t="str">
        <f>WorkCoefficients!C12</f>
        <v>timeutil</v>
      </c>
      <c r="AH4">
        <f>WorkCoefficients!E12</f>
        <v>0.51430888706199995</v>
      </c>
      <c r="AI4" s="62">
        <f ref="AI4:AI49" si="0" t="shared">_xlfn.IFNA(VLOOKUP(AF4,$R$55:$AC$62,8,FALSE),AH4)</f>
        <v>0.51430888706199995</v>
      </c>
      <c r="AK4" s="59">
        <f>SchoolCoeffcients!B12</f>
        <v>2</v>
      </c>
      <c r="AL4" t="str">
        <f>SchoolCoeffcients!C12</f>
        <v>timeutil</v>
      </c>
      <c r="AM4" s="55">
        <f>SchoolCoeffcients!E12</f>
        <v>0.91289459530399997</v>
      </c>
      <c r="AN4" s="62">
        <f ref="AN4:AN44" si="1" t="shared">_xlfn.IFNA(VLOOKUP(AK4,$S$55:$AC$62,8,FALSE),AM4)</f>
        <v>0.91289459530399997</v>
      </c>
      <c r="AP4" s="59">
        <f>EscortCoefficients!B12</f>
        <v>30</v>
      </c>
      <c r="AQ4" s="54" t="str">
        <f>EscortCoefficients!C12</f>
        <v>s3-const</v>
      </c>
      <c r="AR4" s="54">
        <f>EscortCoefficients!E12</f>
        <v>-0.98936486869100004</v>
      </c>
      <c r="AS4" s="62">
        <f ref="AS4:AS18" si="2" t="shared">_xlfn.IFNA(VLOOKUP(AP4,$T$55:$AC$62,8,FALSE),AR4)</f>
        <v>-0.96101727591030706</v>
      </c>
      <c r="AU4" s="59">
        <f>OtherCoefficients!B12</f>
        <v>2</v>
      </c>
      <c r="AV4" t="str">
        <f>OtherCoefficients!C12</f>
        <v>timeutil</v>
      </c>
      <c r="AW4">
        <f>OtherCoefficients!E12</f>
        <v>0.65961163706299997</v>
      </c>
      <c r="AX4" s="62">
        <f ref="AX4:AX58" si="3" t="shared">_xlfn.IFNA(VLOOKUP(AU4,$U$55:$AC$62,8,FALSE),AW4)</f>
        <v>0.65961163706299997</v>
      </c>
      <c r="AZ4" s="59">
        <f>WorkBasedCoefficients!B12</f>
        <v>2</v>
      </c>
      <c r="BA4" t="str">
        <f>WorkBasedCoefficients!C12</f>
        <v>timeutil</v>
      </c>
      <c r="BB4">
        <f>WorkBasedCoefficients!E12</f>
        <v>0.86183614476100001</v>
      </c>
      <c r="BC4" s="62">
        <f ref="BC4:BC19" si="4" t="shared">_xlfn.IFNA(VLOOKUP(AZ4,$V$55:$AC$62,8,FALSE),BB4)</f>
        <v>0.86183614476100001</v>
      </c>
    </row>
    <row r="5" spans="2:55" x14ac:dyDescent="0.25">
      <c r="B5" s="9" t="s">
        <v>1</v>
      </c>
      <c r="C5" t="s">
        <v>199</v>
      </c>
      <c r="D5" t="s">
        <v>199</v>
      </c>
      <c r="E5" s="38" t="s">
        <v>199</v>
      </c>
      <c r="F5" t="s">
        <v>199</v>
      </c>
      <c r="G5" t="s">
        <v>199</v>
      </c>
      <c r="Q5">
        <v>3</v>
      </c>
      <c r="R5" s="64" t="s">
        <v>287</v>
      </c>
      <c r="S5" s="64"/>
      <c r="T5" s="64"/>
      <c r="U5" s="64"/>
      <c r="V5" s="65"/>
      <c r="AF5" s="59">
        <f>WorkCoefficients!B13</f>
        <v>10</v>
      </c>
      <c r="AG5" s="54" t="str">
        <f>WorkCoefficients!C13</f>
        <v>dt-const</v>
      </c>
      <c r="AH5" s="54">
        <f>WorkCoefficients!E13</f>
        <v>-3.8200751962199999</v>
      </c>
      <c r="AI5" s="62">
        <f si="0" t="shared"/>
        <v>-3.8099909447607496</v>
      </c>
      <c r="AK5" s="59">
        <f>SchoolCoeffcients!B13</f>
        <v>10</v>
      </c>
      <c r="AL5" s="54" t="str">
        <f>SchoolCoeffcients!C13</f>
        <v>sb-const</v>
      </c>
      <c r="AM5" s="56">
        <f>SchoolCoeffcients!E13</f>
        <v>-0.38914266604300002</v>
      </c>
      <c r="AN5" s="62">
        <f si="1" t="shared"/>
        <v>-0.49608317744315844</v>
      </c>
      <c r="AP5" s="59">
        <f>EscortCoefficients!B13</f>
        <v>31</v>
      </c>
      <c r="AQ5" t="str">
        <f>EscortCoefficients!C13</f>
        <v>s3-hhcu5</v>
      </c>
      <c r="AR5">
        <f>EscortCoefficients!E13</f>
        <v>1.33539482367</v>
      </c>
      <c r="AS5" s="62">
        <f si="2" t="shared"/>
        <v>1.33539482367</v>
      </c>
      <c r="AU5" s="59">
        <f>OtherCoefficients!B13</f>
        <v>20</v>
      </c>
      <c r="AV5" s="54" t="str">
        <f>OtherCoefficients!C13</f>
        <v>wt-const</v>
      </c>
      <c r="AW5" s="54">
        <f>OtherCoefficients!E13</f>
        <v>-3.1934860859500001</v>
      </c>
      <c r="AX5" s="62">
        <f si="3" t="shared"/>
        <v>-2.088606402797188</v>
      </c>
      <c r="AZ5" s="59">
        <f>WorkBasedCoefficients!B13</f>
        <v>20</v>
      </c>
      <c r="BA5" s="54" t="str">
        <f>WorkBasedCoefficients!C13</f>
        <v>wt-const</v>
      </c>
      <c r="BB5" s="54">
        <f>WorkBasedCoefficients!E13</f>
        <v>-4.7905352725499997</v>
      </c>
      <c r="BC5" s="62">
        <f si="4" t="shared"/>
        <v>-4.669418609564068</v>
      </c>
    </row>
    <row r="6" spans="2:55" x14ac:dyDescent="0.25">
      <c r="B6" s="9" t="s">
        <v>2</v>
      </c>
      <c r="C6" t="s">
        <v>199</v>
      </c>
      <c r="D6" t="s">
        <v>199</v>
      </c>
      <c r="E6" t="s">
        <v>199</v>
      </c>
      <c r="F6" t="s">
        <v>199</v>
      </c>
      <c r="G6" t="s">
        <v>199</v>
      </c>
      <c r="Q6">
        <v>4</v>
      </c>
      <c r="R6" s="64" t="s">
        <v>276</v>
      </c>
      <c r="S6" s="64"/>
      <c r="T6" s="64"/>
      <c r="U6" s="64"/>
      <c r="V6" s="65"/>
      <c r="AF6" s="59">
        <f>WorkCoefficients!B14</f>
        <v>11</v>
      </c>
      <c r="AG6" t="str">
        <f>WorkCoefficients!C14</f>
        <v>dt-nocars</v>
      </c>
      <c r="AH6">
        <f>WorkCoefficients!E14</f>
        <v>-2.5630624741500001</v>
      </c>
      <c r="AI6" s="62">
        <f si="0" t="shared"/>
        <v>-2.5630624741500001</v>
      </c>
      <c r="AK6" s="59">
        <f>SchoolCoeffcients!B14</f>
        <v>17</v>
      </c>
      <c r="AL6" t="str">
        <f>SchoolCoeffcients!C14</f>
        <v>sb-chun5</v>
      </c>
      <c r="AM6" s="55">
        <f>SchoolCoeffcients!E14</f>
        <v>-5.7474999999999996</v>
      </c>
      <c r="AN6" s="62">
        <f si="1" t="shared"/>
        <v>-5.7474999999999996</v>
      </c>
      <c r="AP6" s="59">
        <f>EscortCoefficients!B14</f>
        <v>32</v>
      </c>
      <c r="AQ6" t="str">
        <f>EscortCoefficients!C14</f>
        <v>s3-hh515</v>
      </c>
      <c r="AR6">
        <f>EscortCoefficients!E14</f>
        <v>0.52987540495700003</v>
      </c>
      <c r="AS6" s="62">
        <f si="2" t="shared"/>
        <v>0.52987540495700003</v>
      </c>
      <c r="AU6" s="59">
        <f>OtherCoefficients!B14</f>
        <v>21</v>
      </c>
      <c r="AV6" t="str">
        <f>OtherCoefficients!C14</f>
        <v>wt-nocars</v>
      </c>
      <c r="AW6">
        <f>OtherCoefficients!E14</f>
        <v>1.5917605661800001</v>
      </c>
      <c r="AX6" s="62">
        <f si="3" t="shared"/>
        <v>1.5917605661800001</v>
      </c>
      <c r="AZ6" s="59">
        <f>WorkBasedCoefficients!B14</f>
        <v>30</v>
      </c>
      <c r="BA6" s="54" t="str">
        <f>WorkBasedCoefficients!C14</f>
        <v>s3-const</v>
      </c>
      <c r="BB6" s="54">
        <f>WorkBasedCoefficients!E14</f>
        <v>-4.7133255538499998</v>
      </c>
      <c r="BC6" s="62">
        <f si="4" t="shared"/>
        <v>-5.9123779407653299</v>
      </c>
    </row>
    <row r="7" spans="2:55" x14ac:dyDescent="0.25">
      <c r="B7" s="9" t="s">
        <v>3</v>
      </c>
      <c r="C7" t="s">
        <v>199</v>
      </c>
      <c r="D7" t="s">
        <v>199</v>
      </c>
      <c r="E7" t="s">
        <v>199</v>
      </c>
      <c r="F7" t="s">
        <v>199</v>
      </c>
      <c r="G7" t="s">
        <v>199</v>
      </c>
      <c r="Q7" s="64">
        <v>5</v>
      </c>
      <c r="R7" s="64" t="s">
        <v>277</v>
      </c>
      <c r="S7" s="64"/>
      <c r="T7" s="64"/>
      <c r="U7" s="64"/>
      <c r="V7" s="65"/>
      <c r="AF7" s="59">
        <f>WorkCoefficients!B15</f>
        <v>13</v>
      </c>
      <c r="AG7" t="str">
        <f>WorkCoefficients!C15</f>
        <v>dt-carsltw</v>
      </c>
      <c r="AH7">
        <f>WorkCoefficients!E15</f>
        <v>-1.1851493333800001</v>
      </c>
      <c r="AI7" s="62">
        <f si="0" t="shared"/>
        <v>-1.1851493333800001</v>
      </c>
      <c r="AK7" s="59">
        <f>SchoolCoeffcients!B15</f>
        <v>18</v>
      </c>
      <c r="AL7" t="str">
        <f>SchoolCoeffcients!C15</f>
        <v>sb-univtr</v>
      </c>
      <c r="AM7" s="55">
        <f>SchoolCoeffcients!E15</f>
        <v>-5.2693623948299999</v>
      </c>
      <c r="AN7" s="62">
        <f si="1" t="shared"/>
        <v>-5.2693623948299999</v>
      </c>
      <c r="AP7" s="59">
        <f>EscortCoefficients!B15</f>
        <v>33</v>
      </c>
      <c r="AQ7" t="str">
        <f>EscortCoefficients!C15</f>
        <v>s3-hhdas</v>
      </c>
      <c r="AR7">
        <f>EscortCoefficients!E15</f>
        <v>0.27683051131000003</v>
      </c>
      <c r="AS7" s="62">
        <f si="2" t="shared"/>
        <v>0.27683051131000003</v>
      </c>
      <c r="AU7" s="59">
        <f>OtherCoefficients!B15</f>
        <v>30</v>
      </c>
      <c r="AV7" s="54" t="str">
        <f>OtherCoefficients!C15</f>
        <v>s3-const</v>
      </c>
      <c r="AW7" s="54">
        <f>OtherCoefficients!E15</f>
        <v>-1.78022496899</v>
      </c>
      <c r="AX7" s="62">
        <f si="3" t="shared"/>
        <v>-1.984676994803481</v>
      </c>
      <c r="AZ7" s="59">
        <f>WorkBasedCoefficients!B15</f>
        <v>40</v>
      </c>
      <c r="BA7" s="54" t="str">
        <f>WorkBasedCoefficients!C15</f>
        <v>s2-const</v>
      </c>
      <c r="BB7" s="54">
        <f>WorkBasedCoefficients!E15</f>
        <v>-4.0965030205600002</v>
      </c>
      <c r="BC7" s="62">
        <f si="4" t="shared"/>
        <v>-5.2125626446969768</v>
      </c>
    </row>
    <row r="8" spans="2:55" x14ac:dyDescent="0.25">
      <c r="B8" s="9" t="s">
        <v>4</v>
      </c>
      <c r="C8" t="s">
        <v>199</v>
      </c>
      <c r="Q8" s="64"/>
      <c r="R8" s="64"/>
      <c r="S8" s="64"/>
      <c r="T8" s="64"/>
      <c r="U8" s="64"/>
      <c r="V8" s="65"/>
      <c r="AF8" s="59">
        <f>WorkCoefficients!B16</f>
        <v>20</v>
      </c>
      <c r="AG8" s="54" t="str">
        <f>WorkCoefficients!C16</f>
        <v>wt-const</v>
      </c>
      <c r="AH8" s="54">
        <f>WorkCoefficients!E16</f>
        <v>-3.0715896153100002</v>
      </c>
      <c r="AI8" s="62">
        <f si="0" t="shared"/>
        <v>-2.7424035163957501</v>
      </c>
      <c r="AK8" s="59">
        <f>SchoolCoeffcients!B16</f>
        <v>20</v>
      </c>
      <c r="AL8" s="54" t="str">
        <f>SchoolCoeffcients!C16</f>
        <v>wt-const</v>
      </c>
      <c r="AM8" s="56">
        <f>SchoolCoeffcients!E16</f>
        <v>-4.2802421756499998</v>
      </c>
      <c r="AN8" s="62">
        <f si="1" t="shared"/>
        <v>-4.0353661967983703</v>
      </c>
      <c r="AP8" s="59">
        <f>EscortCoefficients!B16</f>
        <v>40</v>
      </c>
      <c r="AQ8" s="54" t="str">
        <f>EscortCoefficients!C16</f>
        <v>s2-const</v>
      </c>
      <c r="AR8" s="54">
        <f>EscortCoefficients!E16</f>
        <v>-0.12564727430100001</v>
      </c>
      <c r="AS8" s="62">
        <f si="2" t="shared"/>
        <v>-0.34414562531362325</v>
      </c>
      <c r="AU8" s="59">
        <f>OtherCoefficients!B16</f>
        <v>31</v>
      </c>
      <c r="AV8" t="str">
        <f>OtherCoefficients!C16</f>
        <v>sr-hhcu5</v>
      </c>
      <c r="AW8">
        <f>OtherCoefficients!E16</f>
        <v>0.51412339771600002</v>
      </c>
      <c r="AX8" s="62">
        <f si="3" t="shared"/>
        <v>0.51412339771600002</v>
      </c>
      <c r="AZ8" s="59">
        <f>WorkBasedCoefficients!B16</f>
        <v>50</v>
      </c>
      <c r="BA8" s="54" t="str">
        <f>WorkBasedCoefficients!C16</f>
        <v>da-const</v>
      </c>
      <c r="BB8" s="54">
        <f>WorkBasedCoefficients!E16</f>
        <v>-3.4804368051500001</v>
      </c>
      <c r="BC8" s="62">
        <f si="4" t="shared"/>
        <v>-4.3572160481318516</v>
      </c>
    </row>
    <row r="9" spans="2:55" x14ac:dyDescent="0.25">
      <c r="B9" s="9" t="s">
        <v>5</v>
      </c>
      <c r="C9" t="s">
        <v>199</v>
      </c>
      <c r="D9" t="s">
        <v>199</v>
      </c>
      <c r="F9" t="s">
        <v>199</v>
      </c>
      <c r="G9" t="s">
        <v>199</v>
      </c>
      <c r="Q9" s="64"/>
      <c r="R9" s="67" t="s">
        <v>278</v>
      </c>
      <c r="S9" s="64"/>
      <c r="T9" s="64"/>
      <c r="U9" s="64"/>
      <c r="V9" s="65"/>
      <c r="AF9" s="59">
        <f>WorkCoefficients!B17</f>
        <v>30</v>
      </c>
      <c r="AG9" s="54" t="str">
        <f>WorkCoefficients!C17</f>
        <v>s3-const</v>
      </c>
      <c r="AH9" s="54">
        <f>WorkCoefficients!E17</f>
        <v>-2.4689708000600001</v>
      </c>
      <c r="AI9" s="62">
        <f si="0" t="shared"/>
        <v>-2.6097723145190055</v>
      </c>
      <c r="AK9" s="59">
        <f>SchoolCoeffcients!B17</f>
        <v>21</v>
      </c>
      <c r="AL9" t="str">
        <f>SchoolCoeffcients!C17</f>
        <v>wt-nocars</v>
      </c>
      <c r="AM9" s="55">
        <f>SchoolCoeffcients!E17</f>
        <v>-5.0045350575299997E-2</v>
      </c>
      <c r="AN9" s="62">
        <f si="1" t="shared"/>
        <v>-5.0045350575299997E-2</v>
      </c>
      <c r="AP9" s="59">
        <f>EscortCoefficients!B17</f>
        <v>41</v>
      </c>
      <c r="AQ9" t="str">
        <f>EscortCoefficients!C17</f>
        <v>sr-nocars</v>
      </c>
      <c r="AR9">
        <f>EscortCoefficients!E17</f>
        <v>-5.9139999999999997</v>
      </c>
      <c r="AS9" s="62">
        <f si="2" t="shared"/>
        <v>-5.9139999999999997</v>
      </c>
      <c r="AU9" s="59">
        <f>OtherCoefficients!B17</f>
        <v>32</v>
      </c>
      <c r="AV9" t="str">
        <f>OtherCoefficients!C17</f>
        <v>sr-hh515</v>
      </c>
      <c r="AW9">
        <f>OtherCoefficients!E17</f>
        <v>0.22481870389600001</v>
      </c>
      <c r="AX9" s="62">
        <f si="3" t="shared"/>
        <v>0.22481870389600001</v>
      </c>
      <c r="AZ9" s="59">
        <f>WorkBasedCoefficients!B17</f>
        <v>54</v>
      </c>
      <c r="BA9" t="str">
        <f>WorkBasedCoefficients!C17</f>
        <v>da-incu25</v>
      </c>
      <c r="BB9">
        <f>WorkBasedCoefficients!E17</f>
        <v>0.97510624866100004</v>
      </c>
      <c r="BC9" s="62">
        <f si="4" t="shared"/>
        <v>0.97510624866100004</v>
      </c>
    </row>
    <row r="10" spans="2:55" x14ac:dyDescent="0.25">
      <c r="B10" s="9" t="s">
        <v>6</v>
      </c>
      <c r="C10" t="s">
        <v>199</v>
      </c>
      <c r="D10" t="s">
        <v>199</v>
      </c>
      <c r="E10" t="s">
        <v>199</v>
      </c>
      <c r="F10" t="s">
        <v>199</v>
      </c>
      <c r="G10" t="s">
        <v>199</v>
      </c>
      <c r="Q10" s="64">
        <v>1</v>
      </c>
      <c r="R10" s="66" t="s">
        <v>284</v>
      </c>
      <c r="S10" s="64"/>
      <c r="T10" s="64"/>
      <c r="U10" s="64"/>
      <c r="V10" s="65"/>
      <c r="AF10" s="59">
        <f>WorkCoefficients!B18</f>
        <v>31</v>
      </c>
      <c r="AG10" t="str">
        <f>WorkCoefficients!C18</f>
        <v>sr-hhcu5</v>
      </c>
      <c r="AH10">
        <f>WorkCoefficients!E18</f>
        <v>0</v>
      </c>
      <c r="AI10" s="62">
        <f si="0" t="shared"/>
        <v>0</v>
      </c>
      <c r="AK10" s="59">
        <f>SchoolCoeffcients!B18</f>
        <v>22</v>
      </c>
      <c r="AL10" t="str">
        <f>SchoolCoeffcients!C18</f>
        <v>wt-carsltd</v>
      </c>
      <c r="AM10" s="55">
        <f>SchoolCoeffcients!E18</f>
        <v>-5.0746490196100003E-2</v>
      </c>
      <c r="AN10" s="62">
        <f si="1" t="shared"/>
        <v>-5.0746490196100003E-2</v>
      </c>
      <c r="AP10" s="59">
        <f>EscortCoefficients!B18</f>
        <v>42</v>
      </c>
      <c r="AQ10" t="str">
        <f>EscortCoefficients!C18</f>
        <v>sr-carsltd</v>
      </c>
      <c r="AR10">
        <f>EscortCoefficients!E18</f>
        <v>1.7160894484299999E-2</v>
      </c>
      <c r="AS10" s="62">
        <f si="2" t="shared"/>
        <v>1.7160894484299999E-2</v>
      </c>
      <c r="AU10" s="59">
        <f>OtherCoefficients!B18</f>
        <v>34</v>
      </c>
      <c r="AV10" t="str">
        <f>OtherCoefficients!C18</f>
        <v>sr-hhnwa</v>
      </c>
      <c r="AW10">
        <f>OtherCoefficients!E18</f>
        <v>0.11332032202599999</v>
      </c>
      <c r="AX10" s="62">
        <f si="3" t="shared"/>
        <v>0.11332032202599999</v>
      </c>
      <c r="AZ10" s="59">
        <f>WorkBasedCoefficients!B18</f>
        <v>55</v>
      </c>
      <c r="BA10" t="str">
        <f>WorkBasedCoefficients!C18</f>
        <v>da-inc2550</v>
      </c>
      <c r="BB10">
        <f>WorkBasedCoefficients!E18</f>
        <v>0.14671643063500001</v>
      </c>
      <c r="BC10" s="62">
        <f si="4" t="shared"/>
        <v>0.14671643063500001</v>
      </c>
    </row>
    <row r="11" spans="2:55" x14ac:dyDescent="0.25">
      <c r="B11" s="9" t="s">
        <v>7</v>
      </c>
      <c r="Q11" s="64">
        <v>2</v>
      </c>
      <c r="R11" s="64" t="s">
        <v>279</v>
      </c>
      <c r="S11" s="64"/>
      <c r="T11" s="64"/>
      <c r="U11" s="64"/>
      <c r="V11" s="65"/>
      <c r="AF11" s="59">
        <f>WorkCoefficients!B19</f>
        <v>32</v>
      </c>
      <c r="AG11" t="str">
        <f>WorkCoefficients!C19</f>
        <v>sr-hh515</v>
      </c>
      <c r="AH11">
        <f>WorkCoefficients!E19</f>
        <v>0.44708751338699998</v>
      </c>
      <c r="AI11" s="62">
        <f si="0" t="shared"/>
        <v>0.44708751338699998</v>
      </c>
      <c r="AK11" s="59">
        <f>SchoolCoeffcients!B19</f>
        <v>27</v>
      </c>
      <c r="AL11" t="str">
        <f>SchoolCoeffcients!C19</f>
        <v>wt-chun5</v>
      </c>
      <c r="AM11" s="55">
        <f>SchoolCoeffcients!E19</f>
        <v>-5</v>
      </c>
      <c r="AN11" s="62">
        <f si="1" t="shared"/>
        <v>-5</v>
      </c>
      <c r="AP11" s="59">
        <f>EscortCoefficients!B19</f>
        <v>50</v>
      </c>
      <c r="AQ11" s="59" t="str">
        <f>EscortCoefficients!C19</f>
        <v>hov-const</v>
      </c>
      <c r="AR11" s="59">
        <f>EscortCoefficients!E19</f>
        <v>-10</v>
      </c>
      <c r="AS11" s="62">
        <f si="2" t="shared"/>
        <v>-5.1360302176161561</v>
      </c>
      <c r="AU11" s="59">
        <f>OtherCoefficients!B19</f>
        <v>35</v>
      </c>
      <c r="AV11" t="str">
        <f>OtherCoefficients!C19</f>
        <v>sr-lndist</v>
      </c>
      <c r="AW11">
        <f>OtherCoefficients!E19</f>
        <v>0.15232257376399999</v>
      </c>
      <c r="AX11" s="62">
        <f si="3" t="shared"/>
        <v>0.15232257376399999</v>
      </c>
      <c r="AZ11" s="59">
        <f>WorkBasedCoefficients!B19</f>
        <v>58</v>
      </c>
      <c r="BA11" t="str">
        <f>WorkBasedCoefficients!C19</f>
        <v>da-dtowork</v>
      </c>
      <c r="BB11">
        <f>WorkBasedCoefficients!E19</f>
        <v>2.1275969903499998</v>
      </c>
      <c r="BC11" s="62">
        <f si="4" t="shared"/>
        <v>2.1275969903499998</v>
      </c>
    </row>
    <row r="12" spans="2:55" x14ac:dyDescent="0.25">
      <c r="B12" s="14" t="s">
        <v>8</v>
      </c>
      <c r="D12" t="s">
        <v>199</v>
      </c>
      <c r="Q12" s="64">
        <v>3</v>
      </c>
      <c r="R12" s="64" t="s">
        <v>280</v>
      </c>
      <c r="S12" s="64"/>
      <c r="T12" s="64"/>
      <c r="U12" s="64"/>
      <c r="V12" s="65"/>
      <c r="AF12" s="59">
        <f>WorkCoefficients!B20</f>
        <v>35</v>
      </c>
      <c r="AG12" t="str">
        <f>WorkCoefficients!C20</f>
        <v>sr-lndist</v>
      </c>
      <c r="AH12">
        <f>WorkCoefficients!E20</f>
        <v>-0.353876441667</v>
      </c>
      <c r="AI12" s="62">
        <f si="0" t="shared"/>
        <v>-0.353876441667</v>
      </c>
      <c r="AK12" s="59">
        <f>SchoolCoeffcients!B20</f>
        <v>28</v>
      </c>
      <c r="AL12" t="str">
        <f>SchoolCoeffcients!C20</f>
        <v>wt-univtr</v>
      </c>
      <c r="AM12" s="55">
        <f>SchoolCoeffcients!E20</f>
        <v>5.2955199731100002</v>
      </c>
      <c r="AN12" s="62">
        <f si="1" t="shared"/>
        <v>5.2955199731100002</v>
      </c>
      <c r="AP12" s="59">
        <f>EscortCoefficients!B20</f>
        <v>60</v>
      </c>
      <c r="AQ12" s="54" t="str">
        <f>EscortCoefficients!C20</f>
        <v>bi-const</v>
      </c>
      <c r="AR12" s="54">
        <f>EscortCoefficients!E20</f>
        <v>-10</v>
      </c>
      <c r="AS12" s="62">
        <f si="2" t="shared"/>
        <v>-10.438481451596569</v>
      </c>
      <c r="AU12" s="59">
        <f>OtherCoefficients!B20</f>
        <v>38</v>
      </c>
      <c r="AV12" t="str">
        <f>OtherCoefficients!C20</f>
        <v>s3-onephh</v>
      </c>
      <c r="AW12">
        <f>OtherCoefficients!E20</f>
        <v>-2.7924179320700002</v>
      </c>
      <c r="AX12" s="62">
        <f si="3" t="shared"/>
        <v>-2.7924179320700002</v>
      </c>
      <c r="AZ12" s="59">
        <f>WorkBasedCoefficients!B20</f>
        <v>59</v>
      </c>
      <c r="BA12" t="str">
        <f>WorkBasedCoefficients!C20</f>
        <v>da-stowork</v>
      </c>
      <c r="BB12">
        <f>WorkBasedCoefficients!E20</f>
        <v>1.74975968113</v>
      </c>
      <c r="BC12" s="62">
        <f si="4" t="shared"/>
        <v>1.74975968113</v>
      </c>
    </row>
    <row r="13" spans="2:55" x14ac:dyDescent="0.25">
      <c r="C13" s="38"/>
      <c r="D13" s="38"/>
      <c r="E13" s="38"/>
      <c r="F13" s="38"/>
      <c r="G13" s="38"/>
      <c r="H13" s="45"/>
      <c r="Q13" s="64">
        <v>4</v>
      </c>
      <c r="R13" s="64" t="s">
        <v>281</v>
      </c>
      <c r="S13" s="64"/>
      <c r="T13" s="64"/>
      <c r="U13" s="64"/>
      <c r="V13" s="65"/>
      <c r="AF13" s="59">
        <f>WorkCoefficients!B21</f>
        <v>38</v>
      </c>
      <c r="AG13" t="str">
        <f>WorkCoefficients!C21</f>
        <v>s3-onephh</v>
      </c>
      <c r="AH13">
        <f>WorkCoefficients!E21</f>
        <v>-2.0693221341900001</v>
      </c>
      <c r="AI13" s="62">
        <f si="0" t="shared"/>
        <v>-2.0693221341900001</v>
      </c>
      <c r="AK13" s="59">
        <f>SchoolCoeffcients!B21</f>
        <v>29</v>
      </c>
      <c r="AL13" t="str">
        <f>SchoolCoeffcients!C21</f>
        <v>wt-ch1617</v>
      </c>
      <c r="AM13" s="55">
        <f>SchoolCoeffcients!E21</f>
        <v>3.2469681077099999</v>
      </c>
      <c r="AN13" s="62">
        <f si="1" t="shared"/>
        <v>3.2469681077099999</v>
      </c>
      <c r="AP13" s="59">
        <f>EscortCoefficients!B21</f>
        <v>73</v>
      </c>
      <c r="AQ13" t="str">
        <f>EscortCoefficients!C21</f>
        <v>wk-ageo50</v>
      </c>
      <c r="AR13">
        <f>EscortCoefficients!E21</f>
        <v>-2.00293581172</v>
      </c>
      <c r="AS13" s="62">
        <f si="2" t="shared"/>
        <v>-2.00293581172</v>
      </c>
      <c r="AU13" s="59">
        <f>OtherCoefficients!B21</f>
        <v>39</v>
      </c>
      <c r="AV13" t="str">
        <f>OtherCoefficients!C21</f>
        <v>s3-twophh</v>
      </c>
      <c r="AW13">
        <f>OtherCoefficients!E21</f>
        <v>-2.8161782516899998</v>
      </c>
      <c r="AX13" s="62">
        <f si="3" t="shared"/>
        <v>-2.8161782516899998</v>
      </c>
      <c r="AZ13" s="59">
        <f>WorkBasedCoefficients!B21</f>
        <v>60</v>
      </c>
      <c r="BA13" s="54" t="str">
        <f>WorkBasedCoefficients!C21</f>
        <v>bi-const</v>
      </c>
      <c r="BB13" s="54">
        <f>WorkBasedCoefficients!E21</f>
        <v>-6.3776051105600002</v>
      </c>
      <c r="BC13" s="62">
        <f si="4" t="shared"/>
        <v>-6.9251307449094766</v>
      </c>
    </row>
    <row r="14" spans="2:55" x14ac:dyDescent="0.25">
      <c r="Q14" s="64">
        <v>5</v>
      </c>
      <c r="R14" s="66" t="s">
        <v>286</v>
      </c>
      <c r="S14" s="64"/>
      <c r="T14" s="64"/>
      <c r="U14" s="64"/>
      <c r="V14" s="65"/>
      <c r="AF14" s="59">
        <f>WorkCoefficients!B22</f>
        <v>39</v>
      </c>
      <c r="AG14" t="str">
        <f>WorkCoefficients!C22</f>
        <v>s3-twophh</v>
      </c>
      <c r="AH14">
        <f>WorkCoefficients!E22</f>
        <v>-1.1541206636100001</v>
      </c>
      <c r="AI14" s="62">
        <f si="0" t="shared"/>
        <v>-1.1541206636100001</v>
      </c>
      <c r="AK14" s="59">
        <f>SchoolCoeffcients!B22</f>
        <v>30</v>
      </c>
      <c r="AL14" s="54" t="str">
        <f>SchoolCoeffcients!C22</f>
        <v>s3-const</v>
      </c>
      <c r="AM14" s="56">
        <f>SchoolCoeffcients!E22</f>
        <v>-0.48513089974599999</v>
      </c>
      <c r="AN14" s="62">
        <f si="1" t="shared"/>
        <v>-0.4950239559194235</v>
      </c>
      <c r="AP14" s="59">
        <f>EscortCoefficients!B22</f>
        <v>76</v>
      </c>
      <c r="AQ14" t="str">
        <f>EscortCoefficients!C22</f>
        <v>wk-dintd</v>
      </c>
      <c r="AR14">
        <f>EscortCoefficients!E22</f>
        <v>0</v>
      </c>
      <c r="AS14" s="62">
        <f si="2" t="shared"/>
        <v>0</v>
      </c>
      <c r="AU14" s="59">
        <f>OtherCoefficients!B22</f>
        <v>40</v>
      </c>
      <c r="AV14" s="54" t="str">
        <f>OtherCoefficients!C22</f>
        <v>s2-const</v>
      </c>
      <c r="AW14" s="54">
        <f>OtherCoefficients!E22</f>
        <v>-2.0094454428500002</v>
      </c>
      <c r="AX14" s="62">
        <f si="3" t="shared"/>
        <v>-2.1475536805932318</v>
      </c>
      <c r="AZ14" s="59">
        <f>WorkBasedCoefficients!B22</f>
        <v>61</v>
      </c>
      <c r="BA14" t="str">
        <f>WorkBasedCoefficients!C22</f>
        <v>bi-male</v>
      </c>
      <c r="BB14">
        <f>WorkBasedCoefficients!E22</f>
        <v>-0.40221769537000002</v>
      </c>
      <c r="BC14" s="62">
        <f si="4" t="shared"/>
        <v>-0.40221769537000002</v>
      </c>
    </row>
    <row r="15" spans="2:55" x14ac:dyDescent="0.25">
      <c r="B15" s="58" t="s">
        <v>245</v>
      </c>
      <c r="J15" s="36" t="s">
        <v>33</v>
      </c>
      <c r="Q15" s="64">
        <v>6</v>
      </c>
      <c r="R15" s="64" t="s">
        <v>288</v>
      </c>
      <c r="S15" s="64"/>
      <c r="T15" s="64"/>
      <c r="U15" s="64"/>
      <c r="V15" s="65"/>
      <c r="AF15" s="59">
        <f>WorkCoefficients!B23</f>
        <v>40</v>
      </c>
      <c r="AG15" s="54" t="str">
        <f>WorkCoefficients!C23</f>
        <v>s2-const</v>
      </c>
      <c r="AH15" s="54">
        <f>WorkCoefficients!E23</f>
        <v>-1.9489459630199999</v>
      </c>
      <c r="AI15" s="62">
        <f si="0" t="shared"/>
        <v>-2.1200697878234349</v>
      </c>
      <c r="AK15" s="59">
        <f>SchoolCoeffcients!B23</f>
        <v>37</v>
      </c>
      <c r="AL15" t="str">
        <f>SchoolCoeffcients!C23</f>
        <v>s3-twophh</v>
      </c>
      <c r="AM15" s="55">
        <f>SchoolCoeffcients!E23</f>
        <v>-2.1066630984999999</v>
      </c>
      <c r="AN15" s="62">
        <f si="1" t="shared"/>
        <v>-2.1066630984999999</v>
      </c>
      <c r="AP15" s="59">
        <f>EscortCoefficients!B23</f>
        <v>81</v>
      </c>
      <c r="AQ15" t="str">
        <f>EscortCoefficients!C23</f>
        <v>wk-hhcu5</v>
      </c>
      <c r="AR15">
        <f>EscortCoefficients!E23</f>
        <v>0.55040750847099995</v>
      </c>
      <c r="AS15" s="62">
        <f si="2" t="shared"/>
        <v>0.55040750847099995</v>
      </c>
      <c r="AU15" s="59">
        <f>OtherCoefficients!B23</f>
        <v>41</v>
      </c>
      <c r="AV15" t="str">
        <f>OtherCoefficients!C23</f>
        <v>sr-nocars</v>
      </c>
      <c r="AW15">
        <f>OtherCoefficients!E23</f>
        <v>-1.48012105583</v>
      </c>
      <c r="AX15" s="62">
        <f si="3" t="shared"/>
        <v>-1.48012105583</v>
      </c>
      <c r="AZ15" s="59">
        <f>WorkBasedCoefficients!B23</f>
        <v>69</v>
      </c>
      <c r="BA15" t="str">
        <f>WorkBasedCoefficients!C23</f>
        <v>bi-btowork</v>
      </c>
      <c r="BB15">
        <f>WorkBasedCoefficients!E23</f>
        <v>2.9044382565300002</v>
      </c>
      <c r="BC15" s="62">
        <f si="4" t="shared"/>
        <v>2.9044382565300002</v>
      </c>
    </row>
    <row ht="15.75" r="16" spans="2:55" thickBot="1" x14ac:dyDescent="0.3">
      <c r="Q16" s="64">
        <v>7</v>
      </c>
      <c r="R16" s="64" t="s">
        <v>276</v>
      </c>
      <c r="S16" s="64"/>
      <c r="T16" s="64"/>
      <c r="U16" s="64"/>
      <c r="V16" s="65"/>
      <c r="X16" t="s">
        <v>244</v>
      </c>
      <c r="AF16" s="59">
        <f>WorkCoefficients!B24</f>
        <v>41</v>
      </c>
      <c r="AG16" t="str">
        <f>WorkCoefficients!C24</f>
        <v>sr-nocars</v>
      </c>
      <c r="AH16">
        <f>WorkCoefficients!E24</f>
        <v>-3.5522207297700001</v>
      </c>
      <c r="AI16" s="62">
        <f si="0" t="shared"/>
        <v>-3.5522207297700001</v>
      </c>
      <c r="AK16" s="59">
        <f>SchoolCoeffcients!B24</f>
        <v>38</v>
      </c>
      <c r="AL16" t="str">
        <f>SchoolCoeffcients!C24</f>
        <v>s2-onephh</v>
      </c>
      <c r="AM16" s="55">
        <f>SchoolCoeffcients!E24</f>
        <v>-1.0239845561200001</v>
      </c>
      <c r="AN16" s="62">
        <f si="1" t="shared"/>
        <v>-1.0239845561200001</v>
      </c>
      <c r="AP16" s="59">
        <f>EscortCoefficients!B24</f>
        <v>82</v>
      </c>
      <c r="AQ16" t="str">
        <f>EscortCoefficients!C24</f>
        <v>wk-hh515</v>
      </c>
      <c r="AR16">
        <f>EscortCoefficients!E24</f>
        <v>0.55327396092299996</v>
      </c>
      <c r="AS16" s="62">
        <f si="2" t="shared"/>
        <v>0.55327396092299996</v>
      </c>
      <c r="AU16" s="59">
        <f>OtherCoefficients!B24</f>
        <v>43</v>
      </c>
      <c r="AV16" t="str">
        <f>OtherCoefficients!C24</f>
        <v>sr-carsltw</v>
      </c>
      <c r="AW16">
        <f>OtherCoefficients!E24</f>
        <v>-8.92899546287E-2</v>
      </c>
      <c r="AX16" s="62">
        <f si="3" t="shared"/>
        <v>-8.92899546287E-2</v>
      </c>
      <c r="AZ16" s="59">
        <f>WorkBasedCoefficients!B24</f>
        <v>79</v>
      </c>
      <c r="BA16" t="str">
        <f>WorkBasedCoefficients!C24</f>
        <v>wk-wtowork</v>
      </c>
      <c r="BB16">
        <f>WorkBasedCoefficients!E24</f>
        <v>5</v>
      </c>
      <c r="BC16" s="62">
        <f si="4" t="shared"/>
        <v>5</v>
      </c>
    </row>
    <row r="17" spans="2:55" x14ac:dyDescent="0.25">
      <c r="B17" s="2" t="s">
        <v>0</v>
      </c>
      <c r="C17" s="2" t="s">
        <v>195</v>
      </c>
      <c r="D17" s="2" t="s">
        <v>196</v>
      </c>
      <c r="E17" s="2" t="s">
        <v>197</v>
      </c>
      <c r="F17" s="2" t="s">
        <v>198</v>
      </c>
      <c r="G17" s="2" t="s">
        <v>216</v>
      </c>
      <c r="H17" s="2" t="s">
        <v>19</v>
      </c>
      <c r="J17" s="2" t="s">
        <v>0</v>
      </c>
      <c r="K17" s="2" t="s">
        <v>195</v>
      </c>
      <c r="L17" s="2" t="s">
        <v>196</v>
      </c>
      <c r="M17" s="2" t="s">
        <v>197</v>
      </c>
      <c r="N17" s="2" t="s">
        <v>198</v>
      </c>
      <c r="O17" s="2" t="s">
        <v>216</v>
      </c>
      <c r="P17" s="2" t="s">
        <v>19</v>
      </c>
      <c r="Q17" s="64">
        <v>8</v>
      </c>
      <c r="R17" s="64" t="s">
        <v>282</v>
      </c>
      <c r="S17" s="64"/>
      <c r="T17" s="64"/>
      <c r="U17" s="64"/>
      <c r="V17" s="65"/>
      <c r="X17" s="2" t="s">
        <v>0</v>
      </c>
      <c r="Y17" s="2" t="s">
        <v>195</v>
      </c>
      <c r="Z17" s="2" t="s">
        <v>196</v>
      </c>
      <c r="AA17" s="2" t="s">
        <v>197</v>
      </c>
      <c r="AB17" s="2" t="s">
        <v>198</v>
      </c>
      <c r="AC17" s="2" t="s">
        <v>216</v>
      </c>
      <c r="AF17" s="59">
        <f>WorkCoefficients!B25</f>
        <v>42</v>
      </c>
      <c r="AG17" t="str">
        <f>WorkCoefficients!C25</f>
        <v>sr-carsltd</v>
      </c>
      <c r="AH17">
        <f>WorkCoefficients!E25</f>
        <v>0.41721974571499998</v>
      </c>
      <c r="AI17" s="62">
        <f si="0" t="shared"/>
        <v>0.41721974571499998</v>
      </c>
      <c r="AK17" s="59">
        <f>SchoolCoeffcients!B25</f>
        <v>40</v>
      </c>
      <c r="AL17" s="54" t="str">
        <f>SchoolCoeffcients!C25</f>
        <v>s2-const</v>
      </c>
      <c r="AM17" s="56">
        <f>SchoolCoeffcients!E25</f>
        <v>-0.93652639794899994</v>
      </c>
      <c r="AN17" s="62">
        <f si="1" t="shared"/>
        <v>-0.99083412123810355</v>
      </c>
      <c r="AP17" s="59">
        <f>EscortCoefficients!B25</f>
        <v>83</v>
      </c>
      <c r="AQ17" t="str">
        <f>EscortCoefficients!C25</f>
        <v>wk-hhdas</v>
      </c>
      <c r="AR17">
        <f>EscortCoefficients!E25</f>
        <v>-3.0048826474500001</v>
      </c>
      <c r="AS17" s="62">
        <f si="2" t="shared"/>
        <v>-3.0048826474500001</v>
      </c>
      <c r="AU17" s="59">
        <f>OtherCoefficients!B25</f>
        <v>48</v>
      </c>
      <c r="AV17" t="str">
        <f>OtherCoefficients!C25</f>
        <v>s2-onephh</v>
      </c>
      <c r="AW17">
        <f>OtherCoefficients!E25</f>
        <v>-1.4328025129299999</v>
      </c>
      <c r="AX17" s="62">
        <f si="3" t="shared"/>
        <v>-1.4328025129299999</v>
      </c>
      <c r="AZ17" s="59">
        <f>WorkBasedCoefficients!B25</f>
        <v>88</v>
      </c>
      <c r="BA17" t="str">
        <f>WorkBasedCoefficients!C25</f>
        <v>sr-dtowork</v>
      </c>
      <c r="BB17">
        <f>WorkBasedCoefficients!E25</f>
        <v>0.53543285841400001</v>
      </c>
      <c r="BC17" s="62">
        <f si="4" t="shared"/>
        <v>0.53543285841400001</v>
      </c>
    </row>
    <row r="18" spans="2:55" x14ac:dyDescent="0.25">
      <c r="B18" s="9" t="s">
        <v>1</v>
      </c>
      <c r="C18" s="9">
        <f>Work!D4</f>
        <v>913460.34608785878</v>
      </c>
      <c r="D18" s="9">
        <f>School!D4</f>
        <v>76419.769252740094</v>
      </c>
      <c r="E18" s="9">
        <f>Escort!D4</f>
        <v>17476.619615021198</v>
      </c>
      <c r="F18" s="9">
        <f>Personal_Business!D4+Shop!D4+Meal!D4+SocRec!D4</f>
        <v>764118.06788613135</v>
      </c>
      <c r="G18" s="9">
        <f>Workbased!I5</f>
        <v>66414.662488425296</v>
      </c>
      <c r="H18" s="9">
        <f>SUM(C18:G18)</f>
        <v>1837889.4653301768</v>
      </c>
      <c r="J18" s="9" t="s">
        <v>1</v>
      </c>
      <c r="K18" s="9">
        <f>Work!I4</f>
        <v>853091</v>
      </c>
      <c r="L18" s="9">
        <f>School!I4</f>
        <v>46071</v>
      </c>
      <c r="M18" s="9">
        <f>Escort!I4</f>
        <v>115</v>
      </c>
      <c r="N18" s="9">
        <f>Shop!I4+Meal!I4+SocRec!I4+Personal_Business!I4</f>
        <v>551332</v>
      </c>
      <c r="O18" s="9">
        <f>Workbased!S5</f>
        <v>73445</v>
      </c>
      <c r="P18" s="9">
        <f>SUM(K18:O18)</f>
        <v>1524054</v>
      </c>
      <c r="X18" s="9" t="s">
        <v>1</v>
      </c>
      <c r="Y18" s="52">
        <v>50</v>
      </c>
      <c r="Z18" s="52">
        <v>50</v>
      </c>
      <c r="AA18" s="52">
        <v>50</v>
      </c>
      <c r="AB18" s="52">
        <v>50</v>
      </c>
      <c r="AC18" s="52">
        <v>50</v>
      </c>
      <c r="AF18" s="59">
        <f>WorkCoefficients!B26</f>
        <v>48</v>
      </c>
      <c r="AG18" t="str">
        <f>WorkCoefficients!C26</f>
        <v>s2-onephh</v>
      </c>
      <c r="AH18">
        <f>WorkCoefficients!E26</f>
        <v>-1.9493287002999999</v>
      </c>
      <c r="AI18" s="62">
        <f si="0" t="shared"/>
        <v>-1.9493287002999999</v>
      </c>
      <c r="AK18" s="59">
        <f>SchoolCoeffcients!B26</f>
        <v>41</v>
      </c>
      <c r="AL18" t="str">
        <f>SchoolCoeffcients!C26</f>
        <v>sr-nocars</v>
      </c>
      <c r="AM18" s="55">
        <f>SchoolCoeffcients!E26</f>
        <v>-1.3307406132499999</v>
      </c>
      <c r="AN18" s="62">
        <f si="1" t="shared"/>
        <v>-1.3307406132499999</v>
      </c>
      <c r="AP18" s="59">
        <f>EscortCoefficients!B26</f>
        <v>999</v>
      </c>
      <c r="AQ18" t="str">
        <f>EscortCoefficients!C26</f>
        <v>Theta0999</v>
      </c>
      <c r="AR18">
        <f>EscortCoefficients!E26</f>
        <v>0.54150419246199999</v>
      </c>
      <c r="AS18" s="62">
        <f si="2" t="shared"/>
        <v>0.54150419246199999</v>
      </c>
      <c r="AU18" s="59">
        <f>OtherCoefficients!B26</f>
        <v>50</v>
      </c>
      <c r="AV18" s="54" t="str">
        <f>OtherCoefficients!C26</f>
        <v>da-const</v>
      </c>
      <c r="AW18" s="54">
        <f>OtherCoefficients!E26</f>
        <v>-0.461309408531</v>
      </c>
      <c r="AX18" s="62">
        <f si="3" t="shared"/>
        <v>-0.32955865963707276</v>
      </c>
      <c r="AZ18" s="59">
        <f>WorkBasedCoefficients!B26</f>
        <v>89</v>
      </c>
      <c r="BA18" t="str">
        <f>WorkBasedCoefficients!C26</f>
        <v>sr-stowork</v>
      </c>
      <c r="BB18">
        <f>WorkBasedCoefficients!E26</f>
        <v>1.1826209493099999</v>
      </c>
      <c r="BC18" s="62">
        <f si="4" t="shared"/>
        <v>1.1826209493099999</v>
      </c>
    </row>
    <row r="19" spans="2:55" x14ac:dyDescent="0.25">
      <c r="B19" s="9" t="s">
        <v>2</v>
      </c>
      <c r="C19" s="9">
        <f>Work!D5</f>
        <v>198025.9083251782</v>
      </c>
      <c r="D19" s="9">
        <f>School!D5</f>
        <v>111691.3703760396</v>
      </c>
      <c r="E19" s="9">
        <f>Escort!D5</f>
        <v>241349.01285579769</v>
      </c>
      <c r="F19" s="9">
        <f>Personal_Business!D5+Shop!D5+Meal!D5+SocRec!D5</f>
        <v>574481.49122851447</v>
      </c>
      <c r="G19" s="9">
        <f>Workbased!I6</f>
        <v>12524.8593272299</v>
      </c>
      <c r="H19" s="9">
        <f ref="H19:H25" si="5" t="shared">SUM(C19:G19)</f>
        <v>1138072.6421127599</v>
      </c>
      <c r="J19" s="9" t="s">
        <v>2</v>
      </c>
      <c r="K19" s="9">
        <f>Work!I5</f>
        <v>214032</v>
      </c>
      <c r="L19" s="9">
        <f>School!I5</f>
        <v>78177</v>
      </c>
      <c r="M19" s="9">
        <f>Escort!I5</f>
        <v>255961</v>
      </c>
      <c r="N19" s="9">
        <f>Shop!I5+Meal!I5+SocRec!I5+Personal_Business!I5</f>
        <v>542909</v>
      </c>
      <c r="O19" s="9">
        <f>Workbased!S6</f>
        <v>17595</v>
      </c>
      <c r="P19" s="9">
        <f ref="P19:P25" si="6" t="shared">SUM(K19:O19)</f>
        <v>1108674</v>
      </c>
      <c r="X19" s="9" t="s">
        <v>2</v>
      </c>
      <c r="Y19" s="52">
        <v>40</v>
      </c>
      <c r="Z19" s="52">
        <v>40</v>
      </c>
      <c r="AA19" s="52">
        <v>40</v>
      </c>
      <c r="AB19" s="52">
        <v>40</v>
      </c>
      <c r="AC19" s="52">
        <v>40</v>
      </c>
      <c r="AF19" s="59">
        <f>WorkCoefficients!B27</f>
        <v>50</v>
      </c>
      <c r="AG19" s="54" t="str">
        <f>WorkCoefficients!C27</f>
        <v>da-const</v>
      </c>
      <c r="AH19" s="54">
        <f>WorkCoefficients!E27</f>
        <v>1.48159853972</v>
      </c>
      <c r="AI19" s="62">
        <f si="0" t="shared"/>
        <v>1.4565761212139856</v>
      </c>
      <c r="AK19" s="59">
        <f>SchoolCoeffcients!B27</f>
        <v>44</v>
      </c>
      <c r="AL19" t="str">
        <f>SchoolCoeffcients!C27</f>
        <v>sr-incu25</v>
      </c>
      <c r="AM19" s="55">
        <f>SchoolCoeffcients!E27</f>
        <v>0.22708982679199999</v>
      </c>
      <c r="AN19" s="62">
        <f si="1" t="shared"/>
        <v>0.22708982679199999</v>
      </c>
      <c r="AU19" s="59">
        <f>OtherCoefficients!B27</f>
        <v>52</v>
      </c>
      <c r="AV19" t="str">
        <f>OtherCoefficients!C27</f>
        <v>da-carsltd</v>
      </c>
      <c r="AW19">
        <f>OtherCoefficients!E27</f>
        <v>-0.79057828054699997</v>
      </c>
      <c r="AX19" s="62">
        <f si="3" t="shared"/>
        <v>-0.79057828054699997</v>
      </c>
      <c r="AZ19" s="59">
        <f>WorkBasedCoefficients!B27</f>
        <v>99</v>
      </c>
      <c r="BA19" t="str">
        <f>WorkBasedCoefficients!C27</f>
        <v>modenest</v>
      </c>
      <c r="BB19">
        <f>WorkBasedCoefficients!E27</f>
        <v>0.88959318905899998</v>
      </c>
      <c r="BC19" s="62">
        <f si="4" t="shared"/>
        <v>0.88959318905899998</v>
      </c>
    </row>
    <row r="20" spans="2:55" x14ac:dyDescent="0.25">
      <c r="B20" s="9" t="s">
        <v>3</v>
      </c>
      <c r="C20" s="9">
        <f>Work!D6</f>
        <v>110084.721894576</v>
      </c>
      <c r="D20" s="9">
        <f>School!D6</f>
        <v>194964.99243018302</v>
      </c>
      <c r="E20" s="9">
        <f>Escort!D6</f>
        <v>251175.25765796669</v>
      </c>
      <c r="F20" s="9">
        <f>Personal_Business!D6+Shop!D6+Meal!D6+SocRec!D6</f>
        <v>495148.87217199232</v>
      </c>
      <c r="G20" s="9">
        <f>Workbased!I7</f>
        <v>4480.5661181997993</v>
      </c>
      <c r="H20" s="9">
        <f si="5" t="shared"/>
        <v>1055854.4102729177</v>
      </c>
      <c r="J20" s="9" t="s">
        <v>3</v>
      </c>
      <c r="K20" s="9">
        <f>Work!I6</f>
        <v>115429</v>
      </c>
      <c r="L20" s="9">
        <f>School!I6</f>
        <v>130535</v>
      </c>
      <c r="M20" s="9">
        <f>Escort!I6</f>
        <v>208114</v>
      </c>
      <c r="N20" s="9">
        <f>Shop!I6+Meal!I6+SocRec!I6+Personal_Business!I6</f>
        <v>500034</v>
      </c>
      <c r="O20" s="9">
        <f>Workbased!S7</f>
        <v>6839</v>
      </c>
      <c r="P20" s="9">
        <f si="6" t="shared"/>
        <v>960951</v>
      </c>
      <c r="X20" s="9" t="s">
        <v>3</v>
      </c>
      <c r="Y20" s="52">
        <v>30</v>
      </c>
      <c r="Z20" s="52">
        <v>30</v>
      </c>
      <c r="AA20" s="52">
        <v>30</v>
      </c>
      <c r="AB20" s="52">
        <v>30</v>
      </c>
      <c r="AC20" s="52">
        <v>30</v>
      </c>
      <c r="AF20" s="59">
        <f>WorkCoefficients!B28</f>
        <v>53</v>
      </c>
      <c r="AG20" t="str">
        <f>WorkCoefficients!C28</f>
        <v>da-carsltw</v>
      </c>
      <c r="AH20">
        <f>WorkCoefficients!E28</f>
        <v>-2.5141990240499998</v>
      </c>
      <c r="AI20" s="62">
        <f si="0" t="shared"/>
        <v>-2.5141990240499998</v>
      </c>
      <c r="AK20" s="59">
        <f>SchoolCoeffcients!B28</f>
        <v>45</v>
      </c>
      <c r="AL20" t="str">
        <f>SchoolCoeffcients!C28</f>
        <v>sr-inc2550</v>
      </c>
      <c r="AM20" s="55">
        <f>SchoolCoeffcients!E28</f>
        <v>-0.52505228928900005</v>
      </c>
      <c r="AN20" s="62">
        <f si="1" t="shared"/>
        <v>-0.52505228928900005</v>
      </c>
      <c r="AU20" s="59">
        <f>OtherCoefficients!B28</f>
        <v>54</v>
      </c>
      <c r="AV20" t="str">
        <f>OtherCoefficients!C28</f>
        <v>inc0to25k</v>
      </c>
      <c r="AW20">
        <f>OtherCoefficients!E28</f>
        <v>7.4242773487299997E-3</v>
      </c>
      <c r="AX20" s="62">
        <f si="3" t="shared"/>
        <v>7.4242773487299997E-3</v>
      </c>
    </row>
    <row r="21" spans="2:55" x14ac:dyDescent="0.25">
      <c r="B21" s="9" t="s">
        <v>4</v>
      </c>
      <c r="C21" s="9">
        <f>Work!D7</f>
        <v>41127.048595440399</v>
      </c>
      <c r="D21" s="9">
        <f>School!D7</f>
        <v>5509.2134576879998</v>
      </c>
      <c r="E21" s="9">
        <f>Escort!D7</f>
        <v>186.53392827799999</v>
      </c>
      <c r="F21" s="9">
        <f>Personal_Business!D7+Shop!D7+Meal!D7+SocRec!D7</f>
        <v>2840.3456834709</v>
      </c>
      <c r="G21" s="9">
        <f>Workbased!I8</f>
        <v>0</v>
      </c>
      <c r="H21" s="9">
        <f si="5" t="shared"/>
        <v>49663.141664877294</v>
      </c>
      <c r="J21" s="9" t="s">
        <v>4</v>
      </c>
      <c r="K21" s="9">
        <f>Work!I7</f>
        <v>37084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si="6" t="shared"/>
        <v>37084</v>
      </c>
      <c r="X21" s="9" t="s">
        <v>4</v>
      </c>
      <c r="Y21" s="52">
        <v>10</v>
      </c>
      <c r="Z21" s="52"/>
      <c r="AA21" s="52"/>
      <c r="AB21" s="52"/>
      <c r="AC21" s="52"/>
      <c r="AF21" s="59">
        <f>WorkCoefficients!B29</f>
        <v>54</v>
      </c>
      <c r="AG21" t="str">
        <f>WorkCoefficients!C29</f>
        <v>da-incu25</v>
      </c>
      <c r="AH21">
        <f>WorkCoefficients!E29</f>
        <v>0.76160210176200005</v>
      </c>
      <c r="AI21" s="62">
        <f si="0" t="shared"/>
        <v>0.76160210176200005</v>
      </c>
      <c r="AK21" s="59">
        <f>SchoolCoeffcients!B29</f>
        <v>47</v>
      </c>
      <c r="AL21" t="str">
        <f>SchoolCoeffcients!C29</f>
        <v>sr-chun5</v>
      </c>
      <c r="AM21" s="55">
        <f>SchoolCoeffcients!E29</f>
        <v>1.5640234951300001</v>
      </c>
      <c r="AN21" s="62">
        <f si="1" t="shared"/>
        <v>1.5640234951300001</v>
      </c>
      <c r="AU21" s="59">
        <f>OtherCoefficients!B29</f>
        <v>60</v>
      </c>
      <c r="AV21" s="54" t="str">
        <f>OtherCoefficients!C29</f>
        <v>bi-const</v>
      </c>
      <c r="AW21" s="54">
        <f>OtherCoefficients!E29</f>
        <v>-4.4410848396300002</v>
      </c>
      <c r="AX21" s="62">
        <f si="3" t="shared"/>
        <v>-5.0091765300935558</v>
      </c>
    </row>
    <row r="22" spans="2:55" x14ac:dyDescent="0.25">
      <c r="B22" s="9" t="s">
        <v>5</v>
      </c>
      <c r="C22" s="9">
        <f>Work!D8</f>
        <v>167960.0311829267</v>
      </c>
      <c r="D22" s="9">
        <f>School!D8</f>
        <v>42518.543743991999</v>
      </c>
      <c r="E22" s="9">
        <f>Escort!D8</f>
        <v>2518.1699505320998</v>
      </c>
      <c r="F22" s="9">
        <f>Personal_Business!D8+Shop!D8+Meal!D8+SocRec!D8</f>
        <v>92278.322866415008</v>
      </c>
      <c r="G22" s="9">
        <f>Workbased!I9</f>
        <v>3284.4525894286999</v>
      </c>
      <c r="H22" s="9">
        <f si="5" t="shared"/>
        <v>308559.52033329447</v>
      </c>
      <c r="J22" s="9" t="s">
        <v>5</v>
      </c>
      <c r="K22" s="9">
        <f>Work!I8</f>
        <v>110073</v>
      </c>
      <c r="L22" s="9">
        <f>School!I8</f>
        <v>22065</v>
      </c>
      <c r="M22" s="9">
        <f>Escort!I8</f>
        <v>0</v>
      </c>
      <c r="N22" s="9">
        <f>Shop!I8+Meal!I8+SocRec!I8+Personal_Business!I8</f>
        <v>25161</v>
      </c>
      <c r="O22" s="9">
        <f>Workbased!S9</f>
        <v>1339</v>
      </c>
      <c r="P22" s="9">
        <f si="6" t="shared"/>
        <v>158638</v>
      </c>
      <c r="X22" s="9" t="s">
        <v>5</v>
      </c>
      <c r="Y22" s="52">
        <v>20</v>
      </c>
      <c r="Z22" s="52">
        <v>20</v>
      </c>
      <c r="AA22" s="52"/>
      <c r="AB22" s="52">
        <v>20</v>
      </c>
      <c r="AC22" s="52">
        <v>20</v>
      </c>
      <c r="AF22" s="59">
        <f>WorkCoefficients!B30</f>
        <v>60</v>
      </c>
      <c r="AG22" s="54" t="str">
        <f>WorkCoefficients!C30</f>
        <v>bi-const</v>
      </c>
      <c r="AH22" s="54">
        <f>WorkCoefficients!E30</f>
        <v>-3.8984872554700001</v>
      </c>
      <c r="AI22" s="62">
        <f si="0" t="shared"/>
        <v>-3.6757322455969752</v>
      </c>
      <c r="AK22" s="59">
        <f>SchoolCoeffcients!B30</f>
        <v>50</v>
      </c>
      <c r="AL22" s="54" t="str">
        <f>SchoolCoeffcients!C30</f>
        <v>da-const</v>
      </c>
      <c r="AM22" s="56">
        <f>SchoolCoeffcients!E30</f>
        <v>2.16938021038</v>
      </c>
      <c r="AN22" s="62">
        <f si="1" t="shared"/>
        <v>2.2643662655369634</v>
      </c>
      <c r="AU22" s="59">
        <f>OtherCoefficients!B30</f>
        <v>61</v>
      </c>
      <c r="AV22" t="str">
        <f>OtherCoefficients!C30</f>
        <v>bi-male</v>
      </c>
      <c r="AW22">
        <f>OtherCoefficients!E30</f>
        <v>0.614663848254</v>
      </c>
      <c r="AX22" s="62">
        <f si="3" t="shared"/>
        <v>0.614663848254</v>
      </c>
    </row>
    <row r="23" spans="2:55" x14ac:dyDescent="0.25">
      <c r="B23" s="9" t="s">
        <v>6</v>
      </c>
      <c r="C23" s="9">
        <f>Work!D9</f>
        <v>36538.895039941606</v>
      </c>
      <c r="D23" s="9">
        <f>School!D9</f>
        <v>7871.8843672349994</v>
      </c>
      <c r="E23" s="9">
        <f>Escort!D9</f>
        <v>1930.3885838934002</v>
      </c>
      <c r="F23" s="9">
        <f>Personal_Business!D9+Shop!D9+Meal!D9+SocRec!D9</f>
        <v>26613.690898501602</v>
      </c>
      <c r="G23" s="9">
        <f>Workbased!I10</f>
        <v>491.44114883700001</v>
      </c>
      <c r="H23" s="9">
        <f si="5" t="shared"/>
        <v>73446.300038408604</v>
      </c>
      <c r="J23" s="9" t="s">
        <v>6</v>
      </c>
      <c r="K23" s="9">
        <f>Work!I9</f>
        <v>26635</v>
      </c>
      <c r="L23" s="9">
        <f>School!I9</f>
        <v>6473</v>
      </c>
      <c r="M23" s="9">
        <f>Escort!I9</f>
        <v>2551</v>
      </c>
      <c r="N23" s="9">
        <f>Shop!I9+Meal!I9+SocRec!I9+Personal_Business!I9</f>
        <v>38663</v>
      </c>
      <c r="O23" s="9">
        <f>Workbased!S10</f>
        <v>391</v>
      </c>
      <c r="P23" s="9">
        <f si="6" t="shared"/>
        <v>74713</v>
      </c>
      <c r="X23" s="9" t="s">
        <v>6</v>
      </c>
      <c r="Y23" s="52">
        <v>60</v>
      </c>
      <c r="Z23" s="52">
        <v>60</v>
      </c>
      <c r="AA23" s="52">
        <v>60</v>
      </c>
      <c r="AB23" s="52">
        <v>60</v>
      </c>
      <c r="AC23" s="52">
        <v>60</v>
      </c>
      <c r="AF23" s="59">
        <f>WorkCoefficients!B31</f>
        <v>61</v>
      </c>
      <c r="AG23" t="str">
        <f>WorkCoefficients!C31</f>
        <v>bi-male</v>
      </c>
      <c r="AH23">
        <f>WorkCoefficients!E31</f>
        <v>1.7828694027100001</v>
      </c>
      <c r="AI23" s="62">
        <f si="0" t="shared"/>
        <v>1.7828694027100001</v>
      </c>
      <c r="AK23" s="59">
        <f>SchoolCoeffcients!B31</f>
        <v>52</v>
      </c>
      <c r="AL23" t="str">
        <f>SchoolCoeffcients!C31</f>
        <v>da-carsltd</v>
      </c>
      <c r="AM23" s="55">
        <f>SchoolCoeffcients!E31</f>
        <v>-2.1575125928499999</v>
      </c>
      <c r="AN23" s="62">
        <f si="1" t="shared"/>
        <v>-2.1575125928499999</v>
      </c>
      <c r="AU23" s="59">
        <f>OtherCoefficients!B31</f>
        <v>63</v>
      </c>
      <c r="AV23" t="str">
        <f>OtherCoefficients!C31</f>
        <v>bi-ageo50</v>
      </c>
      <c r="AW23">
        <f>OtherCoefficients!E31</f>
        <v>-0.87809104489900003</v>
      </c>
      <c r="AX23" s="62">
        <f si="3" t="shared"/>
        <v>-0.87809104489900003</v>
      </c>
    </row>
    <row r="24" spans="2:55" x14ac:dyDescent="0.25">
      <c r="B24" s="9" t="s">
        <v>7</v>
      </c>
      <c r="C24" s="9">
        <f>Work!D10</f>
        <v>38118.488379290604</v>
      </c>
      <c r="D24" s="9">
        <f>School!D10</f>
        <v>55415.813629804397</v>
      </c>
      <c r="E24" s="9">
        <f>Escort!D10</f>
        <v>32302.204873607203</v>
      </c>
      <c r="F24" s="9">
        <f>Personal_Business!D10+Shop!D10+Meal!D10+SocRec!D10</f>
        <v>476200.65929703531</v>
      </c>
      <c r="G24" s="9">
        <f>Workbased!I11</f>
        <v>69251.788261850001</v>
      </c>
      <c r="H24" s="9">
        <f si="5" t="shared"/>
        <v>671288.95444158756</v>
      </c>
      <c r="J24" s="9" t="s">
        <v>7</v>
      </c>
      <c r="K24" s="9">
        <f>Work!I10</f>
        <v>15176</v>
      </c>
      <c r="L24" s="9">
        <f>School!I10</f>
        <v>30250</v>
      </c>
      <c r="M24" s="9">
        <f>Escort!I10</f>
        <v>23</v>
      </c>
      <c r="N24" s="9">
        <f>Shop!I10+Meal!I10+SocRec!I10+Personal_Business!I10</f>
        <v>346472</v>
      </c>
      <c r="O24" s="9">
        <f>Workbased!S11</f>
        <v>44376</v>
      </c>
      <c r="P24" s="9">
        <f si="6" t="shared"/>
        <v>436297</v>
      </c>
      <c r="X24" s="9" t="s">
        <v>7</v>
      </c>
      <c r="Y24" s="52"/>
      <c r="Z24" s="52"/>
      <c r="AA24" s="52"/>
      <c r="AB24" s="52"/>
      <c r="AC24" s="52"/>
      <c r="AF24" s="59">
        <f>WorkCoefficients!B32</f>
        <v>63</v>
      </c>
      <c r="AG24" t="str">
        <f>WorkCoefficients!C32</f>
        <v>bi-ageo50</v>
      </c>
      <c r="AH24">
        <f>WorkCoefficients!E32</f>
        <v>-1.1592853190600001</v>
      </c>
      <c r="AI24" s="62">
        <f si="0" t="shared"/>
        <v>-1.1592853190600001</v>
      </c>
      <c r="AK24" s="59">
        <f>SchoolCoeffcients!B32</f>
        <v>54</v>
      </c>
      <c r="AL24" t="str">
        <f>SchoolCoeffcients!C32</f>
        <v>da-incu25</v>
      </c>
      <c r="AM24" s="55">
        <f>SchoolCoeffcients!E32</f>
        <v>0</v>
      </c>
      <c r="AN24" s="62">
        <f si="1" t="shared"/>
        <v>0</v>
      </c>
      <c r="AU24" s="59">
        <f>OtherCoefficients!B32</f>
        <v>73</v>
      </c>
      <c r="AV24" t="str">
        <f>OtherCoefficients!C32</f>
        <v>wk-ageo50</v>
      </c>
      <c r="AW24">
        <f>OtherCoefficients!E32</f>
        <v>-8.2669199618100001E-2</v>
      </c>
      <c r="AX24" s="62">
        <f si="3" t="shared"/>
        <v>-8.2669199618100001E-2</v>
      </c>
    </row>
    <row r="25" spans="2:55" x14ac:dyDescent="0.25">
      <c r="B25" s="14" t="s">
        <v>8</v>
      </c>
      <c r="C25" s="9">
        <f>Work!D11</f>
        <v>471.69490556699998</v>
      </c>
      <c r="D25" s="9">
        <f>School!D11</f>
        <v>189518.57716822199</v>
      </c>
      <c r="E25" s="9">
        <f>Escort!D11</f>
        <v>659.63149999999996</v>
      </c>
      <c r="F25" s="9">
        <f>Personal_Business!D11+Shop!D11+Meal!D11+SocRec!D11</f>
        <v>3605.203255418</v>
      </c>
      <c r="G25" s="9">
        <f>Workbased!I12</f>
        <v>156447.7699339707</v>
      </c>
      <c r="H25" s="9">
        <f si="5" t="shared"/>
        <v>350702.87676317769</v>
      </c>
      <c r="J25" s="14" t="s">
        <v>8</v>
      </c>
      <c r="K25" s="9">
        <f>Work!I11</f>
        <v>0</v>
      </c>
      <c r="L25" s="9">
        <f>School!I11</f>
        <v>139820</v>
      </c>
      <c r="M25" s="9">
        <f>Escort!I11</f>
        <v>0</v>
      </c>
      <c r="N25" s="9">
        <f>Shop!I11+Meal!I11+SocRec!I11+Personal_Business!I11</f>
        <v>0</v>
      </c>
      <c r="O25" s="41">
        <v>0</v>
      </c>
      <c r="P25" s="9">
        <f si="6" t="shared"/>
        <v>139820</v>
      </c>
      <c r="X25" s="14" t="s">
        <v>8</v>
      </c>
      <c r="Y25" s="53"/>
      <c r="Z25" s="53">
        <v>10</v>
      </c>
      <c r="AA25" s="53"/>
      <c r="AB25" s="53"/>
      <c r="AC25" s="53"/>
      <c r="AF25" s="59">
        <f>WorkCoefficients!B33</f>
        <v>71</v>
      </c>
      <c r="AG25" t="str">
        <f>WorkCoefficients!C33</f>
        <v>wk-male</v>
      </c>
      <c r="AH25">
        <f>WorkCoefficients!E33</f>
        <v>0.93477131512</v>
      </c>
      <c r="AI25" s="62">
        <f si="0" t="shared"/>
        <v>0.93477131512</v>
      </c>
      <c r="AK25" s="59">
        <f>SchoolCoeffcients!B33</f>
        <v>56</v>
      </c>
      <c r="AL25" t="str">
        <f>SchoolCoeffcients!C33</f>
        <v>da-inco75</v>
      </c>
      <c r="AM25" s="55">
        <f>SchoolCoeffcients!E33</f>
        <v>0.30919284203500003</v>
      </c>
      <c r="AN25" s="62">
        <f si="1" t="shared"/>
        <v>0.30919284203500003</v>
      </c>
      <c r="AU25" s="59">
        <f>OtherCoefficients!B33</f>
        <v>120</v>
      </c>
      <c r="AV25" t="str">
        <f>OtherCoefficients!C33</f>
        <v>tr-shop</v>
      </c>
      <c r="AW25">
        <f>OtherCoefficients!E33</f>
        <v>-0.40759393652199999</v>
      </c>
      <c r="AX25" s="62">
        <f si="3" t="shared"/>
        <v>-0.40759393652199999</v>
      </c>
    </row>
    <row ht="15.75" r="26" spans="2:55" thickBot="1" x14ac:dyDescent="0.3">
      <c r="B26" s="40" t="s">
        <v>19</v>
      </c>
      <c r="C26" s="19">
        <f>SUM(C18:C25)</f>
        <v>1505787.1344107792</v>
      </c>
      <c r="D26" s="19">
        <f ref="D26:H26" si="7" t="shared">SUM(D18:D25)</f>
        <v>683910.16442590416</v>
      </c>
      <c r="E26" s="19">
        <f si="7" t="shared"/>
        <v>547597.81896509638</v>
      </c>
      <c r="F26" s="19">
        <f si="7" t="shared"/>
        <v>2435286.6532874792</v>
      </c>
      <c r="G26" s="19">
        <f si="7" t="shared"/>
        <v>312895.53986794141</v>
      </c>
      <c r="H26" s="19">
        <f si="7" t="shared"/>
        <v>5485477.3109571999</v>
      </c>
      <c r="J26" s="40" t="s">
        <v>19</v>
      </c>
      <c r="K26" s="19">
        <f>SUM(K18:K25)</f>
        <v>1371520</v>
      </c>
      <c r="L26" s="19">
        <f ref="L26" si="8" t="shared">SUM(L18:L25)</f>
        <v>453391</v>
      </c>
      <c r="M26" s="19">
        <f ref="M26" si="9" t="shared">SUM(M18:M25)</f>
        <v>466764</v>
      </c>
      <c r="N26" s="19">
        <f ref="N26" si="10" t="shared">SUM(N18:N25)</f>
        <v>2004571</v>
      </c>
      <c r="O26" s="19">
        <f ref="O26" si="11" t="shared">SUM(O18:O25)</f>
        <v>143985</v>
      </c>
      <c r="P26" s="19">
        <f>SUM(K26:O26)</f>
        <v>4440231</v>
      </c>
      <c r="AF26" s="59">
        <f>WorkCoefficients!B34</f>
        <v>124</v>
      </c>
      <c r="AG26" t="str">
        <f>WorkCoefficients!C34</f>
        <v>tr-omixed</v>
      </c>
      <c r="AH26">
        <f>WorkCoefficients!E34</f>
        <v>1.3254575719699999</v>
      </c>
      <c r="AI26" s="62">
        <f si="0" t="shared"/>
        <v>1.3254575719699999</v>
      </c>
      <c r="AK26" s="59">
        <f>SchoolCoeffcients!B34</f>
        <v>59</v>
      </c>
      <c r="AL26" t="str">
        <f>SchoolCoeffcients!C34</f>
        <v>da-ch1617</v>
      </c>
      <c r="AM26" s="55">
        <f>SchoolCoeffcients!E34</f>
        <v>-3.2597140629700001</v>
      </c>
      <c r="AN26" s="62">
        <f si="1" t="shared"/>
        <v>-3.2597140629700001</v>
      </c>
      <c r="AU26" s="59">
        <f>OtherCoefficients!B34</f>
        <v>124</v>
      </c>
      <c r="AV26" t="str">
        <f>OtherCoefficients!C34</f>
        <v>tr-omixed</v>
      </c>
      <c r="AW26">
        <f>OtherCoefficients!E34</f>
        <v>0.22849027283199999</v>
      </c>
      <c r="AX26" s="62">
        <f si="3" t="shared"/>
        <v>0.22849027283199999</v>
      </c>
    </row>
    <row r="27" spans="2:55" x14ac:dyDescent="0.25">
      <c r="S27" s="59"/>
      <c r="T27" s="59"/>
      <c r="U27" s="59"/>
      <c r="AF27" s="59">
        <f>WorkCoefficients!B35</f>
        <v>127</v>
      </c>
      <c r="AG27" t="str">
        <f>WorkCoefficients!C35</f>
        <v>tr-dintdn</v>
      </c>
      <c r="AH27">
        <f>WorkCoefficients!E35</f>
        <v>9.2856179122299994E-3</v>
      </c>
      <c r="AI27" s="62">
        <f si="0" t="shared"/>
        <v>9.2856179122299994E-3</v>
      </c>
      <c r="AK27" s="59">
        <f>SchoolCoeffcients!B35</f>
        <v>60</v>
      </c>
      <c r="AL27" s="54" t="str">
        <f>SchoolCoeffcients!C35</f>
        <v>bi-const</v>
      </c>
      <c r="AM27" s="56">
        <f>SchoolCoeffcients!E35</f>
        <v>-3.8099771367100002</v>
      </c>
      <c r="AN27" s="62">
        <f si="1" t="shared"/>
        <v>-4.0253910283367853</v>
      </c>
      <c r="AU27" s="59">
        <f>OtherCoefficients!B35</f>
        <v>128</v>
      </c>
      <c r="AV27" t="str">
        <f>OtherCoefficients!C35</f>
        <v>tr-dempdn</v>
      </c>
      <c r="AW27">
        <f>OtherCoefficients!E35</f>
        <v>4.0664487494199999E-5</v>
      </c>
      <c r="AX27" s="62">
        <f si="3" t="shared"/>
        <v>4.0664487494199999E-5</v>
      </c>
    </row>
    <row r="28" spans="2:55" x14ac:dyDescent="0.25">
      <c r="G28" s="9"/>
      <c r="H28" s="9"/>
      <c r="X28" t="s">
        <v>219</v>
      </c>
      <c r="AF28">
        <f>WorkCoefficients!B36</f>
        <v>128</v>
      </c>
      <c r="AG28" t="str">
        <f>WorkCoefficients!C36</f>
        <v>tr-dempdn</v>
      </c>
      <c r="AH28">
        <f>WorkCoefficients!E36</f>
        <v>4.4706577237899998E-5</v>
      </c>
      <c r="AI28" s="62">
        <f si="0" t="shared"/>
        <v>4.4706577237899998E-5</v>
      </c>
      <c r="AK28" s="59">
        <f>SchoolCoeffcients!B36</f>
        <v>61</v>
      </c>
      <c r="AL28" t="str">
        <f>SchoolCoeffcients!C36</f>
        <v>bi-male</v>
      </c>
      <c r="AM28" s="55">
        <f>SchoolCoeffcients!E36</f>
        <v>1.04459519659</v>
      </c>
      <c r="AN28" s="62">
        <f si="1" t="shared"/>
        <v>1.04459519659</v>
      </c>
      <c r="AU28" s="59">
        <f>OtherCoefficients!B36</f>
        <v>131</v>
      </c>
      <c r="AV28" t="str">
        <f>OtherCoefficients!C36</f>
        <v>da-escsptr</v>
      </c>
      <c r="AW28">
        <f>OtherCoefficients!E36</f>
        <v>0</v>
      </c>
      <c r="AX28" s="62">
        <f si="3" t="shared"/>
        <v>0</v>
      </c>
    </row>
    <row ht="15.75" r="29" spans="2:55" thickBot="1" x14ac:dyDescent="0.3">
      <c r="B29" s="39" t="s">
        <v>217</v>
      </c>
      <c r="Q29" t="s">
        <v>218</v>
      </c>
      <c r="AF29">
        <f>WorkCoefficients!B37</f>
        <v>131</v>
      </c>
      <c r="AG29" t="str">
        <f>WorkCoefficients!C37</f>
        <v>da-escsptr</v>
      </c>
      <c r="AH29">
        <f>WorkCoefficients!E37</f>
        <v>-4.5175524463099999</v>
      </c>
      <c r="AI29" s="62">
        <f si="0" t="shared"/>
        <v>-4.5175524463099999</v>
      </c>
      <c r="AK29" s="59">
        <f>SchoolCoeffcients!B37</f>
        <v>69</v>
      </c>
      <c r="AL29" t="str">
        <f>SchoolCoeffcients!C37</f>
        <v>bi-univtr</v>
      </c>
      <c r="AM29" s="55">
        <f>SchoolCoeffcients!E37</f>
        <v>2.65579810914</v>
      </c>
      <c r="AN29" s="62">
        <f si="1" t="shared"/>
        <v>2.65579810914</v>
      </c>
      <c r="AU29" s="59">
        <f>OtherCoefficients!B37</f>
        <v>132</v>
      </c>
      <c r="AV29" t="str">
        <f>OtherCoefficients!C37</f>
        <v>da-othsptr</v>
      </c>
      <c r="AW29">
        <f>OtherCoefficients!E37</f>
        <v>0.20969220422099999</v>
      </c>
      <c r="AX29" s="62">
        <f si="3" t="shared"/>
        <v>0.20969220422099999</v>
      </c>
    </row>
    <row r="30" spans="2:55" x14ac:dyDescent="0.25">
      <c r="B30" s="2" t="s">
        <v>0</v>
      </c>
      <c r="C30" s="2" t="s">
        <v>195</v>
      </c>
      <c r="D30" s="2" t="s">
        <v>196</v>
      </c>
      <c r="E30" s="2" t="s">
        <v>197</v>
      </c>
      <c r="F30" s="2" t="s">
        <v>198</v>
      </c>
      <c r="G30" s="2" t="s">
        <v>216</v>
      </c>
      <c r="H30" s="45"/>
      <c r="J30" s="2" t="s">
        <v>0</v>
      </c>
      <c r="K30" s="2" t="s">
        <v>195</v>
      </c>
      <c r="L30" s="2" t="s">
        <v>196</v>
      </c>
      <c r="M30" s="2" t="s">
        <v>197</v>
      </c>
      <c r="N30" s="2" t="s">
        <v>198</v>
      </c>
      <c r="O30" s="2" t="s">
        <v>216</v>
      </c>
      <c r="Q30" s="2" t="s">
        <v>0</v>
      </c>
      <c r="R30" s="2" t="s">
        <v>195</v>
      </c>
      <c r="S30" s="2" t="s">
        <v>196</v>
      </c>
      <c r="T30" s="2" t="s">
        <v>197</v>
      </c>
      <c r="U30" s="2" t="s">
        <v>198</v>
      </c>
      <c r="V30" s="2" t="s">
        <v>216</v>
      </c>
      <c r="X30" s="2" t="s">
        <v>0</v>
      </c>
      <c r="Y30" s="2" t="s">
        <v>195</v>
      </c>
      <c r="Z30" s="2" t="s">
        <v>196</v>
      </c>
      <c r="AA30" s="2" t="s">
        <v>197</v>
      </c>
      <c r="AB30" s="2" t="s">
        <v>198</v>
      </c>
      <c r="AC30" s="2" t="s">
        <v>216</v>
      </c>
      <c r="AF30">
        <f>WorkCoefficients!B38</f>
        <v>132</v>
      </c>
      <c r="AG30" t="str">
        <f>WorkCoefficients!C38</f>
        <v>da-othsptr</v>
      </c>
      <c r="AH30">
        <f>WorkCoefficients!E38</f>
        <v>0.19300757939999999</v>
      </c>
      <c r="AI30" s="62">
        <f si="0" t="shared"/>
        <v>0.19300757939999999</v>
      </c>
      <c r="AK30" s="59">
        <f>SchoolCoeffcients!B38</f>
        <v>79</v>
      </c>
      <c r="AL30" t="str">
        <f>SchoolCoeffcients!C38</f>
        <v>wk-univtr</v>
      </c>
      <c r="AM30" s="55">
        <f>SchoolCoeffcients!E38</f>
        <v>3.1769310325200002</v>
      </c>
      <c r="AN30" s="62">
        <f si="1" t="shared"/>
        <v>3.1769310325200002</v>
      </c>
      <c r="AU30" s="59">
        <f>OtherCoefficients!B38</f>
        <v>133</v>
      </c>
      <c r="AV30" t="str">
        <f>OtherCoefficients!C38</f>
        <v>sr-escsptr</v>
      </c>
      <c r="AW30">
        <f>OtherCoefficients!E38</f>
        <v>0</v>
      </c>
      <c r="AX30" s="62">
        <f si="3" t="shared"/>
        <v>0</v>
      </c>
    </row>
    <row r="31" spans="2:55" x14ac:dyDescent="0.25">
      <c r="B31" s="9" t="s">
        <v>1</v>
      </c>
      <c r="C31" s="42">
        <f>$C18/C$26</f>
        <v>0.60663311912629647</v>
      </c>
      <c r="D31" s="42">
        <f>$D18/D$26</f>
        <v>0.11173948455187717</v>
      </c>
      <c r="E31" s="42">
        <f>$E18/E$26</f>
        <v>3.1915064322298091E-2</v>
      </c>
      <c r="F31" s="42">
        <f>$F18/F$26</f>
        <v>0.31376925047185777</v>
      </c>
      <c r="G31" s="42">
        <f>$G18/G$26</f>
        <v>0.21225825883122471</v>
      </c>
      <c r="H31" s="42"/>
      <c r="J31" s="9" t="s">
        <v>1</v>
      </c>
      <c r="K31" s="42">
        <f>$K18/K$26</f>
        <v>0.62200405389640689</v>
      </c>
      <c r="L31" s="42">
        <f>$L18/L$26</f>
        <v>0.10161427994821247</v>
      </c>
      <c r="M31" s="42">
        <f>$M18/M$26</f>
        <v>2.4637718418729805E-4</v>
      </c>
      <c r="N31" s="42">
        <f>$N18/N$26</f>
        <v>0.27503740201768856</v>
      </c>
      <c r="O31" s="42">
        <f>$O18/O$26</f>
        <v>0.51008785637392784</v>
      </c>
      <c r="Q31" s="9" t="s">
        <v>1</v>
      </c>
      <c r="R31" s="44">
        <f ref="R31:V33" si="12" t="shared">C31/K31</f>
        <v>0.97528804728229246</v>
      </c>
      <c r="S31" s="44">
        <f si="12" t="shared"/>
        <v>1.0996435206628929</v>
      </c>
      <c r="T31" s="44">
        <f si="12" t="shared"/>
        <v>129.53741811594043</v>
      </c>
      <c r="U31" s="44">
        <f si="12" t="shared"/>
        <v>1.1408239321998768</v>
      </c>
      <c r="V31" s="44">
        <f si="12" t="shared"/>
        <v>0.41612098029564831</v>
      </c>
      <c r="X31" s="9" t="s">
        <v>1</v>
      </c>
      <c r="Y31" s="44">
        <f ref="Y31:Y36" si="13" t="shared">IF(R31&gt;0,LN(R31),0)</f>
        <v>-2.5022418506014284E-2</v>
      </c>
      <c r="Z31" s="44">
        <f ref="Z31:Z33" si="14" t="shared">IF(S31&gt;0,LN(S31),0)</f>
        <v>9.4986055156963359E-2</v>
      </c>
      <c r="AA31" s="44">
        <f ref="AA31:AA33" si="15" t="shared">IF(T31&gt;0,LN(T31),0)</f>
        <v>4.8639697823838439</v>
      </c>
      <c r="AB31" s="44">
        <f ref="AB31:AB33" si="16" t="shared">IF(U31&gt;0,LN(U31),0)</f>
        <v>0.13175074889392724</v>
      </c>
      <c r="AC31" s="44">
        <f ref="AC31:AC33" si="17" t="shared">IF(V31&gt;0,LN(V31),0)</f>
        <v>-0.87677924298185139</v>
      </c>
      <c r="AF31">
        <f>WorkCoefficients!B39</f>
        <v>133</v>
      </c>
      <c r="AG31" t="str">
        <f>WorkCoefficients!C39</f>
        <v>sr-escsptr</v>
      </c>
      <c r="AH31">
        <f>WorkCoefficients!E39</f>
        <v>5.5028395569699997</v>
      </c>
      <c r="AI31" s="62">
        <f si="0" t="shared"/>
        <v>5.5028395569699997</v>
      </c>
      <c r="AK31" s="59">
        <f>SchoolCoeffcients!B39</f>
        <v>122</v>
      </c>
      <c r="AL31" t="str">
        <f>SchoolCoeffcients!C39</f>
        <v>tr-ologts</v>
      </c>
      <c r="AM31" s="55">
        <f>SchoolCoeffcients!E39</f>
        <v>-0.24379659264299999</v>
      </c>
      <c r="AN31" s="62">
        <f si="1" t="shared"/>
        <v>-0.24379659264299999</v>
      </c>
      <c r="AU31" s="59">
        <f>OtherCoefficients!B39</f>
        <v>134</v>
      </c>
      <c r="AV31" t="str">
        <f>OtherCoefficients!C39</f>
        <v>sr-othsptr</v>
      </c>
      <c r="AW31">
        <f>OtherCoefficients!E39</f>
        <v>0.29636782425199998</v>
      </c>
      <c r="AX31" s="62">
        <f si="3" t="shared"/>
        <v>0.29636782425199998</v>
      </c>
    </row>
    <row r="32" spans="2:55" x14ac:dyDescent="0.25">
      <c r="B32" s="9" t="s">
        <v>2</v>
      </c>
      <c r="C32" s="42">
        <f ref="C32:C38" si="18" t="shared">$C19/C$26</f>
        <v>0.13150989525665363</v>
      </c>
      <c r="D32" s="42">
        <f ref="D32:D38" si="19" t="shared">$D19/D$26</f>
        <v>0.16331292644231551</v>
      </c>
      <c r="E32" s="42">
        <f ref="E32:E38" si="20" t="shared">$E19/E$26</f>
        <v>0.44074136984680201</v>
      </c>
      <c r="F32" s="42">
        <f ref="F32:F38" si="21" t="shared">$F19/F$26</f>
        <v>0.23589891992920081</v>
      </c>
      <c r="G32" s="42">
        <f ref="G32:G38" si="22" t="shared">$G19/G$26</f>
        <v>4.0028884184530267E-2</v>
      </c>
      <c r="H32" s="42"/>
      <c r="J32" s="9" t="s">
        <v>2</v>
      </c>
      <c r="K32" s="42">
        <f ref="K32:K38" si="23" t="shared">$K19/K$26</f>
        <v>0.15605459636024266</v>
      </c>
      <c r="L32" s="42">
        <f ref="L32:L38" si="24" t="shared">$L19/L$26</f>
        <v>0.17242733093510898</v>
      </c>
      <c r="M32" s="42">
        <f ref="M32:M38" si="25" t="shared">$M19/M$26</f>
        <v>0.54837348210230441</v>
      </c>
      <c r="N32" s="42">
        <f ref="N32:N38" si="26" t="shared">$N19/N$26</f>
        <v>0.27083550545228879</v>
      </c>
      <c r="O32" s="42">
        <f ref="O32:O38" si="27" t="shared">$O19/O$26</f>
        <v>0.12220022919054069</v>
      </c>
      <c r="Q32" s="9" t="s">
        <v>2</v>
      </c>
      <c r="R32" s="44">
        <f si="12" t="shared"/>
        <v>0.84271721771700292</v>
      </c>
      <c r="S32" s="44">
        <f si="12" t="shared"/>
        <v>0.94714060443107151</v>
      </c>
      <c r="T32" s="44">
        <f si="12" t="shared"/>
        <v>0.8037248047756208</v>
      </c>
      <c r="U32" s="44">
        <f si="12" t="shared"/>
        <v>0.87100441109172622</v>
      </c>
      <c r="V32" s="44">
        <f si="12" t="shared"/>
        <v>0.32756799598235808</v>
      </c>
      <c r="X32" s="9" t="s">
        <v>2</v>
      </c>
      <c r="Y32" s="44">
        <f si="13" t="shared"/>
        <v>-0.17112382480343483</v>
      </c>
      <c r="Z32" s="44">
        <f si="14" t="shared"/>
        <v>-5.4307723289103577E-2</v>
      </c>
      <c r="AA32" s="44">
        <f si="15" t="shared"/>
        <v>-0.21849835101262324</v>
      </c>
      <c r="AB32" s="44">
        <f si="16" t="shared"/>
        <v>-0.13810823774323186</v>
      </c>
      <c r="AC32" s="44">
        <f si="17" t="shared"/>
        <v>-1.1160596241369765</v>
      </c>
      <c r="AF32">
        <f>WorkCoefficients!B40</f>
        <v>134</v>
      </c>
      <c r="AG32" t="str">
        <f>WorkCoefficients!C40</f>
        <v>sr-othsptr</v>
      </c>
      <c r="AH32">
        <f>WorkCoefficients!E40</f>
        <v>0.423723185512</v>
      </c>
      <c r="AI32" s="62">
        <f si="0" t="shared"/>
        <v>0.423723185512</v>
      </c>
      <c r="AK32" s="59">
        <f>SchoolCoeffcients!B40</f>
        <v>129</v>
      </c>
      <c r="AL32" t="str">
        <f>SchoolCoeffcients!C40</f>
        <v>tr-dmixed</v>
      </c>
      <c r="AM32" s="55">
        <f>SchoolCoeffcients!E40</f>
        <v>0.77462376479600004</v>
      </c>
      <c r="AN32" s="62">
        <f si="1" t="shared"/>
        <v>0.77462376479600004</v>
      </c>
      <c r="AU32" s="59">
        <f>OtherCoefficients!B40</f>
        <v>136</v>
      </c>
      <c r="AV32" t="str">
        <f>OtherCoefficients!C40</f>
        <v>sr-shop</v>
      </c>
      <c r="AW32">
        <f>OtherCoefficients!E40</f>
        <v>-4.3232317637700003E-2</v>
      </c>
      <c r="AX32" s="62">
        <f si="3" t="shared"/>
        <v>-4.3232317637700003E-2</v>
      </c>
    </row>
    <row r="33" spans="2:50" x14ac:dyDescent="0.25">
      <c r="B33" s="9" t="s">
        <v>3</v>
      </c>
      <c r="C33" s="42">
        <f si="18" t="shared"/>
        <v>7.3107758313828736E-2</v>
      </c>
      <c r="D33" s="42">
        <f si="19" t="shared"/>
        <v>0.2850739798462314</v>
      </c>
      <c r="E33" s="42">
        <f si="20" t="shared"/>
        <v>0.45868564292798342</v>
      </c>
      <c r="F33" s="42">
        <f si="21" t="shared"/>
        <v>0.20332262384946487</v>
      </c>
      <c r="G33" s="42">
        <f si="22" t="shared"/>
        <v>1.4319686755812617E-2</v>
      </c>
      <c r="H33" s="42"/>
      <c r="J33" s="9" t="s">
        <v>3</v>
      </c>
      <c r="K33" s="42">
        <f si="23" t="shared"/>
        <v>8.4161368408772752E-2</v>
      </c>
      <c r="L33" s="42">
        <f si="24" t="shared"/>
        <v>0.28790822932082905</v>
      </c>
      <c r="M33" s="42">
        <f si="25" t="shared"/>
        <v>0.44586557660830739</v>
      </c>
      <c r="N33" s="42">
        <f si="26" t="shared"/>
        <v>0.24944688913488222</v>
      </c>
      <c r="O33" s="42">
        <f si="27" t="shared"/>
        <v>4.7498003264228914E-2</v>
      </c>
      <c r="Q33" s="9" t="s">
        <v>3</v>
      </c>
      <c r="R33" s="44">
        <f si="12" t="shared"/>
        <v>0.86866171137740411</v>
      </c>
      <c r="S33" s="44">
        <f si="12" t="shared"/>
        <v>0.9901557191286835</v>
      </c>
      <c r="T33" s="44">
        <f si="12" t="shared"/>
        <v>1.0287532094699889</v>
      </c>
      <c r="U33" s="44">
        <f si="12" t="shared"/>
        <v>0.81509384444366917</v>
      </c>
      <c r="V33" s="44">
        <f si="12" t="shared"/>
        <v>0.3014797627629302</v>
      </c>
      <c r="X33" s="9" t="s">
        <v>3</v>
      </c>
      <c r="Y33" s="44">
        <f si="13" t="shared"/>
        <v>-0.14080151445900538</v>
      </c>
      <c r="Z33" s="44">
        <f si="14" t="shared"/>
        <v>-9.8930561734235332E-3</v>
      </c>
      <c r="AA33" s="44">
        <f si="15" t="shared"/>
        <v>2.8347592780692973E-2</v>
      </c>
      <c r="AB33" s="44">
        <f si="16" t="shared"/>
        <v>-0.20445202581348096</v>
      </c>
      <c r="AC33" s="44">
        <f si="17" t="shared"/>
        <v>-1.19905238691533</v>
      </c>
      <c r="AF33">
        <f>WorkCoefficients!B41</f>
        <v>162</v>
      </c>
      <c r="AG33" t="str">
        <f>WorkCoefficients!C41</f>
        <v>bi-class2</v>
      </c>
      <c r="AH33">
        <f>WorkCoefficients!E41</f>
        <v>0</v>
      </c>
      <c r="AI33" s="62">
        <f si="0" t="shared"/>
        <v>0</v>
      </c>
      <c r="AK33" s="59">
        <f>SchoolCoeffcients!B41</f>
        <v>131</v>
      </c>
      <c r="AL33" t="str">
        <f>SchoolCoeffcients!C41</f>
        <v>da-escsptr</v>
      </c>
      <c r="AM33" s="55">
        <f>SchoolCoeffcients!E41</f>
        <v>0</v>
      </c>
      <c r="AN33" s="62">
        <f si="1" t="shared"/>
        <v>0</v>
      </c>
      <c r="AU33" s="59">
        <f>OtherCoefficients!B41</f>
        <v>137</v>
      </c>
      <c r="AV33" t="str">
        <f>OtherCoefficients!C41</f>
        <v>sr-meal</v>
      </c>
      <c r="AW33">
        <f>OtherCoefficients!E41</f>
        <v>1.3197710740099999</v>
      </c>
      <c r="AX33" s="62">
        <f si="3" t="shared"/>
        <v>1.3197710740099999</v>
      </c>
    </row>
    <row r="34" spans="2:50" x14ac:dyDescent="0.25">
      <c r="B34" s="9" t="s">
        <v>4</v>
      </c>
      <c r="C34" s="42">
        <f si="18" t="shared"/>
        <v>2.7312657716081219E-2</v>
      </c>
      <c r="D34" s="42">
        <f si="19" t="shared"/>
        <v>8.0554636328772911E-3</v>
      </c>
      <c r="E34" s="42">
        <f si="20" t="shared"/>
        <v>3.4064037842687167E-4</v>
      </c>
      <c r="F34" s="42">
        <f si="21" t="shared"/>
        <v>1.1663290970845741E-3</v>
      </c>
      <c r="G34" s="42">
        <f si="22" t="shared"/>
        <v>0</v>
      </c>
      <c r="H34" s="42"/>
      <c r="J34" s="9" t="s">
        <v>4</v>
      </c>
      <c r="K34" s="42">
        <f si="23" t="shared"/>
        <v>2.7038614092393842E-2</v>
      </c>
      <c r="L34" s="42">
        <f si="24" t="shared"/>
        <v>0</v>
      </c>
      <c r="M34" s="42">
        <f si="25" t="shared"/>
        <v>0</v>
      </c>
      <c r="N34" s="42">
        <f si="26" t="shared"/>
        <v>0</v>
      </c>
      <c r="O34" s="42">
        <f si="27" t="shared"/>
        <v>0</v>
      </c>
      <c r="Q34" s="9" t="s">
        <v>4</v>
      </c>
      <c r="R34" s="44">
        <f>C34/K34</f>
        <v>1.0101352688695855</v>
      </c>
      <c r="S34" s="44"/>
      <c r="T34" s="44"/>
      <c r="U34" s="44"/>
      <c r="V34" s="44"/>
      <c r="X34" s="9" t="s">
        <v>4</v>
      </c>
      <c r="Y34" s="44">
        <f si="13" t="shared"/>
        <v>1.0084251459250418E-2</v>
      </c>
      <c r="Z34" s="44"/>
      <c r="AA34" s="44"/>
      <c r="AB34" s="44"/>
      <c r="AC34" s="44"/>
      <c r="AF34">
        <f>WorkCoefficients!B42</f>
        <v>164</v>
      </c>
      <c r="AG34" t="str">
        <f>WorkCoefficients!C42</f>
        <v>bi-omixed</v>
      </c>
      <c r="AH34">
        <f>WorkCoefficients!E42</f>
        <v>1.3361857056099999</v>
      </c>
      <c r="AI34" s="62">
        <f si="0" t="shared"/>
        <v>1.3361857056099999</v>
      </c>
      <c r="AK34" s="59">
        <f>SchoolCoeffcients!B42</f>
        <v>132</v>
      </c>
      <c r="AL34" t="str">
        <f>SchoolCoeffcients!C42</f>
        <v>da-othsptr</v>
      </c>
      <c r="AM34" s="55">
        <f>SchoolCoeffcients!E42</f>
        <v>1.33790703339E-2</v>
      </c>
      <c r="AN34" s="62">
        <f si="1" t="shared"/>
        <v>1.33790703339E-2</v>
      </c>
      <c r="AU34" s="59">
        <f>OtherCoefficients!B42</f>
        <v>138</v>
      </c>
      <c r="AV34" t="str">
        <f>OtherCoefficients!C42</f>
        <v>sr-socrec</v>
      </c>
      <c r="AW34">
        <f>OtherCoefficients!E42</f>
        <v>0.46798410365199999</v>
      </c>
      <c r="AX34" s="62">
        <f si="3" t="shared"/>
        <v>0.46798410365199999</v>
      </c>
    </row>
    <row r="35" spans="2:50" x14ac:dyDescent="0.25">
      <c r="B35" s="9" t="s">
        <v>5</v>
      </c>
      <c r="C35" s="42">
        <f si="18" t="shared"/>
        <v>0.1115430111897258</v>
      </c>
      <c r="D35" s="42">
        <f si="19" t="shared"/>
        <v>6.2169778949964005E-2</v>
      </c>
      <c r="E35" s="42">
        <f si="20" t="shared"/>
        <v>4.5985755664461597E-3</v>
      </c>
      <c r="F35" s="42">
        <f si="21" t="shared"/>
        <v>3.7892181087530397E-2</v>
      </c>
      <c r="G35" s="42">
        <f si="22" t="shared"/>
        <v>1.0496961991899641E-2</v>
      </c>
      <c r="H35" s="42"/>
      <c r="J35" s="9" t="s">
        <v>5</v>
      </c>
      <c r="K35" s="42">
        <f si="23" t="shared"/>
        <v>8.0256212085860937E-2</v>
      </c>
      <c r="L35" s="42">
        <f si="24" t="shared"/>
        <v>4.866660343941543E-2</v>
      </c>
      <c r="M35" s="42">
        <f si="25" t="shared"/>
        <v>0</v>
      </c>
      <c r="N35" s="42">
        <f si="26" t="shared"/>
        <v>1.2551812831772983E-2</v>
      </c>
      <c r="O35" s="42">
        <f si="27" t="shared"/>
        <v>9.2995798173420834E-3</v>
      </c>
      <c r="Q35" s="9" t="s">
        <v>5</v>
      </c>
      <c r="R35" s="44">
        <f>C35/K35</f>
        <v>1.3898364785817843</v>
      </c>
      <c r="S35" s="60">
        <f>IF(L35=0,1,D35/L35)</f>
        <v>1.2774628709677376</v>
      </c>
      <c r="T35" s="60"/>
      <c r="U35" s="60">
        <f>IF(N35=0,1,F35/N35)</f>
        <v>3.0188612270900159</v>
      </c>
      <c r="V35" s="60">
        <f>IF(O35=0,1,G35/O35)</f>
        <v>1.128756588800351</v>
      </c>
      <c r="X35" s="9" t="s">
        <v>5</v>
      </c>
      <c r="Y35" s="44">
        <f si="13" t="shared"/>
        <v>0.3291860989142501</v>
      </c>
      <c r="Z35" s="60">
        <f ref="Z35:Z38" si="28" t="shared">IF(S35&gt;0,LN(S35),0)</f>
        <v>0.24487597885162957</v>
      </c>
      <c r="AA35" s="60"/>
      <c r="AB35" s="60">
        <f ref="AB35:AB36" si="29" t="shared">IF(U35&gt;0,LN(U35),0)</f>
        <v>1.1048796831528118</v>
      </c>
      <c r="AC35" s="60">
        <f ref="AC35:AC36" si="30" t="shared">IF(V35&gt;0,LN(V35),0)</f>
        <v>0.12111666298593152</v>
      </c>
      <c r="AF35">
        <f>WorkCoefficients!B43</f>
        <v>168</v>
      </c>
      <c r="AG35" t="str">
        <f>WorkCoefficients!C43</f>
        <v>bi-dempdn</v>
      </c>
      <c r="AH35">
        <f>WorkCoefficients!E43</f>
        <v>-6.5359456601400004E-7</v>
      </c>
      <c r="AI35" s="62">
        <f si="0" t="shared"/>
        <v>-6.5359456601400004E-7</v>
      </c>
      <c r="AK35" s="59">
        <f>SchoolCoeffcients!B43</f>
        <v>133</v>
      </c>
      <c r="AL35" t="str">
        <f>SchoolCoeffcients!C43</f>
        <v>sr-escsptr</v>
      </c>
      <c r="AM35" s="55">
        <f>SchoolCoeffcients!E43</f>
        <v>0</v>
      </c>
      <c r="AN35" s="62">
        <f si="1" t="shared"/>
        <v>0</v>
      </c>
      <c r="AU35" s="59">
        <f>OtherCoefficients!B43</f>
        <v>160</v>
      </c>
      <c r="AV35" t="str">
        <f>OtherCoefficients!C43</f>
        <v>bi-socrec</v>
      </c>
      <c r="AW35">
        <f>OtherCoefficients!E43</f>
        <v>1.5982044369999999</v>
      </c>
      <c r="AX35" s="62">
        <f si="3" t="shared"/>
        <v>1.5982044369999999</v>
      </c>
    </row>
    <row r="36" spans="2:50" x14ac:dyDescent="0.25">
      <c r="B36" s="9" t="s">
        <v>6</v>
      </c>
      <c r="C36" s="42">
        <f si="18" t="shared"/>
        <v>2.4265644329760746E-2</v>
      </c>
      <c r="D36" s="42">
        <f si="19" t="shared"/>
        <v>1.1510114597935401E-2</v>
      </c>
      <c r="E36" s="42">
        <f si="20" t="shared"/>
        <v>3.5251940695118843E-3</v>
      </c>
      <c r="F36" s="42">
        <f si="21" t="shared"/>
        <v>1.092836067679131E-2</v>
      </c>
      <c r="G36" s="42">
        <f si="22" t="shared"/>
        <v>1.5706236945544649E-3</v>
      </c>
      <c r="H36" s="42"/>
      <c r="J36" s="9" t="s">
        <v>6</v>
      </c>
      <c r="K36" s="42">
        <f si="23" t="shared"/>
        <v>1.9420059496033596E-2</v>
      </c>
      <c r="L36" s="42">
        <f si="24" t="shared"/>
        <v>1.4276860369967644E-2</v>
      </c>
      <c r="M36" s="42">
        <f si="25" t="shared"/>
        <v>5.4652886683634553E-3</v>
      </c>
      <c r="N36" s="42">
        <f si="26" t="shared"/>
        <v>1.928741860477878E-2</v>
      </c>
      <c r="O36" s="42">
        <f si="27" t="shared"/>
        <v>2.7155606486786816E-3</v>
      </c>
      <c r="Q36" s="9" t="s">
        <v>6</v>
      </c>
      <c r="R36" s="44">
        <f>C36/K36</f>
        <v>1.2495144175390824</v>
      </c>
      <c r="S36" s="60">
        <f>D36/L36</f>
        <v>0.80620768850185842</v>
      </c>
      <c r="T36" s="60">
        <f>IF(M36=0,1,E36/M36)</f>
        <v>0.64501516450868102</v>
      </c>
      <c r="U36" s="60">
        <f>F36/N36</f>
        <v>0.56660566666415513</v>
      </c>
      <c r="V36" s="60">
        <f>G36/O36</f>
        <v>0.57837916281438528</v>
      </c>
      <c r="X36" s="9" t="s">
        <v>6</v>
      </c>
      <c r="Y36" s="44">
        <f si="13" t="shared"/>
        <v>0.22275500987302499</v>
      </c>
      <c r="Z36" s="44">
        <f si="28" t="shared"/>
        <v>-0.21541389162678545</v>
      </c>
      <c r="AA36" s="44">
        <f>IF(T36&gt;0,LN(T36),0)</f>
        <v>-0.43848145159656854</v>
      </c>
      <c r="AB36" s="44">
        <f si="29" t="shared"/>
        <v>-0.5680916904635559</v>
      </c>
      <c r="AC36" s="44">
        <f si="30" t="shared"/>
        <v>-0.54752563434947599</v>
      </c>
      <c r="AF36">
        <f>WorkCoefficients!B44</f>
        <v>169</v>
      </c>
      <c r="AG36" t="str">
        <f>WorkCoefficients!C44</f>
        <v>bi-dmixed</v>
      </c>
      <c r="AH36">
        <f>WorkCoefficients!E44</f>
        <v>1.3874495017599999</v>
      </c>
      <c r="AI36" s="62">
        <f si="0" t="shared"/>
        <v>1.3874495017599999</v>
      </c>
      <c r="AK36" s="59">
        <f>SchoolCoeffcients!B44</f>
        <v>134</v>
      </c>
      <c r="AL36" t="str">
        <f>SchoolCoeffcients!C44</f>
        <v>sr-othsptr</v>
      </c>
      <c r="AM36" s="55">
        <f>SchoolCoeffcients!E44</f>
        <v>0.43389099526199998</v>
      </c>
      <c r="AN36" s="62">
        <f si="1" t="shared"/>
        <v>0.43389099526199998</v>
      </c>
      <c r="AU36" s="59">
        <f>OtherCoefficients!B44</f>
        <v>161</v>
      </c>
      <c r="AV36" t="str">
        <f>OtherCoefficients!C44</f>
        <v>bi-class1</v>
      </c>
      <c r="AW36">
        <f>OtherCoefficients!E44</f>
        <v>0</v>
      </c>
      <c r="AX36" s="62">
        <f si="3" t="shared"/>
        <v>0</v>
      </c>
    </row>
    <row r="37" spans="2:50" x14ac:dyDescent="0.25">
      <c r="B37" s="9" t="s">
        <v>7</v>
      </c>
      <c r="C37" s="42">
        <f si="18" t="shared"/>
        <v>2.5314659361999746E-2</v>
      </c>
      <c r="D37" s="42">
        <f si="19" t="shared"/>
        <v>8.1027913477967076E-2</v>
      </c>
      <c r="E37" s="42">
        <f si="20" t="shared"/>
        <v>5.8988921713850236E-2</v>
      </c>
      <c r="F37" s="42">
        <f si="21" t="shared"/>
        <v>0.19554193287849514</v>
      </c>
      <c r="G37" s="42">
        <f si="22" t="shared"/>
        <v>0.22132558454197829</v>
      </c>
      <c r="H37" s="42"/>
      <c r="J37" s="9" t="s">
        <v>7</v>
      </c>
      <c r="K37" s="42">
        <f si="23" t="shared"/>
        <v>1.1065095660289313E-2</v>
      </c>
      <c r="L37" s="42">
        <f si="24" t="shared"/>
        <v>6.6719454069445572E-2</v>
      </c>
      <c r="M37" s="42">
        <f si="25" t="shared"/>
        <v>4.9275436837459616E-5</v>
      </c>
      <c r="N37" s="42">
        <f si="26" t="shared"/>
        <v>0.17284097195858864</v>
      </c>
      <c r="O37" s="42">
        <f si="27" t="shared"/>
        <v>0.30819877070528179</v>
      </c>
      <c r="Q37" s="9" t="s">
        <v>7</v>
      </c>
      <c r="R37" s="44"/>
      <c r="S37" s="44"/>
      <c r="T37" s="44"/>
      <c r="U37" s="44"/>
      <c r="V37" s="44"/>
      <c r="X37" s="9" t="s">
        <v>7</v>
      </c>
      <c r="Y37" s="44"/>
      <c r="Z37" s="44"/>
      <c r="AA37" s="44"/>
      <c r="AB37" s="44"/>
      <c r="AC37" s="44"/>
      <c r="AF37">
        <f>WorkCoefficients!B45</f>
        <v>179</v>
      </c>
      <c r="AG37" t="str">
        <f>WorkCoefficients!C45</f>
        <v>wk-dmixed</v>
      </c>
      <c r="AH37">
        <f>WorkCoefficients!E45</f>
        <v>1.7360965114</v>
      </c>
      <c r="AI37" s="62">
        <f si="0" t="shared"/>
        <v>1.7360965114</v>
      </c>
      <c r="AK37" s="59">
        <f>SchoolCoeffcients!B45</f>
        <v>161</v>
      </c>
      <c r="AL37" t="str">
        <f>SchoolCoeffcients!C45</f>
        <v>bi-class1</v>
      </c>
      <c r="AM37" s="55">
        <f>SchoolCoeffcients!E45</f>
        <v>0</v>
      </c>
      <c r="AN37" s="62">
        <f si="1" t="shared"/>
        <v>0</v>
      </c>
      <c r="AU37" s="59">
        <f>OtherCoefficients!B45</f>
        <v>162</v>
      </c>
      <c r="AV37" t="str">
        <f>OtherCoefficients!C45</f>
        <v>bi-class2</v>
      </c>
      <c r="AW37">
        <f>OtherCoefficients!E45</f>
        <v>0</v>
      </c>
      <c r="AX37" s="62">
        <f si="3" t="shared"/>
        <v>0</v>
      </c>
    </row>
    <row r="38" spans="2:50" x14ac:dyDescent="0.25">
      <c r="B38" s="14" t="s">
        <v>8</v>
      </c>
      <c r="C38" s="42">
        <f si="18" t="shared"/>
        <v>3.1325470565371521E-4</v>
      </c>
      <c r="D38" s="42">
        <f si="19" t="shared"/>
        <v>0.27711033850083205</v>
      </c>
      <c r="E38" s="42">
        <f si="20" t="shared"/>
        <v>1.2045911746811479E-3</v>
      </c>
      <c r="F38" s="42">
        <f si="21" t="shared"/>
        <v>1.4804020095750161E-3</v>
      </c>
      <c r="G38" s="42">
        <f si="22" t="shared"/>
        <v>0.5</v>
      </c>
      <c r="H38" s="42"/>
      <c r="J38" s="14" t="s">
        <v>8</v>
      </c>
      <c r="K38" s="42">
        <f si="23" t="shared"/>
        <v>0</v>
      </c>
      <c r="L38" s="42">
        <f si="24" t="shared"/>
        <v>0.30838724191702083</v>
      </c>
      <c r="M38" s="42">
        <f si="25" t="shared"/>
        <v>0</v>
      </c>
      <c r="N38" s="42">
        <f si="26" t="shared"/>
        <v>0</v>
      </c>
      <c r="O38" s="42">
        <f si="27" t="shared"/>
        <v>0</v>
      </c>
      <c r="Q38" s="14" t="s">
        <v>8</v>
      </c>
      <c r="R38" s="44"/>
      <c r="S38" s="44">
        <f>D38/L38</f>
        <v>0.89857912661443828</v>
      </c>
      <c r="T38" s="44"/>
      <c r="U38" s="44"/>
      <c r="V38" s="44">
        <f>IF(O38=0,1,G38/O38)</f>
        <v>1</v>
      </c>
      <c r="X38" s="14" t="s">
        <v>8</v>
      </c>
      <c r="Y38" s="44"/>
      <c r="Z38" s="44">
        <f si="28" t="shared"/>
        <v>-0.10694051140015845</v>
      </c>
      <c r="AA38" s="44"/>
      <c r="AB38" s="44"/>
      <c r="AC38" s="44"/>
      <c r="AF38">
        <f>WorkCoefficients!B46</f>
        <v>201</v>
      </c>
      <c r="AG38" t="str">
        <f>WorkCoefficients!C46</f>
        <v>distcont1</v>
      </c>
      <c r="AH38">
        <f>WorkCoefficients!E46</f>
        <v>-0.8</v>
      </c>
      <c r="AI38" s="62">
        <f si="0" t="shared"/>
        <v>-0.8</v>
      </c>
      <c r="AK38" s="59">
        <f>SchoolCoeffcients!B46</f>
        <v>162</v>
      </c>
      <c r="AL38" t="str">
        <f>SchoolCoeffcients!C46</f>
        <v>bi-class2</v>
      </c>
      <c r="AM38" s="55">
        <f>SchoolCoeffcients!E46</f>
        <v>0</v>
      </c>
      <c r="AN38" s="62">
        <f si="1" t="shared"/>
        <v>0</v>
      </c>
      <c r="AU38" s="59">
        <f>OtherCoefficients!B46</f>
        <v>163</v>
      </c>
      <c r="AV38" t="str">
        <f>OtherCoefficients!C46</f>
        <v>bi-gauntl</v>
      </c>
      <c r="AW38">
        <f>OtherCoefficients!E46</f>
        <v>0</v>
      </c>
      <c r="AX38" s="62">
        <f si="3" t="shared"/>
        <v>0</v>
      </c>
    </row>
    <row ht="15.75" r="39" spans="2:50" thickBot="1" x14ac:dyDescent="0.3">
      <c r="B39" s="40" t="s">
        <v>19</v>
      </c>
      <c r="C39" s="43">
        <f>SUM(C31:C38)</f>
        <v>1.0000000000000002</v>
      </c>
      <c r="D39" s="43">
        <f ref="D39:G39" si="31" t="shared">SUM(D31:D38)</f>
        <v>1</v>
      </c>
      <c r="E39" s="43">
        <f si="31" t="shared"/>
        <v>0.99999999999999989</v>
      </c>
      <c r="F39" s="43">
        <f si="31" t="shared"/>
        <v>0.99999999999999989</v>
      </c>
      <c r="G39" s="43">
        <f si="31" t="shared"/>
        <v>1</v>
      </c>
      <c r="H39" s="47"/>
      <c r="J39" s="40" t="s">
        <v>19</v>
      </c>
      <c r="K39" s="43">
        <f>SUM(K31:K38)</f>
        <v>1</v>
      </c>
      <c r="L39" s="43">
        <f ref="L39" si="32" t="shared">SUM(L31:L38)</f>
        <v>1</v>
      </c>
      <c r="M39" s="43">
        <f ref="M39" si="33" t="shared">SUM(M31:M38)</f>
        <v>1</v>
      </c>
      <c r="N39" s="43">
        <f ref="N39" si="34" t="shared">SUM(N31:N38)</f>
        <v>0.99999999999999989</v>
      </c>
      <c r="O39" s="43">
        <f ref="O39" si="35" t="shared">SUM(O31:O38)</f>
        <v>1</v>
      </c>
      <c r="Q39" s="48"/>
      <c r="R39" s="49"/>
      <c r="S39" s="49"/>
      <c r="T39" s="49"/>
      <c r="U39" s="49"/>
      <c r="V39" s="49"/>
      <c r="Y39" s="38"/>
      <c r="Z39" s="38"/>
      <c r="AA39" s="38"/>
      <c r="AB39" s="38"/>
      <c r="AC39" s="38"/>
      <c r="AF39">
        <f>WorkCoefficients!B47</f>
        <v>202</v>
      </c>
      <c r="AG39" t="str">
        <f>WorkCoefficients!C47</f>
        <v>distcont2</v>
      </c>
      <c r="AH39">
        <f>WorkCoefficients!E47</f>
        <v>-0.8</v>
      </c>
      <c r="AI39" s="62">
        <f si="0" t="shared"/>
        <v>-0.8</v>
      </c>
      <c r="AK39" s="59">
        <f>SchoolCoeffcients!B47</f>
        <v>163</v>
      </c>
      <c r="AL39" t="str">
        <f>SchoolCoeffcients!C47</f>
        <v>bi-gauntl</v>
      </c>
      <c r="AM39" s="55">
        <f>SchoolCoeffcients!E47</f>
        <v>0</v>
      </c>
      <c r="AN39" s="62">
        <f si="1" t="shared"/>
        <v>0</v>
      </c>
      <c r="AU39" s="59">
        <f>OtherCoefficients!B47</f>
        <v>164</v>
      </c>
      <c r="AV39" t="str">
        <f>OtherCoefficients!C47</f>
        <v>bi-omixed</v>
      </c>
      <c r="AW39">
        <f>OtherCoefficients!E47</f>
        <v>0.12061822421899999</v>
      </c>
      <c r="AX39" s="62">
        <f si="3" t="shared"/>
        <v>0.12061822421899999</v>
      </c>
    </row>
    <row r="40" spans="2:50" x14ac:dyDescent="0.25">
      <c r="Q40" s="45"/>
      <c r="R40" s="45"/>
      <c r="S40" s="45"/>
      <c r="T40" s="45"/>
      <c r="U40" s="45"/>
      <c r="V40" s="45"/>
      <c r="AF40">
        <f>WorkCoefficients!B48</f>
        <v>203</v>
      </c>
      <c r="AG40" t="str">
        <f>WorkCoefficients!C48</f>
        <v>distcont3</v>
      </c>
      <c r="AH40">
        <f>WorkCoefficients!E48</f>
        <v>0</v>
      </c>
      <c r="AI40" s="62">
        <f si="0" t="shared"/>
        <v>0</v>
      </c>
      <c r="AK40" s="59">
        <f>SchoolCoeffcients!B48</f>
        <v>164</v>
      </c>
      <c r="AL40" t="str">
        <f>SchoolCoeffcients!C48</f>
        <v>bi-omixed</v>
      </c>
      <c r="AM40" s="55">
        <f>SchoolCoeffcients!E48</f>
        <v>0</v>
      </c>
      <c r="AN40" s="62">
        <f si="1" t="shared"/>
        <v>0</v>
      </c>
      <c r="AU40" s="59">
        <f>OtherCoefficients!B48</f>
        <v>165</v>
      </c>
      <c r="AV40" t="str">
        <f>OtherCoefficients!C48</f>
        <v>bi-ohhddn</v>
      </c>
      <c r="AW40">
        <f>OtherCoefficients!E48</f>
        <v>2.0963293927600001E-4</v>
      </c>
      <c r="AX40" s="62">
        <f si="3" t="shared"/>
        <v>2.0963293927600001E-4</v>
      </c>
    </row>
    <row ht="15.75" r="41" spans="2:50" thickBot="1" x14ac:dyDescent="0.3">
      <c r="Q41" s="39" t="s">
        <v>220</v>
      </c>
      <c r="R41" s="45"/>
      <c r="S41" s="45"/>
      <c r="T41" s="45"/>
      <c r="U41" s="45"/>
      <c r="V41" s="45"/>
      <c r="X41" s="39"/>
      <c r="Y41" s="45"/>
      <c r="Z41" s="45"/>
      <c r="AA41" s="45"/>
      <c r="AB41" s="45"/>
      <c r="AC41" s="45"/>
      <c r="AD41" s="45"/>
      <c r="AF41">
        <f>WorkCoefficients!B49</f>
        <v>204</v>
      </c>
      <c r="AG41" t="str">
        <f>WorkCoefficients!C49</f>
        <v>distcont4</v>
      </c>
      <c r="AH41">
        <f>WorkCoefficients!E49</f>
        <v>0</v>
      </c>
      <c r="AI41" s="62">
        <f si="0" t="shared"/>
        <v>0</v>
      </c>
      <c r="AK41" s="59">
        <f>SchoolCoeffcients!B49</f>
        <v>168</v>
      </c>
      <c r="AL41" t="str">
        <f>SchoolCoeffcients!C49</f>
        <v>bi-dempdn</v>
      </c>
      <c r="AM41" s="55">
        <f>SchoolCoeffcients!E49</f>
        <v>1.1363647136500001E-5</v>
      </c>
      <c r="AN41" s="62">
        <f si="1" t="shared"/>
        <v>1.1363647136500001E-5</v>
      </c>
      <c r="AU41" s="59">
        <f>OtherCoefficients!B49</f>
        <v>168</v>
      </c>
      <c r="AV41" t="str">
        <f>OtherCoefficients!C49</f>
        <v>bi-dempdn</v>
      </c>
      <c r="AW41">
        <f>OtherCoefficients!E49</f>
        <v>-2.9531002106099999E-6</v>
      </c>
      <c r="AX41" s="62">
        <f si="3" t="shared"/>
        <v>-2.9531002106099999E-6</v>
      </c>
    </row>
    <row r="42" spans="2:50" x14ac:dyDescent="0.25">
      <c r="Q42" s="2" t="s">
        <v>0</v>
      </c>
      <c r="R42" s="2" t="s">
        <v>195</v>
      </c>
      <c r="S42" s="2" t="s">
        <v>196</v>
      </c>
      <c r="T42" s="2" t="s">
        <v>197</v>
      </c>
      <c r="U42" s="2" t="s">
        <v>198</v>
      </c>
      <c r="V42" s="2" t="s">
        <v>216</v>
      </c>
      <c r="X42" s="45"/>
      <c r="Y42" s="45"/>
      <c r="Z42" s="45"/>
      <c r="AA42" s="45"/>
      <c r="AB42" s="45"/>
      <c r="AC42" s="45"/>
      <c r="AD42" s="45"/>
      <c r="AF42">
        <f>WorkCoefficients!B50</f>
        <v>205</v>
      </c>
      <c r="AG42" t="str">
        <f>WorkCoefficients!C50</f>
        <v>distcont5</v>
      </c>
      <c r="AH42">
        <f>WorkCoefficients!E50</f>
        <v>0</v>
      </c>
      <c r="AI42" s="62">
        <f si="0" t="shared"/>
        <v>0</v>
      </c>
      <c r="AK42" s="59">
        <f>SchoolCoeffcients!B50</f>
        <v>169</v>
      </c>
      <c r="AL42" t="str">
        <f>SchoolCoeffcients!C50</f>
        <v>bi-dmixed</v>
      </c>
      <c r="AM42" s="55">
        <f>SchoolCoeffcients!E50</f>
        <v>-0.36651267651399999</v>
      </c>
      <c r="AN42" s="62">
        <f si="1" t="shared"/>
        <v>-0.36651267651399999</v>
      </c>
      <c r="AU42" s="59">
        <f>OtherCoefficients!B50</f>
        <v>169</v>
      </c>
      <c r="AV42" t="str">
        <f>OtherCoefficients!C50</f>
        <v>bi-dmixed</v>
      </c>
      <c r="AW42">
        <f>OtherCoefficients!E50</f>
        <v>0</v>
      </c>
      <c r="AX42" s="62">
        <f si="3" t="shared"/>
        <v>0</v>
      </c>
    </row>
    <row r="43" spans="2:50" x14ac:dyDescent="0.25">
      <c r="Q43" s="9" t="s">
        <v>1</v>
      </c>
      <c r="R43" s="44">
        <f>VLOOKUP(Y18,$AF$3:$AH$38,3,FALSE)</f>
        <v>1.48159853972</v>
      </c>
      <c r="S43" s="44">
        <f>VLOOKUP(Z18,$AK$3:$AM$44,3,FALSE)</f>
        <v>2.16938021038</v>
      </c>
      <c r="T43" s="44">
        <f>VLOOKUP(AA18,$AP$3:$AR$17,3,FALSE)</f>
        <v>-10</v>
      </c>
      <c r="U43" s="44">
        <f>VLOOKUP(AB18,$AU$3:$AW$47,3,FALSE)</f>
        <v>-0.461309408531</v>
      </c>
      <c r="V43" s="44">
        <f>VLOOKUP(AC18,$AZ$3:$BB$19,3,FALSE)</f>
        <v>-3.4804368051500001</v>
      </c>
      <c r="X43" s="12"/>
      <c r="Y43" s="57"/>
      <c r="Z43" s="57"/>
      <c r="AA43" s="57"/>
      <c r="AB43" s="57"/>
      <c r="AC43" s="57"/>
      <c r="AD43" s="45"/>
      <c r="AF43">
        <f>WorkCoefficients!B51</f>
        <v>206</v>
      </c>
      <c r="AG43" t="str">
        <f>WorkCoefficients!C51</f>
        <v>distcont6</v>
      </c>
      <c r="AH43">
        <f>WorkCoefficients!E51</f>
        <v>0</v>
      </c>
      <c r="AI43" s="62">
        <f si="0" t="shared"/>
        <v>0</v>
      </c>
      <c r="AK43" s="59">
        <f>SchoolCoeffcients!B51</f>
        <v>179</v>
      </c>
      <c r="AL43" t="str">
        <f>SchoolCoeffcients!C51</f>
        <v>wk-dmixed</v>
      </c>
      <c r="AM43" s="55">
        <f>SchoolCoeffcients!E51</f>
        <v>0.502373344261</v>
      </c>
      <c r="AN43" s="62">
        <f si="1" t="shared"/>
        <v>0.502373344261</v>
      </c>
      <c r="AU43" s="59">
        <f>OtherCoefficients!B51</f>
        <v>171</v>
      </c>
      <c r="AV43" t="str">
        <f>OtherCoefficients!C51</f>
        <v>wk-meal</v>
      </c>
      <c r="AW43">
        <f>OtherCoefficients!E51</f>
        <v>1.10874798884</v>
      </c>
      <c r="AX43" s="62">
        <f si="3" t="shared"/>
        <v>1.10874798884</v>
      </c>
    </row>
    <row r="44" spans="2:50" x14ac:dyDescent="0.25">
      <c r="Q44" s="9" t="s">
        <v>2</v>
      </c>
      <c r="R44" s="44">
        <f ref="R44:R48" si="36" t="shared">VLOOKUP(Y19,$AF$3:$AH$38,3,FALSE)</f>
        <v>-1.9489459630199999</v>
      </c>
      <c r="S44" s="44">
        <f ref="S44:S50" si="37" t="shared">VLOOKUP(Z19,$AK$3:$AM$44,3,FALSE)</f>
        <v>-0.93652639794899994</v>
      </c>
      <c r="T44" s="44">
        <f ref="T44:T48" si="38" t="shared">VLOOKUP(AA19,$AP$3:$AR$17,3,FALSE)</f>
        <v>-0.12564727430100001</v>
      </c>
      <c r="U44" s="44">
        <f ref="U44:U48" si="39" t="shared">VLOOKUP(AB19,$AU$3:$AW$47,3,FALSE)</f>
        <v>-2.0094454428500002</v>
      </c>
      <c r="V44" s="44">
        <f ref="V44:V48" si="40" t="shared">VLOOKUP(AC19,$AZ$3:$BB$19,3,FALSE)</f>
        <v>-4.0965030205600002</v>
      </c>
      <c r="X44" s="12"/>
      <c r="Y44" s="57"/>
      <c r="Z44" s="57"/>
      <c r="AA44" s="57"/>
      <c r="AB44" s="57"/>
      <c r="AC44" s="57"/>
      <c r="AD44" s="45"/>
      <c r="AF44">
        <f>WorkCoefficients!B52</f>
        <v>207</v>
      </c>
      <c r="AG44" t="str">
        <f>WorkCoefficients!C52</f>
        <v>distcont7</v>
      </c>
      <c r="AH44">
        <f>WorkCoefficients!E52</f>
        <v>0</v>
      </c>
      <c r="AI44" s="62">
        <f si="0" t="shared"/>
        <v>0</v>
      </c>
      <c r="AK44" s="59">
        <f>SchoolCoeffcients!B52</f>
        <v>99</v>
      </c>
      <c r="AL44" t="str">
        <f>SchoolCoeffcients!C52</f>
        <v>modenest</v>
      </c>
      <c r="AM44" s="55">
        <f>SchoolCoeffcients!E52</f>
        <v>0.78311080353600004</v>
      </c>
      <c r="AN44" s="62">
        <f si="1" t="shared"/>
        <v>0.78311080353600004</v>
      </c>
      <c r="AU44" s="59">
        <f>OtherCoefficients!B52</f>
        <v>172</v>
      </c>
      <c r="AV44" t="str">
        <f>OtherCoefficients!C52</f>
        <v>wk-socrec</v>
      </c>
      <c r="AW44">
        <f>OtherCoefficients!E52</f>
        <v>2.0996029740900002</v>
      </c>
      <c r="AX44" s="62">
        <f si="3" t="shared"/>
        <v>2.0996029740900002</v>
      </c>
    </row>
    <row r="45" spans="2:50" x14ac:dyDescent="0.25">
      <c r="Q45" s="9" t="s">
        <v>3</v>
      </c>
      <c r="R45" s="44">
        <f si="36" t="shared"/>
        <v>-2.4689708000600001</v>
      </c>
      <c r="S45" s="44">
        <f si="37" t="shared"/>
        <v>-0.48513089974599999</v>
      </c>
      <c r="T45" s="44">
        <f si="38" t="shared"/>
        <v>-0.98936486869100004</v>
      </c>
      <c r="U45" s="44">
        <f si="39" t="shared"/>
        <v>-1.78022496899</v>
      </c>
      <c r="V45" s="44">
        <f si="40" t="shared"/>
        <v>-4.7133255538499998</v>
      </c>
      <c r="X45" s="12"/>
      <c r="Y45" s="57"/>
      <c r="Z45" s="57"/>
      <c r="AA45" s="57"/>
      <c r="AB45" s="57"/>
      <c r="AC45" s="57"/>
      <c r="AD45" s="45"/>
      <c r="AF45">
        <f>WorkCoefficients!B53</f>
        <v>208</v>
      </c>
      <c r="AG45" t="str">
        <f>WorkCoefficients!C53</f>
        <v>distcont8</v>
      </c>
      <c r="AH45">
        <f>WorkCoefficients!E53</f>
        <v>-2</v>
      </c>
      <c r="AI45" s="62">
        <f si="0" t="shared"/>
        <v>-2</v>
      </c>
      <c r="AU45" s="59">
        <f>OtherCoefficients!B53</f>
        <v>175</v>
      </c>
      <c r="AV45" t="str">
        <f>OtherCoefficients!C53</f>
        <v>wk-ohhddn</v>
      </c>
      <c r="AW45">
        <f>OtherCoefficients!E53</f>
        <v>1.37939187897E-4</v>
      </c>
      <c r="AX45" s="62">
        <f si="3" t="shared"/>
        <v>1.37939187897E-4</v>
      </c>
    </row>
    <row r="46" spans="2:50" x14ac:dyDescent="0.25">
      <c r="Q46" s="9" t="s">
        <v>4</v>
      </c>
      <c r="R46" s="44">
        <f>VLOOKUP(Y21,$AF$3:$AH$38,3,FALSE)</f>
        <v>-3.8200751962199999</v>
      </c>
      <c r="S46" s="44"/>
      <c r="T46" s="44"/>
      <c r="U46" s="44"/>
      <c r="V46" s="44"/>
      <c r="X46" s="12"/>
      <c r="Y46" s="57"/>
      <c r="Z46" s="57"/>
      <c r="AA46" s="57"/>
      <c r="AB46" s="57"/>
      <c r="AC46" s="57"/>
      <c r="AD46" s="45"/>
      <c r="AF46">
        <f>WorkCoefficients!B54</f>
        <v>209</v>
      </c>
      <c r="AG46" t="str">
        <f>WorkCoefficients!C54</f>
        <v>distcont9</v>
      </c>
      <c r="AH46">
        <f>WorkCoefficients!E54</f>
        <v>-1</v>
      </c>
      <c r="AI46" s="62">
        <f si="0" t="shared"/>
        <v>-1</v>
      </c>
      <c r="AU46" s="59">
        <f>OtherCoefficients!B54</f>
        <v>178</v>
      </c>
      <c r="AV46" t="str">
        <f>OtherCoefficients!C54</f>
        <v>wk-dempdn</v>
      </c>
      <c r="AW46">
        <f>OtherCoefficients!E54</f>
        <v>-6.1957253739600003E-6</v>
      </c>
      <c r="AX46" s="62">
        <f si="3" t="shared"/>
        <v>-6.1957253739600003E-6</v>
      </c>
    </row>
    <row r="47" spans="2:50" x14ac:dyDescent="0.25">
      <c r="Q47" s="9" t="s">
        <v>5</v>
      </c>
      <c r="R47" s="44">
        <f si="36" t="shared"/>
        <v>-3.0715896153100002</v>
      </c>
      <c r="S47" s="44">
        <f si="37" t="shared"/>
        <v>-4.2802421756499998</v>
      </c>
      <c r="T47" s="44"/>
      <c r="U47" s="44">
        <f si="39" t="shared"/>
        <v>-3.1934860859500001</v>
      </c>
      <c r="V47" s="44">
        <f si="40" t="shared"/>
        <v>-4.7905352725499997</v>
      </c>
      <c r="X47" s="12"/>
      <c r="Y47" s="57"/>
      <c r="Z47" s="57"/>
      <c r="AA47" s="57"/>
      <c r="AB47" s="57"/>
      <c r="AC47" s="57"/>
      <c r="AD47" s="45"/>
      <c r="AF47">
        <f>WorkCoefficients!B55</f>
        <v>210</v>
      </c>
      <c r="AG47" t="str">
        <f>WorkCoefficients!C55</f>
        <v>distcon10</v>
      </c>
      <c r="AH47">
        <f>WorkCoefficients!E55</f>
        <v>-2</v>
      </c>
      <c r="AI47" s="62">
        <f si="0" t="shared"/>
        <v>-2</v>
      </c>
      <c r="AU47" s="59">
        <f>OtherCoefficients!B55</f>
        <v>201</v>
      </c>
      <c r="AV47" t="str">
        <f>OtherCoefficients!C55</f>
        <v>distcont1</v>
      </c>
      <c r="AW47">
        <f>OtherCoefficients!E55</f>
        <v>-4.5</v>
      </c>
      <c r="AX47" s="62">
        <f si="3" t="shared"/>
        <v>-4.5</v>
      </c>
    </row>
    <row r="48" spans="2:50" x14ac:dyDescent="0.25">
      <c r="Q48" s="9" t="s">
        <v>6</v>
      </c>
      <c r="R48" s="44">
        <f si="36" t="shared"/>
        <v>-3.8984872554700001</v>
      </c>
      <c r="S48" s="44">
        <f si="37" t="shared"/>
        <v>-3.8099771367100002</v>
      </c>
      <c r="T48" s="44">
        <f si="38" t="shared"/>
        <v>-10</v>
      </c>
      <c r="U48" s="44">
        <f si="39" t="shared"/>
        <v>-4.4410848396300002</v>
      </c>
      <c r="V48" s="44">
        <f si="40" t="shared"/>
        <v>-6.3776051105600002</v>
      </c>
      <c r="X48" s="12"/>
      <c r="Y48" s="57"/>
      <c r="Z48" s="57"/>
      <c r="AA48" s="57"/>
      <c r="AB48" s="57"/>
      <c r="AC48" s="57"/>
      <c r="AD48" s="45"/>
      <c r="AF48">
        <f>WorkCoefficients!B56</f>
        <v>211</v>
      </c>
      <c r="AG48" t="str">
        <f>WorkCoefficients!C56</f>
        <v>distcon11</v>
      </c>
      <c r="AH48">
        <f>WorkCoefficients!E56</f>
        <v>0</v>
      </c>
      <c r="AI48" s="62">
        <f si="0" t="shared"/>
        <v>0</v>
      </c>
      <c r="AU48" s="59">
        <f>OtherCoefficients!B56</f>
        <v>202</v>
      </c>
      <c r="AV48" t="str">
        <f>OtherCoefficients!C56</f>
        <v>distcont2</v>
      </c>
      <c r="AW48">
        <f>OtherCoefficients!E56</f>
        <v>-4.5</v>
      </c>
      <c r="AX48" s="62">
        <f si="3" t="shared"/>
        <v>-4.5</v>
      </c>
    </row>
    <row r="49" spans="17:50" x14ac:dyDescent="0.25">
      <c r="Q49" s="9" t="s">
        <v>7</v>
      </c>
      <c r="R49" s="44"/>
      <c r="S49" s="44"/>
      <c r="T49" s="44"/>
      <c r="U49" s="44"/>
      <c r="V49" s="44"/>
      <c r="X49" s="12"/>
      <c r="Y49" s="57"/>
      <c r="Z49" s="57"/>
      <c r="AA49" s="57"/>
      <c r="AB49" s="57"/>
      <c r="AC49" s="57"/>
      <c r="AD49" s="45"/>
      <c r="AF49">
        <f>WorkCoefficients!B57</f>
        <v>99</v>
      </c>
      <c r="AG49" t="str">
        <f>WorkCoefficients!C57</f>
        <v>modenest</v>
      </c>
      <c r="AH49">
        <f>WorkCoefficients!E57</f>
        <v>0.53642515987899997</v>
      </c>
      <c r="AI49" s="62">
        <f si="0" t="shared"/>
        <v>0.53642515987899997</v>
      </c>
      <c r="AU49" s="59">
        <f>OtherCoefficients!B57</f>
        <v>203</v>
      </c>
      <c r="AV49" t="str">
        <f>OtherCoefficients!C57</f>
        <v>distcont3</v>
      </c>
      <c r="AW49">
        <f>OtherCoefficients!E57</f>
        <v>0</v>
      </c>
      <c r="AX49" s="62">
        <f si="3" t="shared"/>
        <v>0</v>
      </c>
    </row>
    <row r="50" spans="17:50" x14ac:dyDescent="0.25">
      <c r="Q50" s="14" t="s">
        <v>8</v>
      </c>
      <c r="R50" s="46"/>
      <c r="S50" s="46">
        <f si="37" t="shared"/>
        <v>-0.38914266604300002</v>
      </c>
      <c r="T50" s="46"/>
      <c r="U50" s="46"/>
      <c r="V50" s="46"/>
      <c r="X50" s="12"/>
      <c r="Y50" s="57"/>
      <c r="Z50" s="57"/>
      <c r="AA50" s="57"/>
      <c r="AB50" s="57"/>
      <c r="AC50" s="57"/>
      <c r="AD50" s="45"/>
      <c r="AU50" s="59">
        <f>OtherCoefficients!B58</f>
        <v>204</v>
      </c>
      <c r="AV50" t="str">
        <f>OtherCoefficients!C58</f>
        <v>distcont4</v>
      </c>
      <c r="AW50">
        <f>OtherCoefficients!E58</f>
        <v>0</v>
      </c>
      <c r="AX50" s="62">
        <f si="3" t="shared"/>
        <v>0</v>
      </c>
    </row>
    <row r="51" spans="17:50" x14ac:dyDescent="0.25">
      <c r="X51" s="45"/>
      <c r="Y51" s="45"/>
      <c r="Z51" s="45"/>
      <c r="AA51" s="45"/>
      <c r="AB51" s="45"/>
      <c r="AC51" s="45"/>
      <c r="AD51" s="45"/>
      <c r="AU51" s="59">
        <f>OtherCoefficients!B59</f>
        <v>205</v>
      </c>
      <c r="AV51" t="str">
        <f>OtherCoefficients!C59</f>
        <v>distcont5</v>
      </c>
      <c r="AW51">
        <f>OtherCoefficients!E59</f>
        <v>0</v>
      </c>
      <c r="AX51" s="62">
        <f si="3" t="shared"/>
        <v>0</v>
      </c>
    </row>
    <row r="52" spans="17:50" x14ac:dyDescent="0.25">
      <c r="AU52" s="59">
        <f>OtherCoefficients!B60</f>
        <v>206</v>
      </c>
      <c r="AV52" t="str">
        <f>OtherCoefficients!C60</f>
        <v>distcont6</v>
      </c>
      <c r="AW52">
        <f>OtherCoefficients!E60</f>
        <v>0</v>
      </c>
      <c r="AX52" s="62">
        <f si="3" t="shared"/>
        <v>0</v>
      </c>
    </row>
    <row ht="15.75" r="53" spans="17:50" thickBot="1" x14ac:dyDescent="0.3">
      <c r="Q53" t="s">
        <v>244</v>
      </c>
      <c r="X53" s="39" t="s">
        <v>221</v>
      </c>
      <c r="AU53" s="59">
        <f>OtherCoefficients!B61</f>
        <v>207</v>
      </c>
      <c r="AV53" t="str">
        <f>OtherCoefficients!C61</f>
        <v>distcont7</v>
      </c>
      <c r="AW53">
        <f>OtherCoefficients!E61</f>
        <v>0</v>
      </c>
      <c r="AX53" s="62">
        <f si="3" t="shared"/>
        <v>0</v>
      </c>
    </row>
    <row r="54" spans="17:50" x14ac:dyDescent="0.25">
      <c r="Q54" s="2" t="s">
        <v>0</v>
      </c>
      <c r="R54" s="2" t="s">
        <v>195</v>
      </c>
      <c r="S54" s="2" t="s">
        <v>196</v>
      </c>
      <c r="T54" s="2" t="s">
        <v>197</v>
      </c>
      <c r="U54" s="2" t="s">
        <v>198</v>
      </c>
      <c r="V54" s="2" t="s">
        <v>216</v>
      </c>
      <c r="X54" s="2" t="s">
        <v>0</v>
      </c>
      <c r="Y54" s="2" t="s">
        <v>195</v>
      </c>
      <c r="Z54" s="2" t="s">
        <v>196</v>
      </c>
      <c r="AA54" s="2" t="s">
        <v>197</v>
      </c>
      <c r="AB54" s="2" t="s">
        <v>198</v>
      </c>
      <c r="AC54" s="2" t="s">
        <v>216</v>
      </c>
      <c r="AU54" s="59">
        <f>OtherCoefficients!B62</f>
        <v>208</v>
      </c>
      <c r="AV54" t="str">
        <f>OtherCoefficients!C62</f>
        <v>distcont8</v>
      </c>
      <c r="AW54">
        <f>OtherCoefficients!E62</f>
        <v>0</v>
      </c>
      <c r="AX54" s="62">
        <f si="3" t="shared"/>
        <v>0</v>
      </c>
    </row>
    <row r="55" spans="17:50" x14ac:dyDescent="0.25">
      <c r="Q55" s="9" t="s">
        <v>1</v>
      </c>
      <c r="R55" s="52">
        <f>Y18</f>
        <v>50</v>
      </c>
      <c r="S55" s="52">
        <f ref="S55:V62" si="41" t="shared">Z18</f>
        <v>50</v>
      </c>
      <c r="T55" s="52">
        <f si="41" t="shared"/>
        <v>50</v>
      </c>
      <c r="U55" s="52">
        <f si="41" t="shared"/>
        <v>50</v>
      </c>
      <c r="V55" s="52">
        <f si="41" t="shared"/>
        <v>50</v>
      </c>
      <c r="X55" s="9" t="s">
        <v>1</v>
      </c>
      <c r="Y55" s="44">
        <f>R43+Y31</f>
        <v>1.4565761212139856</v>
      </c>
      <c r="Z55" s="44">
        <f ref="Z55:AC62" si="42" t="shared">S43+Z31</f>
        <v>2.2643662655369634</v>
      </c>
      <c r="AA55" s="44">
        <f si="42" t="shared"/>
        <v>-5.1360302176161561</v>
      </c>
      <c r="AB55" s="44">
        <f si="42" t="shared"/>
        <v>-0.32955865963707276</v>
      </c>
      <c r="AC55" s="44">
        <f si="42" t="shared"/>
        <v>-4.3572160481318516</v>
      </c>
      <c r="AU55" s="59">
        <f>OtherCoefficients!B63</f>
        <v>209</v>
      </c>
      <c r="AV55" t="str">
        <f>OtherCoefficients!C63</f>
        <v>distcont9</v>
      </c>
      <c r="AW55">
        <f>OtherCoefficients!E63</f>
        <v>0</v>
      </c>
      <c r="AX55" s="62">
        <f si="3" t="shared"/>
        <v>0</v>
      </c>
    </row>
    <row r="56" spans="17:50" x14ac:dyDescent="0.25">
      <c r="Q56" s="9" t="s">
        <v>2</v>
      </c>
      <c r="R56" s="52">
        <f ref="R56:R60" si="43" t="shared">Y19</f>
        <v>40</v>
      </c>
      <c r="S56" s="52">
        <f si="41" t="shared"/>
        <v>40</v>
      </c>
      <c r="T56" s="52">
        <f si="41" t="shared"/>
        <v>40</v>
      </c>
      <c r="U56" s="52">
        <f si="41" t="shared"/>
        <v>40</v>
      </c>
      <c r="V56" s="52">
        <f si="41" t="shared"/>
        <v>40</v>
      </c>
      <c r="X56" s="9" t="s">
        <v>2</v>
      </c>
      <c r="Y56" s="44">
        <f ref="Y56:Y60" si="44" t="shared">R44+Y32</f>
        <v>-2.1200697878234349</v>
      </c>
      <c r="Z56" s="44">
        <f si="42" t="shared"/>
        <v>-0.99083412123810355</v>
      </c>
      <c r="AA56" s="44">
        <f si="42" t="shared"/>
        <v>-0.34414562531362325</v>
      </c>
      <c r="AB56" s="44">
        <f si="42" t="shared"/>
        <v>-2.1475536805932318</v>
      </c>
      <c r="AC56" s="44">
        <f si="42" t="shared"/>
        <v>-5.2125626446969768</v>
      </c>
      <c r="AU56" s="59">
        <f>OtherCoefficients!B64</f>
        <v>210</v>
      </c>
      <c r="AV56" t="str">
        <f>OtherCoefficients!C64</f>
        <v>distcon10</v>
      </c>
      <c r="AW56">
        <f>OtherCoefficients!E64</f>
        <v>0</v>
      </c>
      <c r="AX56" s="62">
        <f si="3" t="shared"/>
        <v>0</v>
      </c>
    </row>
    <row r="57" spans="17:50" x14ac:dyDescent="0.25">
      <c r="Q57" s="9" t="s">
        <v>3</v>
      </c>
      <c r="R57" s="52">
        <f si="43" t="shared"/>
        <v>30</v>
      </c>
      <c r="S57" s="52">
        <f si="41" t="shared"/>
        <v>30</v>
      </c>
      <c r="T57" s="52">
        <f si="41" t="shared"/>
        <v>30</v>
      </c>
      <c r="U57" s="52">
        <f si="41" t="shared"/>
        <v>30</v>
      </c>
      <c r="V57" s="52">
        <f si="41" t="shared"/>
        <v>30</v>
      </c>
      <c r="X57" s="9" t="s">
        <v>3</v>
      </c>
      <c r="Y57" s="44">
        <f si="44" t="shared"/>
        <v>-2.6097723145190055</v>
      </c>
      <c r="Z57" s="44">
        <f si="42" t="shared"/>
        <v>-0.4950239559194235</v>
      </c>
      <c r="AA57" s="44">
        <f si="42" t="shared"/>
        <v>-0.96101727591030706</v>
      </c>
      <c r="AB57" s="44">
        <f si="42" t="shared"/>
        <v>-1.984676994803481</v>
      </c>
      <c r="AC57" s="44">
        <f si="42" t="shared"/>
        <v>-5.9123779407653299</v>
      </c>
      <c r="AU57" s="59">
        <f>OtherCoefficients!B65</f>
        <v>211</v>
      </c>
      <c r="AV57" t="str">
        <f>OtherCoefficients!C65</f>
        <v>distcon11</v>
      </c>
      <c r="AW57">
        <f>OtherCoefficients!E65</f>
        <v>0</v>
      </c>
      <c r="AX57" s="62">
        <f si="3" t="shared"/>
        <v>0</v>
      </c>
    </row>
    <row r="58" spans="17:50" x14ac:dyDescent="0.25">
      <c r="Q58" s="9" t="s">
        <v>4</v>
      </c>
      <c r="R58" s="52">
        <f si="43" t="shared"/>
        <v>10</v>
      </c>
      <c r="S58" s="52"/>
      <c r="T58" s="52"/>
      <c r="U58" s="52"/>
      <c r="V58" s="52"/>
      <c r="X58" s="9" t="s">
        <v>4</v>
      </c>
      <c r="Y58" s="44">
        <f si="44" t="shared"/>
        <v>-3.8099909447607496</v>
      </c>
      <c r="Z58" s="44"/>
      <c r="AA58" s="44"/>
      <c r="AB58" s="44"/>
      <c r="AC58" s="44"/>
      <c r="AU58" s="59">
        <f>OtherCoefficients!B66</f>
        <v>99</v>
      </c>
      <c r="AV58" t="str">
        <f>OtherCoefficients!C66</f>
        <v>modenest</v>
      </c>
      <c r="AW58">
        <f>OtherCoefficients!E66</f>
        <v>0.87615014565899996</v>
      </c>
      <c r="AX58" s="62">
        <f si="3" t="shared"/>
        <v>0.87615014565899996</v>
      </c>
    </row>
    <row r="59" spans="17:50" x14ac:dyDescent="0.25">
      <c r="Q59" s="9" t="s">
        <v>5</v>
      </c>
      <c r="R59" s="52">
        <f si="43" t="shared"/>
        <v>20</v>
      </c>
      <c r="S59" s="52">
        <f si="41" t="shared"/>
        <v>20</v>
      </c>
      <c r="T59" s="52"/>
      <c r="U59" s="52">
        <f si="41" t="shared"/>
        <v>20</v>
      </c>
      <c r="V59" s="52">
        <f si="41" t="shared"/>
        <v>20</v>
      </c>
      <c r="X59" s="9" t="s">
        <v>5</v>
      </c>
      <c r="Y59" s="44">
        <f si="44" t="shared"/>
        <v>-2.7424035163957501</v>
      </c>
      <c r="Z59" s="44">
        <f si="42" t="shared"/>
        <v>-4.0353661967983703</v>
      </c>
      <c r="AA59" s="44"/>
      <c r="AB59" s="44">
        <f si="42" t="shared"/>
        <v>-2.088606402797188</v>
      </c>
      <c r="AC59" s="44">
        <f si="42" t="shared"/>
        <v>-4.669418609564068</v>
      </c>
    </row>
    <row r="60" spans="17:50" x14ac:dyDescent="0.25">
      <c r="Q60" s="9" t="s">
        <v>6</v>
      </c>
      <c r="R60" s="52">
        <f si="43" t="shared"/>
        <v>60</v>
      </c>
      <c r="S60" s="52">
        <f si="41" t="shared"/>
        <v>60</v>
      </c>
      <c r="T60" s="52">
        <f si="41" t="shared"/>
        <v>60</v>
      </c>
      <c r="U60" s="52">
        <f si="41" t="shared"/>
        <v>60</v>
      </c>
      <c r="V60" s="52">
        <f si="41" t="shared"/>
        <v>60</v>
      </c>
      <c r="X60" s="9" t="s">
        <v>6</v>
      </c>
      <c r="Y60" s="44">
        <f si="44" t="shared"/>
        <v>-3.6757322455969752</v>
      </c>
      <c r="Z60" s="44">
        <f si="42" t="shared"/>
        <v>-4.0253910283367853</v>
      </c>
      <c r="AA60" s="44">
        <f si="42" t="shared"/>
        <v>-10.438481451596569</v>
      </c>
      <c r="AB60" s="44">
        <f si="42" t="shared"/>
        <v>-5.0091765300935558</v>
      </c>
      <c r="AC60" s="44">
        <f si="42" t="shared"/>
        <v>-6.9251307449094766</v>
      </c>
    </row>
    <row r="61" spans="17:50" x14ac:dyDescent="0.25">
      <c r="Q61" s="9" t="s">
        <v>7</v>
      </c>
      <c r="R61" s="52"/>
      <c r="S61" s="52"/>
      <c r="T61" s="52"/>
      <c r="U61" s="52"/>
      <c r="V61" s="52"/>
      <c r="X61" s="9" t="s">
        <v>7</v>
      </c>
      <c r="Y61" s="44"/>
      <c r="Z61" s="44"/>
      <c r="AA61" s="44"/>
      <c r="AB61" s="44"/>
      <c r="AC61" s="44"/>
    </row>
    <row r="62" spans="17:50" x14ac:dyDescent="0.25">
      <c r="Q62" s="14" t="s">
        <v>8</v>
      </c>
      <c r="R62" s="53"/>
      <c r="S62" s="53">
        <f si="41" t="shared"/>
        <v>10</v>
      </c>
      <c r="T62" s="53"/>
      <c r="U62" s="53"/>
      <c r="V62" s="53"/>
      <c r="X62" s="14" t="s">
        <v>8</v>
      </c>
      <c r="Y62" s="46"/>
      <c r="Z62" s="46">
        <f si="42" t="shared"/>
        <v>-0.49608317744315844</v>
      </c>
      <c r="AA62" s="46"/>
      <c r="AB62" s="46"/>
      <c r="AC62" s="46"/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17</vt:i4>
      </vt:variant>
      <vt:variant>
        <vt:lpstr>Named Ranges</vt:lpstr>
      </vt:variant>
      <vt:variant>
        <vt:i4>40</vt:i4>
      </vt:variant>
    </vt:vector>
  </HeadingPairs>
  <TitlesOfParts>
    <vt:vector baseType="lpstr" size="57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2019-10-07T21:08:44Z</dcterms:modified>
</cp:coreProperties>
</file>