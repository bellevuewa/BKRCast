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21656B06-1B9B-AA78-C99D-37B55691406E}" lastEdited="7" lowestEdited="4" rupBuild="18201"/>
  <workbookPr codeName="ThisWorkbook" defaultThemeVersion="124226"/>
  <mc:AlternateContent>
    <mc:Choice Requires="x15">
      <x15ac:absPath xmlns:x15ac="http://schemas.microsoft.com/office/spreadsheetml/2010/11/ac" url="D:\Sensitivity Test\BKRCast_V1-3_Test13\daysim_summaries\bkrcast_outbkr\output\"/>
    </mc:Choice>
  </mc:AlternateContent>
  <bookViews>
    <workbookView activeTab="4" windowHeight="11790" windowWidth="27060" xWindow="-15" yWindow="-15"/>
  </bookViews>
  <sheets>
    <sheet name="TLFD" r:id="rId1" sheetId="3"/>
    <sheet name="TDFD" r:id="rId2" sheetId="4"/>
    <sheet name="TDFD_Agg" r:id="rId3" sheetId="10"/>
    <sheet name="County_Flow" r:id="rId4" sheetId="1"/>
    <sheet name="WorkAtHome" r:id="rId5" sheetId="8"/>
    <sheet name="Documentation" r:id="rId6" sheetId="7"/>
    <sheet name="CoeffDef" r:id="rId7" sheetId="11"/>
    <sheet name="WorkLocationCoefficients" r:id="rId8" sheetId="13"/>
    <sheet name="calibration" r:id="rId9" sheetId="12"/>
  </sheets>
  <definedNames>
    <definedName name="athm">WorkAtHome!$I$7:$K$12</definedName>
    <definedName name="avgdist">TLFD!$O$11:$O$14</definedName>
    <definedName name="avgtime">TDFD!$O$11:$O$14</definedName>
    <definedName name="flows">County_Flow!$X$7:$Z$12</definedName>
    <definedName name="tot">WorkAtHome!$I$18:$K$23</definedName>
    <definedName name="Wrk_dist">TLFD!$H$11:$J$101</definedName>
    <definedName name="Wrk_time">TDFD!$H$11:$J$101</definedName>
    <definedName name="out1">TLFD!$B$11:$D$101</definedName>
    <definedName name="out3">TDFD!$B$11:$D$101</definedName>
    <definedName name="out5">TLFD!$N$11:$N$14</definedName>
    <definedName name="out7">TDFD!$N$11:$N$14</definedName>
    <definedName name="out9">County_Flow!$B$7:$H$13</definedName>
    <definedName name="out11">WorkAtHome!$B$18:$D$24</definedName>
    <definedName name="out13">WorkAtHome!$B$7:$D$13</definedName>
    <definedName name="out2">TLFD!$H$11:$J$101</definedName>
    <definedName name="out4">TDFD!$H$11:$J$101</definedName>
    <definedName name="out6">TLFD!$O$11:$O$14</definedName>
    <definedName name="out8">TDFD!$O$11:$O$14</definedName>
    <definedName name="out10">County_Flow!$X$7:$AD$13</definedName>
    <definedName name="out12">WorkAtHome!$I$18:$K$24</definedName>
    <definedName name="out14">WorkAtHome!$I$7:$K$13</definedName>
  </definedNames>
  <calcPr calcId="171027"/>
</workbook>
</file>

<file path=xl/calcChain.xml><?xml version="1.0" encoding="utf-8"?>
<calcChain xmlns="http://schemas.openxmlformats.org/spreadsheetml/2006/main">
  <c i="8" l="1" r="I35"/>
  <c i="8" r="J35"/>
  <c i="8" r="K35"/>
  <c i="8" r="B35"/>
  <c i="8" r="C35"/>
  <c i="8" r="D35"/>
  <c i="8" r="P13"/>
  <c i="8" r="Q13"/>
  <c i="8" r="R13"/>
  <c i="8" r="P24"/>
  <c i="8" r="Q24"/>
  <c i="8" r="R24"/>
  <c i="8" r="L24"/>
  <c i="8" r="A24"/>
  <c i="8" r="A35" s="1"/>
  <c i="8" l="1" r="R35"/>
  <c i="8" r="P35"/>
  <c i="8" r="Q35"/>
  <c i="1" r="A21"/>
  <c i="1" r="A35" s="1"/>
  <c i="1" r="A22"/>
  <c i="1" r="A36" s="1"/>
  <c i="1" r="A23"/>
  <c i="1" r="A37" s="1"/>
  <c i="1" r="A24"/>
  <c i="1" r="A38" s="1"/>
  <c i="1" r="A25"/>
  <c i="1" r="A39" s="1"/>
  <c i="1" r="A26"/>
  <c i="1" r="A40" s="1"/>
  <c i="1" r="A27"/>
  <c i="1" r="A41" s="1"/>
  <c i="1" r="A20"/>
  <c i="1" r="A34" s="1"/>
  <c i="1" l="1" r="J41"/>
  <c i="1" r="I33"/>
  <c i="1" r="H33"/>
  <c i="1" r="G33"/>
  <c i="1" r="F33"/>
  <c i="1" r="E33"/>
  <c i="1" r="D33"/>
  <c i="1" r="C33"/>
  <c i="1" r="B33"/>
  <c i="1" r="J27"/>
  <c i="1" r="I19"/>
  <c i="1" r="H19"/>
  <c i="1" r="G19"/>
  <c i="1" r="F19"/>
  <c i="1" r="E19"/>
  <c i="1" r="D19"/>
  <c i="1" r="C19"/>
  <c i="1" r="B19"/>
  <c i="8" l="1" r="B29"/>
  <c i="12" l="1" r="B7"/>
  <c i="12" l="1" r="V4"/>
  <c i="12" r="W4" s="1"/>
  <c i="12" r="V5"/>
  <c i="12" r="W5" s="1"/>
  <c i="12" r="V6"/>
  <c i="12" r="W6" s="1"/>
  <c i="12" r="V7"/>
  <c i="12" r="W7" s="1"/>
  <c i="12" r="V8"/>
  <c i="12" r="N14" s="1"/>
  <c i="12" r="V9"/>
  <c i="12" r="N15" s="1"/>
  <c i="12" r="V10"/>
  <c i="12" r="N16" s="1"/>
  <c i="12" r="V11"/>
  <c i="12" r="W11" s="1"/>
  <c i="12" r="V12"/>
  <c i="12" r="W12" s="1"/>
  <c i="12" r="V13"/>
  <c i="12" r="W13" s="1"/>
  <c i="12" r="V14"/>
  <c i="12" r="W14" s="1"/>
  <c i="12" r="V15"/>
  <c i="12" r="W15" s="1"/>
  <c i="12" r="V16"/>
  <c i="12" r="W16" s="1"/>
  <c i="12" r="V17"/>
  <c i="12" r="W17" s="1"/>
  <c i="12" r="V18"/>
  <c i="12" r="W18" s="1"/>
  <c i="12" r="V19"/>
  <c i="12" r="W19" s="1"/>
  <c i="12" r="V20"/>
  <c i="12" r="W20" s="1"/>
  <c i="12" r="V21"/>
  <c i="12" r="W21" s="1"/>
  <c i="12" r="V22"/>
  <c i="12" r="W22" s="1"/>
  <c i="12" r="V23"/>
  <c i="12" r="W23" s="1"/>
  <c i="12" r="V24"/>
  <c i="12" r="W24" s="1"/>
  <c i="12" r="V25"/>
  <c i="12" r="W25" s="1"/>
  <c i="12" r="V26"/>
  <c i="12" r="W26" s="1"/>
  <c i="12" r="V27"/>
  <c i="12" r="W27" s="1"/>
  <c i="12" r="V28"/>
  <c i="12" r="W28" s="1"/>
  <c i="12" r="V29"/>
  <c i="12" r="W29" s="1"/>
  <c i="12" r="V30"/>
  <c i="12" r="W30" s="1"/>
  <c i="12" r="V31"/>
  <c i="12" r="W31" s="1"/>
  <c i="12" r="V32"/>
  <c i="12" r="W32" s="1"/>
  <c i="12" r="V33"/>
  <c i="12" r="W33" s="1"/>
  <c i="12" r="V34"/>
  <c i="12" r="W34" s="1"/>
  <c i="12" r="V35"/>
  <c i="12" r="W35" s="1"/>
  <c i="12" r="V36"/>
  <c i="12" r="W36" s="1"/>
  <c i="12" r="V37"/>
  <c i="12" r="W37" s="1"/>
  <c i="12" r="V38"/>
  <c i="12" r="W38" s="1"/>
  <c i="12" r="V39"/>
  <c i="12" r="N31" s="1"/>
  <c i="12" r="V40"/>
  <c i="12" r="W40" s="1"/>
  <c i="12" r="V41"/>
  <c i="12" r="W41" s="1"/>
  <c i="12" r="V42"/>
  <c i="12" r="W42" s="1"/>
  <c i="12" r="V43"/>
  <c i="12" r="W43" s="1"/>
  <c i="12" r="V44"/>
  <c i="12" r="W44" s="1"/>
  <c i="12" r="V45"/>
  <c i="12" r="W45" s="1"/>
  <c i="12" r="V46"/>
  <c i="12" r="W46" s="1"/>
  <c i="12" r="V47"/>
  <c i="12" r="W47" s="1"/>
  <c i="12" r="V48"/>
  <c i="12" r="W48" s="1"/>
  <c i="12" r="V49"/>
  <c i="12" r="W49" s="1"/>
  <c i="12" r="V50"/>
  <c i="12" r="W50" s="1"/>
  <c i="12" r="V51"/>
  <c i="12" r="W51" s="1"/>
  <c i="12" r="V52"/>
  <c i="12" r="W52" s="1"/>
  <c i="12" r="V53"/>
  <c i="12" r="W53" s="1"/>
  <c i="12" r="V54"/>
  <c i="12" r="W54" s="1"/>
  <c i="12" r="V55"/>
  <c i="12" r="W55" s="1"/>
  <c i="12" r="V56"/>
  <c i="12" r="W56" s="1"/>
  <c i="12" r="V57"/>
  <c i="12" r="W57" s="1"/>
  <c i="12" r="V58"/>
  <c i="12" r="W58" s="1"/>
  <c i="12" r="V59"/>
  <c i="12" r="W59" s="1"/>
  <c i="12" r="V60"/>
  <c i="12" r="W60" s="1"/>
  <c i="12" r="V61"/>
  <c i="12" r="W61" s="1"/>
  <c i="12" r="V62"/>
  <c i="12" r="W62" s="1"/>
  <c i="12" r="V63"/>
  <c i="12" r="W63" s="1"/>
  <c i="12" r="V64"/>
  <c i="12" r="W64" s="1"/>
  <c i="12" r="V65"/>
  <c i="12" r="W65" s="1"/>
  <c i="12" r="V66"/>
  <c i="12" r="W66" s="1"/>
  <c i="12" r="V67"/>
  <c i="12" r="W67" s="1"/>
  <c i="12" r="V68"/>
  <c i="12" r="W68" s="1"/>
  <c i="12" r="V69"/>
  <c i="12" r="W69" s="1"/>
  <c i="12" r="V70"/>
  <c i="12" r="W70" s="1"/>
  <c i="12" r="V71"/>
  <c i="12" r="W71" s="1"/>
  <c i="12" r="V72"/>
  <c i="12" r="W72" s="1"/>
  <c i="12" r="V73"/>
  <c i="12" r="W73" s="1"/>
  <c i="12" r="V74"/>
  <c i="12" r="W74" s="1"/>
  <c i="12" r="V75"/>
  <c i="12" r="W75" s="1"/>
  <c i="12" r="V3"/>
  <c i="12" r="W3" s="1"/>
  <c i="12" r="I7"/>
  <c i="12" r="J7"/>
  <c i="12" r="I8"/>
  <c i="12" r="J8"/>
  <c i="12" r="I9"/>
  <c i="12" r="J9"/>
  <c i="12" r="H9"/>
  <c i="12" r="H8"/>
  <c i="12" r="H7"/>
  <c i="12" r="C9"/>
  <c i="12" r="D9"/>
  <c i="12" r="B9"/>
  <c i="12" r="C8"/>
  <c i="12" r="D8"/>
  <c i="12" r="B8"/>
  <c i="12" r="D7"/>
  <c i="12" r="C7"/>
  <c i="12" l="1" r="J10"/>
  <c i="12" r="J14" s="1"/>
  <c i="12" r="I10"/>
  <c i="12" r="I14" s="1"/>
  <c i="12" r="C10"/>
  <c i="12" r="C14" s="1"/>
  <c i="12" r="B10"/>
  <c i="12" r="B15" s="1"/>
  <c i="12" r="H10"/>
  <c i="12" r="H16" s="1"/>
  <c i="12" r="D10"/>
  <c i="12" r="D15" s="1"/>
  <c i="12" r="E8"/>
  <c i="12" r="E7"/>
  <c i="12" r="K7"/>
  <c i="12" r="K8"/>
  <c i="12" r="K9"/>
  <c i="12" r="E9"/>
  <c i="1" r="Y15"/>
  <c i="1" r="Z15"/>
  <c i="1" r="AA15"/>
  <c i="1" r="AB15"/>
  <c i="1" r="AC15"/>
  <c i="1" r="AD15"/>
  <c i="1" r="AE15"/>
  <c i="1" r="X15"/>
  <c i="1" r="AF8"/>
  <c i="1" r="AF9"/>
  <c i="1" r="AF10"/>
  <c i="1" r="AF11"/>
  <c i="1" r="AF12"/>
  <c i="1" r="AF13"/>
  <c i="1" r="AF14"/>
  <c i="1" r="AF7"/>
  <c i="1" r="J13"/>
  <c i="1" r="H15"/>
  <c i="1" r="N15"/>
  <c i="1" r="O15"/>
  <c i="1" r="P15"/>
  <c i="1" r="Q15"/>
  <c i="1" r="R15"/>
  <c i="1" r="S15"/>
  <c i="1" r="T15"/>
  <c i="1" r="M15"/>
  <c i="1" r="U8"/>
  <c i="1" r="U9"/>
  <c i="1" r="U10"/>
  <c i="1" r="U11"/>
  <c i="1" r="U12"/>
  <c i="1" r="U13"/>
  <c i="1" r="U14"/>
  <c i="1" r="U7"/>
  <c i="12" l="1" r="J16"/>
  <c i="1" r="G26"/>
  <c i="1" r="D26"/>
  <c i="1" r="E26"/>
  <c i="1" r="F26"/>
  <c i="1" r="C26"/>
  <c i="1" r="I26"/>
  <c i="1" r="B26"/>
  <c i="1" r="H26"/>
  <c i="12" r="J15"/>
  <c i="12" r="J17" s="1"/>
  <c i="12" r="D14"/>
  <c i="12" r="E10"/>
  <c i="12" r="E14" s="1"/>
  <c i="12" r="I16"/>
  <c i="12" r="H15"/>
  <c i="12" r="O15" s="1"/>
  <c i="12" r="D16"/>
  <c i="12" r="C15"/>
  <c i="12" r="B16"/>
  <c i="12" r="O16" s="1"/>
  <c i="12" r="H14"/>
  <c i="12" r="K10"/>
  <c i="12" r="K15" s="1"/>
  <c i="12" r="C16"/>
  <c i="12" r="B17"/>
  <c i="12" r="B14"/>
  <c i="12" r="I15"/>
  <c i="12" r="I17" s="1"/>
  <c i="1" r="AF15"/>
  <c i="1" r="U15"/>
  <c i="1" r="S21"/>
  <c i="1" r="S22"/>
  <c i="1" r="S23"/>
  <c i="1" r="S24"/>
  <c i="1" r="S25"/>
  <c i="1" r="S26"/>
  <c i="1" r="S20"/>
  <c i="1" r="N26"/>
  <c i="1" r="O26"/>
  <c i="1" r="P26"/>
  <c i="1" r="Q26"/>
  <c i="1" r="R26"/>
  <c i="1" r="T26"/>
  <c i="1" r="M26"/>
  <c i="1" r="U26" s="1"/>
  <c i="8" r="E24"/>
  <c i="8" r="S24" s="1"/>
  <c i="8" r="L13"/>
  <c i="8" r="E13"/>
  <c i="12" l="1" r="O14"/>
  <c i="12" r="P14" s="1"/>
  <c i="12" r="Q14" s="1"/>
  <c i="12" r="W8" s="1"/>
  <c i="12" r="E16"/>
  <c i="12" r="H17"/>
  <c i="8" r="E35"/>
  <c i="12" r="K16"/>
  <c i="8" r="L35"/>
  <c i="8" r="S13"/>
  <c i="1" r="AA40"/>
  <c i="1" r="AD35"/>
  <c i="1" r="AD38"/>
  <c i="1" r="AE38"/>
  <c i="1" r="AD39"/>
  <c i="1" r="AE39"/>
  <c i="1" r="AB40"/>
  <c i="1" r="AE34"/>
  <c i="1" r="AD36"/>
  <c i="1" r="AD37"/>
  <c i="1" r="X40"/>
  <c i="1" r="AC40"/>
  <c i="1" r="AD34"/>
  <c i="1" r="AE35"/>
  <c i="1" r="AE37"/>
  <c i="1" r="AD40"/>
  <c i="1" r="AE40"/>
  <c i="1" r="AE36"/>
  <c i="1" r="Y40"/>
  <c i="1" r="Z40"/>
  <c i="1" r="J26"/>
  <c i="12" r="P15"/>
  <c i="12" r="Q15" s="1"/>
  <c i="12" r="W9" s="1"/>
  <c i="12" r="C17"/>
  <c i="12" r="K14"/>
  <c i="12" r="E15"/>
  <c i="12" r="E17" s="1"/>
  <c i="12" r="D17"/>
  <c i="12" r="P16"/>
  <c i="12" r="Q16" s="1"/>
  <c i="12" r="W10" s="1"/>
  <c i="1" r="S28"/>
  <c i="1" r="W54"/>
  <c i="1" r="W40"/>
  <c i="1" r="L40"/>
  <c i="1" r="L26"/>
  <c i="1" r="W13"/>
  <c i="1" r="AD47"/>
  <c i="1" r="AD33"/>
  <c i="1" r="AD6"/>
  <c i="1" r="S33"/>
  <c i="1" r="S19"/>
  <c i="1" r="S6"/>
  <c i="1" r="H6"/>
  <c i="1" r="L13"/>
  <c i="8" r="V35"/>
  <c i="8" r="V24"/>
  <c i="8" r="V13"/>
  <c i="8" r="H13"/>
  <c i="8" l="1" r="S35"/>
  <c i="12" r="K17"/>
  <c i="8" r="H24"/>
  <c i="8" r="H35" s="1"/>
  <c i="8" r="O13"/>
  <c i="8" r="O24" s="1"/>
  <c i="8" r="O35" s="1"/>
  <c i="8" r="X25"/>
  <c i="8" r="Y25"/>
  <c i="8" r="Z25"/>
  <c i="8" r="W25"/>
  <c i="8" r="X14"/>
  <c i="8" r="Y14"/>
  <c i="8" r="Y36" s="1"/>
  <c i="8" r="Z14"/>
  <c i="8" r="Z36" s="1"/>
  <c i="8" r="W14"/>
  <c i="8" r="W36" s="1"/>
  <c i="8" r="J25"/>
  <c i="8" r="K25"/>
  <c i="8" r="I25"/>
  <c i="8" r="C25"/>
  <c i="8" r="D25"/>
  <c i="8" r="B25"/>
  <c i="8" r="C14"/>
  <c i="8" r="D14"/>
  <c i="8" r="B14"/>
  <c i="8" r="J14"/>
  <c i="8" r="J36" s="1"/>
  <c i="8" r="K14"/>
  <c i="8" r="K36" s="1"/>
  <c i="8" r="I14"/>
  <c i="8" r="I36" s="1"/>
  <c i="8" l="1" r="X36"/>
  <c i="8" r="D36"/>
  <c i="8" r="R36" s="1"/>
  <c i="8" r="C36"/>
  <c i="8" r="Q36" s="1"/>
  <c i="8" r="B36"/>
  <c i="8" r="P36" s="1"/>
  <c i="8" r="R25"/>
  <c i="8" r="P25"/>
  <c i="8" r="Q25"/>
  <c i="8" r="P14"/>
  <c i="8" r="R14"/>
  <c i="8" r="Q14"/>
  <c i="1" r="M19"/>
  <c i="1" r="N19"/>
  <c i="1" r="O19"/>
  <c i="1" r="P19"/>
  <c i="1" r="Q19"/>
  <c i="1" r="R19"/>
  <c i="1" r="T19"/>
  <c i="1" r="L20"/>
  <c i="1" r="M20"/>
  <c i="1" r="N20"/>
  <c i="1" r="O20"/>
  <c i="1" r="P20"/>
  <c i="1" r="Q20"/>
  <c i="1" r="R20"/>
  <c i="1" r="T20"/>
  <c i="1" r="L21"/>
  <c i="1" r="M21"/>
  <c i="1" r="N21"/>
  <c i="1" r="O21"/>
  <c i="1" r="P21"/>
  <c i="1" r="Q21"/>
  <c i="1" r="R21"/>
  <c i="1" r="T21"/>
  <c i="1" r="L22"/>
  <c i="1" r="M22"/>
  <c i="1" r="N22"/>
  <c i="1" r="O22"/>
  <c i="1" r="P22"/>
  <c i="1" r="Q22"/>
  <c i="1" r="R22"/>
  <c i="1" r="T22"/>
  <c i="1" r="L23"/>
  <c i="1" r="M23"/>
  <c i="1" r="N23"/>
  <c i="1" r="O23"/>
  <c i="1" r="P23"/>
  <c i="1" r="Q23"/>
  <c i="1" r="R23"/>
  <c i="1" r="T23"/>
  <c i="1" r="L24"/>
  <c i="1" r="M24"/>
  <c i="1" r="N24"/>
  <c i="1" r="O24"/>
  <c i="1" r="P24"/>
  <c i="1" r="Q24"/>
  <c i="1" r="R24"/>
  <c i="1" r="T24"/>
  <c i="1" r="L25"/>
  <c i="1" r="M25"/>
  <c i="1" r="N25"/>
  <c i="1" r="O25"/>
  <c i="1" r="P25"/>
  <c i="1" r="Q25"/>
  <c i="1" r="R25"/>
  <c i="1" r="T25"/>
  <c i="1" l="1" r="U23"/>
  <c i="1" r="U21"/>
  <c i="1" r="U25"/>
  <c i="1" r="U24"/>
  <c i="1" r="U22"/>
  <c i="1" r="U20"/>
  <c i="8" l="1" r="V34"/>
  <c i="8" r="V33"/>
  <c i="8" r="V32"/>
  <c i="8" r="V31"/>
  <c i="8" r="V30"/>
  <c i="8" r="V29"/>
  <c i="8" r="O34"/>
  <c i="8" r="O33"/>
  <c i="8" r="O32"/>
  <c i="8" r="O31"/>
  <c i="8" r="O30"/>
  <c i="8" r="O29"/>
  <c i="8" r="H34"/>
  <c i="8" r="H33"/>
  <c i="8" r="H32"/>
  <c i="8" r="H31"/>
  <c i="8" r="H30"/>
  <c i="8" r="H29"/>
  <c i="8" r="A34"/>
  <c i="8" r="A33"/>
  <c i="8" r="A32"/>
  <c i="8" r="A31"/>
  <c i="8" r="A30"/>
  <c i="8" r="A29"/>
  <c i="8" r="V23"/>
  <c i="8" r="V22"/>
  <c i="8" r="V21"/>
  <c i="8" r="V20"/>
  <c i="8" r="V19"/>
  <c i="8" r="V18"/>
  <c i="8" r="O23"/>
  <c i="8" r="O22"/>
  <c i="8" r="O21"/>
  <c i="8" r="O20"/>
  <c i="8" r="O19"/>
  <c i="8" r="O18"/>
  <c i="8" r="H23"/>
  <c i="8" r="H22"/>
  <c i="8" r="H21"/>
  <c i="8" r="H20"/>
  <c i="8" r="H19"/>
  <c i="8" r="H18"/>
  <c i="8" r="A23"/>
  <c i="8" r="A22"/>
  <c i="8" r="A21"/>
  <c i="8" r="A20"/>
  <c i="8" r="A19"/>
  <c i="8" r="A18"/>
  <c i="8" r="V12"/>
  <c i="8" r="V11"/>
  <c i="8" r="V10"/>
  <c i="8" r="V9"/>
  <c i="8" r="V8"/>
  <c i="8" r="V7"/>
  <c i="8" r="O12"/>
  <c i="8" r="O11"/>
  <c i="8" r="O10"/>
  <c i="8" r="O9"/>
  <c i="8" r="O8"/>
  <c i="8" r="O7"/>
  <c i="8" r="H12"/>
  <c i="8" r="H11"/>
  <c i="8" r="H10"/>
  <c i="8" r="H9"/>
  <c i="8" r="H8"/>
  <c i="8" r="H7"/>
  <c i="1" r="AE47"/>
  <c i="1" r="AC47"/>
  <c i="1" r="AB47"/>
  <c i="1" r="AA47"/>
  <c i="1" r="Z47"/>
  <c i="1" r="Y47"/>
  <c i="1" r="X47"/>
  <c i="1" r="AE33"/>
  <c i="1" r="AC33"/>
  <c i="1" r="AB33"/>
  <c i="1" r="AA33"/>
  <c i="1" r="Z33"/>
  <c i="1" r="Y33"/>
  <c i="1" r="X33"/>
  <c i="1" r="T33"/>
  <c i="1" r="R33"/>
  <c i="1" r="Q33"/>
  <c i="1" r="P33"/>
  <c i="1" r="O33"/>
  <c i="1" r="N33"/>
  <c i="1" r="M33"/>
  <c i="1" r="AE6"/>
  <c i="1" r="AC6"/>
  <c i="1" r="AB6"/>
  <c i="1" r="AA6"/>
  <c i="1" r="Z6"/>
  <c i="1" r="Y6"/>
  <c i="1" r="X6"/>
  <c i="1" r="T6"/>
  <c i="1" r="R6"/>
  <c i="1" r="Q6"/>
  <c i="1" r="P6"/>
  <c i="1" r="O6"/>
  <c i="1" r="N6"/>
  <c i="1" r="M6"/>
  <c i="1" r="I6"/>
  <c i="1" r="G6"/>
  <c i="1" r="F6"/>
  <c i="1" r="E6"/>
  <c i="1" r="D6"/>
  <c i="1" r="C6"/>
  <c i="1" r="B6"/>
  <c i="1" r="W53"/>
  <c i="1" r="W52"/>
  <c i="1" r="W51"/>
  <c i="1" r="W50"/>
  <c i="1" r="W49"/>
  <c i="1" r="W48"/>
  <c i="1" r="W39"/>
  <c i="1" r="W38"/>
  <c i="1" r="W37"/>
  <c i="1" r="W36"/>
  <c i="1" r="W35"/>
  <c i="1" r="W34"/>
  <c i="1" r="L39"/>
  <c i="1" r="L38"/>
  <c i="1" r="L37"/>
  <c i="1" r="L36"/>
  <c i="1" r="L35"/>
  <c i="1" r="L34"/>
  <c i="1" r="W12"/>
  <c i="1" r="W11"/>
  <c i="1" r="W10"/>
  <c i="1" r="W9"/>
  <c i="1" r="W8"/>
  <c i="1" r="W7"/>
  <c i="1" r="L12"/>
  <c i="1" r="L11"/>
  <c i="1" r="L10"/>
  <c i="1" r="L9"/>
  <c i="1" r="L8"/>
  <c i="1" r="L7"/>
  <c i="8" l="1" r="E19"/>
  <c i="8" r="E20"/>
  <c i="8" r="E21"/>
  <c i="8" r="E22"/>
  <c i="8" r="E23"/>
  <c i="8" r="L20"/>
  <c i="8" r="L21"/>
  <c i="8" r="L22"/>
  <c i="8" r="L9"/>
  <c i="8" r="L10"/>
  <c i="8" r="L11"/>
  <c i="8" r="E8"/>
  <c i="8" r="E9"/>
  <c i="8" r="E10"/>
  <c i="8" r="E11"/>
  <c i="1" r="J9"/>
  <c i="1" r="J10"/>
  <c i="1" r="J11"/>
  <c i="3" r="E101"/>
  <c i="1" l="1" r="H24"/>
  <c i="1" r="I24"/>
  <c i="1" r="H23"/>
  <c i="1" r="I23"/>
  <c i="1" r="H22"/>
  <c i="1" r="I22"/>
  <c i="1" r="B22"/>
  <c i="1" r="G22"/>
  <c i="1" r="F22"/>
  <c i="1" r="E22"/>
  <c i="1" r="D22"/>
  <c i="1" r="C22"/>
  <c i="1" r="F23"/>
  <c i="1" r="G23"/>
  <c i="1" r="E23"/>
  <c i="1" r="D23"/>
  <c i="1" r="C23"/>
  <c i="1" r="B23"/>
  <c i="1" r="G24"/>
  <c i="1" r="F24"/>
  <c i="1" r="E24"/>
  <c i="1" r="D24"/>
  <c i="1" r="C24"/>
  <c i="1" r="B24"/>
  <c i="8" r="W31"/>
  <c i="8" r="X31"/>
  <c i="8" r="Y31"/>
  <c i="8" r="Z31"/>
  <c i="8" r="W32"/>
  <c i="8" r="X32"/>
  <c i="8" r="Y32"/>
  <c i="8" r="Z32"/>
  <c i="8" r="W33"/>
  <c i="8" r="X33"/>
  <c i="8" r="Y33"/>
  <c i="8" r="Z33"/>
  <c i="8" r="B31"/>
  <c i="8" r="C31"/>
  <c i="8" r="D31"/>
  <c i="8" r="E31"/>
  <c i="8" r="B32"/>
  <c i="8" r="C32"/>
  <c i="8" r="D32"/>
  <c i="8" r="E32"/>
  <c i="8" r="B33"/>
  <c i="8" r="C33"/>
  <c i="8" r="D33"/>
  <c i="8" r="E33"/>
  <c i="8" r="I31"/>
  <c i="8" r="J31"/>
  <c i="8" r="K31"/>
  <c i="8" r="L31"/>
  <c i="8" r="I32"/>
  <c i="8" r="J32"/>
  <c i="8" r="K32"/>
  <c i="8" r="L32"/>
  <c i="8" r="I33"/>
  <c i="8" r="J33"/>
  <c i="8" r="K33"/>
  <c i="8" r="L33"/>
  <c i="8" r="P20"/>
  <c i="8" r="Q20"/>
  <c i="8" r="R20"/>
  <c i="8" r="S20"/>
  <c i="8" r="P21"/>
  <c i="8" r="Q21"/>
  <c i="8" r="R21"/>
  <c i="8" r="S21"/>
  <c i="8" r="P22"/>
  <c i="8" r="Q22"/>
  <c i="8" r="R22"/>
  <c i="8" r="S22"/>
  <c i="8" r="P9"/>
  <c i="8" r="Q9"/>
  <c i="8" r="R9"/>
  <c i="8" r="S9"/>
  <c i="8" r="P10"/>
  <c i="8" r="Q10"/>
  <c i="8" r="R10"/>
  <c i="8" r="S10"/>
  <c i="8" r="P11"/>
  <c i="8" r="Q11"/>
  <c i="8" r="R11"/>
  <c i="8" r="S11"/>
  <c i="1" r="G15"/>
  <c i="1" r="F15"/>
  <c i="1" r="E15"/>
  <c i="1" l="1" r="J24"/>
  <c i="1" r="J23"/>
  <c i="8" r="R31"/>
  <c i="8" r="Q31"/>
  <c i="8" r="S31"/>
  <c i="1" r="J22"/>
  <c i="8" r="S32"/>
  <c i="8" r="R32"/>
  <c i="8" r="Q32"/>
  <c i="8" r="R33"/>
  <c i="8" r="P33"/>
  <c i="8" r="S33"/>
  <c i="8" r="P32"/>
  <c i="8" r="Q33"/>
  <c i="8" r="P31"/>
  <c i="8" r="P7"/>
  <c i="8" r="Q7"/>
  <c i="8" r="R7"/>
  <c i="8" r="P8"/>
  <c i="8" r="Q8"/>
  <c i="8" r="R8"/>
  <c i="8" r="P12"/>
  <c i="8" r="Q12"/>
  <c i="8" r="R12"/>
  <c i="4" l="1" r="E101"/>
  <c i="4" r="E100"/>
  <c i="4" r="E99"/>
  <c i="4" r="E98"/>
  <c i="4" r="E97"/>
  <c i="4" r="E96"/>
  <c i="4" r="E95"/>
  <c i="4" r="E94"/>
  <c i="4" r="E93"/>
  <c i="4" r="E92"/>
  <c i="4" r="E91"/>
  <c i="4" r="E90"/>
  <c i="4" r="E89"/>
  <c i="4" r="E88"/>
  <c i="4" r="E87"/>
  <c i="4" r="E86"/>
  <c i="4" r="E85"/>
  <c i="4" r="E84"/>
  <c i="4" r="E83"/>
  <c i="4" r="E82"/>
  <c i="4" r="E81"/>
  <c i="4" r="E80"/>
  <c i="4" r="E79"/>
  <c i="4" r="E78"/>
  <c i="4" r="E77"/>
  <c i="4" r="E76"/>
  <c i="4" r="E75"/>
  <c i="4" r="E74"/>
  <c i="4" r="E73"/>
  <c i="4" r="E72"/>
  <c i="4" r="E71"/>
  <c i="4" r="E70"/>
  <c i="4" r="E69"/>
  <c i="4" r="E68"/>
  <c i="4" r="E67"/>
  <c i="4" r="E66"/>
  <c i="4" r="E65"/>
  <c i="4" r="E64"/>
  <c i="4" r="E63"/>
  <c i="4" r="E62"/>
  <c i="4" r="E61"/>
  <c i="4" r="E60"/>
  <c i="4" r="E59"/>
  <c i="4" r="E58"/>
  <c i="4" r="E57"/>
  <c i="4" r="E56"/>
  <c i="4" r="E55"/>
  <c i="4" r="E54"/>
  <c i="4" r="E53"/>
  <c i="4" r="E52"/>
  <c i="4" r="E51"/>
  <c i="4" r="E50"/>
  <c i="4" r="E49"/>
  <c i="4" r="E48"/>
  <c i="4" r="E47"/>
  <c i="4" r="E46"/>
  <c i="4" r="E45"/>
  <c i="4" r="E44"/>
  <c i="4" r="E43"/>
  <c i="4" r="E42"/>
  <c i="4" r="E41"/>
  <c i="4" r="E40"/>
  <c i="4" r="E39"/>
  <c i="4" r="E38"/>
  <c i="4" r="E37"/>
  <c i="4" r="E36"/>
  <c i="4" r="E35"/>
  <c i="4" r="E34"/>
  <c i="4" r="E33"/>
  <c i="4" r="E32"/>
  <c i="4" r="E31"/>
  <c i="4" r="E30"/>
  <c i="4" r="E29"/>
  <c i="4" r="E28"/>
  <c i="4" r="E27"/>
  <c i="4" r="E26"/>
  <c i="4" r="E25"/>
  <c i="4" r="E24"/>
  <c i="4" r="E23"/>
  <c i="4" r="E22"/>
  <c i="4" r="E21"/>
  <c i="4" r="E20"/>
  <c i="4" r="E19"/>
  <c i="4" r="E18"/>
  <c i="4" r="E17"/>
  <c i="4" r="E16"/>
  <c i="4" r="E15"/>
  <c i="4" r="E14"/>
  <c i="4" r="E13"/>
  <c i="4" r="E12"/>
  <c i="4" r="E11"/>
  <c i="3" r="E100"/>
  <c i="3" r="E99"/>
  <c i="3" r="E98"/>
  <c i="3" r="E97"/>
  <c i="3" r="E96"/>
  <c i="3" r="E95"/>
  <c i="3" r="E94"/>
  <c i="3" r="E93"/>
  <c i="3" r="E92"/>
  <c i="3" r="E91"/>
  <c i="3" r="E90"/>
  <c i="3" r="E89"/>
  <c i="3" r="E88"/>
  <c i="3" r="E87"/>
  <c i="3" r="E86"/>
  <c i="3" r="E85"/>
  <c i="3" r="E84"/>
  <c i="3" r="E83"/>
  <c i="3" r="E82"/>
  <c i="3" r="E81"/>
  <c i="3" r="E80"/>
  <c i="3" r="E79"/>
  <c i="3" r="E78"/>
  <c i="3" r="E77"/>
  <c i="3" r="E76"/>
  <c i="3" r="E75"/>
  <c i="3" r="E74"/>
  <c i="3" r="E73"/>
  <c i="3" r="E72"/>
  <c i="3" r="E71"/>
  <c i="3" r="E70"/>
  <c i="3" r="E69"/>
  <c i="3" r="E68"/>
  <c i="3" r="E67"/>
  <c i="3" r="E66"/>
  <c i="3" r="E65"/>
  <c i="3" r="E64"/>
  <c i="3" r="E63"/>
  <c i="3" r="E62"/>
  <c i="3" r="E61"/>
  <c i="3" r="E60"/>
  <c i="3" r="E59"/>
  <c i="3" r="E58"/>
  <c i="3" r="E57"/>
  <c i="3" r="E56"/>
  <c i="3" r="E55"/>
  <c i="3" r="E54"/>
  <c i="3" r="E53"/>
  <c i="3" r="E52"/>
  <c i="3" r="E51"/>
  <c i="3" r="E50"/>
  <c i="3" r="E49"/>
  <c i="3" r="E48"/>
  <c i="3" r="E47"/>
  <c i="3" r="E46"/>
  <c i="3" r="E45"/>
  <c i="3" r="E44"/>
  <c i="3" r="E43"/>
  <c i="3" r="E42"/>
  <c i="3" r="E41"/>
  <c i="3" r="E40"/>
  <c i="3" r="E39"/>
  <c i="3" r="E38"/>
  <c i="3" r="E37"/>
  <c i="3" r="E36"/>
  <c i="3" r="E35"/>
  <c i="3" r="E34"/>
  <c i="3" r="E33"/>
  <c i="3" r="E32"/>
  <c i="3" r="E31"/>
  <c i="3" r="E30"/>
  <c i="3" r="E29"/>
  <c i="3" r="E28"/>
  <c i="3" r="E27"/>
  <c i="3" r="E26"/>
  <c i="3" r="E25"/>
  <c i="3" r="E24"/>
  <c i="3" r="E23"/>
  <c i="3" r="E22"/>
  <c i="3" r="E21"/>
  <c i="3" r="E20"/>
  <c i="3" r="E19"/>
  <c i="3" r="E18"/>
  <c i="3" r="E17"/>
  <c i="3" r="E16"/>
  <c i="3" r="E15"/>
  <c i="3" r="E14"/>
  <c i="3" r="E13"/>
  <c i="3" r="E12"/>
  <c i="3" r="E11"/>
  <c i="8" r="E18"/>
  <c i="8" r="E12"/>
  <c i="8" r="E7"/>
  <c i="8" r="Z34"/>
  <c i="8" r="Y34"/>
  <c i="8" r="X34"/>
  <c i="8" r="W34"/>
  <c i="8" r="Z30"/>
  <c i="8" r="Y30"/>
  <c i="8" r="X30"/>
  <c i="8" r="W30"/>
  <c i="8" r="Z29"/>
  <c i="8" r="Y29"/>
  <c i="8" r="X29"/>
  <c i="8" r="W29"/>
  <c i="8" l="1" r="Y35"/>
  <c i="1" r="S27"/>
  <c i="8" r="X35"/>
  <c i="8" r="Z35"/>
  <c i="8" r="W35"/>
  <c i="8" r="E14"/>
  <c i="8" r="E25"/>
  <c i="12" r="B27" s="1"/>
  <c i="12" r="B32" s="1"/>
  <c i="8" r="P18"/>
  <c i="8" r="Q18"/>
  <c i="8" r="R18"/>
  <c i="8" r="P19"/>
  <c i="8" r="Q19"/>
  <c i="8" r="R19"/>
  <c i="8" r="P23"/>
  <c i="8" r="Q23"/>
  <c i="8" r="R23"/>
  <c i="1" r="J14"/>
  <c i="12" l="1" r="B26"/>
  <c i="12" r="B31" s="1"/>
  <c i="8" r="E36"/>
  <c i="1" r="P27"/>
  <c i="1" r="P28" s="1"/>
  <c i="1" r="R27"/>
  <c i="1" r="R28" s="1"/>
  <c i="1" r="M27"/>
  <c i="1" r="Q27"/>
  <c i="1" r="Q28" s="1"/>
  <c i="1" r="N27"/>
  <c i="1" r="N28" s="1"/>
  <c i="1" r="T27"/>
  <c i="1" r="T28" s="1"/>
  <c i="1" r="O27"/>
  <c i="1" r="O28" s="1"/>
  <c i="1" r="I15"/>
  <c i="1" r="D15"/>
  <c i="1" r="C15"/>
  <c i="1" r="B15"/>
  <c i="1" r="J12"/>
  <c i="1" r="J8"/>
  <c i="1" r="J7"/>
  <c i="1" l="1" r="H25"/>
  <c i="1" r="I25"/>
  <c i="1" r="I20"/>
  <c i="1" r="H20"/>
  <c i="1" r="I21"/>
  <c i="1" r="H21"/>
  <c i="1" r="G20"/>
  <c i="1" r="E20"/>
  <c i="1" r="D20"/>
  <c i="1" r="B20"/>
  <c i="1" r="F20"/>
  <c i="1" r="C20"/>
  <c i="1" r="B25"/>
  <c i="1" r="G25"/>
  <c i="1" r="F25"/>
  <c i="1" r="E25"/>
  <c i="1" r="D25"/>
  <c i="1" r="C25"/>
  <c i="1" r="G21"/>
  <c i="1" r="F21"/>
  <c i="1" r="E21"/>
  <c i="1" r="D21"/>
  <c i="1" r="C21"/>
  <c i="1" r="B21"/>
  <c i="1" r="U27"/>
  <c i="1" r="U28" s="1"/>
  <c i="1" r="M28"/>
  <c i="1" r="J15"/>
  <c i="1" l="1" r="J21"/>
  <c i="1" r="B28"/>
  <c i="1" r="J25"/>
  <c i="1" r="H28"/>
  <c i="1" r="D28"/>
  <c i="1" r="J20"/>
  <c i="1" r="C28"/>
  <c i="1" r="E28"/>
  <c i="1" r="F28"/>
  <c i="1" r="I28"/>
  <c i="1" r="G28"/>
  <c i="1" r="S37"/>
  <c i="1" r="O40"/>
  <c i="1" r="Q40"/>
  <c i="1" r="Q41"/>
  <c i="1" r="M41"/>
  <c i="1" r="S38"/>
  <c i="1" r="P40"/>
  <c i="1" r="R40"/>
  <c i="1" r="T40"/>
  <c i="1" r="S39"/>
  <c i="1" r="S34"/>
  <c i="1" r="P41"/>
  <c i="1" r="T41"/>
  <c i="1" r="S40"/>
  <c i="1" r="O41"/>
  <c i="1" r="S41"/>
  <c i="1" r="N40"/>
  <c i="1" r="N41"/>
  <c i="1" r="R41"/>
  <c i="1" r="S36"/>
  <c i="1" r="S35"/>
  <c i="1" r="M40"/>
  <c i="8" r="L23"/>
  <c i="8" r="S23" s="1"/>
  <c i="8" r="L19"/>
  <c i="8" r="S19" s="1"/>
  <c i="8" r="L18"/>
  <c i="8" r="L8"/>
  <c i="8" r="S8" s="1"/>
  <c i="8" r="L12"/>
  <c i="8" r="S12" s="1"/>
  <c i="8" r="L7"/>
  <c i="8" r="K34"/>
  <c i="8" r="J34"/>
  <c i="8" r="I34"/>
  <c i="8" r="K30"/>
  <c i="8" r="J30"/>
  <c i="8" r="I30"/>
  <c i="8" r="K29"/>
  <c i="8" r="J29"/>
  <c i="8" r="I29"/>
  <c i="1" l="1" r="J28"/>
  <c i="1" r="S42"/>
  <c i="1" r="U40"/>
  <c i="8" r="S7"/>
  <c i="8" r="L14"/>
  <c i="8" r="S18"/>
  <c i="8" r="L25"/>
  <c i="8" r="L29"/>
  <c i="8" r="L30"/>
  <c i="8" r="L34"/>
  <c i="1" l="1" r="G40"/>
  <c i="1" r="E40"/>
  <c i="1" r="H40"/>
  <c i="1" r="B40"/>
  <c i="1" r="D40"/>
  <c i="1" r="I40"/>
  <c i="1" r="C40"/>
  <c i="1" r="F40"/>
  <c i="1" r="I36"/>
  <c i="1" r="I37"/>
  <c i="1" r="H37"/>
  <c i="1" r="H36"/>
  <c i="1" r="I38"/>
  <c i="1" r="H38"/>
  <c i="1" r="H34"/>
  <c i="1" r="I34"/>
  <c i="1" r="H39"/>
  <c i="1" r="I35"/>
  <c i="1" r="I39"/>
  <c i="1" r="H35"/>
  <c i="1" r="J40"/>
  <c i="1" r="E38"/>
  <c i="1" r="F37"/>
  <c i="1" r="C36"/>
  <c i="1" r="B36"/>
  <c i="1" r="D37"/>
  <c i="1" r="G36"/>
  <c i="1" r="G38"/>
  <c i="1" r="C38"/>
  <c i="1" r="D38"/>
  <c i="1" r="C37"/>
  <c i="1" r="D36"/>
  <c i="1" r="F36"/>
  <c i="1" r="E37"/>
  <c i="1" r="F38"/>
  <c i="1" r="B37"/>
  <c i="1" r="G37"/>
  <c i="1" r="B38"/>
  <c i="1" r="E36"/>
  <c i="1" r="J37"/>
  <c i="1" r="J36"/>
  <c i="1" r="J38"/>
  <c i="1" r="D35"/>
  <c i="1" r="G39"/>
  <c i="1" r="B39"/>
  <c i="1" r="B35"/>
  <c i="1" r="E34"/>
  <c i="1" r="G34"/>
  <c i="1" r="E35"/>
  <c i="1" r="E39"/>
  <c i="1" r="D39"/>
  <c i="1" r="C39"/>
  <c i="1" r="F35"/>
  <c i="1" r="F34"/>
  <c i="1" r="B34"/>
  <c i="1" r="C34"/>
  <c i="1" r="C35"/>
  <c i="1" r="G35"/>
  <c i="1" r="D34"/>
  <c i="1" r="F39"/>
  <c i="1" r="J35"/>
  <c i="1" r="J39"/>
  <c i="1" r="J34"/>
  <c i="12" r="H26"/>
  <c i="8" r="L36"/>
  <c i="8" r="S36" s="1"/>
  <c i="8" r="S25"/>
  <c i="12" r="H27"/>
  <c i="12" r="H32" s="1"/>
  <c i="8" r="S14"/>
  <c i="1" l="1" r="J42"/>
  <c i="1" r="G42"/>
  <c i="1" r="H42"/>
  <c i="1" r="E42"/>
  <c i="1" r="D42"/>
  <c i="1" r="C42"/>
  <c i="1" r="B42"/>
  <c i="1" r="F42"/>
  <c i="1" r="I42"/>
  <c i="12" r="H31"/>
  <c i="12" r="O31" s="1"/>
  <c i="12" r="P31" s="1"/>
  <c i="12" r="Q31" s="1"/>
  <c i="12" r="W39" s="1"/>
  <c i="10" r="B11"/>
  <c i="10" r="O22"/>
  <c i="10" r="P22"/>
  <c i="10" r="N22"/>
  <c i="10" r="C22"/>
  <c i="10" r="D22"/>
  <c i="10" r="B22"/>
  <c i="10" r="O21"/>
  <c i="10" r="P21"/>
  <c i="10" r="N21"/>
  <c i="10" r="C21"/>
  <c i="10" r="D21"/>
  <c i="10" r="B21"/>
  <c i="10" r="O20"/>
  <c i="10" r="P20"/>
  <c i="10" r="N20"/>
  <c i="10" r="C20"/>
  <c i="10" r="D20"/>
  <c i="10" r="B20"/>
  <c i="10" r="O19"/>
  <c i="10" r="P19"/>
  <c i="10" r="N19"/>
  <c i="10" r="C19"/>
  <c i="10" r="D19"/>
  <c i="10" r="B19"/>
  <c i="10" r="O18"/>
  <c i="10" r="P18"/>
  <c i="10" r="N18"/>
  <c i="10" r="C18"/>
  <c i="10" r="D18"/>
  <c i="10" r="B18"/>
  <c i="10" r="O17"/>
  <c i="10" r="P17"/>
  <c i="10" r="N17"/>
  <c i="10" r="C17"/>
  <c i="10" r="D17"/>
  <c i="10" r="B17"/>
  <c i="10" r="O16"/>
  <c i="10" r="P16"/>
  <c i="10" r="N16"/>
  <c i="10" r="C16"/>
  <c i="10" r="D16"/>
  <c i="10" r="B16"/>
  <c i="10" r="O15"/>
  <c i="10" r="P15"/>
  <c i="10" r="N15"/>
  <c i="10" r="C15"/>
  <c i="10" r="D15"/>
  <c i="10" r="B15"/>
  <c i="10" r="O14"/>
  <c i="10" r="P14"/>
  <c i="10" r="N14"/>
  <c i="10" r="C14"/>
  <c i="10" r="D14"/>
  <c i="10" r="B14"/>
  <c i="10" r="O13"/>
  <c i="10" r="P13"/>
  <c i="10" r="N13"/>
  <c i="10" r="C13"/>
  <c i="10" r="D13"/>
  <c i="10" r="B13"/>
  <c i="10" r="O12"/>
  <c i="10" r="P12"/>
  <c i="10" r="N12"/>
  <c i="10" r="C12"/>
  <c i="10" r="D12"/>
  <c i="10" r="B12"/>
  <c i="10" r="O11"/>
  <c i="10" r="P11"/>
  <c i="10" r="N11"/>
  <c i="10" r="D11"/>
  <c i="10" r="C11"/>
  <c i="8" r="B30"/>
  <c i="8" r="P30" s="1"/>
  <c i="8" r="C30"/>
  <c i="8" r="Q30" s="1"/>
  <c i="8" r="D30"/>
  <c i="8" r="R30" s="1"/>
  <c i="8" r="B34"/>
  <c i="8" r="P34" s="1"/>
  <c i="8" r="C34"/>
  <c i="8" r="Q34" s="1"/>
  <c i="8" r="D34"/>
  <c i="8" r="R34" s="1"/>
  <c i="8" r="C29"/>
  <c i="8" r="Q29" s="1"/>
  <c i="8" r="D29"/>
  <c i="8" r="R29" s="1"/>
  <c i="8" r="P29"/>
  <c i="4" r="K101"/>
  <c i="10" r="Q22" s="1"/>
  <c i="4" r="K95"/>
  <c i="4" r="K96"/>
  <c i="4" r="K97"/>
  <c i="4" r="K98"/>
  <c i="4" r="K99"/>
  <c i="4" r="K100"/>
  <c i="4" r="K12"/>
  <c i="4" r="K13"/>
  <c i="4" r="K14"/>
  <c i="4" r="K15"/>
  <c i="4" r="K16"/>
  <c i="4" r="K17"/>
  <c i="4" r="K18"/>
  <c i="4" r="K19"/>
  <c i="4" r="K20"/>
  <c i="4" r="K21"/>
  <c i="4" r="K22"/>
  <c i="4" r="K23"/>
  <c i="4" r="K24"/>
  <c i="4" r="K25"/>
  <c i="4" r="K26"/>
  <c i="4" r="K27"/>
  <c i="4" r="K28"/>
  <c i="4" r="K29"/>
  <c i="4" r="K30"/>
  <c i="4" r="K31"/>
  <c i="4" r="K32"/>
  <c i="4" r="K33"/>
  <c i="4" r="K34"/>
  <c i="4" r="K35"/>
  <c i="4" r="K36"/>
  <c i="4" r="K37"/>
  <c i="4" r="K38"/>
  <c i="4" r="K39"/>
  <c i="4" r="K40"/>
  <c i="4" r="K41"/>
  <c i="4" r="K42"/>
  <c i="4" r="K43"/>
  <c i="4" r="K44"/>
  <c i="4" r="K45"/>
  <c i="4" r="K46"/>
  <c i="4" r="K47"/>
  <c i="4" r="K48"/>
  <c i="4" r="K49"/>
  <c i="4" r="K50"/>
  <c i="4" r="K51"/>
  <c i="4" r="K52"/>
  <c i="4" r="K53"/>
  <c i="4" r="K54"/>
  <c i="4" r="K55"/>
  <c i="4" r="K56"/>
  <c i="4" r="K57"/>
  <c i="4" r="K58"/>
  <c i="4" r="K59"/>
  <c i="4" r="K60"/>
  <c i="4" r="K61"/>
  <c i="4" r="K62"/>
  <c i="4" r="K63"/>
  <c i="4" r="K64"/>
  <c i="4" r="K65"/>
  <c i="4" r="K66"/>
  <c i="4" r="K67"/>
  <c i="4" r="K68"/>
  <c i="4" r="K69"/>
  <c i="4" r="K70"/>
  <c i="4" r="K71"/>
  <c i="4" r="K72"/>
  <c i="4" r="K73"/>
  <c i="4" r="K74"/>
  <c i="4" r="K75"/>
  <c i="4" r="K76"/>
  <c i="4" r="K77"/>
  <c i="4" r="K78"/>
  <c i="4" r="K79"/>
  <c i="4" r="K80"/>
  <c i="4" r="K81"/>
  <c i="4" r="K82"/>
  <c i="4" r="K83"/>
  <c i="4" r="K84"/>
  <c i="4" r="K85"/>
  <c i="4" r="K86"/>
  <c i="4" r="K87"/>
  <c i="4" r="K88"/>
  <c i="4" r="K89"/>
  <c i="4" r="K90"/>
  <c i="4" r="K91"/>
  <c i="4" r="K92"/>
  <c i="4" r="K93"/>
  <c i="4" r="K94"/>
  <c i="4" r="K11"/>
  <c i="3" r="K12"/>
  <c i="3" r="K13"/>
  <c i="3" r="K14"/>
  <c i="3" r="K15"/>
  <c i="3" r="K16"/>
  <c i="3" r="K17"/>
  <c i="3" r="K18"/>
  <c i="3" r="K19"/>
  <c i="3" r="K20"/>
  <c i="3" r="K21"/>
  <c i="3" r="K22"/>
  <c i="3" r="K23"/>
  <c i="3" r="K24"/>
  <c i="3" r="K25"/>
  <c i="3" r="K26"/>
  <c i="3" r="K27"/>
  <c i="3" r="K28"/>
  <c i="3" r="K29"/>
  <c i="3" r="K30"/>
  <c i="3" r="K31"/>
  <c i="3" r="K32"/>
  <c i="3" r="K33"/>
  <c i="3" r="K34"/>
  <c i="3" r="K35"/>
  <c i="3" r="K36"/>
  <c i="3" r="K37"/>
  <c i="3" r="K38"/>
  <c i="3" r="K39"/>
  <c i="3" r="K40"/>
  <c i="3" r="K41"/>
  <c i="3" r="K42"/>
  <c i="3" r="K43"/>
  <c i="3" r="K44"/>
  <c i="3" r="K45"/>
  <c i="3" r="K46"/>
  <c i="3" r="K47"/>
  <c i="3" r="K48"/>
  <c i="3" r="K49"/>
  <c i="3" r="K50"/>
  <c i="3" r="K51"/>
  <c i="3" r="K52"/>
  <c i="3" r="K53"/>
  <c i="3" r="K54"/>
  <c i="3" r="K55"/>
  <c i="3" r="K56"/>
  <c i="3" r="K57"/>
  <c i="3" r="K58"/>
  <c i="3" r="K59"/>
  <c i="3" r="K60"/>
  <c i="3" r="K61"/>
  <c i="3" r="K62"/>
  <c i="3" r="K63"/>
  <c i="3" r="K64"/>
  <c i="3" r="K65"/>
  <c i="3" r="K66"/>
  <c i="3" r="K67"/>
  <c i="3" r="K68"/>
  <c i="3" r="K69"/>
  <c i="3" r="K70"/>
  <c i="3" r="K71"/>
  <c i="3" r="K72"/>
  <c i="3" r="K73"/>
  <c i="3" r="K74"/>
  <c i="3" r="K75"/>
  <c i="3" r="K76"/>
  <c i="3" r="K77"/>
  <c i="3" r="K78"/>
  <c i="3" r="K79"/>
  <c i="3" r="K80"/>
  <c i="3" r="K81"/>
  <c i="3" r="K82"/>
  <c i="3" r="K83"/>
  <c i="3" r="K84"/>
  <c i="3" r="K85"/>
  <c i="3" r="K86"/>
  <c i="3" r="K87"/>
  <c i="3" r="K88"/>
  <c i="3" r="K89"/>
  <c i="3" r="K90"/>
  <c i="3" r="K91"/>
  <c i="3" r="K92"/>
  <c i="3" r="K93"/>
  <c i="3" r="K94"/>
  <c i="3" r="K95"/>
  <c i="3" r="K96"/>
  <c i="3" r="K97"/>
  <c i="3" r="K98"/>
  <c i="3" r="K99"/>
  <c i="3" r="K100"/>
  <c i="3" r="K101"/>
  <c i="3" r="K11"/>
  <c i="8" l="1" r="E29"/>
  <c i="8" r="S29" s="1"/>
  <c i="8" r="E30"/>
  <c i="8" r="S30" s="1"/>
  <c i="10" r="Q11"/>
  <c i="10" r="Q15"/>
  <c i="10" r="Q21"/>
  <c i="10" r="Q19"/>
  <c i="10" r="Q20"/>
  <c i="10" r="Q17"/>
  <c i="10" r="Q16"/>
  <c i="10" r="Q13"/>
  <c i="10" r="Q12"/>
  <c i="10" r="Q18"/>
  <c i="10" r="Q14"/>
  <c i="8" r="E34"/>
  <c i="8" r="S34" s="1"/>
  <c i="10" r="E22"/>
  <c i="10" l="1" r="E21"/>
  <c i="10" r="E19"/>
  <c i="10" r="E15"/>
  <c i="10" r="E20"/>
  <c i="10" r="E16"/>
  <c i="10" r="E12"/>
  <c i="10" r="E11"/>
  <c i="10" r="E17"/>
  <c i="10" r="E13"/>
  <c i="10" r="E18"/>
  <c i="10" r="E14"/>
  <c i="1" l="1" r="AD54"/>
  <c i="1" r="AD53"/>
  <c i="1" r="AC54"/>
  <c i="1" r="AD55"/>
  <c i="1" r="AB54"/>
  <c i="1" r="AA54"/>
  <c i="1" r="AD50"/>
  <c i="1" r="Z54"/>
  <c i="1" r="AD48"/>
  <c i="1" r="AE54"/>
  <c i="1" r="AD52"/>
  <c i="1" r="AD51"/>
  <c i="1" r="AD49"/>
  <c i="1" r="X54"/>
  <c i="1" r="Y54"/>
  <c i="1" r="Y37"/>
  <c i="1" r="Y51" s="1"/>
  <c i="1" r="Z34"/>
  <c i="1" r="Z48" s="1"/>
  <c i="1" r="AA34"/>
  <c i="1" r="AA48" s="1"/>
  <c i="1" r="Z37"/>
  <c i="1" r="Z51" s="1"/>
  <c i="1" r="X34"/>
  <c i="1" r="X48" s="1"/>
  <c i="1" r="AC38"/>
  <c i="1" r="AC52" s="1"/>
  <c i="1" r="X39"/>
  <c i="1" r="X53" s="1"/>
  <c i="1" r="AA37"/>
  <c i="1" r="AA51" s="1"/>
  <c i="1" r="AB37"/>
  <c i="1" r="AB51" s="1"/>
  <c i="1" r="AC37"/>
  <c i="1" r="AC51" s="1"/>
  <c i="1" r="Y38"/>
  <c i="1" r="Y52" s="1"/>
  <c i="1" r="AB38"/>
  <c i="1" r="AB52" s="1"/>
  <c i="1" r="Y39"/>
  <c i="1" r="Y53" s="1"/>
  <c i="1" r="AB34"/>
  <c i="1" r="AB48" s="1"/>
  <c i="1" r="X38"/>
  <c i="1" r="X52" s="1"/>
  <c i="1" r="Z38"/>
  <c i="1" r="Z52" s="1"/>
  <c i="1" r="AA38"/>
  <c i="1" r="AA52" s="1"/>
  <c i="1" r="X55"/>
  <c i="1" r="AC35"/>
  <c i="1" r="AC49" s="1"/>
  <c i="1" r="AB36"/>
  <c i="1" r="AB50" s="1"/>
  <c i="1" r="AC34"/>
  <c i="1" r="AC48" s="1"/>
  <c i="1" r="AB35"/>
  <c i="1" r="AB49" s="1"/>
  <c i="1" r="X37"/>
  <c i="1" r="X51" s="1"/>
  <c i="1" r="Y35"/>
  <c i="1" r="Y49" s="1"/>
  <c i="1" r="Z39"/>
  <c i="1" r="Z53" s="1"/>
  <c i="1" r="AC39"/>
  <c i="1" r="AC53" s="1"/>
  <c i="1" r="Z35"/>
  <c i="1" r="Z49" s="1"/>
  <c i="1" r="AA35"/>
  <c i="1" r="AA49" s="1"/>
  <c i="1" r="AA39"/>
  <c i="1" r="AA53" s="1"/>
  <c i="1" r="X35"/>
  <c i="1" r="X49" s="1"/>
  <c i="1" r="AB39"/>
  <c i="1" r="AB53" s="1"/>
  <c i="1" r="X36"/>
  <c i="1" r="X50" s="1"/>
  <c i="1" r="Y36"/>
  <c i="1" r="Y50" s="1"/>
  <c i="1" r="Z36"/>
  <c i="1" r="Z50" s="1"/>
  <c i="1" r="AE55"/>
  <c i="1" r="AA36"/>
  <c i="1" r="AA50" s="1"/>
  <c i="1" r="Y34"/>
  <c i="1" r="Y48" s="1"/>
  <c i="1" r="AC36"/>
  <c i="1" r="AC50" s="1"/>
  <c i="1" r="AE51"/>
  <c i="1" r="AE49"/>
  <c i="1" r="AE52"/>
  <c i="1" r="AE50"/>
  <c i="1" r="AE48"/>
  <c i="1" r="AE53"/>
  <c i="1" r="AB55"/>
  <c i="1" r="AC55"/>
  <c i="1" r="AA55"/>
  <c i="1" r="Y55"/>
  <c i="1" r="Z55"/>
  <c i="1" l="1" r="AF40"/>
  <c i="1" r="AF54" s="1"/>
  <c i="1" r="AD42"/>
  <c i="1" r="AD56" s="1"/>
  <c i="1" r="AF34"/>
  <c i="1" r="AF48" s="1"/>
  <c i="1" r="AA42"/>
  <c i="1" r="AA56" s="1"/>
  <c i="1" r="AE42"/>
  <c i="1" r="AE56" s="1"/>
  <c i="1" r="X42"/>
  <c i="1" r="X56" s="1"/>
  <c i="1" r="AF37"/>
  <c i="1" r="AF51" s="1"/>
  <c i="1" r="AF35"/>
  <c i="1" r="AF49" s="1"/>
  <c i="1" r="AF38"/>
  <c i="1" r="AF52" s="1"/>
  <c i="1" r="AF36"/>
  <c i="1" r="AF50" s="1"/>
  <c i="1" r="AB42"/>
  <c i="1" r="AB56" s="1"/>
  <c i="1" r="Y42"/>
  <c i="1" r="Y56" s="1"/>
  <c i="1" r="AF39"/>
  <c i="1" r="AF53" s="1"/>
  <c i="1" r="Z42"/>
  <c i="1" r="Z56" s="1"/>
  <c i="1" r="AF41"/>
  <c i="1" r="AF55" s="1"/>
  <c i="1" r="AC42"/>
  <c i="1" r="AC56" s="1"/>
  <c i="1" l="1" r="O37"/>
  <c i="1" r="R38"/>
  <c i="1" r="M34"/>
  <c i="1" r="P35"/>
  <c i="1" r="T34"/>
  <c i="1" r="N35"/>
  <c i="1" r="T38"/>
  <c i="1" r="Q37"/>
  <c i="1" r="T36"/>
  <c i="1" r="T37"/>
  <c i="1" r="R35"/>
  <c i="1" r="M36"/>
  <c i="1" r="O36"/>
  <c i="1" r="Q36"/>
  <c i="1" r="O39"/>
  <c i="1" r="M35"/>
  <c i="1" r="M37"/>
  <c i="1" r="R36"/>
  <c i="1" r="O35"/>
  <c i="1" r="R34"/>
  <c i="1" r="N37"/>
  <c i="1" r="R39"/>
  <c i="1" r="M38"/>
  <c i="1" r="Q34"/>
  <c i="1" r="O34"/>
  <c i="1" r="P34"/>
  <c i="1" r="T39"/>
  <c i="1" r="P39"/>
  <c i="1" r="N38"/>
  <c i="1" r="M39"/>
  <c i="1" r="R37"/>
  <c i="1" r="N36"/>
  <c i="1" r="P37"/>
  <c i="1" r="T35"/>
  <c i="1" r="N39"/>
  <c i="1" r="P36"/>
  <c i="1" r="N34"/>
  <c i="1" r="O38"/>
  <c i="1" r="Q35"/>
  <c i="1" r="P38"/>
  <c i="1" r="Q39"/>
  <c i="1" r="Q38"/>
  <c i="1" r="AF42"/>
  <c i="1" r="AF56" s="1"/>
  <c i="1" l="1" r="P42"/>
  <c i="1" r="U38"/>
  <c i="1" r="U35"/>
  <c i="1" r="U37"/>
  <c i="1" r="U41"/>
  <c i="1" r="U34"/>
  <c i="1" r="N42"/>
  <c i="1" r="U39"/>
  <c i="1" r="R42"/>
  <c i="1" r="T42"/>
  <c i="1" r="M42"/>
  <c i="1" r="Q42"/>
  <c i="1" r="U36"/>
  <c i="1" r="O42"/>
  <c i="1" l="1" r="U42"/>
</calcChain>
</file>

<file path=xl/sharedStrings.xml><?xml version="1.0" encoding="utf-8"?>
<sst xmlns="http://schemas.openxmlformats.org/spreadsheetml/2006/main" count="804" uniqueCount="286">
  <si>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</si>
  <si>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</si>
  <si>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</si>
  <si>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</si>
  <si>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</si>
  <si>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</si>
  <si>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</si>
  <si>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</si>
  <si>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</si>
  <si>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FT</t>
  </si>
  <si>
    <t>PT</t>
  </si>
  <si>
    <t>NotFTPT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</si>
  <si>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</si>
  <si>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</si>
  <si>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</si>
  <si>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</si>
  <si>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Table X. Estimated Worker Flows by County</t>
  </si>
  <si>
    <t>Outside</t>
  </si>
  <si>
    <t>We may want to scale the observed distribution(s), Depending on how well matches (or doesn't match) synthetic population</t>
  </si>
  <si>
    <t>Steps for generating distributions of commute time and distance</t>
  </si>
  <si>
    <t>PPTYP = 1</t>
  </si>
  <si>
    <t>PPTYP = 2</t>
  </si>
  <si>
    <t>PPTYP != 1 and PPTYP != 2</t>
  </si>
  <si>
    <t>Time (min)</t>
  </si>
  <si>
    <t>County-level Work at Home Shares</t>
  </si>
  <si>
    <t>Aggregate Trip Duration Frequency Distribution</t>
  </si>
  <si>
    <t>Table X. Observed Trip Durations: Census (ACS/2006-08)</t>
  </si>
  <si>
    <t>Less than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</si>
  <si>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</si>
  <si>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</si>
  <si>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</si>
  <si>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</si>
  <si>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</si>
  <si>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</si>
  <si>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</si>
  <si>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</si>
  <si>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59</t>
  </si>
  <si>
    <t>60 to 89</t>
  </si>
  <si>
    <t>90 or more</t>
  </si>
  <si>
    <t>A person is assumed to work from home if the HH coordinates are exactly the same as the usual workplace coordinates</t>
  </si>
  <si>
    <t>Table X. Estimated Work at Home Counts by County</t>
  </si>
  <si>
    <t>Table X. Estimated Counts by County</t>
  </si>
  <si>
    <t>Table X. Estimated Work at Home Shares by County</t>
  </si>
  <si>
    <t>Table X. Average Trip Duration</t>
  </si>
  <si>
    <t>Table X. Estimated Worker Flows by County: DaySim</t>
  </si>
  <si>
    <t>AM Auto skims (time and distance) were merged into person file using origin (HH) and destination (workplace) TAZ ids</t>
  </si>
  <si>
    <t>In case of DaySim, home and workplace parcel IDs were matched to filter out work at home cases</t>
  </si>
  <si>
    <t>Distributions of HH TAZ -to- Work TAZ distance and time were then derived from the population</t>
  </si>
  <si>
    <t>Steps for generating county worker flows</t>
  </si>
  <si>
    <t>Home and work county codes were merged using a correspondence between TAZs and counties</t>
  </si>
  <si>
    <t>A crosstabulation of home and work counties created the worker flow table</t>
  </si>
  <si>
    <t>Steps for generating work at home shares</t>
  </si>
  <si>
    <t>All persons for whom a non-zero usual workplace location was identified were designated as the pool of workers</t>
  </si>
  <si>
    <t>Full-time</t>
  </si>
  <si>
    <t>Part-time</t>
  </si>
  <si>
    <t>Not FT or PT, student workers</t>
  </si>
  <si>
    <t>The shares were calculated as the ratio of the values in steps 2 and 1 and were segmented by county and the three worker types</t>
  </si>
  <si>
    <t>Table X. Observed Worker Flows by County: Census (ACS/2006-08)</t>
  </si>
  <si>
    <t>Table X. Adjusted Worker Flows by County: Census (ACS/2006-08)</t>
  </si>
  <si>
    <t>WORKER FLOWS BY COUNTY: EST-OBS</t>
  </si>
  <si>
    <t>Table X. Difference Work at Home Counts by County</t>
  </si>
  <si>
    <t>Table X. Difference Counts by County</t>
  </si>
  <si>
    <t>Table X. Difference Work at Home Shares by County</t>
  </si>
  <si>
    <t>Table X. Weighted Work at Home Counts by County: CTPP</t>
  </si>
  <si>
    <t>Table X. Weighted Counts by County: CTPP</t>
  </si>
  <si>
    <t>Table X. Weighted Work at Home Shares by County: CTPP</t>
  </si>
  <si>
    <t>Beta00001</t>
  </si>
  <si>
    <t>T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</si>
  <si>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</si>
  <si>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</si>
  <si>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</si>
  <si>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</si>
  <si>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</si>
  <si>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</si>
  <si>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</si>
  <si>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</si>
  <si>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</si>
  <si>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</si>
  <si>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</si>
  <si>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</si>
  <si>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</si>
  <si>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</si>
  <si>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</si>
  <si>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</si>
  <si>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</si>
  <si>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</si>
  <si>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</si>
  <si>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</si>
  <si>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Beta00022</t>
  </si>
  <si>
    <t>Beta00023</t>
  </si>
  <si>
    <t>Beta00024</t>
  </si>
  <si>
    <t>Beta00025</t>
  </si>
  <si>
    <t>Beta00026</t>
  </si>
  <si>
    <t>Beta00027</t>
  </si>
  <si>
    <t>Beta00028</t>
  </si>
  <si>
    <t>Beta00029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</si>
  <si>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</si>
  <si>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</si>
  <si>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</si>
  <si>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</si>
  <si>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</si>
  <si>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</si>
  <si>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</si>
  <si>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Beta00041</t>
  </si>
  <si>
    <t>F</t>
  </si>
  <si>
    <t>Beta00042</t>
  </si>
  <si>
    <t>Beta00043</t>
  </si>
  <si>
    <t>Beta00044</t>
  </si>
  <si>
    <t>LSM_050</t>
  </si>
  <si>
    <t>Gamma51</t>
  </si>
  <si>
    <t>Gamma52</t>
  </si>
  <si>
    <t>Gamma53</t>
  </si>
  <si>
    <t>Gamma54</t>
  </si>
  <si>
    <t>Gamma55</t>
  </si>
  <si>
    <t>Gamma56</t>
  </si>
  <si>
    <t>Gamma57</t>
  </si>
  <si>
    <t>Gamma58</t>
  </si>
  <si>
    <t>Gamma59</t>
  </si>
  <si>
    <t>Gamma60</t>
  </si>
  <si>
    <t>Gamma61</t>
  </si>
  <si>
    <t>Gamma62</t>
  </si>
  <si>
    <t>Gamma63</t>
  </si>
  <si>
    <t>Gamma64</t>
  </si>
  <si>
    <t>Gamma65</t>
  </si>
  <si>
    <t>Gamma66</t>
  </si>
  <si>
    <t>Gamma67</t>
  </si>
  <si>
    <t>Gamma68</t>
  </si>
  <si>
    <t>Gamma69</t>
  </si>
  <si>
    <t>Gamma70</t>
  </si>
  <si>
    <t>Gamma71</t>
  </si>
  <si>
    <t>Gamma72</t>
  </si>
  <si>
    <t>Gamma73</t>
  </si>
  <si>
    <t>Gamma74</t>
  </si>
  <si>
    <t>Gamma75</t>
  </si>
  <si>
    <t>Gamma76</t>
  </si>
  <si>
    <t>Gamma77</t>
  </si>
  <si>
    <t>Gamma78</t>
  </si>
  <si>
    <t>Gamma79</t>
  </si>
  <si>
    <t>Gamma80</t>
  </si>
  <si>
    <t>Gamma90</t>
  </si>
  <si>
    <t>Nest</t>
  </si>
  <si>
    <t>Index</t>
  </si>
  <si>
    <t>Name</t>
  </si>
  <si>
    <t>Descr</t>
  </si>
  <si>
    <t>IsPartTimeWorker* workTourLogsum</t>
  </si>
  <si>
    <t>IsFullTimeWorker*workTourLogsum</t>
  </si>
  <si>
    <t>distanceLog</t>
  </si>
  <si>
    <t>parcelParkingDensity</t>
  </si>
  <si>
    <t>c34Ratio</t>
  </si>
  <si>
    <t>destinationParcel.ShadowPriceForEmployment</t>
  </si>
  <si>
    <t>IsNotFullOrPartTimeWorker * workTourLogsum</t>
  </si>
  <si>
    <t>IsFulltimeWorker * distance1</t>
  </si>
  <si>
    <t>IsFulltimeWorker * distance2</t>
  </si>
  <si>
    <t>IsFulltimeWorker * distance3</t>
  </si>
  <si>
    <t>IsPartTimeWorker * distanceLog</t>
  </si>
  <si>
    <t>IsNotFullOrPartTimeWorker * distanceLog</t>
  </si>
  <si>
    <t>Household.Has0To15KIncome * distanceLog</t>
  </si>
  <si>
    <t>Household.Has50To75KIncome * distanceLog</t>
  </si>
  <si>
    <t>Household.Has75To100KIncome * distanceLog</t>
  </si>
  <si>
    <t>IsFemale * distanceLog</t>
  </si>
  <si>
    <t>IsStudentAge * distanceFromSchool</t>
  </si>
  <si>
    <t>IsFulltimeWorker * aggregateLogsum</t>
  </si>
  <si>
    <t>IsPartTimeWorker * aggregateLogsum</t>
  </si>
  <si>
    <t>IsNotFullOrPartTimeWorker * aggregateLogsum</t>
  </si>
  <si>
    <t>Household.HasValidIncome * studentsUniversityBuffer</t>
  </si>
  <si>
    <t>Household.HasValidIncome * destinationParcel.EmploymentService</t>
  </si>
  <si>
    <t>Household.HasValidIncome * destinationParcel.EmploymentEducation</t>
  </si>
  <si>
    <t>Household.HasValidIncome * destinationParcel.EmploymentFood</t>
  </si>
  <si>
    <t>Household.HasValidIncome * destinationParcel.EmploymentGovernment</t>
  </si>
  <si>
    <t>Household.HasValidIncome * destinationParcel.EmploymentOffice</t>
  </si>
  <si>
    <t>Household.HasValidIncome * destinationParcel.EmploymentRetail</t>
  </si>
  <si>
    <t>Household.HasValidIncome * destinationParcel.EmploymentMedical</t>
  </si>
  <si>
    <t>Household.HasValidIncome * employmentIndustrialAgricultureConstruction</t>
  </si>
  <si>
    <t>Household.HasValidIncome * destinationParcel.StudentsUniversity</t>
  </si>
  <si>
    <t>Household.HasIncomeUnder50K * destinationParcel.EmploymentRetail</t>
  </si>
  <si>
    <t>Household.HasIncomeUnder50K * destinationParcel.EmploymentService</t>
  </si>
  <si>
    <t>Household.Has50To75KIncome * destinationParcel.EmploymentMedical</t>
  </si>
  <si>
    <t>Household.Has50To75KIncome * destinationParcel.EmploymentOffice</t>
  </si>
  <si>
    <t>Household.Has75KPlusIncome * destinationParcel.EmploymentEducation</t>
  </si>
  <si>
    <t>Household.Has75KPlusIncome * destinationParcel.EmploymentGovernment</t>
  </si>
  <si>
    <t>Household.Has75KPlusIncome * destinationParcel.EmploymentMedical</t>
  </si>
  <si>
    <t>Household.Has75KPlusIncome * destinationParcel.EmploymentOffice</t>
  </si>
  <si>
    <t>Household.HasMissingIncome * destinationParcel.EmploymentTotal</t>
  </si>
  <si>
    <t>Household.HasMissingIncome * destinationParcel.StudentsUniversity</t>
  </si>
  <si>
    <t>Household.HasValidIncome *IsFulltimeWorker * studentsK12Buffer</t>
  </si>
  <si>
    <t>Household.HasValidIncome *IsFulltimeWorker * studentsUniversityBuffer</t>
  </si>
  <si>
    <t>Household.HasValidIncome *IsPartTimeWorker * industrialAgricultureConstructionBuffer</t>
  </si>
  <si>
    <t>Household.HasValidIncome *IsNotFullOrPartTimeWorker * foodBuffer</t>
  </si>
  <si>
    <t>Household.HasValidIncome *IsNotFullOrPartTimeWorker * medicalBuffer</t>
  </si>
  <si>
    <t>IsFulltimeWorker *Household.Has75KPlusIncome * employmentTotalBuffer</t>
  </si>
  <si>
    <t>IsNotFullOrPartTimeWorker *Household.HasIncomeUnder50K * governmentBuffer</t>
  </si>
  <si>
    <t>IsNotFullOrPartTimeWorker *Household.HasIncomeUnder50K * employmentTotalBuffer</t>
  </si>
  <si>
    <t>Household.HasValidIncome *IsFulltimeWorker * destinationParcel.EmploymentGovernment</t>
  </si>
  <si>
    <t>Household.HasValidIncome *IsFulltimeWorker * employmentIndustrialAgricultureConstruction</t>
  </si>
  <si>
    <t>Household.HasValidIncome *IsPartTimeWorker * employmentIndustrialAgricultureConstruction</t>
  </si>
  <si>
    <t>Household.HasValidIncome *IsNotFullOrPartTimeWorker * destinationParcel.EmploymentEducation</t>
  </si>
  <si>
    <t>Household.HasValidIncome *IsNotFullOrPartTimeWorker * destinationParcel.EmploymentFood</t>
  </si>
  <si>
    <t>Household.HasValidIncome *IsNotFullOrPartTimeWorker * destinationParcel.EmploymentRetail</t>
  </si>
  <si>
    <t>IsFulltimeWorker *Household.Has75KPlusIncome * destinationParcel.EmploymentGovernment</t>
  </si>
  <si>
    <t>IsFulltimeWorker) *Household.Has75KPlusIncome * destinationParcel.EmploymentOffice</t>
  </si>
  <si>
    <t>Household.HasValidIncome * serviceBuffer</t>
  </si>
  <si>
    <t>Household.HasValidIncome * educationBuffer</t>
  </si>
  <si>
    <t>Household.HasValidIncome * foodBuffer</t>
  </si>
  <si>
    <t>Household.HasValidIncome * governmentBuffer</t>
  </si>
  <si>
    <t>Household.HasValidIncome * officeBuffer</t>
  </si>
  <si>
    <t>Household.HasValidIncome * medicalBuffer</t>
  </si>
  <si>
    <t>IsFulltimeWorker * (Household.Has75KPlusIncome) * employmentIndustrialAgricultureConstruction</t>
  </si>
  <si>
    <t>IsPartTimeWorker * (Household.HasIncomeUnder50K) * destinationParcel.EmploymentMedical</t>
  </si>
  <si>
    <t>IsNotFullOrPartTimeWorker * (Household.HasIncomeUnder50K) * destinationParcel.EmploymentRetail</t>
  </si>
  <si>
    <t>Household.HasValidIncome * householdsBuffer</t>
  </si>
  <si>
    <t>IsPartTimeWorker</t>
  </si>
  <si>
    <t>IsStudentAge</t>
  </si>
  <si>
    <t>IsFemale</t>
  </si>
  <si>
    <t>Survey</t>
  </si>
  <si>
    <t>Table X. Observed Worker Flows by County: Survey</t>
  </si>
  <si>
    <t>Table X. Observed Trip Durations: Survey</t>
  </si>
  <si>
    <t>Table X. Weighted Work at Home Counts by County: Survey</t>
  </si>
  <si>
    <t>Table X. Weighted Counts by County: Survey</t>
  </si>
  <si>
    <t>Table X. Weighted Work at Home Shares by County: Survey</t>
  </si>
  <si>
    <t>Table X. Observed Trip Lengths: Survey</t>
  </si>
  <si>
    <t>Survey Preparation</t>
  </si>
  <si>
    <t>In Survey data, persons whose home coordinates matched their usual workplace coordinates were filtered out since this would mean they usually work at home</t>
  </si>
  <si>
    <t>In Survey, PPTYP was used to determine the class of worker whereas in DaySim, PERSTYPE was used</t>
  </si>
  <si>
    <t>Within those, persons with same home and workplace coordinates/parcels (for Survey and DaySim respectively) were assumed to be working at home</t>
  </si>
  <si>
    <t>1 (work from home)</t>
  </si>
  <si>
    <t>0-3.5</t>
  </si>
  <si>
    <t>3.5-10</t>
  </si>
  <si>
    <t>&gt;= 10</t>
  </si>
  <si>
    <t>WFH</t>
  </si>
  <si>
    <t>TOTAL</t>
  </si>
  <si>
    <t>Model</t>
  </si>
  <si>
    <t>Count</t>
  </si>
  <si>
    <t>Ratio (FT)</t>
  </si>
  <si>
    <t>Adj.</t>
  </si>
  <si>
    <t>Old Coeff.</t>
  </si>
  <si>
    <t>New Coeff.</t>
  </si>
  <si>
    <t>Adjustments</t>
  </si>
  <si>
    <t>WorkLocationCoefficients_SACOG-v1.5.F12</t>
  </si>
  <si>
    <t>CoeffIndex</t>
  </si>
  <si>
    <t>Tour</t>
  </si>
  <si>
    <t>Destination</t>
  </si>
  <si>
    <t>Created</t>
  </si>
  <si>
    <t>by</t>
  </si>
  <si>
    <t>ALOGIT</t>
  </si>
  <si>
    <t>version</t>
  </si>
  <si>
    <t>on</t>
  </si>
  <si>
    <t>END</t>
  </si>
  <si>
    <t>Instructions:</t>
  </si>
  <si>
    <t>Open "WorkLocationCoefficients_SACOG-v1.5.F12" ini Notepad+</t>
  </si>
  <si>
    <t>Select all(ctrl+A)</t>
  </si>
  <si>
    <t>Go to "Data" --&gt;Text to Columns - Select "Delimited" ---&gt; "Space" ---&gt; Finish</t>
  </si>
  <si>
    <t>Paste in cell A8</t>
  </si>
  <si>
    <t>Old</t>
  </si>
  <si>
    <t>New</t>
  </si>
  <si>
    <t>By: nagendra.dhakar@rsginc.com</t>
  </si>
  <si>
    <t>Copy cells W3:W100</t>
  </si>
  <si>
    <t>Paste in the "WorkLocationCoefficients_SACOG-v1.5.F12"</t>
  </si>
  <si>
    <t>Observed distance (in miles) based on joining AM peak SOV skim values to HH survey</t>
  </si>
  <si>
    <t>Work From Home</t>
  </si>
  <si>
    <t>(SACOG2000</t>
  </si>
  <si>
    <t>MNL</t>
  </si>
  <si>
    <t>v2203</t>
  </si>
  <si>
    <t>and</t>
  </si>
  <si>
    <t>NL</t>
  </si>
  <si>
    <t>v2301)</t>
  </si>
  <si>
    <t>Apr</t>
  </si>
  <si>
    <t>016:16:55</t>
  </si>
  <si>
    <t>Share</t>
  </si>
  <si>
    <t>All Workers</t>
  </si>
  <si>
    <t>Calibration:</t>
  </si>
  <si>
    <t>Calibrate work at home shares first</t>
  </si>
  <si>
    <t>Then distance segmented coefficients</t>
  </si>
  <si>
    <t>out-of-region</t>
  </si>
  <si>
    <t>Observed Sources: Survey</t>
  </si>
  <si>
    <t>Observed duration (in minutes) based on joining  AM peak SOV skim values to HH survey</t>
  </si>
  <si>
    <t xml:space="preserve">Observed Sources: Survey </t>
  </si>
  <si>
    <t>Observed duration (in minutes) based on joining AM peak SOV skim values to HH survey</t>
  </si>
  <si>
    <t>BKRCast (LODES)</t>
  </si>
  <si>
    <t>Table X. Average Trip Length (miles)</t>
  </si>
  <si>
    <t>Seattle</t>
  </si>
  <si>
    <t>Bellevue</t>
  </si>
  <si>
    <t>Bellevue Downtown</t>
  </si>
  <si>
    <t>Kirkland</t>
  </si>
  <si>
    <t>Redmond</t>
  </si>
  <si>
    <t>Seattle Downtown</t>
  </si>
  <si>
    <t>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</si>
</sst>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_(* #,##0_);_(* \(#,##0\);_(* &quot;-&quot;??_);_(@_)"/>
    <numFmt numFmtId="168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9">
    <xf borderId="0" fillId="0" fontId="0" numFmtId="0"/>
    <xf borderId="0" fillId="0" fontId="2" numFmtId="0">
      <alignment wrapText="1"/>
    </xf>
    <xf borderId="0" fillId="3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94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3" fillId="0" fontId="0" numFmtId="0" xfId="0"/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" xfId="0"/>
    <xf applyBorder="1" applyNumberFormat="1" borderId="1" fillId="0" fontId="0" numFmtId="1" xfId="0"/>
    <xf applyBorder="1" applyNumberFormat="1" borderId="3" fillId="0" fontId="0" numFmtId="2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Fill="1" applyNumberFormat="1" borderId="3" fillId="0" fontId="0" numFmtId="3" xfId="0"/>
    <xf applyBorder="1" applyNumberFormat="1" borderId="1" fillId="0" fontId="0" numFmtId="3" xfId="0"/>
    <xf applyAlignment="1" applyBorder="1" applyFill="1" borderId="0" fillId="0" fontId="0" numFmtId="0" xfId="0">
      <alignment horizontal="center"/>
    </xf>
    <xf applyBorder="1" applyFill="1" applyNumberFormat="1" borderId="0" fillId="0" fontId="0" numFmtId="3" xfId="0"/>
    <xf applyBorder="1" applyFont="1" applyNumberFormat="1" borderId="1" fillId="0" fontId="1" numFmtId="3" xfId="0"/>
    <xf applyAlignment="1" applyBorder="1" applyNumberFormat="1" borderId="2" fillId="0" fontId="0" numFmtId="3" xfId="0">
      <alignment horizontal="center"/>
    </xf>
    <xf applyBorder="1" applyNumberFormat="1" borderId="2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Border="1" applyFont="1" borderId="0" fillId="0" fontId="1" numFmtId="0" xfId="0"/>
    <xf applyBorder="1" applyFill="1" applyFont="1" borderId="1" fillId="2" fontId="1" numFmtId="0" xfId="0"/>
    <xf applyBorder="1" applyFill="1" borderId="1" fillId="2" fontId="0" numFmtId="0" xfId="0"/>
    <xf applyBorder="1" applyFill="1" borderId="2" fillId="2" fontId="0" numFmtId="0" xfId="0"/>
    <xf applyFill="1" borderId="0" fillId="2" fontId="0" numFmtId="0" xfId="0"/>
    <xf applyFill="1" applyNumberFormat="1" borderId="0" fillId="2" fontId="0" numFmtId="164" xfId="0"/>
    <xf applyBorder="1" applyFill="1" borderId="3" fillId="2" fontId="0" numFmtId="0" xfId="0"/>
    <xf applyBorder="1" applyFill="1" applyNumberFormat="1" borderId="1" fillId="2" fontId="0" numFmtId="164" xfId="0"/>
    <xf applyFill="1" applyFont="1" borderId="0" fillId="2" fontId="1" numFmtId="0" xfId="0"/>
    <xf applyAlignment="1" applyBorder="1" applyFill="1" borderId="2" fillId="2" fontId="0" numFmtId="0" xfId="0">
      <alignment horizontal="center" vertical="top"/>
    </xf>
    <xf applyAlignment="1" applyBorder="1" applyFill="1" borderId="2" fillId="2" fontId="0" numFmtId="0" xfId="0">
      <alignment horizontal="center"/>
    </xf>
    <xf applyBorder="1" applyFill="1" applyNumberFormat="1" borderId="3" fillId="2" fontId="0" numFmtId="164" xfId="0"/>
    <xf applyBorder="1" applyNumberFormat="1" borderId="0" fillId="0" fontId="0" numFmtId="164" xfId="0"/>
    <xf applyFont="1" borderId="0" fillId="0" fontId="4" numFmtId="0" xfId="0"/>
    <xf applyBorder="1" applyFill="1" applyNumberFormat="1" borderId="4" fillId="2" fontId="0" numFmtId="164" xfId="0"/>
    <xf applyBorder="1" applyFill="1" borderId="0" fillId="0" fontId="0" numFmtId="0" xfId="0"/>
    <xf applyBorder="1" borderId="4" fillId="0" fontId="0" numFmtId="0" xfId="0"/>
    <xf applyBorder="1" applyNumberFormat="1" borderId="4" fillId="0" fontId="0" numFmtId="164" xfId="0"/>
    <xf applyNumberFormat="1" borderId="0" fillId="0" fontId="0" numFmtId="11" xfId="0"/>
    <xf applyAlignment="1" borderId="0" fillId="0" fontId="0" numFmtId="0" xfId="0">
      <alignment horizontal="left"/>
    </xf>
    <xf applyFont="1" applyNumberFormat="1" borderId="0" fillId="0" fontId="0" numFmtId="3" xfId="0"/>
    <xf applyFont="1" borderId="0" fillId="0" fontId="5" numFmtId="0" xfId="0"/>
    <xf applyAlignment="1" applyFont="1" borderId="0" fillId="0" fontId="1" numFmtId="0" xfId="0">
      <alignment horizontal="center" vertical="center"/>
    </xf>
    <xf applyAlignment="1" applyFont="1" borderId="0" fillId="0" fontId="1" numFmtId="0" xfId="0">
      <alignment horizontal="center"/>
    </xf>
    <xf applyNumberFormat="1" borderId="0" fillId="0" fontId="0" numFmtId="21" xfId="0"/>
    <xf applyFill="1" borderId="0" fillId="5" fontId="0" numFmtId="0" xfId="0"/>
    <xf applyNumberFormat="1" borderId="0" fillId="0" fontId="0" numFmtId="166" xfId="0"/>
    <xf applyFill="1" applyNumberFormat="1" borderId="0" fillId="5" fontId="0" numFmtId="166" xfId="0"/>
    <xf applyFill="1" applyNumberFormat="1" borderId="0" fillId="4" fontId="0" numFmtId="166" xfId="0"/>
    <xf applyBorder="1" applyFill="1" applyNumberFormat="1" borderId="3" fillId="4" fontId="0" numFmtId="166" xfId="0"/>
    <xf applyBorder="1" applyFill="1" applyNumberFormat="1" borderId="3" fillId="5" fontId="0" numFmtId="166" xfId="0"/>
    <xf applyFill="1" applyNumberFormat="1" borderId="0" fillId="6" fontId="0" numFmtId="166" xfId="0"/>
    <xf applyAlignment="1" applyFont="1" borderId="0" fillId="0" fontId="1" numFmtId="0" xfId="0">
      <alignment horizontal="right"/>
    </xf>
    <xf applyBorder="1" applyFill="1" applyFont="1" applyNumberFormat="1" borderId="0" fillId="0" fontId="5" numFmtId="3" xfId="0"/>
    <xf applyBorder="1" applyFill="1" applyFont="1" applyNumberFormat="1" borderId="0" fillId="0" fontId="0" numFmtId="3" xfId="0"/>
    <xf applyBorder="1" applyFill="1" applyNumberFormat="1" borderId="0" fillId="0" fontId="0" numFmtId="9" xfId="0"/>
    <xf applyBorder="1" applyFill="1" applyNumberFormat="1" borderId="0" fillId="0" fontId="0" numFmtId="166" xfId="0"/>
    <xf applyBorder="1" applyFill="1" applyNumberFormat="1" borderId="0" fillId="0" fontId="0" numFmtId="2" xfId="0"/>
    <xf applyBorder="1" applyFont="1" applyNumberFormat="1" borderId="3" fillId="0" fontId="0" numFmtId="3" xfId="0"/>
    <xf applyBorder="1" applyFont="1" applyNumberFormat="1" borderId="5" fillId="0" fontId="0" numFmtId="3" xfId="0"/>
    <xf applyBorder="1" applyFill="1" applyFont="1" applyNumberFormat="1" borderId="4" fillId="0" fontId="0" numFmtId="3" xfId="0"/>
    <xf applyNumberFormat="1" borderId="0" fillId="0" fontId="0" numFmtId="9" xfId="0"/>
    <xf applyBorder="1" applyNumberFormat="1" borderId="4" fillId="0" fontId="0" numFmtId="9" xfId="0"/>
    <xf applyAlignment="1" applyBorder="1" borderId="0" fillId="0" fontId="0" numFmtId="0" xfId="0">
      <alignment horizontal="center" vertical="top"/>
    </xf>
    <xf applyBorder="1" applyFill="1" applyFont="1" borderId="0" fillId="0" fontId="1" numFmtId="0" xfId="0"/>
    <xf applyAlignment="1" applyBorder="1" applyFill="1" borderId="0" fillId="0" fontId="0" numFmtId="0" xfId="0">
      <alignment horizontal="center" vertical="top"/>
    </xf>
    <xf applyBorder="1" applyNumberFormat="1" borderId="0" fillId="0" fontId="0" numFmtId="1" xfId="0"/>
    <xf applyBorder="1" applyFill="1" applyNumberFormat="1" borderId="4" fillId="0" fontId="0" numFmtId="9" xfId="0"/>
    <xf applyBorder="1" applyNumberFormat="1" borderId="5" fillId="0" fontId="0" numFmtId="10" xfId="0"/>
    <xf applyNumberFormat="1" borderId="0" fillId="0" fontId="0" numFmtId="10" xfId="0"/>
    <xf applyFont="1" applyNumberFormat="1" borderId="0" fillId="0" fontId="0" numFmtId="167" xfId="8"/>
    <xf applyBorder="1" applyFont="1" applyNumberFormat="1" borderId="1" fillId="0" fontId="0" numFmtId="167" xfId="8"/>
    <xf applyBorder="1" applyFont="1" applyNumberFormat="1" borderId="3" fillId="0" fontId="0" numFmtId="167" xfId="8"/>
    <xf applyBorder="1" applyFill="1" applyFont="1" applyNumberFormat="1" borderId="4" fillId="0" fontId="0" numFmtId="167" xfId="8"/>
    <xf applyNumberFormat="1" borderId="0" fillId="0" fontId="0" numFmtId="168" xfId="0"/>
    <xf applyBorder="1" applyNumberFormat="1" borderId="3" fillId="0" fontId="0" numFmtId="168" xfId="0"/>
    <xf applyBorder="1" applyNumberFormat="1" borderId="4" fillId="0" fontId="0" numFmtId="168" xfId="0"/>
    <xf applyFill="1" applyNumberFormat="1" borderId="0" fillId="2" fontId="0" numFmtId="168" xfId="0"/>
    <xf applyBorder="1" applyFill="1" applyNumberFormat="1" borderId="3" fillId="2" fontId="0" numFmtId="168" xfId="0"/>
    <xf applyBorder="1" applyFill="1" applyNumberFormat="1" borderId="1" fillId="2" fontId="0" numFmtId="168" xfId="0"/>
    <xf applyAlignment="1" applyFont="1" applyNumberFormat="1" borderId="0" fillId="0" fontId="2" numFmtId="167" xfId="8"/>
    <xf applyAlignment="1" applyBorder="1" applyFont="1" applyNumberFormat="1" borderId="1" fillId="0" fontId="2" numFmtId="167" xfId="8"/>
    <xf applyBorder="1" applyFont="1" applyNumberFormat="1" borderId="5" fillId="0" fontId="0" numFmtId="167" xfId="8"/>
    <xf applyBorder="1" applyFont="1" borderId="3" fillId="0" fontId="4" numFmtId="0" xfId="0"/>
    <xf applyBorder="1" applyFont="1" borderId="6" fillId="0" fontId="4" numFmtId="0" xfId="0"/>
    <xf applyBorder="1" applyFont="1" borderId="0" fillId="0" fontId="4" numFmtId="0" xfId="0"/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theme/theme1.xml" Type="http://schemas.openxmlformats.org/officeDocument/2006/relationships/theme"/>
<Relationship Id="rId11" Target="styles.xml" Type="http://schemas.openxmlformats.org/officeDocument/2006/relationships/styles"/>
<Relationship Id="rId12" Target="sharedStrings.xml" Type="http://schemas.openxmlformats.org/officeDocument/2006/relationships/sharedStrings"/>
<Relationship Id="rId13" Target="calcChain.xml" Type="http://schemas.openxmlformats.org/officeDocument/2006/relationships/calcChain"/>
<Relationship Id="rId14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TLFD!$E$11:$E$100</c:f>
              <c:numCache>
                <c:formatCode>_(* #,##0_);_(* \(#,##0\);_(* "-"??_);_(@_)</c:formatCode>
                <c:ptCount val="90"/>
                <c:pt idx="0">
                  <c:v>10179.459699999999</c:v>
                </c:pt>
                <c:pt idx="1">
                  <c:v>11155.687699999999</c:v>
                </c:pt>
                <c:pt idx="2">
                  <c:v>27580.548599999998</c:v>
                </c:pt>
                <c:pt idx="3">
                  <c:v>52808.231299999999</c:v>
                </c:pt>
                <c:pt idx="4">
                  <c:v>131927.5913</c:v>
                </c:pt>
                <c:pt idx="5">
                  <c:v>118373.44869999999</c:v>
                </c:pt>
                <c:pt idx="6">
                  <c:v>118299.9415</c:v>
                </c:pt>
                <c:pt idx="7">
                  <c:v>75074.550600000002</c:v>
                </c:pt>
                <c:pt idx="8">
                  <c:v>85506.396800000002</c:v>
                </c:pt>
                <c:pt idx="9">
                  <c:v>57668.796500000004</c:v>
                </c:pt>
                <c:pt idx="10">
                  <c:v>91429.942599999995</c:v>
                </c:pt>
                <c:pt idx="11">
                  <c:v>44561.094700000001</c:v>
                </c:pt>
                <c:pt idx="12">
                  <c:v>39644.542500000003</c:v>
                </c:pt>
                <c:pt idx="13">
                  <c:v>44165.1708</c:v>
                </c:pt>
                <c:pt idx="14">
                  <c:v>24901.295900000001</c:v>
                </c:pt>
                <c:pt idx="15">
                  <c:v>49786.295299999998</c:v>
                </c:pt>
                <c:pt idx="16">
                  <c:v>53682.153200000001</c:v>
                </c:pt>
                <c:pt idx="17">
                  <c:v>42475.804999999993</c:v>
                </c:pt>
                <c:pt idx="18">
                  <c:v>41794.959799999997</c:v>
                </c:pt>
                <c:pt idx="19">
                  <c:v>24897.054</c:v>
                </c:pt>
                <c:pt idx="20">
                  <c:v>20876.7019</c:v>
                </c:pt>
                <c:pt idx="21">
                  <c:v>24141.9084</c:v>
                </c:pt>
                <c:pt idx="22">
                  <c:v>17414.849699999999</c:v>
                </c:pt>
                <c:pt idx="23">
                  <c:v>24067.090500000002</c:v>
                </c:pt>
                <c:pt idx="24">
                  <c:v>15760.7952</c:v>
                </c:pt>
                <c:pt idx="25">
                  <c:v>19084.913700000001</c:v>
                </c:pt>
                <c:pt idx="26">
                  <c:v>16777.679500000002</c:v>
                </c:pt>
                <c:pt idx="27">
                  <c:v>11970.885800000002</c:v>
                </c:pt>
                <c:pt idx="28">
                  <c:v>9264.1865999999991</c:v>
                </c:pt>
                <c:pt idx="29">
                  <c:v>4860.6378999999997</c:v>
                </c:pt>
                <c:pt idx="30">
                  <c:v>5820.8723</c:v>
                </c:pt>
                <c:pt idx="31">
                  <c:v>8317.1468000000004</c:v>
                </c:pt>
                <c:pt idx="32">
                  <c:v>2364.3303000000001</c:v>
                </c:pt>
                <c:pt idx="33">
                  <c:v>4488.1894999999995</c:v>
                </c:pt>
                <c:pt idx="34">
                  <c:v>9138.4742999999999</c:v>
                </c:pt>
                <c:pt idx="35">
                  <c:v>2900.4254000000001</c:v>
                </c:pt>
                <c:pt idx="36">
                  <c:v>10480.518099999999</c:v>
                </c:pt>
                <c:pt idx="37">
                  <c:v>4184.4274999999998</c:v>
                </c:pt>
                <c:pt idx="38">
                  <c:v>6618.1257999999998</c:v>
                </c:pt>
                <c:pt idx="39">
                  <c:v>5211.9375</c:v>
                </c:pt>
                <c:pt idx="40">
                  <c:v>4615.0740999999998</c:v>
                </c:pt>
                <c:pt idx="41">
                  <c:v>1991.6425999999999</c:v>
                </c:pt>
                <c:pt idx="42">
                  <c:v>820.25800000000004</c:v>
                </c:pt>
                <c:pt idx="43">
                  <c:v>778.78070000000002</c:v>
                </c:pt>
                <c:pt idx="44">
                  <c:v>1850.674</c:v>
                </c:pt>
                <c:pt idx="45">
                  <c:v>1873.7078999999999</c:v>
                </c:pt>
                <c:pt idx="46">
                  <c:v>1525.5855000000001</c:v>
                </c:pt>
                <c:pt idx="47">
                  <c:v>3335.2665999999999</c:v>
                </c:pt>
                <c:pt idx="48">
                  <c:v>2448.1536000000001</c:v>
                </c:pt>
                <c:pt idx="49">
                  <c:v>1198.4344999999998</c:v>
                </c:pt>
                <c:pt idx="50">
                  <c:v>909.77930000000003</c:v>
                </c:pt>
                <c:pt idx="51">
                  <c:v>438.93169999999998</c:v>
                </c:pt>
                <c:pt idx="52">
                  <c:v>1607.8973000000001</c:v>
                </c:pt>
                <c:pt idx="53">
                  <c:v>309.57670000000002</c:v>
                </c:pt>
                <c:pt idx="54">
                  <c:v>783.23289999999997</c:v>
                </c:pt>
                <c:pt idx="55">
                  <c:v>408.2697</c:v>
                </c:pt>
                <c:pt idx="56">
                  <c:v>0</c:v>
                </c:pt>
                <c:pt idx="57">
                  <c:v>203.33840000000001</c:v>
                </c:pt>
                <c:pt idx="58">
                  <c:v>0</c:v>
                </c:pt>
                <c:pt idx="59">
                  <c:v>0</c:v>
                </c:pt>
                <c:pt idx="60">
                  <c:v>657.8338</c:v>
                </c:pt>
                <c:pt idx="61">
                  <c:v>99.508899999999997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249.5401</c:v>
                </c:pt>
                <c:pt idx="66">
                  <c:v>0</c:v>
                </c:pt>
                <c:pt idx="67">
                  <c:v>86.093599999999995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173.22970000000001</c:v>
                </c:pt>
                <c:pt idx="72">
                  <c:v>0</c:v>
                </c:pt>
                <c:pt idx="73">
                  <c:v>0</c:v>
                </c:pt>
                <c:pt idx="74">
                  <c:v>409.13839999999999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212.667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390.53229999999996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B8-4FCD-AB4D-9E8925E7D495}"/>
            </c:ext>
          </c:extLst>
        </c:ser>
        <c:ser>
          <c:idx val="1"/>
          <c:order val="1"/>
          <c:tx>
            <c:strRef>
              <c:f>TLFD!$K$10</c:f>
              <c:strCache>
                <c:ptCount val="1"/>
                <c:pt idx="0">
                  <c:v>BKRCast (LODES)</c:v>
                </c:pt>
              </c:strCache>
            </c:strRef>
          </c:tx>
          <c:marker>
            <c:symbol val="none"/>
          </c:marker>
          <c:val>
            <c:numRef>
              <c:f>TLFD!$K$11:$K$100</c:f>
              <c:numCache>
                <c:formatCode>_(* #,##0_);_(* \(#,##0\);_(* "-"??_);_(@_)</c:formatCode>
                <c:ptCount val="90"/>
                <c:pt idx="0">
                  <c:v>138535</c:v>
                </c:pt>
                <c:pt idx="1">
                  <c:v>73433</c:v>
                </c:pt>
                <c:pt idx="2">
                  <c:v>39896</c:v>
                </c:pt>
                <c:pt idx="3">
                  <c:v>24760</c:v>
                </c:pt>
                <c:pt idx="4">
                  <c:v>107488</c:v>
                </c:pt>
                <c:pt idx="5">
                  <c:v>99019</c:v>
                </c:pt>
                <c:pt idx="6">
                  <c:v>107718</c:v>
                </c:pt>
                <c:pt idx="7">
                  <c:v>75089</c:v>
                </c:pt>
                <c:pt idx="8">
                  <c:v>89112</c:v>
                </c:pt>
                <c:pt idx="9">
                  <c:v>71241</c:v>
                </c:pt>
                <c:pt idx="10">
                  <c:v>50453</c:v>
                </c:pt>
                <c:pt idx="11">
                  <c:v>48135</c:v>
                </c:pt>
                <c:pt idx="12">
                  <c:v>55925</c:v>
                </c:pt>
                <c:pt idx="13">
                  <c:v>64244</c:v>
                </c:pt>
                <c:pt idx="14">
                  <c:v>39764</c:v>
                </c:pt>
                <c:pt idx="15">
                  <c:v>42104</c:v>
                </c:pt>
                <c:pt idx="16">
                  <c:v>49360</c:v>
                </c:pt>
                <c:pt idx="17">
                  <c:v>33844</c:v>
                </c:pt>
                <c:pt idx="18">
                  <c:v>41835</c:v>
                </c:pt>
                <c:pt idx="19">
                  <c:v>30666</c:v>
                </c:pt>
                <c:pt idx="20">
                  <c:v>26046</c:v>
                </c:pt>
                <c:pt idx="21">
                  <c:v>27508</c:v>
                </c:pt>
                <c:pt idx="22">
                  <c:v>24709</c:v>
                </c:pt>
                <c:pt idx="23">
                  <c:v>22872</c:v>
                </c:pt>
                <c:pt idx="24">
                  <c:v>21231</c:v>
                </c:pt>
                <c:pt idx="25">
                  <c:v>18699</c:v>
                </c:pt>
                <c:pt idx="26">
                  <c:v>20141</c:v>
                </c:pt>
                <c:pt idx="27">
                  <c:v>17237</c:v>
                </c:pt>
                <c:pt idx="28">
                  <c:v>14576</c:v>
                </c:pt>
                <c:pt idx="29">
                  <c:v>12628</c:v>
                </c:pt>
                <c:pt idx="30">
                  <c:v>11312</c:v>
                </c:pt>
                <c:pt idx="31">
                  <c:v>10520</c:v>
                </c:pt>
                <c:pt idx="32">
                  <c:v>8726</c:v>
                </c:pt>
                <c:pt idx="33">
                  <c:v>7950</c:v>
                </c:pt>
                <c:pt idx="34">
                  <c:v>7414</c:v>
                </c:pt>
                <c:pt idx="35">
                  <c:v>6216</c:v>
                </c:pt>
                <c:pt idx="36">
                  <c:v>8425</c:v>
                </c:pt>
                <c:pt idx="37">
                  <c:v>6715</c:v>
                </c:pt>
                <c:pt idx="38">
                  <c:v>7067</c:v>
                </c:pt>
                <c:pt idx="39">
                  <c:v>6111</c:v>
                </c:pt>
                <c:pt idx="40">
                  <c:v>4908</c:v>
                </c:pt>
                <c:pt idx="41">
                  <c:v>4532</c:v>
                </c:pt>
                <c:pt idx="42">
                  <c:v>3432</c:v>
                </c:pt>
                <c:pt idx="43">
                  <c:v>3161</c:v>
                </c:pt>
                <c:pt idx="44">
                  <c:v>3160</c:v>
                </c:pt>
                <c:pt idx="45">
                  <c:v>5089</c:v>
                </c:pt>
                <c:pt idx="46">
                  <c:v>5081</c:v>
                </c:pt>
                <c:pt idx="47">
                  <c:v>2371</c:v>
                </c:pt>
                <c:pt idx="48">
                  <c:v>1793</c:v>
                </c:pt>
                <c:pt idx="49">
                  <c:v>2203</c:v>
                </c:pt>
                <c:pt idx="50">
                  <c:v>2734</c:v>
                </c:pt>
                <c:pt idx="51">
                  <c:v>3832</c:v>
                </c:pt>
                <c:pt idx="52">
                  <c:v>1241</c:v>
                </c:pt>
                <c:pt idx="53">
                  <c:v>1515</c:v>
                </c:pt>
                <c:pt idx="54">
                  <c:v>1033</c:v>
                </c:pt>
                <c:pt idx="55">
                  <c:v>830</c:v>
                </c:pt>
                <c:pt idx="56">
                  <c:v>1384</c:v>
                </c:pt>
                <c:pt idx="57">
                  <c:v>840</c:v>
                </c:pt>
                <c:pt idx="58">
                  <c:v>975</c:v>
                </c:pt>
                <c:pt idx="59">
                  <c:v>583</c:v>
                </c:pt>
                <c:pt idx="60">
                  <c:v>509</c:v>
                </c:pt>
                <c:pt idx="61">
                  <c:v>592</c:v>
                </c:pt>
                <c:pt idx="62">
                  <c:v>430</c:v>
                </c:pt>
                <c:pt idx="63">
                  <c:v>684</c:v>
                </c:pt>
                <c:pt idx="64">
                  <c:v>791</c:v>
                </c:pt>
                <c:pt idx="65">
                  <c:v>492</c:v>
                </c:pt>
                <c:pt idx="66">
                  <c:v>266</c:v>
                </c:pt>
                <c:pt idx="67">
                  <c:v>142</c:v>
                </c:pt>
                <c:pt idx="68">
                  <c:v>311</c:v>
                </c:pt>
                <c:pt idx="69">
                  <c:v>479</c:v>
                </c:pt>
                <c:pt idx="70">
                  <c:v>524</c:v>
                </c:pt>
                <c:pt idx="71">
                  <c:v>220</c:v>
                </c:pt>
                <c:pt idx="72">
                  <c:v>282</c:v>
                </c:pt>
                <c:pt idx="73">
                  <c:v>98</c:v>
                </c:pt>
                <c:pt idx="74">
                  <c:v>98</c:v>
                </c:pt>
                <c:pt idx="75">
                  <c:v>136</c:v>
                </c:pt>
                <c:pt idx="76">
                  <c:v>242</c:v>
                </c:pt>
                <c:pt idx="77">
                  <c:v>123</c:v>
                </c:pt>
                <c:pt idx="78">
                  <c:v>172</c:v>
                </c:pt>
                <c:pt idx="79">
                  <c:v>119</c:v>
                </c:pt>
                <c:pt idx="80">
                  <c:v>202</c:v>
                </c:pt>
                <c:pt idx="81">
                  <c:v>91</c:v>
                </c:pt>
                <c:pt idx="82">
                  <c:v>99</c:v>
                </c:pt>
                <c:pt idx="83">
                  <c:v>39</c:v>
                </c:pt>
                <c:pt idx="84">
                  <c:v>62</c:v>
                </c:pt>
                <c:pt idx="85">
                  <c:v>71</c:v>
                </c:pt>
                <c:pt idx="86">
                  <c:v>27</c:v>
                </c:pt>
                <c:pt idx="87">
                  <c:v>5</c:v>
                </c:pt>
                <c:pt idx="88">
                  <c:v>41</c:v>
                </c:pt>
                <c:pt idx="89">
                  <c:v>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B8-4FCD-AB4D-9E8925E7D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6947896"/>
        <c:axId val="306948680"/>
      </c:lineChart>
      <c:catAx>
        <c:axId val="306947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</a:t>
                </a:r>
                <a:r>
                  <a:rPr baseline="0" lang="en-US"/>
                  <a:t> Length (miles)</a:t>
                </a:r>
                <a:endParaRPr lang="en-US"/>
              </a:p>
            </c:rich>
          </c:tx>
          <c:overlay val="0"/>
        </c:title>
        <c:majorTickMark val="out"/>
        <c:minorTickMark val="none"/>
        <c:tickLblPos val="nextTo"/>
        <c:crossAx val="306948680"/>
        <c:crosses val="autoZero"/>
        <c:auto val="1"/>
        <c:lblAlgn val="ctr"/>
        <c:lblOffset val="100"/>
        <c:tickLblSkip val="10"/>
        <c:noMultiLvlLbl val="0"/>
      </c:catAx>
      <c:valAx>
        <c:axId val="30694868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Persons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306947896"/>
        <c:crosses val="autoZero"/>
        <c:crossBetween val="between"/>
        <c:majorUnit val="10000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488" footer="0.30000000000000032" header="0.30000000000000032" l="0.70000000000000062" r="0.70000000000000062" t="0.75000000000000488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TDFD!$E$11:$E$99</c:f>
              <c:numCache>
                <c:formatCode>_(* #,##0_);_(* \(#,##0\);_(* "-"??_);_(@_)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1297.0117</c:v>
                </c:pt>
                <c:pt idx="4">
                  <c:v>2114.9009000000001</c:v>
                </c:pt>
                <c:pt idx="5">
                  <c:v>6767.5470999999998</c:v>
                </c:pt>
                <c:pt idx="6">
                  <c:v>2548.6759000000002</c:v>
                </c:pt>
                <c:pt idx="7">
                  <c:v>4090.9153000000001</c:v>
                </c:pt>
                <c:pt idx="8">
                  <c:v>1048.3835999999999</c:v>
                </c:pt>
                <c:pt idx="9">
                  <c:v>3467.7129</c:v>
                </c:pt>
                <c:pt idx="10">
                  <c:v>509.74310000000003</c:v>
                </c:pt>
                <c:pt idx="11">
                  <c:v>8044.5882000000001</c:v>
                </c:pt>
                <c:pt idx="12">
                  <c:v>10002.1047</c:v>
                </c:pt>
                <c:pt idx="13">
                  <c:v>10030.5188</c:v>
                </c:pt>
                <c:pt idx="14">
                  <c:v>9686.5218999999997</c:v>
                </c:pt>
                <c:pt idx="15">
                  <c:v>6115.6376999999993</c:v>
                </c:pt>
                <c:pt idx="16">
                  <c:v>28278.6986</c:v>
                </c:pt>
                <c:pt idx="17">
                  <c:v>9132.4633999999987</c:v>
                </c:pt>
                <c:pt idx="18">
                  <c:v>66343.505699999994</c:v>
                </c:pt>
                <c:pt idx="19">
                  <c:v>36954.082600000002</c:v>
                </c:pt>
                <c:pt idx="20">
                  <c:v>49497.612300000001</c:v>
                </c:pt>
                <c:pt idx="21">
                  <c:v>58659.179600000003</c:v>
                </c:pt>
                <c:pt idx="22">
                  <c:v>67397.368600000002</c:v>
                </c:pt>
                <c:pt idx="23">
                  <c:v>41445.179300000003</c:v>
                </c:pt>
                <c:pt idx="24">
                  <c:v>52246.083500000001</c:v>
                </c:pt>
                <c:pt idx="25">
                  <c:v>30650.777900000001</c:v>
                </c:pt>
                <c:pt idx="26">
                  <c:v>55991.469700000001</c:v>
                </c:pt>
                <c:pt idx="27">
                  <c:v>26238.786100000001</c:v>
                </c:pt>
                <c:pt idx="28">
                  <c:v>42642.462599999999</c:v>
                </c:pt>
                <c:pt idx="29">
                  <c:v>37599.6682</c:v>
                </c:pt>
                <c:pt idx="30">
                  <c:v>37589.575199999999</c:v>
                </c:pt>
                <c:pt idx="31">
                  <c:v>43103.786899999999</c:v>
                </c:pt>
                <c:pt idx="32">
                  <c:v>26996.000100000001</c:v>
                </c:pt>
                <c:pt idx="33">
                  <c:v>30562.051299999999</c:v>
                </c:pt>
                <c:pt idx="34">
                  <c:v>25851.486199999999</c:v>
                </c:pt>
                <c:pt idx="35">
                  <c:v>34311.1783</c:v>
                </c:pt>
                <c:pt idx="36">
                  <c:v>19382.525699999998</c:v>
                </c:pt>
                <c:pt idx="37">
                  <c:v>33857.892099999997</c:v>
                </c:pt>
                <c:pt idx="38">
                  <c:v>40035.014799999997</c:v>
                </c:pt>
                <c:pt idx="39">
                  <c:v>22736.1721</c:v>
                </c:pt>
                <c:pt idx="40">
                  <c:v>26734.368999999999</c:v>
                </c:pt>
                <c:pt idx="41">
                  <c:v>13673.592199999999</c:v>
                </c:pt>
                <c:pt idx="42">
                  <c:v>12023.5571</c:v>
                </c:pt>
                <c:pt idx="43">
                  <c:v>23399.969400000002</c:v>
                </c:pt>
                <c:pt idx="44">
                  <c:v>11440.9931</c:v>
                </c:pt>
                <c:pt idx="45">
                  <c:v>55852.626599999996</c:v>
                </c:pt>
                <c:pt idx="46">
                  <c:v>24464.915000000001</c:v>
                </c:pt>
                <c:pt idx="47">
                  <c:v>15209.3945</c:v>
                </c:pt>
                <c:pt idx="48">
                  <c:v>8917.5691999999999</c:v>
                </c:pt>
                <c:pt idx="49">
                  <c:v>11439.153300000002</c:v>
                </c:pt>
                <c:pt idx="50">
                  <c:v>11448.0232</c:v>
                </c:pt>
                <c:pt idx="51">
                  <c:v>5022.5627999999997</c:v>
                </c:pt>
                <c:pt idx="52">
                  <c:v>14719.836599999999</c:v>
                </c:pt>
                <c:pt idx="53">
                  <c:v>10003.985000000001</c:v>
                </c:pt>
                <c:pt idx="54">
                  <c:v>15921.9604</c:v>
                </c:pt>
                <c:pt idx="55">
                  <c:v>15776.191699999999</c:v>
                </c:pt>
                <c:pt idx="56">
                  <c:v>4682.5351000000001</c:v>
                </c:pt>
                <c:pt idx="57">
                  <c:v>5859.4691000000003</c:v>
                </c:pt>
                <c:pt idx="58">
                  <c:v>7619.3004000000001</c:v>
                </c:pt>
                <c:pt idx="59">
                  <c:v>8169.6062999999995</c:v>
                </c:pt>
                <c:pt idx="60">
                  <c:v>5748.0181999999995</c:v>
                </c:pt>
                <c:pt idx="61">
                  <c:v>3640.9245000000001</c:v>
                </c:pt>
                <c:pt idx="62">
                  <c:v>5194.2361000000001</c:v>
                </c:pt>
                <c:pt idx="63">
                  <c:v>4767.6255000000001</c:v>
                </c:pt>
                <c:pt idx="64">
                  <c:v>3267.2838999999999</c:v>
                </c:pt>
                <c:pt idx="65">
                  <c:v>5324.3822</c:v>
                </c:pt>
                <c:pt idx="66">
                  <c:v>3616.7132999999999</c:v>
                </c:pt>
                <c:pt idx="67">
                  <c:v>6365.6291000000001</c:v>
                </c:pt>
                <c:pt idx="68">
                  <c:v>985.59140000000002</c:v>
                </c:pt>
                <c:pt idx="69">
                  <c:v>3358.7471999999998</c:v>
                </c:pt>
                <c:pt idx="70">
                  <c:v>4436.3371999999999</c:v>
                </c:pt>
                <c:pt idx="71">
                  <c:v>2218.0660000000003</c:v>
                </c:pt>
                <c:pt idx="72">
                  <c:v>3398.3818000000001</c:v>
                </c:pt>
                <c:pt idx="73">
                  <c:v>4475.8312999999998</c:v>
                </c:pt>
                <c:pt idx="74">
                  <c:v>7155.2539999999999</c:v>
                </c:pt>
                <c:pt idx="75">
                  <c:v>5734.0851000000002</c:v>
                </c:pt>
                <c:pt idx="76">
                  <c:v>4475.7957000000006</c:v>
                </c:pt>
                <c:pt idx="77">
                  <c:v>10738.303400000001</c:v>
                </c:pt>
                <c:pt idx="78">
                  <c:v>3202.0333999999998</c:v>
                </c:pt>
                <c:pt idx="79">
                  <c:v>2215.9219000000003</c:v>
                </c:pt>
                <c:pt idx="80">
                  <c:v>2565.0070999999998</c:v>
                </c:pt>
                <c:pt idx="81">
                  <c:v>2435.2476999999999</c:v>
                </c:pt>
                <c:pt idx="82">
                  <c:v>1395.6977999999999</c:v>
                </c:pt>
                <c:pt idx="83">
                  <c:v>917.6108999999999</c:v>
                </c:pt>
                <c:pt idx="84">
                  <c:v>504.58879999999999</c:v>
                </c:pt>
                <c:pt idx="85">
                  <c:v>1985.5875999999998</c:v>
                </c:pt>
                <c:pt idx="86">
                  <c:v>217.6002</c:v>
                </c:pt>
                <c:pt idx="87">
                  <c:v>1132.8924</c:v>
                </c:pt>
                <c:pt idx="88">
                  <c:v>343.47710000000001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4F-4399-8968-4B25EFE6F2E1}"/>
            </c:ext>
          </c:extLst>
        </c:ser>
        <c:ser>
          <c:idx val="1"/>
          <c:order val="1"/>
          <c:tx>
            <c:strRef>
              <c:f>TDFD!$K$10</c:f>
              <c:strCache>
                <c:ptCount val="1"/>
                <c:pt idx="0">
                  <c:v>BKRCast (LODES)</c:v>
                </c:pt>
              </c:strCache>
            </c:strRef>
          </c:tx>
          <c:marker>
            <c:symbol val="none"/>
          </c:marker>
          <c:val>
            <c:numRef>
              <c:f>TDFD!$K$11:$K$99</c:f>
              <c:numCache>
                <c:formatCode>_(* #,##0_);_(* \(#,##0\);_(* "-"??_);_(@_)</c:formatCode>
                <c:ptCount val="89"/>
                <c:pt idx="0">
                  <c:v>59052</c:v>
                </c:pt>
                <c:pt idx="1">
                  <c:v>17746</c:v>
                </c:pt>
                <c:pt idx="2">
                  <c:v>21491</c:v>
                </c:pt>
                <c:pt idx="3">
                  <c:v>21419</c:v>
                </c:pt>
                <c:pt idx="4">
                  <c:v>20214</c:v>
                </c:pt>
                <c:pt idx="5">
                  <c:v>19634</c:v>
                </c:pt>
                <c:pt idx="6">
                  <c:v>19261</c:v>
                </c:pt>
                <c:pt idx="7">
                  <c:v>16687</c:v>
                </c:pt>
                <c:pt idx="8">
                  <c:v>13641</c:v>
                </c:pt>
                <c:pt idx="9">
                  <c:v>11955</c:v>
                </c:pt>
                <c:pt idx="10">
                  <c:v>9937</c:v>
                </c:pt>
                <c:pt idx="11">
                  <c:v>8818</c:v>
                </c:pt>
                <c:pt idx="12">
                  <c:v>8100</c:v>
                </c:pt>
                <c:pt idx="13">
                  <c:v>7114</c:v>
                </c:pt>
                <c:pt idx="14">
                  <c:v>6598</c:v>
                </c:pt>
                <c:pt idx="15">
                  <c:v>5926</c:v>
                </c:pt>
                <c:pt idx="16">
                  <c:v>5457</c:v>
                </c:pt>
                <c:pt idx="17">
                  <c:v>5323</c:v>
                </c:pt>
                <c:pt idx="18">
                  <c:v>65720</c:v>
                </c:pt>
                <c:pt idx="19">
                  <c:v>26335</c:v>
                </c:pt>
                <c:pt idx="20">
                  <c:v>28613</c:v>
                </c:pt>
                <c:pt idx="21">
                  <c:v>50220</c:v>
                </c:pt>
                <c:pt idx="22">
                  <c:v>49667</c:v>
                </c:pt>
                <c:pt idx="23">
                  <c:v>51353</c:v>
                </c:pt>
                <c:pt idx="24">
                  <c:v>32978</c:v>
                </c:pt>
                <c:pt idx="25">
                  <c:v>43664</c:v>
                </c:pt>
                <c:pt idx="26">
                  <c:v>55221</c:v>
                </c:pt>
                <c:pt idx="27">
                  <c:v>32976</c:v>
                </c:pt>
                <c:pt idx="28">
                  <c:v>39519</c:v>
                </c:pt>
                <c:pt idx="29">
                  <c:v>51858</c:v>
                </c:pt>
                <c:pt idx="30">
                  <c:v>35917</c:v>
                </c:pt>
                <c:pt idx="31">
                  <c:v>44100</c:v>
                </c:pt>
                <c:pt idx="32">
                  <c:v>42891</c:v>
                </c:pt>
                <c:pt idx="33">
                  <c:v>28040</c:v>
                </c:pt>
                <c:pt idx="34">
                  <c:v>30289</c:v>
                </c:pt>
                <c:pt idx="35">
                  <c:v>34622</c:v>
                </c:pt>
                <c:pt idx="36">
                  <c:v>29795</c:v>
                </c:pt>
                <c:pt idx="37">
                  <c:v>25841</c:v>
                </c:pt>
                <c:pt idx="38">
                  <c:v>21713</c:v>
                </c:pt>
                <c:pt idx="39">
                  <c:v>29212</c:v>
                </c:pt>
                <c:pt idx="40">
                  <c:v>35782</c:v>
                </c:pt>
                <c:pt idx="41">
                  <c:v>24453</c:v>
                </c:pt>
                <c:pt idx="42">
                  <c:v>27260</c:v>
                </c:pt>
                <c:pt idx="43">
                  <c:v>18000</c:v>
                </c:pt>
                <c:pt idx="44">
                  <c:v>16281</c:v>
                </c:pt>
                <c:pt idx="45">
                  <c:v>29564</c:v>
                </c:pt>
                <c:pt idx="46">
                  <c:v>17004</c:v>
                </c:pt>
                <c:pt idx="47">
                  <c:v>17333</c:v>
                </c:pt>
                <c:pt idx="48">
                  <c:v>20419</c:v>
                </c:pt>
                <c:pt idx="49">
                  <c:v>16958</c:v>
                </c:pt>
                <c:pt idx="50">
                  <c:v>25986</c:v>
                </c:pt>
                <c:pt idx="51">
                  <c:v>11407</c:v>
                </c:pt>
                <c:pt idx="52">
                  <c:v>15383</c:v>
                </c:pt>
                <c:pt idx="53">
                  <c:v>11902</c:v>
                </c:pt>
                <c:pt idx="54">
                  <c:v>18271</c:v>
                </c:pt>
                <c:pt idx="55">
                  <c:v>11602</c:v>
                </c:pt>
                <c:pt idx="56">
                  <c:v>9784</c:v>
                </c:pt>
                <c:pt idx="57">
                  <c:v>10545</c:v>
                </c:pt>
                <c:pt idx="58">
                  <c:v>12268</c:v>
                </c:pt>
                <c:pt idx="59">
                  <c:v>7545</c:v>
                </c:pt>
                <c:pt idx="60">
                  <c:v>8294</c:v>
                </c:pt>
                <c:pt idx="61">
                  <c:v>9579</c:v>
                </c:pt>
                <c:pt idx="62">
                  <c:v>11239</c:v>
                </c:pt>
                <c:pt idx="63">
                  <c:v>8079</c:v>
                </c:pt>
                <c:pt idx="64">
                  <c:v>7096</c:v>
                </c:pt>
                <c:pt idx="65">
                  <c:v>6001</c:v>
                </c:pt>
                <c:pt idx="66">
                  <c:v>5686</c:v>
                </c:pt>
                <c:pt idx="67">
                  <c:v>5911</c:v>
                </c:pt>
                <c:pt idx="68">
                  <c:v>6616</c:v>
                </c:pt>
                <c:pt idx="69">
                  <c:v>5541</c:v>
                </c:pt>
                <c:pt idx="70">
                  <c:v>8177</c:v>
                </c:pt>
                <c:pt idx="71">
                  <c:v>4051</c:v>
                </c:pt>
                <c:pt idx="72">
                  <c:v>3959</c:v>
                </c:pt>
                <c:pt idx="73">
                  <c:v>4451</c:v>
                </c:pt>
                <c:pt idx="74">
                  <c:v>4264</c:v>
                </c:pt>
                <c:pt idx="75">
                  <c:v>3848</c:v>
                </c:pt>
                <c:pt idx="76">
                  <c:v>4370</c:v>
                </c:pt>
                <c:pt idx="77">
                  <c:v>3431</c:v>
                </c:pt>
                <c:pt idx="78">
                  <c:v>2932</c:v>
                </c:pt>
                <c:pt idx="79">
                  <c:v>1765</c:v>
                </c:pt>
                <c:pt idx="80">
                  <c:v>1665</c:v>
                </c:pt>
                <c:pt idx="81">
                  <c:v>2254</c:v>
                </c:pt>
                <c:pt idx="82">
                  <c:v>1964</c:v>
                </c:pt>
                <c:pt idx="83">
                  <c:v>1524</c:v>
                </c:pt>
                <c:pt idx="84">
                  <c:v>1621</c:v>
                </c:pt>
                <c:pt idx="85">
                  <c:v>1321</c:v>
                </c:pt>
                <c:pt idx="86">
                  <c:v>971</c:v>
                </c:pt>
                <c:pt idx="87">
                  <c:v>1017</c:v>
                </c:pt>
                <c:pt idx="88">
                  <c:v>1152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4F-4399-8968-4B25EFE6F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6947112"/>
        <c:axId val="306943584"/>
      </c:lineChart>
      <c:catAx>
        <c:axId val="306947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 (mins)</a:t>
                </a:r>
              </a:p>
            </c:rich>
          </c:tx>
          <c:overlay val="0"/>
        </c:title>
        <c:majorTickMark val="out"/>
        <c:minorTickMark val="none"/>
        <c:tickLblPos val="nextTo"/>
        <c:crossAx val="306943584"/>
        <c:crosses val="autoZero"/>
        <c:auto val="1"/>
        <c:lblAlgn val="ctr"/>
        <c:lblOffset val="100"/>
        <c:tickLblSkip val="10"/>
        <c:noMultiLvlLbl val="0"/>
      </c:catAx>
      <c:valAx>
        <c:axId val="3069435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baseline="0" lang="en-US"/>
                  <a:t> of Persons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3069471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511" footer="0.30000000000000032" header="0.30000000000000032" l="0.70000000000000062" r="0.70000000000000062" t="0.75000000000000511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12</xdr:col>
      <xdr:colOff>9524</xdr:colOff>
      <xdr:row>16</xdr:row>
      <xdr:rowOff>123825</xdr:rowOff>
    </xdr:from>
    <xdr:to>
      <xdr:col>22</xdr:col>
      <xdr:colOff>114299</xdr:colOff>
      <xdr:row>33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12</xdr:col>
      <xdr:colOff>28575</xdr:colOff>
      <xdr:row>15</xdr:row>
      <xdr:rowOff>171450</xdr:rowOff>
    </xdr:from>
    <xdr:to>
      <xdr:col>21</xdr:col>
      <xdr:colOff>333375</xdr:colOff>
      <xdr:row>32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W101"/>
  <sheetViews>
    <sheetView workbookViewId="0">
      <selection activeCell="L19" sqref="L19"/>
    </sheetView>
  </sheetViews>
  <sheetFormatPr defaultRowHeight="15" x14ac:dyDescent="0.25"/>
  <cols>
    <col min="1" max="1" customWidth="true" width="13.5703125" collapsed="true"/>
    <col min="2" max="3" bestFit="true" customWidth="true" width="10.5703125" collapsed="true"/>
    <col min="4" max="4" bestFit="true" customWidth="true" width="9.5703125" collapsed="true"/>
    <col min="5" max="5" bestFit="true" customWidth="true" width="10.5703125" collapsed="true"/>
    <col min="8" max="8" bestFit="true" customWidth="true" width="10.5703125" collapsed="true"/>
    <col min="9" max="10" bestFit="true" customWidth="true" width="9.5703125" collapsed="true"/>
    <col min="11" max="11" bestFit="true" customWidth="true" width="11.5703125" collapsed="true"/>
    <col min="15" max="15" bestFit="true" customWidth="true" width="15.7109375" collapsed="true"/>
  </cols>
  <sheetData>
    <row r="1" spans="1:23" x14ac:dyDescent="0.25">
      <c r="A1" t="s">
        <v>1</v>
      </c>
    </row>
    <row r="2" spans="1:23" x14ac:dyDescent="0.25">
      <c r="A2" t="s">
        <v>273</v>
      </c>
    </row>
    <row r="3" spans="1:23" x14ac:dyDescent="0.25">
      <c r="A3" t="s">
        <v>257</v>
      </c>
    </row>
    <row r="4" spans="1:23" x14ac:dyDescent="0.25">
      <c r="A4" t="s">
        <v>5</v>
      </c>
    </row>
    <row r="5" spans="1:23" x14ac:dyDescent="0.25">
      <c r="A5" t="s">
        <v>6</v>
      </c>
    </row>
    <row r="7" spans="1:23" x14ac:dyDescent="0.25">
      <c r="A7" t="s">
        <v>12</v>
      </c>
    </row>
    <row ht="15.75" r="9" spans="1:23" thickBot="1" x14ac:dyDescent="0.3">
      <c r="A9" s="4" t="s">
        <v>219</v>
      </c>
      <c r="B9" s="1"/>
      <c r="C9" s="1"/>
      <c r="D9" s="1"/>
      <c r="E9" s="1"/>
      <c r="G9" s="4" t="s">
        <v>13</v>
      </c>
      <c r="H9" s="1"/>
      <c r="I9" s="1"/>
      <c r="J9" s="1"/>
      <c r="K9" s="1"/>
      <c r="M9" s="36" t="s">
        <v>278</v>
      </c>
      <c r="N9" s="32"/>
      <c r="O9" s="32"/>
    </row>
    <row r="10" spans="1:23" x14ac:dyDescent="0.25">
      <c r="A10" s="2" t="s">
        <v>3</v>
      </c>
      <c r="B10" s="5" t="s">
        <v>9</v>
      </c>
      <c r="C10" s="5" t="s">
        <v>10</v>
      </c>
      <c r="D10" s="5" t="s">
        <v>11</v>
      </c>
      <c r="E10" s="5" t="s">
        <v>213</v>
      </c>
      <c r="G10" s="2" t="s">
        <v>3</v>
      </c>
      <c r="H10" s="5" t="s">
        <v>9</v>
      </c>
      <c r="I10" s="5" t="s">
        <v>10</v>
      </c>
      <c r="J10" s="5" t="s">
        <v>11</v>
      </c>
      <c r="K10" s="37" t="s">
        <v>277</v>
      </c>
      <c r="M10" s="31"/>
      <c r="N10" s="37" t="s">
        <v>213</v>
      </c>
      <c r="O10" s="37" t="s">
        <v>277</v>
      </c>
    </row>
    <row r="11" spans="1:23" x14ac:dyDescent="0.25">
      <c r="A11">
        <v>0</v>
      </c>
      <c r="B11" s="78" t="n">
        <v>5913.3856</v>
      </c>
      <c r="C11" s="78" t="n">
        <v>3945.0525000000002</v>
      </c>
      <c r="D11" s="78" t="n">
        <v>321.0216</v>
      </c>
      <c r="E11" s="78">
        <f>SUM(B11:D11)</f>
        <v>10179.459699999999</v>
      </c>
      <c r="G11">
        <v>0</v>
      </c>
      <c r="H11" s="88" t="n">
        <v>90096.0</v>
      </c>
      <c r="I11" s="88" t="n">
        <v>32808.0</v>
      </c>
      <c r="J11" s="88" t="n">
        <v>10089.0</v>
      </c>
      <c r="K11" s="78">
        <f>SUM(H11:J11)</f>
        <v>138535</v>
      </c>
      <c r="M11" s="32" t="s">
        <v>9</v>
      </c>
      <c r="N11" s="85" t="n">
        <v>13.16261827945487</v>
      </c>
      <c r="O11" s="85" t="n">
        <v>11.769627674869776</v>
      </c>
    </row>
    <row r="12" spans="1:23" x14ac:dyDescent="0.25">
      <c r="A12">
        <v>1</v>
      </c>
      <c r="B12" s="78" t="n">
        <v>8056.0069</v>
      </c>
      <c r="C12" s="78" t="n">
        <v>2969.1439</v>
      </c>
      <c r="D12" s="78" t="n">
        <v>130.5369</v>
      </c>
      <c r="E12" s="78">
        <f ref="E12:E75" si="0" t="shared">SUM(B12:D12)</f>
        <v>11155.687699999999</v>
      </c>
      <c r="G12">
        <v>1</v>
      </c>
      <c r="H12" s="88" t="n">
        <v>52351.0</v>
      </c>
      <c r="I12" s="88" t="n">
        <v>18122.0</v>
      </c>
      <c r="J12" s="88" t="n">
        <v>5129.0</v>
      </c>
      <c r="K12" s="78">
        <f ref="K12:K75" si="1" t="shared">SUM(H12:J12)</f>
        <v>73433</v>
      </c>
      <c r="M12" s="32" t="s">
        <v>10</v>
      </c>
      <c r="N12" s="85" t="n">
        <v>9.344539408226723</v>
      </c>
      <c r="O12" s="85" t="n">
        <v>11.020623081023336</v>
      </c>
    </row>
    <row r="13" spans="1:23" x14ac:dyDescent="0.25">
      <c r="A13">
        <v>2</v>
      </c>
      <c r="B13" s="78" t="n">
        <v>19358.3179</v>
      </c>
      <c r="C13" s="78" t="n">
        <v>8114.7801</v>
      </c>
      <c r="D13" s="78" t="n">
        <v>107.4506</v>
      </c>
      <c r="E13" s="78">
        <f si="0" t="shared"/>
        <v>27580.548599999998</v>
      </c>
      <c r="G13">
        <v>2</v>
      </c>
      <c r="H13" s="88" t="n">
        <v>30938.0</v>
      </c>
      <c r="I13" s="88" t="n">
        <v>9369.0</v>
      </c>
      <c r="J13" s="88" t="n">
        <v>2472.0</v>
      </c>
      <c r="K13" s="78">
        <f si="1" t="shared"/>
        <v>39896</v>
      </c>
      <c r="M13" s="34" t="s">
        <v>11</v>
      </c>
      <c r="N13" s="86" t="n">
        <v>10.627203013792093</v>
      </c>
      <c r="O13" s="86" t="n">
        <v>9.80678374801528</v>
      </c>
    </row>
    <row ht="15.75" r="14" spans="1:23" thickBot="1" x14ac:dyDescent="0.3">
      <c r="A14">
        <v>3</v>
      </c>
      <c r="B14" s="78" t="n">
        <v>34874.421</v>
      </c>
      <c r="C14" s="78" t="n">
        <v>15752.234199999999</v>
      </c>
      <c r="D14" s="78" t="n">
        <v>2181.5761</v>
      </c>
      <c r="E14" s="78">
        <f si="0" t="shared"/>
        <v>52808.231299999999</v>
      </c>
      <c r="G14">
        <v>3</v>
      </c>
      <c r="H14" s="88" t="n">
        <v>19629.0</v>
      </c>
      <c r="I14" s="88" t="n">
        <v>6050.0</v>
      </c>
      <c r="J14" s="88" t="n">
        <v>1471.0</v>
      </c>
      <c r="K14" s="78">
        <f si="1" t="shared"/>
        <v>24760</v>
      </c>
      <c r="M14" s="30" t="s">
        <v>4</v>
      </c>
      <c r="N14" s="87" t="n">
        <v>12.44483746792255</v>
      </c>
      <c r="O14" s="87" t="n">
        <v>11.533903147026509</v>
      </c>
      <c r="S14" s="9"/>
    </row>
    <row r="15" spans="1:23" x14ac:dyDescent="0.25">
      <c r="A15">
        <v>4</v>
      </c>
      <c r="B15" s="78" t="n">
        <v>100106.5116</v>
      </c>
      <c r="C15" s="78" t="n">
        <v>28791.1202</v>
      </c>
      <c r="D15" s="78" t="n">
        <v>3029.9595</v>
      </c>
      <c r="E15" s="78">
        <f si="0" t="shared"/>
        <v>131927.5913</v>
      </c>
      <c r="G15">
        <v>4</v>
      </c>
      <c r="H15" s="88" t="n">
        <v>84759.0</v>
      </c>
      <c r="I15" s="88" t="n">
        <v>28277.0</v>
      </c>
      <c r="J15" s="88" t="n">
        <v>7591.0</v>
      </c>
      <c r="K15" s="78">
        <f si="1" t="shared"/>
        <v>107488</v>
      </c>
      <c r="W15" s="9"/>
    </row>
    <row r="16" spans="1:23" x14ac:dyDescent="0.25">
      <c r="A16">
        <v>5</v>
      </c>
      <c r="B16" s="78" t="n">
        <v>88607.7609</v>
      </c>
      <c r="C16" s="78" t="n">
        <v>26249.7303</v>
      </c>
      <c r="D16" s="78" t="n">
        <v>3515.9575</v>
      </c>
      <c r="E16" s="78">
        <f si="0" t="shared"/>
        <v>118373.44869999999</v>
      </c>
      <c r="G16">
        <v>5</v>
      </c>
      <c r="H16" s="88" t="n">
        <v>87761.0</v>
      </c>
      <c r="I16" s="88" t="n">
        <v>22378.0</v>
      </c>
      <c r="J16" s="88" t="n">
        <v>6635.0</v>
      </c>
      <c r="K16" s="78">
        <f si="1" t="shared"/>
        <v>99019</v>
      </c>
      <c r="W16" s="9"/>
    </row>
    <row r="17" spans="1:23" x14ac:dyDescent="0.25">
      <c r="A17">
        <v>6</v>
      </c>
      <c r="B17" s="78" t="n">
        <v>86008.5746</v>
      </c>
      <c r="C17" s="78" t="n">
        <v>23427.8998</v>
      </c>
      <c r="D17" s="78" t="n">
        <v>8863.4671</v>
      </c>
      <c r="E17" s="78">
        <f si="0" t="shared"/>
        <v>118299.9415</v>
      </c>
      <c r="G17">
        <v>6</v>
      </c>
      <c r="H17" s="88" t="n">
        <v>89471.0</v>
      </c>
      <c r="I17" s="88" t="n">
        <v>19748.0</v>
      </c>
      <c r="J17" s="88" t="n">
        <v>5987.0</v>
      </c>
      <c r="K17" s="78">
        <f si="1" t="shared"/>
        <v>107718</v>
      </c>
      <c r="W17" s="9"/>
    </row>
    <row r="18" spans="1:23" x14ac:dyDescent="0.25">
      <c r="A18">
        <v>7</v>
      </c>
      <c r="B18" s="78" t="n">
        <v>58815.0434</v>
      </c>
      <c r="C18" s="78" t="n">
        <v>13330.5318</v>
      </c>
      <c r="D18" s="78" t="n">
        <v>2928.9754</v>
      </c>
      <c r="E18" s="78">
        <f si="0" t="shared"/>
        <v>75074.550600000002</v>
      </c>
      <c r="G18">
        <v>7</v>
      </c>
      <c r="H18" s="88" t="n">
        <v>66778.0</v>
      </c>
      <c r="I18" s="88" t="n">
        <v>14930.0</v>
      </c>
      <c r="J18" s="88" t="n">
        <v>4276.0</v>
      </c>
      <c r="K18" s="78">
        <f si="1" t="shared"/>
        <v>75089</v>
      </c>
      <c r="W18" s="9"/>
    </row>
    <row r="19" spans="1:23" x14ac:dyDescent="0.25">
      <c r="A19">
        <v>8</v>
      </c>
      <c r="B19" s="78" t="n">
        <v>67795.3497</v>
      </c>
      <c r="C19" s="78" t="n">
        <v>14632.4653</v>
      </c>
      <c r="D19" s="78" t="n">
        <v>3078.5818</v>
      </c>
      <c r="E19" s="78">
        <f si="0" t="shared"/>
        <v>85506.396800000002</v>
      </c>
      <c r="G19">
        <v>8</v>
      </c>
      <c r="H19" s="88" t="n">
        <v>77328.0</v>
      </c>
      <c r="I19" s="88" t="n">
        <v>14908.0</v>
      </c>
      <c r="J19" s="88" t="n">
        <v>4305.0</v>
      </c>
      <c r="K19" s="78">
        <f si="1" t="shared"/>
        <v>89112</v>
      </c>
      <c r="W19" s="9"/>
    </row>
    <row r="20" spans="1:23" x14ac:dyDescent="0.25">
      <c r="A20">
        <v>9</v>
      </c>
      <c r="B20" s="78" t="n">
        <v>47235.2432</v>
      </c>
      <c r="C20" s="78" t="n">
        <v>9004.0779</v>
      </c>
      <c r="D20" s="78" t="n">
        <v>1429.4754</v>
      </c>
      <c r="E20" s="78">
        <f si="0" t="shared"/>
        <v>57668.796500000004</v>
      </c>
      <c r="G20">
        <v>9</v>
      </c>
      <c r="H20" s="88" t="n">
        <v>79018.0</v>
      </c>
      <c r="I20" s="88" t="n">
        <v>15328.0</v>
      </c>
      <c r="J20" s="88" t="n">
        <v>4653.0</v>
      </c>
      <c r="K20" s="78">
        <f si="1" t="shared"/>
        <v>71241</v>
      </c>
      <c r="W20" s="9"/>
    </row>
    <row r="21" spans="1:23" x14ac:dyDescent="0.25">
      <c r="A21">
        <v>10</v>
      </c>
      <c r="B21" s="78" t="n">
        <v>66289.8144</v>
      </c>
      <c r="C21" s="78" t="n">
        <v>18725.5434</v>
      </c>
      <c r="D21" s="78" t="n">
        <v>6414.5848000000005</v>
      </c>
      <c r="E21" s="78">
        <f si="0" t="shared"/>
        <v>91429.942599999995</v>
      </c>
      <c r="G21">
        <v>10</v>
      </c>
      <c r="H21" s="88" t="n">
        <v>38406.0</v>
      </c>
      <c r="I21" s="88" t="n">
        <v>7188.0</v>
      </c>
      <c r="J21" s="88" t="n">
        <v>2125.0</v>
      </c>
      <c r="K21" s="78">
        <f si="1" t="shared"/>
        <v>50453</v>
      </c>
      <c r="W21" s="9"/>
    </row>
    <row r="22" spans="1:23" x14ac:dyDescent="0.25">
      <c r="A22">
        <v>11</v>
      </c>
      <c r="B22" s="78" t="n">
        <v>38656.6347</v>
      </c>
      <c r="C22" s="78" t="n">
        <v>4578.0089</v>
      </c>
      <c r="D22" s="78" t="n">
        <v>1326.4511</v>
      </c>
      <c r="E22" s="78">
        <f si="0" t="shared"/>
        <v>44561.094700000001</v>
      </c>
      <c r="G22">
        <v>11</v>
      </c>
      <c r="H22" s="88" t="n">
        <v>47233.0</v>
      </c>
      <c r="I22" s="88" t="n">
        <v>9201.0</v>
      </c>
      <c r="J22" s="88" t="n">
        <v>2437.0</v>
      </c>
      <c r="K22" s="78">
        <f si="1" t="shared"/>
        <v>48135</v>
      </c>
      <c r="W22" s="9"/>
    </row>
    <row r="23" spans="1:23" x14ac:dyDescent="0.25">
      <c r="A23">
        <v>12</v>
      </c>
      <c r="B23" s="78" t="n">
        <v>32513.3325</v>
      </c>
      <c r="C23" s="78" t="n">
        <v>5767.2356</v>
      </c>
      <c r="D23" s="78" t="n">
        <v>1363.9744</v>
      </c>
      <c r="E23" s="78">
        <f si="0" t="shared"/>
        <v>39644.542500000003</v>
      </c>
      <c r="G23">
        <v>12</v>
      </c>
      <c r="H23" s="88" t="n">
        <v>48618.0</v>
      </c>
      <c r="I23" s="88" t="n">
        <v>8608.0</v>
      </c>
      <c r="J23" s="88" t="n">
        <v>2268.0</v>
      </c>
      <c r="K23" s="78">
        <f si="1" t="shared"/>
        <v>55925</v>
      </c>
      <c r="W23" s="9"/>
    </row>
    <row r="24" spans="1:23" x14ac:dyDescent="0.25">
      <c r="A24">
        <v>13</v>
      </c>
      <c r="B24" s="78" t="n">
        <v>37211.6087</v>
      </c>
      <c r="C24" s="78" t="n">
        <v>4861.9568</v>
      </c>
      <c r="D24" s="78" t="n">
        <v>2091.6053</v>
      </c>
      <c r="E24" s="78">
        <f si="0" t="shared"/>
        <v>44165.1708</v>
      </c>
      <c r="G24">
        <v>13</v>
      </c>
      <c r="H24" s="88" t="n">
        <v>52018.0</v>
      </c>
      <c r="I24" s="88" t="n">
        <v>10696.0</v>
      </c>
      <c r="J24" s="88" t="n">
        <v>2621.0</v>
      </c>
      <c r="K24" s="78">
        <f si="1" t="shared"/>
        <v>64244</v>
      </c>
      <c r="W24" s="9"/>
    </row>
    <row r="25" spans="1:23" x14ac:dyDescent="0.25">
      <c r="A25">
        <v>14</v>
      </c>
      <c r="B25" s="78" t="n">
        <v>20756.8043</v>
      </c>
      <c r="C25" s="78" t="n">
        <v>3320.1608</v>
      </c>
      <c r="D25" s="78" t="n">
        <v>824.3308</v>
      </c>
      <c r="E25" s="78">
        <f si="0" t="shared"/>
        <v>24901.295900000001</v>
      </c>
      <c r="G25">
        <v>14</v>
      </c>
      <c r="H25" s="88" t="n">
        <v>30749.0</v>
      </c>
      <c r="I25" s="88" t="n">
        <v>6454.0</v>
      </c>
      <c r="J25" s="88" t="n">
        <v>1853.0</v>
      </c>
      <c r="K25" s="78">
        <f si="1" t="shared"/>
        <v>39764</v>
      </c>
      <c r="W25" s="9"/>
    </row>
    <row r="26" spans="1:23" x14ac:dyDescent="0.25">
      <c r="A26">
        <v>15</v>
      </c>
      <c r="B26" s="78" t="n">
        <v>36364.583</v>
      </c>
      <c r="C26" s="78" t="n">
        <v>9687.0343</v>
      </c>
      <c r="D26" s="78" t="n">
        <v>3734.678</v>
      </c>
      <c r="E26" s="78">
        <f si="0" t="shared"/>
        <v>49786.295299999998</v>
      </c>
      <c r="G26">
        <v>15</v>
      </c>
      <c r="H26" s="88" t="n">
        <v>36312.0</v>
      </c>
      <c r="I26" s="88" t="n">
        <v>6982.0</v>
      </c>
      <c r="J26" s="88" t="n">
        <v>1937.0</v>
      </c>
      <c r="K26" s="78">
        <f si="1" t="shared"/>
        <v>42104</v>
      </c>
      <c r="W26" s="9"/>
    </row>
    <row r="27" spans="1:23" x14ac:dyDescent="0.25">
      <c r="A27">
        <v>16</v>
      </c>
      <c r="B27" s="78" t="n">
        <v>44826.6757</v>
      </c>
      <c r="C27" s="78" t="n">
        <v>7267.1258</v>
      </c>
      <c r="D27" s="78" t="n">
        <v>1588.3517</v>
      </c>
      <c r="E27" s="78">
        <f si="0" t="shared"/>
        <v>53682.153200000001</v>
      </c>
      <c r="G27">
        <v>16</v>
      </c>
      <c r="H27" s="88" t="n">
        <v>40474.0</v>
      </c>
      <c r="I27" s="88" t="n">
        <v>7703.0</v>
      </c>
      <c r="J27" s="88" t="n">
        <v>2087.0</v>
      </c>
      <c r="K27" s="78">
        <f si="1" t="shared"/>
        <v>49360</v>
      </c>
      <c r="W27" s="9"/>
    </row>
    <row r="28" spans="1:23" x14ac:dyDescent="0.25">
      <c r="A28">
        <v>17</v>
      </c>
      <c r="B28" s="78" t="n">
        <v>35556.532</v>
      </c>
      <c r="C28" s="78" t="n">
        <v>6637.9768</v>
      </c>
      <c r="D28" s="78" t="n">
        <v>281.2962</v>
      </c>
      <c r="E28" s="78">
        <f si="0" t="shared"/>
        <v>42475.804999999993</v>
      </c>
      <c r="G28">
        <v>17</v>
      </c>
      <c r="H28" s="88" t="n">
        <v>25432.0</v>
      </c>
      <c r="I28" s="88" t="n">
        <v>5408.0</v>
      </c>
      <c r="J28" s="88" t="n">
        <v>1259.0</v>
      </c>
      <c r="K28" s="78">
        <f si="1" t="shared"/>
        <v>33844</v>
      </c>
      <c r="W28" s="9"/>
    </row>
    <row r="29" spans="1:23" x14ac:dyDescent="0.25">
      <c r="A29">
        <v>18</v>
      </c>
      <c r="B29" s="78" t="n">
        <v>35635.557</v>
      </c>
      <c r="C29" s="78" t="n">
        <v>4662.7737</v>
      </c>
      <c r="D29" s="78" t="n">
        <v>1496.6290999999999</v>
      </c>
      <c r="E29" s="78">
        <f si="0" t="shared"/>
        <v>41794.959799999997</v>
      </c>
      <c r="G29">
        <v>18</v>
      </c>
      <c r="H29" s="88" t="n">
        <v>28629.0</v>
      </c>
      <c r="I29" s="88" t="n">
        <v>5666.0</v>
      </c>
      <c r="J29" s="88" t="n">
        <v>1319.0</v>
      </c>
      <c r="K29" s="78">
        <f si="1" t="shared"/>
        <v>41835</v>
      </c>
      <c r="W29" s="9"/>
    </row>
    <row r="30" spans="1:23" x14ac:dyDescent="0.25">
      <c r="A30">
        <v>19</v>
      </c>
      <c r="B30" s="78" t="n">
        <v>22600.841</v>
      </c>
      <c r="C30" s="78" t="n">
        <v>2137.9954000000002</v>
      </c>
      <c r="D30" s="78" t="n">
        <v>158.2176</v>
      </c>
      <c r="E30" s="78">
        <f si="0" t="shared"/>
        <v>24897.054</v>
      </c>
      <c r="G30">
        <v>19</v>
      </c>
      <c r="H30" s="88" t="n">
        <v>19701.0</v>
      </c>
      <c r="I30" s="88" t="n">
        <v>3774.0</v>
      </c>
      <c r="J30" s="88" t="n">
        <v>1029.0</v>
      </c>
      <c r="K30" s="78">
        <f si="1" t="shared"/>
        <v>30666</v>
      </c>
      <c r="W30" s="9"/>
    </row>
    <row r="31" spans="1:23" x14ac:dyDescent="0.25">
      <c r="A31">
        <v>20</v>
      </c>
      <c r="B31" s="78" t="n">
        <v>19907.5625</v>
      </c>
      <c r="C31" s="78" t="n">
        <v>732.5835</v>
      </c>
      <c r="D31" s="78" t="n">
        <v>236.5559</v>
      </c>
      <c r="E31" s="78">
        <f si="0" t="shared"/>
        <v>20876.7019</v>
      </c>
      <c r="G31">
        <v>20</v>
      </c>
      <c r="H31" s="88" t="n">
        <v>20558.0</v>
      </c>
      <c r="I31" s="88" t="n">
        <v>4095.0</v>
      </c>
      <c r="J31" s="88" t="n">
        <v>1047.0</v>
      </c>
      <c r="K31" s="78">
        <f si="1" t="shared"/>
        <v>26046</v>
      </c>
      <c r="W31" s="9"/>
    </row>
    <row r="32" spans="1:23" x14ac:dyDescent="0.25">
      <c r="A32">
        <v>21</v>
      </c>
      <c r="B32" s="78" t="n">
        <v>23100.4108</v>
      </c>
      <c r="C32" s="78" t="n">
        <v>916.4123</v>
      </c>
      <c r="D32" s="78" t="n">
        <v>125.08529999999999</v>
      </c>
      <c r="E32" s="78">
        <f si="0" t="shared"/>
        <v>24141.9084</v>
      </c>
      <c r="G32">
        <v>21</v>
      </c>
      <c r="H32" s="88" t="n">
        <v>18508.0</v>
      </c>
      <c r="I32" s="88" t="n">
        <v>3680.0</v>
      </c>
      <c r="J32" s="88" t="n">
        <v>785.0</v>
      </c>
      <c r="K32" s="78">
        <f si="1" t="shared"/>
        <v>27508</v>
      </c>
      <c r="W32" s="9"/>
    </row>
    <row r="33" spans="1:23" x14ac:dyDescent="0.25">
      <c r="A33">
        <v>22</v>
      </c>
      <c r="B33" s="78" t="n">
        <v>16488.7407</v>
      </c>
      <c r="C33" s="78" t="n">
        <v>634.7806</v>
      </c>
      <c r="D33" s="78" t="n">
        <v>291.3284</v>
      </c>
      <c r="E33" s="78">
        <f si="0" t="shared"/>
        <v>17414.849699999999</v>
      </c>
      <c r="G33">
        <v>22</v>
      </c>
      <c r="H33" s="88" t="n">
        <v>18343.0</v>
      </c>
      <c r="I33" s="88" t="n">
        <v>3500.0</v>
      </c>
      <c r="J33" s="88" t="n">
        <v>821.0</v>
      </c>
      <c r="K33" s="78">
        <f si="1" t="shared"/>
        <v>24709</v>
      </c>
      <c r="W33" s="9"/>
    </row>
    <row r="34" spans="1:23" x14ac:dyDescent="0.25">
      <c r="A34">
        <v>23</v>
      </c>
      <c r="B34" s="78" t="n">
        <v>20650.7909</v>
      </c>
      <c r="C34" s="78" t="n">
        <v>3158.1215</v>
      </c>
      <c r="D34" s="78" t="n">
        <v>258.1781</v>
      </c>
      <c r="E34" s="78">
        <f si="0" t="shared"/>
        <v>24067.090500000002</v>
      </c>
      <c r="G34">
        <v>23</v>
      </c>
      <c r="H34" s="88" t="n">
        <v>14564.0</v>
      </c>
      <c r="I34" s="88" t="n">
        <v>2829.0</v>
      </c>
      <c r="J34" s="88" t="n">
        <v>647.0</v>
      </c>
      <c r="K34" s="78">
        <f si="1" t="shared"/>
        <v>22872</v>
      </c>
      <c r="W34" s="9"/>
    </row>
    <row r="35" spans="1:23" x14ac:dyDescent="0.25">
      <c r="A35">
        <v>24</v>
      </c>
      <c r="B35" s="78" t="n">
        <v>14428.0627</v>
      </c>
      <c r="C35" s="78" t="n">
        <v>1332.7325</v>
      </c>
      <c r="D35" s="78" t="n">
        <v>0.0</v>
      </c>
      <c r="E35" s="78">
        <f si="0" t="shared"/>
        <v>15760.7952</v>
      </c>
      <c r="G35">
        <v>24</v>
      </c>
      <c r="H35" s="88" t="n">
        <v>14603.0</v>
      </c>
      <c r="I35" s="88" t="n">
        <v>2669.0</v>
      </c>
      <c r="J35" s="88" t="n">
        <v>603.0</v>
      </c>
      <c r="K35" s="78">
        <f si="1" t="shared"/>
        <v>21231</v>
      </c>
      <c r="W35" s="9"/>
    </row>
    <row r="36" spans="1:23" x14ac:dyDescent="0.25">
      <c r="A36">
        <v>25</v>
      </c>
      <c r="B36" s="78" t="n">
        <v>18335.8136</v>
      </c>
      <c r="C36" s="78" t="n">
        <v>749.1001</v>
      </c>
      <c r="D36" s="78" t="n">
        <v>0.0</v>
      </c>
      <c r="E36" s="78">
        <f si="0" t="shared"/>
        <v>19084.913700000001</v>
      </c>
      <c r="G36">
        <v>25</v>
      </c>
      <c r="H36" s="88" t="n">
        <v>13737.0</v>
      </c>
      <c r="I36" s="88" t="n">
        <v>2660.0</v>
      </c>
      <c r="J36" s="88" t="n">
        <v>614.0</v>
      </c>
      <c r="K36" s="78">
        <f si="1" t="shared"/>
        <v>18699</v>
      </c>
      <c r="W36" s="9"/>
    </row>
    <row r="37" spans="1:23" x14ac:dyDescent="0.25">
      <c r="A37">
        <v>26</v>
      </c>
      <c r="B37" s="78" t="n">
        <v>15123.073</v>
      </c>
      <c r="C37" s="78" t="n">
        <v>394.4873</v>
      </c>
      <c r="D37" s="78" t="n">
        <v>1260.1192</v>
      </c>
      <c r="E37" s="78">
        <f si="0" t="shared"/>
        <v>16777.679500000002</v>
      </c>
      <c r="G37">
        <v>26</v>
      </c>
      <c r="H37" s="88" t="n">
        <v>10442.0</v>
      </c>
      <c r="I37" s="88" t="n">
        <v>2200.0</v>
      </c>
      <c r="J37" s="88" t="n">
        <v>484.0</v>
      </c>
      <c r="K37" s="78">
        <f si="1" t="shared"/>
        <v>20141</v>
      </c>
      <c r="W37" s="9"/>
    </row>
    <row r="38" spans="1:23" x14ac:dyDescent="0.25">
      <c r="A38">
        <v>27</v>
      </c>
      <c r="B38" s="78" t="n">
        <v>11332.1365</v>
      </c>
      <c r="C38" s="78" t="n">
        <v>473.82550000000003</v>
      </c>
      <c r="D38" s="78" t="n">
        <v>164.9238</v>
      </c>
      <c r="E38" s="78">
        <f si="0" t="shared"/>
        <v>11970.885800000002</v>
      </c>
      <c r="G38">
        <v>27</v>
      </c>
      <c r="H38" s="88" t="n">
        <v>12233.0</v>
      </c>
      <c r="I38" s="88" t="n">
        <v>2887.0</v>
      </c>
      <c r="J38" s="88" t="n">
        <v>564.0</v>
      </c>
      <c r="K38" s="78">
        <f si="1" t="shared"/>
        <v>17237</v>
      </c>
      <c r="W38" s="9"/>
    </row>
    <row r="39" spans="1:23" x14ac:dyDescent="0.25">
      <c r="A39">
        <v>28</v>
      </c>
      <c r="B39" s="78" t="n">
        <v>8081.2008</v>
      </c>
      <c r="C39" s="78" t="n">
        <v>1182.9858</v>
      </c>
      <c r="D39" s="78" t="n">
        <v>0.0</v>
      </c>
      <c r="E39" s="78">
        <f si="0" t="shared"/>
        <v>9264.1865999999991</v>
      </c>
      <c r="G39">
        <v>28</v>
      </c>
      <c r="H39" s="88" t="n">
        <v>7556.0</v>
      </c>
      <c r="I39" s="88" t="n">
        <v>1682.0</v>
      </c>
      <c r="J39" s="88" t="n">
        <v>340.0</v>
      </c>
      <c r="K39" s="78">
        <f si="1" t="shared"/>
        <v>14576</v>
      </c>
      <c r="W39" s="9"/>
    </row>
    <row r="40" spans="1:23" x14ac:dyDescent="0.25">
      <c r="A40">
        <v>29</v>
      </c>
      <c r="B40" s="78" t="n">
        <v>4207.8454</v>
      </c>
      <c r="C40" s="78" t="n">
        <v>342.003</v>
      </c>
      <c r="D40" s="78" t="n">
        <v>310.7895</v>
      </c>
      <c r="E40" s="78">
        <f si="0" t="shared"/>
        <v>4860.6378999999997</v>
      </c>
      <c r="G40">
        <v>29</v>
      </c>
      <c r="H40" s="88" t="n">
        <v>8216.0</v>
      </c>
      <c r="I40" s="88" t="n">
        <v>1866.0</v>
      </c>
      <c r="J40" s="88" t="n">
        <v>407.0</v>
      </c>
      <c r="K40" s="78">
        <f si="1" t="shared"/>
        <v>12628</v>
      </c>
      <c r="W40" s="9"/>
    </row>
    <row r="41" spans="1:23" x14ac:dyDescent="0.25">
      <c r="A41">
        <v>30</v>
      </c>
      <c r="B41" s="78" t="n">
        <v>4613.4496</v>
      </c>
      <c r="C41" s="78" t="n">
        <v>1057.8468</v>
      </c>
      <c r="D41" s="78" t="n">
        <v>149.5759</v>
      </c>
      <c r="E41" s="78">
        <f si="0" t="shared"/>
        <v>5820.8723</v>
      </c>
      <c r="G41">
        <v>30</v>
      </c>
      <c r="H41" s="88" t="n">
        <v>7326.0</v>
      </c>
      <c r="I41" s="88" t="n">
        <v>1786.0</v>
      </c>
      <c r="J41" s="88" t="n">
        <v>312.0</v>
      </c>
      <c r="K41" s="78">
        <f si="1" t="shared"/>
        <v>11312</v>
      </c>
      <c r="W41" s="9"/>
    </row>
    <row r="42" spans="1:23" x14ac:dyDescent="0.25">
      <c r="A42">
        <v>31</v>
      </c>
      <c r="B42" s="78" t="n">
        <v>7420.6662</v>
      </c>
      <c r="C42" s="78" t="n">
        <v>896.4806</v>
      </c>
      <c r="D42" s="78" t="n">
        <v>0.0</v>
      </c>
      <c r="E42" s="78">
        <f si="0" t="shared"/>
        <v>8317.1468000000004</v>
      </c>
      <c r="G42">
        <v>31</v>
      </c>
      <c r="H42" s="88" t="n">
        <v>5137.0</v>
      </c>
      <c r="I42" s="88" t="n">
        <v>1266.0</v>
      </c>
      <c r="J42" s="88" t="n">
        <v>228.0</v>
      </c>
      <c r="K42" s="78">
        <f si="1" t="shared"/>
        <v>10520</v>
      </c>
      <c r="W42" s="9"/>
    </row>
    <row r="43" spans="1:23" x14ac:dyDescent="0.25">
      <c r="A43">
        <v>32</v>
      </c>
      <c r="B43" s="78" t="n">
        <v>2142.3544</v>
      </c>
      <c r="C43" s="78" t="n">
        <v>221.9759</v>
      </c>
      <c r="D43" s="78" t="n">
        <v>0.0</v>
      </c>
      <c r="E43" s="78">
        <f si="0" t="shared"/>
        <v>2364.3303000000001</v>
      </c>
      <c r="G43">
        <v>32</v>
      </c>
      <c r="H43" s="88" t="n">
        <v>4054.0</v>
      </c>
      <c r="I43" s="88" t="n">
        <v>1060.0</v>
      </c>
      <c r="J43" s="88" t="n">
        <v>170.0</v>
      </c>
      <c r="K43" s="78">
        <f si="1" t="shared"/>
        <v>8726</v>
      </c>
      <c r="W43" s="9"/>
    </row>
    <row r="44" spans="1:23" x14ac:dyDescent="0.25">
      <c r="A44">
        <v>33</v>
      </c>
      <c r="B44" s="78" t="n">
        <v>4324.428</v>
      </c>
      <c r="C44" s="78" t="n">
        <v>163.7615</v>
      </c>
      <c r="D44" s="78" t="n">
        <v>0.0</v>
      </c>
      <c r="E44" s="78">
        <f si="0" t="shared"/>
        <v>4488.1894999999995</v>
      </c>
      <c r="G44">
        <v>33</v>
      </c>
      <c r="H44" s="88" t="n">
        <v>4031.0</v>
      </c>
      <c r="I44" s="88" t="n">
        <v>1054.0</v>
      </c>
      <c r="J44" s="88" t="n">
        <v>195.0</v>
      </c>
      <c r="K44" s="78">
        <f si="1" t="shared"/>
        <v>7950</v>
      </c>
      <c r="W44" s="9"/>
    </row>
    <row r="45" spans="1:23" x14ac:dyDescent="0.25">
      <c r="A45">
        <v>34</v>
      </c>
      <c r="B45" s="78" t="n">
        <v>8539.184</v>
      </c>
      <c r="C45" s="78" t="n">
        <v>0.0</v>
      </c>
      <c r="D45" s="78" t="n">
        <v>599.2903</v>
      </c>
      <c r="E45" s="78">
        <f si="0" t="shared"/>
        <v>9138.4742999999999</v>
      </c>
      <c r="G45">
        <v>34</v>
      </c>
      <c r="H45" s="88" t="n">
        <v>3854.0</v>
      </c>
      <c r="I45" s="88" t="n">
        <v>1007.0</v>
      </c>
      <c r="J45" s="88" t="n">
        <v>235.0</v>
      </c>
      <c r="K45" s="78">
        <f si="1" t="shared"/>
        <v>7414</v>
      </c>
      <c r="W45" s="9"/>
    </row>
    <row r="46" spans="1:23" x14ac:dyDescent="0.25">
      <c r="A46">
        <v>35</v>
      </c>
      <c r="B46" s="78" t="n">
        <v>2900.4254</v>
      </c>
      <c r="C46" s="78" t="n">
        <v>0.0</v>
      </c>
      <c r="D46" s="78" t="n">
        <v>0.0</v>
      </c>
      <c r="E46" s="78">
        <f si="0" t="shared"/>
        <v>2900.4254000000001</v>
      </c>
      <c r="G46">
        <v>35</v>
      </c>
      <c r="H46" s="88" t="n">
        <v>2682.0</v>
      </c>
      <c r="I46" s="88" t="n">
        <v>750.0</v>
      </c>
      <c r="J46" s="88" t="n">
        <v>134.0</v>
      </c>
      <c r="K46" s="78">
        <f si="1" t="shared"/>
        <v>6216</v>
      </c>
      <c r="W46" s="9"/>
    </row>
    <row r="47" spans="1:23" x14ac:dyDescent="0.25">
      <c r="A47">
        <v>36</v>
      </c>
      <c r="B47" s="78" t="n">
        <v>10480.5181</v>
      </c>
      <c r="C47" s="78" t="n">
        <v>0.0</v>
      </c>
      <c r="D47" s="78" t="n">
        <v>0.0</v>
      </c>
      <c r="E47" s="78">
        <f si="0" t="shared"/>
        <v>10480.518099999999</v>
      </c>
      <c r="G47">
        <v>36</v>
      </c>
      <c r="H47" s="88" t="n">
        <v>3452.0</v>
      </c>
      <c r="I47" s="88" t="n">
        <v>903.0</v>
      </c>
      <c r="J47" s="88" t="n">
        <v>176.0</v>
      </c>
      <c r="K47" s="78">
        <f si="1" t="shared"/>
        <v>8425</v>
      </c>
      <c r="W47" s="9"/>
    </row>
    <row r="48" spans="1:23" x14ac:dyDescent="0.25">
      <c r="A48">
        <v>37</v>
      </c>
      <c r="B48" s="78" t="n">
        <v>4184.4275</v>
      </c>
      <c r="C48" s="78" t="n">
        <v>0.0</v>
      </c>
      <c r="D48" s="78" t="n">
        <v>0.0</v>
      </c>
      <c r="E48" s="78">
        <f si="0" t="shared"/>
        <v>4184.4274999999998</v>
      </c>
      <c r="G48">
        <v>37</v>
      </c>
      <c r="H48" s="88" t="n">
        <v>3549.0</v>
      </c>
      <c r="I48" s="88" t="n">
        <v>977.0</v>
      </c>
      <c r="J48" s="88" t="n">
        <v>151.0</v>
      </c>
      <c r="K48" s="78">
        <f si="1" t="shared"/>
        <v>6715</v>
      </c>
      <c r="W48" s="9"/>
    </row>
    <row r="49" spans="1:23" x14ac:dyDescent="0.25">
      <c r="A49">
        <v>38</v>
      </c>
      <c r="B49" s="78" t="n">
        <v>5133.441</v>
      </c>
      <c r="C49" s="78" t="n">
        <v>1226.5317</v>
      </c>
      <c r="D49" s="78" t="n">
        <v>258.1531</v>
      </c>
      <c r="E49" s="78">
        <f si="0" t="shared"/>
        <v>6618.1257999999998</v>
      </c>
      <c r="G49">
        <v>38</v>
      </c>
      <c r="H49" s="88" t="n">
        <v>3016.0</v>
      </c>
      <c r="I49" s="88" t="n">
        <v>808.0</v>
      </c>
      <c r="J49" s="88" t="n">
        <v>144.0</v>
      </c>
      <c r="K49" s="78">
        <f si="1" t="shared"/>
        <v>7067</v>
      </c>
      <c r="W49" s="9"/>
    </row>
    <row r="50" spans="1:23" x14ac:dyDescent="0.25">
      <c r="A50">
        <v>39</v>
      </c>
      <c r="B50" s="78" t="n">
        <v>4403.4699</v>
      </c>
      <c r="C50" s="78" t="n">
        <v>426.0483</v>
      </c>
      <c r="D50" s="78" t="n">
        <v>382.4193</v>
      </c>
      <c r="E50" s="78">
        <f si="0" t="shared"/>
        <v>5211.9375</v>
      </c>
      <c r="G50">
        <v>39</v>
      </c>
      <c r="H50" s="88" t="n">
        <v>2527.0</v>
      </c>
      <c r="I50" s="88" t="n">
        <v>692.0</v>
      </c>
      <c r="J50" s="88" t="n">
        <v>105.0</v>
      </c>
      <c r="K50" s="78">
        <f si="1" t="shared"/>
        <v>6111</v>
      </c>
      <c r="W50" s="9"/>
    </row>
    <row r="51" spans="1:23" x14ac:dyDescent="0.25">
      <c r="A51">
        <v>40</v>
      </c>
      <c r="B51" s="78" t="n">
        <v>4396.4463</v>
      </c>
      <c r="C51" s="78" t="n">
        <v>0.0</v>
      </c>
      <c r="D51" s="78" t="n">
        <v>218.6278</v>
      </c>
      <c r="E51" s="78">
        <f si="0" t="shared"/>
        <v>4615.0740999999998</v>
      </c>
      <c r="G51">
        <v>40</v>
      </c>
      <c r="H51" s="88" t="n">
        <v>1943.0</v>
      </c>
      <c r="I51" s="88" t="n">
        <v>583.0</v>
      </c>
      <c r="J51" s="88" t="n">
        <v>110.0</v>
      </c>
      <c r="K51" s="78">
        <f si="1" t="shared"/>
        <v>4908</v>
      </c>
      <c r="W51" s="9"/>
    </row>
    <row r="52" spans="1:23" x14ac:dyDescent="0.25">
      <c r="A52">
        <v>41</v>
      </c>
      <c r="B52" s="78" t="n">
        <v>1904.09</v>
      </c>
      <c r="C52" s="78" t="n">
        <v>87.5526</v>
      </c>
      <c r="D52" s="78" t="n">
        <v>0.0</v>
      </c>
      <c r="E52" s="78">
        <f si="0" t="shared"/>
        <v>1991.6425999999999</v>
      </c>
      <c r="G52">
        <v>41</v>
      </c>
      <c r="H52" s="88" t="n">
        <v>1754.0</v>
      </c>
      <c r="I52" s="88" t="n">
        <v>537.0</v>
      </c>
      <c r="J52" s="88" t="n">
        <v>63.0</v>
      </c>
      <c r="K52" s="78">
        <f si="1" t="shared"/>
        <v>4532</v>
      </c>
      <c r="W52" s="9"/>
    </row>
    <row r="53" spans="1:23" x14ac:dyDescent="0.25">
      <c r="A53">
        <v>42</v>
      </c>
      <c r="B53" s="78" t="n">
        <v>763.2845</v>
      </c>
      <c r="C53" s="78" t="n">
        <v>56.9735</v>
      </c>
      <c r="D53" s="78" t="n">
        <v>0.0</v>
      </c>
      <c r="E53" s="78">
        <f si="0" t="shared"/>
        <v>820.25800000000004</v>
      </c>
      <c r="G53">
        <v>42</v>
      </c>
      <c r="H53" s="88" t="n">
        <v>1006.0</v>
      </c>
      <c r="I53" s="88" t="n">
        <v>372.0</v>
      </c>
      <c r="J53" s="88" t="n">
        <v>52.0</v>
      </c>
      <c r="K53" s="78">
        <f si="1" t="shared"/>
        <v>3432</v>
      </c>
      <c r="W53" s="9"/>
    </row>
    <row r="54" spans="1:23" x14ac:dyDescent="0.25">
      <c r="A54">
        <v>43</v>
      </c>
      <c r="B54" s="78" t="n">
        <v>778.7807</v>
      </c>
      <c r="C54" s="78" t="n">
        <v>0.0</v>
      </c>
      <c r="D54" s="78" t="n">
        <v>0.0</v>
      </c>
      <c r="E54" s="78">
        <f si="0" t="shared"/>
        <v>778.78070000000002</v>
      </c>
      <c r="G54">
        <v>43</v>
      </c>
      <c r="H54" s="88" t="n">
        <v>1451.0</v>
      </c>
      <c r="I54" s="88" t="n">
        <v>442.0</v>
      </c>
      <c r="J54" s="88" t="n">
        <v>111.0</v>
      </c>
      <c r="K54" s="78">
        <f si="1" t="shared"/>
        <v>3161</v>
      </c>
      <c r="W54" s="9"/>
    </row>
    <row r="55" spans="1:23" x14ac:dyDescent="0.25">
      <c r="A55">
        <v>44</v>
      </c>
      <c r="B55" s="78" t="n">
        <v>1850.674</v>
      </c>
      <c r="C55" s="78" t="n">
        <v>0.0</v>
      </c>
      <c r="D55" s="78" t="n">
        <v>0.0</v>
      </c>
      <c r="E55" s="78">
        <f si="0" t="shared"/>
        <v>1850.674</v>
      </c>
      <c r="G55">
        <v>44</v>
      </c>
      <c r="H55" s="88" t="n">
        <v>1201.0</v>
      </c>
      <c r="I55" s="88" t="n">
        <v>400.0</v>
      </c>
      <c r="J55" s="88" t="n">
        <v>56.0</v>
      </c>
      <c r="K55" s="78">
        <f si="1" t="shared"/>
        <v>3160</v>
      </c>
      <c r="W55" s="9"/>
    </row>
    <row r="56" spans="1:23" x14ac:dyDescent="0.25">
      <c r="A56">
        <v>45</v>
      </c>
      <c r="B56" s="78" t="n">
        <v>1873.7078999999999</v>
      </c>
      <c r="C56" s="78" t="n">
        <v>0.0</v>
      </c>
      <c r="D56" s="78" t="n">
        <v>0.0</v>
      </c>
      <c r="E56" s="78">
        <f si="0" t="shared"/>
        <v>1873.7078999999999</v>
      </c>
      <c r="G56">
        <v>45</v>
      </c>
      <c r="H56" s="88" t="n">
        <v>3247.0</v>
      </c>
      <c r="I56" s="88" t="n">
        <v>976.0</v>
      </c>
      <c r="J56" s="88" t="n">
        <v>191.0</v>
      </c>
      <c r="K56" s="78">
        <f si="1" t="shared"/>
        <v>5089</v>
      </c>
      <c r="W56" s="9"/>
    </row>
    <row r="57" spans="1:23" x14ac:dyDescent="0.25">
      <c r="A57">
        <v>46</v>
      </c>
      <c r="B57" s="78" t="n">
        <v>661.6214</v>
      </c>
      <c r="C57" s="78" t="n">
        <v>863.9641</v>
      </c>
      <c r="D57" s="78" t="n">
        <v>0.0</v>
      </c>
      <c r="E57" s="78">
        <f si="0" t="shared"/>
        <v>1525.5855000000001</v>
      </c>
      <c r="G57">
        <v>46</v>
      </c>
      <c r="H57" s="88" t="n">
        <v>2281.0</v>
      </c>
      <c r="I57" s="88" t="n">
        <v>628.0</v>
      </c>
      <c r="J57" s="88" t="n">
        <v>87.0</v>
      </c>
      <c r="K57" s="78">
        <f si="1" t="shared"/>
        <v>5081</v>
      </c>
      <c r="W57" s="9"/>
    </row>
    <row r="58" spans="1:23" x14ac:dyDescent="0.25">
      <c r="A58">
        <v>47</v>
      </c>
      <c r="B58" s="78" t="n">
        <v>3229.8224</v>
      </c>
      <c r="C58" s="78" t="n">
        <v>105.4442</v>
      </c>
      <c r="D58" s="78" t="n">
        <v>0.0</v>
      </c>
      <c r="E58" s="78">
        <f si="0" t="shared"/>
        <v>3335.2665999999999</v>
      </c>
      <c r="G58">
        <v>47</v>
      </c>
      <c r="H58" s="88" t="n">
        <v>781.0</v>
      </c>
      <c r="I58" s="88" t="n">
        <v>296.0</v>
      </c>
      <c r="J58" s="88" t="n">
        <v>41.0</v>
      </c>
      <c r="K58" s="78">
        <f si="1" t="shared"/>
        <v>2371</v>
      </c>
      <c r="W58" s="9"/>
    </row>
    <row r="59" spans="1:23" x14ac:dyDescent="0.25">
      <c r="A59">
        <v>48</v>
      </c>
      <c r="B59" s="78" t="n">
        <v>2448.1536</v>
      </c>
      <c r="C59" s="78" t="n">
        <v>0.0</v>
      </c>
      <c r="D59" s="78" t="n">
        <v>0.0</v>
      </c>
      <c r="E59" s="78">
        <f si="0" t="shared"/>
        <v>2448.1536000000001</v>
      </c>
      <c r="G59">
        <v>48</v>
      </c>
      <c r="H59" s="88" t="n">
        <v>571.0</v>
      </c>
      <c r="I59" s="88" t="n">
        <v>206.0</v>
      </c>
      <c r="J59" s="88" t="n">
        <v>29.0</v>
      </c>
      <c r="K59" s="78">
        <f si="1" t="shared"/>
        <v>1793</v>
      </c>
      <c r="W59" s="9"/>
    </row>
    <row r="60" spans="1:23" x14ac:dyDescent="0.25">
      <c r="A60">
        <v>49</v>
      </c>
      <c r="B60" s="78" t="n">
        <v>1198.4344999999998</v>
      </c>
      <c r="C60" s="78" t="n">
        <v>0.0</v>
      </c>
      <c r="D60" s="78" t="n">
        <v>0.0</v>
      </c>
      <c r="E60" s="78">
        <f si="0" t="shared"/>
        <v>1198.4344999999998</v>
      </c>
      <c r="G60">
        <v>49</v>
      </c>
      <c r="H60" s="88" t="n">
        <v>1163.0</v>
      </c>
      <c r="I60" s="88" t="n">
        <v>312.0</v>
      </c>
      <c r="J60" s="88" t="n">
        <v>37.0</v>
      </c>
      <c r="K60" s="78">
        <f si="1" t="shared"/>
        <v>2203</v>
      </c>
      <c r="W60" s="9"/>
    </row>
    <row r="61" spans="1:23" x14ac:dyDescent="0.25">
      <c r="A61">
        <v>50</v>
      </c>
      <c r="B61" s="78" t="n">
        <v>909.7793</v>
      </c>
      <c r="C61" s="78" t="n">
        <v>0.0</v>
      </c>
      <c r="D61" s="78" t="n">
        <v>0.0</v>
      </c>
      <c r="E61" s="78">
        <f si="0" t="shared"/>
        <v>909.77930000000003</v>
      </c>
      <c r="G61">
        <v>50</v>
      </c>
      <c r="H61" s="88" t="n">
        <v>932.0</v>
      </c>
      <c r="I61" s="88" t="n">
        <v>324.0</v>
      </c>
      <c r="J61" s="88" t="n">
        <v>66.0</v>
      </c>
      <c r="K61" s="78">
        <f si="1" t="shared"/>
        <v>2734</v>
      </c>
      <c r="W61" s="9"/>
    </row>
    <row r="62" spans="1:23" x14ac:dyDescent="0.25">
      <c r="A62">
        <v>51</v>
      </c>
      <c r="B62" s="78" t="n">
        <v>438.9317</v>
      </c>
      <c r="C62" s="78" t="n">
        <v>0.0</v>
      </c>
      <c r="D62" s="78" t="n">
        <v>0.0</v>
      </c>
      <c r="E62" s="78">
        <f si="0" t="shared"/>
        <v>438.93169999999998</v>
      </c>
      <c r="G62">
        <v>51</v>
      </c>
      <c r="H62" s="88" t="n">
        <v>1701.0</v>
      </c>
      <c r="I62" s="88" t="n">
        <v>574.0</v>
      </c>
      <c r="J62" s="88" t="n">
        <v>124.0</v>
      </c>
      <c r="K62" s="78">
        <f si="1" t="shared"/>
        <v>3832</v>
      </c>
      <c r="W62" s="9"/>
    </row>
    <row r="63" spans="1:23" x14ac:dyDescent="0.25">
      <c r="A63">
        <v>52</v>
      </c>
      <c r="B63" s="78" t="n">
        <v>1607.8973</v>
      </c>
      <c r="C63" s="78" t="n">
        <v>0.0</v>
      </c>
      <c r="D63" s="78" t="n">
        <v>0.0</v>
      </c>
      <c r="E63" s="78">
        <f si="0" t="shared"/>
        <v>1607.8973000000001</v>
      </c>
      <c r="G63">
        <v>52</v>
      </c>
      <c r="H63" s="88" t="n">
        <v>355.0</v>
      </c>
      <c r="I63" s="88" t="n">
        <v>146.0</v>
      </c>
      <c r="J63" s="88" t="n">
        <v>18.0</v>
      </c>
      <c r="K63" s="78">
        <f si="1" t="shared"/>
        <v>1241</v>
      </c>
      <c r="W63" s="9"/>
    </row>
    <row r="64" spans="1:23" x14ac:dyDescent="0.25">
      <c r="A64">
        <v>53</v>
      </c>
      <c r="B64" s="78" t="n">
        <v>309.5767</v>
      </c>
      <c r="C64" s="78" t="n">
        <v>0.0</v>
      </c>
      <c r="D64" s="78" t="n">
        <v>0.0</v>
      </c>
      <c r="E64" s="78">
        <f si="0" t="shared"/>
        <v>309.57670000000002</v>
      </c>
      <c r="G64">
        <v>53</v>
      </c>
      <c r="H64" s="88" t="n">
        <v>480.0</v>
      </c>
      <c r="I64" s="88" t="n">
        <v>177.0</v>
      </c>
      <c r="J64" s="88" t="n">
        <v>24.0</v>
      </c>
      <c r="K64" s="78">
        <f si="1" t="shared"/>
        <v>1515</v>
      </c>
      <c r="W64" s="9"/>
    </row>
    <row r="65" spans="1:23" x14ac:dyDescent="0.25">
      <c r="A65">
        <v>54</v>
      </c>
      <c r="B65" s="78" t="n">
        <v>783.2329</v>
      </c>
      <c r="C65" s="78" t="n">
        <v>0.0</v>
      </c>
      <c r="D65" s="78" t="n">
        <v>0.0</v>
      </c>
      <c r="E65" s="78">
        <f si="0" t="shared"/>
        <v>783.23289999999997</v>
      </c>
      <c r="G65">
        <v>54</v>
      </c>
      <c r="H65" s="88" t="n">
        <v>305.0</v>
      </c>
      <c r="I65" s="88" t="n">
        <v>134.0</v>
      </c>
      <c r="J65" s="88" t="n">
        <v>16.0</v>
      </c>
      <c r="K65" s="78">
        <f si="1" t="shared"/>
        <v>1033</v>
      </c>
      <c r="W65" s="9"/>
    </row>
    <row r="66" spans="1:23" x14ac:dyDescent="0.25">
      <c r="A66">
        <v>55</v>
      </c>
      <c r="B66" s="78" t="n">
        <v>139.8938</v>
      </c>
      <c r="C66" s="78" t="n">
        <v>268.3759</v>
      </c>
      <c r="D66" s="78" t="n">
        <v>0.0</v>
      </c>
      <c r="E66" s="78">
        <f si="0" t="shared"/>
        <v>408.2697</v>
      </c>
      <c r="G66">
        <v>55</v>
      </c>
      <c r="H66" s="88" t="n">
        <v>342.0</v>
      </c>
      <c r="I66" s="88" t="n">
        <v>152.0</v>
      </c>
      <c r="J66" s="88" t="n">
        <v>20.0</v>
      </c>
      <c r="K66" s="78">
        <f si="1" t="shared"/>
        <v>830</v>
      </c>
      <c r="W66" s="9"/>
    </row>
    <row r="67" spans="1:23" x14ac:dyDescent="0.25">
      <c r="A67">
        <v>56</v>
      </c>
      <c r="B67" s="78" t="n">
        <v>0.0</v>
      </c>
      <c r="C67" s="78" t="n">
        <v>0.0</v>
      </c>
      <c r="D67" s="78" t="n">
        <v>0.0</v>
      </c>
      <c r="E67" s="78">
        <f si="0" t="shared"/>
        <v>0</v>
      </c>
      <c r="G67">
        <v>56</v>
      </c>
      <c r="H67" s="88" t="n">
        <v>337.0</v>
      </c>
      <c r="I67" s="88" t="n">
        <v>162.0</v>
      </c>
      <c r="J67" s="88" t="n">
        <v>26.0</v>
      </c>
      <c r="K67" s="78">
        <f si="1" t="shared"/>
        <v>1384</v>
      </c>
      <c r="W67" s="9"/>
    </row>
    <row r="68" spans="1:23" x14ac:dyDescent="0.25">
      <c r="A68">
        <v>57</v>
      </c>
      <c r="B68" s="78" t="n">
        <v>0.0</v>
      </c>
      <c r="C68" s="78" t="n">
        <v>203.3384</v>
      </c>
      <c r="D68" s="78" t="n">
        <v>0.0</v>
      </c>
      <c r="E68" s="78">
        <f si="0" t="shared"/>
        <v>203.33840000000001</v>
      </c>
      <c r="G68">
        <v>57</v>
      </c>
      <c r="H68" s="88" t="n">
        <v>245.0</v>
      </c>
      <c r="I68" s="88" t="n">
        <v>109.0</v>
      </c>
      <c r="J68" s="88" t="n">
        <v>18.0</v>
      </c>
      <c r="K68" s="78">
        <f si="1" t="shared"/>
        <v>840</v>
      </c>
      <c r="W68" s="9"/>
    </row>
    <row r="69" spans="1:23" x14ac:dyDescent="0.25">
      <c r="A69">
        <v>58</v>
      </c>
      <c r="B69" s="78" t="n">
        <v>0.0</v>
      </c>
      <c r="C69" s="78" t="n">
        <v>0.0</v>
      </c>
      <c r="D69" s="78" t="n">
        <v>0.0</v>
      </c>
      <c r="E69" s="78">
        <f si="0" t="shared"/>
        <v>0</v>
      </c>
      <c r="G69">
        <v>58</v>
      </c>
      <c r="H69" s="88" t="n">
        <v>198.0</v>
      </c>
      <c r="I69" s="88" t="n">
        <v>142.0</v>
      </c>
      <c r="J69" s="88" t="n">
        <v>16.0</v>
      </c>
      <c r="K69" s="78">
        <f si="1" t="shared"/>
        <v>975</v>
      </c>
      <c r="W69" s="9"/>
    </row>
    <row r="70" spans="1:23" x14ac:dyDescent="0.25">
      <c r="A70">
        <v>59</v>
      </c>
      <c r="B70" s="78" t="n">
        <v>0.0</v>
      </c>
      <c r="C70" s="78" t="n">
        <v>0.0</v>
      </c>
      <c r="D70" s="78" t="n">
        <v>0.0</v>
      </c>
      <c r="E70" s="78">
        <f si="0" t="shared"/>
        <v>0</v>
      </c>
      <c r="G70">
        <v>59</v>
      </c>
      <c r="H70" s="88" t="n">
        <v>186.0</v>
      </c>
      <c r="I70" s="88" t="n">
        <v>119.0</v>
      </c>
      <c r="J70" s="88" t="n">
        <v>17.0</v>
      </c>
      <c r="K70" s="78">
        <f si="1" t="shared"/>
        <v>583</v>
      </c>
      <c r="W70" s="9"/>
    </row>
    <row r="71" spans="1:23" x14ac:dyDescent="0.25">
      <c r="A71">
        <v>60</v>
      </c>
      <c r="B71" s="78" t="n">
        <v>0.0</v>
      </c>
      <c r="C71" s="78" t="n">
        <v>657.8338</v>
      </c>
      <c r="D71" s="78" t="n">
        <v>0.0</v>
      </c>
      <c r="E71" s="78">
        <f si="0" t="shared"/>
        <v>657.8338</v>
      </c>
      <c r="G71">
        <v>60</v>
      </c>
      <c r="H71" s="88" t="n">
        <v>111.0</v>
      </c>
      <c r="I71" s="88" t="n">
        <v>72.0</v>
      </c>
      <c r="J71" s="88" t="n">
        <v>9.0</v>
      </c>
      <c r="K71" s="78">
        <f si="1" t="shared"/>
        <v>509</v>
      </c>
      <c r="W71" s="9"/>
    </row>
    <row r="72" spans="1:23" x14ac:dyDescent="0.25">
      <c r="A72">
        <v>61</v>
      </c>
      <c r="B72" s="78" t="n">
        <v>99.5089</v>
      </c>
      <c r="C72" s="78" t="n">
        <v>0.0</v>
      </c>
      <c r="D72" s="78" t="n">
        <v>0.0</v>
      </c>
      <c r="E72" s="78">
        <f si="0" t="shared"/>
        <v>99.508899999999997</v>
      </c>
      <c r="G72">
        <v>61</v>
      </c>
      <c r="H72" s="88" t="n">
        <v>226.0</v>
      </c>
      <c r="I72" s="88" t="n">
        <v>97.0</v>
      </c>
      <c r="J72" s="88" t="n">
        <v>21.0</v>
      </c>
      <c r="K72" s="78">
        <f si="1" t="shared"/>
        <v>592</v>
      </c>
      <c r="W72" s="9"/>
    </row>
    <row r="73" spans="1:23" x14ac:dyDescent="0.25">
      <c r="A73">
        <v>62</v>
      </c>
      <c r="B73" s="78" t="n">
        <v>0.0</v>
      </c>
      <c r="C73" s="78" t="n">
        <v>0.0</v>
      </c>
      <c r="D73" s="78" t="n">
        <v>0.0</v>
      </c>
      <c r="E73" s="78">
        <f si="0" t="shared"/>
        <v>0</v>
      </c>
      <c r="G73">
        <v>62</v>
      </c>
      <c r="H73" s="88" t="n">
        <v>85.0</v>
      </c>
      <c r="I73" s="88" t="n">
        <v>52.0</v>
      </c>
      <c r="J73" s="88" t="n">
        <v>6.0</v>
      </c>
      <c r="K73" s="78">
        <f si="1" t="shared"/>
        <v>430</v>
      </c>
      <c r="W73" s="9"/>
    </row>
    <row r="74" spans="1:23" x14ac:dyDescent="0.25">
      <c r="A74">
        <v>63</v>
      </c>
      <c r="B74" s="78" t="n">
        <v>0.0</v>
      </c>
      <c r="C74" s="78" t="n">
        <v>0.0</v>
      </c>
      <c r="D74" s="78" t="n">
        <v>0.0</v>
      </c>
      <c r="E74" s="78">
        <f si="0" t="shared"/>
        <v>0</v>
      </c>
      <c r="G74">
        <v>63</v>
      </c>
      <c r="H74" s="88" t="n">
        <v>254.0</v>
      </c>
      <c r="I74" s="88" t="n">
        <v>111.0</v>
      </c>
      <c r="J74" s="88" t="n">
        <v>24.0</v>
      </c>
      <c r="K74" s="78">
        <f si="1" t="shared"/>
        <v>684</v>
      </c>
      <c r="W74" s="9"/>
    </row>
    <row r="75" spans="1:23" x14ac:dyDescent="0.25">
      <c r="A75">
        <v>64</v>
      </c>
      <c r="B75" s="78" t="n">
        <v>0.0</v>
      </c>
      <c r="C75" s="78" t="n">
        <v>0.0</v>
      </c>
      <c r="D75" s="78" t="n">
        <v>0.0</v>
      </c>
      <c r="E75" s="78">
        <f si="0" t="shared"/>
        <v>0</v>
      </c>
      <c r="G75">
        <v>64</v>
      </c>
      <c r="H75" s="88" t="n">
        <v>129.0</v>
      </c>
      <c r="I75" s="88" t="n">
        <v>85.0</v>
      </c>
      <c r="J75" s="88" t="n">
        <v>14.0</v>
      </c>
      <c r="K75" s="78">
        <f si="1" t="shared"/>
        <v>791</v>
      </c>
      <c r="W75" s="9"/>
    </row>
    <row r="76" spans="1:23" x14ac:dyDescent="0.25">
      <c r="A76">
        <v>65</v>
      </c>
      <c r="B76" s="78" t="n">
        <v>249.5401</v>
      </c>
      <c r="C76" s="78" t="n">
        <v>0.0</v>
      </c>
      <c r="D76" s="78" t="n">
        <v>0.0</v>
      </c>
      <c r="E76" s="78">
        <f ref="E76:E100" si="2" t="shared">SUM(B76:D76)</f>
        <v>249.5401</v>
      </c>
      <c r="G76">
        <v>65</v>
      </c>
      <c r="H76" s="88" t="n">
        <v>96.0</v>
      </c>
      <c r="I76" s="88" t="n">
        <v>67.0</v>
      </c>
      <c r="J76" s="88" t="n">
        <v>9.0</v>
      </c>
      <c r="K76" s="78">
        <f ref="K76:K101" si="3" t="shared">SUM(H76:J76)</f>
        <v>492</v>
      </c>
      <c r="W76" s="9"/>
    </row>
    <row r="77" spans="1:23" x14ac:dyDescent="0.25">
      <c r="A77">
        <v>66</v>
      </c>
      <c r="B77" s="78" t="n">
        <v>0.0</v>
      </c>
      <c r="C77" s="78" t="n">
        <v>0.0</v>
      </c>
      <c r="D77" s="78" t="n">
        <v>0.0</v>
      </c>
      <c r="E77" s="78">
        <f si="2" t="shared"/>
        <v>0</v>
      </c>
      <c r="G77">
        <v>66</v>
      </c>
      <c r="H77" s="88" t="n">
        <v>45.0</v>
      </c>
      <c r="I77" s="88" t="n">
        <v>53.0</v>
      </c>
      <c r="J77" s="88" t="n">
        <v>6.0</v>
      </c>
      <c r="K77" s="78">
        <f si="3" t="shared"/>
        <v>266</v>
      </c>
      <c r="W77" s="9"/>
    </row>
    <row r="78" spans="1:23" x14ac:dyDescent="0.25">
      <c r="A78">
        <v>67</v>
      </c>
      <c r="B78" s="78" t="n">
        <v>86.0936</v>
      </c>
      <c r="C78" s="78" t="n">
        <v>0.0</v>
      </c>
      <c r="D78" s="78" t="n">
        <v>0.0</v>
      </c>
      <c r="E78" s="78">
        <f si="2" t="shared"/>
        <v>86.093599999999995</v>
      </c>
      <c r="G78">
        <v>67</v>
      </c>
      <c r="H78" s="88" t="n">
        <v>58.0</v>
      </c>
      <c r="I78" s="88" t="n">
        <v>28.0</v>
      </c>
      <c r="J78" s="88" t="n">
        <v>2.0</v>
      </c>
      <c r="K78" s="78">
        <f si="3" t="shared"/>
        <v>142</v>
      </c>
      <c r="W78" s="9"/>
    </row>
    <row r="79" spans="1:23" x14ac:dyDescent="0.25">
      <c r="A79">
        <v>68</v>
      </c>
      <c r="B79" s="78" t="n">
        <v>0.0</v>
      </c>
      <c r="C79" s="78" t="n">
        <v>0.0</v>
      </c>
      <c r="D79" s="78" t="n">
        <v>0.0</v>
      </c>
      <c r="E79" s="78">
        <f si="2" t="shared"/>
        <v>0</v>
      </c>
      <c r="G79">
        <v>68</v>
      </c>
      <c r="H79" s="88" t="n">
        <v>52.0</v>
      </c>
      <c r="I79" s="88" t="n">
        <v>42.0</v>
      </c>
      <c r="J79" s="88" t="n">
        <v>5.0</v>
      </c>
      <c r="K79" s="78">
        <f si="3" t="shared"/>
        <v>311</v>
      </c>
      <c r="W79" s="9"/>
    </row>
    <row r="80" spans="1:23" x14ac:dyDescent="0.25">
      <c r="A80">
        <v>69</v>
      </c>
      <c r="B80" s="78" t="n">
        <v>0.0</v>
      </c>
      <c r="C80" s="78" t="n">
        <v>0.0</v>
      </c>
      <c r="D80" s="78" t="n">
        <v>0.0</v>
      </c>
      <c r="E80" s="78">
        <f si="2" t="shared"/>
        <v>0</v>
      </c>
      <c r="G80">
        <v>69</v>
      </c>
      <c r="H80" s="88" t="n">
        <v>151.0</v>
      </c>
      <c r="I80" s="88" t="n">
        <v>55.0</v>
      </c>
      <c r="J80" s="88" t="n">
        <v>9.0</v>
      </c>
      <c r="K80" s="78">
        <f si="3" t="shared"/>
        <v>479</v>
      </c>
      <c r="W80" s="9"/>
    </row>
    <row r="81" spans="1:23" x14ac:dyDescent="0.25">
      <c r="A81">
        <v>70</v>
      </c>
      <c r="B81" s="78" t="n">
        <v>0.0</v>
      </c>
      <c r="C81" s="78" t="n">
        <v>0.0</v>
      </c>
      <c r="D81" s="78" t="n">
        <v>0.0</v>
      </c>
      <c r="E81" s="78">
        <f si="2" t="shared"/>
        <v>0</v>
      </c>
      <c r="G81">
        <v>70</v>
      </c>
      <c r="H81" s="88" t="n">
        <v>61.0</v>
      </c>
      <c r="I81" s="88" t="n">
        <v>41.0</v>
      </c>
      <c r="J81" s="88" t="n">
        <v>4.0</v>
      </c>
      <c r="K81" s="78">
        <f si="3" t="shared"/>
        <v>524</v>
      </c>
      <c r="W81" s="9"/>
    </row>
    <row r="82" spans="1:23" x14ac:dyDescent="0.25">
      <c r="A82">
        <v>71</v>
      </c>
      <c r="B82" s="78" t="n">
        <v>173.2297</v>
      </c>
      <c r="C82" s="78" t="n">
        <v>0.0</v>
      </c>
      <c r="D82" s="78" t="n">
        <v>0.0</v>
      </c>
      <c r="E82" s="78">
        <f si="2" t="shared"/>
        <v>173.22970000000001</v>
      </c>
      <c r="G82">
        <v>71</v>
      </c>
      <c r="H82" s="88" t="n">
        <v>23.0</v>
      </c>
      <c r="I82" s="88" t="n">
        <v>18.0</v>
      </c>
      <c r="J82" s="88" t="n">
        <v>0.0</v>
      </c>
      <c r="K82" s="78">
        <f si="3" t="shared"/>
        <v>220</v>
      </c>
      <c r="W82" s="9"/>
    </row>
    <row r="83" spans="1:23" x14ac:dyDescent="0.25">
      <c r="A83">
        <v>72</v>
      </c>
      <c r="B83" s="78" t="n">
        <v>0.0</v>
      </c>
      <c r="C83" s="78" t="n">
        <v>0.0</v>
      </c>
      <c r="D83" s="78" t="n">
        <v>0.0</v>
      </c>
      <c r="E83" s="78">
        <f si="2" t="shared"/>
        <v>0</v>
      </c>
      <c r="G83">
        <v>72</v>
      </c>
      <c r="H83" s="88" t="n">
        <v>69.0</v>
      </c>
      <c r="I83" s="88" t="n">
        <v>48.0</v>
      </c>
      <c r="J83" s="88" t="n">
        <v>7.0</v>
      </c>
      <c r="K83" s="78">
        <f si="3" t="shared"/>
        <v>282</v>
      </c>
      <c r="W83" s="9"/>
    </row>
    <row r="84" spans="1:23" x14ac:dyDescent="0.25">
      <c r="A84">
        <v>73</v>
      </c>
      <c r="B84" s="78" t="n">
        <v>0.0</v>
      </c>
      <c r="C84" s="78" t="n">
        <v>0.0</v>
      </c>
      <c r="D84" s="78" t="n">
        <v>0.0</v>
      </c>
      <c r="E84" s="78">
        <f si="2" t="shared"/>
        <v>0</v>
      </c>
      <c r="G84">
        <v>73</v>
      </c>
      <c r="H84" s="88" t="n">
        <v>24.0</v>
      </c>
      <c r="I84" s="78" t="n">
        <v>35.0</v>
      </c>
      <c r="J84" s="88" t="n">
        <v>2.0</v>
      </c>
      <c r="K84" s="78">
        <f si="3" t="shared"/>
        <v>98</v>
      </c>
      <c r="W84" s="9"/>
    </row>
    <row r="85" spans="1:23" x14ac:dyDescent="0.25">
      <c r="A85">
        <v>74</v>
      </c>
      <c r="B85" s="78" t="n">
        <v>409.1384</v>
      </c>
      <c r="C85" s="78" t="n">
        <v>0.0</v>
      </c>
      <c r="D85" s="78" t="n">
        <v>0.0</v>
      </c>
      <c r="E85" s="78">
        <f si="2" t="shared"/>
        <v>409.13839999999999</v>
      </c>
      <c r="G85">
        <v>74</v>
      </c>
      <c r="H85" s="88" t="n">
        <v>8.0</v>
      </c>
      <c r="I85" s="88" t="n">
        <v>12.0</v>
      </c>
      <c r="J85" s="88" t="n">
        <v>0.0</v>
      </c>
      <c r="K85" s="78">
        <f si="3" t="shared"/>
        <v>98</v>
      </c>
      <c r="W85" s="9"/>
    </row>
    <row r="86" spans="1:23" x14ac:dyDescent="0.25">
      <c r="A86">
        <v>75</v>
      </c>
      <c r="B86" s="78" t="n">
        <v>0.0</v>
      </c>
      <c r="C86" s="78" t="n">
        <v>0.0</v>
      </c>
      <c r="D86" s="78" t="n">
        <v>0.0</v>
      </c>
      <c r="E86" s="78">
        <f si="2" t="shared"/>
        <v>0</v>
      </c>
      <c r="G86">
        <v>75</v>
      </c>
      <c r="H86" s="88" t="n">
        <v>21.0</v>
      </c>
      <c r="I86" s="78" t="n">
        <v>25.0</v>
      </c>
      <c r="J86" s="88" t="n">
        <v>3.0</v>
      </c>
      <c r="K86" s="78">
        <f si="3" t="shared"/>
        <v>136</v>
      </c>
      <c r="W86" s="9"/>
    </row>
    <row r="87" spans="1:23" x14ac:dyDescent="0.25">
      <c r="A87">
        <v>76</v>
      </c>
      <c r="B87" s="78" t="n">
        <v>0.0</v>
      </c>
      <c r="C87" s="78" t="n">
        <v>0.0</v>
      </c>
      <c r="D87" s="78" t="n">
        <v>0.0</v>
      </c>
      <c r="E87" s="78">
        <f si="2" t="shared"/>
        <v>0</v>
      </c>
      <c r="G87">
        <v>76</v>
      </c>
      <c r="H87" s="88" t="n">
        <v>18.0</v>
      </c>
      <c r="I87" s="78" t="n">
        <v>9.0</v>
      </c>
      <c r="J87" s="88" t="n">
        <v>0.0</v>
      </c>
      <c r="K87" s="78">
        <f si="3" t="shared"/>
        <v>242</v>
      </c>
      <c r="W87" s="9"/>
    </row>
    <row r="88" spans="1:23" x14ac:dyDescent="0.25">
      <c r="A88">
        <v>77</v>
      </c>
      <c r="B88" s="78" t="n">
        <v>0.0</v>
      </c>
      <c r="C88" s="78" t="n">
        <v>0.0</v>
      </c>
      <c r="D88" s="78" t="n">
        <v>0.0</v>
      </c>
      <c r="E88" s="78">
        <f si="2" t="shared"/>
        <v>0</v>
      </c>
      <c r="G88">
        <v>77</v>
      </c>
      <c r="H88" s="88" t="n">
        <v>54.0</v>
      </c>
      <c r="I88" s="78" t="n">
        <v>18.0</v>
      </c>
      <c r="J88" s="78" t="n">
        <v>4.0</v>
      </c>
      <c r="K88" s="78">
        <f si="3" t="shared"/>
        <v>123</v>
      </c>
      <c r="W88" s="9"/>
    </row>
    <row r="89" spans="1:23" x14ac:dyDescent="0.25">
      <c r="A89">
        <v>78</v>
      </c>
      <c r="B89" s="78" t="n">
        <v>212.667</v>
      </c>
      <c r="C89" s="78" t="n">
        <v>0.0</v>
      </c>
      <c r="D89" s="78" t="n">
        <v>0.0</v>
      </c>
      <c r="E89" s="78">
        <f si="2" t="shared"/>
        <v>212.667</v>
      </c>
      <c r="G89">
        <v>78</v>
      </c>
      <c r="H89" s="88" t="n">
        <v>27.0</v>
      </c>
      <c r="I89" s="78" t="n">
        <v>28.0</v>
      </c>
      <c r="J89" s="78" t="n">
        <v>7.0</v>
      </c>
      <c r="K89" s="78">
        <f si="3" t="shared"/>
        <v>172</v>
      </c>
      <c r="W89" s="9"/>
    </row>
    <row r="90" spans="1:23" x14ac:dyDescent="0.25">
      <c r="A90">
        <v>79</v>
      </c>
      <c r="B90" s="78" t="n">
        <v>0.0</v>
      </c>
      <c r="C90" s="78" t="n">
        <v>0.0</v>
      </c>
      <c r="D90" s="78" t="n">
        <v>0.0</v>
      </c>
      <c r="E90" s="78">
        <f si="2" t="shared"/>
        <v>0</v>
      </c>
      <c r="G90">
        <v>79</v>
      </c>
      <c r="H90" s="88" t="n">
        <v>19.0</v>
      </c>
      <c r="I90" s="78" t="n">
        <v>13.0</v>
      </c>
      <c r="J90" s="78" t="n">
        <v>2.0</v>
      </c>
      <c r="K90" s="78">
        <f si="3" t="shared"/>
        <v>119</v>
      </c>
      <c r="W90" s="9"/>
    </row>
    <row r="91" spans="1:23" x14ac:dyDescent="0.25">
      <c r="A91">
        <v>80</v>
      </c>
      <c r="B91" s="78" t="n">
        <v>0.0</v>
      </c>
      <c r="C91" s="78" t="n">
        <v>0.0</v>
      </c>
      <c r="D91" s="78" t="n">
        <v>0.0</v>
      </c>
      <c r="E91" s="78">
        <f si="2" t="shared"/>
        <v>0</v>
      </c>
      <c r="G91">
        <v>80</v>
      </c>
      <c r="H91" s="88" t="n">
        <v>35.0</v>
      </c>
      <c r="I91" s="78" t="n">
        <v>24.0</v>
      </c>
      <c r="J91" s="78" t="n">
        <v>3.0</v>
      </c>
      <c r="K91" s="78">
        <f si="3" t="shared"/>
        <v>202</v>
      </c>
      <c r="W91" s="9"/>
    </row>
    <row r="92" spans="1:23" x14ac:dyDescent="0.25">
      <c r="A92">
        <v>81</v>
      </c>
      <c r="B92" s="78" t="n">
        <v>0.0</v>
      </c>
      <c r="C92" s="78" t="n">
        <v>0.0</v>
      </c>
      <c r="D92" s="78" t="n">
        <v>0.0</v>
      </c>
      <c r="E92" s="78">
        <f si="2" t="shared"/>
        <v>0</v>
      </c>
      <c r="G92">
        <v>81</v>
      </c>
      <c r="H92" s="88" t="n">
        <v>11.0</v>
      </c>
      <c r="I92" s="78" t="n">
        <v>16.0</v>
      </c>
      <c r="J92" s="78" t="n">
        <v>5.0</v>
      </c>
      <c r="K92" s="78">
        <f si="3" t="shared"/>
        <v>91</v>
      </c>
      <c r="W92" s="9"/>
    </row>
    <row r="93" spans="1:23" x14ac:dyDescent="0.25">
      <c r="A93">
        <v>82</v>
      </c>
      <c r="B93" s="78" t="n">
        <v>0.0</v>
      </c>
      <c r="C93" s="78" t="n">
        <v>0.0</v>
      </c>
      <c r="D93" s="78" t="n">
        <v>0.0</v>
      </c>
      <c r="E93" s="78">
        <f si="2" t="shared"/>
        <v>0</v>
      </c>
      <c r="G93">
        <v>82</v>
      </c>
      <c r="H93" s="88" t="n">
        <v>12.0</v>
      </c>
      <c r="I93" s="78" t="n">
        <v>11.0</v>
      </c>
      <c r="J93" s="78" t="n">
        <v>1.0</v>
      </c>
      <c r="K93" s="78">
        <f si="3" t="shared"/>
        <v>99</v>
      </c>
      <c r="W93" s="9"/>
    </row>
    <row r="94" spans="1:23" x14ac:dyDescent="0.25">
      <c r="A94">
        <v>83</v>
      </c>
      <c r="B94" s="78" t="n">
        <v>0.0</v>
      </c>
      <c r="C94" s="78" t="n">
        <v>0.0</v>
      </c>
      <c r="D94" s="78" t="n">
        <v>0.0</v>
      </c>
      <c r="E94" s="78">
        <f si="2" t="shared"/>
        <v>0</v>
      </c>
      <c r="G94">
        <v>83</v>
      </c>
      <c r="H94" s="88" t="n">
        <v>3.0</v>
      </c>
      <c r="I94" s="78" t="n">
        <v>9.0</v>
      </c>
      <c r="J94" s="78" t="n">
        <v>1.0</v>
      </c>
      <c r="K94" s="78">
        <f si="3" t="shared"/>
        <v>39</v>
      </c>
      <c r="W94" s="9"/>
    </row>
    <row r="95" spans="1:23" x14ac:dyDescent="0.25">
      <c r="A95">
        <v>84</v>
      </c>
      <c r="B95" s="78" t="n">
        <v>0.0</v>
      </c>
      <c r="C95" s="78" t="n">
        <v>0.0</v>
      </c>
      <c r="D95" s="78" t="n">
        <v>0.0</v>
      </c>
      <c r="E95" s="78">
        <f si="2" t="shared"/>
        <v>0</v>
      </c>
      <c r="G95">
        <v>84</v>
      </c>
      <c r="H95" s="88" t="n">
        <v>9.0</v>
      </c>
      <c r="I95" s="78" t="n">
        <v>8.0</v>
      </c>
      <c r="J95" s="78" t="n">
        <v>2.0</v>
      </c>
      <c r="K95" s="78">
        <f si="3" t="shared"/>
        <v>62</v>
      </c>
      <c r="W95" s="9"/>
    </row>
    <row r="96" spans="1:23" x14ac:dyDescent="0.25">
      <c r="A96">
        <v>85</v>
      </c>
      <c r="B96" s="78" t="n">
        <v>0.0</v>
      </c>
      <c r="C96" s="78" t="n">
        <v>0.0</v>
      </c>
      <c r="D96" s="78" t="n">
        <v>0.0</v>
      </c>
      <c r="E96" s="78">
        <f si="2" t="shared"/>
        <v>0</v>
      </c>
      <c r="G96">
        <v>85</v>
      </c>
      <c r="H96" s="88" t="n">
        <v>6.0</v>
      </c>
      <c r="I96" s="78" t="n">
        <v>15.0</v>
      </c>
      <c r="J96" s="78" t="n">
        <v>5.0</v>
      </c>
      <c r="K96" s="78">
        <f si="3" t="shared"/>
        <v>71</v>
      </c>
      <c r="W96" s="9"/>
    </row>
    <row r="97" spans="1:23" x14ac:dyDescent="0.25">
      <c r="A97">
        <v>86</v>
      </c>
      <c r="B97" s="78" t="n">
        <v>0.0</v>
      </c>
      <c r="C97" s="78" t="n">
        <v>0.0</v>
      </c>
      <c r="D97" s="78" t="n">
        <v>0.0</v>
      </c>
      <c r="E97" s="78">
        <f si="2" t="shared"/>
        <v>0</v>
      </c>
      <c r="G97">
        <v>86</v>
      </c>
      <c r="H97" s="88" t="n">
        <v>2.0</v>
      </c>
      <c r="I97" s="78" t="n">
        <v>5.0</v>
      </c>
      <c r="J97" s="78" t="n">
        <v>0.0</v>
      </c>
      <c r="K97" s="78">
        <f si="3" t="shared"/>
        <v>27</v>
      </c>
      <c r="W97" s="9"/>
    </row>
    <row r="98" spans="1:23" x14ac:dyDescent="0.25">
      <c r="A98">
        <v>87</v>
      </c>
      <c r="B98" s="78" t="n">
        <v>0.0</v>
      </c>
      <c r="C98" s="78" t="n">
        <v>0.0</v>
      </c>
      <c r="D98" s="78" t="n">
        <v>0.0</v>
      </c>
      <c r="E98" s="78">
        <f si="2" t="shared"/>
        <v>0</v>
      </c>
      <c r="G98">
        <v>87</v>
      </c>
      <c r="H98" s="88" t="n">
        <v>3.0</v>
      </c>
      <c r="I98" s="78" t="n">
        <v>4.0</v>
      </c>
      <c r="J98" s="78" t="n">
        <v>0.0</v>
      </c>
      <c r="K98" s="78">
        <f si="3" t="shared"/>
        <v>5</v>
      </c>
      <c r="W98" s="9"/>
    </row>
    <row r="99" spans="1:23" x14ac:dyDescent="0.25">
      <c r="A99">
        <v>88</v>
      </c>
      <c r="B99" s="78" t="n">
        <v>0.0</v>
      </c>
      <c r="C99" s="78" t="n">
        <v>0.0</v>
      </c>
      <c r="D99" s="78" t="n">
        <v>0.0</v>
      </c>
      <c r="E99" s="78">
        <f si="2" t="shared"/>
        <v>0</v>
      </c>
      <c r="G99">
        <v>88</v>
      </c>
      <c r="H99" s="88" t="n">
        <v>8.0</v>
      </c>
      <c r="I99" s="78" t="n">
        <v>21.0</v>
      </c>
      <c r="J99" s="78" t="n">
        <v>4.0</v>
      </c>
      <c r="K99" s="78">
        <f si="3" t="shared"/>
        <v>41</v>
      </c>
      <c r="W99" s="9"/>
    </row>
    <row r="100" spans="1:23" x14ac:dyDescent="0.25">
      <c r="A100">
        <v>89</v>
      </c>
      <c r="B100" s="78" t="n">
        <v>390.53229999999996</v>
      </c>
      <c r="C100" s="78" t="n">
        <v>0.0</v>
      </c>
      <c r="D100" s="78" t="n">
        <v>0.0</v>
      </c>
      <c r="E100" s="78">
        <f si="2" t="shared"/>
        <v>390.53229999999996</v>
      </c>
      <c r="G100">
        <v>89</v>
      </c>
      <c r="H100" s="88" t="n">
        <v>38.0</v>
      </c>
      <c r="I100" s="78" t="n">
        <v>35.0</v>
      </c>
      <c r="J100" s="78" t="n">
        <v>6.0</v>
      </c>
      <c r="K100" s="78">
        <f si="3" t="shared"/>
        <v>263</v>
      </c>
      <c r="W100" s="9"/>
    </row>
    <row ht="15.75" r="101" spans="1:23" thickBot="1" x14ac:dyDescent="0.3">
      <c r="A101" s="1" t="s">
        <v>272</v>
      </c>
      <c r="B101" s="79" t="n">
        <v>92619.2139</v>
      </c>
      <c r="C101" s="79" t="n">
        <v>71304.2245</v>
      </c>
      <c r="D101" s="79" t="n">
        <v>8547.4518</v>
      </c>
      <c r="E101" s="10">
        <f>SUM(B101:D101)</f>
        <v>172470.89019999999</v>
      </c>
      <c r="G101" s="1" t="s">
        <v>272</v>
      </c>
      <c r="H101" s="89" t="n">
        <v>0.0</v>
      </c>
      <c r="I101" s="79" t="n">
        <v>0.0</v>
      </c>
      <c r="J101" s="79" t="n">
        <v>0.0</v>
      </c>
      <c r="K101" s="79">
        <f si="3" t="shared"/>
        <v>0</v>
      </c>
      <c r="W101" s="10"/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W101"/>
  <sheetViews>
    <sheetView workbookViewId="0">
      <selection activeCell="P11" sqref="P11"/>
    </sheetView>
  </sheetViews>
  <sheetFormatPr defaultRowHeight="15" x14ac:dyDescent="0.25"/>
  <cols>
    <col min="2" max="3" bestFit="true" customWidth="true" width="10.5703125" collapsed="true"/>
    <col min="4" max="4" bestFit="true" customWidth="true" width="9.5703125" collapsed="true"/>
    <col min="5" max="5" bestFit="true" customWidth="true" width="10.5703125" collapsed="true"/>
    <col min="8" max="8" bestFit="true" customWidth="true" width="10.5703125" collapsed="true"/>
    <col min="9" max="10" bestFit="true" customWidth="true" width="9.5703125" collapsed="true"/>
    <col min="11" max="11" bestFit="true" customWidth="true" width="10.5703125" collapsed="true"/>
    <col min="15" max="15" bestFit="true" customWidth="true" width="15.7109375" collapsed="true"/>
  </cols>
  <sheetData>
    <row r="1" spans="1:23" x14ac:dyDescent="0.25">
      <c r="A1" t="s">
        <v>0</v>
      </c>
    </row>
    <row r="2" spans="1:23" x14ac:dyDescent="0.25">
      <c r="A2" t="s">
        <v>273</v>
      </c>
    </row>
    <row r="3" spans="1:23" x14ac:dyDescent="0.25">
      <c r="A3" t="s">
        <v>274</v>
      </c>
    </row>
    <row r="4" spans="1:23" x14ac:dyDescent="0.25">
      <c r="A4" t="s">
        <v>7</v>
      </c>
    </row>
    <row r="5" spans="1:23" x14ac:dyDescent="0.25">
      <c r="A5" t="s">
        <v>8</v>
      </c>
    </row>
    <row r="7" spans="1:23" x14ac:dyDescent="0.25">
      <c r="A7" t="s">
        <v>12</v>
      </c>
    </row>
    <row ht="15.75" r="9" spans="1:23" thickBot="1" x14ac:dyDescent="0.3">
      <c r="A9" s="4" t="s">
        <v>215</v>
      </c>
      <c r="B9" s="1"/>
      <c r="C9" s="1"/>
      <c r="D9" s="1"/>
      <c r="E9" s="1"/>
      <c r="G9" s="4" t="s">
        <v>14</v>
      </c>
      <c r="H9" s="1"/>
      <c r="I9" s="1"/>
      <c r="J9" s="1"/>
      <c r="K9" s="1"/>
      <c r="M9" s="11" t="s">
        <v>43</v>
      </c>
      <c r="W9" s="9"/>
    </row>
    <row r="10" spans="1:23" x14ac:dyDescent="0.25">
      <c r="A10" s="2" t="s">
        <v>23</v>
      </c>
      <c r="B10" s="5" t="s">
        <v>9</v>
      </c>
      <c r="C10" s="5" t="s">
        <v>10</v>
      </c>
      <c r="D10" s="5" t="s">
        <v>11</v>
      </c>
      <c r="E10" s="5" t="s">
        <v>213</v>
      </c>
      <c r="G10" s="2" t="s">
        <v>23</v>
      </c>
      <c r="H10" s="5" t="s">
        <v>9</v>
      </c>
      <c r="I10" s="5" t="s">
        <v>10</v>
      </c>
      <c r="J10" s="5" t="s">
        <v>11</v>
      </c>
      <c r="K10" s="37" t="s">
        <v>277</v>
      </c>
      <c r="M10" s="2"/>
      <c r="N10" s="5" t="s">
        <v>213</v>
      </c>
      <c r="O10" s="37" t="s">
        <v>277</v>
      </c>
      <c r="W10" s="9"/>
    </row>
    <row r="11" spans="1:23" x14ac:dyDescent="0.25">
      <c r="A11">
        <v>0</v>
      </c>
      <c r="B11" s="78" t="n">
        <v>0.0</v>
      </c>
      <c r="C11" s="78" t="n">
        <v>0.0</v>
      </c>
      <c r="D11" s="78" t="n">
        <v>0.0</v>
      </c>
      <c r="E11" s="78">
        <f>SUM(B11:D11)</f>
        <v>0</v>
      </c>
      <c r="G11">
        <v>0</v>
      </c>
      <c r="H11" s="88" t="n">
        <v>28558.0</v>
      </c>
      <c r="I11" s="88" t="n">
        <v>16627.0</v>
      </c>
      <c r="J11" s="88" t="n">
        <v>5574.0</v>
      </c>
      <c r="K11" s="78">
        <f>SUM(H11:J11)</f>
        <v>59052</v>
      </c>
      <c r="M11" t="s">
        <v>9</v>
      </c>
      <c r="N11" s="82" t="n">
        <v>35.12938689120377</v>
      </c>
      <c r="O11" s="82" t="n">
        <v>30.34607394516076</v>
      </c>
      <c r="W11" s="9"/>
    </row>
    <row r="12" spans="1:23" x14ac:dyDescent="0.25">
      <c r="A12">
        <v>1</v>
      </c>
      <c r="B12" s="78" t="n">
        <v>0.0</v>
      </c>
      <c r="C12" s="78" t="n">
        <v>0.0</v>
      </c>
      <c r="D12" s="78" t="n">
        <v>0.0</v>
      </c>
      <c r="E12" s="78">
        <f ref="E12:E75" si="0" t="shared">SUM(B12:D12)</f>
        <v>0</v>
      </c>
      <c r="G12">
        <v>1</v>
      </c>
      <c r="H12" s="88" t="n">
        <v>13825.0</v>
      </c>
      <c r="I12" s="88" t="n">
        <v>3389.0</v>
      </c>
      <c r="J12" s="88" t="n">
        <v>877.0</v>
      </c>
      <c r="K12" s="78">
        <f ref="K12:K75" si="1" t="shared">SUM(H12:J12)</f>
        <v>17746</v>
      </c>
      <c r="M12" t="s">
        <v>10</v>
      </c>
      <c r="N12" s="82" t="n">
        <v>29.44852957492151</v>
      </c>
      <c r="O12" s="82" t="n">
        <v>27.966484753563687</v>
      </c>
      <c r="W12" s="9"/>
    </row>
    <row r="13" spans="1:23" x14ac:dyDescent="0.25">
      <c r="A13">
        <v>2</v>
      </c>
      <c r="B13" s="78" t="n">
        <v>0.0</v>
      </c>
      <c r="C13" s="78" t="n">
        <v>0.0</v>
      </c>
      <c r="D13" s="78" t="n">
        <v>0.0</v>
      </c>
      <c r="E13" s="78">
        <f si="0" t="shared"/>
        <v>0</v>
      </c>
      <c r="G13">
        <v>2</v>
      </c>
      <c r="H13" s="88" t="n">
        <v>16667.0</v>
      </c>
      <c r="I13" s="88" t="n">
        <v>4287.0</v>
      </c>
      <c r="J13" s="88" t="n">
        <v>1168.0</v>
      </c>
      <c r="K13" s="78">
        <f si="1" t="shared"/>
        <v>21491</v>
      </c>
      <c r="M13" s="6" t="s">
        <v>11</v>
      </c>
      <c r="N13" s="83" t="n">
        <v>34.07988715278087</v>
      </c>
      <c r="O13" s="83" t="n">
        <v>26.072539536313222</v>
      </c>
      <c r="W13" s="9"/>
    </row>
    <row ht="15.75" r="14" spans="1:23" thickBot="1" x14ac:dyDescent="0.3">
      <c r="A14">
        <v>3</v>
      </c>
      <c r="B14" s="78" t="n">
        <v>885.9718</v>
      </c>
      <c r="C14" s="78" t="n">
        <v>411.0399</v>
      </c>
      <c r="D14" s="78" t="n">
        <v>0.0</v>
      </c>
      <c r="E14" s="78">
        <f si="0" t="shared"/>
        <v>1297.0117</v>
      </c>
      <c r="G14">
        <v>3</v>
      </c>
      <c r="H14" s="88" t="n">
        <v>16537.0</v>
      </c>
      <c r="I14" s="88" t="n">
        <v>4520.0</v>
      </c>
      <c r="J14" s="88" t="n">
        <v>1195.0</v>
      </c>
      <c r="K14" s="78">
        <f si="1" t="shared"/>
        <v>21419</v>
      </c>
      <c r="M14" s="1" t="s">
        <v>4</v>
      </c>
      <c r="N14" s="84" t="n">
        <v>34.15715456690314</v>
      </c>
      <c r="O14" s="84" t="n">
        <v>29.69485937250613</v>
      </c>
      <c r="W14" s="9"/>
    </row>
    <row r="15" spans="1:23" x14ac:dyDescent="0.25">
      <c r="A15">
        <v>4</v>
      </c>
      <c r="B15" s="78" t="n">
        <v>2028.4951</v>
      </c>
      <c r="C15" s="78" t="n">
        <v>86.4058</v>
      </c>
      <c r="D15" s="78" t="n">
        <v>0.0</v>
      </c>
      <c r="E15" s="78">
        <f si="0" t="shared"/>
        <v>2114.9009000000001</v>
      </c>
      <c r="G15">
        <v>4</v>
      </c>
      <c r="H15" s="88" t="n">
        <v>15517.0</v>
      </c>
      <c r="I15" s="88" t="n">
        <v>4465.0</v>
      </c>
      <c r="J15" s="88" t="n">
        <v>1119.0</v>
      </c>
      <c r="K15" s="78">
        <f si="1" t="shared"/>
        <v>20214</v>
      </c>
      <c r="W15" s="9"/>
    </row>
    <row r="16" spans="1:23" x14ac:dyDescent="0.25">
      <c r="A16">
        <v>5</v>
      </c>
      <c r="B16" s="78" t="n">
        <v>2998.9187</v>
      </c>
      <c r="C16" s="78" t="n">
        <v>3447.6068</v>
      </c>
      <c r="D16" s="78" t="n">
        <v>321.0216</v>
      </c>
      <c r="E16" s="78">
        <f si="0" t="shared"/>
        <v>6767.5470999999998</v>
      </c>
      <c r="G16">
        <v>5</v>
      </c>
      <c r="H16" s="88" t="n">
        <v>14419.0</v>
      </c>
      <c r="I16" s="88" t="n">
        <v>4630.0</v>
      </c>
      <c r="J16" s="88" t="n">
        <v>1262.0</v>
      </c>
      <c r="K16" s="78">
        <f si="1" t="shared"/>
        <v>19634</v>
      </c>
      <c r="W16" s="9"/>
    </row>
    <row r="17" spans="1:23" x14ac:dyDescent="0.25">
      <c r="A17">
        <v>6</v>
      </c>
      <c r="B17" s="78" t="n">
        <v>1714.5633</v>
      </c>
      <c r="C17" s="78" t="n">
        <v>762.441</v>
      </c>
      <c r="D17" s="78" t="n">
        <v>71.6716</v>
      </c>
      <c r="E17" s="78">
        <f si="0" t="shared"/>
        <v>2548.6759000000002</v>
      </c>
      <c r="G17">
        <v>6</v>
      </c>
      <c r="H17" s="88" t="n">
        <v>13472.0</v>
      </c>
      <c r="I17" s="88" t="n">
        <v>4738.0</v>
      </c>
      <c r="J17" s="88" t="n">
        <v>1421.0</v>
      </c>
      <c r="K17" s="78">
        <f si="1" t="shared"/>
        <v>19261</v>
      </c>
      <c r="W17" s="9"/>
    </row>
    <row r="18" spans="1:23" x14ac:dyDescent="0.25">
      <c r="A18">
        <v>7</v>
      </c>
      <c r="B18" s="78" t="n">
        <v>3116.5599</v>
      </c>
      <c r="C18" s="78" t="n">
        <v>974.3554</v>
      </c>
      <c r="D18" s="78" t="n">
        <v>0.0</v>
      </c>
      <c r="E18" s="78">
        <f si="0" t="shared"/>
        <v>4090.9153000000001</v>
      </c>
      <c r="G18">
        <v>7</v>
      </c>
      <c r="H18" s="88" t="n">
        <v>11882.0</v>
      </c>
      <c r="I18" s="88" t="n">
        <v>4176.0</v>
      </c>
      <c r="J18" s="88" t="n">
        <v>1149.0</v>
      </c>
      <c r="K18" s="78">
        <f si="1" t="shared"/>
        <v>16687</v>
      </c>
      <c r="W18" s="9"/>
    </row>
    <row r="19" spans="1:23" x14ac:dyDescent="0.25">
      <c r="A19">
        <v>8</v>
      </c>
      <c r="B19" s="78" t="n">
        <v>562.8396</v>
      </c>
      <c r="C19" s="78" t="n">
        <v>426.6787</v>
      </c>
      <c r="D19" s="78" t="n">
        <v>58.8653</v>
      </c>
      <c r="E19" s="78">
        <f si="0" t="shared"/>
        <v>1048.3835999999999</v>
      </c>
      <c r="G19">
        <v>8</v>
      </c>
      <c r="H19" s="88" t="n">
        <v>10065.0</v>
      </c>
      <c r="I19" s="88" t="n">
        <v>3283.0</v>
      </c>
      <c r="J19" s="88" t="n">
        <v>996.0</v>
      </c>
      <c r="K19" s="78">
        <f si="1" t="shared"/>
        <v>13641</v>
      </c>
      <c r="W19" s="9"/>
    </row>
    <row r="20" spans="1:23" x14ac:dyDescent="0.25">
      <c r="A20">
        <v>9</v>
      </c>
      <c r="B20" s="78" t="n">
        <v>2662.0441</v>
      </c>
      <c r="C20" s="78" t="n">
        <v>805.6688</v>
      </c>
      <c r="D20" s="78" t="n">
        <v>0.0</v>
      </c>
      <c r="E20" s="78">
        <f si="0" t="shared"/>
        <v>3467.7129</v>
      </c>
      <c r="G20">
        <v>9</v>
      </c>
      <c r="H20" s="88" t="n">
        <v>8929.0</v>
      </c>
      <c r="I20" s="88" t="n">
        <v>2781.0</v>
      </c>
      <c r="J20" s="88" t="n">
        <v>764.0</v>
      </c>
      <c r="K20" s="78">
        <f si="1" t="shared"/>
        <v>11955</v>
      </c>
      <c r="W20" s="9"/>
    </row>
    <row r="21" spans="1:23" x14ac:dyDescent="0.25">
      <c r="A21">
        <v>10</v>
      </c>
      <c r="B21" s="78" t="n">
        <v>509.7431</v>
      </c>
      <c r="C21" s="78" t="n">
        <v>0.0</v>
      </c>
      <c r="D21" s="78" t="n">
        <v>0.0</v>
      </c>
      <c r="E21" s="78">
        <f si="0" t="shared"/>
        <v>509.74310000000003</v>
      </c>
      <c r="G21">
        <v>10</v>
      </c>
      <c r="H21" s="88" t="n">
        <v>7671.0</v>
      </c>
      <c r="I21" s="88" t="n">
        <v>2368.0</v>
      </c>
      <c r="J21" s="88" t="n">
        <v>632.0</v>
      </c>
      <c r="K21" s="78">
        <f si="1" t="shared"/>
        <v>9937</v>
      </c>
      <c r="W21" s="9"/>
    </row>
    <row r="22" spans="1:23" x14ac:dyDescent="0.25">
      <c r="A22">
        <v>11</v>
      </c>
      <c r="B22" s="78" t="n">
        <v>4059.8746</v>
      </c>
      <c r="C22" s="78" t="n">
        <v>3984.7136</v>
      </c>
      <c r="D22" s="78" t="n">
        <v>0.0</v>
      </c>
      <c r="E22" s="78">
        <f si="0" t="shared"/>
        <v>8044.5882000000001</v>
      </c>
      <c r="G22">
        <v>11</v>
      </c>
      <c r="H22" s="88" t="n">
        <v>6751.0</v>
      </c>
      <c r="I22" s="88" t="n">
        <v>2159.0</v>
      </c>
      <c r="J22" s="88" t="n">
        <v>559.0</v>
      </c>
      <c r="K22" s="78">
        <f si="1" t="shared"/>
        <v>8818</v>
      </c>
      <c r="W22" s="9"/>
    </row>
    <row r="23" spans="1:23" x14ac:dyDescent="0.25">
      <c r="A23">
        <v>12</v>
      </c>
      <c r="B23" s="78" t="n">
        <v>8709.4808</v>
      </c>
      <c r="C23" s="78" t="n">
        <v>1292.6239</v>
      </c>
      <c r="D23" s="78" t="n">
        <v>0.0</v>
      </c>
      <c r="E23" s="78">
        <f si="0" t="shared"/>
        <v>10002.1047</v>
      </c>
      <c r="G23">
        <v>12</v>
      </c>
      <c r="H23" s="88" t="n">
        <v>6435.0</v>
      </c>
      <c r="I23" s="88" t="n">
        <v>1871.0</v>
      </c>
      <c r="J23" s="88" t="n">
        <v>494.0</v>
      </c>
      <c r="K23" s="78">
        <f si="1" t="shared"/>
        <v>8100</v>
      </c>
      <c r="W23" s="9"/>
    </row>
    <row r="24" spans="1:23" x14ac:dyDescent="0.25">
      <c r="A24">
        <v>13</v>
      </c>
      <c r="B24" s="78" t="n">
        <v>6796.5671</v>
      </c>
      <c r="C24" s="78" t="n">
        <v>3126.5011</v>
      </c>
      <c r="D24" s="78" t="n">
        <v>107.4506</v>
      </c>
      <c r="E24" s="78">
        <f si="0" t="shared"/>
        <v>10030.5188</v>
      </c>
      <c r="G24">
        <v>13</v>
      </c>
      <c r="H24" s="88" t="n">
        <v>5582.0</v>
      </c>
      <c r="I24" s="88" t="n">
        <v>1695.0</v>
      </c>
      <c r="J24" s="88" t="n">
        <v>452.0</v>
      </c>
      <c r="K24" s="78">
        <f si="1" t="shared"/>
        <v>7114</v>
      </c>
      <c r="W24" s="9"/>
    </row>
    <row r="25" spans="1:23" x14ac:dyDescent="0.25">
      <c r="A25">
        <v>14</v>
      </c>
      <c r="B25" s="78" t="n">
        <v>5235.1901</v>
      </c>
      <c r="C25" s="78" t="n">
        <v>4106.8503</v>
      </c>
      <c r="D25" s="78" t="n">
        <v>344.4815</v>
      </c>
      <c r="E25" s="78">
        <f si="0" t="shared"/>
        <v>9686.5218999999997</v>
      </c>
      <c r="G25">
        <v>14</v>
      </c>
      <c r="H25" s="88" t="n">
        <v>5221.0</v>
      </c>
      <c r="I25" s="88" t="n">
        <v>1621.0</v>
      </c>
      <c r="J25" s="88" t="n">
        <v>435.0</v>
      </c>
      <c r="K25" s="78">
        <f si="1" t="shared"/>
        <v>6598</v>
      </c>
      <c r="W25" s="9"/>
    </row>
    <row r="26" spans="1:23" x14ac:dyDescent="0.25">
      <c r="A26">
        <v>15</v>
      </c>
      <c r="B26" s="78" t="n">
        <v>4982.835599999999</v>
      </c>
      <c r="C26" s="78" t="n">
        <v>1132.8020999999999</v>
      </c>
      <c r="D26" s="78" t="n">
        <v>0.0</v>
      </c>
      <c r="E26" s="78">
        <f si="0" t="shared"/>
        <v>6115.6376999999993</v>
      </c>
      <c r="G26">
        <v>15</v>
      </c>
      <c r="H26" s="88" t="n">
        <v>4640.0</v>
      </c>
      <c r="I26" s="88" t="n">
        <v>1461.0</v>
      </c>
      <c r="J26" s="88" t="n">
        <v>383.0</v>
      </c>
      <c r="K26" s="78">
        <f si="1" t="shared"/>
        <v>5926</v>
      </c>
      <c r="W26" s="9"/>
    </row>
    <row r="27" spans="1:23" x14ac:dyDescent="0.25">
      <c r="A27">
        <v>16</v>
      </c>
      <c r="B27" s="78" t="n">
        <v>17879.5068</v>
      </c>
      <c r="C27" s="78" t="n">
        <v>8654.5001</v>
      </c>
      <c r="D27" s="78" t="n">
        <v>1744.6917</v>
      </c>
      <c r="E27" s="78">
        <f si="0" t="shared"/>
        <v>28278.6986</v>
      </c>
      <c r="G27">
        <v>16</v>
      </c>
      <c r="H27" s="88" t="n">
        <v>4336.0</v>
      </c>
      <c r="I27" s="88" t="n">
        <v>1377.0</v>
      </c>
      <c r="J27" s="88" t="n">
        <v>354.0</v>
      </c>
      <c r="K27" s="78">
        <f si="1" t="shared"/>
        <v>5457</v>
      </c>
      <c r="W27" s="9"/>
    </row>
    <row r="28" spans="1:23" x14ac:dyDescent="0.25">
      <c r="A28">
        <v>17</v>
      </c>
      <c r="B28" s="78" t="n">
        <v>7307.3545</v>
      </c>
      <c r="C28" s="78" t="n">
        <v>1732.706</v>
      </c>
      <c r="D28" s="78" t="n">
        <v>92.4029</v>
      </c>
      <c r="E28" s="78">
        <f si="0" t="shared"/>
        <v>9132.4633999999987</v>
      </c>
      <c r="G28">
        <v>17</v>
      </c>
      <c r="H28" s="88" t="n">
        <v>4305.0</v>
      </c>
      <c r="I28" s="88" t="n">
        <v>1260.0</v>
      </c>
      <c r="J28" s="88" t="n">
        <v>325.0</v>
      </c>
      <c r="K28" s="78">
        <f si="1" t="shared"/>
        <v>5323</v>
      </c>
      <c r="W28" s="9"/>
    </row>
    <row r="29" spans="1:23" x14ac:dyDescent="0.25">
      <c r="A29">
        <v>18</v>
      </c>
      <c r="B29" s="78" t="n">
        <v>50786.2423</v>
      </c>
      <c r="C29" s="78" t="n">
        <v>13202.5346</v>
      </c>
      <c r="D29" s="78" t="n">
        <v>2354.7288</v>
      </c>
      <c r="E29" s="78">
        <f si="0" t="shared"/>
        <v>66343.505699999994</v>
      </c>
      <c r="G29">
        <v>18</v>
      </c>
      <c r="H29" s="88" t="n">
        <v>51156.0</v>
      </c>
      <c r="I29" s="88" t="n">
        <v>18146.0</v>
      </c>
      <c r="J29" s="88" t="n">
        <v>4680.0</v>
      </c>
      <c r="K29" s="78">
        <f si="1" t="shared"/>
        <v>65720</v>
      </c>
      <c r="W29" s="9"/>
    </row>
    <row r="30" spans="1:23" x14ac:dyDescent="0.25">
      <c r="A30">
        <v>19</v>
      </c>
      <c r="B30" s="78" t="n">
        <v>28550.2826</v>
      </c>
      <c r="C30" s="78" t="n">
        <v>8172.6705</v>
      </c>
      <c r="D30" s="78" t="n">
        <v>231.1295</v>
      </c>
      <c r="E30" s="78">
        <f si="0" t="shared"/>
        <v>36954.082600000002</v>
      </c>
      <c r="G30">
        <v>19</v>
      </c>
      <c r="H30" s="88" t="n">
        <v>20887.0</v>
      </c>
      <c r="I30" s="88" t="n">
        <v>6429.0</v>
      </c>
      <c r="J30" s="88" t="n">
        <v>1926.0</v>
      </c>
      <c r="K30" s="78">
        <f si="1" t="shared"/>
        <v>26335</v>
      </c>
      <c r="W30" s="9"/>
    </row>
    <row r="31" spans="1:23" x14ac:dyDescent="0.25">
      <c r="A31">
        <v>20</v>
      </c>
      <c r="B31" s="78" t="n">
        <v>35113.8707</v>
      </c>
      <c r="C31" s="78" t="n">
        <v>13450.072</v>
      </c>
      <c r="D31" s="78" t="n">
        <v>933.6696</v>
      </c>
      <c r="E31" s="78">
        <f si="0" t="shared"/>
        <v>49497.612300000001</v>
      </c>
      <c r="G31">
        <v>20</v>
      </c>
      <c r="H31" s="88" t="n">
        <v>27384.0</v>
      </c>
      <c r="I31" s="88" t="n">
        <v>6796.0</v>
      </c>
      <c r="J31" s="88" t="n">
        <v>2048.0</v>
      </c>
      <c r="K31" s="78">
        <f si="1" t="shared"/>
        <v>28613</v>
      </c>
      <c r="W31" s="9"/>
    </row>
    <row r="32" spans="1:23" x14ac:dyDescent="0.25">
      <c r="A32">
        <v>21</v>
      </c>
      <c r="B32" s="78" t="n">
        <v>43823.5172</v>
      </c>
      <c r="C32" s="78" t="n">
        <v>12578.6912</v>
      </c>
      <c r="D32" s="78" t="n">
        <v>2256.9712</v>
      </c>
      <c r="E32" s="78">
        <f si="0" t="shared"/>
        <v>58659.179600000003</v>
      </c>
      <c r="G32">
        <v>21</v>
      </c>
      <c r="H32" s="88" t="n">
        <v>37466.0</v>
      </c>
      <c r="I32" s="88" t="n">
        <v>9866.0</v>
      </c>
      <c r="J32" s="88" t="n">
        <v>2938.0</v>
      </c>
      <c r="K32" s="78">
        <f si="1" t="shared"/>
        <v>50220</v>
      </c>
      <c r="W32" s="9"/>
    </row>
    <row r="33" spans="1:23" x14ac:dyDescent="0.25">
      <c r="A33">
        <v>22</v>
      </c>
      <c r="B33" s="78" t="n">
        <v>50309.764</v>
      </c>
      <c r="C33" s="78" t="n">
        <v>10676.0512</v>
      </c>
      <c r="D33" s="78" t="n">
        <v>6411.5534</v>
      </c>
      <c r="E33" s="78">
        <f si="0" t="shared"/>
        <v>67397.368600000002</v>
      </c>
      <c r="G33">
        <v>22</v>
      </c>
      <c r="H33" s="88" t="n">
        <v>43586.0</v>
      </c>
      <c r="I33" s="88" t="n">
        <v>11220.0</v>
      </c>
      <c r="J33" s="88" t="n">
        <v>3374.0</v>
      </c>
      <c r="K33" s="78">
        <f si="1" t="shared"/>
        <v>49667</v>
      </c>
      <c r="W33" s="9"/>
    </row>
    <row r="34" spans="1:23" x14ac:dyDescent="0.25">
      <c r="A34">
        <v>23</v>
      </c>
      <c r="B34" s="78" t="n">
        <v>31855.3441</v>
      </c>
      <c r="C34" s="78" t="n">
        <v>8134.9168</v>
      </c>
      <c r="D34" s="78" t="n">
        <v>1454.9184</v>
      </c>
      <c r="E34" s="78">
        <f si="0" t="shared"/>
        <v>41445.179300000003</v>
      </c>
      <c r="G34">
        <v>23</v>
      </c>
      <c r="H34" s="88" t="n">
        <v>46169.0</v>
      </c>
      <c r="I34" s="88" t="n">
        <v>10818.0</v>
      </c>
      <c r="J34" s="88" t="n">
        <v>3127.0</v>
      </c>
      <c r="K34" s="78">
        <f si="1" t="shared"/>
        <v>51353</v>
      </c>
      <c r="W34" s="9"/>
    </row>
    <row r="35" spans="1:23" x14ac:dyDescent="0.25">
      <c r="A35">
        <v>24</v>
      </c>
      <c r="B35" s="78" t="n">
        <v>39751.8707</v>
      </c>
      <c r="C35" s="78" t="n">
        <v>11209.6937</v>
      </c>
      <c r="D35" s="78" t="n">
        <v>1284.5191</v>
      </c>
      <c r="E35" s="78">
        <f si="0" t="shared"/>
        <v>52246.083500000001</v>
      </c>
      <c r="G35">
        <v>24</v>
      </c>
      <c r="H35" s="88" t="n">
        <v>34368.0</v>
      </c>
      <c r="I35" s="88" t="n">
        <v>6946.0</v>
      </c>
      <c r="J35" s="88" t="n">
        <v>2306.0</v>
      </c>
      <c r="K35" s="78">
        <f si="1" t="shared"/>
        <v>32978</v>
      </c>
      <c r="W35" s="9"/>
    </row>
    <row r="36" spans="1:23" x14ac:dyDescent="0.25">
      <c r="A36">
        <v>25</v>
      </c>
      <c r="B36" s="78" t="n">
        <v>24637.1257</v>
      </c>
      <c r="C36" s="78" t="n">
        <v>4665.7186</v>
      </c>
      <c r="D36" s="78" t="n">
        <v>1347.9336</v>
      </c>
      <c r="E36" s="78">
        <f si="0" t="shared"/>
        <v>30650.777900000001</v>
      </c>
      <c r="G36">
        <v>25</v>
      </c>
      <c r="H36" s="88" t="n">
        <v>43117.0</v>
      </c>
      <c r="I36" s="88" t="n">
        <v>9912.0</v>
      </c>
      <c r="J36" s="88" t="n">
        <v>3054.0</v>
      </c>
      <c r="K36" s="78">
        <f si="1" t="shared"/>
        <v>43664</v>
      </c>
      <c r="W36" s="9"/>
    </row>
    <row r="37" spans="1:23" x14ac:dyDescent="0.25">
      <c r="A37">
        <v>26</v>
      </c>
      <c r="B37" s="78" t="n">
        <v>44809.536</v>
      </c>
      <c r="C37" s="78" t="n">
        <v>10651.8146</v>
      </c>
      <c r="D37" s="78" t="n">
        <v>530.1191</v>
      </c>
      <c r="E37" s="78">
        <f si="0" t="shared"/>
        <v>55991.469700000001</v>
      </c>
      <c r="G37">
        <v>26</v>
      </c>
      <c r="H37" s="88" t="n">
        <v>44852.0</v>
      </c>
      <c r="I37" s="88" t="n">
        <v>9048.0</v>
      </c>
      <c r="J37" s="88" t="n">
        <v>2860.0</v>
      </c>
      <c r="K37" s="78">
        <f si="1" t="shared"/>
        <v>55221</v>
      </c>
      <c r="W37" s="9"/>
    </row>
    <row r="38" spans="1:23" x14ac:dyDescent="0.25">
      <c r="A38">
        <v>27</v>
      </c>
      <c r="B38" s="78" t="n">
        <v>21022.4216</v>
      </c>
      <c r="C38" s="78" t="n">
        <v>4827.4892</v>
      </c>
      <c r="D38" s="78" t="n">
        <v>388.8753</v>
      </c>
      <c r="E38" s="78">
        <f si="0" t="shared"/>
        <v>26238.786100000001</v>
      </c>
      <c r="G38">
        <v>27</v>
      </c>
      <c r="H38" s="88" t="n">
        <v>29324.0</v>
      </c>
      <c r="I38" s="88" t="n">
        <v>5975.0</v>
      </c>
      <c r="J38" s="88" t="n">
        <v>1844.0</v>
      </c>
      <c r="K38" s="78">
        <f si="1" t="shared"/>
        <v>32976</v>
      </c>
      <c r="W38" s="9"/>
    </row>
    <row r="39" spans="1:23" x14ac:dyDescent="0.25">
      <c r="A39">
        <v>28</v>
      </c>
      <c r="B39" s="78" t="n">
        <v>36475.1043</v>
      </c>
      <c r="C39" s="78" t="n">
        <v>4484.71</v>
      </c>
      <c r="D39" s="78" t="n">
        <v>1682.6483</v>
      </c>
      <c r="E39" s="78">
        <f si="0" t="shared"/>
        <v>42642.462599999999</v>
      </c>
      <c r="G39">
        <v>28</v>
      </c>
      <c r="H39" s="88" t="n">
        <v>41811.0</v>
      </c>
      <c r="I39" s="88" t="n">
        <v>8206.0</v>
      </c>
      <c r="J39" s="88" t="n">
        <v>2514.0</v>
      </c>
      <c r="K39" s="78">
        <f si="1" t="shared"/>
        <v>39519</v>
      </c>
      <c r="W39" s="9"/>
    </row>
    <row r="40" spans="1:23" x14ac:dyDescent="0.25">
      <c r="A40">
        <v>29</v>
      </c>
      <c r="B40" s="78" t="n">
        <v>26919.1273</v>
      </c>
      <c r="C40" s="78" t="n">
        <v>8071.1693000000005</v>
      </c>
      <c r="D40" s="78" t="n">
        <v>2609.3716</v>
      </c>
      <c r="E40" s="78">
        <f si="0" t="shared"/>
        <v>37599.6682</v>
      </c>
      <c r="G40">
        <v>29</v>
      </c>
      <c r="H40" s="88" t="n">
        <v>39888.0</v>
      </c>
      <c r="I40" s="88" t="n">
        <v>7483.0</v>
      </c>
      <c r="J40" s="88" t="n">
        <v>1998.0</v>
      </c>
      <c r="K40" s="78">
        <f si="1" t="shared"/>
        <v>51858</v>
      </c>
      <c r="W40" s="9"/>
    </row>
    <row r="41" spans="1:23" x14ac:dyDescent="0.25">
      <c r="A41">
        <v>30</v>
      </c>
      <c r="B41" s="78" t="n">
        <v>33026.2201</v>
      </c>
      <c r="C41" s="78" t="n">
        <v>3885.6249</v>
      </c>
      <c r="D41" s="78" t="n">
        <v>677.7302</v>
      </c>
      <c r="E41" s="78">
        <f si="0" t="shared"/>
        <v>37589.575199999999</v>
      </c>
      <c r="G41">
        <v>30</v>
      </c>
      <c r="H41" s="88" t="n">
        <v>40577.0</v>
      </c>
      <c r="I41" s="88" t="n">
        <v>7476.0</v>
      </c>
      <c r="J41" s="88" t="n">
        <v>2133.0</v>
      </c>
      <c r="K41" s="78">
        <f si="1" t="shared"/>
        <v>35917</v>
      </c>
      <c r="W41" s="9"/>
    </row>
    <row r="42" spans="1:23" x14ac:dyDescent="0.25">
      <c r="A42">
        <v>31</v>
      </c>
      <c r="B42" s="78" t="n">
        <v>33376.2017</v>
      </c>
      <c r="C42" s="78" t="n">
        <v>8885.7135</v>
      </c>
      <c r="D42" s="78" t="n">
        <v>841.8717</v>
      </c>
      <c r="E42" s="78">
        <f si="0" t="shared"/>
        <v>43103.786899999999</v>
      </c>
      <c r="G42">
        <v>31</v>
      </c>
      <c r="H42" s="88" t="n">
        <v>40907.0</v>
      </c>
      <c r="I42" s="88" t="n">
        <v>9444.0</v>
      </c>
      <c r="J42" s="88" t="n">
        <v>2205.0</v>
      </c>
      <c r="K42" s="78">
        <f si="1" t="shared"/>
        <v>44100</v>
      </c>
      <c r="W42" s="9"/>
    </row>
    <row r="43" spans="1:23" x14ac:dyDescent="0.25">
      <c r="A43">
        <v>32</v>
      </c>
      <c r="B43" s="78" t="n">
        <v>20668.3178</v>
      </c>
      <c r="C43" s="78" t="n">
        <v>4080.5611</v>
      </c>
      <c r="D43" s="78" t="n">
        <v>2247.1212</v>
      </c>
      <c r="E43" s="78">
        <f si="0" t="shared"/>
        <v>26996.000100000001</v>
      </c>
      <c r="G43">
        <v>32</v>
      </c>
      <c r="H43" s="88" t="n">
        <v>34872.0</v>
      </c>
      <c r="I43" s="88" t="n">
        <v>6745.0</v>
      </c>
      <c r="J43" s="88" t="n">
        <v>1937.0</v>
      </c>
      <c r="K43" s="78">
        <f si="1" t="shared"/>
        <v>42891</v>
      </c>
      <c r="W43" s="9"/>
    </row>
    <row r="44" spans="1:23" x14ac:dyDescent="0.25">
      <c r="A44">
        <v>33</v>
      </c>
      <c r="B44" s="78" t="n">
        <v>24976.7759</v>
      </c>
      <c r="C44" s="78" t="n">
        <v>5224.704</v>
      </c>
      <c r="D44" s="78" t="n">
        <v>360.5714</v>
      </c>
      <c r="E44" s="78">
        <f si="0" t="shared"/>
        <v>30562.051299999999</v>
      </c>
      <c r="G44">
        <v>33</v>
      </c>
      <c r="H44" s="88" t="n">
        <v>21683.0</v>
      </c>
      <c r="I44" s="88" t="n">
        <v>4375.0</v>
      </c>
      <c r="J44" s="88" t="n">
        <v>1253.0</v>
      </c>
      <c r="K44" s="78">
        <f si="1" t="shared"/>
        <v>28040</v>
      </c>
      <c r="W44" s="9"/>
    </row>
    <row r="45" spans="1:23" x14ac:dyDescent="0.25">
      <c r="A45">
        <v>34</v>
      </c>
      <c r="B45" s="78" t="n">
        <v>20186.2247</v>
      </c>
      <c r="C45" s="78" t="n">
        <v>2979.1787</v>
      </c>
      <c r="D45" s="78" t="n">
        <v>2686.0828</v>
      </c>
      <c r="E45" s="78">
        <f si="0" t="shared"/>
        <v>25851.486199999999</v>
      </c>
      <c r="G45">
        <v>34</v>
      </c>
      <c r="H45" s="88" t="n">
        <v>30551.0</v>
      </c>
      <c r="I45" s="88" t="n">
        <v>6076.0</v>
      </c>
      <c r="J45" s="88" t="n">
        <v>1733.0</v>
      </c>
      <c r="K45" s="78">
        <f si="1" t="shared"/>
        <v>30289</v>
      </c>
      <c r="W45" s="9"/>
    </row>
    <row r="46" spans="1:23" x14ac:dyDescent="0.25">
      <c r="A46">
        <v>35</v>
      </c>
      <c r="B46" s="78" t="n">
        <v>27052.4399</v>
      </c>
      <c r="C46" s="78" t="n">
        <v>5445.5936</v>
      </c>
      <c r="D46" s="78" t="n">
        <v>1813.1448</v>
      </c>
      <c r="E46" s="78">
        <f si="0" t="shared"/>
        <v>34311.1783</v>
      </c>
      <c r="G46">
        <v>35</v>
      </c>
      <c r="H46" s="88" t="n">
        <v>26986.0</v>
      </c>
      <c r="I46" s="88" t="n">
        <v>5720.0</v>
      </c>
      <c r="J46" s="88" t="n">
        <v>1519.0</v>
      </c>
      <c r="K46" s="78">
        <f si="1" t="shared"/>
        <v>34622</v>
      </c>
      <c r="W46" s="9"/>
    </row>
    <row r="47" spans="1:23" x14ac:dyDescent="0.25">
      <c r="A47">
        <v>36</v>
      </c>
      <c r="B47" s="78" t="n">
        <v>18631.9196</v>
      </c>
      <c r="C47" s="78" t="n">
        <v>150.8726</v>
      </c>
      <c r="D47" s="78" t="n">
        <v>599.7334999999999</v>
      </c>
      <c r="E47" s="78">
        <f si="0" t="shared"/>
        <v>19382.525699999998</v>
      </c>
      <c r="G47">
        <v>36</v>
      </c>
      <c r="H47" s="88" t="n">
        <v>21411.0</v>
      </c>
      <c r="I47" s="88" t="n">
        <v>4872.0</v>
      </c>
      <c r="J47" s="88" t="n">
        <v>1202.0</v>
      </c>
      <c r="K47" s="78">
        <f si="1" t="shared"/>
        <v>29795</v>
      </c>
      <c r="W47" s="9"/>
    </row>
    <row r="48" spans="1:23" x14ac:dyDescent="0.25">
      <c r="A48">
        <v>37</v>
      </c>
      <c r="B48" s="78" t="n">
        <v>27550.7977</v>
      </c>
      <c r="C48" s="78" t="n">
        <v>5477.1683</v>
      </c>
      <c r="D48" s="78" t="n">
        <v>829.9261</v>
      </c>
      <c r="E48" s="78">
        <f si="0" t="shared"/>
        <v>33857.892099999997</v>
      </c>
      <c r="G48">
        <v>37</v>
      </c>
      <c r="H48" s="88" t="n">
        <v>22059.0</v>
      </c>
      <c r="I48" s="88" t="n">
        <v>4304.0</v>
      </c>
      <c r="J48" s="88" t="n">
        <v>1175.0</v>
      </c>
      <c r="K48" s="78">
        <f si="1" t="shared"/>
        <v>25841</v>
      </c>
      <c r="W48" s="9"/>
    </row>
    <row r="49" spans="1:23" x14ac:dyDescent="0.25">
      <c r="A49">
        <v>38</v>
      </c>
      <c r="B49" s="78" t="n">
        <v>32873.0173</v>
      </c>
      <c r="C49" s="78" t="n">
        <v>6737.3730000000005</v>
      </c>
      <c r="D49" s="78" t="n">
        <v>424.6245</v>
      </c>
      <c r="E49" s="78">
        <f si="0" t="shared"/>
        <v>40035.014799999997</v>
      </c>
      <c r="G49">
        <v>38</v>
      </c>
      <c r="H49" s="88" t="n">
        <v>22928.0</v>
      </c>
      <c r="I49" s="88" t="n">
        <v>4905.0</v>
      </c>
      <c r="J49" s="88" t="n">
        <v>1309.0</v>
      </c>
      <c r="K49" s="78">
        <f si="1" t="shared"/>
        <v>21713</v>
      </c>
      <c r="W49" s="9"/>
    </row>
    <row r="50" spans="1:23" x14ac:dyDescent="0.25">
      <c r="A50">
        <v>39</v>
      </c>
      <c r="B50" s="78" t="n">
        <v>18875.8938</v>
      </c>
      <c r="C50" s="78" t="n">
        <v>2386.3916</v>
      </c>
      <c r="D50" s="78" t="n">
        <v>1473.8867</v>
      </c>
      <c r="E50" s="78">
        <f si="0" t="shared"/>
        <v>22736.1721</v>
      </c>
      <c r="G50">
        <v>39</v>
      </c>
      <c r="H50" s="88" t="n">
        <v>23236.0</v>
      </c>
      <c r="I50" s="88" t="n">
        <v>5009.0</v>
      </c>
      <c r="J50" s="88" t="n">
        <v>1273.0</v>
      </c>
      <c r="K50" s="78">
        <f si="1" t="shared"/>
        <v>29212</v>
      </c>
      <c r="W50" s="9"/>
    </row>
    <row r="51" spans="1:23" x14ac:dyDescent="0.25">
      <c r="A51">
        <v>40</v>
      </c>
      <c r="B51" s="78" t="n">
        <v>24835.314</v>
      </c>
      <c r="C51" s="78" t="n">
        <v>1411.4496</v>
      </c>
      <c r="D51" s="78" t="n">
        <v>487.6054</v>
      </c>
      <c r="E51" s="78">
        <f si="0" t="shared"/>
        <v>26734.368999999999</v>
      </c>
      <c r="G51">
        <v>40</v>
      </c>
      <c r="H51" s="88" t="n">
        <v>19510.0</v>
      </c>
      <c r="I51" s="88" t="n">
        <v>3588.0</v>
      </c>
      <c r="J51" s="88" t="n">
        <v>901.0</v>
      </c>
      <c r="K51" s="78">
        <f si="1" t="shared"/>
        <v>35782</v>
      </c>
      <c r="W51" s="9"/>
    </row>
    <row r="52" spans="1:23" x14ac:dyDescent="0.25">
      <c r="A52">
        <v>41</v>
      </c>
      <c r="B52" s="78" t="n">
        <v>10913.1278</v>
      </c>
      <c r="C52" s="78" t="n">
        <v>2110.7133</v>
      </c>
      <c r="D52" s="78" t="n">
        <v>649.7511</v>
      </c>
      <c r="E52" s="78">
        <f si="0" t="shared"/>
        <v>13673.592199999999</v>
      </c>
      <c r="G52">
        <v>41</v>
      </c>
      <c r="H52" s="88" t="n">
        <v>25265.0</v>
      </c>
      <c r="I52" s="88" t="n">
        <v>5670.0</v>
      </c>
      <c r="J52" s="88" t="n">
        <v>1196.0</v>
      </c>
      <c r="K52" s="78">
        <f si="1" t="shared"/>
        <v>24453</v>
      </c>
      <c r="W52" s="9"/>
    </row>
    <row r="53" spans="1:23" x14ac:dyDescent="0.25">
      <c r="A53">
        <v>42</v>
      </c>
      <c r="B53" s="78" t="n">
        <v>9229.3835</v>
      </c>
      <c r="C53" s="78" t="n">
        <v>2557.6177000000002</v>
      </c>
      <c r="D53" s="78" t="n">
        <v>236.5559</v>
      </c>
      <c r="E53" s="78">
        <f si="0" t="shared"/>
        <v>12023.5571</v>
      </c>
      <c r="G53">
        <v>42</v>
      </c>
      <c r="H53" s="88" t="n">
        <v>24535.0</v>
      </c>
      <c r="I53" s="88" t="n">
        <v>4251.0</v>
      </c>
      <c r="J53" s="88" t="n">
        <v>1009.0</v>
      </c>
      <c r="K53" s="78">
        <f si="1" t="shared"/>
        <v>27260</v>
      </c>
      <c r="W53" s="9"/>
    </row>
    <row r="54" spans="1:23" x14ac:dyDescent="0.25">
      <c r="A54">
        <v>43</v>
      </c>
      <c r="B54" s="78" t="n">
        <v>18673.993300000002</v>
      </c>
      <c r="C54" s="78" t="n">
        <v>4225.8973</v>
      </c>
      <c r="D54" s="78" t="n">
        <v>500.0788</v>
      </c>
      <c r="E54" s="78">
        <f si="0" t="shared"/>
        <v>23399.969400000002</v>
      </c>
      <c r="G54">
        <v>43</v>
      </c>
      <c r="H54" s="88" t="n">
        <v>14804.0</v>
      </c>
      <c r="I54" s="88" t="n">
        <v>2840.0</v>
      </c>
      <c r="J54" s="88" t="n">
        <v>735.0</v>
      </c>
      <c r="K54" s="78">
        <f si="1" t="shared"/>
        <v>18000</v>
      </c>
      <c r="W54" s="9"/>
    </row>
    <row r="55" spans="1:23" x14ac:dyDescent="0.25">
      <c r="A55">
        <v>44</v>
      </c>
      <c r="B55" s="78" t="n">
        <v>9219.5375</v>
      </c>
      <c r="C55" s="78" t="n">
        <v>1482.4632</v>
      </c>
      <c r="D55" s="78" t="n">
        <v>738.9924</v>
      </c>
      <c r="E55" s="78">
        <f si="0" t="shared"/>
        <v>11440.9931</v>
      </c>
      <c r="G55">
        <v>44</v>
      </c>
      <c r="H55" s="88" t="n">
        <v>12780.0</v>
      </c>
      <c r="I55" s="88" t="n">
        <v>2567.0</v>
      </c>
      <c r="J55" s="88" t="n">
        <v>571.0</v>
      </c>
      <c r="K55" s="78">
        <f si="1" t="shared"/>
        <v>16281</v>
      </c>
      <c r="W55" s="9"/>
    </row>
    <row r="56" spans="1:23" x14ac:dyDescent="0.25">
      <c r="A56">
        <v>45</v>
      </c>
      <c r="B56" s="78" t="n">
        <v>43339.7388</v>
      </c>
      <c r="C56" s="78" t="n">
        <v>9011.6521</v>
      </c>
      <c r="D56" s="78" t="n">
        <v>3501.2357</v>
      </c>
      <c r="E56" s="78">
        <f si="0" t="shared"/>
        <v>55852.626599999996</v>
      </c>
      <c r="G56">
        <v>45</v>
      </c>
      <c r="H56" s="88" t="n">
        <v>22564.0</v>
      </c>
      <c r="I56" s="88" t="n">
        <v>3772.0</v>
      </c>
      <c r="J56" s="88" t="n">
        <v>847.0</v>
      </c>
      <c r="K56" s="78">
        <f si="1" t="shared"/>
        <v>29564</v>
      </c>
      <c r="W56" s="9"/>
    </row>
    <row r="57" spans="1:23" x14ac:dyDescent="0.25">
      <c r="A57">
        <v>46</v>
      </c>
      <c r="B57" s="78" t="n">
        <v>21061.4873</v>
      </c>
      <c r="C57" s="78" t="n">
        <v>3238.5039</v>
      </c>
      <c r="D57" s="78" t="n">
        <v>164.9238</v>
      </c>
      <c r="E57" s="78">
        <f si="0" t="shared"/>
        <v>24464.915000000001</v>
      </c>
      <c r="G57">
        <v>46</v>
      </c>
      <c r="H57" s="88" t="n">
        <v>14299.0</v>
      </c>
      <c r="I57" s="88" t="n">
        <v>2480.0</v>
      </c>
      <c r="J57" s="88" t="n">
        <v>643.0</v>
      </c>
      <c r="K57" s="78">
        <f si="1" t="shared"/>
        <v>17004</v>
      </c>
      <c r="W57" s="9"/>
    </row>
    <row r="58" spans="1:23" x14ac:dyDescent="0.25">
      <c r="A58">
        <v>47</v>
      </c>
      <c r="B58" s="78" t="n">
        <v>14760.5993</v>
      </c>
      <c r="C58" s="78" t="n">
        <v>251.3456</v>
      </c>
      <c r="D58" s="78" t="n">
        <v>197.4496</v>
      </c>
      <c r="E58" s="78">
        <f si="0" t="shared"/>
        <v>15209.3945</v>
      </c>
      <c r="G58">
        <v>47</v>
      </c>
      <c r="H58" s="88" t="n">
        <v>11432.0</v>
      </c>
      <c r="I58" s="88" t="n">
        <v>2312.0</v>
      </c>
      <c r="J58" s="88" t="n">
        <v>509.0</v>
      </c>
      <c r="K58" s="78">
        <f si="1" t="shared"/>
        <v>17333</v>
      </c>
      <c r="W58" s="9"/>
    </row>
    <row r="59" spans="1:23" x14ac:dyDescent="0.25">
      <c r="A59">
        <v>48</v>
      </c>
      <c r="B59" s="78" t="n">
        <v>7122.6739</v>
      </c>
      <c r="C59" s="78" t="n">
        <v>1714.4099999999999</v>
      </c>
      <c r="D59" s="78" t="n">
        <v>80.4853</v>
      </c>
      <c r="E59" s="78">
        <f si="0" t="shared"/>
        <v>8917.5691999999999</v>
      </c>
      <c r="G59">
        <v>48</v>
      </c>
      <c r="H59" s="88" t="n">
        <v>12624.0</v>
      </c>
      <c r="I59" s="88" t="n">
        <v>2141.0</v>
      </c>
      <c r="J59" s="88" t="n">
        <v>541.0</v>
      </c>
      <c r="K59" s="78">
        <f si="1" t="shared"/>
        <v>20419</v>
      </c>
      <c r="W59" s="9"/>
    </row>
    <row r="60" spans="1:23" x14ac:dyDescent="0.25">
      <c r="A60">
        <v>49</v>
      </c>
      <c r="B60" s="78" t="n">
        <v>11266.828300000001</v>
      </c>
      <c r="C60" s="78" t="n">
        <v>172.325</v>
      </c>
      <c r="D60" s="78" t="n">
        <v>0.0</v>
      </c>
      <c r="E60" s="78">
        <f si="0" t="shared"/>
        <v>11439.153300000002</v>
      </c>
      <c r="G60">
        <v>49</v>
      </c>
      <c r="H60" s="88" t="n">
        <v>11149.0</v>
      </c>
      <c r="I60" s="88" t="n">
        <v>2107.0</v>
      </c>
      <c r="J60" s="88" t="n">
        <v>484.0</v>
      </c>
      <c r="K60" s="78">
        <f si="1" t="shared"/>
        <v>16958</v>
      </c>
      <c r="W60" s="9"/>
    </row>
    <row r="61" spans="1:23" x14ac:dyDescent="0.25">
      <c r="A61">
        <v>50</v>
      </c>
      <c r="B61" s="78" t="n">
        <v>10840.346</v>
      </c>
      <c r="C61" s="78" t="n">
        <v>607.6772</v>
      </c>
      <c r="D61" s="78" t="n">
        <v>0.0</v>
      </c>
      <c r="E61" s="78">
        <f si="0" t="shared"/>
        <v>11448.0232</v>
      </c>
      <c r="G61">
        <v>50</v>
      </c>
      <c r="H61" s="88" t="n">
        <v>18285.0</v>
      </c>
      <c r="I61" s="88" t="n">
        <v>3136.0</v>
      </c>
      <c r="J61" s="88" t="n">
        <v>629.0</v>
      </c>
      <c r="K61" s="78">
        <f si="1" t="shared"/>
        <v>25986</v>
      </c>
      <c r="W61" s="9"/>
    </row>
    <row r="62" spans="1:23" x14ac:dyDescent="0.25">
      <c r="A62">
        <v>51</v>
      </c>
      <c r="B62" s="78" t="n">
        <v>4667.5167</v>
      </c>
      <c r="C62" s="78" t="n">
        <v>355.0461</v>
      </c>
      <c r="D62" s="78" t="n">
        <v>0.0</v>
      </c>
      <c r="E62" s="78">
        <f si="0" t="shared"/>
        <v>5022.5627999999997</v>
      </c>
      <c r="G62">
        <v>51</v>
      </c>
      <c r="H62" s="88" t="n">
        <v>7912.0</v>
      </c>
      <c r="I62" s="88" t="n">
        <v>1581.0</v>
      </c>
      <c r="J62" s="88" t="n">
        <v>355.0</v>
      </c>
      <c r="K62" s="78">
        <f si="1" t="shared"/>
        <v>11407</v>
      </c>
      <c r="W62" s="9"/>
    </row>
    <row r="63" spans="1:23" x14ac:dyDescent="0.25">
      <c r="A63">
        <v>52</v>
      </c>
      <c r="B63" s="78" t="n">
        <v>14517.178399999999</v>
      </c>
      <c r="C63" s="78" t="n">
        <v>202.6582</v>
      </c>
      <c r="D63" s="78" t="n">
        <v>0.0</v>
      </c>
      <c r="E63" s="78">
        <f si="0" t="shared"/>
        <v>14719.836599999999</v>
      </c>
      <c r="G63">
        <v>52</v>
      </c>
      <c r="H63" s="88" t="n">
        <v>8742.0</v>
      </c>
      <c r="I63" s="88" t="n">
        <v>1835.0</v>
      </c>
      <c r="J63" s="88" t="n">
        <v>386.0</v>
      </c>
      <c r="K63" s="78">
        <f si="1" t="shared"/>
        <v>15383</v>
      </c>
      <c r="W63" s="9"/>
    </row>
    <row r="64" spans="1:23" x14ac:dyDescent="0.25">
      <c r="A64">
        <v>53</v>
      </c>
      <c r="B64" s="78" t="n">
        <v>8216.3746</v>
      </c>
      <c r="C64" s="78" t="n">
        <v>527.4912</v>
      </c>
      <c r="D64" s="78" t="n">
        <v>1260.1192</v>
      </c>
      <c r="E64" s="78">
        <f si="0" t="shared"/>
        <v>10003.985000000001</v>
      </c>
      <c r="G64">
        <v>53</v>
      </c>
      <c r="H64" s="88" t="n">
        <v>5950.0</v>
      </c>
      <c r="I64" s="88" t="n">
        <v>1233.0</v>
      </c>
      <c r="J64" s="88" t="n">
        <v>247.0</v>
      </c>
      <c r="K64" s="78">
        <f si="1" t="shared"/>
        <v>11902</v>
      </c>
      <c r="W64" s="9"/>
    </row>
    <row r="65" spans="1:23" x14ac:dyDescent="0.25">
      <c r="A65">
        <v>54</v>
      </c>
      <c r="B65" s="78" t="n">
        <v>12404.8033</v>
      </c>
      <c r="C65" s="78" t="n">
        <v>3517.1571000000004</v>
      </c>
      <c r="D65" s="78" t="n">
        <v>0.0</v>
      </c>
      <c r="E65" s="78">
        <f si="0" t="shared"/>
        <v>15921.9604</v>
      </c>
      <c r="G65">
        <v>54</v>
      </c>
      <c r="H65" s="88" t="n">
        <v>11327.0</v>
      </c>
      <c r="I65" s="88" t="n">
        <v>1958.0</v>
      </c>
      <c r="J65" s="88" t="n">
        <v>389.0</v>
      </c>
      <c r="K65" s="78">
        <f si="1" t="shared"/>
        <v>18271</v>
      </c>
      <c r="W65" s="9"/>
    </row>
    <row r="66" spans="1:23" x14ac:dyDescent="0.25">
      <c r="A66">
        <v>55</v>
      </c>
      <c r="B66" s="78" t="n">
        <v>14144.483</v>
      </c>
      <c r="C66" s="78" t="n">
        <v>1631.7087</v>
      </c>
      <c r="D66" s="78" t="n">
        <v>0.0</v>
      </c>
      <c r="E66" s="78">
        <f si="0" t="shared"/>
        <v>15776.191699999999</v>
      </c>
      <c r="G66">
        <v>55</v>
      </c>
      <c r="H66" s="88" t="n">
        <v>11295.0</v>
      </c>
      <c r="I66" s="88" t="n">
        <v>2000.0</v>
      </c>
      <c r="J66" s="88" t="n">
        <v>370.0</v>
      </c>
      <c r="K66" s="78">
        <f si="1" t="shared"/>
        <v>11602</v>
      </c>
      <c r="W66" s="9"/>
    </row>
    <row r="67" spans="1:23" x14ac:dyDescent="0.25">
      <c r="A67">
        <v>56</v>
      </c>
      <c r="B67" s="78" t="n">
        <v>4682.5351</v>
      </c>
      <c r="C67" s="78" t="n">
        <v>0.0</v>
      </c>
      <c r="D67" s="78" t="n">
        <v>0.0</v>
      </c>
      <c r="E67" s="78">
        <f si="0" t="shared"/>
        <v>4682.5351000000001</v>
      </c>
      <c r="G67">
        <v>56</v>
      </c>
      <c r="H67" s="88" t="n">
        <v>4172.0</v>
      </c>
      <c r="I67" s="88" t="n">
        <v>969.0</v>
      </c>
      <c r="J67" s="88" t="n">
        <v>190.0</v>
      </c>
      <c r="K67" s="78">
        <f si="1" t="shared"/>
        <v>9784</v>
      </c>
      <c r="W67" s="9"/>
    </row>
    <row r="68" spans="1:23" x14ac:dyDescent="0.25">
      <c r="A68">
        <v>57</v>
      </c>
      <c r="B68" s="78" t="n">
        <v>4354.204</v>
      </c>
      <c r="C68" s="78" t="n">
        <v>1505.2651</v>
      </c>
      <c r="D68" s="78" t="n">
        <v>0.0</v>
      </c>
      <c r="E68" s="78">
        <f si="0" t="shared"/>
        <v>5859.4691000000003</v>
      </c>
      <c r="G68">
        <v>57</v>
      </c>
      <c r="H68" s="88" t="n">
        <v>6465.0</v>
      </c>
      <c r="I68" s="88" t="n">
        <v>1527.0</v>
      </c>
      <c r="J68" s="88" t="n">
        <v>281.0</v>
      </c>
      <c r="K68" s="78">
        <f si="1" t="shared"/>
        <v>10545</v>
      </c>
      <c r="W68" s="9"/>
    </row>
    <row r="69" spans="1:23" x14ac:dyDescent="0.25">
      <c r="A69">
        <v>58</v>
      </c>
      <c r="B69" s="78" t="n">
        <v>7397.3245</v>
      </c>
      <c r="C69" s="78" t="n">
        <v>221.9759</v>
      </c>
      <c r="D69" s="78" t="n">
        <v>0.0</v>
      </c>
      <c r="E69" s="78">
        <f si="0" t="shared"/>
        <v>7619.3004000000001</v>
      </c>
      <c r="G69">
        <v>58</v>
      </c>
      <c r="H69" s="88" t="n">
        <v>4003.0</v>
      </c>
      <c r="I69" s="88" t="n">
        <v>999.0</v>
      </c>
      <c r="J69" s="88" t="n">
        <v>178.0</v>
      </c>
      <c r="K69" s="78">
        <f si="1" t="shared"/>
        <v>12268</v>
      </c>
      <c r="W69" s="9"/>
    </row>
    <row r="70" spans="1:23" x14ac:dyDescent="0.25">
      <c r="A70">
        <v>59</v>
      </c>
      <c r="B70" s="78" t="n">
        <v>6845.0997</v>
      </c>
      <c r="C70" s="78" t="n">
        <v>357.1718</v>
      </c>
      <c r="D70" s="78" t="n">
        <v>967.3348</v>
      </c>
      <c r="E70" s="78">
        <f si="0" t="shared"/>
        <v>8169.6062999999995</v>
      </c>
      <c r="G70">
        <v>59</v>
      </c>
      <c r="H70" s="88" t="n">
        <v>4444.0</v>
      </c>
      <c r="I70" s="88" t="n">
        <v>1107.0</v>
      </c>
      <c r="J70" s="88" t="n">
        <v>204.0</v>
      </c>
      <c r="K70" s="78">
        <f si="1" t="shared"/>
        <v>7545</v>
      </c>
      <c r="W70" s="9"/>
    </row>
    <row r="71" spans="1:23" x14ac:dyDescent="0.25">
      <c r="A71">
        <v>60</v>
      </c>
      <c r="B71" s="78" t="n">
        <v>5748.0181999999995</v>
      </c>
      <c r="C71" s="78" t="n">
        <v>0.0</v>
      </c>
      <c r="D71" s="78" t="n">
        <v>0.0</v>
      </c>
      <c r="E71" s="78">
        <f si="0" t="shared"/>
        <v>5748.0181999999995</v>
      </c>
      <c r="G71">
        <v>60</v>
      </c>
      <c r="H71" s="88" t="n">
        <v>3675.0</v>
      </c>
      <c r="I71" s="88" t="n">
        <v>869.0</v>
      </c>
      <c r="J71" s="88" t="n">
        <v>190.0</v>
      </c>
      <c r="K71" s="78">
        <f si="1" t="shared"/>
        <v>8294</v>
      </c>
      <c r="W71" s="9"/>
    </row>
    <row r="72" spans="1:23" x14ac:dyDescent="0.25">
      <c r="A72">
        <v>61</v>
      </c>
      <c r="B72" s="78" t="n">
        <v>3449.6851</v>
      </c>
      <c r="C72" s="78" t="n">
        <v>191.2394</v>
      </c>
      <c r="D72" s="78" t="n">
        <v>0.0</v>
      </c>
      <c r="E72" s="78">
        <f si="0" t="shared"/>
        <v>3640.9245000000001</v>
      </c>
      <c r="G72">
        <v>61</v>
      </c>
      <c r="H72" s="88" t="n">
        <v>3225.0</v>
      </c>
      <c r="I72" s="88" t="n">
        <v>763.0</v>
      </c>
      <c r="J72" s="88" t="n">
        <v>148.0</v>
      </c>
      <c r="K72" s="78">
        <f si="1" t="shared"/>
        <v>9579</v>
      </c>
      <c r="W72" s="9"/>
    </row>
    <row r="73" spans="1:23" x14ac:dyDescent="0.25">
      <c r="A73">
        <v>62</v>
      </c>
      <c r="B73" s="78" t="n">
        <v>5194.2361</v>
      </c>
      <c r="C73" s="78" t="n">
        <v>0.0</v>
      </c>
      <c r="D73" s="78" t="n">
        <v>0.0</v>
      </c>
      <c r="E73" s="78">
        <f si="0" t="shared"/>
        <v>5194.2361000000001</v>
      </c>
      <c r="G73">
        <v>62</v>
      </c>
      <c r="H73" s="88" t="n">
        <v>7778.0</v>
      </c>
      <c r="I73" s="88" t="n">
        <v>1520.0</v>
      </c>
      <c r="J73" s="88" t="n">
        <v>241.0</v>
      </c>
      <c r="K73" s="78">
        <f si="1" t="shared"/>
        <v>11239</v>
      </c>
      <c r="W73" s="9"/>
    </row>
    <row r="74" spans="1:23" x14ac:dyDescent="0.25">
      <c r="A74">
        <v>63</v>
      </c>
      <c r="B74" s="78" t="n">
        <v>4585.2093</v>
      </c>
      <c r="C74" s="78" t="n">
        <v>182.4162</v>
      </c>
      <c r="D74" s="78" t="n">
        <v>0.0</v>
      </c>
      <c r="E74" s="78">
        <f si="0" t="shared"/>
        <v>4767.6255000000001</v>
      </c>
      <c r="G74">
        <v>63</v>
      </c>
      <c r="H74" s="88" t="n">
        <v>4743.0</v>
      </c>
      <c r="I74" s="88" t="n">
        <v>1127.0</v>
      </c>
      <c r="J74" s="88" t="n">
        <v>260.0</v>
      </c>
      <c r="K74" s="78">
        <f si="1" t="shared"/>
        <v>8079</v>
      </c>
      <c r="W74" s="9"/>
    </row>
    <row r="75" spans="1:23" x14ac:dyDescent="0.25">
      <c r="A75">
        <v>64</v>
      </c>
      <c r="B75" s="78" t="n">
        <v>3267.2839</v>
      </c>
      <c r="C75" s="78" t="n">
        <v>0.0</v>
      </c>
      <c r="D75" s="78" t="n">
        <v>0.0</v>
      </c>
      <c r="E75" s="78">
        <f si="0" t="shared"/>
        <v>3267.2838999999999</v>
      </c>
      <c r="G75">
        <v>64</v>
      </c>
      <c r="H75" s="88" t="n">
        <v>4388.0</v>
      </c>
      <c r="I75" s="88" t="n">
        <v>1112.0</v>
      </c>
      <c r="J75" s="88" t="n">
        <v>254.0</v>
      </c>
      <c r="K75" s="78">
        <f si="1" t="shared"/>
        <v>7096</v>
      </c>
      <c r="W75" s="9"/>
    </row>
    <row r="76" spans="1:23" x14ac:dyDescent="0.25">
      <c r="A76">
        <v>65</v>
      </c>
      <c r="B76" s="78" t="n">
        <v>4946.1454</v>
      </c>
      <c r="C76" s="78" t="n">
        <v>105.4442</v>
      </c>
      <c r="D76" s="78" t="n">
        <v>272.7926</v>
      </c>
      <c r="E76" s="78">
        <f ref="E76:E101" si="2" t="shared">SUM(B76:D76)</f>
        <v>5324.3822</v>
      </c>
      <c r="G76">
        <v>65</v>
      </c>
      <c r="H76" s="88" t="n">
        <v>2648.0</v>
      </c>
      <c r="I76" s="88" t="n">
        <v>765.0</v>
      </c>
      <c r="J76" s="88" t="n">
        <v>112.0</v>
      </c>
      <c r="K76" s="78">
        <f ref="K76:K101" si="3" t="shared">SUM(H76:J76)</f>
        <v>6001</v>
      </c>
      <c r="W76" s="9"/>
    </row>
    <row r="77" spans="1:23" x14ac:dyDescent="0.25">
      <c r="A77">
        <v>66</v>
      </c>
      <c r="B77" s="78" t="n">
        <v>3616.7133</v>
      </c>
      <c r="C77" s="78" t="n">
        <v>0.0</v>
      </c>
      <c r="D77" s="78" t="n">
        <v>0.0</v>
      </c>
      <c r="E77" s="78">
        <f si="2" t="shared"/>
        <v>3616.7132999999999</v>
      </c>
      <c r="G77">
        <v>66</v>
      </c>
      <c r="H77" s="88" t="n">
        <v>4090.0</v>
      </c>
      <c r="I77" s="88" t="n">
        <v>962.0</v>
      </c>
      <c r="J77" s="88" t="n">
        <v>214.0</v>
      </c>
      <c r="K77" s="78">
        <f si="3" t="shared"/>
        <v>5686</v>
      </c>
      <c r="W77" s="9"/>
    </row>
    <row r="78" spans="1:23" x14ac:dyDescent="0.25">
      <c r="A78">
        <v>67</v>
      </c>
      <c r="B78" s="78" t="n">
        <v>5884.8642</v>
      </c>
      <c r="C78" s="78" t="n">
        <v>98.3456</v>
      </c>
      <c r="D78" s="78" t="n">
        <v>382.4193</v>
      </c>
      <c r="E78" s="78">
        <f si="2" t="shared"/>
        <v>6365.6291000000001</v>
      </c>
      <c r="G78">
        <v>67</v>
      </c>
      <c r="H78" s="88" t="n">
        <v>2378.0</v>
      </c>
      <c r="I78" s="88" t="n">
        <v>615.0</v>
      </c>
      <c r="J78" s="88" t="n">
        <v>118.0</v>
      </c>
      <c r="K78" s="78">
        <f si="3" t="shared"/>
        <v>5911</v>
      </c>
      <c r="W78" s="9"/>
    </row>
    <row r="79" spans="1:23" x14ac:dyDescent="0.25">
      <c r="A79">
        <v>68</v>
      </c>
      <c r="B79" s="78" t="n">
        <v>985.5914</v>
      </c>
      <c r="C79" s="78" t="n">
        <v>0.0</v>
      </c>
      <c r="D79" s="78" t="n">
        <v>0.0</v>
      </c>
      <c r="E79" s="78">
        <f si="2" t="shared"/>
        <v>985.59140000000002</v>
      </c>
      <c r="G79">
        <v>68</v>
      </c>
      <c r="H79" s="88" t="n">
        <v>1950.0</v>
      </c>
      <c r="I79" s="88" t="n">
        <v>520.0</v>
      </c>
      <c r="J79" s="88" t="n">
        <v>87.0</v>
      </c>
      <c r="K79" s="78">
        <f si="3" t="shared"/>
        <v>6616</v>
      </c>
      <c r="W79" s="9"/>
    </row>
    <row r="80" spans="1:23" x14ac:dyDescent="0.25">
      <c r="A80">
        <v>69</v>
      </c>
      <c r="B80" s="78" t="n">
        <v>3271.1946</v>
      </c>
      <c r="C80" s="78" t="n">
        <v>87.5526</v>
      </c>
      <c r="D80" s="78" t="n">
        <v>0.0</v>
      </c>
      <c r="E80" s="78">
        <f si="2" t="shared"/>
        <v>3358.7471999999998</v>
      </c>
      <c r="G80">
        <v>69</v>
      </c>
      <c r="H80" s="88" t="n">
        <v>3383.0</v>
      </c>
      <c r="I80" s="88" t="n">
        <v>861.0</v>
      </c>
      <c r="J80" s="88" t="n">
        <v>200.0</v>
      </c>
      <c r="K80" s="78">
        <f si="3" t="shared"/>
        <v>5541</v>
      </c>
      <c r="W80" s="9"/>
    </row>
    <row r="81" spans="1:23" x14ac:dyDescent="0.25">
      <c r="A81">
        <v>70</v>
      </c>
      <c r="B81" s="78" t="n">
        <v>4139.8503</v>
      </c>
      <c r="C81" s="78" t="n">
        <v>187.4745</v>
      </c>
      <c r="D81" s="78" t="n">
        <v>109.0124</v>
      </c>
      <c r="E81" s="78">
        <f si="2" t="shared"/>
        <v>4436.3371999999999</v>
      </c>
      <c r="G81">
        <v>70</v>
      </c>
      <c r="H81" s="88" t="n">
        <v>1937.0</v>
      </c>
      <c r="I81" s="88" t="n">
        <v>521.0</v>
      </c>
      <c r="J81" s="88" t="n">
        <v>66.0</v>
      </c>
      <c r="K81" s="78">
        <f si="3" t="shared"/>
        <v>8177</v>
      </c>
      <c r="W81" s="9"/>
    </row>
    <row r="82" spans="1:23" x14ac:dyDescent="0.25">
      <c r="A82">
        <v>71</v>
      </c>
      <c r="B82" s="78" t="n">
        <v>2218.0660000000003</v>
      </c>
      <c r="C82" s="78" t="n">
        <v>0.0</v>
      </c>
      <c r="D82" s="78" t="n">
        <v>0.0</v>
      </c>
      <c r="E82" s="78">
        <f si="2" t="shared"/>
        <v>2218.0660000000003</v>
      </c>
      <c r="G82">
        <v>71</v>
      </c>
      <c r="H82" s="88" t="n">
        <v>1305.0</v>
      </c>
      <c r="I82" s="88" t="n">
        <v>443.0</v>
      </c>
      <c r="J82" s="88" t="n">
        <v>69.0</v>
      </c>
      <c r="K82" s="78">
        <f si="3" t="shared"/>
        <v>4051</v>
      </c>
      <c r="W82" s="9"/>
    </row>
    <row r="83" spans="1:23" x14ac:dyDescent="0.25">
      <c r="A83">
        <v>72</v>
      </c>
      <c r="B83" s="78" t="n">
        <v>2415.0693</v>
      </c>
      <c r="C83" s="78" t="n">
        <v>983.3125</v>
      </c>
      <c r="D83" s="78" t="n">
        <v>0.0</v>
      </c>
      <c r="E83" s="78">
        <f si="2" t="shared"/>
        <v>3398.3818000000001</v>
      </c>
      <c r="G83">
        <v>72</v>
      </c>
      <c r="H83" s="88" t="n">
        <v>963.0</v>
      </c>
      <c r="I83" s="88" t="n">
        <v>406.0</v>
      </c>
      <c r="J83" s="88" t="n">
        <v>63.0</v>
      </c>
      <c r="K83" s="78">
        <f si="3" t="shared"/>
        <v>3959</v>
      </c>
      <c r="W83" s="9"/>
    </row>
    <row r="84" spans="1:23" x14ac:dyDescent="0.25">
      <c r="A84">
        <v>73</v>
      </c>
      <c r="B84" s="78" t="n">
        <v>4263.4874</v>
      </c>
      <c r="C84" s="78" t="n">
        <v>0.0</v>
      </c>
      <c r="D84" s="78" t="n">
        <v>212.3439</v>
      </c>
      <c r="E84" s="78">
        <f si="2" t="shared"/>
        <v>4475.8312999999998</v>
      </c>
      <c r="G84">
        <v>73</v>
      </c>
      <c r="H84" s="88" t="n">
        <v>2016.0</v>
      </c>
      <c r="I84" s="88" t="n">
        <v>422.0</v>
      </c>
      <c r="J84" s="88" t="n">
        <v>79.0</v>
      </c>
      <c r="K84" s="78">
        <f si="3" t="shared"/>
        <v>4451</v>
      </c>
      <c r="W84" s="9"/>
    </row>
    <row r="85" spans="1:23" x14ac:dyDescent="0.25">
      <c r="A85">
        <v>74</v>
      </c>
      <c r="B85" s="78" t="n">
        <v>6512.6523</v>
      </c>
      <c r="C85" s="78" t="n">
        <v>642.6016999999999</v>
      </c>
      <c r="D85" s="78" t="n">
        <v>0.0</v>
      </c>
      <c r="E85" s="78">
        <f si="2" t="shared"/>
        <v>7155.2539999999999</v>
      </c>
      <c r="G85">
        <v>74</v>
      </c>
      <c r="H85" s="88" t="n">
        <v>843.0</v>
      </c>
      <c r="I85" s="88" t="n">
        <v>308.0</v>
      </c>
      <c r="J85" s="88" t="n">
        <v>41.0</v>
      </c>
      <c r="K85" s="78">
        <f si="3" t="shared"/>
        <v>4264</v>
      </c>
      <c r="W85" s="9"/>
    </row>
    <row r="86" spans="1:23" x14ac:dyDescent="0.25">
      <c r="A86">
        <v>75</v>
      </c>
      <c r="B86" s="78" t="n">
        <v>5734.0851</v>
      </c>
      <c r="C86" s="78" t="n">
        <v>0.0</v>
      </c>
      <c r="D86" s="78" t="n">
        <v>0.0</v>
      </c>
      <c r="E86" s="78">
        <f si="2" t="shared"/>
        <v>5734.0851000000002</v>
      </c>
      <c r="G86">
        <v>75</v>
      </c>
      <c r="H86" s="88" t="n">
        <v>730.0</v>
      </c>
      <c r="I86" s="88" t="n">
        <v>265.0</v>
      </c>
      <c r="J86" s="88" t="n">
        <v>42.0</v>
      </c>
      <c r="K86" s="78">
        <f si="3" t="shared"/>
        <v>3848</v>
      </c>
      <c r="W86" s="9"/>
    </row>
    <row r="87" spans="1:23" x14ac:dyDescent="0.25">
      <c r="A87">
        <v>76</v>
      </c>
      <c r="B87" s="78" t="n">
        <v>4217.6426</v>
      </c>
      <c r="C87" s="78" t="n">
        <v>0.0</v>
      </c>
      <c r="D87" s="78" t="n">
        <v>258.1531</v>
      </c>
      <c r="E87" s="78">
        <f si="2" t="shared"/>
        <v>4475.7957000000006</v>
      </c>
      <c r="G87">
        <v>76</v>
      </c>
      <c r="H87" s="88" t="n">
        <v>1154.0</v>
      </c>
      <c r="I87" s="88" t="n">
        <v>471.0</v>
      </c>
      <c r="J87" s="88" t="n">
        <v>73.0</v>
      </c>
      <c r="K87" s="78">
        <f si="3" t="shared"/>
        <v>4370</v>
      </c>
      <c r="W87" s="9"/>
    </row>
    <row r="88" spans="1:23" x14ac:dyDescent="0.25">
      <c r="A88">
        <v>77</v>
      </c>
      <c r="B88" s="78" t="n">
        <v>6088.5308</v>
      </c>
      <c r="C88" s="78" t="n">
        <v>2235.7517</v>
      </c>
      <c r="D88" s="78" t="n">
        <v>2414.0209</v>
      </c>
      <c r="E88" s="78">
        <f si="2" t="shared"/>
        <v>10738.303400000001</v>
      </c>
      <c r="G88">
        <v>77</v>
      </c>
      <c r="H88" s="88" t="n">
        <v>837.0</v>
      </c>
      <c r="I88" s="88" t="n">
        <v>315.0</v>
      </c>
      <c r="J88" s="88" t="n">
        <v>36.0</v>
      </c>
      <c r="K88" s="78">
        <f si="3" t="shared"/>
        <v>3431</v>
      </c>
      <c r="W88" s="9"/>
    </row>
    <row r="89" spans="1:23" x14ac:dyDescent="0.25">
      <c r="A89">
        <v>78</v>
      </c>
      <c r="B89" s="78" t="n">
        <v>2784.0238</v>
      </c>
      <c r="C89" s="78" t="n">
        <v>207.1665</v>
      </c>
      <c r="D89" s="78" t="n">
        <v>210.8431</v>
      </c>
      <c r="E89" s="78">
        <f si="2" t="shared"/>
        <v>3202.0333999999998</v>
      </c>
      <c r="G89">
        <v>78</v>
      </c>
      <c r="H89" s="88" t="n">
        <v>554.0</v>
      </c>
      <c r="I89" s="88" t="n">
        <v>242.0</v>
      </c>
      <c r="J89" s="88" t="n">
        <v>39.0</v>
      </c>
      <c r="K89" s="78">
        <f si="3" t="shared"/>
        <v>2932</v>
      </c>
      <c r="W89" s="9"/>
    </row>
    <row r="90" spans="1:23" x14ac:dyDescent="0.25">
      <c r="A90">
        <v>79</v>
      </c>
      <c r="B90" s="78" t="n">
        <v>2215.9219000000003</v>
      </c>
      <c r="C90" s="78" t="n">
        <v>0.0</v>
      </c>
      <c r="D90" s="78" t="n">
        <v>0.0</v>
      </c>
      <c r="E90" s="78">
        <f si="2" t="shared"/>
        <v>2215.9219000000003</v>
      </c>
      <c r="G90">
        <v>79</v>
      </c>
      <c r="H90" s="88" t="n">
        <v>506.0</v>
      </c>
      <c r="I90" s="88" t="n">
        <v>184.0</v>
      </c>
      <c r="J90" s="88" t="n">
        <v>38.0</v>
      </c>
      <c r="K90" s="78">
        <f si="3" t="shared"/>
        <v>1765</v>
      </c>
      <c r="W90" s="9"/>
    </row>
    <row r="91" spans="1:23" x14ac:dyDescent="0.25">
      <c r="A91">
        <v>80</v>
      </c>
      <c r="B91" s="78" t="n">
        <v>2565.0071</v>
      </c>
      <c r="C91" s="78" t="n">
        <v>0.0</v>
      </c>
      <c r="D91" s="78" t="n">
        <v>0.0</v>
      </c>
      <c r="E91" s="78">
        <f si="2" t="shared"/>
        <v>2565.0070999999998</v>
      </c>
      <c r="G91">
        <v>80</v>
      </c>
      <c r="H91" s="88" t="n">
        <v>590.0</v>
      </c>
      <c r="I91" s="88" t="n">
        <v>173.0</v>
      </c>
      <c r="J91" s="88" t="n">
        <v>32.0</v>
      </c>
      <c r="K91" s="78">
        <f si="3" t="shared"/>
        <v>1665</v>
      </c>
      <c r="W91" s="9"/>
    </row>
    <row r="92" spans="1:23" x14ac:dyDescent="0.25">
      <c r="A92">
        <v>81</v>
      </c>
      <c r="B92" s="78" t="n">
        <v>2181.9134</v>
      </c>
      <c r="C92" s="78" t="n">
        <v>253.3343</v>
      </c>
      <c r="D92" s="78" t="n">
        <v>0.0</v>
      </c>
      <c r="E92" s="78">
        <f si="2" t="shared"/>
        <v>2435.2476999999999</v>
      </c>
      <c r="G92">
        <v>81</v>
      </c>
      <c r="H92" s="88" t="n">
        <v>561.0</v>
      </c>
      <c r="I92" s="88" t="n">
        <v>240.0</v>
      </c>
      <c r="J92" s="88" t="n">
        <v>41.0</v>
      </c>
      <c r="K92" s="78">
        <f si="3" t="shared"/>
        <v>2254</v>
      </c>
      <c r="W92" s="9"/>
    </row>
    <row r="93" spans="1:23" x14ac:dyDescent="0.25">
      <c r="A93">
        <v>82</v>
      </c>
      <c r="B93" s="78" t="n">
        <v>1395.6978</v>
      </c>
      <c r="C93" s="78" t="n">
        <v>0.0</v>
      </c>
      <c r="D93" s="78" t="n">
        <v>0.0</v>
      </c>
      <c r="E93" s="78">
        <f si="2" t="shared"/>
        <v>1395.6977999999999</v>
      </c>
      <c r="G93">
        <v>82</v>
      </c>
      <c r="H93" s="88" t="n">
        <v>316.0</v>
      </c>
      <c r="I93" s="88" t="n">
        <v>195.0</v>
      </c>
      <c r="J93" s="88" t="n">
        <v>19.0</v>
      </c>
      <c r="K93" s="78">
        <f si="3" t="shared"/>
        <v>1964</v>
      </c>
      <c r="W93" s="9"/>
    </row>
    <row r="94" spans="1:23" x14ac:dyDescent="0.25">
      <c r="A94">
        <v>83</v>
      </c>
      <c r="B94" s="78" t="n">
        <v>698.9830999999999</v>
      </c>
      <c r="C94" s="78" t="n">
        <v>0.0</v>
      </c>
      <c r="D94" s="78" t="n">
        <v>218.6278</v>
      </c>
      <c r="E94" s="78">
        <f si="2" t="shared"/>
        <v>917.6108999999999</v>
      </c>
      <c r="G94">
        <v>83</v>
      </c>
      <c r="H94" s="88" t="n">
        <v>377.0</v>
      </c>
      <c r="I94" s="88" t="n">
        <v>164.0</v>
      </c>
      <c r="J94" s="78" t="n">
        <v>24.0</v>
      </c>
      <c r="K94" s="78">
        <f si="3" t="shared"/>
        <v>1524</v>
      </c>
      <c r="W94" s="9"/>
    </row>
    <row ht="15.75" r="95" spans="1:23" thickBot="1" x14ac:dyDescent="0.3">
      <c r="A95">
        <v>84</v>
      </c>
      <c r="B95" s="78" t="n">
        <v>78.5405</v>
      </c>
      <c r="C95" s="78" t="n">
        <v>426.0483</v>
      </c>
      <c r="D95" s="78" t="n">
        <v>0.0</v>
      </c>
      <c r="E95" s="78">
        <f si="2" t="shared"/>
        <v>504.58879999999999</v>
      </c>
      <c r="G95">
        <v>84</v>
      </c>
      <c r="H95" s="88" t="n">
        <v>370.0</v>
      </c>
      <c r="I95" s="88" t="n">
        <v>147.0</v>
      </c>
      <c r="J95" s="88" t="n">
        <v>27.0</v>
      </c>
      <c r="K95" s="78">
        <f si="3" t="shared"/>
        <v>1621</v>
      </c>
      <c r="W95" s="10"/>
    </row>
    <row r="96" spans="1:23" x14ac:dyDescent="0.25">
      <c r="A96">
        <v>85</v>
      </c>
      <c r="B96" s="78" t="n">
        <v>1121.6235</v>
      </c>
      <c r="C96" s="78" t="n">
        <v>863.9641</v>
      </c>
      <c r="D96" s="78" t="n">
        <v>0.0</v>
      </c>
      <c r="E96" s="78">
        <f si="2" t="shared"/>
        <v>1985.5875999999998</v>
      </c>
      <c r="G96">
        <v>85</v>
      </c>
      <c r="H96" s="88" t="n">
        <v>370.0</v>
      </c>
      <c r="I96" s="88" t="n">
        <v>151.0</v>
      </c>
      <c r="J96" s="78" t="n">
        <v>24.0</v>
      </c>
      <c r="K96" s="78">
        <f si="3" t="shared"/>
        <v>1321</v>
      </c>
    </row>
    <row r="97" spans="1:11" x14ac:dyDescent="0.25">
      <c r="A97">
        <v>86</v>
      </c>
      <c r="B97" s="78" t="n">
        <v>217.6002</v>
      </c>
      <c r="C97" s="78" t="n">
        <v>0.0</v>
      </c>
      <c r="D97" s="78" t="n">
        <v>0.0</v>
      </c>
      <c r="E97" s="78">
        <f si="2" t="shared"/>
        <v>217.6002</v>
      </c>
      <c r="G97">
        <v>86</v>
      </c>
      <c r="H97" s="88" t="n">
        <v>314.0</v>
      </c>
      <c r="I97" s="88" t="n">
        <v>130.0</v>
      </c>
      <c r="J97" s="88" t="n">
        <v>12.0</v>
      </c>
      <c r="K97" s="78">
        <f si="3" t="shared"/>
        <v>971</v>
      </c>
    </row>
    <row r="98" spans="1:11" x14ac:dyDescent="0.25">
      <c r="A98">
        <v>87</v>
      </c>
      <c r="B98" s="78" t="n">
        <v>1132.8924</v>
      </c>
      <c r="C98" s="78" t="n">
        <v>0.0</v>
      </c>
      <c r="D98" s="78" t="n">
        <v>0.0</v>
      </c>
      <c r="E98" s="78">
        <f si="2" t="shared"/>
        <v>1132.8924</v>
      </c>
      <c r="G98">
        <v>87</v>
      </c>
      <c r="H98" s="88" t="n">
        <v>219.0</v>
      </c>
      <c r="I98" s="88" t="n">
        <v>100.0</v>
      </c>
      <c r="J98" s="88" t="n">
        <v>17.0</v>
      </c>
      <c r="K98" s="78">
        <f si="3" t="shared"/>
        <v>1017</v>
      </c>
    </row>
    <row r="99" spans="1:11" x14ac:dyDescent="0.25">
      <c r="A99">
        <v>88</v>
      </c>
      <c r="B99" s="78" t="n">
        <v>343.4771</v>
      </c>
      <c r="C99" s="78" t="n">
        <v>0.0</v>
      </c>
      <c r="D99" s="78" t="n">
        <v>0.0</v>
      </c>
      <c r="E99" s="78">
        <f si="2" t="shared"/>
        <v>343.47710000000001</v>
      </c>
      <c r="G99">
        <v>88</v>
      </c>
      <c r="H99" s="88" t="n">
        <v>293.0</v>
      </c>
      <c r="I99" s="88" t="n">
        <v>125.0</v>
      </c>
      <c r="J99" s="88" t="n">
        <v>17.0</v>
      </c>
      <c r="K99" s="78">
        <f si="3" t="shared"/>
        <v>1152</v>
      </c>
    </row>
    <row r="100" spans="1:11" x14ac:dyDescent="0.25">
      <c r="A100">
        <v>89</v>
      </c>
      <c r="B100" s="78" t="n">
        <v>7407.5208999999995</v>
      </c>
      <c r="C100" s="78" t="n">
        <v>2125.2198</v>
      </c>
      <c r="D100" s="78" t="n">
        <v>77.7064</v>
      </c>
      <c r="E100" s="78">
        <f si="2" t="shared"/>
        <v>9610.4470999999976</v>
      </c>
      <c r="G100">
        <v>89</v>
      </c>
      <c r="H100" s="88" t="n">
        <v>2126.0</v>
      </c>
      <c r="I100" s="88" t="n">
        <v>1149.0</v>
      </c>
      <c r="J100" s="78" t="n">
        <v>173.0</v>
      </c>
      <c r="K100" s="78">
        <f si="3" t="shared"/>
        <v>11588</v>
      </c>
    </row>
    <row ht="15.75" r="101" spans="1:11" thickBot="1" x14ac:dyDescent="0.3">
      <c r="A101" s="1">
        <v>90</v>
      </c>
      <c r="B101" s="79" t="n">
        <v>92619.2139</v>
      </c>
      <c r="C101" s="79" t="n">
        <v>71304.2245</v>
      </c>
      <c r="D101" s="79" t="n">
        <v>8547.4518</v>
      </c>
      <c r="E101" s="79">
        <f si="2" t="shared"/>
        <v>172470.89019999999</v>
      </c>
      <c r="G101" s="1">
        <v>90</v>
      </c>
      <c r="H101" s="79" t="n">
        <v>0.0</v>
      </c>
      <c r="I101" s="79" t="n">
        <v>0.0</v>
      </c>
      <c r="J101" s="79" t="n">
        <v>0.0</v>
      </c>
      <c r="K101" s="79">
        <f si="3" t="shared"/>
        <v>0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Q22"/>
  <sheetViews>
    <sheetView workbookViewId="0">
      <selection activeCell="A4" sqref="A4"/>
    </sheetView>
  </sheetViews>
  <sheetFormatPr defaultRowHeight="15" x14ac:dyDescent="0.25"/>
  <cols>
    <col min="1" max="1" customWidth="true" width="12.140625" collapsed="true"/>
    <col min="5" max="5" bestFit="true" customWidth="true" width="9.5703125" collapsed="true"/>
    <col min="7" max="7" customWidth="true" width="10.85546875" collapsed="true"/>
    <col min="13" max="13" customWidth="true" width="10.85546875" collapsed="true"/>
    <col min="17" max="17" bestFit="true" customWidth="true" width="9.5703125" collapsed="true"/>
  </cols>
  <sheetData>
    <row r="1" spans="1:17" x14ac:dyDescent="0.25">
      <c r="A1" t="s">
        <v>25</v>
      </c>
    </row>
    <row r="2" spans="1:17" x14ac:dyDescent="0.25">
      <c r="A2" t="s">
        <v>275</v>
      </c>
    </row>
    <row r="3" spans="1:17" x14ac:dyDescent="0.25">
      <c r="A3" t="s">
        <v>276</v>
      </c>
    </row>
    <row r="4" spans="1:17" x14ac:dyDescent="0.25">
      <c r="A4" t="s">
        <v>7</v>
      </c>
    </row>
    <row r="5" spans="1:17" x14ac:dyDescent="0.25">
      <c r="A5" t="s">
        <v>8</v>
      </c>
    </row>
    <row r="7" spans="1:17" x14ac:dyDescent="0.25">
      <c r="A7" t="s">
        <v>12</v>
      </c>
    </row>
    <row ht="15.75" r="9" spans="1:17" thickBot="1" x14ac:dyDescent="0.3">
      <c r="A9" s="4" t="s">
        <v>215</v>
      </c>
      <c r="B9" s="1"/>
      <c r="C9" s="1"/>
      <c r="D9" s="1"/>
      <c r="E9" s="1"/>
      <c r="G9" s="4" t="s">
        <v>26</v>
      </c>
      <c r="H9" s="1"/>
      <c r="I9" s="1"/>
      <c r="J9" s="1"/>
      <c r="K9" s="1"/>
      <c r="M9" s="4" t="s">
        <v>14</v>
      </c>
      <c r="N9" s="1"/>
      <c r="O9" s="1"/>
      <c r="P9" s="1"/>
      <c r="Q9" s="1"/>
    </row>
    <row r="10" spans="1:17" x14ac:dyDescent="0.25">
      <c r="A10" s="2" t="s">
        <v>23</v>
      </c>
      <c r="B10" s="5" t="s">
        <v>9</v>
      </c>
      <c r="C10" s="5" t="s">
        <v>10</v>
      </c>
      <c r="D10" s="5" t="s">
        <v>11</v>
      </c>
      <c r="E10" s="5" t="s">
        <v>4</v>
      </c>
      <c r="G10" s="2" t="s">
        <v>23</v>
      </c>
      <c r="H10" s="5" t="s">
        <v>9</v>
      </c>
      <c r="I10" s="5" t="s">
        <v>10</v>
      </c>
      <c r="J10" s="5" t="s">
        <v>11</v>
      </c>
      <c r="K10" s="5" t="s">
        <v>4</v>
      </c>
      <c r="M10" s="2" t="s">
        <v>23</v>
      </c>
      <c r="N10" s="5" t="s">
        <v>9</v>
      </c>
      <c r="O10" s="5" t="s">
        <v>10</v>
      </c>
      <c r="P10" s="5" t="s">
        <v>11</v>
      </c>
      <c r="Q10" s="5" t="s">
        <v>4</v>
      </c>
    </row>
    <row r="11" spans="1:17" x14ac:dyDescent="0.25">
      <c r="A11" t="s">
        <v>27</v>
      </c>
      <c r="B11" s="12">
        <f>SUM(TDFD!B11:B15)</f>
        <v>2914.4669000000004</v>
      </c>
      <c r="C11" s="12">
        <f>SUM(TDFD!C11:C15)</f>
        <v>497.44569999999999</v>
      </c>
      <c r="D11" s="12">
        <f>SUM(TDFD!D11:D15)</f>
        <v>0</v>
      </c>
      <c r="E11" s="12">
        <f>SUM(TDFD!E11:E15)</f>
        <v>3411.9126000000001</v>
      </c>
      <c r="G11" t="s">
        <v>27</v>
      </c>
      <c r="H11" s="12"/>
      <c r="I11" s="12"/>
      <c r="J11" s="12"/>
      <c r="K11" s="12">
        <v>13509</v>
      </c>
      <c r="M11" t="s">
        <v>27</v>
      </c>
      <c r="N11" s="12">
        <f>SUM(TDFD!H11:H15)</f>
        <v>92004</v>
      </c>
      <c r="O11" s="12">
        <f>SUM(TDFD!I11:I15)</f>
        <v>36865</v>
      </c>
      <c r="P11" s="12">
        <f>SUM(TDFD!J11:J15)</f>
        <v>11053</v>
      </c>
      <c r="Q11" s="12">
        <f>SUM(TDFD!K11:K15)</f>
        <v>139922</v>
      </c>
    </row>
    <row r="12" spans="1:17" x14ac:dyDescent="0.25">
      <c r="A12" t="s">
        <v>28</v>
      </c>
      <c r="B12" s="12">
        <f>SUM(TDFD!B16:B20)</f>
        <v>11054.925599999999</v>
      </c>
      <c r="C12" s="12">
        <f>SUM(TDFD!C16:C20)</f>
        <v>6416.7507000000014</v>
      </c>
      <c r="D12" s="12">
        <f>SUM(TDFD!D16:D20)</f>
        <v>451.55849999999998</v>
      </c>
      <c r="E12" s="12">
        <f>SUM(TDFD!E16:E20)</f>
        <v>17923.234799999998</v>
      </c>
      <c r="G12" t="s">
        <v>28</v>
      </c>
      <c r="H12" s="12"/>
      <c r="I12" s="12"/>
      <c r="J12" s="12"/>
      <c r="K12" s="12">
        <v>48039</v>
      </c>
      <c r="M12" t="s">
        <v>28</v>
      </c>
      <c r="N12" s="12">
        <f>SUM(TDFD!H16:H20)</f>
        <v>54137</v>
      </c>
      <c r="O12" s="12">
        <f>SUM(TDFD!I16:I20)</f>
        <v>21037</v>
      </c>
      <c r="P12" s="12">
        <f>SUM(TDFD!J16:J20)</f>
        <v>6004</v>
      </c>
      <c r="Q12" s="12">
        <f>SUM(TDFD!K16:K20)</f>
        <v>81178</v>
      </c>
    </row>
    <row r="13" spans="1:17" x14ac:dyDescent="0.25">
      <c r="A13" t="s">
        <v>29</v>
      </c>
      <c r="B13" s="12">
        <f>SUM(TDFD!B21:B25)</f>
        <v>25310.8557</v>
      </c>
      <c r="C13" s="12">
        <f>SUM(TDFD!C21:C25)</f>
        <v>12510.688899999999</v>
      </c>
      <c r="D13" s="12">
        <f>SUM(TDFD!D21:D25)</f>
        <v>451.93209999999999</v>
      </c>
      <c r="E13" s="12">
        <f>SUM(TDFD!E21:E25)</f>
        <v>38273.476699999999</v>
      </c>
      <c r="G13" t="s">
        <v>29</v>
      </c>
      <c r="H13" s="12"/>
      <c r="I13" s="12"/>
      <c r="J13" s="12"/>
      <c r="K13" s="12">
        <v>73140</v>
      </c>
      <c r="M13" t="s">
        <v>29</v>
      </c>
      <c r="N13" s="12">
        <f>SUM(TDFD!H21:H25)</f>
        <v>27414</v>
      </c>
      <c r="O13" s="12">
        <f>SUM(TDFD!I21:I25)</f>
        <v>10467</v>
      </c>
      <c r="P13" s="12">
        <f>SUM(TDFD!J21:J25)</f>
        <v>2686</v>
      </c>
      <c r="Q13" s="12">
        <f>SUM(TDFD!K21:K25)</f>
        <v>40567</v>
      </c>
    </row>
    <row r="14" spans="1:17" x14ac:dyDescent="0.25">
      <c r="A14" t="s">
        <v>30</v>
      </c>
      <c r="B14" s="12">
        <f>SUM(TDFD!B26:B30)</f>
        <v>109506.2218</v>
      </c>
      <c r="C14" s="12">
        <f>SUM(TDFD!C26:C30)</f>
        <v>32895.213300000003</v>
      </c>
      <c r="D14" s="12">
        <f>SUM(TDFD!D26:D30)</f>
        <v>4422.9529000000002</v>
      </c>
      <c r="E14" s="12">
        <f>SUM(TDFD!E26:E30)</f>
        <v>146824.38799999998</v>
      </c>
      <c r="G14" t="s">
        <v>30</v>
      </c>
      <c r="H14" s="12"/>
      <c r="I14" s="12"/>
      <c r="J14" s="12"/>
      <c r="K14" s="12">
        <v>91600</v>
      </c>
      <c r="M14" t="s">
        <v>30</v>
      </c>
      <c r="N14" s="12">
        <f>SUM(TDFD!H26:H30)</f>
        <v>71407</v>
      </c>
      <c r="O14" s="12">
        <f>SUM(TDFD!I26:I30)</f>
        <v>29446</v>
      </c>
      <c r="P14" s="12">
        <f>SUM(TDFD!J26:J30)</f>
        <v>7908</v>
      </c>
      <c r="Q14" s="12">
        <f>SUM(TDFD!K26:K30)</f>
        <v>108761</v>
      </c>
    </row>
    <row r="15" spans="1:17" x14ac:dyDescent="0.25">
      <c r="A15" t="s">
        <v>31</v>
      </c>
      <c r="B15" s="12">
        <f>SUM(TDFD!B31:B35)</f>
        <v>200854.36669999998</v>
      </c>
      <c r="C15" s="12">
        <f>SUM(TDFD!C31:C35)</f>
        <v>56049.424899999998</v>
      </c>
      <c r="D15" s="12">
        <f>SUM(TDFD!D31:D35)</f>
        <v>12341.6317</v>
      </c>
      <c r="E15" s="12">
        <f>SUM(TDFD!E31:E35)</f>
        <v>269245.42330000002</v>
      </c>
      <c r="G15" t="s">
        <v>31</v>
      </c>
      <c r="H15" s="12"/>
      <c r="I15" s="12"/>
      <c r="J15" s="12"/>
      <c r="K15" s="12">
        <v>100858</v>
      </c>
      <c r="M15" t="s">
        <v>31</v>
      </c>
      <c r="N15" s="12">
        <f>SUM(TDFD!H31:H35)</f>
        <v>153329</v>
      </c>
      <c r="O15" s="12">
        <f>SUM(TDFD!I31:I35)</f>
        <v>45964</v>
      </c>
      <c r="P15" s="12">
        <f>SUM(TDFD!J31:J35)</f>
        <v>13538</v>
      </c>
      <c r="Q15" s="12">
        <f>SUM(TDFD!K31:K35)</f>
        <v>212831</v>
      </c>
    </row>
    <row r="16" spans="1:17" x14ac:dyDescent="0.25">
      <c r="A16" t="s">
        <v>32</v>
      </c>
      <c r="B16" s="12">
        <f>SUM(TDFD!B36:B40)</f>
        <v>153863.3149</v>
      </c>
      <c r="C16" s="12">
        <f>SUM(TDFD!C36:C40)</f>
        <v>32700.901700000002</v>
      </c>
      <c r="D16" s="12">
        <f>SUM(TDFD!D36:D40)</f>
        <v>6558.947900000001</v>
      </c>
      <c r="E16" s="12">
        <f>SUM(TDFD!E36:E40)</f>
        <v>193123.16450000001</v>
      </c>
      <c r="G16" t="s">
        <v>32</v>
      </c>
      <c r="H16" s="12"/>
      <c r="I16" s="12"/>
      <c r="J16" s="12"/>
      <c r="K16" s="12">
        <v>40453</v>
      </c>
      <c r="M16" t="s">
        <v>32</v>
      </c>
      <c r="N16" s="12">
        <f>SUM(TDFD!H36:H40)</f>
        <v>169583</v>
      </c>
      <c r="O16" s="12">
        <f>SUM(TDFD!I36:I40)</f>
        <v>41387</v>
      </c>
      <c r="P16" s="12">
        <f>SUM(TDFD!J36:J40)</f>
        <v>12268</v>
      </c>
      <c r="Q16" s="12">
        <f>SUM(TDFD!K36:K40)</f>
        <v>223238</v>
      </c>
    </row>
    <row r="17" spans="1:17" x14ac:dyDescent="0.25">
      <c r="A17" t="s">
        <v>33</v>
      </c>
      <c r="B17" s="12">
        <f>SUM(TDFD!B41:B45)</f>
        <v>132233.7402</v>
      </c>
      <c r="C17" s="12">
        <f>SUM(TDFD!C41:C45)</f>
        <v>25055.782199999998</v>
      </c>
      <c r="D17" s="12">
        <f>SUM(TDFD!D41:D45)</f>
        <v>6813.3773000000001</v>
      </c>
      <c r="E17" s="12">
        <f>SUM(TDFD!E41:E45)</f>
        <v>164102.89970000001</v>
      </c>
      <c r="G17" t="s">
        <v>33</v>
      </c>
      <c r="H17" s="12"/>
      <c r="I17" s="12"/>
      <c r="J17" s="12"/>
      <c r="K17" s="12">
        <v>102299</v>
      </c>
      <c r="M17" t="s">
        <v>33</v>
      </c>
      <c r="N17" s="12">
        <f>SUM(TDFD!H41:H45)</f>
        <v>139729</v>
      </c>
      <c r="O17" s="12">
        <f>SUM(TDFD!I41:I45)</f>
        <v>32798</v>
      </c>
      <c r="P17" s="12">
        <f>SUM(TDFD!J41:J45)</f>
        <v>8710</v>
      </c>
      <c r="Q17" s="12">
        <f>SUM(TDFD!K41:K45)</f>
        <v>181237</v>
      </c>
    </row>
    <row r="18" spans="1:17" x14ac:dyDescent="0.25">
      <c r="A18" t="s">
        <v>34</v>
      </c>
      <c r="B18" s="12">
        <f>SUM(TDFD!B46:B50)</f>
        <v>124984.0683</v>
      </c>
      <c r="C18" s="12">
        <f>SUM(TDFD!C46:C50)</f>
        <v>20197.399099999999</v>
      </c>
      <c r="D18" s="12">
        <f>SUM(TDFD!D46:D50)</f>
        <v>5141.3155999999999</v>
      </c>
      <c r="E18" s="12">
        <f>SUM(TDFD!E46:E50)</f>
        <v>150322.783</v>
      </c>
      <c r="G18" t="s">
        <v>34</v>
      </c>
      <c r="H18" s="12"/>
      <c r="I18" s="12"/>
      <c r="J18" s="12"/>
      <c r="K18" s="12">
        <v>17547</v>
      </c>
      <c r="M18" t="s">
        <v>34</v>
      </c>
      <c r="N18" s="12">
        <f>SUM(TDFD!H46:H50)</f>
        <v>112069</v>
      </c>
      <c r="O18" s="12">
        <f>SUM(TDFD!I46:I50)</f>
        <v>23208</v>
      </c>
      <c r="P18" s="12">
        <f>SUM(TDFD!J46:J50)</f>
        <v>5906</v>
      </c>
      <c r="Q18" s="12">
        <f>SUM(TDFD!K46:K50)</f>
        <v>141183</v>
      </c>
    </row>
    <row r="19" spans="1:17" x14ac:dyDescent="0.25">
      <c r="A19" t="s">
        <v>35</v>
      </c>
      <c r="B19" s="12">
        <f>SUM(TDFD!B51:B55)</f>
        <v>72871.356100000005</v>
      </c>
      <c r="C19" s="12">
        <f>SUM(TDFD!C51:C55)</f>
        <v>11788.141099999999</v>
      </c>
      <c r="D19" s="12">
        <f>SUM(TDFD!D51:D55)</f>
        <v>2612.9836</v>
      </c>
      <c r="E19" s="12">
        <f>SUM(TDFD!E51:E55)</f>
        <v>87272.48079999999</v>
      </c>
      <c r="G19" t="s">
        <v>35</v>
      </c>
      <c r="H19" s="12"/>
      <c r="I19" s="12"/>
      <c r="J19" s="12"/>
      <c r="K19" s="12">
        <v>20353</v>
      </c>
      <c r="M19" t="s">
        <v>35</v>
      </c>
      <c r="N19" s="12">
        <f>SUM(TDFD!H51:H55)</f>
        <v>99660</v>
      </c>
      <c r="O19" s="12">
        <f>SUM(TDFD!I51:I55)</f>
        <v>17741</v>
      </c>
      <c r="P19" s="12">
        <f>SUM(TDFD!J51:J55)</f>
        <v>4375</v>
      </c>
      <c r="Q19" s="12">
        <f>SUM(TDFD!K51:K55)</f>
        <v>121776</v>
      </c>
    </row>
    <row r="20" spans="1:17" x14ac:dyDescent="0.25">
      <c r="A20" t="s">
        <v>36</v>
      </c>
      <c r="B20" s="12">
        <f>SUM(TDFD!B56:B70)</f>
        <v>185621.19289999999</v>
      </c>
      <c r="C20" s="12">
        <f>SUM(TDFD!C56:C70)</f>
        <v>23314.387900000002</v>
      </c>
      <c r="D20" s="12">
        <f>SUM(TDFD!D56:D70)</f>
        <v>6171.5483999999997</v>
      </c>
      <c r="E20" s="12">
        <f>SUM(TDFD!E56:E70)</f>
        <v>215107.12920000002</v>
      </c>
      <c r="G20" t="s">
        <v>36</v>
      </c>
      <c r="H20" s="12"/>
      <c r="I20" s="12"/>
      <c r="J20" s="12"/>
      <c r="K20" s="12">
        <v>49147</v>
      </c>
      <c r="M20" t="s">
        <v>36</v>
      </c>
      <c r="N20" s="12">
        <f>SUM(TDFD!H56:H70)</f>
        <v>202782</v>
      </c>
      <c r="O20" s="12">
        <f>SUM(TDFD!I56:I70)</f>
        <v>27220</v>
      </c>
      <c r="P20" s="12">
        <f>SUM(TDFD!J56:J70)</f>
        <v>5969</v>
      </c>
      <c r="Q20" s="12">
        <f>SUM(TDFD!K56:K70)</f>
        <v>235971</v>
      </c>
    </row>
    <row r="21" spans="1:17" x14ac:dyDescent="0.25">
      <c r="A21" t="s">
        <v>37</v>
      </c>
      <c r="B21" s="12">
        <f>SUM(TDFD!B71:B100)</f>
        <v>98681.527000000002</v>
      </c>
      <c r="C21" s="12">
        <f>SUM(TDFD!C71:C100)</f>
        <v>8589.8714</v>
      </c>
      <c r="D21" s="12">
        <f>SUM(TDFD!D71:D100)</f>
        <v>4155.9195</v>
      </c>
      <c r="E21" s="12">
        <f>SUM(TDFD!E71:E100)</f>
        <v>111427.31789999999</v>
      </c>
      <c r="G21" t="s">
        <v>37</v>
      </c>
      <c r="H21" s="12"/>
      <c r="I21" s="12"/>
      <c r="J21" s="12"/>
      <c r="K21" s="12">
        <v>24219</v>
      </c>
      <c r="M21" t="s">
        <v>37</v>
      </c>
      <c r="N21" s="12">
        <f>SUM(TDFD!H71:H100)</f>
        <v>124112</v>
      </c>
      <c r="O21" s="12">
        <f>SUM(TDFD!I71:I100)</f>
        <v>13684</v>
      </c>
      <c r="P21" s="12">
        <f>SUM(TDFD!J71:J100)</f>
        <v>2571</v>
      </c>
      <c r="Q21" s="12">
        <f>SUM(TDFD!K71:K100)</f>
        <v>140367</v>
      </c>
    </row>
    <row ht="15.75" r="22" spans="1:17" thickBot="1" x14ac:dyDescent="0.3">
      <c r="A22" s="1" t="s">
        <v>38</v>
      </c>
      <c r="B22" s="13">
        <f>TDFD!B101</f>
        <v>92619.213900000002</v>
      </c>
      <c r="C22" s="13">
        <f>TDFD!C101</f>
        <v>71304.224499999997</v>
      </c>
      <c r="D22" s="13">
        <f>TDFD!D101</f>
        <v>8547.4518000000007</v>
      </c>
      <c r="E22" s="13">
        <f>TDFD!E101</f>
        <v>172470.89019999999</v>
      </c>
      <c r="G22" s="1" t="s">
        <v>38</v>
      </c>
      <c r="H22" s="13"/>
      <c r="I22" s="13"/>
      <c r="J22" s="13"/>
      <c r="K22" s="13">
        <v>9010</v>
      </c>
      <c r="M22" s="1" t="s">
        <v>38</v>
      </c>
      <c r="N22" s="13">
        <f>TDFD!H101</f>
        <v>0</v>
      </c>
      <c r="O22" s="13">
        <f>TDFD!I101</f>
        <v>0</v>
      </c>
      <c r="P22" s="13">
        <f>TDFD!J101</f>
        <v>0</v>
      </c>
      <c r="Q22" s="13">
        <f>TDFD!K101</f>
        <v>0</v>
      </c>
    </row>
  </sheetData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J56"/>
  <sheetViews>
    <sheetView topLeftCell="K1" workbookViewId="0" zoomScaleNormal="100">
      <selection activeCell="AH46" sqref="AH46"/>
    </sheetView>
  </sheetViews>
  <sheetFormatPr defaultRowHeight="15" x14ac:dyDescent="0.25"/>
  <cols>
    <col min="1" max="1" customWidth="true" width="19.5703125" collapsed="true"/>
    <col min="3" max="3" bestFit="true" customWidth="true" width="9.7109375" collapsed="true"/>
    <col min="4" max="4" customWidth="true" width="8.85546875" collapsed="true"/>
    <col min="12" max="12" customWidth="true" width="19.140625" collapsed="true"/>
    <col min="15" max="15" customWidth="true" width="10.140625" collapsed="true"/>
    <col min="20" max="21" bestFit="true" customWidth="true" width="9.5703125" collapsed="true"/>
    <col min="23" max="23" customWidth="true" width="19.42578125" collapsed="true"/>
    <col min="26" max="26" customWidth="true" width="9.140625" collapsed="true"/>
  </cols>
  <sheetData>
    <row r="1" spans="1:36" x14ac:dyDescent="0.25">
      <c r="A1" t="s">
        <v>2</v>
      </c>
    </row>
    <row r="2" spans="1:36" x14ac:dyDescent="0.25">
      <c r="A2" t="s">
        <v>273</v>
      </c>
    </row>
    <row r="3" spans="1:36" x14ac:dyDescent="0.25">
      <c r="A3" t="s">
        <v>18</v>
      </c>
    </row>
    <row r="4" spans="1:36" x14ac:dyDescent="0.25">
      <c r="AH4" s="7"/>
      <c r="AI4" s="7"/>
      <c r="AJ4" s="7"/>
    </row>
    <row ht="15.75" r="5" spans="1:36" thickBot="1" x14ac:dyDescent="0.3">
      <c r="A5" s="4" t="s">
        <v>214</v>
      </c>
      <c r="B5" s="1"/>
      <c r="C5" s="1"/>
      <c r="D5" s="1"/>
      <c r="E5" s="1"/>
      <c r="F5" s="1"/>
      <c r="G5" s="1"/>
      <c r="H5" s="1"/>
      <c r="I5" s="1"/>
      <c r="J5" s="1"/>
      <c r="L5" s="4" t="s">
        <v>57</v>
      </c>
      <c r="M5" s="1"/>
      <c r="N5" s="1"/>
      <c r="O5" s="1"/>
      <c r="P5" s="1"/>
      <c r="Q5" s="1"/>
      <c r="R5" s="1"/>
      <c r="S5" s="1"/>
      <c r="T5" s="1"/>
      <c r="U5" s="1"/>
      <c r="W5" s="4" t="s">
        <v>16</v>
      </c>
      <c r="X5" s="1"/>
      <c r="Y5" s="1"/>
      <c r="Z5" s="1"/>
      <c r="AA5" s="1"/>
      <c r="AB5" s="1"/>
      <c r="AC5" s="1"/>
      <c r="AD5" s="1"/>
      <c r="AE5" s="1"/>
      <c r="AF5" s="1"/>
      <c r="AH5" s="28"/>
      <c r="AI5" s="7"/>
      <c r="AJ5" s="7"/>
    </row>
    <row r="6" spans="1:36" x14ac:dyDescent="0.25">
      <c r="A6" s="2" t="s">
        <v>15</v>
      </c>
      <c r="B6" s="2" t="str">
        <f>$A$7</f>
        <v>Bellevue</v>
      </c>
      <c r="C6" s="2" t="str">
        <f>$A$8</f>
        <v>Bellevue Downtown</v>
      </c>
      <c r="D6" s="2" t="str">
        <f>$A$9</f>
        <v>Kirkland</v>
      </c>
      <c r="E6" s="2" t="str">
        <f>$A$10</f>
        <v>Redmond</v>
      </c>
      <c r="F6" s="2" t="str">
        <f>$A$11</f>
        <v>Seattle</v>
      </c>
      <c r="G6" s="2" t="str">
        <f>$A$12</f>
        <v>Seattle Downtown</v>
      </c>
      <c r="H6" s="2" t="str">
        <f>$A$13</f>
        <v>Rest</v>
      </c>
      <c r="I6" s="3" t="str">
        <f>$A$14</f>
        <v>Outside</v>
      </c>
      <c r="J6" s="3" t="s">
        <v>4</v>
      </c>
      <c r="L6" s="2" t="s">
        <v>15</v>
      </c>
      <c r="M6" s="2" t="str">
        <f>$A$7</f>
        <v>Bellevue</v>
      </c>
      <c r="N6" s="2" t="str">
        <f>$A$8</f>
        <v>Bellevue Downtown</v>
      </c>
      <c r="O6" s="2" t="str">
        <f>$A$9</f>
        <v>Kirkland</v>
      </c>
      <c r="P6" s="2" t="str">
        <f>$A$10</f>
        <v>Redmond</v>
      </c>
      <c r="Q6" s="2" t="str">
        <f>$A$11</f>
        <v>Seattle</v>
      </c>
      <c r="R6" s="2" t="str">
        <f>$A$12</f>
        <v>Seattle Downtown</v>
      </c>
      <c r="S6" s="2" t="str">
        <f>$A$13</f>
        <v>Rest</v>
      </c>
      <c r="T6" s="3" t="str">
        <f>$A$14</f>
        <v>Outside</v>
      </c>
      <c r="U6" s="3" t="s">
        <v>4</v>
      </c>
      <c r="W6" s="2" t="s">
        <v>15</v>
      </c>
      <c r="X6" s="2" t="str">
        <f>$A$7</f>
        <v>Bellevue</v>
      </c>
      <c r="Y6" s="2" t="str">
        <f>$A$8</f>
        <v>Bellevue Downtown</v>
      </c>
      <c r="Z6" s="2" t="str">
        <f>$A$9</f>
        <v>Kirkland</v>
      </c>
      <c r="AA6" s="2" t="str">
        <f>$A$10</f>
        <v>Redmond</v>
      </c>
      <c r="AB6" s="2" t="str">
        <f>$A$11</f>
        <v>Seattle</v>
      </c>
      <c r="AC6" s="2" t="str">
        <f>$A$12</f>
        <v>Seattle Downtown</v>
      </c>
      <c r="AD6" s="2" t="str">
        <f>$A$13</f>
        <v>Rest</v>
      </c>
      <c r="AE6" s="3" t="str">
        <f>$A$14</f>
        <v>Outside</v>
      </c>
      <c r="AF6" s="3" t="s">
        <v>4</v>
      </c>
      <c r="AH6" s="20"/>
      <c r="AI6" s="20"/>
      <c r="AJ6" s="7"/>
    </row>
    <row r="7" spans="1:36" x14ac:dyDescent="0.25">
      <c r="A7" s="41" t="s">
        <v>280</v>
      </c>
      <c r="B7" s="15" t="n">
        <v>0.0</v>
      </c>
      <c r="C7" s="15" t="n">
        <v>0.0</v>
      </c>
      <c r="D7" s="15" t="n">
        <v>0.0</v>
      </c>
      <c r="E7" s="15" t="n">
        <v>0.0</v>
      </c>
      <c r="F7" s="15" t="n">
        <v>0.0</v>
      </c>
      <c r="G7" s="15" t="n">
        <v>0.0</v>
      </c>
      <c r="H7" s="15" t="n">
        <v>0.0</v>
      </c>
      <c r="I7" s="15">
        <v>20340.352599999998</v>
      </c>
      <c r="J7" s="15">
        <f>SUM(B7:I7)</f>
        <v>20340.352599999998</v>
      </c>
      <c r="K7" s="15"/>
      <c r="L7" t="str">
        <f>$A$7</f>
        <v>Bellevue</v>
      </c>
      <c r="T7" s="15"/>
      <c r="U7" s="15">
        <f>SUM(M7:T7)</f>
        <v>0</v>
      </c>
      <c r="V7" s="15"/>
      <c r="W7" t="str">
        <f>$A$7</f>
        <v>Bellevue</v>
      </c>
      <c r="X7" t="n">
        <v>0.0</v>
      </c>
      <c r="Y7" t="n">
        <v>0.0</v>
      </c>
      <c r="Z7" t="n">
        <v>0.0</v>
      </c>
      <c r="AA7" t="n">
        <v>0.0</v>
      </c>
      <c r="AB7" t="n">
        <v>0.0</v>
      </c>
      <c r="AC7" t="n">
        <v>0.0</v>
      </c>
      <c r="AD7" t="n">
        <v>0.0</v>
      </c>
      <c r="AE7" s="15">
        <v>0</v>
      </c>
      <c r="AF7" s="15">
        <f>SUM(X7:AE7)</f>
        <v>0</v>
      </c>
      <c r="AH7" s="16"/>
      <c r="AI7" s="16"/>
      <c r="AJ7" s="7"/>
    </row>
    <row r="8" spans="1:36" x14ac:dyDescent="0.25">
      <c r="A8" t="s">
        <v>281</v>
      </c>
      <c r="B8" s="15" t="n">
        <v>0.0</v>
      </c>
      <c r="C8" s="15" t="n">
        <v>0.0</v>
      </c>
      <c r="D8" s="15" t="n">
        <v>0.0</v>
      </c>
      <c r="E8" s="15" t="n">
        <v>0.0</v>
      </c>
      <c r="F8" s="15" t="n">
        <v>0.0</v>
      </c>
      <c r="G8" s="15" t="n">
        <v>0.0</v>
      </c>
      <c r="H8" s="15" t="n">
        <v>0.0</v>
      </c>
      <c r="I8" s="15">
        <v>13601.5198</v>
      </c>
      <c r="J8" s="15">
        <f>SUM(B8:I8)</f>
        <v>13601.5198</v>
      </c>
      <c r="K8" s="15"/>
      <c r="L8" t="str">
        <f>$A$8</f>
        <v>Bellevue Downtown</v>
      </c>
      <c r="T8" s="15"/>
      <c r="U8" s="15">
        <f ref="U8:U14" si="0" t="shared">SUM(M8:T8)</f>
        <v>0</v>
      </c>
      <c r="V8" s="15"/>
      <c r="W8" t="str">
        <f>$A$8</f>
        <v>Bellevue Downtown</v>
      </c>
      <c r="X8" t="n">
        <v>0.0</v>
      </c>
      <c r="Y8" t="n">
        <v>0.0</v>
      </c>
      <c r="Z8" t="n">
        <v>0.0</v>
      </c>
      <c r="AA8" t="n">
        <v>0.0</v>
      </c>
      <c r="AB8" t="n">
        <v>0.0</v>
      </c>
      <c r="AC8" t="n">
        <v>0.0</v>
      </c>
      <c r="AD8" t="n">
        <v>0.0</v>
      </c>
      <c r="AE8" s="15">
        <v>0</v>
      </c>
      <c r="AF8" s="15">
        <f ref="AF8:AF14" si="1" t="shared">SUM(X8:AE8)</f>
        <v>0</v>
      </c>
      <c r="AH8" s="16"/>
      <c r="AI8" s="16"/>
      <c r="AJ8" s="7"/>
    </row>
    <row r="9" spans="1:36" x14ac:dyDescent="0.25">
      <c r="A9" t="s">
        <v>282</v>
      </c>
      <c r="B9" s="15" t="n">
        <v>0.0</v>
      </c>
      <c r="C9" s="15" t="n">
        <v>0.0</v>
      </c>
      <c r="D9" s="15" t="n">
        <v>0.0</v>
      </c>
      <c r="E9" s="15" t="n">
        <v>0.0</v>
      </c>
      <c r="F9" s="15" t="n">
        <v>0.0</v>
      </c>
      <c r="G9" s="15" t="n">
        <v>0.0</v>
      </c>
      <c r="H9" s="15" t="n">
        <v>0.0</v>
      </c>
      <c r="I9" s="15">
        <v>38089.508500000004</v>
      </c>
      <c r="J9" s="15">
        <f ref="J9:J11" si="2" t="shared">SUM(B9:I9)</f>
        <v>38089.508500000004</v>
      </c>
      <c r="K9" s="15"/>
      <c r="L9" t="str">
        <f>$A$9</f>
        <v>Kirkland</v>
      </c>
      <c r="T9" s="15"/>
      <c r="U9" s="15">
        <f si="0" t="shared"/>
        <v>0</v>
      </c>
      <c r="V9" s="15"/>
      <c r="W9" t="str">
        <f>$A$9</f>
        <v>Kirkland</v>
      </c>
      <c r="X9" t="n">
        <v>0.0</v>
      </c>
      <c r="Y9" t="n">
        <v>0.0</v>
      </c>
      <c r="Z9" t="n">
        <v>0.0</v>
      </c>
      <c r="AA9" t="n">
        <v>0.0</v>
      </c>
      <c r="AB9" t="n">
        <v>0.0</v>
      </c>
      <c r="AC9" t="n">
        <v>0.0</v>
      </c>
      <c r="AD9" t="n">
        <v>0.0</v>
      </c>
      <c r="AE9" s="15">
        <v>0</v>
      </c>
      <c r="AF9" s="15">
        <f si="1" t="shared"/>
        <v>0</v>
      </c>
      <c r="AH9" s="16"/>
      <c r="AI9" s="16"/>
      <c r="AJ9" s="7"/>
    </row>
    <row r="10" spans="1:36" x14ac:dyDescent="0.25">
      <c r="A10" t="s">
        <v>283</v>
      </c>
      <c r="B10" s="15" t="n">
        <v>0.0</v>
      </c>
      <c r="C10" s="15" t="n">
        <v>0.0</v>
      </c>
      <c r="D10" s="15" t="n">
        <v>0.0</v>
      </c>
      <c r="E10" s="15" t="n">
        <v>0.0</v>
      </c>
      <c r="F10" s="15" t="n">
        <v>0.0</v>
      </c>
      <c r="G10" s="15" t="n">
        <v>0.0</v>
      </c>
      <c r="H10" s="15" t="n">
        <v>0.0</v>
      </c>
      <c r="I10" s="15">
        <v>46131.155899999998</v>
      </c>
      <c r="J10" s="15">
        <f si="2" t="shared"/>
        <v>46131.155899999998</v>
      </c>
      <c r="K10" s="15"/>
      <c r="L10" t="str">
        <f>$A$10</f>
        <v>Redmond</v>
      </c>
      <c r="T10" s="15"/>
      <c r="U10" s="15">
        <f si="0" t="shared"/>
        <v>0</v>
      </c>
      <c r="V10" s="15"/>
      <c r="W10" t="str">
        <f>$A$10</f>
        <v>Redmond</v>
      </c>
      <c r="X10" t="n">
        <v>0.0</v>
      </c>
      <c r="Y10" t="n">
        <v>0.0</v>
      </c>
      <c r="Z10" t="n">
        <v>0.0</v>
      </c>
      <c r="AA10" t="n">
        <v>0.0</v>
      </c>
      <c r="AB10" t="n">
        <v>0.0</v>
      </c>
      <c r="AC10" t="n">
        <v>0.0</v>
      </c>
      <c r="AD10" t="n">
        <v>0.0</v>
      </c>
      <c r="AE10" s="15">
        <v>0</v>
      </c>
      <c r="AF10" s="15">
        <f si="1" t="shared"/>
        <v>0</v>
      </c>
      <c r="AH10" s="16"/>
      <c r="AI10" s="16"/>
      <c r="AJ10" s="7"/>
    </row>
    <row r="11" spans="1:36" x14ac:dyDescent="0.25">
      <c r="A11" t="s">
        <v>279</v>
      </c>
      <c r="B11" s="15" t="n">
        <v>10211.4989</v>
      </c>
      <c r="C11" s="15" t="n">
        <v>5845.1939</v>
      </c>
      <c r="D11" s="15" t="n">
        <v>6726.1918</v>
      </c>
      <c r="E11" s="15" t="n">
        <v>9807.3248</v>
      </c>
      <c r="F11" s="15" t="n">
        <v>139609.1678</v>
      </c>
      <c r="G11" s="15" t="n">
        <v>96016.0834</v>
      </c>
      <c r="H11" s="15" t="n">
        <v>45908.8335</v>
      </c>
      <c r="I11" s="15">
        <v>41395.866000000002</v>
      </c>
      <c r="J11" s="15">
        <f si="2" t="shared"/>
        <v>355520.16009999998</v>
      </c>
      <c r="K11" s="15"/>
      <c r="L11" t="str">
        <f>$A$11</f>
        <v>Seattle</v>
      </c>
      <c r="T11" s="15"/>
      <c r="U11" s="15">
        <f si="0" t="shared"/>
        <v>0</v>
      </c>
      <c r="V11" s="15"/>
      <c r="W11" t="str">
        <f>$A$11</f>
        <v>Seattle</v>
      </c>
      <c r="X11" t="n">
        <v>9035.0</v>
      </c>
      <c r="Y11" t="n">
        <v>5623.0</v>
      </c>
      <c r="Z11" t="n">
        <v>6638.0</v>
      </c>
      <c r="AA11" t="n">
        <v>8453.0</v>
      </c>
      <c r="AB11" t="n">
        <v>176513.0</v>
      </c>
      <c r="AC11" t="n">
        <v>97311.0</v>
      </c>
      <c r="AD11" t="n">
        <v>50636.0</v>
      </c>
      <c r="AE11" s="15">
        <v>0</v>
      </c>
      <c r="AF11" s="15">
        <f si="1" t="shared"/>
        <v>354209</v>
      </c>
      <c r="AH11" s="16"/>
      <c r="AI11" s="16"/>
      <c r="AJ11" s="7"/>
    </row>
    <row r="12" spans="1:36" x14ac:dyDescent="0.25">
      <c r="A12" t="s">
        <v>284</v>
      </c>
      <c r="B12" s="15" t="n">
        <v>1256.096</v>
      </c>
      <c r="C12" s="15" t="n">
        <v>915.1105</v>
      </c>
      <c r="D12" s="15" t="n">
        <v>586.137</v>
      </c>
      <c r="E12" s="15" t="n">
        <v>2832.7625</v>
      </c>
      <c r="F12" s="15" t="n">
        <v>8442.9068</v>
      </c>
      <c r="G12" s="15" t="n">
        <v>17324.273</v>
      </c>
      <c r="H12" s="15" t="n">
        <v>2772.1528</v>
      </c>
      <c r="I12" s="15">
        <v>33252.839999999997</v>
      </c>
      <c r="J12" s="15">
        <f>SUM(B12:I12)</f>
        <v>67382.278599999991</v>
      </c>
      <c r="K12" s="15"/>
      <c r="L12" t="str">
        <f>$A$12</f>
        <v>Seattle Downtown</v>
      </c>
      <c r="T12" s="16"/>
      <c r="U12" s="15">
        <f si="0" t="shared"/>
        <v>0</v>
      </c>
      <c r="V12" s="16"/>
      <c r="W12" t="str">
        <f>$A$12</f>
        <v>Seattle Downtown</v>
      </c>
      <c r="X12" t="n">
        <v>864.0</v>
      </c>
      <c r="Y12" t="n">
        <v>512.0</v>
      </c>
      <c r="Z12" t="n">
        <v>329.0</v>
      </c>
      <c r="AA12" t="n">
        <v>587.0</v>
      </c>
      <c r="AB12" t="n">
        <v>10533.0</v>
      </c>
      <c r="AC12" t="n">
        <v>22161.0</v>
      </c>
      <c r="AD12" t="n">
        <v>3478.0</v>
      </c>
      <c r="AE12" s="16">
        <v>0</v>
      </c>
      <c r="AF12" s="15">
        <f si="1" t="shared"/>
        <v>38464</v>
      </c>
      <c r="AH12" s="16"/>
      <c r="AI12" s="16"/>
      <c r="AJ12" s="7"/>
    </row>
    <row r="13" spans="1:36" x14ac:dyDescent="0.25">
      <c r="A13" t="s">
        <v>285</v>
      </c>
      <c r="B13" s="15" t="n">
        <v>27334.9816</v>
      </c>
      <c r="C13" s="15" t="n">
        <v>17160.3785</v>
      </c>
      <c r="D13" s="15" t="n">
        <v>27096.21</v>
      </c>
      <c r="E13" s="15" t="n">
        <v>36022.9773</v>
      </c>
      <c r="F13" s="15" t="n">
        <v>108718.8125</v>
      </c>
      <c r="G13" s="15" t="n">
        <v>80621.8255</v>
      </c>
      <c r="H13" s="15" t="n">
        <v>785791.1153</v>
      </c>
      <c r="I13" s="15"/>
      <c r="J13" s="15">
        <f>SUM(B13:I13)</f>
        <v>1082746.3007</v>
      </c>
      <c r="K13" s="15"/>
      <c r="L13" t="str">
        <f>$A$13</f>
        <v>Rest</v>
      </c>
      <c r="T13" s="16"/>
      <c r="U13" s="15">
        <f si="0" t="shared"/>
        <v>0</v>
      </c>
      <c r="V13" s="16"/>
      <c r="W13" t="str">
        <f>$A$13</f>
        <v>Rest</v>
      </c>
      <c r="X13" t="n">
        <v>32636.0</v>
      </c>
      <c r="Y13" t="n">
        <v>18426.0</v>
      </c>
      <c r="Z13" t="n">
        <v>28114.0</v>
      </c>
      <c r="AA13" t="n">
        <v>42612.0</v>
      </c>
      <c r="AB13" t="n">
        <v>111910.0</v>
      </c>
      <c r="AC13" t="n">
        <v>53554.0</v>
      </c>
      <c r="AD13" t="n">
        <v>947106.0</v>
      </c>
      <c r="AE13" s="16"/>
      <c r="AF13" s="15">
        <f si="1" t="shared"/>
        <v>1234358</v>
      </c>
      <c r="AH13" s="16"/>
      <c r="AI13" s="16"/>
      <c r="AJ13" s="7"/>
    </row>
    <row r="14" spans="1:36" x14ac:dyDescent="0.25">
      <c r="A14" s="8" t="s">
        <v>17</v>
      </c>
      <c r="B14" s="17"/>
      <c r="C14" s="17"/>
      <c r="D14" s="17"/>
      <c r="E14" s="17"/>
      <c r="F14" s="17"/>
      <c r="G14" s="17"/>
      <c r="H14" s="17"/>
      <c r="I14" s="17"/>
      <c r="J14" s="17">
        <f>SUM(B14:I14)</f>
        <v>0</v>
      </c>
      <c r="K14" s="15"/>
      <c r="L14" s="18" t="s">
        <v>17</v>
      </c>
      <c r="M14" s="17"/>
      <c r="N14" s="17"/>
      <c r="O14" s="17"/>
      <c r="P14" s="17"/>
      <c r="Q14" s="17"/>
      <c r="R14" s="17"/>
      <c r="S14" s="17"/>
      <c r="T14" s="17"/>
      <c r="U14" s="15">
        <f si="0" t="shared"/>
        <v>0</v>
      </c>
      <c r="V14" s="15"/>
      <c r="W14" s="18" t="s">
        <v>17</v>
      </c>
      <c r="X14" s="17"/>
      <c r="Y14" s="17"/>
      <c r="Z14" s="17"/>
      <c r="AA14" s="17"/>
      <c r="AB14" s="17"/>
      <c r="AC14" s="17"/>
      <c r="AD14" s="17"/>
      <c r="AE14" s="17"/>
      <c r="AF14" s="17">
        <f si="1" t="shared"/>
        <v>0</v>
      </c>
      <c r="AI14" s="16"/>
      <c r="AJ14" s="7"/>
    </row>
    <row ht="15.75" r="15" spans="1:36" thickBot="1" x14ac:dyDescent="0.3">
      <c r="A15" s="1" t="s">
        <v>4</v>
      </c>
      <c r="B15" s="19">
        <f>SUM(B7:B14)</f>
        <v>38802.576499999996</v>
      </c>
      <c r="C15" s="19">
        <f>SUM(C7:C14)</f>
        <v>23920.6829</v>
      </c>
      <c r="D15" s="19">
        <f>SUM(D7:D14)</f>
        <v>34408.538799999995</v>
      </c>
      <c r="E15" s="19">
        <f ref="E15:H15" si="3" t="shared">SUM(E7:E14)</f>
        <v>48663.064599999998</v>
      </c>
      <c r="F15" s="19">
        <f si="3" t="shared"/>
        <v>256770.88709999999</v>
      </c>
      <c r="G15" s="19">
        <f si="3" t="shared"/>
        <v>193962.18190000003</v>
      </c>
      <c r="H15" s="19">
        <f si="3" t="shared"/>
        <v>834472.10159999994</v>
      </c>
      <c r="I15" s="19">
        <f>SUM(I7:I14)</f>
        <v>192811.24280000001</v>
      </c>
      <c r="J15" s="19">
        <f>SUM(J7:J14)</f>
        <v>1623811.2762</v>
      </c>
      <c r="K15" s="15"/>
      <c r="L15" s="19" t="s">
        <v>4</v>
      </c>
      <c r="M15" s="19">
        <f>SUM(M7:M14)</f>
        <v>0</v>
      </c>
      <c r="N15" s="19">
        <f ref="N15:U15" si="4" t="shared">SUM(N7:N14)</f>
        <v>0</v>
      </c>
      <c r="O15" s="19">
        <f si="4" t="shared"/>
        <v>0</v>
      </c>
      <c r="P15" s="19">
        <f si="4" t="shared"/>
        <v>0</v>
      </c>
      <c r="Q15" s="19">
        <f si="4" t="shared"/>
        <v>0</v>
      </c>
      <c r="R15" s="19">
        <f si="4" t="shared"/>
        <v>0</v>
      </c>
      <c r="S15" s="19">
        <f si="4" t="shared"/>
        <v>0</v>
      </c>
      <c r="T15" s="19">
        <f si="4" t="shared"/>
        <v>0</v>
      </c>
      <c r="U15" s="19">
        <f si="4" t="shared"/>
        <v>0</v>
      </c>
      <c r="V15" s="15"/>
      <c r="W15" s="19" t="s">
        <v>4</v>
      </c>
      <c r="X15" s="19">
        <f>SUM(X7:X14)</f>
        <v>54032</v>
      </c>
      <c r="Y15" s="19">
        <f ref="Y15:AF15" si="5" t="shared">SUM(Y7:Y14)</f>
        <v>25567</v>
      </c>
      <c r="Z15" s="19">
        <f si="5" t="shared"/>
        <v>37712</v>
      </c>
      <c r="AA15" s="19">
        <f si="5" t="shared"/>
        <v>54180</v>
      </c>
      <c r="AB15" s="19">
        <f si="5" t="shared"/>
        <v>299967</v>
      </c>
      <c r="AC15" s="19">
        <f si="5" t="shared"/>
        <v>174439</v>
      </c>
      <c r="AD15" s="19">
        <f si="5" t="shared"/>
        <v>981134</v>
      </c>
      <c r="AE15" s="19">
        <f si="5" t="shared"/>
        <v>0</v>
      </c>
      <c r="AF15" s="19">
        <f si="5" t="shared"/>
        <v>1627031</v>
      </c>
      <c r="AH15" s="21"/>
      <c r="AI15" s="16"/>
      <c r="AJ15" s="7"/>
    </row>
    <row r="16" spans="1:36" x14ac:dyDescent="0.25">
      <c r="AH16" s="7"/>
      <c r="AI16" s="7"/>
      <c r="AJ16" s="7"/>
    </row>
    <row r="17" spans="1:36" x14ac:dyDescent="0.25">
      <c r="AH17" s="7"/>
      <c r="AI17" s="7"/>
      <c r="AJ17" s="7"/>
    </row>
    <row ht="15.75" r="18" spans="1:36" thickBot="1" x14ac:dyDescent="0.3">
      <c r="A18" s="4" t="s">
        <v>214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58</v>
      </c>
      <c r="M18" s="1"/>
      <c r="N18" s="1"/>
      <c r="O18" s="1"/>
      <c r="P18" s="1"/>
      <c r="Q18" s="1"/>
      <c r="R18" s="1"/>
      <c r="S18" s="1"/>
      <c r="T18" s="1"/>
      <c r="U18" s="1"/>
    </row>
    <row r="19" spans="1:36" x14ac:dyDescent="0.25">
      <c r="A19" s="2" t="s">
        <v>15</v>
      </c>
      <c r="B19" s="2" t="str">
        <f>$A$7</f>
        <v>Bellevue</v>
      </c>
      <c r="C19" s="2" t="str">
        <f>$A$8</f>
        <v>Bellevue Downtown</v>
      </c>
      <c r="D19" s="2" t="str">
        <f>$A$9</f>
        <v>Kirkland</v>
      </c>
      <c r="E19" s="2" t="str">
        <f>$A$10</f>
        <v>Redmond</v>
      </c>
      <c r="F19" s="2" t="str">
        <f>$A$11</f>
        <v>Seattle</v>
      </c>
      <c r="G19" s="2" t="str">
        <f>$A$12</f>
        <v>Seattle Downtown</v>
      </c>
      <c r="H19" s="2" t="str">
        <f>$A$13</f>
        <v>Rest</v>
      </c>
      <c r="I19" s="3" t="str">
        <f>$A$14</f>
        <v>Outside</v>
      </c>
      <c r="J19" s="3" t="s">
        <v>4</v>
      </c>
      <c r="L19" s="2" t="s">
        <v>15</v>
      </c>
      <c r="M19" s="2" t="str">
        <f>$A$7</f>
        <v>Bellevue</v>
      </c>
      <c r="N19" s="2" t="str">
        <f>$A$8</f>
        <v>Bellevue Downtown</v>
      </c>
      <c r="O19" s="2" t="str">
        <f>$A$9</f>
        <v>Kirkland</v>
      </c>
      <c r="P19" s="2" t="str">
        <f>$A$10</f>
        <v>Redmond</v>
      </c>
      <c r="Q19" s="2" t="str">
        <f>$A$11</f>
        <v>Seattle</v>
      </c>
      <c r="R19" s="2" t="str">
        <f>$A$12</f>
        <v>Seattle Downtown</v>
      </c>
      <c r="S19" s="2" t="str">
        <f>$A$13</f>
        <v>Rest</v>
      </c>
      <c r="T19" s="3" t="str">
        <f>$A$14</f>
        <v>Outside</v>
      </c>
      <c r="U19" s="3" t="s">
        <v>4</v>
      </c>
    </row>
    <row r="20" spans="1:36" x14ac:dyDescent="0.25">
      <c r="A20" s="41" t="str">
        <f>A7</f>
        <v>Bellevue</v>
      </c>
      <c r="B20" s="15">
        <f ref="B20:G26" si="6" t="shared">(B7/$J7)*$AF7</f>
        <v>0</v>
      </c>
      <c r="C20" s="15">
        <f si="6" t="shared"/>
        <v>0</v>
      </c>
      <c r="D20" s="15">
        <f si="6" t="shared"/>
        <v>0</v>
      </c>
      <c r="E20" s="15">
        <f si="6" t="shared"/>
        <v>0</v>
      </c>
      <c r="F20" s="15">
        <f si="6" t="shared"/>
        <v>0</v>
      </c>
      <c r="G20" s="15">
        <f si="6" t="shared"/>
        <v>0</v>
      </c>
      <c r="H20" s="15">
        <f ref="H20:I20" si="7" t="shared">(H7/$J7)*$AF7</f>
        <v>0</v>
      </c>
      <c r="I20" s="15">
        <f si="7" t="shared"/>
        <v>0</v>
      </c>
      <c r="J20" s="15">
        <f>SUM(B20:I20)</f>
        <v>0</v>
      </c>
      <c r="L20" t="str">
        <f>$A$7</f>
        <v>Bellevue</v>
      </c>
      <c r="M20" s="15" t="e">
        <f ref="M20:T26" si="8" t="shared">M7*($AF7/$U7)</f>
        <v>#DIV/0!</v>
      </c>
      <c r="N20" s="15" t="e">
        <f si="8" t="shared"/>
        <v>#DIV/0!</v>
      </c>
      <c r="O20" s="15" t="e">
        <f si="8" t="shared"/>
        <v>#DIV/0!</v>
      </c>
      <c r="P20" s="15" t="e">
        <f si="8" t="shared"/>
        <v>#DIV/0!</v>
      </c>
      <c r="Q20" s="15" t="e">
        <f si="8" t="shared"/>
        <v>#DIV/0!</v>
      </c>
      <c r="R20" s="15" t="e">
        <f si="8" t="shared"/>
        <v>#DIV/0!</v>
      </c>
      <c r="S20" s="15" t="e">
        <f si="8" t="shared"/>
        <v>#DIV/0!</v>
      </c>
      <c r="T20" s="15" t="e">
        <f ref="T20:T25" si="9" t="shared">T7*($AF7/$U7)</f>
        <v>#DIV/0!</v>
      </c>
      <c r="U20" s="15" t="e">
        <f>SUM(M20:T20)</f>
        <v>#DIV/0!</v>
      </c>
    </row>
    <row r="21" spans="1:36" x14ac:dyDescent="0.25">
      <c r="A21" s="41" t="str">
        <f ref="A21:A27" si="10" t="shared">A8</f>
        <v>Bellevue Downtown</v>
      </c>
      <c r="B21" s="15">
        <f si="6" t="shared"/>
        <v>0</v>
      </c>
      <c r="C21" s="15">
        <f si="6" t="shared"/>
        <v>0</v>
      </c>
      <c r="D21" s="15">
        <f si="6" t="shared"/>
        <v>0</v>
      </c>
      <c r="E21" s="15">
        <f si="6" t="shared"/>
        <v>0</v>
      </c>
      <c r="F21" s="15">
        <f si="6" t="shared"/>
        <v>0</v>
      </c>
      <c r="G21" s="15">
        <f si="6" t="shared"/>
        <v>0</v>
      </c>
      <c r="H21" s="15">
        <f ref="H21:I21" si="11" t="shared">(H8/$J8)*$AF8</f>
        <v>0</v>
      </c>
      <c r="I21" s="15">
        <f si="11" t="shared"/>
        <v>0</v>
      </c>
      <c r="J21" s="15">
        <f>SUM(B21:I21)</f>
        <v>0</v>
      </c>
      <c r="L21" t="str">
        <f>$A$8</f>
        <v>Bellevue Downtown</v>
      </c>
      <c r="M21" s="15" t="e">
        <f si="8" t="shared"/>
        <v>#DIV/0!</v>
      </c>
      <c r="N21" s="15" t="e">
        <f si="8" t="shared"/>
        <v>#DIV/0!</v>
      </c>
      <c r="O21" s="15" t="e">
        <f si="8" t="shared"/>
        <v>#DIV/0!</v>
      </c>
      <c r="P21" s="15" t="e">
        <f si="8" t="shared"/>
        <v>#DIV/0!</v>
      </c>
      <c r="Q21" s="15" t="e">
        <f si="8" t="shared"/>
        <v>#DIV/0!</v>
      </c>
      <c r="R21" s="15" t="e">
        <f si="8" t="shared"/>
        <v>#DIV/0!</v>
      </c>
      <c r="S21" s="15" t="e">
        <f ref="S21" si="12" t="shared">S8*($AF8/$U8)</f>
        <v>#DIV/0!</v>
      </c>
      <c r="T21" s="15" t="e">
        <f si="9" t="shared"/>
        <v>#DIV/0!</v>
      </c>
      <c r="U21" s="15" t="e">
        <f>SUM(M21:T21)</f>
        <v>#DIV/0!</v>
      </c>
    </row>
    <row r="22" spans="1:36" x14ac:dyDescent="0.25">
      <c r="A22" s="41" t="str">
        <f si="10" t="shared"/>
        <v>Kirkland</v>
      </c>
      <c r="B22" s="15">
        <f si="6" t="shared"/>
        <v>0</v>
      </c>
      <c r="C22" s="15">
        <f si="6" t="shared"/>
        <v>0</v>
      </c>
      <c r="D22" s="15">
        <f si="6" t="shared"/>
        <v>0</v>
      </c>
      <c r="E22" s="15">
        <f si="6" t="shared"/>
        <v>0</v>
      </c>
      <c r="F22" s="15">
        <f si="6" t="shared"/>
        <v>0</v>
      </c>
      <c r="G22" s="15">
        <f si="6" t="shared"/>
        <v>0</v>
      </c>
      <c r="H22" s="15">
        <f ref="H22:I22" si="13" t="shared">(H9/$J9)*$AF9</f>
        <v>0</v>
      </c>
      <c r="I22" s="15">
        <f si="13" t="shared"/>
        <v>0</v>
      </c>
      <c r="J22" s="15">
        <f ref="J22:J24" si="14" t="shared">SUM(B22:I22)</f>
        <v>0</v>
      </c>
      <c r="L22" t="str">
        <f>$A$9</f>
        <v>Kirkland</v>
      </c>
      <c r="M22" s="15" t="e">
        <f si="8" t="shared"/>
        <v>#DIV/0!</v>
      </c>
      <c r="N22" s="15" t="e">
        <f si="8" t="shared"/>
        <v>#DIV/0!</v>
      </c>
      <c r="O22" s="15" t="e">
        <f si="8" t="shared"/>
        <v>#DIV/0!</v>
      </c>
      <c r="P22" s="15" t="e">
        <f si="8" t="shared"/>
        <v>#DIV/0!</v>
      </c>
      <c r="Q22" s="15" t="e">
        <f si="8" t="shared"/>
        <v>#DIV/0!</v>
      </c>
      <c r="R22" s="15" t="e">
        <f si="8" t="shared"/>
        <v>#DIV/0!</v>
      </c>
      <c r="S22" s="15" t="e">
        <f ref="S22" si="15" t="shared">S9*($AF9/$U9)</f>
        <v>#DIV/0!</v>
      </c>
      <c r="T22" s="15" t="e">
        <f si="9" t="shared"/>
        <v>#DIV/0!</v>
      </c>
      <c r="U22" s="15" t="e">
        <f>SUM(M22:T22)</f>
        <v>#DIV/0!</v>
      </c>
    </row>
    <row r="23" spans="1:36" x14ac:dyDescent="0.25">
      <c r="A23" s="41" t="str">
        <f si="10" t="shared"/>
        <v>Redmond</v>
      </c>
      <c r="B23" s="15">
        <f si="6" t="shared"/>
        <v>0</v>
      </c>
      <c r="C23" s="15">
        <f si="6" t="shared"/>
        <v>0</v>
      </c>
      <c r="D23" s="15">
        <f si="6" t="shared"/>
        <v>0</v>
      </c>
      <c r="E23" s="15">
        <f si="6" t="shared"/>
        <v>0</v>
      </c>
      <c r="F23" s="15">
        <f si="6" t="shared"/>
        <v>0</v>
      </c>
      <c r="G23" s="15">
        <f si="6" t="shared"/>
        <v>0</v>
      </c>
      <c r="H23" s="15">
        <f ref="H23:I23" si="16" t="shared">(H10/$J10)*$AF10</f>
        <v>0</v>
      </c>
      <c r="I23" s="15">
        <f si="16" t="shared"/>
        <v>0</v>
      </c>
      <c r="J23" s="15">
        <f si="14" t="shared"/>
        <v>0</v>
      </c>
      <c r="L23" t="str">
        <f>$A$10</f>
        <v>Redmond</v>
      </c>
      <c r="M23" s="15" t="e">
        <f si="8" t="shared"/>
        <v>#DIV/0!</v>
      </c>
      <c r="N23" s="15" t="e">
        <f si="8" t="shared"/>
        <v>#DIV/0!</v>
      </c>
      <c r="O23" s="15" t="e">
        <f si="8" t="shared"/>
        <v>#DIV/0!</v>
      </c>
      <c r="P23" s="15" t="e">
        <f si="8" t="shared"/>
        <v>#DIV/0!</v>
      </c>
      <c r="Q23" s="15" t="e">
        <f si="8" t="shared"/>
        <v>#DIV/0!</v>
      </c>
      <c r="R23" s="15" t="e">
        <f si="8" t="shared"/>
        <v>#DIV/0!</v>
      </c>
      <c r="S23" s="15" t="e">
        <f ref="S23" si="17" t="shared">S10*($AF10/$U10)</f>
        <v>#DIV/0!</v>
      </c>
      <c r="T23" s="15" t="e">
        <f si="9" t="shared"/>
        <v>#DIV/0!</v>
      </c>
      <c r="U23" s="15" t="e">
        <f ref="U23:U26" si="18" t="shared">SUM(M23:T23)</f>
        <v>#DIV/0!</v>
      </c>
    </row>
    <row r="24" spans="1:36" x14ac:dyDescent="0.25">
      <c r="A24" s="41" t="str">
        <f si="10" t="shared"/>
        <v>Seattle</v>
      </c>
      <c r="B24" s="15">
        <f si="6" t="shared"/>
        <v>10173.838841804967</v>
      </c>
      <c r="C24" s="15">
        <f si="6" t="shared"/>
        <v>5823.6367961320011</v>
      </c>
      <c r="D24" s="15">
        <f si="6" t="shared"/>
        <v>6701.3855715413192</v>
      </c>
      <c r="E24" s="15">
        <f si="6" t="shared"/>
        <v>9771.1553378747485</v>
      </c>
      <c r="F24" s="15">
        <f si="6" t="shared"/>
        <v>139094.28850212257</v>
      </c>
      <c r="G24" s="15">
        <f si="6" t="shared"/>
        <v>95661.975611915797</v>
      </c>
      <c r="H24" s="15">
        <f ref="H24:I24" si="19" t="shared">(H11/$J11)*$AF11</f>
        <v>45739.521496129921</v>
      </c>
      <c r="I24" s="15">
        <f si="19" t="shared"/>
        <v>41243.197842478694</v>
      </c>
      <c r="J24" s="15">
        <f si="14" t="shared"/>
        <v>354209</v>
      </c>
      <c r="L24" t="str">
        <f>$A$11</f>
        <v>Seattle</v>
      </c>
      <c r="M24" s="15" t="e">
        <f si="8" t="shared"/>
        <v>#DIV/0!</v>
      </c>
      <c r="N24" s="15" t="e">
        <f si="8" t="shared"/>
        <v>#DIV/0!</v>
      </c>
      <c r="O24" s="15" t="e">
        <f si="8" t="shared"/>
        <v>#DIV/0!</v>
      </c>
      <c r="P24" s="15" t="e">
        <f si="8" t="shared"/>
        <v>#DIV/0!</v>
      </c>
      <c r="Q24" s="15" t="e">
        <f si="8" t="shared"/>
        <v>#DIV/0!</v>
      </c>
      <c r="R24" s="15" t="e">
        <f si="8" t="shared"/>
        <v>#DIV/0!</v>
      </c>
      <c r="S24" s="15" t="e">
        <f ref="S24" si="20" t="shared">S11*($AF11/$U11)</f>
        <v>#DIV/0!</v>
      </c>
      <c r="T24" s="15" t="e">
        <f si="9" t="shared"/>
        <v>#DIV/0!</v>
      </c>
      <c r="U24" s="15" t="e">
        <f si="18" t="shared"/>
        <v>#DIV/0!</v>
      </c>
    </row>
    <row r="25" spans="1:36" x14ac:dyDescent="0.25">
      <c r="A25" s="41" t="str">
        <f si="10" t="shared"/>
        <v>Seattle Downtown</v>
      </c>
      <c r="B25" s="15">
        <f si="6" t="shared"/>
        <v>717.0205215351682</v>
      </c>
      <c r="C25" s="15">
        <f si="6" t="shared"/>
        <v>522.37488852150523</v>
      </c>
      <c r="D25" s="15">
        <f si="6" t="shared"/>
        <v>334.58609646958428</v>
      </c>
      <c r="E25" s="15">
        <f si="6" t="shared"/>
        <v>1617.0331289449748</v>
      </c>
      <c r="F25" s="15">
        <f si="6" t="shared"/>
        <v>4819.4862789220088</v>
      </c>
      <c r="G25" s="15">
        <f si="6" t="shared"/>
        <v>9889.2594687648361</v>
      </c>
      <c r="H25" s="15">
        <f ref="H25:I26" si="21" t="shared">(H12/$J12)*$AF12</f>
        <v>1582.4351374665446</v>
      </c>
      <c r="I25" s="15">
        <f si="21" t="shared"/>
        <v>18981.804479375383</v>
      </c>
      <c r="J25" s="15">
        <f>SUM(B25:I25)</f>
        <v>38464.000000000007</v>
      </c>
      <c r="L25" t="str">
        <f>$A$12</f>
        <v>Seattle Downtown</v>
      </c>
      <c r="M25" s="15" t="e">
        <f si="8" t="shared"/>
        <v>#DIV/0!</v>
      </c>
      <c r="N25" s="15" t="e">
        <f si="8" t="shared"/>
        <v>#DIV/0!</v>
      </c>
      <c r="O25" s="15" t="e">
        <f si="8" t="shared"/>
        <v>#DIV/0!</v>
      </c>
      <c r="P25" s="15" t="e">
        <f si="8" t="shared"/>
        <v>#DIV/0!</v>
      </c>
      <c r="Q25" s="15" t="e">
        <f si="8" t="shared"/>
        <v>#DIV/0!</v>
      </c>
      <c r="R25" s="15" t="e">
        <f si="8" t="shared"/>
        <v>#DIV/0!</v>
      </c>
      <c r="S25" s="15" t="e">
        <f ref="S25" si="22" t="shared">S12*($AF12/$U12)</f>
        <v>#DIV/0!</v>
      </c>
      <c r="T25" s="15" t="e">
        <f si="9" t="shared"/>
        <v>#DIV/0!</v>
      </c>
      <c r="U25" s="15" t="e">
        <f si="18" t="shared"/>
        <v>#DIV/0!</v>
      </c>
    </row>
    <row r="26" spans="1:36" x14ac:dyDescent="0.25">
      <c r="A26" s="41" t="str">
        <f si="10" t="shared"/>
        <v>Rest</v>
      </c>
      <c r="B26" s="15">
        <f si="6" t="shared"/>
        <v>31162.566148689682</v>
      </c>
      <c r="C26" s="15">
        <f si="6" t="shared"/>
        <v>19563.262853734723</v>
      </c>
      <c r="D26" s="15">
        <f si="6" t="shared"/>
        <v>30890.360522642051</v>
      </c>
      <c r="E26" s="15">
        <f si="6" t="shared"/>
        <v>41067.099638508509</v>
      </c>
      <c r="F26" s="15">
        <f si="6" t="shared"/>
        <v>123942.17913569917</v>
      </c>
      <c r="G26" s="15">
        <f si="6" t="shared"/>
        <v>91910.907676333212</v>
      </c>
      <c r="H26" s="15">
        <f si="21" t="shared"/>
        <v>895821.62402439269</v>
      </c>
      <c r="I26" s="15">
        <f si="21" t="shared"/>
        <v>0</v>
      </c>
      <c r="J26" s="15">
        <f>SUM(B26:I26)</f>
        <v>1234358</v>
      </c>
      <c r="L26" t="str">
        <f>$A$13</f>
        <v>Rest</v>
      </c>
      <c r="M26" s="15" t="e">
        <f si="8" t="shared"/>
        <v>#DIV/0!</v>
      </c>
      <c r="N26" s="15" t="e">
        <f si="8" t="shared"/>
        <v>#DIV/0!</v>
      </c>
      <c r="O26" s="15" t="e">
        <f si="8" t="shared"/>
        <v>#DIV/0!</v>
      </c>
      <c r="P26" s="15" t="e">
        <f si="8" t="shared"/>
        <v>#DIV/0!</v>
      </c>
      <c r="Q26" s="15" t="e">
        <f si="8" t="shared"/>
        <v>#DIV/0!</v>
      </c>
      <c r="R26" s="15" t="e">
        <f si="8" t="shared"/>
        <v>#DIV/0!</v>
      </c>
      <c r="S26" s="15" t="e">
        <f ref="S26" si="23" t="shared">S13*($AF13/$U13)</f>
        <v>#DIV/0!</v>
      </c>
      <c r="T26" s="15" t="e">
        <f si="8" t="shared"/>
        <v>#DIV/0!</v>
      </c>
      <c r="U26" s="15" t="e">
        <f si="18" t="shared"/>
        <v>#DIV/0!</v>
      </c>
    </row>
    <row r="27" spans="1:36" x14ac:dyDescent="0.25">
      <c r="A27" s="91" t="str">
        <f si="10" t="shared"/>
        <v>Outside</v>
      </c>
      <c r="B27" s="17"/>
      <c r="C27" s="17"/>
      <c r="D27" s="17"/>
      <c r="E27" s="17"/>
      <c r="F27" s="17"/>
      <c r="G27" s="17"/>
      <c r="H27" s="17"/>
      <c r="I27" s="17"/>
      <c r="J27" s="17">
        <f>SUM(B27:I27)</f>
        <v>0</v>
      </c>
      <c r="L27" s="18" t="s">
        <v>17</v>
      </c>
      <c r="M27" s="17" t="e">
        <f ref="M27:S27" si="24" t="shared">M14*($AF14/$U14)</f>
        <v>#DIV/0!</v>
      </c>
      <c r="N27" s="17" t="e">
        <f si="24" t="shared"/>
        <v>#DIV/0!</v>
      </c>
      <c r="O27" s="17" t="e">
        <f si="24" t="shared"/>
        <v>#DIV/0!</v>
      </c>
      <c r="P27" s="17" t="e">
        <f si="24" t="shared"/>
        <v>#DIV/0!</v>
      </c>
      <c r="Q27" s="17" t="e">
        <f si="24" t="shared"/>
        <v>#DIV/0!</v>
      </c>
      <c r="R27" s="17" t="e">
        <f si="24" t="shared"/>
        <v>#DIV/0!</v>
      </c>
      <c r="S27" s="15" t="e">
        <f si="24" t="shared"/>
        <v>#DIV/0!</v>
      </c>
      <c r="T27" s="17" t="e">
        <f>T14*($AF14/$U14)</f>
        <v>#DIV/0!</v>
      </c>
      <c r="U27" s="17" t="e">
        <f>SUM(M27:T27)</f>
        <v>#DIV/0!</v>
      </c>
    </row>
    <row ht="15.75" r="28" spans="1:36" thickBot="1" x14ac:dyDescent="0.3">
      <c r="A28" s="1" t="s">
        <v>4</v>
      </c>
      <c r="B28" s="19">
        <f>SUM(B20:B27)</f>
        <v>42053.425512029818</v>
      </c>
      <c r="C28" s="19">
        <f>SUM(C20:C27)</f>
        <v>25909.274538388228</v>
      </c>
      <c r="D28" s="19">
        <f>SUM(D20:D27)</f>
        <v>37926.332190652953</v>
      </c>
      <c r="E28" s="19">
        <f ref="E28:H28" si="25" t="shared">SUM(E20:E27)</f>
        <v>52455.288105328233</v>
      </c>
      <c r="F28" s="19">
        <f si="25" t="shared"/>
        <v>267855.95391674375</v>
      </c>
      <c r="G28" s="19">
        <f si="25" t="shared"/>
        <v>197462.14275701385</v>
      </c>
      <c r="H28" s="19">
        <f si="25" t="shared"/>
        <v>943143.58065798914</v>
      </c>
      <c r="I28" s="19">
        <f>SUM(I20:I27)</f>
        <v>60225.002321854074</v>
      </c>
      <c r="J28" s="19">
        <f>SUM(J20:J27)</f>
        <v>1627031</v>
      </c>
      <c r="L28" s="19" t="s">
        <v>4</v>
      </c>
      <c r="M28" s="19" t="e">
        <f>SUM(M20:M27)</f>
        <v>#DIV/0!</v>
      </c>
      <c r="N28" s="19" t="e">
        <f ref="N28:S28" si="26" t="shared">SUM(N20:N27)</f>
        <v>#DIV/0!</v>
      </c>
      <c r="O28" s="19" t="e">
        <f si="26" t="shared"/>
        <v>#DIV/0!</v>
      </c>
      <c r="P28" s="19" t="e">
        <f si="26" t="shared"/>
        <v>#DIV/0!</v>
      </c>
      <c r="Q28" s="19" t="e">
        <f si="26" t="shared"/>
        <v>#DIV/0!</v>
      </c>
      <c r="R28" s="19" t="e">
        <f si="26" t="shared"/>
        <v>#DIV/0!</v>
      </c>
      <c r="S28" s="19" t="e">
        <f si="26" t="shared"/>
        <v>#DIV/0!</v>
      </c>
      <c r="T28" s="19" t="e">
        <f>SUM(T20:T27)</f>
        <v>#DIV/0!</v>
      </c>
      <c r="U28" s="19" t="e">
        <f>SUM(U20:U27)</f>
        <v>#DIV/0!</v>
      </c>
    </row>
    <row ht="15.75" r="32" spans="1:36" thickBot="1" x14ac:dyDescent="0.3">
      <c r="A32" s="4" t="s">
        <v>214</v>
      </c>
      <c r="B32" s="1"/>
      <c r="C32" s="1"/>
      <c r="D32" s="1"/>
      <c r="E32" s="1"/>
      <c r="F32" s="1"/>
      <c r="G32" s="1"/>
      <c r="H32" s="1"/>
      <c r="I32" s="1"/>
      <c r="J32" s="1"/>
      <c r="L32" s="4" t="s">
        <v>58</v>
      </c>
      <c r="M32" s="1"/>
      <c r="N32" s="1"/>
      <c r="O32" s="1"/>
      <c r="P32" s="1"/>
      <c r="Q32" s="1"/>
      <c r="R32" s="1"/>
      <c r="S32" s="1"/>
      <c r="T32" s="1"/>
      <c r="U32" s="1"/>
      <c r="W32" s="4" t="s">
        <v>44</v>
      </c>
      <c r="X32" s="1"/>
      <c r="Y32" s="1"/>
      <c r="Z32" s="1"/>
      <c r="AA32" s="1"/>
      <c r="AB32" s="1"/>
      <c r="AC32" s="1"/>
      <c r="AD32" s="1"/>
      <c r="AE32" s="1"/>
      <c r="AF32" s="1"/>
    </row>
    <row r="33" spans="1:32" x14ac:dyDescent="0.25">
      <c r="A33" s="2" t="s">
        <v>15</v>
      </c>
      <c r="B33" s="2" t="str">
        <f>$A$7</f>
        <v>Bellevue</v>
      </c>
      <c r="C33" s="2" t="str">
        <f>$A$8</f>
        <v>Bellevue Downtown</v>
      </c>
      <c r="D33" s="2" t="str">
        <f>$A$9</f>
        <v>Kirkland</v>
      </c>
      <c r="E33" s="2" t="str">
        <f>$A$10</f>
        <v>Redmond</v>
      </c>
      <c r="F33" s="2" t="str">
        <f>$A$11</f>
        <v>Seattle</v>
      </c>
      <c r="G33" s="2" t="str">
        <f>$A$12</f>
        <v>Seattle Downtown</v>
      </c>
      <c r="H33" s="2" t="str">
        <f>$A$13</f>
        <v>Rest</v>
      </c>
      <c r="I33" s="3" t="str">
        <f>$A$14</f>
        <v>Outside</v>
      </c>
      <c r="J33" s="3" t="s">
        <v>4</v>
      </c>
      <c r="L33" s="2" t="s">
        <v>15</v>
      </c>
      <c r="M33" s="2" t="str">
        <f>$A$7</f>
        <v>Bellevue</v>
      </c>
      <c r="N33" s="2" t="str">
        <f>$A$8</f>
        <v>Bellevue Downtown</v>
      </c>
      <c r="O33" s="2" t="str">
        <f>$A$9</f>
        <v>Kirkland</v>
      </c>
      <c r="P33" s="2" t="str">
        <f>$A$10</f>
        <v>Redmond</v>
      </c>
      <c r="Q33" s="2" t="str">
        <f>$A$11</f>
        <v>Seattle</v>
      </c>
      <c r="R33" s="2" t="str">
        <f>$A$12</f>
        <v>Seattle Downtown</v>
      </c>
      <c r="S33" s="2" t="str">
        <f>$A$13</f>
        <v>Rest</v>
      </c>
      <c r="T33" s="3" t="str">
        <f>$A$14</f>
        <v>Outside</v>
      </c>
      <c r="U33" s="3" t="s">
        <v>4</v>
      </c>
      <c r="W33" s="2" t="s">
        <v>15</v>
      </c>
      <c r="X33" s="2" t="str">
        <f>$A$7</f>
        <v>Bellevue</v>
      </c>
      <c r="Y33" s="2" t="str">
        <f>$A$8</f>
        <v>Bellevue Downtown</v>
      </c>
      <c r="Z33" s="2" t="str">
        <f>$A$9</f>
        <v>Kirkland</v>
      </c>
      <c r="AA33" s="2" t="str">
        <f>$A$10</f>
        <v>Redmond</v>
      </c>
      <c r="AB33" s="2" t="str">
        <f>$A$11</f>
        <v>Seattle</v>
      </c>
      <c r="AC33" s="2" t="str">
        <f>$A$12</f>
        <v>Seattle Downtown</v>
      </c>
      <c r="AD33" s="2" t="str">
        <f>$A$13</f>
        <v>Rest</v>
      </c>
      <c r="AE33" s="3" t="str">
        <f>$A$14</f>
        <v>Outside</v>
      </c>
      <c r="AF33" s="3" t="s">
        <v>4</v>
      </c>
    </row>
    <row r="34" spans="1:32" x14ac:dyDescent="0.25">
      <c r="A34" s="92" t="str">
        <f>A20</f>
        <v>Bellevue</v>
      </c>
      <c r="B34" s="25">
        <f>B20/$J$28</f>
        <v>0</v>
      </c>
      <c r="C34" s="25">
        <f ref="C34:J34" si="27" t="shared">C20/$J$28</f>
        <v>0</v>
      </c>
      <c r="D34" s="25">
        <f si="27" t="shared"/>
        <v>0</v>
      </c>
      <c r="E34" s="25">
        <f si="27" t="shared"/>
        <v>0</v>
      </c>
      <c r="F34" s="25">
        <f si="27" t="shared"/>
        <v>0</v>
      </c>
      <c r="G34" s="25">
        <f si="27" t="shared"/>
        <v>0</v>
      </c>
      <c r="H34" s="25">
        <f ref="H34:I34" si="28" t="shared">H20/$J$28</f>
        <v>0</v>
      </c>
      <c r="I34" s="25">
        <f si="28" t="shared"/>
        <v>0</v>
      </c>
      <c r="J34" s="25">
        <f si="27" t="shared"/>
        <v>0</v>
      </c>
      <c r="L34" t="str">
        <f>$A$7</f>
        <v>Bellevue</v>
      </c>
      <c r="M34" s="25" t="e">
        <f ref="M34:T41" si="29" t="shared">M20/$U$28</f>
        <v>#DIV/0!</v>
      </c>
      <c r="N34" s="25" t="e">
        <f si="29" t="shared"/>
        <v>#DIV/0!</v>
      </c>
      <c r="O34" s="25" t="e">
        <f si="29" t="shared"/>
        <v>#DIV/0!</v>
      </c>
      <c r="P34" s="25" t="e">
        <f si="29" t="shared"/>
        <v>#DIV/0!</v>
      </c>
      <c r="Q34" s="25" t="e">
        <f si="29" t="shared"/>
        <v>#DIV/0!</v>
      </c>
      <c r="R34" s="25" t="e">
        <f si="29" t="shared"/>
        <v>#DIV/0!</v>
      </c>
      <c r="S34" s="25" t="e">
        <f si="29" t="shared"/>
        <v>#DIV/0!</v>
      </c>
      <c r="T34" s="25" t="e">
        <f ref="T34:T39" si="30" t="shared">T20/$U$28</f>
        <v>#DIV/0!</v>
      </c>
      <c r="U34" s="25" t="e">
        <f>SUM(M34:T34)</f>
        <v>#DIV/0!</v>
      </c>
      <c r="W34" t="str">
        <f>$A$7</f>
        <v>Bellevue</v>
      </c>
      <c r="X34" s="25">
        <f ref="X34:AC40" si="31" t="shared">X7/$AF$15</f>
        <v>0</v>
      </c>
      <c r="Y34" s="25">
        <f si="31" t="shared"/>
        <v>0</v>
      </c>
      <c r="Z34" s="25">
        <f si="31" t="shared"/>
        <v>0</v>
      </c>
      <c r="AA34" s="25">
        <f si="31" t="shared"/>
        <v>0</v>
      </c>
      <c r="AB34" s="25">
        <f si="31" t="shared"/>
        <v>0</v>
      </c>
      <c r="AC34" s="25">
        <f si="31" t="shared"/>
        <v>0</v>
      </c>
      <c r="AD34" s="25">
        <f ref="AD34:AE34" si="32" t="shared">AD7/$AF$15</f>
        <v>0</v>
      </c>
      <c r="AE34" s="25">
        <f si="32" t="shared"/>
        <v>0</v>
      </c>
      <c r="AF34" s="25">
        <f>SUM(X34:AE34)</f>
        <v>0</v>
      </c>
    </row>
    <row r="35" spans="1:32" x14ac:dyDescent="0.25">
      <c r="A35" s="93" t="str">
        <f ref="A35:A41" si="33" t="shared">A21</f>
        <v>Bellevue Downtown</v>
      </c>
      <c r="B35" s="25">
        <f ref="B35:J35" si="34" t="shared">B21/$J$28</f>
        <v>0</v>
      </c>
      <c r="C35" s="25">
        <f si="34" t="shared"/>
        <v>0</v>
      </c>
      <c r="D35" s="25">
        <f si="34" t="shared"/>
        <v>0</v>
      </c>
      <c r="E35" s="25">
        <f si="34" t="shared"/>
        <v>0</v>
      </c>
      <c r="F35" s="25">
        <f si="34" t="shared"/>
        <v>0</v>
      </c>
      <c r="G35" s="25">
        <f si="34" t="shared"/>
        <v>0</v>
      </c>
      <c r="H35" s="25">
        <f ref="H35:I35" si="35" t="shared">H21/$J$28</f>
        <v>0</v>
      </c>
      <c r="I35" s="25">
        <f si="35" t="shared"/>
        <v>0</v>
      </c>
      <c r="J35" s="25">
        <f si="34" t="shared"/>
        <v>0</v>
      </c>
      <c r="L35" t="str">
        <f>$A$8</f>
        <v>Bellevue Downtown</v>
      </c>
      <c r="M35" s="25" t="e">
        <f si="29" t="shared"/>
        <v>#DIV/0!</v>
      </c>
      <c r="N35" s="25" t="e">
        <f si="29" t="shared"/>
        <v>#DIV/0!</v>
      </c>
      <c r="O35" s="25" t="e">
        <f si="29" t="shared"/>
        <v>#DIV/0!</v>
      </c>
      <c r="P35" s="25" t="e">
        <f si="29" t="shared"/>
        <v>#DIV/0!</v>
      </c>
      <c r="Q35" s="25" t="e">
        <f si="29" t="shared"/>
        <v>#DIV/0!</v>
      </c>
      <c r="R35" s="25" t="e">
        <f si="29" t="shared"/>
        <v>#DIV/0!</v>
      </c>
      <c r="S35" s="25" t="e">
        <f ref="S35" si="36" t="shared">S21/$U$28</f>
        <v>#DIV/0!</v>
      </c>
      <c r="T35" s="25" t="e">
        <f si="30" t="shared"/>
        <v>#DIV/0!</v>
      </c>
      <c r="U35" s="25" t="e">
        <f>SUM(M35:T35)</f>
        <v>#DIV/0!</v>
      </c>
      <c r="W35" t="str">
        <f>$A$8</f>
        <v>Bellevue Downtown</v>
      </c>
      <c r="X35" s="25">
        <f si="31" t="shared"/>
        <v>0</v>
      </c>
      <c r="Y35" s="25">
        <f si="31" t="shared"/>
        <v>0</v>
      </c>
      <c r="Z35" s="25">
        <f si="31" t="shared"/>
        <v>0</v>
      </c>
      <c r="AA35" s="25">
        <f si="31" t="shared"/>
        <v>0</v>
      </c>
      <c r="AB35" s="25">
        <f si="31" t="shared"/>
        <v>0</v>
      </c>
      <c r="AC35" s="25">
        <f si="31" t="shared"/>
        <v>0</v>
      </c>
      <c r="AD35" s="25">
        <f ref="AD35:AE35" si="37" t="shared">AD8/$AF$15</f>
        <v>0</v>
      </c>
      <c r="AE35" s="25">
        <f si="37" t="shared"/>
        <v>0</v>
      </c>
      <c r="AF35" s="25">
        <f>SUM(X35:AE35)</f>
        <v>0</v>
      </c>
    </row>
    <row r="36" spans="1:32" x14ac:dyDescent="0.25">
      <c r="A36" s="93" t="str">
        <f si="33" t="shared"/>
        <v>Kirkland</v>
      </c>
      <c r="B36" s="25">
        <f ref="B36:J36" si="38" t="shared">B22/$J$28</f>
        <v>0</v>
      </c>
      <c r="C36" s="25">
        <f si="38" t="shared"/>
        <v>0</v>
      </c>
      <c r="D36" s="25">
        <f si="38" t="shared"/>
        <v>0</v>
      </c>
      <c r="E36" s="25">
        <f si="38" t="shared"/>
        <v>0</v>
      </c>
      <c r="F36" s="25">
        <f si="38" t="shared"/>
        <v>0</v>
      </c>
      <c r="G36" s="25">
        <f si="38" t="shared"/>
        <v>0</v>
      </c>
      <c r="H36" s="25">
        <f ref="H36:I36" si="39" t="shared">H22/$J$28</f>
        <v>0</v>
      </c>
      <c r="I36" s="25">
        <f si="39" t="shared"/>
        <v>0</v>
      </c>
      <c r="J36" s="25">
        <f si="38" t="shared"/>
        <v>0</v>
      </c>
      <c r="L36" t="str">
        <f>$A$9</f>
        <v>Kirkland</v>
      </c>
      <c r="M36" s="25" t="e">
        <f si="29" t="shared"/>
        <v>#DIV/0!</v>
      </c>
      <c r="N36" s="25" t="e">
        <f si="29" t="shared"/>
        <v>#DIV/0!</v>
      </c>
      <c r="O36" s="25" t="e">
        <f si="29" t="shared"/>
        <v>#DIV/0!</v>
      </c>
      <c r="P36" s="25" t="e">
        <f si="29" t="shared"/>
        <v>#DIV/0!</v>
      </c>
      <c r="Q36" s="25" t="e">
        <f si="29" t="shared"/>
        <v>#DIV/0!</v>
      </c>
      <c r="R36" s="25" t="e">
        <f si="29" t="shared"/>
        <v>#DIV/0!</v>
      </c>
      <c r="S36" s="25" t="e">
        <f ref="S36" si="40" t="shared">S22/$U$28</f>
        <v>#DIV/0!</v>
      </c>
      <c r="T36" s="25" t="e">
        <f si="30" t="shared"/>
        <v>#DIV/0!</v>
      </c>
      <c r="U36" s="25" t="e">
        <f>SUM(M36:T36)</f>
        <v>#DIV/0!</v>
      </c>
      <c r="W36" t="str">
        <f>$A$9</f>
        <v>Kirkland</v>
      </c>
      <c r="X36" s="25">
        <f si="31" t="shared"/>
        <v>0</v>
      </c>
      <c r="Y36" s="25">
        <f si="31" t="shared"/>
        <v>0</v>
      </c>
      <c r="Z36" s="25">
        <f si="31" t="shared"/>
        <v>0</v>
      </c>
      <c r="AA36" s="25">
        <f si="31" t="shared"/>
        <v>0</v>
      </c>
      <c r="AB36" s="25">
        <f si="31" t="shared"/>
        <v>0</v>
      </c>
      <c r="AC36" s="25">
        <f si="31" t="shared"/>
        <v>0</v>
      </c>
      <c r="AD36" s="25">
        <f ref="AD36:AE36" si="41" t="shared">AD9/$AF$15</f>
        <v>0</v>
      </c>
      <c r="AE36" s="25">
        <f si="41" t="shared"/>
        <v>0</v>
      </c>
      <c r="AF36" s="25">
        <f>SUM(X36:AE36)</f>
        <v>0</v>
      </c>
    </row>
    <row r="37" spans="1:32" x14ac:dyDescent="0.25">
      <c r="A37" s="93" t="str">
        <f si="33" t="shared"/>
        <v>Redmond</v>
      </c>
      <c r="B37" s="25">
        <f ref="B37:J37" si="42" t="shared">B23/$J$28</f>
        <v>0</v>
      </c>
      <c r="C37" s="25">
        <f si="42" t="shared"/>
        <v>0</v>
      </c>
      <c r="D37" s="25">
        <f si="42" t="shared"/>
        <v>0</v>
      </c>
      <c r="E37" s="25">
        <f si="42" t="shared"/>
        <v>0</v>
      </c>
      <c r="F37" s="25">
        <f si="42" t="shared"/>
        <v>0</v>
      </c>
      <c r="G37" s="25">
        <f si="42" t="shared"/>
        <v>0</v>
      </c>
      <c r="H37" s="25">
        <f ref="H37:I37" si="43" t="shared">H23/$J$28</f>
        <v>0</v>
      </c>
      <c r="I37" s="25">
        <f si="43" t="shared"/>
        <v>0</v>
      </c>
      <c r="J37" s="25">
        <f si="42" t="shared"/>
        <v>0</v>
      </c>
      <c r="L37" t="str">
        <f>$A$10</f>
        <v>Redmond</v>
      </c>
      <c r="M37" s="25" t="e">
        <f si="29" t="shared"/>
        <v>#DIV/0!</v>
      </c>
      <c r="N37" s="25" t="e">
        <f si="29" t="shared"/>
        <v>#DIV/0!</v>
      </c>
      <c r="O37" s="25" t="e">
        <f si="29" t="shared"/>
        <v>#DIV/0!</v>
      </c>
      <c r="P37" s="25" t="e">
        <f si="29" t="shared"/>
        <v>#DIV/0!</v>
      </c>
      <c r="Q37" s="25" t="e">
        <f si="29" t="shared"/>
        <v>#DIV/0!</v>
      </c>
      <c r="R37" s="25" t="e">
        <f si="29" t="shared"/>
        <v>#DIV/0!</v>
      </c>
      <c r="S37" s="25" t="e">
        <f ref="S37" si="44" t="shared">S23/$U$28</f>
        <v>#DIV/0!</v>
      </c>
      <c r="T37" s="25" t="e">
        <f si="30" t="shared"/>
        <v>#DIV/0!</v>
      </c>
      <c r="U37" s="25" t="e">
        <f ref="U37:U40" si="45" t="shared">SUM(M37:T37)</f>
        <v>#DIV/0!</v>
      </c>
      <c r="W37" t="str">
        <f>$A$10</f>
        <v>Redmond</v>
      </c>
      <c r="X37" s="25">
        <f si="31" t="shared"/>
        <v>0</v>
      </c>
      <c r="Y37" s="25">
        <f si="31" t="shared"/>
        <v>0</v>
      </c>
      <c r="Z37" s="25">
        <f si="31" t="shared"/>
        <v>0</v>
      </c>
      <c r="AA37" s="25">
        <f si="31" t="shared"/>
        <v>0</v>
      </c>
      <c r="AB37" s="25">
        <f si="31" t="shared"/>
        <v>0</v>
      </c>
      <c r="AC37" s="25">
        <f si="31" t="shared"/>
        <v>0</v>
      </c>
      <c r="AD37" s="25">
        <f ref="AD37:AE37" si="46" t="shared">AD10/$AF$15</f>
        <v>0</v>
      </c>
      <c r="AE37" s="25">
        <f si="46" t="shared"/>
        <v>0</v>
      </c>
      <c r="AF37" s="25">
        <f ref="AF37:AF40" si="47" t="shared">SUM(X37:AE37)</f>
        <v>0</v>
      </c>
    </row>
    <row r="38" spans="1:32" x14ac:dyDescent="0.25">
      <c r="A38" s="93" t="str">
        <f si="33" t="shared"/>
        <v>Seattle</v>
      </c>
      <c r="B38" s="25">
        <f ref="B38:J38" si="48" t="shared">B24/$J$28</f>
        <v>6.2530086038956644E-3</v>
      </c>
      <c r="C38" s="25">
        <f si="48" t="shared"/>
        <v>3.5793029119494352E-3</v>
      </c>
      <c r="D38" s="25">
        <f si="48" t="shared"/>
        <v>4.1187817389719801E-3</v>
      </c>
      <c r="E38" s="25">
        <f si="48" t="shared"/>
        <v>6.0055127025082792E-3</v>
      </c>
      <c r="F38" s="25">
        <f si="48" t="shared"/>
        <v>8.5489636338903538E-2</v>
      </c>
      <c r="G38" s="25">
        <f si="48" t="shared"/>
        <v>5.8795422835776205E-2</v>
      </c>
      <c r="H38" s="25">
        <f ref="H38:I38" si="49" t="shared">H24/$J$28</f>
        <v>2.8112261841433828E-2</v>
      </c>
      <c r="I38" s="25">
        <f si="49" t="shared"/>
        <v>2.53487474070738E-2</v>
      </c>
      <c r="J38" s="25">
        <f si="48" t="shared"/>
        <v>0.21770267438051272</v>
      </c>
      <c r="L38" t="str">
        <f>$A$11</f>
        <v>Seattle</v>
      </c>
      <c r="M38" s="25" t="e">
        <f si="29" t="shared"/>
        <v>#DIV/0!</v>
      </c>
      <c r="N38" s="25" t="e">
        <f si="29" t="shared"/>
        <v>#DIV/0!</v>
      </c>
      <c r="O38" s="25" t="e">
        <f si="29" t="shared"/>
        <v>#DIV/0!</v>
      </c>
      <c r="P38" s="25" t="e">
        <f si="29" t="shared"/>
        <v>#DIV/0!</v>
      </c>
      <c r="Q38" s="25" t="e">
        <f si="29" t="shared"/>
        <v>#DIV/0!</v>
      </c>
      <c r="R38" s="25" t="e">
        <f si="29" t="shared"/>
        <v>#DIV/0!</v>
      </c>
      <c r="S38" s="25" t="e">
        <f ref="S38" si="50" t="shared">S24/$U$28</f>
        <v>#DIV/0!</v>
      </c>
      <c r="T38" s="25" t="e">
        <f si="30" t="shared"/>
        <v>#DIV/0!</v>
      </c>
      <c r="U38" s="25" t="e">
        <f si="45" t="shared"/>
        <v>#DIV/0!</v>
      </c>
      <c r="W38" t="str">
        <f>$A$11</f>
        <v>Seattle</v>
      </c>
      <c r="X38" s="25">
        <f si="31" t="shared"/>
        <v>7.4239519714129603E-3</v>
      </c>
      <c r="Y38" s="25">
        <f si="31" t="shared"/>
        <v>3.8069342255925057E-3</v>
      </c>
      <c r="Z38" s="25">
        <f si="31" t="shared"/>
        <v>4.7534435422558023E-3</v>
      </c>
      <c r="AA38" s="25">
        <f si="31" t="shared"/>
        <v>6.3366954901289529E-3</v>
      </c>
      <c r="AB38" s="25">
        <f si="31" t="shared"/>
        <v>0.10152357269160821</v>
      </c>
      <c r="AC38" s="25">
        <f si="31" t="shared"/>
        <v>5.4837922571850196E-2</v>
      </c>
      <c r="AD38" s="25">
        <f ref="AD38:AE38" si="51" t="shared">AD11/$AF$15</f>
        <v>3.9020153887664097E-2</v>
      </c>
      <c r="AE38" s="25">
        <f si="51" t="shared"/>
        <v>0</v>
      </c>
      <c r="AF38" s="25">
        <f si="47" t="shared"/>
        <v>0.21770267438051272</v>
      </c>
    </row>
    <row r="39" spans="1:32" x14ac:dyDescent="0.25">
      <c r="A39" s="93" t="str">
        <f si="33" t="shared"/>
        <v>Seattle Downtown</v>
      </c>
      <c r="B39" s="25">
        <f ref="B39:J40" si="52" t="shared">B25/$J$28</f>
        <v>4.4069259991676141E-4</v>
      </c>
      <c r="C39" s="25">
        <f si="52" t="shared"/>
        <v>3.2106019401075041E-4</v>
      </c>
      <c r="D39" s="25">
        <f si="52" t="shared"/>
        <v>2.0564211528212078E-4</v>
      </c>
      <c r="E39" s="25">
        <f si="52" t="shared"/>
        <v>9.9385514409066266E-4</v>
      </c>
      <c r="F39" s="25">
        <f si="52" t="shared"/>
        <v>2.9621354964484443E-3</v>
      </c>
      <c r="G39" s="25">
        <f si="52" t="shared"/>
        <v>6.0781014429134028E-3</v>
      </c>
      <c r="H39" s="25">
        <f ref="H39:I40" si="53" t="shared">H25/$J$28</f>
        <v>9.7259064975808367E-4</v>
      </c>
      <c r="I39" s="25">
        <f si="53" t="shared"/>
        <v>1.1666529082344088E-2</v>
      </c>
      <c r="J39" s="25">
        <f si="52" t="shared"/>
        <v>2.3640606724764316E-2</v>
      </c>
      <c r="L39" t="str">
        <f>$A$12</f>
        <v>Seattle Downtown</v>
      </c>
      <c r="M39" s="25" t="e">
        <f si="29" t="shared"/>
        <v>#DIV/0!</v>
      </c>
      <c r="N39" s="25" t="e">
        <f si="29" t="shared"/>
        <v>#DIV/0!</v>
      </c>
      <c r="O39" s="25" t="e">
        <f si="29" t="shared"/>
        <v>#DIV/0!</v>
      </c>
      <c r="P39" s="25" t="e">
        <f si="29" t="shared"/>
        <v>#DIV/0!</v>
      </c>
      <c r="Q39" s="25" t="e">
        <f si="29" t="shared"/>
        <v>#DIV/0!</v>
      </c>
      <c r="R39" s="25" t="e">
        <f si="29" t="shared"/>
        <v>#DIV/0!</v>
      </c>
      <c r="S39" s="25" t="e">
        <f ref="S39" si="54" t="shared">S25/$U$28</f>
        <v>#DIV/0!</v>
      </c>
      <c r="T39" s="25" t="e">
        <f si="30" t="shared"/>
        <v>#DIV/0!</v>
      </c>
      <c r="U39" s="25" t="e">
        <f si="45" t="shared"/>
        <v>#DIV/0!</v>
      </c>
      <c r="W39" t="str">
        <f>$A$12</f>
        <v>Seattle Downtown</v>
      </c>
      <c r="X39" s="25">
        <f si="31" t="shared"/>
        <v>6.6685883674004985E-4</v>
      </c>
      <c r="Y39" s="25">
        <f si="31" t="shared"/>
        <v>3.3988289098363828E-4</v>
      </c>
      <c r="Z39" s="25">
        <f si="31" t="shared"/>
        <v>2.8272356212020544E-4</v>
      </c>
      <c r="AA39" s="25">
        <f si="31" t="shared"/>
        <v>4.4313845280145246E-4</v>
      </c>
      <c r="AB39" s="25">
        <f si="31" t="shared"/>
        <v>6.0121780101301085E-3</v>
      </c>
      <c r="AC39" s="25">
        <f si="31" t="shared"/>
        <v>1.317676184411975E-2</v>
      </c>
      <c r="AD39" s="25">
        <f ref="AD39:AE40" si="55" t="shared">AD12/$AF$15</f>
        <v>2.7190631278691062E-3</v>
      </c>
      <c r="AE39" s="25">
        <f si="55" t="shared"/>
        <v>0</v>
      </c>
      <c r="AF39" s="25">
        <f si="47" t="shared"/>
        <v>2.3640606724764309E-2</v>
      </c>
    </row>
    <row r="40" spans="1:32" x14ac:dyDescent="0.25">
      <c r="A40" s="93" t="str">
        <f si="33" t="shared"/>
        <v>Rest</v>
      </c>
      <c r="B40" s="25">
        <f si="52" t="shared"/>
        <v>1.9153025448617564E-2</v>
      </c>
      <c r="C40" s="25">
        <f si="52" t="shared"/>
        <v>1.2023902958047341E-2</v>
      </c>
      <c r="D40" s="25">
        <f si="52" t="shared"/>
        <v>1.8985723395953766E-2</v>
      </c>
      <c r="E40" s="25">
        <f si="52" t="shared"/>
        <v>2.5240514555966365E-2</v>
      </c>
      <c r="F40" s="25">
        <f si="52" t="shared"/>
        <v>7.6176900830838001E-2</v>
      </c>
      <c r="G40" s="25">
        <f si="52" t="shared"/>
        <v>5.6489954817291875E-2</v>
      </c>
      <c r="H40" s="25">
        <f si="53" t="shared"/>
        <v>0.5505866968880081</v>
      </c>
      <c r="I40" s="25">
        <f si="53" t="shared"/>
        <v>0</v>
      </c>
      <c r="J40" s="25">
        <f ref="J40" si="56" t="shared">J26/$J$28</f>
        <v>0.75865671889472297</v>
      </c>
      <c r="L40" t="str">
        <f>$A$13</f>
        <v>Rest</v>
      </c>
      <c r="M40" s="25" t="e">
        <f si="29" t="shared"/>
        <v>#DIV/0!</v>
      </c>
      <c r="N40" s="25" t="e">
        <f si="29" t="shared"/>
        <v>#DIV/0!</v>
      </c>
      <c r="O40" s="25" t="e">
        <f si="29" t="shared"/>
        <v>#DIV/0!</v>
      </c>
      <c r="P40" s="25" t="e">
        <f si="29" t="shared"/>
        <v>#DIV/0!</v>
      </c>
      <c r="Q40" s="25" t="e">
        <f si="29" t="shared"/>
        <v>#DIV/0!</v>
      </c>
      <c r="R40" s="25" t="e">
        <f si="29" t="shared"/>
        <v>#DIV/0!</v>
      </c>
      <c r="S40" s="25" t="e">
        <f ref="S40" si="57" t="shared">S26/$U$28</f>
        <v>#DIV/0!</v>
      </c>
      <c r="T40" s="25" t="e">
        <f si="29" t="shared"/>
        <v>#DIV/0!</v>
      </c>
      <c r="U40" s="25" t="e">
        <f si="45" t="shared"/>
        <v>#DIV/0!</v>
      </c>
      <c r="W40" t="str">
        <f>$A$13</f>
        <v>Rest</v>
      </c>
      <c r="X40" s="25">
        <f si="31" t="shared"/>
        <v>2.5118144645062079E-2</v>
      </c>
      <c r="Y40" s="25">
        <f si="31" t="shared"/>
        <v>1.1567081389352753E-2</v>
      </c>
      <c r="Z40" s="25">
        <f si="31" t="shared"/>
        <v>1.8142248057965705E-2</v>
      </c>
      <c r="AA40" s="25">
        <f si="31" t="shared"/>
        <v>2.6520084743314663E-2</v>
      </c>
      <c r="AB40" s="25">
        <f si="31" t="shared"/>
        <v>7.6828898773287052E-2</v>
      </c>
      <c r="AC40" s="25">
        <f si="31" t="shared"/>
        <v>3.9198392655087705E-2</v>
      </c>
      <c r="AD40" s="25">
        <f si="55" t="shared"/>
        <v>0.56128186863065299</v>
      </c>
      <c r="AE40" s="25">
        <f si="55" t="shared"/>
        <v>0</v>
      </c>
      <c r="AF40" s="25">
        <f si="47" t="shared"/>
        <v>0.75865671889472297</v>
      </c>
    </row>
    <row r="41" spans="1:32" x14ac:dyDescent="0.25">
      <c r="A41" s="91" t="str">
        <f si="33" t="shared"/>
        <v>Outside</v>
      </c>
      <c r="B41" s="26"/>
      <c r="C41" s="26"/>
      <c r="D41" s="26"/>
      <c r="E41" s="26"/>
      <c r="F41" s="26"/>
      <c r="G41" s="26"/>
      <c r="H41" s="26"/>
      <c r="I41" s="26"/>
      <c r="J41" s="26">
        <f>SUM(B41:I41)</f>
        <v>0</v>
      </c>
      <c r="L41" s="43" t="s">
        <v>17</v>
      </c>
      <c r="M41" s="25" t="e">
        <f si="29" t="shared"/>
        <v>#DIV/0!</v>
      </c>
      <c r="N41" s="25" t="e">
        <f si="29" t="shared"/>
        <v>#DIV/0!</v>
      </c>
      <c r="O41" s="25" t="e">
        <f si="29" t="shared"/>
        <v>#DIV/0!</v>
      </c>
      <c r="P41" s="25" t="e">
        <f si="29" t="shared"/>
        <v>#DIV/0!</v>
      </c>
      <c r="Q41" s="25" t="e">
        <f si="29" t="shared"/>
        <v>#DIV/0!</v>
      </c>
      <c r="R41" s="25" t="e">
        <f si="29" t="shared"/>
        <v>#DIV/0!</v>
      </c>
      <c r="S41" s="25" t="e">
        <f si="29" t="shared"/>
        <v>#DIV/0!</v>
      </c>
      <c r="T41" s="25" t="e">
        <f si="29" t="shared"/>
        <v>#DIV/0!</v>
      </c>
      <c r="U41" s="40" t="e">
        <f>SUM(M41:T41)</f>
        <v>#DIV/0!</v>
      </c>
      <c r="W41" s="8" t="s">
        <v>17</v>
      </c>
      <c r="X41" s="26"/>
      <c r="Y41" s="26"/>
      <c r="Z41" s="26"/>
      <c r="AA41" s="26"/>
      <c r="AB41" s="26"/>
      <c r="AC41" s="26"/>
      <c r="AD41" s="26"/>
      <c r="AE41" s="26"/>
      <c r="AF41" s="26">
        <f>SUM(X41:AE41)</f>
        <v>0</v>
      </c>
    </row>
    <row ht="15.75" r="42" spans="1:32" thickBot="1" x14ac:dyDescent="0.3">
      <c r="A42" s="1" t="s">
        <v>4</v>
      </c>
      <c r="B42" s="27">
        <f>SUM(B34:B41)</f>
        <v>2.5846726652429989E-2</v>
      </c>
      <c r="C42" s="27">
        <f>SUM(C34:C41)</f>
        <v>1.5924266064007528E-2</v>
      </c>
      <c r="D42" s="27">
        <f>SUM(D34:D41)</f>
        <v>2.3310147250207865E-2</v>
      </c>
      <c r="E42" s="27">
        <f ref="E42:H42" si="58" t="shared">SUM(E34:E41)</f>
        <v>3.2239882402565305E-2</v>
      </c>
      <c r="F42" s="27">
        <f si="58" t="shared"/>
        <v>0.16462867266618997</v>
      </c>
      <c r="G42" s="27">
        <f si="58" t="shared"/>
        <v>0.1213634790959815</v>
      </c>
      <c r="H42" s="27">
        <f si="58" t="shared"/>
        <v>0.57967154937919996</v>
      </c>
      <c r="I42" s="27">
        <f>SUM(I34:I41)</f>
        <v>3.7015276489417888E-2</v>
      </c>
      <c r="J42" s="27">
        <f>SUM(J34:J41)</f>
        <v>1</v>
      </c>
      <c r="L42" s="44" t="s">
        <v>4</v>
      </c>
      <c r="M42" s="45" t="e">
        <f>SUM(M34:M41)</f>
        <v>#DIV/0!</v>
      </c>
      <c r="N42" s="45" t="e">
        <f ref="N42:S42" si="59" t="shared">SUM(N34:N41)</f>
        <v>#DIV/0!</v>
      </c>
      <c r="O42" s="45" t="e">
        <f si="59" t="shared"/>
        <v>#DIV/0!</v>
      </c>
      <c r="P42" s="45" t="e">
        <f si="59" t="shared"/>
        <v>#DIV/0!</v>
      </c>
      <c r="Q42" s="45" t="e">
        <f si="59" t="shared"/>
        <v>#DIV/0!</v>
      </c>
      <c r="R42" s="45" t="e">
        <f si="59" t="shared"/>
        <v>#DIV/0!</v>
      </c>
      <c r="S42" s="45" t="e">
        <f si="59" t="shared"/>
        <v>#DIV/0!</v>
      </c>
      <c r="T42" s="45" t="e">
        <f>SUM(T34:T41)</f>
        <v>#DIV/0!</v>
      </c>
      <c r="U42" s="45" t="e">
        <f>SUM(U34:U41)</f>
        <v>#DIV/0!</v>
      </c>
      <c r="W42" s="1" t="s">
        <v>4</v>
      </c>
      <c r="X42" s="27">
        <f>SUM(X34:X41)</f>
        <v>3.3208955453215089E-2</v>
      </c>
      <c r="Y42" s="27">
        <f>SUM(Y34:Y41)</f>
        <v>1.5713898505928896E-2</v>
      </c>
      <c r="Z42" s="27">
        <f>SUM(Z34:Z41)</f>
        <v>2.3178415162341714E-2</v>
      </c>
      <c r="AA42" s="27">
        <f ref="AA42:AD42" si="60" t="shared">SUM(AA34:AA41)</f>
        <v>3.3299918686245066E-2</v>
      </c>
      <c r="AB42" s="27">
        <f si="60" t="shared"/>
        <v>0.18436464947502537</v>
      </c>
      <c r="AC42" s="27">
        <f si="60" t="shared"/>
        <v>0.10721307707105765</v>
      </c>
      <c r="AD42" s="27">
        <f si="60" t="shared"/>
        <v>0.60302108564618617</v>
      </c>
      <c r="AE42" s="27">
        <f>SUM(AE34:AE41)</f>
        <v>0</v>
      </c>
      <c r="AF42" s="27">
        <f>SUM(AF34:AF41)</f>
        <v>1</v>
      </c>
    </row>
    <row ht="15.75" r="46" spans="1:32" thickBot="1" x14ac:dyDescent="0.3">
      <c r="W46" s="29" t="s">
        <v>59</v>
      </c>
      <c r="X46" s="30"/>
      <c r="Y46" s="30"/>
      <c r="Z46" s="30"/>
      <c r="AA46" s="30"/>
      <c r="AB46" s="30"/>
      <c r="AC46" s="30"/>
      <c r="AD46" s="30"/>
      <c r="AE46" s="30"/>
      <c r="AF46" s="30"/>
    </row>
    <row r="47" spans="1:32" x14ac:dyDescent="0.25">
      <c r="W47" s="31" t="s">
        <v>15</v>
      </c>
      <c r="X47" s="2" t="str">
        <f>$A$7</f>
        <v>Bellevue</v>
      </c>
      <c r="Y47" s="2" t="str">
        <f>$A$8</f>
        <v>Bellevue Downtown</v>
      </c>
      <c r="Z47" s="2" t="str">
        <f>$A$9</f>
        <v>Kirkland</v>
      </c>
      <c r="AA47" s="2" t="str">
        <f>$A$10</f>
        <v>Redmond</v>
      </c>
      <c r="AB47" s="2" t="str">
        <f>$A$11</f>
        <v>Seattle</v>
      </c>
      <c r="AC47" s="2" t="str">
        <f>$A$12</f>
        <v>Seattle Downtown</v>
      </c>
      <c r="AD47" s="2" t="str">
        <f>$A$13</f>
        <v>Rest</v>
      </c>
      <c r="AE47" s="3" t="str">
        <f>$A$14</f>
        <v>Outside</v>
      </c>
      <c r="AF47" s="38" t="s">
        <v>4</v>
      </c>
    </row>
    <row r="48" spans="1:32" x14ac:dyDescent="0.25">
      <c r="W48" t="str">
        <f>$A$7</f>
        <v>Bellevue</v>
      </c>
      <c r="X48" s="33">
        <f>X34-B34</f>
        <v>0</v>
      </c>
      <c r="Y48" s="33">
        <f ref="Y48:AF48" si="61" t="shared">Y34-C34</f>
        <v>0</v>
      </c>
      <c r="Z48" s="33">
        <f si="61" t="shared"/>
        <v>0</v>
      </c>
      <c r="AA48" s="33">
        <f si="61" t="shared"/>
        <v>0</v>
      </c>
      <c r="AB48" s="33">
        <f si="61" t="shared"/>
        <v>0</v>
      </c>
      <c r="AC48" s="33">
        <f si="61" t="shared"/>
        <v>0</v>
      </c>
      <c r="AD48" s="33">
        <f si="61" t="shared"/>
        <v>0</v>
      </c>
      <c r="AE48" s="33">
        <f si="61" t="shared"/>
        <v>0</v>
      </c>
      <c r="AF48" s="33">
        <f si="61" t="shared"/>
        <v>0</v>
      </c>
    </row>
    <row r="49" spans="23:32" x14ac:dyDescent="0.25">
      <c r="W49" t="str">
        <f>$A$8</f>
        <v>Bellevue Downtown</v>
      </c>
      <c r="X49" s="33">
        <f ref="X49:AF49" si="62" t="shared">X35-B35</f>
        <v>0</v>
      </c>
      <c r="Y49" s="33">
        <f si="62" t="shared"/>
        <v>0</v>
      </c>
      <c r="Z49" s="33">
        <f si="62" t="shared"/>
        <v>0</v>
      </c>
      <c r="AA49" s="33">
        <f si="62" t="shared"/>
        <v>0</v>
      </c>
      <c r="AB49" s="33">
        <f si="62" t="shared"/>
        <v>0</v>
      </c>
      <c r="AC49" s="33">
        <f si="62" t="shared"/>
        <v>0</v>
      </c>
      <c r="AD49" s="33">
        <f si="62" t="shared"/>
        <v>0</v>
      </c>
      <c r="AE49" s="33">
        <f si="62" t="shared"/>
        <v>0</v>
      </c>
      <c r="AF49" s="33">
        <f si="62" t="shared"/>
        <v>0</v>
      </c>
    </row>
    <row r="50" spans="23:32" x14ac:dyDescent="0.25">
      <c r="W50" t="str">
        <f>$A$9</f>
        <v>Kirkland</v>
      </c>
      <c r="X50" s="33">
        <f ref="X50:AF50" si="63" t="shared">X36-B36</f>
        <v>0</v>
      </c>
      <c r="Y50" s="33">
        <f si="63" t="shared"/>
        <v>0</v>
      </c>
      <c r="Z50" s="33">
        <f si="63" t="shared"/>
        <v>0</v>
      </c>
      <c r="AA50" s="33">
        <f si="63" t="shared"/>
        <v>0</v>
      </c>
      <c r="AB50" s="33">
        <f si="63" t="shared"/>
        <v>0</v>
      </c>
      <c r="AC50" s="33">
        <f si="63" t="shared"/>
        <v>0</v>
      </c>
      <c r="AD50" s="33">
        <f si="63" t="shared"/>
        <v>0</v>
      </c>
      <c r="AE50" s="33">
        <f si="63" t="shared"/>
        <v>0</v>
      </c>
      <c r="AF50" s="33">
        <f si="63" t="shared"/>
        <v>0</v>
      </c>
    </row>
    <row r="51" spans="23:32" x14ac:dyDescent="0.25">
      <c r="W51" t="str">
        <f>$A$10</f>
        <v>Redmond</v>
      </c>
      <c r="X51" s="33">
        <f ref="X51:AF51" si="64" t="shared">X37-B37</f>
        <v>0</v>
      </c>
      <c r="Y51" s="33">
        <f si="64" t="shared"/>
        <v>0</v>
      </c>
      <c r="Z51" s="33">
        <f si="64" t="shared"/>
        <v>0</v>
      </c>
      <c r="AA51" s="33">
        <f si="64" t="shared"/>
        <v>0</v>
      </c>
      <c r="AB51" s="33">
        <f si="64" t="shared"/>
        <v>0</v>
      </c>
      <c r="AC51" s="33">
        <f si="64" t="shared"/>
        <v>0</v>
      </c>
      <c r="AD51" s="33">
        <f si="64" t="shared"/>
        <v>0</v>
      </c>
      <c r="AE51" s="33">
        <f si="64" t="shared"/>
        <v>0</v>
      </c>
      <c r="AF51" s="33">
        <f si="64" t="shared"/>
        <v>0</v>
      </c>
    </row>
    <row r="52" spans="23:32" x14ac:dyDescent="0.25">
      <c r="W52" t="str">
        <f>$A$11</f>
        <v>Seattle</v>
      </c>
      <c r="X52" s="33">
        <f ref="X52:AF52" si="65" t="shared">X38-B38</f>
        <v>1.1709433675172959E-3</v>
      </c>
      <c r="Y52" s="33">
        <f si="65" t="shared"/>
        <v>2.2763131364307056E-4</v>
      </c>
      <c r="Z52" s="33">
        <f si="65" t="shared"/>
        <v>6.3466180328382218E-4</v>
      </c>
      <c r="AA52" s="33">
        <f si="65" t="shared"/>
        <v>3.3118278762067372E-4</v>
      </c>
      <c r="AB52" s="33">
        <f si="65" t="shared"/>
        <v>1.603393635270467E-2</v>
      </c>
      <c r="AC52" s="33">
        <f si="65" t="shared"/>
        <v>-3.9575002639260087E-3</v>
      </c>
      <c r="AD52" s="33">
        <f si="65" t="shared"/>
        <v>1.0907892046230269E-2</v>
      </c>
      <c r="AE52" s="33">
        <f si="65" t="shared"/>
        <v>-2.53487474070738E-2</v>
      </c>
      <c r="AF52" s="33">
        <f si="65" t="shared"/>
        <v>0</v>
      </c>
    </row>
    <row r="53" spans="23:32" x14ac:dyDescent="0.25">
      <c r="W53" t="str">
        <f>$A$12</f>
        <v>Seattle Downtown</v>
      </c>
      <c r="X53" s="33">
        <f ref="X53:AF53" si="66" t="shared">X39-B39</f>
        <v>2.2616623682328844E-4</v>
      </c>
      <c r="Y53" s="33">
        <f si="66" t="shared"/>
        <v>1.8822696972887868E-5</v>
      </c>
      <c r="Z53" s="33">
        <f si="66" t="shared"/>
        <v>7.7081446838084657E-5</v>
      </c>
      <c r="AA53" s="33">
        <f si="66" t="shared"/>
        <v>-5.5071669128921026E-4</v>
      </c>
      <c r="AB53" s="33">
        <f si="66" t="shared"/>
        <v>3.0500425136816642E-3</v>
      </c>
      <c r="AC53" s="33">
        <f si="66" t="shared"/>
        <v>7.0986604012063474E-3</v>
      </c>
      <c r="AD53" s="33">
        <f si="66" t="shared"/>
        <v>1.7464724781110226E-3</v>
      </c>
      <c r="AE53" s="33">
        <f si="66" t="shared"/>
        <v>-1.1666529082344088E-2</v>
      </c>
      <c r="AF53" s="33">
        <f si="66" t="shared"/>
        <v>0</v>
      </c>
    </row>
    <row r="54" spans="23:32" x14ac:dyDescent="0.25">
      <c r="W54" t="str">
        <f>$A$13</f>
        <v>Rest</v>
      </c>
      <c r="X54" s="33">
        <f ref="X54:AF54" si="67" t="shared">X40-B40</f>
        <v>5.9651191964445148E-3</v>
      </c>
      <c r="Y54" s="33">
        <f si="67" t="shared"/>
        <v>-4.5682156869458757E-4</v>
      </c>
      <c r="Z54" s="33">
        <f si="67" t="shared"/>
        <v>-8.4347533798806093E-4</v>
      </c>
      <c r="AA54" s="33">
        <f si="67" t="shared"/>
        <v>1.2795701873482973E-3</v>
      </c>
      <c r="AB54" s="33">
        <f si="67" t="shared"/>
        <v>6.5199794244905074E-4</v>
      </c>
      <c r="AC54" s="33">
        <f si="67" t="shared"/>
        <v>-1.729156216220417E-2</v>
      </c>
      <c r="AD54" s="33">
        <f si="67" t="shared"/>
        <v>1.0695171742644893E-2</v>
      </c>
      <c r="AE54" s="33">
        <f si="67" t="shared"/>
        <v>0</v>
      </c>
      <c r="AF54" s="33">
        <f si="67" t="shared"/>
        <v>0</v>
      </c>
    </row>
    <row r="55" spans="23:32" x14ac:dyDescent="0.25">
      <c r="W55" s="34" t="s">
        <v>17</v>
      </c>
      <c r="X55" s="39">
        <f ref="X55:AF55" si="68" t="shared">X41-B41</f>
        <v>0</v>
      </c>
      <c r="Y55" s="39">
        <f si="68" t="shared"/>
        <v>0</v>
      </c>
      <c r="Z55" s="39">
        <f si="68" t="shared"/>
        <v>0</v>
      </c>
      <c r="AA55" s="39">
        <f si="68" t="shared"/>
        <v>0</v>
      </c>
      <c r="AB55" s="39">
        <f si="68" t="shared"/>
        <v>0</v>
      </c>
      <c r="AC55" s="39">
        <f si="68" t="shared"/>
        <v>0</v>
      </c>
      <c r="AD55" s="39">
        <f si="68" t="shared"/>
        <v>0</v>
      </c>
      <c r="AE55" s="39">
        <f si="68" t="shared"/>
        <v>0</v>
      </c>
      <c r="AF55" s="33">
        <f si="68" t="shared"/>
        <v>0</v>
      </c>
    </row>
    <row ht="15.75" r="56" spans="23:32" thickBot="1" x14ac:dyDescent="0.3">
      <c r="W56" s="30" t="s">
        <v>4</v>
      </c>
      <c r="X56" s="35">
        <f ref="X56:AF56" si="69" t="shared">X42-B42</f>
        <v>7.3622288007850999E-3</v>
      </c>
      <c r="Y56" s="35">
        <f si="69" t="shared"/>
        <v>-2.1036755807863142E-4</v>
      </c>
      <c r="Z56" s="35">
        <f si="69" t="shared"/>
        <v>-1.3173208786615084E-4</v>
      </c>
      <c r="AA56" s="35">
        <f si="69" t="shared"/>
        <v>1.0600362836797605E-3</v>
      </c>
      <c r="AB56" s="35">
        <f si="69" t="shared"/>
        <v>1.9735976808835404E-2</v>
      </c>
      <c r="AC56" s="35">
        <f si="69" t="shared"/>
        <v>-1.4150402024923847E-2</v>
      </c>
      <c r="AD56" s="35">
        <f si="69" t="shared"/>
        <v>2.3349536266986215E-2</v>
      </c>
      <c r="AE56" s="35">
        <f si="69" t="shared"/>
        <v>-3.7015276489417888E-2</v>
      </c>
      <c r="AF56" s="42">
        <f si="69" t="shared"/>
        <v>0</v>
      </c>
    </row>
  </sheetData>
  <pageMargins bottom="0.75" footer="0.3" header="0.3" left="0.7" right="0.7" top="0.75"/>
  <pageSetup orientation="portrait"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Z36"/>
  <sheetViews>
    <sheetView tabSelected="1" workbookViewId="0" zoomScaleNormal="100">
      <selection activeCell="T26" sqref="T26"/>
    </sheetView>
  </sheetViews>
  <sheetFormatPr defaultRowHeight="15" x14ac:dyDescent="0.25"/>
  <cols>
    <col min="2" max="2" bestFit="true" customWidth="true" width="9.5703125" collapsed="true"/>
    <col min="3" max="4" bestFit="true" customWidth="true" width="9.28515625" collapsed="true"/>
    <col min="5" max="5" bestFit="true" customWidth="true" width="9.5703125" collapsed="true"/>
    <col min="14" max="15" bestFit="true" customWidth="true" width="9.5703125" collapsed="true"/>
  </cols>
  <sheetData>
    <row r="1" spans="1:26" x14ac:dyDescent="0.25">
      <c r="A1" t="s">
        <v>24</v>
      </c>
    </row>
    <row r="2" spans="1:26" x14ac:dyDescent="0.25">
      <c r="A2" t="s">
        <v>273</v>
      </c>
    </row>
    <row r="3" spans="1:26" x14ac:dyDescent="0.25">
      <c r="A3" t="s">
        <v>39</v>
      </c>
    </row>
    <row ht="15.75" r="5" spans="1:26" thickBot="1" x14ac:dyDescent="0.3">
      <c r="A5" s="4" t="s">
        <v>216</v>
      </c>
      <c r="B5" s="1"/>
      <c r="C5" s="1"/>
      <c r="D5" s="1"/>
      <c r="E5" s="1"/>
      <c r="H5" s="4" t="s">
        <v>40</v>
      </c>
      <c r="I5" s="1"/>
      <c r="J5" s="1"/>
      <c r="K5" s="1"/>
      <c r="L5" s="1"/>
      <c r="O5" s="4" t="s">
        <v>60</v>
      </c>
      <c r="P5" s="1"/>
      <c r="Q5" s="1"/>
      <c r="R5" s="1"/>
      <c r="S5" s="1"/>
      <c r="V5" s="4" t="s">
        <v>63</v>
      </c>
      <c r="W5" s="1"/>
      <c r="X5" s="1"/>
      <c r="Y5" s="1"/>
      <c r="Z5" s="1"/>
    </row>
    <row r="6" spans="1:26" x14ac:dyDescent="0.25">
      <c r="A6" s="2"/>
      <c r="B6" s="3" t="s">
        <v>9</v>
      </c>
      <c r="C6" s="3" t="s">
        <v>10</v>
      </c>
      <c r="D6" s="3" t="s">
        <v>11</v>
      </c>
      <c r="E6" s="3" t="s">
        <v>4</v>
      </c>
      <c r="H6" s="2"/>
      <c r="I6" s="3" t="s">
        <v>9</v>
      </c>
      <c r="J6" s="3" t="s">
        <v>10</v>
      </c>
      <c r="K6" s="3" t="s">
        <v>11</v>
      </c>
      <c r="L6" s="3" t="s">
        <v>4</v>
      </c>
      <c r="O6" s="2"/>
      <c r="P6" s="3" t="s">
        <v>9</v>
      </c>
      <c r="Q6" s="3" t="s">
        <v>10</v>
      </c>
      <c r="R6" s="3" t="s">
        <v>11</v>
      </c>
      <c r="S6" s="3" t="s">
        <v>4</v>
      </c>
      <c r="V6" s="2"/>
      <c r="W6" s="3" t="s">
        <v>9</v>
      </c>
      <c r="X6" s="3" t="s">
        <v>10</v>
      </c>
      <c r="Y6" s="3" t="s">
        <v>11</v>
      </c>
      <c r="Z6" s="3" t="s">
        <v>4</v>
      </c>
    </row>
    <row r="7" spans="1:26" x14ac:dyDescent="0.25">
      <c r="A7" s="41" t="s">
        <v>280</v>
      </c>
      <c r="B7" s="15" t="n">
        <v>0.0</v>
      </c>
      <c r="C7" s="15" t="n">
        <v>0.0</v>
      </c>
      <c r="D7" s="15" t="n">
        <v>0.0</v>
      </c>
      <c r="E7" s="15">
        <f>SUM(B7:D7)</f>
        <v>0</v>
      </c>
      <c r="F7" s="15"/>
      <c r="G7" s="15"/>
      <c r="H7" t="str">
        <f>$A$7</f>
        <v>Bellevue</v>
      </c>
      <c r="I7" s="15" t="n">
        <v>0.0</v>
      </c>
      <c r="J7" s="15" t="n">
        <v>0.0</v>
      </c>
      <c r="K7" s="15" t="n">
        <v>0.0</v>
      </c>
      <c r="L7" s="15">
        <f>SUM(I7:K7)</f>
        <v>0</v>
      </c>
      <c r="O7" t="str">
        <f>$A$7</f>
        <v>Bellevue</v>
      </c>
      <c r="P7" s="15">
        <f>I7-B7</f>
        <v>0</v>
      </c>
      <c r="Q7" s="15">
        <f ref="Q7:Q14" si="0" t="shared">J7-C7</f>
        <v>0</v>
      </c>
      <c r="R7" s="15">
        <f ref="R7:R14" si="1" t="shared">K7-D7</f>
        <v>0</v>
      </c>
      <c r="S7" s="15">
        <f ref="S7:S14" si="2" t="shared">L7-E7</f>
        <v>0</v>
      </c>
      <c r="V7" t="str">
        <f>$A$7</f>
        <v>Bellevue</v>
      </c>
      <c r="W7" s="15"/>
      <c r="X7" s="15"/>
      <c r="Y7" s="15"/>
      <c r="Z7" s="15"/>
    </row>
    <row r="8" spans="1:26" x14ac:dyDescent="0.25">
      <c r="A8" t="s">
        <v>281</v>
      </c>
      <c r="B8" s="15" t="n">
        <v>0.0</v>
      </c>
      <c r="C8" s="15" t="n">
        <v>0.0</v>
      </c>
      <c r="D8" s="15" t="n">
        <v>0.0</v>
      </c>
      <c r="E8" s="15">
        <f ref="E8:E11" si="3" t="shared">SUM(B8:D8)</f>
        <v>0</v>
      </c>
      <c r="F8" s="15"/>
      <c r="G8" s="15"/>
      <c r="H8" t="str">
        <f>$A$8</f>
        <v>Bellevue Downtown</v>
      </c>
      <c r="I8" s="15" t="n">
        <v>0.0</v>
      </c>
      <c r="J8" s="15" t="n">
        <v>0.0</v>
      </c>
      <c r="K8" s="15" t="n">
        <v>0.0</v>
      </c>
      <c r="L8" s="15">
        <f ref="L8:L13" si="4" t="shared">SUM(I8:K8)</f>
        <v>0</v>
      </c>
      <c r="O8" t="str">
        <f>$A$8</f>
        <v>Bellevue Downtown</v>
      </c>
      <c r="P8" s="15">
        <f ref="P8:P14" si="5" t="shared">I8-B8</f>
        <v>0</v>
      </c>
      <c r="Q8" s="15">
        <f si="0" t="shared"/>
        <v>0</v>
      </c>
      <c r="R8" s="15">
        <f si="1" t="shared"/>
        <v>0</v>
      </c>
      <c r="S8" s="15">
        <f si="2" t="shared"/>
        <v>0</v>
      </c>
      <c r="V8" t="str">
        <f>$A$8</f>
        <v>Bellevue Downtown</v>
      </c>
      <c r="W8" s="15"/>
      <c r="X8" s="15"/>
      <c r="Y8" s="15"/>
      <c r="Z8" s="15"/>
    </row>
    <row r="9" spans="1:26" x14ac:dyDescent="0.25">
      <c r="A9" t="s">
        <v>282</v>
      </c>
      <c r="B9" s="15" t="n">
        <v>0.0</v>
      </c>
      <c r="C9" s="15" t="n">
        <v>0.0</v>
      </c>
      <c r="D9" s="15" t="n">
        <v>0.0</v>
      </c>
      <c r="E9" s="15">
        <f si="3" t="shared"/>
        <v>0</v>
      </c>
      <c r="F9" s="15"/>
      <c r="G9" s="15"/>
      <c r="H9" t="str">
        <f>$A$9</f>
        <v>Kirkland</v>
      </c>
      <c r="I9" s="15" t="n">
        <v>0.0</v>
      </c>
      <c r="J9" s="15" t="n">
        <v>0.0</v>
      </c>
      <c r="K9" s="15" t="n">
        <v>0.0</v>
      </c>
      <c r="L9" s="15">
        <f si="4" t="shared"/>
        <v>0</v>
      </c>
      <c r="O9" t="str">
        <f>$A$9</f>
        <v>Kirkland</v>
      </c>
      <c r="P9" s="15">
        <f ref="P9:P11" si="6" t="shared">I9-B9</f>
        <v>0</v>
      </c>
      <c r="Q9" s="15">
        <f ref="Q9:Q11" si="7" t="shared">J9-C9</f>
        <v>0</v>
      </c>
      <c r="R9" s="15">
        <f ref="R9:R11" si="8" t="shared">K9-D9</f>
        <v>0</v>
      </c>
      <c r="S9" s="15">
        <f ref="S9:S11" si="9" t="shared">L9-E9</f>
        <v>0</v>
      </c>
      <c r="V9" t="str">
        <f>$A$9</f>
        <v>Kirkland</v>
      </c>
      <c r="W9" s="15"/>
      <c r="X9" s="15"/>
      <c r="Y9" s="15"/>
      <c r="Z9" s="15"/>
    </row>
    <row r="10" spans="1:26" x14ac:dyDescent="0.25">
      <c r="A10" t="s">
        <v>283</v>
      </c>
      <c r="B10" s="15" t="n">
        <v>0.0</v>
      </c>
      <c r="C10" s="15" t="n">
        <v>0.0</v>
      </c>
      <c r="D10" s="15" t="n">
        <v>0.0</v>
      </c>
      <c r="E10" s="15">
        <f si="3" t="shared"/>
        <v>0</v>
      </c>
      <c r="F10" s="15"/>
      <c r="G10" s="15"/>
      <c r="H10" t="str">
        <f>$A$10</f>
        <v>Redmond</v>
      </c>
      <c r="I10" s="15" t="n">
        <v>0.0</v>
      </c>
      <c r="J10" s="15" t="n">
        <v>0.0</v>
      </c>
      <c r="K10" s="15" t="n">
        <v>0.0</v>
      </c>
      <c r="L10" s="15">
        <f si="4" t="shared"/>
        <v>0</v>
      </c>
      <c r="O10" t="str">
        <f>$A$10</f>
        <v>Redmond</v>
      </c>
      <c r="P10" s="15">
        <f si="6" t="shared"/>
        <v>0</v>
      </c>
      <c r="Q10" s="15">
        <f si="7" t="shared"/>
        <v>0</v>
      </c>
      <c r="R10" s="15">
        <f si="8" t="shared"/>
        <v>0</v>
      </c>
      <c r="S10" s="15">
        <f si="9" t="shared"/>
        <v>0</v>
      </c>
      <c r="V10" t="str">
        <f>$A$10</f>
        <v>Redmond</v>
      </c>
      <c r="W10" s="15"/>
      <c r="X10" s="15"/>
      <c r="Y10" s="15"/>
      <c r="Z10" s="15"/>
    </row>
    <row r="11" spans="1:26" x14ac:dyDescent="0.25">
      <c r="A11" t="s">
        <v>279</v>
      </c>
      <c r="B11" s="15" t="n">
        <v>212.42340000000002</v>
      </c>
      <c r="C11" s="15" t="n">
        <v>0.0</v>
      </c>
      <c r="D11" s="15" t="n">
        <v>0.0</v>
      </c>
      <c r="E11" s="15">
        <f si="3" t="shared"/>
        <v>212.42340000000002</v>
      </c>
      <c r="F11" s="15"/>
      <c r="G11" s="15"/>
      <c r="H11" t="str">
        <f>$A$11</f>
        <v>Seattle</v>
      </c>
      <c r="I11" s="15" t="n">
        <v>4722.0</v>
      </c>
      <c r="J11" s="15" t="n">
        <v>3727.0</v>
      </c>
      <c r="K11" s="15" t="n">
        <v>2035.0</v>
      </c>
      <c r="L11" s="15">
        <f si="4" t="shared"/>
        <v>11230</v>
      </c>
      <c r="O11" t="str">
        <f>$A$11</f>
        <v>Seattle</v>
      </c>
      <c r="P11" s="15">
        <f si="6" t="shared"/>
        <v>4843.5766000000003</v>
      </c>
      <c r="Q11" s="15">
        <f si="7" t="shared"/>
        <v>3989</v>
      </c>
      <c r="R11" s="15">
        <f si="8" t="shared"/>
        <v>2185</v>
      </c>
      <c r="S11" s="15">
        <f si="9" t="shared"/>
        <v>11017.5766</v>
      </c>
      <c r="V11" t="str">
        <f>$A$11</f>
        <v>Seattle</v>
      </c>
      <c r="W11" s="15"/>
      <c r="X11" s="15"/>
      <c r="Y11" s="15"/>
      <c r="Z11" s="15"/>
    </row>
    <row r="12" spans="1:26" x14ac:dyDescent="0.25">
      <c r="A12" t="s">
        <v>284</v>
      </c>
      <c r="B12" s="16" t="n">
        <v>0.0</v>
      </c>
      <c r="C12" s="16" t="n">
        <v>47.1777</v>
      </c>
      <c r="D12" s="16" t="n">
        <v>0.0</v>
      </c>
      <c r="E12" s="16">
        <f ref="E12:E13" si="10" t="shared">SUM(B12:D12)</f>
        <v>47.177700000000002</v>
      </c>
      <c r="F12" s="15"/>
      <c r="G12" s="15"/>
      <c r="H12" t="str">
        <f>$A$12</f>
        <v>Seattle Downtown</v>
      </c>
      <c r="I12" s="16" t="n">
        <v>421.0</v>
      </c>
      <c r="J12" s="16" t="n">
        <v>252.0</v>
      </c>
      <c r="K12" s="16" t="n">
        <v>147.0</v>
      </c>
      <c r="L12" s="16">
        <f si="4" t="shared"/>
        <v>832</v>
      </c>
      <c r="O12" t="str">
        <f>$A$12</f>
        <v>Seattle Downtown</v>
      </c>
      <c r="P12" s="16">
        <f si="5" t="shared"/>
        <v>427</v>
      </c>
      <c r="Q12" s="16">
        <f si="0" t="shared"/>
        <v>201.82229999999998</v>
      </c>
      <c r="R12" s="16">
        <f si="1" t="shared"/>
        <v>156</v>
      </c>
      <c r="S12" s="16">
        <f si="2" t="shared"/>
        <v>784.82230000000004</v>
      </c>
      <c r="V12" t="str">
        <f>$A$12</f>
        <v>Seattle Downtown</v>
      </c>
      <c r="W12" s="16"/>
      <c r="X12" s="16"/>
      <c r="Y12" s="16"/>
      <c r="Z12" s="16"/>
    </row>
    <row r="13" spans="1:26" x14ac:dyDescent="0.25">
      <c r="A13" s="6" t="s">
        <v>285</v>
      </c>
      <c r="B13" s="17" t="n">
        <v>1948.3502</v>
      </c>
      <c r="C13" s="17" t="n">
        <v>1971.7784000000001</v>
      </c>
      <c r="D13" s="17" t="n">
        <v>0.0</v>
      </c>
      <c r="E13" s="16">
        <f si="10" t="shared"/>
        <v>3920.1286</v>
      </c>
      <c r="F13" s="15"/>
      <c r="G13" s="15"/>
      <c r="H13" s="15" t="str">
        <f>$A$13</f>
        <v>Rest</v>
      </c>
      <c r="I13" s="17" t="n">
        <v>23507.0</v>
      </c>
      <c r="J13" s="17" t="n">
        <v>16663.0</v>
      </c>
      <c r="K13" s="17" t="n">
        <v>6110.0</v>
      </c>
      <c r="L13" s="16">
        <f si="4" t="shared"/>
        <v>53862</v>
      </c>
      <c r="O13" s="15" t="str">
        <f>H13</f>
        <v>Rest</v>
      </c>
      <c r="P13" s="16">
        <f ref="P13" si="11" t="shared">I13-B13</f>
        <v>24315.649799999999</v>
      </c>
      <c r="Q13" s="16">
        <f ref="Q13" si="12" t="shared">J13-C13</f>
        <v>18310.221600000001</v>
      </c>
      <c r="R13" s="16">
        <f ref="R13" si="13" t="shared">K13-D13</f>
        <v>7316</v>
      </c>
      <c r="S13" s="16">
        <f ref="S13" si="14" t="shared">L13-E13</f>
        <v>49941.871400000004</v>
      </c>
      <c r="V13" s="15" t="str">
        <f>$A$13</f>
        <v>Rest</v>
      </c>
      <c r="W13" s="17"/>
      <c r="X13" s="17"/>
      <c r="Y13" s="17"/>
      <c r="Z13" s="17"/>
    </row>
    <row ht="15.75" r="14" spans="1:26" thickBot="1" x14ac:dyDescent="0.3">
      <c r="A14" s="19" t="s">
        <v>4</v>
      </c>
      <c r="B14" s="19">
        <f>SUM(B7:B13)</f>
        <v>2160.7736</v>
      </c>
      <c r="C14" s="19">
        <f ref="C14:E14" si="15" t="shared">SUM(C7:C13)</f>
        <v>2018.9561000000001</v>
      </c>
      <c r="D14" s="19">
        <f si="15" t="shared"/>
        <v>0</v>
      </c>
      <c r="E14" s="19">
        <f si="15" t="shared"/>
        <v>4179.7296999999999</v>
      </c>
      <c r="F14" s="15"/>
      <c r="G14" s="15"/>
      <c r="H14" s="19" t="s">
        <v>4</v>
      </c>
      <c r="I14" s="19">
        <f>SUM(I7:I13)</f>
        <v>31747</v>
      </c>
      <c r="J14" s="19">
        <f ref="J14:L14" si="16" t="shared">SUM(J7:J13)</f>
        <v>24520</v>
      </c>
      <c r="K14" s="19">
        <f si="16" t="shared"/>
        <v>9657</v>
      </c>
      <c r="L14" s="19">
        <f si="16" t="shared"/>
        <v>65924</v>
      </c>
      <c r="O14" s="19" t="s">
        <v>4</v>
      </c>
      <c r="P14" s="19">
        <f si="5" t="shared"/>
        <v>29586.2264</v>
      </c>
      <c r="Q14" s="19">
        <f si="0" t="shared"/>
        <v>22501.043900000001</v>
      </c>
      <c r="R14" s="19">
        <f si="1" t="shared"/>
        <v>9657</v>
      </c>
      <c r="S14" s="19">
        <f si="2" t="shared"/>
        <v>61744.270300000004</v>
      </c>
      <c r="V14" s="19" t="s">
        <v>4</v>
      </c>
      <c r="W14" s="19">
        <f>SUM(W7:W13)</f>
        <v>0</v>
      </c>
      <c r="X14" s="19">
        <f ref="X14:Z14" si="17" t="shared">SUM(X7:X13)</f>
        <v>0</v>
      </c>
      <c r="Y14" s="19">
        <f si="17" t="shared"/>
        <v>0</v>
      </c>
      <c r="Z14" s="19">
        <f si="17" t="shared"/>
        <v>0</v>
      </c>
    </row>
    <row r="15" spans="1:26" x14ac:dyDescent="0.25"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O15" s="15"/>
      <c r="P15" s="15"/>
      <c r="Q15" s="15"/>
      <c r="R15" s="15"/>
      <c r="S15" s="15"/>
      <c r="W15" s="15"/>
      <c r="X15" s="15"/>
      <c r="Y15" s="15"/>
      <c r="Z15" s="15"/>
    </row>
    <row ht="15.75" r="16" spans="1:26" thickBot="1" x14ac:dyDescent="0.3">
      <c r="A16" s="4" t="s">
        <v>217</v>
      </c>
      <c r="B16" s="19"/>
      <c r="C16" s="19"/>
      <c r="D16" s="19"/>
      <c r="E16" s="19"/>
      <c r="F16" s="15"/>
      <c r="G16" s="15"/>
      <c r="H16" s="22" t="s">
        <v>41</v>
      </c>
      <c r="I16" s="19"/>
      <c r="J16" s="19"/>
      <c r="K16" s="19"/>
      <c r="L16" s="19"/>
      <c r="O16" s="22" t="s">
        <v>61</v>
      </c>
      <c r="P16" s="19"/>
      <c r="Q16" s="19"/>
      <c r="R16" s="19"/>
      <c r="S16" s="19"/>
      <c r="V16" s="4" t="s">
        <v>64</v>
      </c>
      <c r="W16" s="19"/>
      <c r="X16" s="19"/>
      <c r="Y16" s="19"/>
      <c r="Z16" s="19"/>
    </row>
    <row r="17" spans="1:26" x14ac:dyDescent="0.25">
      <c r="A17" s="2"/>
      <c r="B17" s="23" t="s">
        <v>9</v>
      </c>
      <c r="C17" s="23" t="s">
        <v>10</v>
      </c>
      <c r="D17" s="23" t="s">
        <v>11</v>
      </c>
      <c r="E17" s="23" t="s">
        <v>4</v>
      </c>
      <c r="F17" s="15"/>
      <c r="G17" s="15"/>
      <c r="H17" s="24"/>
      <c r="I17" s="23" t="s">
        <v>9</v>
      </c>
      <c r="J17" s="23" t="s">
        <v>10</v>
      </c>
      <c r="K17" s="23" t="s">
        <v>11</v>
      </c>
      <c r="L17" s="23" t="s">
        <v>4</v>
      </c>
      <c r="O17" s="24"/>
      <c r="P17" s="23" t="s">
        <v>9</v>
      </c>
      <c r="Q17" s="23" t="s">
        <v>10</v>
      </c>
      <c r="R17" s="23" t="s">
        <v>11</v>
      </c>
      <c r="S17" s="23" t="s">
        <v>4</v>
      </c>
      <c r="V17" s="2"/>
      <c r="W17" s="23" t="s">
        <v>9</v>
      </c>
      <c r="X17" s="23" t="s">
        <v>10</v>
      </c>
      <c r="Y17" s="23" t="s">
        <v>11</v>
      </c>
      <c r="Z17" s="23" t="s">
        <v>4</v>
      </c>
    </row>
    <row r="18" spans="1:26" x14ac:dyDescent="0.25">
      <c r="A18" t="str">
        <f>$A$7</f>
        <v>Bellevue</v>
      </c>
      <c r="B18" s="15" t="n">
        <v>0.0</v>
      </c>
      <c r="C18" s="15" t="n">
        <v>0.0</v>
      </c>
      <c r="D18" s="15" t="n">
        <v>0.0</v>
      </c>
      <c r="E18" s="15">
        <f>SUM(B18:D18)</f>
        <v>0</v>
      </c>
      <c r="F18" s="15"/>
      <c r="G18" s="15"/>
      <c r="H18" t="str">
        <f>$A$7</f>
        <v>Bellevue</v>
      </c>
      <c r="I18" s="15" t="n">
        <v>0.0</v>
      </c>
      <c r="J18" s="15" t="n">
        <v>0.0</v>
      </c>
      <c r="K18" s="15" t="n">
        <v>0.0</v>
      </c>
      <c r="L18" s="15">
        <f>SUM(I18:K18)</f>
        <v>0</v>
      </c>
      <c r="O18" t="str">
        <f>$A$7</f>
        <v>Bellevue</v>
      </c>
      <c r="P18" s="15">
        <f ref="P18:P25" si="18" t="shared">I18-B18</f>
        <v>0</v>
      </c>
      <c r="Q18" s="15">
        <f ref="Q18:Q25" si="19" t="shared">J18-C18</f>
        <v>0</v>
      </c>
      <c r="R18" s="15">
        <f ref="R18:R25" si="20" t="shared">K18-D18</f>
        <v>0</v>
      </c>
      <c r="S18" s="15">
        <f ref="S18:S25" si="21" t="shared">L18-E18</f>
        <v>0</v>
      </c>
      <c r="V18" t="str">
        <f>$A$7</f>
        <v>Bellevue</v>
      </c>
      <c r="W18" s="15"/>
      <c r="X18" s="15"/>
      <c r="Y18" s="15"/>
      <c r="Z18" s="15"/>
    </row>
    <row r="19" spans="1:26" x14ac:dyDescent="0.25">
      <c r="A19" t="str">
        <f>$A$8</f>
        <v>Bellevue Downtown</v>
      </c>
      <c r="B19" s="15" t="n">
        <v>0.0</v>
      </c>
      <c r="C19" s="15" t="n">
        <v>0.0</v>
      </c>
      <c r="D19" s="15" t="n">
        <v>0.0</v>
      </c>
      <c r="E19" s="15">
        <f ref="E19:E24" si="22" t="shared">SUM(B19:D19)</f>
        <v>0</v>
      </c>
      <c r="F19" s="15"/>
      <c r="G19" s="15"/>
      <c r="H19" t="str">
        <f>$A$8</f>
        <v>Bellevue Downtown</v>
      </c>
      <c r="I19" s="15" t="n">
        <v>0.0</v>
      </c>
      <c r="J19" s="15" t="n">
        <v>0.0</v>
      </c>
      <c r="K19" s="15" t="n">
        <v>0.0</v>
      </c>
      <c r="L19" s="15">
        <f>SUM(I19:K19)</f>
        <v>0</v>
      </c>
      <c r="O19" t="str">
        <f>$A$8</f>
        <v>Bellevue Downtown</v>
      </c>
      <c r="P19" s="15">
        <f si="18" t="shared"/>
        <v>0</v>
      </c>
      <c r="Q19" s="15">
        <f si="19" t="shared"/>
        <v>0</v>
      </c>
      <c r="R19" s="15">
        <f si="20" t="shared"/>
        <v>0</v>
      </c>
      <c r="S19" s="15">
        <f si="21" t="shared"/>
        <v>0</v>
      </c>
      <c r="V19" t="str">
        <f>$A$8</f>
        <v>Bellevue Downtown</v>
      </c>
      <c r="W19" s="15"/>
      <c r="X19" s="15"/>
      <c r="Y19" s="15"/>
      <c r="Z19" s="15"/>
    </row>
    <row r="20" spans="1:26" x14ac:dyDescent="0.25">
      <c r="A20" t="str">
        <f>$A$9</f>
        <v>Kirkland</v>
      </c>
      <c r="B20" s="15" t="n">
        <v>0.0</v>
      </c>
      <c r="C20" s="15" t="n">
        <v>0.0</v>
      </c>
      <c r="D20" s="15" t="n">
        <v>0.0</v>
      </c>
      <c r="E20" s="15">
        <f si="22" t="shared"/>
        <v>0</v>
      </c>
      <c r="F20" s="15"/>
      <c r="G20" s="15"/>
      <c r="H20" t="str">
        <f>$A$9</f>
        <v>Kirkland</v>
      </c>
      <c r="I20" s="15" t="n">
        <v>0.0</v>
      </c>
      <c r="J20" s="15" t="n">
        <v>0.0</v>
      </c>
      <c r="K20" s="15" t="n">
        <v>0.0</v>
      </c>
      <c r="L20" s="15">
        <f ref="L20:L22" si="23" t="shared">SUM(I20:K20)</f>
        <v>0</v>
      </c>
      <c r="O20" t="str">
        <f>$A$9</f>
        <v>Kirkland</v>
      </c>
      <c r="P20" s="15">
        <f ref="P20:P22" si="24" t="shared">I20-B20</f>
        <v>0</v>
      </c>
      <c r="Q20" s="15">
        <f ref="Q20:Q22" si="25" t="shared">J20-C20</f>
        <v>0</v>
      </c>
      <c r="R20" s="15">
        <f ref="R20:R22" si="26" t="shared">K20-D20</f>
        <v>0</v>
      </c>
      <c r="S20" s="15">
        <f ref="S20:S22" si="27" t="shared">L20-E20</f>
        <v>0</v>
      </c>
      <c r="V20" t="str">
        <f>$A$9</f>
        <v>Kirkland</v>
      </c>
      <c r="W20" s="15"/>
      <c r="X20" s="15"/>
      <c r="Y20" s="15"/>
      <c r="Z20" s="15"/>
    </row>
    <row r="21" spans="1:26" x14ac:dyDescent="0.25">
      <c r="A21" t="str">
        <f>$A$10</f>
        <v>Redmond</v>
      </c>
      <c r="B21" s="15" t="n">
        <v>0.0</v>
      </c>
      <c r="C21" s="15" t="n">
        <v>0.0</v>
      </c>
      <c r="D21" s="15" t="n">
        <v>0.0</v>
      </c>
      <c r="E21" s="15">
        <f si="22" t="shared"/>
        <v>0</v>
      </c>
      <c r="F21" s="15"/>
      <c r="G21" s="15"/>
      <c r="H21" t="str">
        <f>$A$10</f>
        <v>Redmond</v>
      </c>
      <c r="I21" s="15" t="n">
        <v>0.0</v>
      </c>
      <c r="J21" s="15" t="n">
        <v>0.0</v>
      </c>
      <c r="K21" s="15" t="n">
        <v>0.0</v>
      </c>
      <c r="L21" s="15">
        <f si="23" t="shared"/>
        <v>0</v>
      </c>
      <c r="O21" t="str">
        <f>$A$10</f>
        <v>Redmond</v>
      </c>
      <c r="P21" s="15">
        <f si="24" t="shared"/>
        <v>0</v>
      </c>
      <c r="Q21" s="15">
        <f si="25" t="shared"/>
        <v>0</v>
      </c>
      <c r="R21" s="15">
        <f si="26" t="shared"/>
        <v>0</v>
      </c>
      <c r="S21" s="15">
        <f si="27" t="shared"/>
        <v>0</v>
      </c>
      <c r="V21" t="str">
        <f>$A$10</f>
        <v>Redmond</v>
      </c>
      <c r="W21" s="15"/>
      <c r="X21" s="15"/>
      <c r="Y21" s="15"/>
      <c r="Z21" s="15"/>
    </row>
    <row r="22" spans="1:26" x14ac:dyDescent="0.25">
      <c r="A22" t="str">
        <f>$A$11</f>
        <v>Seattle</v>
      </c>
      <c r="B22" s="15" t="n">
        <v>275288.0414</v>
      </c>
      <c r="C22" s="15" t="n">
        <v>63820.7654</v>
      </c>
      <c r="D22" s="15" t="n">
        <v>13173.748</v>
      </c>
      <c r="E22" s="15">
        <f si="22" t="shared"/>
        <v>352282.55479999998</v>
      </c>
      <c r="F22" s="15"/>
      <c r="G22" s="15"/>
      <c r="H22" t="str">
        <f>$A$11</f>
        <v>Seattle</v>
      </c>
      <c r="I22" s="15" t="n">
        <v>269611.0</v>
      </c>
      <c r="J22" s="15" t="n">
        <v>62283.0</v>
      </c>
      <c r="K22" s="15" t="n">
        <v>22315.0</v>
      </c>
      <c r="L22" s="15">
        <f si="23" t="shared"/>
        <v>354209</v>
      </c>
      <c r="O22" t="str">
        <f>$A$11</f>
        <v>Seattle</v>
      </c>
      <c r="P22" s="15">
        <f si="24" t="shared"/>
        <v>-5677.0413999999873</v>
      </c>
      <c r="Q22" s="15">
        <f si="25" t="shared"/>
        <v>-1537.7653999999966</v>
      </c>
      <c r="R22" s="15">
        <f si="26" t="shared"/>
        <v>9141.2520000000004</v>
      </c>
      <c r="S22" s="15">
        <f si="27" t="shared"/>
        <v>1926.4452000000165</v>
      </c>
      <c r="V22" t="str">
        <f>$A$11</f>
        <v>Seattle</v>
      </c>
      <c r="W22" s="15"/>
      <c r="X22" s="15"/>
      <c r="Y22" s="15"/>
      <c r="Z22" s="15"/>
    </row>
    <row r="23" spans="1:26" x14ac:dyDescent="0.25">
      <c r="A23" t="str">
        <f>$A$12</f>
        <v>Seattle Downtown</v>
      </c>
      <c r="B23" s="16" t="n">
        <v>32042.4611</v>
      </c>
      <c r="C23" s="16" t="n">
        <v>4354.1833</v>
      </c>
      <c r="D23" s="16" t="n">
        <v>970.3995</v>
      </c>
      <c r="E23" s="16">
        <f si="22" t="shared"/>
        <v>37367.043899999997</v>
      </c>
      <c r="F23" s="15"/>
      <c r="G23" s="15"/>
      <c r="H23" t="str">
        <f>$A$12</f>
        <v>Seattle Downtown</v>
      </c>
      <c r="I23" s="16" t="n">
        <v>31145.0</v>
      </c>
      <c r="J23" s="16" t="n">
        <v>5282.0</v>
      </c>
      <c r="K23" s="16" t="n">
        <v>2037.0</v>
      </c>
      <c r="L23" s="16">
        <f>SUM(I23:K23)</f>
        <v>38464</v>
      </c>
      <c r="O23" t="str">
        <f>$A$12</f>
        <v>Seattle Downtown</v>
      </c>
      <c r="P23" s="16">
        <f si="18" t="shared"/>
        <v>-897.46110000000044</v>
      </c>
      <c r="Q23" s="16">
        <f si="19" t="shared"/>
        <v>927.81670000000031</v>
      </c>
      <c r="R23" s="16">
        <f si="20" t="shared"/>
        <v>1066.6005</v>
      </c>
      <c r="S23" s="16">
        <f si="21" t="shared"/>
        <v>1096.9561000000031</v>
      </c>
      <c r="V23" t="str">
        <f>$A$12</f>
        <v>Seattle Downtown</v>
      </c>
      <c r="W23" s="16"/>
      <c r="X23" s="16"/>
      <c r="Y23" s="16"/>
      <c r="Z23" s="16"/>
    </row>
    <row r="24" spans="1:26" x14ac:dyDescent="0.25">
      <c r="A24" s="15" t="str">
        <f>A13</f>
        <v>Rest</v>
      </c>
      <c r="B24" s="17" t="n">
        <v>931224.7503</v>
      </c>
      <c r="C24" s="17" t="n">
        <v>237057.893</v>
      </c>
      <c r="D24" s="17" t="n">
        <v>45538.681599999996</v>
      </c>
      <c r="E24" s="16">
        <f si="22" t="shared"/>
        <v>1213821.3248999999</v>
      </c>
      <c r="F24" s="15"/>
      <c r="G24" s="15"/>
      <c r="H24" s="15" t="str">
        <f>H13</f>
        <v>Rest</v>
      </c>
      <c r="I24" s="17" t="n">
        <v>945470.0</v>
      </c>
      <c r="J24" s="17" t="n">
        <v>232252.0</v>
      </c>
      <c r="K24" s="17" t="n">
        <v>56636.0</v>
      </c>
      <c r="L24" s="16">
        <f>SUM(I24:K24)</f>
        <v>1234358</v>
      </c>
      <c r="O24" s="15" t="str">
        <f>O13</f>
        <v>Rest</v>
      </c>
      <c r="P24" s="16">
        <f ref="P24" si="28" t="shared">I24-B24</f>
        <v>14245.249700000044</v>
      </c>
      <c r="Q24" s="16">
        <f ref="Q24" si="29" t="shared">J24-C24</f>
        <v>-4805.8930000000109</v>
      </c>
      <c r="R24" s="16">
        <f ref="R24" si="30" t="shared">K24-D24</f>
        <v>11097.318400000004</v>
      </c>
      <c r="S24" s="16">
        <f ref="S24" si="31" t="shared">L24-E24</f>
        <v>20536.67510000011</v>
      </c>
      <c r="V24" s="15" t="str">
        <f>$A$13</f>
        <v>Rest</v>
      </c>
      <c r="W24" s="17"/>
      <c r="X24" s="17"/>
      <c r="Y24" s="17"/>
      <c r="Z24" s="17"/>
    </row>
    <row ht="15.75" r="25" spans="1:26" thickBot="1" x14ac:dyDescent="0.3">
      <c r="A25" s="19" t="s">
        <v>4</v>
      </c>
      <c r="B25" s="19">
        <f>SUM(B18:B24)</f>
        <v>1238555.2527999999</v>
      </c>
      <c r="C25" s="19">
        <f ref="C25:E25" si="32" t="shared">SUM(C18:C24)</f>
        <v>305232.84169999999</v>
      </c>
      <c r="D25" s="19">
        <f si="32" t="shared"/>
        <v>59682.829099999995</v>
      </c>
      <c r="E25" s="19">
        <f si="32" t="shared"/>
        <v>1603470.9235999999</v>
      </c>
      <c r="F25" s="15"/>
      <c r="G25" s="15"/>
      <c r="H25" s="19" t="s">
        <v>4</v>
      </c>
      <c r="I25" s="19">
        <f>SUM(I18:I24)</f>
        <v>1246226</v>
      </c>
      <c r="J25" s="19">
        <f ref="J25:L25" si="33" t="shared">SUM(J18:J24)</f>
        <v>299817</v>
      </c>
      <c r="K25" s="19">
        <f si="33" t="shared"/>
        <v>80988</v>
      </c>
      <c r="L25" s="19">
        <f si="33" t="shared"/>
        <v>1627031</v>
      </c>
      <c r="O25" s="19" t="s">
        <v>4</v>
      </c>
      <c r="P25" s="19">
        <f si="18" t="shared"/>
        <v>7670.7472000000998</v>
      </c>
      <c r="Q25" s="19">
        <f si="19" t="shared"/>
        <v>-5415.8416999999899</v>
      </c>
      <c r="R25" s="19">
        <f si="20" t="shared"/>
        <v>21305.170900000005</v>
      </c>
      <c r="S25" s="19">
        <f si="21" t="shared"/>
        <v>23560.076400000136</v>
      </c>
      <c r="V25" s="19" t="s">
        <v>4</v>
      </c>
      <c r="W25" s="19">
        <f>SUM(W18:W24)</f>
        <v>0</v>
      </c>
      <c r="X25" s="19">
        <f ref="X25:Z25" si="34" t="shared">SUM(X18:X24)</f>
        <v>0</v>
      </c>
      <c r="Y25" s="19">
        <f si="34" t="shared"/>
        <v>0</v>
      </c>
      <c r="Z25" s="19">
        <f si="34" t="shared"/>
        <v>0</v>
      </c>
    </row>
    <row ht="15.75" r="27" spans="1:26" thickBot="1" x14ac:dyDescent="0.3">
      <c r="A27" s="4" t="s">
        <v>218</v>
      </c>
      <c r="B27" s="1"/>
      <c r="C27" s="1"/>
      <c r="D27" s="1"/>
      <c r="E27" s="1"/>
      <c r="H27" s="4" t="s">
        <v>42</v>
      </c>
      <c r="I27" s="1"/>
      <c r="J27" s="1"/>
      <c r="K27" s="1"/>
      <c r="L27" s="1"/>
      <c r="O27" s="4" t="s">
        <v>62</v>
      </c>
      <c r="P27" s="1"/>
      <c r="Q27" s="1"/>
      <c r="R27" s="1"/>
      <c r="S27" s="1"/>
      <c r="V27" s="4" t="s">
        <v>65</v>
      </c>
      <c r="W27" s="1"/>
      <c r="X27" s="1"/>
      <c r="Y27" s="1"/>
      <c r="Z27" s="1"/>
    </row>
    <row r="28" spans="1:26" x14ac:dyDescent="0.25">
      <c r="A28" s="2"/>
      <c r="B28" s="3" t="s">
        <v>9</v>
      </c>
      <c r="C28" s="3" t="s">
        <v>10</v>
      </c>
      <c r="D28" s="3" t="s">
        <v>11</v>
      </c>
      <c r="E28" s="3" t="s">
        <v>4</v>
      </c>
      <c r="H28" s="2"/>
      <c r="I28" s="3" t="s">
        <v>9</v>
      </c>
      <c r="J28" s="3" t="s">
        <v>10</v>
      </c>
      <c r="K28" s="3" t="s">
        <v>11</v>
      </c>
      <c r="L28" s="3" t="s">
        <v>4</v>
      </c>
      <c r="O28" s="2"/>
      <c r="P28" s="3" t="s">
        <v>9</v>
      </c>
      <c r="Q28" s="3" t="s">
        <v>10</v>
      </c>
      <c r="R28" s="3" t="s">
        <v>11</v>
      </c>
      <c r="S28" s="3" t="s">
        <v>4</v>
      </c>
      <c r="V28" s="2"/>
      <c r="W28" s="3" t="s">
        <v>9</v>
      </c>
      <c r="X28" s="3" t="s">
        <v>10</v>
      </c>
      <c r="Y28" s="3" t="s">
        <v>11</v>
      </c>
      <c r="Z28" s="3" t="s">
        <v>4</v>
      </c>
    </row>
    <row r="29" spans="1:26" x14ac:dyDescent="0.25">
      <c r="A29" t="str">
        <f>$A$7</f>
        <v>Bellevue</v>
      </c>
      <c r="B29" s="25" t="e">
        <f>B7/B18</f>
        <v>#DIV/0!</v>
      </c>
      <c r="C29" s="25" t="e">
        <f ref="B29:E36" si="35" t="shared">C7/C18</f>
        <v>#DIV/0!</v>
      </c>
      <c r="D29" s="25" t="e">
        <f si="35" t="shared"/>
        <v>#DIV/0!</v>
      </c>
      <c r="E29" s="25" t="e">
        <f si="35" t="shared"/>
        <v>#DIV/0!</v>
      </c>
      <c r="F29" s="25"/>
      <c r="G29" s="25"/>
      <c r="H29" t="str">
        <f>$A$7</f>
        <v>Bellevue</v>
      </c>
      <c r="I29" s="25" t="e">
        <f ref="I29:L36" si="36" t="shared">I7/I18</f>
        <v>#DIV/0!</v>
      </c>
      <c r="J29" s="25" t="e">
        <f si="36" t="shared"/>
        <v>#DIV/0!</v>
      </c>
      <c r="K29" s="25" t="e">
        <f si="36" t="shared"/>
        <v>#DIV/0!</v>
      </c>
      <c r="L29" s="25" t="e">
        <f si="36" t="shared"/>
        <v>#DIV/0!</v>
      </c>
      <c r="O29" t="str">
        <f>$A$7</f>
        <v>Bellevue</v>
      </c>
      <c r="P29" s="25" t="e">
        <f>I29-B29</f>
        <v>#DIV/0!</v>
      </c>
      <c r="Q29" s="25" t="e">
        <f ref="Q29:Q36" si="37" t="shared">J29-C29</f>
        <v>#DIV/0!</v>
      </c>
      <c r="R29" s="25" t="e">
        <f ref="R29:R36" si="38" t="shared">K29-D29</f>
        <v>#DIV/0!</v>
      </c>
      <c r="S29" s="25" t="e">
        <f ref="S29:S36" si="39" t="shared">L29-E29</f>
        <v>#DIV/0!</v>
      </c>
      <c r="V29" t="str">
        <f>$A$7</f>
        <v>Bellevue</v>
      </c>
      <c r="W29" s="25" t="e">
        <f ref="W29:Z35" si="40" t="shared">W7/W18</f>
        <v>#DIV/0!</v>
      </c>
      <c r="X29" s="25" t="e">
        <f si="40" t="shared"/>
        <v>#DIV/0!</v>
      </c>
      <c r="Y29" s="25" t="e">
        <f si="40" t="shared"/>
        <v>#DIV/0!</v>
      </c>
      <c r="Z29" s="25" t="e">
        <f si="40" t="shared"/>
        <v>#DIV/0!</v>
      </c>
    </row>
    <row r="30" spans="1:26" x14ac:dyDescent="0.25">
      <c r="A30" t="str">
        <f>$A$8</f>
        <v>Bellevue Downtown</v>
      </c>
      <c r="B30" s="25" t="e">
        <f si="35" t="shared"/>
        <v>#DIV/0!</v>
      </c>
      <c r="C30" s="25" t="e">
        <f si="35" t="shared"/>
        <v>#DIV/0!</v>
      </c>
      <c r="D30" s="25" t="e">
        <f si="35" t="shared"/>
        <v>#DIV/0!</v>
      </c>
      <c r="E30" s="25" t="e">
        <f si="35" t="shared"/>
        <v>#DIV/0!</v>
      </c>
      <c r="F30" s="25"/>
      <c r="G30" s="25"/>
      <c r="H30" t="str">
        <f>$A$8</f>
        <v>Bellevue Downtown</v>
      </c>
      <c r="I30" s="25" t="e">
        <f si="36" t="shared"/>
        <v>#DIV/0!</v>
      </c>
      <c r="J30" s="25" t="e">
        <f si="36" t="shared"/>
        <v>#DIV/0!</v>
      </c>
      <c r="K30" s="25" t="e">
        <f si="36" t="shared"/>
        <v>#DIV/0!</v>
      </c>
      <c r="L30" s="25" t="e">
        <f si="36" t="shared"/>
        <v>#DIV/0!</v>
      </c>
      <c r="O30" t="str">
        <f>$A$8</f>
        <v>Bellevue Downtown</v>
      </c>
      <c r="P30" s="25" t="e">
        <f ref="P30:P36" si="41" t="shared">I30-B30</f>
        <v>#DIV/0!</v>
      </c>
      <c r="Q30" s="25" t="e">
        <f si="37" t="shared"/>
        <v>#DIV/0!</v>
      </c>
      <c r="R30" s="25" t="e">
        <f si="38" t="shared"/>
        <v>#DIV/0!</v>
      </c>
      <c r="S30" s="25" t="e">
        <f si="39" t="shared"/>
        <v>#DIV/0!</v>
      </c>
      <c r="V30" t="str">
        <f>$A$8</f>
        <v>Bellevue Downtown</v>
      </c>
      <c r="W30" s="25" t="e">
        <f si="40" t="shared"/>
        <v>#DIV/0!</v>
      </c>
      <c r="X30" s="25" t="e">
        <f si="40" t="shared"/>
        <v>#DIV/0!</v>
      </c>
      <c r="Y30" s="25" t="e">
        <f si="40" t="shared"/>
        <v>#DIV/0!</v>
      </c>
      <c r="Z30" s="25" t="e">
        <f si="40" t="shared"/>
        <v>#DIV/0!</v>
      </c>
    </row>
    <row r="31" spans="1:26" x14ac:dyDescent="0.25">
      <c r="A31" t="str">
        <f>$A$9</f>
        <v>Kirkland</v>
      </c>
      <c r="B31" s="25" t="e">
        <f si="35" t="shared"/>
        <v>#DIV/0!</v>
      </c>
      <c r="C31" s="25" t="e">
        <f si="35" t="shared"/>
        <v>#DIV/0!</v>
      </c>
      <c r="D31" s="25" t="e">
        <f si="35" t="shared"/>
        <v>#DIV/0!</v>
      </c>
      <c r="E31" s="25" t="e">
        <f si="35" t="shared"/>
        <v>#DIV/0!</v>
      </c>
      <c r="F31" s="25"/>
      <c r="G31" s="25"/>
      <c r="H31" t="str">
        <f>$A$9</f>
        <v>Kirkland</v>
      </c>
      <c r="I31" s="25" t="e">
        <f si="36" t="shared"/>
        <v>#DIV/0!</v>
      </c>
      <c r="J31" s="25" t="e">
        <f si="36" t="shared"/>
        <v>#DIV/0!</v>
      </c>
      <c r="K31" s="25" t="e">
        <f si="36" t="shared"/>
        <v>#DIV/0!</v>
      </c>
      <c r="L31" s="25" t="e">
        <f si="36" t="shared"/>
        <v>#DIV/0!</v>
      </c>
      <c r="O31" t="str">
        <f>$A$9</f>
        <v>Kirkland</v>
      </c>
      <c r="P31" s="25" t="e">
        <f ref="P31:P33" si="42" t="shared">I31-B31</f>
        <v>#DIV/0!</v>
      </c>
      <c r="Q31" s="25" t="e">
        <f ref="Q31:Q33" si="43" t="shared">J31-C31</f>
        <v>#DIV/0!</v>
      </c>
      <c r="R31" s="25" t="e">
        <f ref="R31:R33" si="44" t="shared">K31-D31</f>
        <v>#DIV/0!</v>
      </c>
      <c r="S31" s="25" t="e">
        <f ref="S31:S33" si="45" t="shared">L31-E31</f>
        <v>#DIV/0!</v>
      </c>
      <c r="V31" t="str">
        <f>$A$9</f>
        <v>Kirkland</v>
      </c>
      <c r="W31" s="25" t="e">
        <f si="40" t="shared"/>
        <v>#DIV/0!</v>
      </c>
      <c r="X31" s="25" t="e">
        <f si="40" t="shared"/>
        <v>#DIV/0!</v>
      </c>
      <c r="Y31" s="25" t="e">
        <f si="40" t="shared"/>
        <v>#DIV/0!</v>
      </c>
      <c r="Z31" s="25" t="e">
        <f si="40" t="shared"/>
        <v>#DIV/0!</v>
      </c>
    </row>
    <row r="32" spans="1:26" x14ac:dyDescent="0.25">
      <c r="A32" t="str">
        <f>$A$10</f>
        <v>Redmond</v>
      </c>
      <c r="B32" s="25" t="e">
        <f si="35" t="shared"/>
        <v>#DIV/0!</v>
      </c>
      <c r="C32" s="25" t="e">
        <f si="35" t="shared"/>
        <v>#DIV/0!</v>
      </c>
      <c r="D32" s="25" t="e">
        <f si="35" t="shared"/>
        <v>#DIV/0!</v>
      </c>
      <c r="E32" s="25" t="e">
        <f si="35" t="shared"/>
        <v>#DIV/0!</v>
      </c>
      <c r="F32" s="25"/>
      <c r="G32" s="25"/>
      <c r="H32" t="str">
        <f>$A$10</f>
        <v>Redmond</v>
      </c>
      <c r="I32" s="25" t="e">
        <f si="36" t="shared"/>
        <v>#DIV/0!</v>
      </c>
      <c r="J32" s="25" t="e">
        <f si="36" t="shared"/>
        <v>#DIV/0!</v>
      </c>
      <c r="K32" s="25" t="e">
        <f si="36" t="shared"/>
        <v>#DIV/0!</v>
      </c>
      <c r="L32" s="25" t="e">
        <f si="36" t="shared"/>
        <v>#DIV/0!</v>
      </c>
      <c r="O32" t="str">
        <f>$A$10</f>
        <v>Redmond</v>
      </c>
      <c r="P32" s="25" t="e">
        <f si="42" t="shared"/>
        <v>#DIV/0!</v>
      </c>
      <c r="Q32" s="25" t="e">
        <f si="43" t="shared"/>
        <v>#DIV/0!</v>
      </c>
      <c r="R32" s="25" t="e">
        <f si="44" t="shared"/>
        <v>#DIV/0!</v>
      </c>
      <c r="S32" s="25" t="e">
        <f si="45" t="shared"/>
        <v>#DIV/0!</v>
      </c>
      <c r="V32" t="str">
        <f>$A$10</f>
        <v>Redmond</v>
      </c>
      <c r="W32" s="25" t="e">
        <f si="40" t="shared"/>
        <v>#DIV/0!</v>
      </c>
      <c r="X32" s="25" t="e">
        <f si="40" t="shared"/>
        <v>#DIV/0!</v>
      </c>
      <c r="Y32" s="25" t="e">
        <f si="40" t="shared"/>
        <v>#DIV/0!</v>
      </c>
      <c r="Z32" s="25" t="e">
        <f si="40" t="shared"/>
        <v>#DIV/0!</v>
      </c>
    </row>
    <row r="33" spans="1:26" x14ac:dyDescent="0.25">
      <c r="A33" t="str">
        <f>$A$11</f>
        <v>Seattle</v>
      </c>
      <c r="B33" s="25">
        <f si="35" t="shared"/>
        <v>7.7164049306211531E-4</v>
      </c>
      <c r="C33" s="25">
        <f si="35" t="shared"/>
        <v>0</v>
      </c>
      <c r="D33" s="25">
        <f si="35" t="shared"/>
        <v>0</v>
      </c>
      <c r="E33" s="25">
        <f si="35" t="shared"/>
        <v>6.0299153933579921E-4</v>
      </c>
      <c r="F33" s="25"/>
      <c r="G33" s="25"/>
      <c r="H33" t="str">
        <f>$A$11</f>
        <v>Seattle</v>
      </c>
      <c r="I33" s="25">
        <f si="36" t="shared"/>
        <v>1.8752944056436866E-2</v>
      </c>
      <c r="J33" s="25">
        <f si="36" t="shared"/>
        <v>6.4046368993144198E-2</v>
      </c>
      <c r="K33" s="25">
        <f si="36" t="shared"/>
        <v>9.7916199865561285E-2</v>
      </c>
      <c r="L33" s="25">
        <f si="36" t="shared"/>
        <v>3.1704445680375143E-2</v>
      </c>
      <c r="O33" t="str">
        <f>$A$11</f>
        <v>Seattle</v>
      </c>
      <c r="P33" s="25">
        <f si="42" t="shared"/>
        <v>1.798130356337475E-2</v>
      </c>
      <c r="Q33" s="25">
        <f si="43" t="shared"/>
        <v>6.4046368993144198E-2</v>
      </c>
      <c r="R33" s="25">
        <f si="44" t="shared"/>
        <v>9.7916199865561285E-2</v>
      </c>
      <c r="S33" s="25">
        <f si="45" t="shared"/>
        <v>3.1101454141039344E-2</v>
      </c>
      <c r="V33" t="str">
        <f>$A$11</f>
        <v>Seattle</v>
      </c>
      <c r="W33" s="25" t="e">
        <f si="40" t="shared"/>
        <v>#DIV/0!</v>
      </c>
      <c r="X33" s="25" t="e">
        <f si="40" t="shared"/>
        <v>#DIV/0!</v>
      </c>
      <c r="Y33" s="25" t="e">
        <f si="40" t="shared"/>
        <v>#DIV/0!</v>
      </c>
      <c r="Z33" s="25" t="e">
        <f si="40" t="shared"/>
        <v>#DIV/0!</v>
      </c>
    </row>
    <row r="34" spans="1:26" x14ac:dyDescent="0.25">
      <c r="A34" t="str">
        <f>$A$12</f>
        <v>Seattle Downtown</v>
      </c>
      <c r="B34" s="40">
        <f si="35" t="shared"/>
        <v>0</v>
      </c>
      <c r="C34" s="40">
        <f si="35" t="shared"/>
        <v>1.0835028465613747E-2</v>
      </c>
      <c r="D34" s="40">
        <f si="35" t="shared"/>
        <v>0</v>
      </c>
      <c r="E34" s="40">
        <f si="35" t="shared"/>
        <v>1.2625483601607567E-3</v>
      </c>
      <c r="F34" s="25"/>
      <c r="G34" s="25"/>
      <c r="H34" t="str">
        <f>$A$12</f>
        <v>Seattle Downtown</v>
      </c>
      <c r="I34" s="40">
        <f si="36" t="shared"/>
        <v>1.3710065821159094E-2</v>
      </c>
      <c r="J34" s="40">
        <f si="36" t="shared"/>
        <v>4.7141234380916316E-2</v>
      </c>
      <c r="K34" s="40">
        <f si="36" t="shared"/>
        <v>7.6583210603829166E-2</v>
      </c>
      <c r="L34" s="40">
        <f si="36" t="shared"/>
        <v>2.1630615640599003E-2</v>
      </c>
      <c r="O34" t="str">
        <f>$A$12</f>
        <v>Seattle Downtown</v>
      </c>
      <c r="P34" s="40">
        <f si="41" t="shared"/>
        <v>1.3710065821159094E-2</v>
      </c>
      <c r="Q34" s="40">
        <f si="37" t="shared"/>
        <v>3.6306205915302571E-2</v>
      </c>
      <c r="R34" s="40">
        <f si="38" t="shared"/>
        <v>7.6583210603829166E-2</v>
      </c>
      <c r="S34" s="40">
        <f si="39" t="shared"/>
        <v>2.0368067280438246E-2</v>
      </c>
      <c r="V34" t="str">
        <f>$A$12</f>
        <v>Seattle Downtown</v>
      </c>
      <c r="W34" s="40" t="e">
        <f si="40" t="shared"/>
        <v>#DIV/0!</v>
      </c>
      <c r="X34" s="40" t="e">
        <f si="40" t="shared"/>
        <v>#DIV/0!</v>
      </c>
      <c r="Y34" s="40" t="e">
        <f si="40" t="shared"/>
        <v>#DIV/0!</v>
      </c>
      <c r="Z34" s="40" t="e">
        <f si="40" t="shared"/>
        <v>#DIV/0!</v>
      </c>
    </row>
    <row r="35" spans="1:26" x14ac:dyDescent="0.25">
      <c r="A35" s="15" t="str">
        <f>A24</f>
        <v>Rest</v>
      </c>
      <c r="B35" s="40">
        <f si="35" t="shared"/>
        <v>2.0922448628779753E-3</v>
      </c>
      <c r="C35" s="40">
        <f si="35" t="shared"/>
        <v>8.3177082823392857E-3</v>
      </c>
      <c r="D35" s="40">
        <f si="35" t="shared"/>
        <v>0</v>
      </c>
      <c r="E35" s="40">
        <f si="35" t="shared"/>
        <v>3.2295763137321367E-3</v>
      </c>
      <c r="F35" s="25"/>
      <c r="G35" s="25"/>
      <c r="H35" s="15" t="str">
        <f>H24</f>
        <v>Rest</v>
      </c>
      <c r="I35" s="40">
        <f si="36" t="shared"/>
        <v>2.7778776693073288E-2</v>
      </c>
      <c r="J35" s="40">
        <f si="36" t="shared"/>
        <v>8.7327557997347705E-2</v>
      </c>
      <c r="K35" s="40">
        <f si="36" t="shared"/>
        <v>0.12917578925065329</v>
      </c>
      <c r="L35" s="40">
        <f si="36" t="shared"/>
        <v>4.3635638931331107E-2</v>
      </c>
      <c r="O35" s="17" t="str">
        <f>O24</f>
        <v>Rest</v>
      </c>
      <c r="P35" s="40">
        <f ref="P35" si="46" t="shared">I35-B35</f>
        <v>2.5686531830195314E-2</v>
      </c>
      <c r="Q35" s="40">
        <f ref="Q35" si="47" t="shared">J35-C35</f>
        <v>7.9009849715008421E-2</v>
      </c>
      <c r="R35" s="40">
        <f ref="R35" si="48" t="shared">K35-D35</f>
        <v>0.12917578925065329</v>
      </c>
      <c r="S35" s="40">
        <f ref="S35" si="49" t="shared">L35-E35</f>
        <v>4.0406062617598971E-2</v>
      </c>
      <c r="V35" s="15" t="str">
        <f>$A$13</f>
        <v>Rest</v>
      </c>
      <c r="W35" s="17" t="e">
        <f si="40" t="shared"/>
        <v>#DIV/0!</v>
      </c>
      <c r="X35" s="17" t="e">
        <f si="40" t="shared"/>
        <v>#DIV/0!</v>
      </c>
      <c r="Y35" s="17" t="e">
        <f si="40" t="shared"/>
        <v>#DIV/0!</v>
      </c>
      <c r="Z35" s="17" t="e">
        <f si="40" t="shared"/>
        <v>#DIV/0!</v>
      </c>
    </row>
    <row ht="15.75" r="36" spans="1:26" thickBot="1" x14ac:dyDescent="0.3">
      <c r="A36" s="19" t="s">
        <v>4</v>
      </c>
      <c r="B36" s="27">
        <f si="35" t="shared"/>
        <v>1.7445920116322163E-3</v>
      </c>
      <c r="C36" s="27">
        <f si="35" t="shared"/>
        <v>6.6144786018286451E-3</v>
      </c>
      <c r="D36" s="27">
        <f si="35" t="shared"/>
        <v>0</v>
      </c>
      <c r="E36" s="27">
        <f si="35" t="shared"/>
        <v>2.6066763285086366E-3</v>
      </c>
      <c r="F36" s="7"/>
      <c r="H36" s="19" t="s">
        <v>4</v>
      </c>
      <c r="I36" s="27">
        <f si="36" t="shared"/>
        <v>2.5474512648588618E-2</v>
      </c>
      <c r="J36" s="27">
        <f si="36" t="shared"/>
        <v>8.178322109820324E-2</v>
      </c>
      <c r="K36" s="27">
        <f si="36" t="shared"/>
        <v>0.11923988739072455</v>
      </c>
      <c r="L36" s="27">
        <f si="36" t="shared"/>
        <v>4.0517974150461794E-2</v>
      </c>
      <c r="O36" s="19" t="s">
        <v>4</v>
      </c>
      <c r="P36" s="27">
        <f si="41" t="shared"/>
        <v>2.3729920636956402E-2</v>
      </c>
      <c r="Q36" s="27">
        <f si="37" t="shared"/>
        <v>7.5168742496374591E-2</v>
      </c>
      <c r="R36" s="27">
        <f si="38" t="shared"/>
        <v>0.11923988739072455</v>
      </c>
      <c r="S36" s="27">
        <f si="39" t="shared"/>
        <v>3.7911297821953155E-2</v>
      </c>
      <c r="V36" s="19" t="s">
        <v>4</v>
      </c>
      <c r="W36" s="19" t="e">
        <f>W14/W25</f>
        <v>#DIV/0!</v>
      </c>
      <c r="X36" s="19" t="e">
        <f ref="X36:Z36" si="50" t="shared">X14/X25</f>
        <v>#DIV/0!</v>
      </c>
      <c r="Y36" s="19" t="e">
        <f si="50" t="shared"/>
        <v>#DIV/0!</v>
      </c>
      <c r="Z36" s="19" t="e">
        <f si="50" t="shared"/>
        <v>#DIV/0!</v>
      </c>
    </row>
  </sheetData>
  <pageMargins bottom="0.75" footer="0.3" header="0.3" left="0.7" right="0.7" top="0.75"/>
  <pageSetup orientation="portrait" r:id="rId1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1:D33"/>
  <sheetViews>
    <sheetView workbookViewId="0">
      <selection activeCell="B17" sqref="B17"/>
    </sheetView>
  </sheetViews>
  <sheetFormatPr defaultRowHeight="15" x14ac:dyDescent="0.25"/>
  <sheetData>
    <row r="1" spans="1:2" x14ac:dyDescent="0.25">
      <c r="A1" s="11" t="s">
        <v>220</v>
      </c>
    </row>
    <row r="11" spans="1:2" x14ac:dyDescent="0.25">
      <c r="A11" s="11" t="s">
        <v>19</v>
      </c>
    </row>
    <row r="12" spans="1:2" x14ac:dyDescent="0.25">
      <c r="A12">
        <v>1</v>
      </c>
      <c r="B12" t="s">
        <v>45</v>
      </c>
    </row>
    <row r="14" spans="1:2" x14ac:dyDescent="0.25">
      <c r="A14">
        <v>2</v>
      </c>
      <c r="B14" t="s">
        <v>221</v>
      </c>
    </row>
    <row r="15" spans="1:2" x14ac:dyDescent="0.25">
      <c r="B15" t="s">
        <v>46</v>
      </c>
    </row>
    <row r="17" spans="1:4" x14ac:dyDescent="0.25">
      <c r="A17">
        <v>3</v>
      </c>
      <c r="B17" t="s">
        <v>47</v>
      </c>
    </row>
    <row r="18" spans="1:4" x14ac:dyDescent="0.25">
      <c r="B18" t="s">
        <v>222</v>
      </c>
    </row>
    <row r="19" spans="1:4" x14ac:dyDescent="0.25">
      <c r="B19" t="s">
        <v>9</v>
      </c>
      <c r="C19" t="s">
        <v>53</v>
      </c>
      <c r="D19" t="s">
        <v>20</v>
      </c>
    </row>
    <row r="20" spans="1:4" x14ac:dyDescent="0.25">
      <c r="B20" t="s">
        <v>10</v>
      </c>
      <c r="C20" t="s">
        <v>54</v>
      </c>
      <c r="D20" t="s">
        <v>21</v>
      </c>
    </row>
    <row r="21" spans="1:4" x14ac:dyDescent="0.25">
      <c r="B21" t="s">
        <v>11</v>
      </c>
      <c r="C21" t="s">
        <v>55</v>
      </c>
      <c r="D21" t="s">
        <v>22</v>
      </c>
    </row>
    <row r="23" spans="1:4" x14ac:dyDescent="0.25">
      <c r="A23" s="11" t="s">
        <v>48</v>
      </c>
    </row>
    <row r="24" spans="1:4" x14ac:dyDescent="0.25">
      <c r="A24">
        <v>1</v>
      </c>
      <c r="B24" t="s">
        <v>49</v>
      </c>
    </row>
    <row r="26" spans="1:4" x14ac:dyDescent="0.25">
      <c r="A26">
        <v>2</v>
      </c>
      <c r="B26" t="s">
        <v>50</v>
      </c>
    </row>
    <row r="28" spans="1:4" x14ac:dyDescent="0.25">
      <c r="A28" s="11" t="s">
        <v>51</v>
      </c>
    </row>
    <row r="29" spans="1:4" x14ac:dyDescent="0.25">
      <c r="A29">
        <v>1</v>
      </c>
      <c r="B29" t="s">
        <v>52</v>
      </c>
    </row>
    <row r="31" spans="1:4" x14ac:dyDescent="0.25">
      <c r="A31" s="11">
        <v>2</v>
      </c>
      <c r="B31" t="s">
        <v>223</v>
      </c>
    </row>
    <row r="33" spans="1:2" x14ac:dyDescent="0.25">
      <c r="A33">
        <v>3</v>
      </c>
      <c r="B33" t="s">
        <v>56</v>
      </c>
    </row>
  </sheetData>
  <pageMargins bottom="0.75" footer="0.3" header="0.3" left="0.7" right="0.7" top="0.75"/>
  <pageSetup orientation="portrait" r:id="rId1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74"/>
  <sheetViews>
    <sheetView workbookViewId="0">
      <selection activeCell="E9" sqref="E9"/>
    </sheetView>
  </sheetViews>
  <sheetFormatPr defaultRowHeight="15" x14ac:dyDescent="0.25"/>
  <cols>
    <col min="4" max="4" bestFit="true" customWidth="true" width="12.7109375" collapsed="true"/>
    <col min="5" max="5" bestFit="true" customWidth="true" style="47" width="94.7109375" collapsed="true"/>
  </cols>
  <sheetData>
    <row r="1" spans="1:5" x14ac:dyDescent="0.25">
      <c r="A1" t="s">
        <v>141</v>
      </c>
      <c r="B1" t="s">
        <v>142</v>
      </c>
      <c r="E1" s="47" t="s">
        <v>143</v>
      </c>
    </row>
    <row r="2" spans="1:5" x14ac:dyDescent="0.25">
      <c r="A2">
        <v>1</v>
      </c>
      <c r="B2" t="s">
        <v>66</v>
      </c>
      <c r="C2" t="s">
        <v>67</v>
      </c>
      <c r="D2">
        <v>1</v>
      </c>
      <c r="E2" s="47" t="s">
        <v>149</v>
      </c>
    </row>
    <row r="3" spans="1:5" x14ac:dyDescent="0.25">
      <c r="A3">
        <v>2</v>
      </c>
      <c r="B3" t="s">
        <v>68</v>
      </c>
      <c r="C3" t="s">
        <v>67</v>
      </c>
      <c r="D3">
        <v>0.7</v>
      </c>
      <c r="E3" s="47" t="s">
        <v>145</v>
      </c>
    </row>
    <row r="4" spans="1:5" x14ac:dyDescent="0.25">
      <c r="A4">
        <v>3</v>
      </c>
      <c r="B4" t="s">
        <v>69</v>
      </c>
      <c r="C4" t="s">
        <v>67</v>
      </c>
      <c r="D4">
        <v>1</v>
      </c>
      <c r="E4" s="47" t="s">
        <v>144</v>
      </c>
    </row>
    <row r="5" spans="1:5" x14ac:dyDescent="0.25">
      <c r="A5">
        <v>4</v>
      </c>
      <c r="B5" t="s">
        <v>70</v>
      </c>
      <c r="C5" t="s">
        <v>67</v>
      </c>
      <c r="D5">
        <v>0.5</v>
      </c>
      <c r="E5" s="47" t="s">
        <v>150</v>
      </c>
    </row>
    <row r="6" spans="1:5" x14ac:dyDescent="0.25">
      <c r="A6">
        <v>5</v>
      </c>
      <c r="B6" t="s">
        <v>71</v>
      </c>
      <c r="C6" t="s">
        <v>67</v>
      </c>
      <c r="D6">
        <v>0</v>
      </c>
      <c r="E6" s="47" t="s">
        <v>146</v>
      </c>
    </row>
    <row r="7" spans="1:5" x14ac:dyDescent="0.25">
      <c r="A7">
        <v>6</v>
      </c>
      <c r="B7" t="s">
        <v>72</v>
      </c>
      <c r="C7" t="s">
        <v>67</v>
      </c>
      <c r="D7">
        <v>-4.1530549264700003</v>
      </c>
      <c r="E7" s="47" t="s">
        <v>151</v>
      </c>
    </row>
    <row r="8" spans="1:5" x14ac:dyDescent="0.25">
      <c r="A8">
        <v>7</v>
      </c>
      <c r="B8" t="s">
        <v>73</v>
      </c>
      <c r="C8" t="s">
        <v>67</v>
      </c>
      <c r="D8">
        <v>-0.64354735537100005</v>
      </c>
      <c r="E8" s="47" t="s">
        <v>152</v>
      </c>
    </row>
    <row r="9" spans="1:5" x14ac:dyDescent="0.25">
      <c r="A9">
        <v>8</v>
      </c>
      <c r="B9" t="s">
        <v>74</v>
      </c>
      <c r="C9" t="s">
        <v>67</v>
      </c>
      <c r="D9">
        <v>-0.732358148145</v>
      </c>
      <c r="E9" s="47" t="s">
        <v>153</v>
      </c>
    </row>
    <row r="10" spans="1:5" x14ac:dyDescent="0.25">
      <c r="A10">
        <v>9</v>
      </c>
      <c r="B10" t="s">
        <v>75</v>
      </c>
      <c r="C10" t="s">
        <v>67</v>
      </c>
      <c r="D10">
        <v>-2.6263992007099999</v>
      </c>
      <c r="E10" s="47" t="s">
        <v>154</v>
      </c>
    </row>
    <row r="11" spans="1:5" x14ac:dyDescent="0.25">
      <c r="A11">
        <v>10</v>
      </c>
      <c r="B11" t="s">
        <v>76</v>
      </c>
      <c r="C11" t="s">
        <v>67</v>
      </c>
      <c r="D11">
        <v>-3.4653118418800002</v>
      </c>
      <c r="E11" s="47" t="s">
        <v>155</v>
      </c>
    </row>
    <row r="12" spans="1:5" x14ac:dyDescent="0.25">
      <c r="A12">
        <v>11</v>
      </c>
      <c r="B12" t="s">
        <v>77</v>
      </c>
      <c r="C12" t="s">
        <v>67</v>
      </c>
      <c r="D12">
        <v>0.125312575308</v>
      </c>
      <c r="E12" s="47" t="s">
        <v>156</v>
      </c>
    </row>
    <row r="13" spans="1:5" x14ac:dyDescent="0.25">
      <c r="A13">
        <v>12</v>
      </c>
      <c r="B13" t="s">
        <v>78</v>
      </c>
      <c r="C13" t="s">
        <v>67</v>
      </c>
      <c r="D13">
        <v>0.24676672684299999</v>
      </c>
      <c r="E13" s="47" t="s">
        <v>157</v>
      </c>
    </row>
    <row r="14" spans="1:5" x14ac:dyDescent="0.25">
      <c r="A14">
        <v>13</v>
      </c>
      <c r="B14" t="s">
        <v>79</v>
      </c>
      <c r="C14" t="s">
        <v>67</v>
      </c>
      <c r="D14">
        <v>0.40796503771199999</v>
      </c>
      <c r="E14" s="47" t="s">
        <v>158</v>
      </c>
    </row>
    <row r="15" spans="1:5" x14ac:dyDescent="0.25">
      <c r="A15">
        <v>14</v>
      </c>
      <c r="B15" t="s">
        <v>80</v>
      </c>
      <c r="C15" t="s">
        <v>67</v>
      </c>
      <c r="D15">
        <v>-0.50293651045300003</v>
      </c>
      <c r="E15" s="47" t="s">
        <v>159</v>
      </c>
    </row>
    <row r="16" spans="1:5" x14ac:dyDescent="0.25">
      <c r="A16">
        <v>15</v>
      </c>
      <c r="B16" t="s">
        <v>81</v>
      </c>
      <c r="C16" t="s">
        <v>67</v>
      </c>
      <c r="D16">
        <v>-1.61322160644</v>
      </c>
      <c r="E16" s="47" t="s">
        <v>160</v>
      </c>
    </row>
    <row r="17" spans="1:5" x14ac:dyDescent="0.25">
      <c r="A17">
        <v>16</v>
      </c>
      <c r="B17" t="s">
        <v>82</v>
      </c>
      <c r="C17" t="s">
        <v>67</v>
      </c>
      <c r="D17">
        <v>0.130749629122</v>
      </c>
      <c r="E17" s="47" t="s">
        <v>161</v>
      </c>
    </row>
    <row r="18" spans="1:5" x14ac:dyDescent="0.25">
      <c r="A18">
        <v>17</v>
      </c>
      <c r="B18" t="s">
        <v>83</v>
      </c>
      <c r="C18" t="s">
        <v>67</v>
      </c>
      <c r="D18" s="46">
        <v>8.4077289836199998E-2</v>
      </c>
      <c r="E18" s="47" t="s">
        <v>162</v>
      </c>
    </row>
    <row r="19" spans="1:5" x14ac:dyDescent="0.25">
      <c r="A19">
        <v>18</v>
      </c>
      <c r="B19" t="s">
        <v>84</v>
      </c>
      <c r="C19" t="s">
        <v>67</v>
      </c>
      <c r="D19">
        <v>0</v>
      </c>
      <c r="E19" s="47" t="s">
        <v>163</v>
      </c>
    </row>
    <row r="20" spans="1:5" x14ac:dyDescent="0.25">
      <c r="A20">
        <v>19</v>
      </c>
      <c r="B20" t="s">
        <v>85</v>
      </c>
      <c r="C20" t="s">
        <v>67</v>
      </c>
      <c r="D20">
        <v>0.106386053639</v>
      </c>
      <c r="E20" s="47" t="s">
        <v>147</v>
      </c>
    </row>
    <row r="21" spans="1:5" x14ac:dyDescent="0.25">
      <c r="A21">
        <v>20</v>
      </c>
      <c r="B21" t="s">
        <v>86</v>
      </c>
      <c r="C21" t="s">
        <v>67</v>
      </c>
      <c r="D21">
        <v>0.88087687792799996</v>
      </c>
      <c r="E21" s="47" t="s">
        <v>148</v>
      </c>
    </row>
    <row r="22" spans="1:5" x14ac:dyDescent="0.25">
      <c r="A22">
        <v>21</v>
      </c>
      <c r="B22" t="s">
        <v>87</v>
      </c>
      <c r="C22" t="s">
        <v>67</v>
      </c>
      <c r="D22">
        <v>-0.16458061134300001</v>
      </c>
      <c r="E22" s="47" t="s">
        <v>200</v>
      </c>
    </row>
    <row r="23" spans="1:5" x14ac:dyDescent="0.25">
      <c r="A23">
        <v>22</v>
      </c>
      <c r="B23" t="s">
        <v>88</v>
      </c>
      <c r="C23" t="s">
        <v>67</v>
      </c>
      <c r="D23">
        <v>0.154182014038</v>
      </c>
      <c r="E23" s="47" t="s">
        <v>201</v>
      </c>
    </row>
    <row r="24" spans="1:5" x14ac:dyDescent="0.25">
      <c r="A24">
        <v>23</v>
      </c>
      <c r="B24" t="s">
        <v>89</v>
      </c>
      <c r="C24" t="s">
        <v>67</v>
      </c>
      <c r="D24" s="46">
        <v>4.79448884421E-2</v>
      </c>
      <c r="E24" s="47" t="s">
        <v>202</v>
      </c>
    </row>
    <row r="25" spans="1:5" x14ac:dyDescent="0.25">
      <c r="A25">
        <v>24</v>
      </c>
      <c r="B25" t="s">
        <v>90</v>
      </c>
      <c r="C25" t="s">
        <v>67</v>
      </c>
      <c r="D25" s="46">
        <v>6.4843520043099998E-2</v>
      </c>
      <c r="E25" s="47" t="s">
        <v>203</v>
      </c>
    </row>
    <row r="26" spans="1:5" x14ac:dyDescent="0.25">
      <c r="A26">
        <v>25</v>
      </c>
      <c r="B26" t="s">
        <v>91</v>
      </c>
      <c r="C26" t="s">
        <v>67</v>
      </c>
      <c r="D26">
        <v>0.15272053169499999</v>
      </c>
      <c r="E26" s="47" t="s">
        <v>204</v>
      </c>
    </row>
    <row r="27" spans="1:5" x14ac:dyDescent="0.25">
      <c r="A27">
        <v>26</v>
      </c>
      <c r="B27" t="s">
        <v>92</v>
      </c>
      <c r="C27" t="s">
        <v>67</v>
      </c>
      <c r="D27" s="46">
        <v>7.2028590735099998E-2</v>
      </c>
      <c r="E27" s="47" t="s">
        <v>205</v>
      </c>
    </row>
    <row r="28" spans="1:5" x14ac:dyDescent="0.25">
      <c r="A28">
        <v>27</v>
      </c>
      <c r="B28" t="s">
        <v>93</v>
      </c>
      <c r="C28" t="s">
        <v>67</v>
      </c>
      <c r="D28">
        <v>-0.27934224041799999</v>
      </c>
      <c r="E28" s="47" t="s">
        <v>209</v>
      </c>
    </row>
    <row r="29" spans="1:5" x14ac:dyDescent="0.25">
      <c r="A29">
        <v>28</v>
      </c>
      <c r="B29" t="s">
        <v>94</v>
      </c>
      <c r="C29" t="s">
        <v>67</v>
      </c>
      <c r="D29" s="46">
        <v>4.3626229225700003E-2</v>
      </c>
      <c r="E29" s="47" t="s">
        <v>164</v>
      </c>
    </row>
    <row r="30" spans="1:5" x14ac:dyDescent="0.25">
      <c r="A30">
        <v>29</v>
      </c>
      <c r="B30" t="s">
        <v>95</v>
      </c>
      <c r="C30" t="s">
        <v>67</v>
      </c>
      <c r="D30" s="46">
        <v>-8.7886819411100006E-2</v>
      </c>
      <c r="E30" s="47" t="s">
        <v>184</v>
      </c>
    </row>
    <row r="31" spans="1:5" x14ac:dyDescent="0.25">
      <c r="A31">
        <v>30</v>
      </c>
      <c r="B31" t="s">
        <v>96</v>
      </c>
      <c r="C31" t="s">
        <v>67</v>
      </c>
      <c r="D31" s="46">
        <v>-4.2894941477000001E-2</v>
      </c>
      <c r="E31" s="47" t="s">
        <v>185</v>
      </c>
    </row>
    <row r="32" spans="1:5" x14ac:dyDescent="0.25">
      <c r="A32">
        <v>31</v>
      </c>
      <c r="B32" t="s">
        <v>97</v>
      </c>
      <c r="C32" t="s">
        <v>67</v>
      </c>
      <c r="D32">
        <v>-0.13045579928000001</v>
      </c>
      <c r="E32" s="47" t="s">
        <v>186</v>
      </c>
    </row>
    <row r="33" spans="1:5" x14ac:dyDescent="0.25">
      <c r="A33">
        <v>32</v>
      </c>
      <c r="B33" t="s">
        <v>98</v>
      </c>
      <c r="C33" t="s">
        <v>67</v>
      </c>
      <c r="D33">
        <v>0.18945088644899999</v>
      </c>
      <c r="E33" s="47" t="s">
        <v>187</v>
      </c>
    </row>
    <row r="34" spans="1:5" x14ac:dyDescent="0.25">
      <c r="A34">
        <v>33</v>
      </c>
      <c r="B34" t="s">
        <v>99</v>
      </c>
      <c r="C34" t="s">
        <v>67</v>
      </c>
      <c r="D34">
        <v>-0.179523169776</v>
      </c>
      <c r="E34" s="47" t="s">
        <v>188</v>
      </c>
    </row>
    <row r="35" spans="1:5" x14ac:dyDescent="0.25">
      <c r="A35">
        <v>34</v>
      </c>
      <c r="B35" t="s">
        <v>100</v>
      </c>
      <c r="C35" t="s">
        <v>67</v>
      </c>
      <c r="D35">
        <v>0.17233347539499999</v>
      </c>
      <c r="E35" s="47" t="s">
        <v>189</v>
      </c>
    </row>
    <row r="36" spans="1:5" x14ac:dyDescent="0.25">
      <c r="A36">
        <v>35</v>
      </c>
      <c r="B36" t="s">
        <v>101</v>
      </c>
      <c r="C36" t="s">
        <v>67</v>
      </c>
      <c r="D36">
        <v>-0.194698386872</v>
      </c>
      <c r="E36" s="47" t="s">
        <v>190</v>
      </c>
    </row>
    <row r="37" spans="1:5" x14ac:dyDescent="0.25">
      <c r="A37">
        <v>36</v>
      </c>
      <c r="B37" t="s">
        <v>102</v>
      </c>
      <c r="C37" t="s">
        <v>67</v>
      </c>
      <c r="D37">
        <v>0.38785322122799998</v>
      </c>
      <c r="E37" s="47" t="s">
        <v>191</v>
      </c>
    </row>
    <row r="38" spans="1:5" x14ac:dyDescent="0.25">
      <c r="A38">
        <v>41</v>
      </c>
      <c r="B38" t="s">
        <v>103</v>
      </c>
      <c r="C38" t="s">
        <v>104</v>
      </c>
      <c r="D38">
        <v>-2.9745332256100001</v>
      </c>
      <c r="E38" s="47" t="s">
        <v>224</v>
      </c>
    </row>
    <row r="39" spans="1:5" x14ac:dyDescent="0.25">
      <c r="A39">
        <v>42</v>
      </c>
      <c r="B39" t="s">
        <v>105</v>
      </c>
      <c r="C39" t="s">
        <v>104</v>
      </c>
      <c r="D39">
        <v>5.0782043482699999</v>
      </c>
      <c r="E39" s="47" t="s">
        <v>210</v>
      </c>
    </row>
    <row r="40" spans="1:5" x14ac:dyDescent="0.25">
      <c r="A40">
        <v>43</v>
      </c>
      <c r="B40" t="s">
        <v>106</v>
      </c>
      <c r="C40" t="s">
        <v>104</v>
      </c>
      <c r="D40">
        <v>-3.0391245094800001</v>
      </c>
      <c r="E40" s="47" t="s">
        <v>211</v>
      </c>
    </row>
    <row r="41" spans="1:5" x14ac:dyDescent="0.25">
      <c r="A41">
        <v>44</v>
      </c>
      <c r="B41" t="s">
        <v>107</v>
      </c>
      <c r="C41" t="s">
        <v>104</v>
      </c>
      <c r="D41">
        <v>-2.3320263859599999</v>
      </c>
      <c r="E41" s="47" t="s">
        <v>212</v>
      </c>
    </row>
    <row r="42" spans="1:5" x14ac:dyDescent="0.25">
      <c r="A42">
        <v>50</v>
      </c>
      <c r="B42" t="s">
        <v>108</v>
      </c>
      <c r="C42" t="s">
        <v>67</v>
      </c>
      <c r="D42">
        <v>0.33566647407</v>
      </c>
    </row>
    <row r="43" spans="1:5" x14ac:dyDescent="0.25">
      <c r="A43">
        <v>51</v>
      </c>
      <c r="B43" t="s">
        <v>109</v>
      </c>
      <c r="C43" t="s">
        <v>67</v>
      </c>
      <c r="D43">
        <v>-0.78911507665199998</v>
      </c>
      <c r="E43" s="47" t="s">
        <v>165</v>
      </c>
    </row>
    <row r="44" spans="1:5" x14ac:dyDescent="0.25">
      <c r="A44">
        <v>52</v>
      </c>
      <c r="B44" t="s">
        <v>110</v>
      </c>
      <c r="C44" t="s">
        <v>67</v>
      </c>
      <c r="D44">
        <v>0.56564055394500001</v>
      </c>
      <c r="E44" s="47" t="s">
        <v>166</v>
      </c>
    </row>
    <row r="45" spans="1:5" x14ac:dyDescent="0.25">
      <c r="A45">
        <v>53</v>
      </c>
      <c r="B45" t="s">
        <v>111</v>
      </c>
      <c r="C45" t="s">
        <v>67</v>
      </c>
      <c r="D45">
        <v>-1.85416848242</v>
      </c>
      <c r="E45" s="47" t="s">
        <v>167</v>
      </c>
    </row>
    <row r="46" spans="1:5" x14ac:dyDescent="0.25">
      <c r="A46">
        <v>54</v>
      </c>
      <c r="B46" t="s">
        <v>112</v>
      </c>
      <c r="C46" t="s">
        <v>67</v>
      </c>
      <c r="D46">
        <v>0</v>
      </c>
      <c r="E46" s="47" t="s">
        <v>168</v>
      </c>
    </row>
    <row r="47" spans="1:5" x14ac:dyDescent="0.25">
      <c r="A47">
        <v>55</v>
      </c>
      <c r="B47" t="s">
        <v>113</v>
      </c>
      <c r="C47" t="s">
        <v>67</v>
      </c>
      <c r="D47">
        <v>-1.1156286956100001</v>
      </c>
      <c r="E47" s="47" t="s">
        <v>169</v>
      </c>
    </row>
    <row r="48" spans="1:5" x14ac:dyDescent="0.25">
      <c r="A48">
        <v>56</v>
      </c>
      <c r="B48" t="s">
        <v>114</v>
      </c>
      <c r="C48" t="s">
        <v>67</v>
      </c>
      <c r="D48">
        <v>-0.81792869186600003</v>
      </c>
      <c r="E48" s="47" t="s">
        <v>170</v>
      </c>
    </row>
    <row r="49" spans="1:5" x14ac:dyDescent="0.25">
      <c r="A49">
        <v>57</v>
      </c>
      <c r="B49" t="s">
        <v>115</v>
      </c>
      <c r="C49" t="s">
        <v>67</v>
      </c>
      <c r="D49">
        <v>-1.04729487823</v>
      </c>
      <c r="E49" s="47" t="s">
        <v>171</v>
      </c>
    </row>
    <row r="50" spans="1:5" x14ac:dyDescent="0.25">
      <c r="A50">
        <v>58</v>
      </c>
      <c r="B50" t="s">
        <v>116</v>
      </c>
      <c r="C50" t="s">
        <v>67</v>
      </c>
      <c r="D50">
        <v>-2.0228517391</v>
      </c>
      <c r="E50" s="47" t="s">
        <v>172</v>
      </c>
    </row>
    <row r="51" spans="1:5" x14ac:dyDescent="0.25">
      <c r="A51">
        <v>59</v>
      </c>
      <c r="B51" t="s">
        <v>117</v>
      </c>
      <c r="C51" t="s">
        <v>67</v>
      </c>
      <c r="D51">
        <v>-1.2945321250099999</v>
      </c>
      <c r="E51" s="47" t="s">
        <v>173</v>
      </c>
    </row>
    <row r="52" spans="1:5" x14ac:dyDescent="0.25">
      <c r="A52">
        <v>60</v>
      </c>
      <c r="B52" t="s">
        <v>118</v>
      </c>
      <c r="C52" t="s">
        <v>67</v>
      </c>
      <c r="D52">
        <v>-0.66178028021599999</v>
      </c>
      <c r="E52" s="47" t="s">
        <v>192</v>
      </c>
    </row>
    <row r="53" spans="1:5" x14ac:dyDescent="0.25">
      <c r="A53">
        <v>61</v>
      </c>
      <c r="B53" t="s">
        <v>119</v>
      </c>
      <c r="C53" t="s">
        <v>67</v>
      </c>
      <c r="D53">
        <v>-0.55504741134900004</v>
      </c>
      <c r="E53" s="47" t="s">
        <v>193</v>
      </c>
    </row>
    <row r="54" spans="1:5" x14ac:dyDescent="0.25">
      <c r="A54">
        <v>62</v>
      </c>
      <c r="B54" t="s">
        <v>120</v>
      </c>
      <c r="C54" t="s">
        <v>67</v>
      </c>
      <c r="D54">
        <v>-1.7449233454799999</v>
      </c>
      <c r="E54" s="47" t="s">
        <v>194</v>
      </c>
    </row>
    <row r="55" spans="1:5" x14ac:dyDescent="0.25">
      <c r="A55">
        <v>63</v>
      </c>
      <c r="B55" t="s">
        <v>121</v>
      </c>
      <c r="C55" t="s">
        <v>67</v>
      </c>
      <c r="D55">
        <v>1.1995398853399999</v>
      </c>
      <c r="E55" s="47" t="s">
        <v>195</v>
      </c>
    </row>
    <row r="56" spans="1:5" x14ac:dyDescent="0.25">
      <c r="A56">
        <v>64</v>
      </c>
      <c r="B56" t="s">
        <v>122</v>
      </c>
      <c r="C56" t="s">
        <v>67</v>
      </c>
      <c r="D56">
        <v>0.19542046398099999</v>
      </c>
      <c r="E56" s="47" t="s">
        <v>196</v>
      </c>
    </row>
    <row r="57" spans="1:5" x14ac:dyDescent="0.25">
      <c r="A57">
        <v>65</v>
      </c>
      <c r="B57" t="s">
        <v>123</v>
      </c>
      <c r="C57" t="s">
        <v>67</v>
      </c>
      <c r="D57">
        <v>-0.90594458676599998</v>
      </c>
      <c r="E57" s="47" t="s">
        <v>197</v>
      </c>
    </row>
    <row r="58" spans="1:5" x14ac:dyDescent="0.25">
      <c r="A58">
        <v>66</v>
      </c>
      <c r="B58" t="s">
        <v>124</v>
      </c>
      <c r="C58" t="s">
        <v>67</v>
      </c>
      <c r="D58">
        <v>-2.05104130438</v>
      </c>
      <c r="E58" s="47" t="s">
        <v>174</v>
      </c>
    </row>
    <row r="59" spans="1:5" x14ac:dyDescent="0.25">
      <c r="A59">
        <v>67</v>
      </c>
      <c r="B59" t="s">
        <v>125</v>
      </c>
      <c r="C59" t="s">
        <v>67</v>
      </c>
      <c r="D59">
        <v>-2.2381608455899999</v>
      </c>
      <c r="E59" s="47" t="s">
        <v>175</v>
      </c>
    </row>
    <row r="60" spans="1:5" x14ac:dyDescent="0.25">
      <c r="A60">
        <v>68</v>
      </c>
      <c r="B60" t="s">
        <v>126</v>
      </c>
      <c r="C60" t="s">
        <v>67</v>
      </c>
      <c r="D60">
        <v>-0.40946320528300001</v>
      </c>
      <c r="E60" s="47" t="s">
        <v>176</v>
      </c>
    </row>
    <row r="61" spans="1:5" x14ac:dyDescent="0.25">
      <c r="A61">
        <v>69</v>
      </c>
      <c r="B61" t="s">
        <v>127</v>
      </c>
      <c r="C61" t="s">
        <v>67</v>
      </c>
      <c r="D61">
        <v>-1.1700902309500001</v>
      </c>
      <c r="E61" s="47" t="s">
        <v>177</v>
      </c>
    </row>
    <row r="62" spans="1:5" x14ac:dyDescent="0.25">
      <c r="A62">
        <v>70</v>
      </c>
      <c r="B62" t="s">
        <v>128</v>
      </c>
      <c r="C62" t="s">
        <v>67</v>
      </c>
      <c r="D62">
        <v>1.8412445021999999</v>
      </c>
      <c r="E62" s="47" t="s">
        <v>178</v>
      </c>
    </row>
    <row r="63" spans="1:5" x14ac:dyDescent="0.25">
      <c r="A63">
        <v>71</v>
      </c>
      <c r="B63" t="s">
        <v>129</v>
      </c>
      <c r="C63" t="s">
        <v>67</v>
      </c>
      <c r="D63">
        <v>0.71619685052500004</v>
      </c>
      <c r="E63" s="47" t="s">
        <v>179</v>
      </c>
    </row>
    <row r="64" spans="1:5" x14ac:dyDescent="0.25">
      <c r="A64">
        <v>72</v>
      </c>
      <c r="B64" t="s">
        <v>130</v>
      </c>
      <c r="C64" t="s">
        <v>67</v>
      </c>
      <c r="D64">
        <v>-0.101060642888</v>
      </c>
      <c r="E64" s="47" t="s">
        <v>180</v>
      </c>
    </row>
    <row r="65" spans="1:5" x14ac:dyDescent="0.25">
      <c r="A65">
        <v>73</v>
      </c>
      <c r="B65" t="s">
        <v>131</v>
      </c>
      <c r="C65" t="s">
        <v>67</v>
      </c>
      <c r="D65">
        <v>-0.34132571646100002</v>
      </c>
      <c r="E65" s="47" t="s">
        <v>181</v>
      </c>
    </row>
    <row r="66" spans="1:5" x14ac:dyDescent="0.25">
      <c r="A66">
        <v>74</v>
      </c>
      <c r="B66" t="s">
        <v>132</v>
      </c>
      <c r="C66" t="s">
        <v>67</v>
      </c>
      <c r="D66">
        <v>1.0486549950899999</v>
      </c>
      <c r="E66" s="47" t="s">
        <v>198</v>
      </c>
    </row>
    <row r="67" spans="1:5" x14ac:dyDescent="0.25">
      <c r="A67">
        <v>75</v>
      </c>
      <c r="B67" t="s">
        <v>133</v>
      </c>
      <c r="C67" t="s">
        <v>67</v>
      </c>
      <c r="D67">
        <v>-30</v>
      </c>
      <c r="E67" s="47" t="s">
        <v>206</v>
      </c>
    </row>
    <row r="68" spans="1:5" x14ac:dyDescent="0.25">
      <c r="A68">
        <v>76</v>
      </c>
      <c r="B68" t="s">
        <v>134</v>
      </c>
      <c r="C68" t="s">
        <v>67</v>
      </c>
      <c r="D68">
        <v>0.91468797064200003</v>
      </c>
      <c r="E68" s="47" t="s">
        <v>207</v>
      </c>
    </row>
    <row r="69" spans="1:5" x14ac:dyDescent="0.25">
      <c r="A69">
        <v>77</v>
      </c>
      <c r="B69" t="s">
        <v>135</v>
      </c>
      <c r="C69" t="s">
        <v>67</v>
      </c>
      <c r="D69">
        <v>-1.1830909132</v>
      </c>
      <c r="E69" s="47" t="s">
        <v>199</v>
      </c>
    </row>
    <row r="70" spans="1:5" x14ac:dyDescent="0.25">
      <c r="A70">
        <v>78</v>
      </c>
      <c r="B70" t="s">
        <v>136</v>
      </c>
      <c r="C70" t="s">
        <v>67</v>
      </c>
      <c r="D70">
        <v>1.4576625009499999</v>
      </c>
      <c r="E70" s="47" t="s">
        <v>208</v>
      </c>
    </row>
    <row r="71" spans="1:5" x14ac:dyDescent="0.25">
      <c r="A71">
        <v>79</v>
      </c>
      <c r="B71" t="s">
        <v>137</v>
      </c>
      <c r="C71" t="s">
        <v>67</v>
      </c>
      <c r="D71">
        <v>-1.62636517084</v>
      </c>
      <c r="E71" s="47" t="s">
        <v>182</v>
      </c>
    </row>
    <row r="72" spans="1:5" x14ac:dyDescent="0.25">
      <c r="A72">
        <v>80</v>
      </c>
      <c r="B72" t="s">
        <v>138</v>
      </c>
      <c r="C72" t="s">
        <v>67</v>
      </c>
      <c r="D72">
        <v>0</v>
      </c>
      <c r="E72" s="47" t="s">
        <v>183</v>
      </c>
    </row>
    <row r="73" spans="1:5" x14ac:dyDescent="0.25">
      <c r="A73">
        <v>90</v>
      </c>
      <c r="B73" t="s">
        <v>139</v>
      </c>
      <c r="C73" t="s">
        <v>67</v>
      </c>
      <c r="D73">
        <v>0</v>
      </c>
      <c r="E73" s="47">
        <v>100</v>
      </c>
    </row>
    <row r="74" spans="1:5" x14ac:dyDescent="0.25">
      <c r="A74">
        <v>98</v>
      </c>
      <c r="B74" t="s">
        <v>140</v>
      </c>
      <c r="C74" t="s">
        <v>104</v>
      </c>
      <c r="D74">
        <v>0.196146395147</v>
      </c>
    </row>
  </sheetData>
  <pageMargins bottom="0.75" footer="0.3" header="0.3" left="0.7" right="0.7" top="0.75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349"/>
  <sheetViews>
    <sheetView workbookViewId="0">
      <selection activeCell="A8" sqref="A8:K348"/>
    </sheetView>
  </sheetViews>
  <sheetFormatPr defaultRowHeight="15" x14ac:dyDescent="0.25"/>
  <sheetData>
    <row r="1" spans="1:10" x14ac:dyDescent="0.25">
      <c r="A1" s="49" t="s">
        <v>247</v>
      </c>
      <c r="H1" t="s">
        <v>254</v>
      </c>
    </row>
    <row r="2" spans="1:10" x14ac:dyDescent="0.25">
      <c r="A2">
        <v>1</v>
      </c>
      <c r="B2" t="s">
        <v>248</v>
      </c>
    </row>
    <row r="3" spans="1:10" x14ac:dyDescent="0.25">
      <c r="A3">
        <v>2</v>
      </c>
      <c r="B3" t="s">
        <v>249</v>
      </c>
    </row>
    <row r="4" spans="1:10" x14ac:dyDescent="0.25">
      <c r="A4">
        <v>3</v>
      </c>
      <c r="B4" t="s">
        <v>251</v>
      </c>
    </row>
    <row r="5" spans="1:10" x14ac:dyDescent="0.25">
      <c r="A5">
        <v>4</v>
      </c>
      <c r="B5" t="s">
        <v>250</v>
      </c>
    </row>
    <row r="8" spans="1:10" x14ac:dyDescent="0.25">
      <c r="A8" t="s">
        <v>239</v>
      </c>
      <c r="B8" t="s">
        <v>240</v>
      </c>
      <c r="C8" t="s">
        <v>259</v>
      </c>
      <c r="D8" t="s">
        <v>260</v>
      </c>
      <c r="E8" t="s">
        <v>261</v>
      </c>
      <c r="F8" t="s">
        <v>262</v>
      </c>
      <c r="G8" t="s">
        <v>263</v>
      </c>
      <c r="H8" t="s">
        <v>264</v>
      </c>
    </row>
    <row r="9" spans="1:10" x14ac:dyDescent="0.25">
      <c r="A9" t="s">
        <v>241</v>
      </c>
      <c r="B9" t="s">
        <v>242</v>
      </c>
      <c r="C9" t="s">
        <v>243</v>
      </c>
      <c r="D9" t="s">
        <v>244</v>
      </c>
      <c r="E9">
        <v>4</v>
      </c>
      <c r="F9" s="52">
        <v>0.67841435185185184</v>
      </c>
      <c r="G9" t="s">
        <v>245</v>
      </c>
      <c r="H9">
        <v>5</v>
      </c>
      <c r="I9" t="s">
        <v>265</v>
      </c>
      <c r="J9">
        <v>12</v>
      </c>
    </row>
    <row r="10" spans="1:10" x14ac:dyDescent="0.25">
      <c r="A10" t="s">
        <v>246</v>
      </c>
    </row>
    <row r="11" spans="1:10" x14ac:dyDescent="0.25">
      <c r="B11">
        <v>1</v>
      </c>
      <c r="C11" t="s">
        <v>66</v>
      </c>
      <c r="D11" t="s">
        <v>67</v>
      </c>
      <c r="E11">
        <v>1</v>
      </c>
      <c r="F11">
        <v>0</v>
      </c>
    </row>
    <row r="12" spans="1:10" x14ac:dyDescent="0.25">
      <c r="B12">
        <v>2</v>
      </c>
      <c r="C12" t="s">
        <v>68</v>
      </c>
      <c r="D12" t="s">
        <v>67</v>
      </c>
      <c r="E12">
        <v>0.7</v>
      </c>
      <c r="F12">
        <v>0</v>
      </c>
    </row>
    <row r="13" spans="1:10" x14ac:dyDescent="0.25">
      <c r="B13">
        <v>3</v>
      </c>
      <c r="C13" t="s">
        <v>69</v>
      </c>
      <c r="D13" t="s">
        <v>67</v>
      </c>
      <c r="E13">
        <v>1</v>
      </c>
      <c r="F13">
        <v>0</v>
      </c>
    </row>
    <row r="14" spans="1:10" x14ac:dyDescent="0.25">
      <c r="B14">
        <v>4</v>
      </c>
      <c r="C14" t="s">
        <v>70</v>
      </c>
      <c r="D14" t="s">
        <v>67</v>
      </c>
      <c r="E14">
        <v>0.5</v>
      </c>
      <c r="F14">
        <v>0</v>
      </c>
    </row>
    <row r="15" spans="1:10" x14ac:dyDescent="0.25">
      <c r="B15">
        <v>5</v>
      </c>
      <c r="C15" t="s">
        <v>71</v>
      </c>
      <c r="D15" t="s">
        <v>67</v>
      </c>
      <c r="E15">
        <v>0</v>
      </c>
      <c r="F15">
        <v>0</v>
      </c>
    </row>
    <row r="16" spans="1:10" x14ac:dyDescent="0.25">
      <c r="B16">
        <v>6</v>
      </c>
      <c r="C16" t="s">
        <v>72</v>
      </c>
      <c r="D16" t="s">
        <v>67</v>
      </c>
      <c r="E16">
        <v>-4.1530549264700003</v>
      </c>
      <c r="F16">
        <v>0</v>
      </c>
    </row>
    <row r="17" spans="2:6" x14ac:dyDescent="0.25">
      <c r="B17">
        <v>7</v>
      </c>
      <c r="C17" t="s">
        <v>73</v>
      </c>
      <c r="D17" t="s">
        <v>67</v>
      </c>
      <c r="E17">
        <v>-1.68452606998</v>
      </c>
      <c r="F17">
        <v>0</v>
      </c>
    </row>
    <row r="18" spans="2:6" x14ac:dyDescent="0.25">
      <c r="B18">
        <v>8</v>
      </c>
      <c r="C18" t="s">
        <v>74</v>
      </c>
      <c r="D18" t="s">
        <v>67</v>
      </c>
      <c r="E18">
        <v>0.13162300973999999</v>
      </c>
      <c r="F18">
        <v>0</v>
      </c>
    </row>
    <row r="19" spans="2:6" x14ac:dyDescent="0.25">
      <c r="B19">
        <v>9</v>
      </c>
      <c r="C19" t="s">
        <v>75</v>
      </c>
      <c r="D19" t="s">
        <v>67</v>
      </c>
      <c r="E19">
        <v>-3.1050660724200001</v>
      </c>
      <c r="F19">
        <v>0</v>
      </c>
    </row>
    <row r="20" spans="2:6" x14ac:dyDescent="0.25">
      <c r="B20">
        <v>10</v>
      </c>
      <c r="C20" t="s">
        <v>76</v>
      </c>
      <c r="D20" t="s">
        <v>67</v>
      </c>
      <c r="E20">
        <v>-3.4653118418800002</v>
      </c>
      <c r="F20">
        <v>0</v>
      </c>
    </row>
    <row r="21" spans="2:6" x14ac:dyDescent="0.25">
      <c r="B21">
        <v>11</v>
      </c>
      <c r="C21" t="s">
        <v>77</v>
      </c>
      <c r="D21" t="s">
        <v>67</v>
      </c>
      <c r="E21">
        <v>-0.22974879339000001</v>
      </c>
      <c r="F21">
        <v>0</v>
      </c>
    </row>
    <row r="22" spans="2:6" x14ac:dyDescent="0.25">
      <c r="B22">
        <v>12</v>
      </c>
      <c r="C22" t="s">
        <v>78</v>
      </c>
      <c r="D22" t="s">
        <v>67</v>
      </c>
      <c r="E22">
        <v>-0.93478838755000004</v>
      </c>
      <c r="F22">
        <v>0</v>
      </c>
    </row>
    <row r="23" spans="2:6" x14ac:dyDescent="0.25">
      <c r="B23">
        <v>13</v>
      </c>
      <c r="C23" t="s">
        <v>79</v>
      </c>
      <c r="D23" t="s">
        <v>67</v>
      </c>
      <c r="E23">
        <v>0.40796503771199999</v>
      </c>
      <c r="F23">
        <v>0</v>
      </c>
    </row>
    <row r="24" spans="2:6" x14ac:dyDescent="0.25">
      <c r="B24">
        <v>14</v>
      </c>
      <c r="C24" t="s">
        <v>80</v>
      </c>
      <c r="D24" t="s">
        <v>67</v>
      </c>
      <c r="E24">
        <v>-0.50293651045300003</v>
      </c>
      <c r="F24">
        <v>0</v>
      </c>
    </row>
    <row r="25" spans="2:6" x14ac:dyDescent="0.25">
      <c r="B25">
        <v>15</v>
      </c>
      <c r="C25" t="s">
        <v>81</v>
      </c>
      <c r="D25" t="s">
        <v>67</v>
      </c>
      <c r="E25">
        <v>-1.61322160644</v>
      </c>
      <c r="F25">
        <v>0</v>
      </c>
    </row>
    <row r="26" spans="2:6" x14ac:dyDescent="0.25">
      <c r="B26">
        <v>16</v>
      </c>
      <c r="C26" t="s">
        <v>82</v>
      </c>
      <c r="D26" t="s">
        <v>67</v>
      </c>
      <c r="E26">
        <v>0.130749629122</v>
      </c>
      <c r="F26">
        <v>0</v>
      </c>
    </row>
    <row r="27" spans="2:6" x14ac:dyDescent="0.25">
      <c r="B27">
        <v>17</v>
      </c>
      <c r="C27" t="s">
        <v>83</v>
      </c>
      <c r="D27" t="s">
        <v>67</v>
      </c>
      <c r="E27" s="46">
        <v>8.4077289836199998E-2</v>
      </c>
      <c r="F27">
        <v>0</v>
      </c>
    </row>
    <row r="28" spans="2:6" x14ac:dyDescent="0.25">
      <c r="B28">
        <v>18</v>
      </c>
      <c r="C28" t="s">
        <v>84</v>
      </c>
      <c r="D28" t="s">
        <v>67</v>
      </c>
      <c r="E28">
        <v>0</v>
      </c>
      <c r="F28">
        <v>0</v>
      </c>
    </row>
    <row r="29" spans="2:6" x14ac:dyDescent="0.25">
      <c r="B29">
        <v>19</v>
      </c>
      <c r="C29" t="s">
        <v>85</v>
      </c>
      <c r="D29" t="s">
        <v>67</v>
      </c>
      <c r="E29">
        <v>0.106386053639</v>
      </c>
      <c r="F29">
        <v>0</v>
      </c>
    </row>
    <row r="30" spans="2:6" x14ac:dyDescent="0.25">
      <c r="B30">
        <v>20</v>
      </c>
      <c r="C30" t="s">
        <v>86</v>
      </c>
      <c r="D30" t="s">
        <v>67</v>
      </c>
      <c r="E30">
        <v>0.88087687792799996</v>
      </c>
      <c r="F30">
        <v>0</v>
      </c>
    </row>
    <row r="31" spans="2:6" x14ac:dyDescent="0.25">
      <c r="B31">
        <v>21</v>
      </c>
      <c r="C31" t="s">
        <v>87</v>
      </c>
      <c r="D31" t="s">
        <v>67</v>
      </c>
      <c r="E31">
        <v>-0.16458061134300001</v>
      </c>
      <c r="F31">
        <v>0</v>
      </c>
    </row>
    <row r="32" spans="2:6" x14ac:dyDescent="0.25">
      <c r="B32">
        <v>22</v>
      </c>
      <c r="C32" t="s">
        <v>88</v>
      </c>
      <c r="D32" t="s">
        <v>67</v>
      </c>
      <c r="E32">
        <v>0.154182014038</v>
      </c>
      <c r="F32">
        <v>0</v>
      </c>
    </row>
    <row r="33" spans="2:6" x14ac:dyDescent="0.25">
      <c r="B33">
        <v>23</v>
      </c>
      <c r="C33" t="s">
        <v>89</v>
      </c>
      <c r="D33" t="s">
        <v>67</v>
      </c>
      <c r="E33" s="46">
        <v>4.79448884421E-2</v>
      </c>
      <c r="F33">
        <v>0</v>
      </c>
    </row>
    <row r="34" spans="2:6" x14ac:dyDescent="0.25">
      <c r="B34">
        <v>24</v>
      </c>
      <c r="C34" t="s">
        <v>90</v>
      </c>
      <c r="D34" t="s">
        <v>67</v>
      </c>
      <c r="E34" s="46">
        <v>6.4843520043099998E-2</v>
      </c>
      <c r="F34">
        <v>0</v>
      </c>
    </row>
    <row r="35" spans="2:6" x14ac:dyDescent="0.25">
      <c r="B35">
        <v>25</v>
      </c>
      <c r="C35" t="s">
        <v>91</v>
      </c>
      <c r="D35" t="s">
        <v>67</v>
      </c>
      <c r="E35">
        <v>0.15272053169499999</v>
      </c>
      <c r="F35">
        <v>0</v>
      </c>
    </row>
    <row r="36" spans="2:6" x14ac:dyDescent="0.25">
      <c r="B36">
        <v>26</v>
      </c>
      <c r="C36" t="s">
        <v>92</v>
      </c>
      <c r="D36" t="s">
        <v>67</v>
      </c>
      <c r="E36" s="46">
        <v>7.2028590735099998E-2</v>
      </c>
      <c r="F36">
        <v>0</v>
      </c>
    </row>
    <row r="37" spans="2:6" x14ac:dyDescent="0.25">
      <c r="B37">
        <v>27</v>
      </c>
      <c r="C37" t="s">
        <v>93</v>
      </c>
      <c r="D37" t="s">
        <v>67</v>
      </c>
      <c r="E37">
        <v>-0.27934224041799999</v>
      </c>
      <c r="F37">
        <v>0</v>
      </c>
    </row>
    <row r="38" spans="2:6" x14ac:dyDescent="0.25">
      <c r="B38">
        <v>28</v>
      </c>
      <c r="C38" t="s">
        <v>94</v>
      </c>
      <c r="D38" t="s">
        <v>67</v>
      </c>
      <c r="E38" s="46">
        <v>4.3626229225700003E-2</v>
      </c>
      <c r="F38">
        <v>0</v>
      </c>
    </row>
    <row r="39" spans="2:6" x14ac:dyDescent="0.25">
      <c r="B39">
        <v>29</v>
      </c>
      <c r="C39" t="s">
        <v>95</v>
      </c>
      <c r="D39" t="s">
        <v>67</v>
      </c>
      <c r="E39" s="46">
        <v>-8.7886819411100006E-2</v>
      </c>
      <c r="F39">
        <v>0</v>
      </c>
    </row>
    <row r="40" spans="2:6" x14ac:dyDescent="0.25">
      <c r="B40">
        <v>30</v>
      </c>
      <c r="C40" t="s">
        <v>96</v>
      </c>
      <c r="D40" t="s">
        <v>67</v>
      </c>
      <c r="E40" s="46">
        <v>-4.2894941477000001E-2</v>
      </c>
      <c r="F40">
        <v>0</v>
      </c>
    </row>
    <row r="41" spans="2:6" x14ac:dyDescent="0.25">
      <c r="B41">
        <v>31</v>
      </c>
      <c r="C41" t="s">
        <v>97</v>
      </c>
      <c r="D41" t="s">
        <v>67</v>
      </c>
      <c r="E41">
        <v>-0.13045579928000001</v>
      </c>
      <c r="F41">
        <v>0</v>
      </c>
    </row>
    <row r="42" spans="2:6" x14ac:dyDescent="0.25">
      <c r="B42">
        <v>32</v>
      </c>
      <c r="C42" t="s">
        <v>98</v>
      </c>
      <c r="D42" t="s">
        <v>67</v>
      </c>
      <c r="E42">
        <v>0.18945088644899999</v>
      </c>
      <c r="F42">
        <v>0</v>
      </c>
    </row>
    <row r="43" spans="2:6" x14ac:dyDescent="0.25">
      <c r="B43">
        <v>33</v>
      </c>
      <c r="C43" t="s">
        <v>99</v>
      </c>
      <c r="D43" t="s">
        <v>67</v>
      </c>
      <c r="E43">
        <v>-0.179523169776</v>
      </c>
      <c r="F43">
        <v>0</v>
      </c>
    </row>
    <row r="44" spans="2:6" x14ac:dyDescent="0.25">
      <c r="B44">
        <v>34</v>
      </c>
      <c r="C44" t="s">
        <v>100</v>
      </c>
      <c r="D44" t="s">
        <v>67</v>
      </c>
      <c r="E44">
        <v>0.17233347539499999</v>
      </c>
      <c r="F44">
        <v>0</v>
      </c>
    </row>
    <row r="45" spans="2:6" x14ac:dyDescent="0.25">
      <c r="B45">
        <v>35</v>
      </c>
      <c r="C45" t="s">
        <v>101</v>
      </c>
      <c r="D45" t="s">
        <v>67</v>
      </c>
      <c r="E45">
        <v>-0.194698386872</v>
      </c>
      <c r="F45">
        <v>0</v>
      </c>
    </row>
    <row r="46" spans="2:6" x14ac:dyDescent="0.25">
      <c r="B46">
        <v>36</v>
      </c>
      <c r="C46" t="s">
        <v>102</v>
      </c>
      <c r="D46" t="s">
        <v>67</v>
      </c>
      <c r="E46">
        <v>0.38785322122799998</v>
      </c>
      <c r="F46">
        <v>0</v>
      </c>
    </row>
    <row r="47" spans="2:6" x14ac:dyDescent="0.25">
      <c r="B47">
        <v>41</v>
      </c>
      <c r="C47" t="s">
        <v>103</v>
      </c>
      <c r="D47" t="s">
        <v>104</v>
      </c>
      <c r="E47">
        <v>-3.8051604915000001</v>
      </c>
      <c r="F47">
        <v>0</v>
      </c>
    </row>
    <row r="48" spans="2:6" x14ac:dyDescent="0.25">
      <c r="B48">
        <v>42</v>
      </c>
      <c r="C48" t="s">
        <v>105</v>
      </c>
      <c r="D48" t="s">
        <v>104</v>
      </c>
      <c r="E48">
        <v>5.07828619993</v>
      </c>
      <c r="F48">
        <v>1.6177792075899999</v>
      </c>
    </row>
    <row r="49" spans="2:6" x14ac:dyDescent="0.25">
      <c r="B49">
        <v>43</v>
      </c>
      <c r="C49" t="s">
        <v>106</v>
      </c>
      <c r="D49" t="s">
        <v>104</v>
      </c>
      <c r="E49">
        <v>-3.0390882271000002</v>
      </c>
      <c r="F49">
        <v>1.4512014550300001</v>
      </c>
    </row>
    <row r="50" spans="2:6" x14ac:dyDescent="0.25">
      <c r="B50">
        <v>44</v>
      </c>
      <c r="C50" t="s">
        <v>107</v>
      </c>
      <c r="D50" t="s">
        <v>104</v>
      </c>
      <c r="E50">
        <v>-2.3320026601800001</v>
      </c>
      <c r="F50">
        <v>0.81624078360300001</v>
      </c>
    </row>
    <row r="51" spans="2:6" x14ac:dyDescent="0.25">
      <c r="B51">
        <v>50</v>
      </c>
      <c r="C51" t="s">
        <v>108</v>
      </c>
      <c r="D51" t="s">
        <v>67</v>
      </c>
      <c r="E51">
        <v>0.33566647407</v>
      </c>
      <c r="F51">
        <v>0</v>
      </c>
    </row>
    <row r="52" spans="2:6" x14ac:dyDescent="0.25">
      <c r="B52">
        <v>51</v>
      </c>
      <c r="C52" t="s">
        <v>109</v>
      </c>
      <c r="D52" t="s">
        <v>67</v>
      </c>
      <c r="E52">
        <v>-0.78911507665199998</v>
      </c>
      <c r="F52">
        <v>0</v>
      </c>
    </row>
    <row r="53" spans="2:6" x14ac:dyDescent="0.25">
      <c r="B53">
        <v>52</v>
      </c>
      <c r="C53" t="s">
        <v>110</v>
      </c>
      <c r="D53" t="s">
        <v>67</v>
      </c>
      <c r="E53">
        <v>0.56564055394500001</v>
      </c>
      <c r="F53">
        <v>0</v>
      </c>
    </row>
    <row r="54" spans="2:6" x14ac:dyDescent="0.25">
      <c r="B54">
        <v>53</v>
      </c>
      <c r="C54" t="s">
        <v>111</v>
      </c>
      <c r="D54" t="s">
        <v>67</v>
      </c>
      <c r="E54">
        <v>-1.85416848242</v>
      </c>
      <c r="F54">
        <v>0</v>
      </c>
    </row>
    <row r="55" spans="2:6" x14ac:dyDescent="0.25">
      <c r="B55">
        <v>54</v>
      </c>
      <c r="C55" t="s">
        <v>112</v>
      </c>
      <c r="D55" t="s">
        <v>67</v>
      </c>
      <c r="E55">
        <v>0</v>
      </c>
      <c r="F55">
        <v>0</v>
      </c>
    </row>
    <row r="56" spans="2:6" x14ac:dyDescent="0.25">
      <c r="B56">
        <v>55</v>
      </c>
      <c r="C56" t="s">
        <v>113</v>
      </c>
      <c r="D56" t="s">
        <v>67</v>
      </c>
      <c r="E56">
        <v>-1.1156286956100001</v>
      </c>
      <c r="F56">
        <v>0</v>
      </c>
    </row>
    <row r="57" spans="2:6" x14ac:dyDescent="0.25">
      <c r="B57">
        <v>56</v>
      </c>
      <c r="C57" t="s">
        <v>114</v>
      </c>
      <c r="D57" t="s">
        <v>67</v>
      </c>
      <c r="E57">
        <v>-0.81792869186600003</v>
      </c>
      <c r="F57">
        <v>0</v>
      </c>
    </row>
    <row r="58" spans="2:6" x14ac:dyDescent="0.25">
      <c r="B58">
        <v>57</v>
      </c>
      <c r="C58" t="s">
        <v>115</v>
      </c>
      <c r="D58" t="s">
        <v>67</v>
      </c>
      <c r="E58">
        <v>-1.04729487823</v>
      </c>
      <c r="F58">
        <v>0</v>
      </c>
    </row>
    <row r="59" spans="2:6" x14ac:dyDescent="0.25">
      <c r="B59">
        <v>58</v>
      </c>
      <c r="C59" t="s">
        <v>116</v>
      </c>
      <c r="D59" t="s">
        <v>67</v>
      </c>
      <c r="E59">
        <v>-2.0228517391</v>
      </c>
      <c r="F59">
        <v>0</v>
      </c>
    </row>
    <row r="60" spans="2:6" x14ac:dyDescent="0.25">
      <c r="B60">
        <v>59</v>
      </c>
      <c r="C60" t="s">
        <v>117</v>
      </c>
      <c r="D60" t="s">
        <v>67</v>
      </c>
      <c r="E60">
        <v>-1.2945321250099999</v>
      </c>
      <c r="F60">
        <v>0</v>
      </c>
    </row>
    <row r="61" spans="2:6" x14ac:dyDescent="0.25">
      <c r="B61">
        <v>60</v>
      </c>
      <c r="C61" t="s">
        <v>118</v>
      </c>
      <c r="D61" t="s">
        <v>67</v>
      </c>
      <c r="E61">
        <v>-0.66178028021599999</v>
      </c>
      <c r="F61">
        <v>0</v>
      </c>
    </row>
    <row r="62" spans="2:6" x14ac:dyDescent="0.25">
      <c r="B62">
        <v>61</v>
      </c>
      <c r="C62" t="s">
        <v>119</v>
      </c>
      <c r="D62" t="s">
        <v>67</v>
      </c>
      <c r="E62">
        <v>-0.55504741134900004</v>
      </c>
      <c r="F62">
        <v>0</v>
      </c>
    </row>
    <row r="63" spans="2:6" x14ac:dyDescent="0.25">
      <c r="B63">
        <v>62</v>
      </c>
      <c r="C63" t="s">
        <v>120</v>
      </c>
      <c r="D63" t="s">
        <v>67</v>
      </c>
      <c r="E63">
        <v>-1.7449233454799999</v>
      </c>
      <c r="F63">
        <v>0</v>
      </c>
    </row>
    <row r="64" spans="2:6" x14ac:dyDescent="0.25">
      <c r="B64">
        <v>63</v>
      </c>
      <c r="C64" t="s">
        <v>121</v>
      </c>
      <c r="D64" t="s">
        <v>67</v>
      </c>
      <c r="E64">
        <v>1.1995398853399999</v>
      </c>
      <c r="F64">
        <v>0</v>
      </c>
    </row>
    <row r="65" spans="2:6" x14ac:dyDescent="0.25">
      <c r="B65">
        <v>64</v>
      </c>
      <c r="C65" t="s">
        <v>122</v>
      </c>
      <c r="D65" t="s">
        <v>67</v>
      </c>
      <c r="E65">
        <v>0.19542046398099999</v>
      </c>
      <c r="F65">
        <v>0</v>
      </c>
    </row>
    <row r="66" spans="2:6" x14ac:dyDescent="0.25">
      <c r="B66">
        <v>65</v>
      </c>
      <c r="C66" t="s">
        <v>123</v>
      </c>
      <c r="D66" t="s">
        <v>67</v>
      </c>
      <c r="E66">
        <v>-0.90594458676599998</v>
      </c>
      <c r="F66">
        <v>0</v>
      </c>
    </row>
    <row r="67" spans="2:6" x14ac:dyDescent="0.25">
      <c r="B67">
        <v>66</v>
      </c>
      <c r="C67" t="s">
        <v>124</v>
      </c>
      <c r="D67" t="s">
        <v>67</v>
      </c>
      <c r="E67">
        <v>-2.05104130438</v>
      </c>
      <c r="F67">
        <v>0</v>
      </c>
    </row>
    <row r="68" spans="2:6" x14ac:dyDescent="0.25">
      <c r="B68">
        <v>67</v>
      </c>
      <c r="C68" t="s">
        <v>125</v>
      </c>
      <c r="D68" t="s">
        <v>67</v>
      </c>
      <c r="E68">
        <v>-2.2381608455899999</v>
      </c>
      <c r="F68">
        <v>0</v>
      </c>
    </row>
    <row r="69" spans="2:6" x14ac:dyDescent="0.25">
      <c r="B69">
        <v>68</v>
      </c>
      <c r="C69" t="s">
        <v>126</v>
      </c>
      <c r="D69" t="s">
        <v>67</v>
      </c>
      <c r="E69">
        <v>-0.40946320528300001</v>
      </c>
      <c r="F69">
        <v>0</v>
      </c>
    </row>
    <row r="70" spans="2:6" x14ac:dyDescent="0.25">
      <c r="B70">
        <v>69</v>
      </c>
      <c r="C70" t="s">
        <v>127</v>
      </c>
      <c r="D70" t="s">
        <v>67</v>
      </c>
      <c r="E70">
        <v>-1.1700902309500001</v>
      </c>
      <c r="F70">
        <v>0</v>
      </c>
    </row>
    <row r="71" spans="2:6" x14ac:dyDescent="0.25">
      <c r="B71">
        <v>70</v>
      </c>
      <c r="C71" t="s">
        <v>128</v>
      </c>
      <c r="D71" t="s">
        <v>67</v>
      </c>
      <c r="E71">
        <v>1.8412445021999999</v>
      </c>
      <c r="F71">
        <v>0</v>
      </c>
    </row>
    <row r="72" spans="2:6" x14ac:dyDescent="0.25">
      <c r="B72">
        <v>71</v>
      </c>
      <c r="C72" t="s">
        <v>129</v>
      </c>
      <c r="D72" t="s">
        <v>67</v>
      </c>
      <c r="E72">
        <v>0.71619685052500004</v>
      </c>
      <c r="F72">
        <v>0</v>
      </c>
    </row>
    <row r="73" spans="2:6" x14ac:dyDescent="0.25">
      <c r="B73">
        <v>72</v>
      </c>
      <c r="C73" t="s">
        <v>130</v>
      </c>
      <c r="D73" t="s">
        <v>67</v>
      </c>
      <c r="E73">
        <v>-0.101060642888</v>
      </c>
      <c r="F73">
        <v>0</v>
      </c>
    </row>
    <row r="74" spans="2:6" x14ac:dyDescent="0.25">
      <c r="B74">
        <v>73</v>
      </c>
      <c r="C74" t="s">
        <v>131</v>
      </c>
      <c r="D74" t="s">
        <v>67</v>
      </c>
      <c r="E74">
        <v>-0.34132571646100002</v>
      </c>
      <c r="F74">
        <v>0</v>
      </c>
    </row>
    <row r="75" spans="2:6" x14ac:dyDescent="0.25">
      <c r="B75">
        <v>74</v>
      </c>
      <c r="C75" t="s">
        <v>132</v>
      </c>
      <c r="D75" t="s">
        <v>67</v>
      </c>
      <c r="E75">
        <v>1.0486549950899999</v>
      </c>
      <c r="F75">
        <v>0</v>
      </c>
    </row>
    <row r="76" spans="2:6" x14ac:dyDescent="0.25">
      <c r="B76">
        <v>75</v>
      </c>
      <c r="C76" t="s">
        <v>133</v>
      </c>
      <c r="D76" t="s">
        <v>67</v>
      </c>
      <c r="E76">
        <v>-30</v>
      </c>
      <c r="F76">
        <v>0</v>
      </c>
    </row>
    <row r="77" spans="2:6" x14ac:dyDescent="0.25">
      <c r="B77">
        <v>76</v>
      </c>
      <c r="C77" t="s">
        <v>134</v>
      </c>
      <c r="D77" t="s">
        <v>67</v>
      </c>
      <c r="E77">
        <v>0.91468797064200003</v>
      </c>
      <c r="F77">
        <v>0</v>
      </c>
    </row>
    <row r="78" spans="2:6" x14ac:dyDescent="0.25">
      <c r="B78">
        <v>77</v>
      </c>
      <c r="C78" t="s">
        <v>135</v>
      </c>
      <c r="D78" t="s">
        <v>67</v>
      </c>
      <c r="E78">
        <v>-1.1830909132</v>
      </c>
      <c r="F78">
        <v>0</v>
      </c>
    </row>
    <row r="79" spans="2:6" x14ac:dyDescent="0.25">
      <c r="B79">
        <v>78</v>
      </c>
      <c r="C79" t="s">
        <v>136</v>
      </c>
      <c r="D79" t="s">
        <v>67</v>
      </c>
      <c r="E79">
        <v>1.4576625009499999</v>
      </c>
      <c r="F79">
        <v>0</v>
      </c>
    </row>
    <row r="80" spans="2:6" x14ac:dyDescent="0.25">
      <c r="B80">
        <v>79</v>
      </c>
      <c r="C80" t="s">
        <v>137</v>
      </c>
      <c r="D80" t="s">
        <v>67</v>
      </c>
      <c r="E80">
        <v>-1.62636517084</v>
      </c>
      <c r="F80">
        <v>0</v>
      </c>
    </row>
    <row r="81" spans="2:11" x14ac:dyDescent="0.25">
      <c r="B81">
        <v>80</v>
      </c>
      <c r="C81" t="s">
        <v>138</v>
      </c>
      <c r="D81" t="s">
        <v>67</v>
      </c>
      <c r="E81">
        <v>0</v>
      </c>
      <c r="F81">
        <v>0</v>
      </c>
    </row>
    <row r="82" spans="2:11" x14ac:dyDescent="0.25">
      <c r="B82">
        <v>98</v>
      </c>
      <c r="C82" t="s">
        <v>140</v>
      </c>
      <c r="D82" t="s">
        <v>104</v>
      </c>
      <c r="E82">
        <v>0.196143079927</v>
      </c>
      <c r="F82" s="46">
        <v>5.2787786365599998E-2</v>
      </c>
    </row>
    <row r="83" spans="2:11" x14ac:dyDescent="0.25">
      <c r="B83">
        <v>-1</v>
      </c>
      <c r="F83" s="46"/>
    </row>
    <row r="84" spans="2:11" x14ac:dyDescent="0.25">
      <c r="B84">
        <v>4094</v>
      </c>
      <c r="C84" s="46">
        <v>-7858.2822859199996</v>
      </c>
      <c r="D84" s="46">
        <v>-18684.837435699999</v>
      </c>
      <c r="E84" s="46">
        <v>-15176.5511826</v>
      </c>
    </row>
    <row r="85" spans="2:11" x14ac:dyDescent="0.25">
      <c r="B85">
        <v>4</v>
      </c>
      <c r="C85" s="46" t="s">
        <v>266</v>
      </c>
      <c r="D85" s="46" t="s">
        <v>245</v>
      </c>
      <c r="E85" s="46">
        <v>5</v>
      </c>
      <c r="F85" t="s">
        <v>265</v>
      </c>
      <c r="G85">
        <v>12</v>
      </c>
    </row>
    <row r="86" spans="2:11" x14ac:dyDescent="0.25"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</row>
    <row r="87" spans="2:11" x14ac:dyDescent="0.25"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2:11" x14ac:dyDescent="0.25"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2:11" x14ac:dyDescent="0.25"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</row>
    <row r="90" spans="2:11" x14ac:dyDescent="0.25"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</row>
    <row r="91" spans="2:11" x14ac:dyDescent="0.25"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2:11" x14ac:dyDescent="0.25"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2:11" x14ac:dyDescent="0.25"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2:11" x14ac:dyDescent="0.25"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2:11" x14ac:dyDescent="0.25"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25"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2:11" x14ac:dyDescent="0.2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2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25"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2:11" x14ac:dyDescent="0.25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2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2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25"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2:11" x14ac:dyDescent="0.25"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2:11" x14ac:dyDescent="0.25"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2:11" x14ac:dyDescent="0.25"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2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2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2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2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2:11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2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</row>
    <row r="127" spans="2:11" x14ac:dyDescent="0.2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2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2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25"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2:11" x14ac:dyDescent="0.25"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2:11" x14ac:dyDescent="0.25"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2:11" x14ac:dyDescent="0.25"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2:11" x14ac:dyDescent="0.25"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25"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2:11" x14ac:dyDescent="0.25"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2:11" x14ac:dyDescent="0.25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2:11" x14ac:dyDescent="0.25">
      <c r="B156">
        <v>0</v>
      </c>
      <c r="C156">
        <v>0</v>
      </c>
      <c r="D156">
        <v>-93357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2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2:11" x14ac:dyDescent="0.2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21016</v>
      </c>
    </row>
    <row r="160" spans="2:11" x14ac:dyDescent="0.25">
      <c r="B160">
        <v>-15064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2:11" x14ac:dyDescent="0.25"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2:11" x14ac:dyDescent="0.25"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2:11" x14ac:dyDescent="0.2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61408</v>
      </c>
      <c r="J163">
        <v>-67476</v>
      </c>
      <c r="K163">
        <v>11445</v>
      </c>
    </row>
    <row r="164" spans="2:11" x14ac:dyDescent="0.25"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2:11" x14ac:dyDescent="0.25"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2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2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2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2:11" x14ac:dyDescent="0.2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2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2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2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25"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2:11" x14ac:dyDescent="0.2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2:11" x14ac:dyDescent="0.2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2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2:11" x14ac:dyDescent="0.25"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2:11" x14ac:dyDescent="0.2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2:11" x14ac:dyDescent="0.25"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2:11" x14ac:dyDescent="0.25"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2:11" x14ac:dyDescent="0.2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2:11" x14ac:dyDescent="0.25"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2:11" x14ac:dyDescent="0.2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25"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2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2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2:11" x14ac:dyDescent="0.25"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2:11" x14ac:dyDescent="0.25"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2:11" x14ac:dyDescent="0.25"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2:11" x14ac:dyDescent="0.25"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2:11" x14ac:dyDescent="0.25"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2:11" x14ac:dyDescent="0.25"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2:11" x14ac:dyDescent="0.25"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2:11" x14ac:dyDescent="0.25"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2:11" x14ac:dyDescent="0.25"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2:11" x14ac:dyDescent="0.25"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2:11" x14ac:dyDescent="0.25"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2:11" x14ac:dyDescent="0.25"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2:11" x14ac:dyDescent="0.25"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2:11" x14ac:dyDescent="0.25"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2:11" x14ac:dyDescent="0.25"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2:11" x14ac:dyDescent="0.25"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2:11" x14ac:dyDescent="0.25"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2:11" x14ac:dyDescent="0.25"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2:11" x14ac:dyDescent="0.25"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25"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2:11" x14ac:dyDescent="0.25"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2:11" x14ac:dyDescent="0.25"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2:11" x14ac:dyDescent="0.25"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2:11" x14ac:dyDescent="0.25"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2:11" x14ac:dyDescent="0.25"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2:11" x14ac:dyDescent="0.25"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2:11" x14ac:dyDescent="0.25"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2:11" x14ac:dyDescent="0.25"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</row>
    <row r="233" spans="2:11" x14ac:dyDescent="0.25"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</row>
    <row r="234" spans="2:11" x14ac:dyDescent="0.25"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</row>
    <row r="235" spans="2:11" x14ac:dyDescent="0.25"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</row>
    <row r="236" spans="2:11" x14ac:dyDescent="0.25"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</row>
    <row r="237" spans="2:11" x14ac:dyDescent="0.25"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</row>
    <row r="238" spans="2:11" x14ac:dyDescent="0.25"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</row>
    <row r="239" spans="2:11" x14ac:dyDescent="0.25"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</row>
    <row r="240" spans="2:11" x14ac:dyDescent="0.25"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2:11" x14ac:dyDescent="0.25"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</row>
    <row r="242" spans="2:11" x14ac:dyDescent="0.2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2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2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2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25"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2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25"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  <row r="251" spans="2:11" x14ac:dyDescent="0.25"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</row>
    <row r="252" spans="2:11" x14ac:dyDescent="0.25"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</row>
    <row r="253" spans="2:11" x14ac:dyDescent="0.25"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</row>
    <row r="254" spans="2:11" x14ac:dyDescent="0.25"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</row>
    <row r="255" spans="2:11" x14ac:dyDescent="0.25"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</row>
    <row r="256" spans="2:11" x14ac:dyDescent="0.25"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</row>
    <row r="257" spans="2:11" x14ac:dyDescent="0.25"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</row>
    <row r="258" spans="2:11" x14ac:dyDescent="0.25"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</row>
    <row r="259" spans="2:11" x14ac:dyDescent="0.25"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</row>
    <row r="260" spans="2:11" x14ac:dyDescent="0.25"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</row>
    <row r="261" spans="2:11" x14ac:dyDescent="0.25"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</row>
    <row r="262" spans="2:11" x14ac:dyDescent="0.25"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</row>
    <row r="263" spans="2:11" x14ac:dyDescent="0.25"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</row>
    <row r="264" spans="2:11" x14ac:dyDescent="0.25"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</row>
    <row r="265" spans="2:11" x14ac:dyDescent="0.25"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</row>
    <row r="266" spans="2:11" x14ac:dyDescent="0.25"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</row>
    <row r="267" spans="2:11" x14ac:dyDescent="0.25"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</row>
    <row r="268" spans="2:11" x14ac:dyDescent="0.25"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</row>
    <row r="269" spans="2:11" x14ac:dyDescent="0.25"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</row>
    <row r="276" spans="2:11" x14ac:dyDescent="0.25"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</row>
    <row r="277" spans="2:11" x14ac:dyDescent="0.25"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</row>
    <row r="278" spans="2:11" x14ac:dyDescent="0.25"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</row>
    <row r="279" spans="2:11" x14ac:dyDescent="0.25"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</row>
    <row r="280" spans="2:11" x14ac:dyDescent="0.25"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</row>
    <row r="281" spans="2:11" x14ac:dyDescent="0.25"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</row>
    <row r="288" spans="2:11" x14ac:dyDescent="0.25"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</row>
    <row r="289" spans="2:11" x14ac:dyDescent="0.25"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2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2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25"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</row>
    <row r="293" spans="2:11" x14ac:dyDescent="0.25"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</row>
    <row r="294" spans="2:11" x14ac:dyDescent="0.25"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</row>
    <row r="295" spans="2:11" x14ac:dyDescent="0.25"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</row>
    <row r="296" spans="2:11" x14ac:dyDescent="0.25"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</row>
    <row r="297" spans="2:11" x14ac:dyDescent="0.25"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</row>
    <row r="298" spans="2:11" x14ac:dyDescent="0.25"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</row>
    <row r="299" spans="2:11" x14ac:dyDescent="0.25"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</row>
    <row r="300" spans="2:11" x14ac:dyDescent="0.25"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</row>
    <row r="301" spans="2:11" x14ac:dyDescent="0.25"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</row>
    <row r="302" spans="2:11" x14ac:dyDescent="0.25"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</row>
    <row r="303" spans="2:11" x14ac:dyDescent="0.25"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</row>
    <row r="304" spans="2:11" x14ac:dyDescent="0.25"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</row>
    <row r="305" spans="2:11" x14ac:dyDescent="0.25"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</row>
    <row r="306" spans="2:11" x14ac:dyDescent="0.25"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</row>
    <row r="307" spans="2:11" x14ac:dyDescent="0.25"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</row>
    <row r="308" spans="2:11" x14ac:dyDescent="0.25"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</row>
    <row r="309" spans="2:11" x14ac:dyDescent="0.25"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</row>
    <row r="310" spans="2:11" x14ac:dyDescent="0.25"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</row>
    <row r="311" spans="2:11" x14ac:dyDescent="0.25"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</row>
    <row r="312" spans="2:11" x14ac:dyDescent="0.25"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</row>
    <row r="313" spans="2:11" x14ac:dyDescent="0.25"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</row>
    <row r="314" spans="2:11" x14ac:dyDescent="0.25"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</row>
    <row r="315" spans="2:11" x14ac:dyDescent="0.25"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</row>
    <row r="316" spans="2:11" x14ac:dyDescent="0.25"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</row>
    <row r="317" spans="2:11" x14ac:dyDescent="0.25"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</row>
    <row r="318" spans="2:11" x14ac:dyDescent="0.25"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</row>
    <row r="319" spans="2:11" x14ac:dyDescent="0.25"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</row>
    <row r="320" spans="2:11" x14ac:dyDescent="0.25"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</row>
    <row r="321" spans="2:11" x14ac:dyDescent="0.25"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</row>
    <row r="322" spans="2:11" x14ac:dyDescent="0.25"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</row>
    <row r="323" spans="2:11" x14ac:dyDescent="0.25"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</row>
    <row r="324" spans="2:11" x14ac:dyDescent="0.25"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</row>
    <row r="325" spans="2:11" x14ac:dyDescent="0.25"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</row>
    <row r="326" spans="2:11" x14ac:dyDescent="0.25"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</row>
    <row r="327" spans="2:11" x14ac:dyDescent="0.25"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</row>
    <row r="328" spans="2:11" x14ac:dyDescent="0.25"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</row>
    <row r="329" spans="2:11" x14ac:dyDescent="0.25"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</row>
    <row r="330" spans="2:11" x14ac:dyDescent="0.25"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</row>
    <row r="331" spans="2:11" x14ac:dyDescent="0.25"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</row>
    <row r="332" spans="2:11" x14ac:dyDescent="0.25"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</row>
    <row r="333" spans="2:11" x14ac:dyDescent="0.25"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</row>
    <row r="334" spans="2:11" x14ac:dyDescent="0.25"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</row>
    <row r="335" spans="2:11" x14ac:dyDescent="0.25"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</row>
    <row r="336" spans="2:11" x14ac:dyDescent="0.25"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</row>
    <row r="337" spans="2:11" x14ac:dyDescent="0.25"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</row>
    <row r="338" spans="2:11" x14ac:dyDescent="0.25"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</row>
    <row r="339" spans="2:11" x14ac:dyDescent="0.25"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</row>
    <row r="340" spans="2:11" x14ac:dyDescent="0.25"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</row>
    <row r="341" spans="2:11" x14ac:dyDescent="0.25"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</row>
    <row r="342" spans="2:11" x14ac:dyDescent="0.25"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</row>
    <row r="343" spans="2:11" x14ac:dyDescent="0.25"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</row>
    <row r="344" spans="2:11" x14ac:dyDescent="0.25"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</row>
    <row r="345" spans="2:11" x14ac:dyDescent="0.25">
      <c r="B345">
        <v>0</v>
      </c>
      <c r="C345">
        <v>0</v>
      </c>
      <c r="D345">
        <v>99207</v>
      </c>
      <c r="E345">
        <v>-91957</v>
      </c>
      <c r="F345">
        <v>23803</v>
      </c>
      <c r="G345">
        <v>66371</v>
      </c>
      <c r="H345">
        <v>0</v>
      </c>
      <c r="I345">
        <v>0</v>
      </c>
      <c r="J345">
        <v>0</v>
      </c>
      <c r="K345">
        <v>0</v>
      </c>
    </row>
    <row r="346" spans="2:11" x14ac:dyDescent="0.25"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</row>
    <row r="347" spans="2:11" x14ac:dyDescent="0.25"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</row>
    <row r="348" spans="2:11" x14ac:dyDescent="0.25"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</row>
    <row r="349" spans="2:11" x14ac:dyDescent="0.25"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</row>
  </sheetData>
  <pageMargins bottom="0.75" footer="0.3" header="0.3" left="0.7" right="0.7" top="0.75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W75"/>
  <sheetViews>
    <sheetView workbookViewId="0">
      <selection activeCell="L6" sqref="L6"/>
    </sheetView>
  </sheetViews>
  <sheetFormatPr defaultRowHeight="15" x14ac:dyDescent="0.25"/>
  <cols>
    <col min="1" max="1" bestFit="true" customWidth="true" width="12.7109375" collapsed="true"/>
    <col min="2" max="2" bestFit="true" customWidth="true" width="11.5703125" collapsed="true"/>
    <col min="3" max="4" bestFit="true" customWidth="true" width="10.5703125" collapsed="true"/>
    <col min="5" max="5" bestFit="true" customWidth="true" width="11.5703125" collapsed="true"/>
    <col min="7" max="7" bestFit="true" customWidth="true" width="12.7109375" collapsed="true"/>
    <col min="8" max="8" bestFit="true" customWidth="true" width="11.5703125" collapsed="true"/>
    <col min="9" max="10" bestFit="true" customWidth="true" width="10.5703125" collapsed="true"/>
    <col min="11" max="11" bestFit="true" customWidth="true" width="11.5703125" collapsed="true"/>
    <col min="13" max="13" bestFit="true" customWidth="true" width="10.85546875" collapsed="true"/>
    <col min="14" max="14" bestFit="true" customWidth="true" width="16.42578125" collapsed="true"/>
    <col min="15" max="15" bestFit="true" customWidth="true" width="9.42578125" collapsed="true"/>
    <col min="16" max="16" customWidth="true" width="5.5703125" collapsed="true"/>
    <col min="17" max="17" bestFit="true" customWidth="true" width="16.42578125" collapsed="true"/>
    <col min="21" max="21" bestFit="true" customWidth="true" width="10.0" collapsed="true"/>
    <col min="22" max="23" bestFit="true" customWidth="true" width="17.5703125" collapsed="true"/>
  </cols>
  <sheetData>
    <row r="1" spans="1:23" x14ac:dyDescent="0.25">
      <c r="M1" s="49" t="s">
        <v>247</v>
      </c>
      <c r="T1" s="49" t="s">
        <v>237</v>
      </c>
    </row>
    <row r="2" spans="1:23" x14ac:dyDescent="0.25">
      <c r="M2">
        <v>1</v>
      </c>
      <c r="N2" t="s">
        <v>255</v>
      </c>
      <c r="V2" s="60" t="s">
        <v>252</v>
      </c>
      <c r="W2" s="60" t="s">
        <v>253</v>
      </c>
    </row>
    <row r="3" spans="1:23" x14ac:dyDescent="0.25">
      <c r="M3">
        <v>2</v>
      </c>
      <c r="N3" t="s">
        <v>256</v>
      </c>
      <c r="T3">
        <v>1</v>
      </c>
      <c r="U3" t="s">
        <v>66</v>
      </c>
      <c r="V3" s="54">
        <f>WorkLocationCoefficients!E11</f>
        <v>1</v>
      </c>
      <c r="W3" s="59">
        <f>V3</f>
        <v>1</v>
      </c>
    </row>
    <row r="4" spans="1:23" x14ac:dyDescent="0.25">
      <c r="C4" s="11" t="s">
        <v>213</v>
      </c>
      <c r="I4" s="11" t="s">
        <v>230</v>
      </c>
      <c r="T4">
        <v>2</v>
      </c>
      <c r="U4" t="s">
        <v>68</v>
      </c>
      <c r="V4" s="54">
        <f>WorkLocationCoefficients!E12</f>
        <v>0.7</v>
      </c>
      <c r="W4" s="59">
        <f ref="W4:W67" si="0" t="shared">V4</f>
        <v>0.7</v>
      </c>
    </row>
    <row ht="15.75" r="5" spans="1:23" thickBot="1" x14ac:dyDescent="0.3">
      <c r="A5" s="49" t="s">
        <v>231</v>
      </c>
      <c r="M5" s="72"/>
      <c r="N5" s="43"/>
      <c r="O5" s="43"/>
      <c r="P5" s="43"/>
      <c r="Q5" s="43"/>
      <c r="T5">
        <v>3</v>
      </c>
      <c r="U5" t="s">
        <v>69</v>
      </c>
      <c r="V5" s="54">
        <f>WorkLocationCoefficients!E13</f>
        <v>1</v>
      </c>
      <c r="W5" s="59">
        <f si="0" t="shared"/>
        <v>1</v>
      </c>
    </row>
    <row r="6" spans="1:23" x14ac:dyDescent="0.25">
      <c r="A6" s="5" t="s">
        <v>3</v>
      </c>
      <c r="B6" s="5" t="s">
        <v>9</v>
      </c>
      <c r="C6" s="5" t="s">
        <v>10</v>
      </c>
      <c r="D6" s="5" t="s">
        <v>11</v>
      </c>
      <c r="E6" s="5" t="s">
        <v>229</v>
      </c>
      <c r="G6" s="5" t="s">
        <v>3</v>
      </c>
      <c r="H6" s="5" t="s">
        <v>9</v>
      </c>
      <c r="I6" s="5" t="s">
        <v>10</v>
      </c>
      <c r="J6" s="5" t="s">
        <v>11</v>
      </c>
      <c r="K6" s="5" t="s">
        <v>229</v>
      </c>
      <c r="M6" s="73"/>
      <c r="N6" s="73"/>
      <c r="O6" s="73"/>
      <c r="P6" s="73"/>
      <c r="Q6" s="73"/>
      <c r="T6">
        <v>4</v>
      </c>
      <c r="U6" t="s">
        <v>70</v>
      </c>
      <c r="V6" s="54">
        <f>WorkLocationCoefficients!E14</f>
        <v>0.5</v>
      </c>
      <c r="W6" s="59">
        <f si="0" t="shared"/>
        <v>0.5</v>
      </c>
    </row>
    <row r="7" spans="1:23" x14ac:dyDescent="0.25">
      <c r="A7" s="48" t="s">
        <v>225</v>
      </c>
      <c r="B7" s="78">
        <f>SUM(TLFD!B11:B13)+0.5*(TLFD!B14)</f>
        <v>50764.920899999997</v>
      </c>
      <c r="C7" s="78">
        <f>SUM(TLFD!C11:C13)+0.5*(TLFD!C14)</f>
        <v>22905.0936</v>
      </c>
      <c r="D7" s="78">
        <f>SUM(TLFD!D11:D13)+0.5*(TLFD!D14)</f>
        <v>1649.7971500000001</v>
      </c>
      <c r="E7" s="78">
        <f>SUM(B7:D7)</f>
        <v>75319.811649999989</v>
      </c>
      <c r="G7" s="48" t="s">
        <v>225</v>
      </c>
      <c r="H7" s="78">
        <f>SUM(TLFD!H11:H13)+0.5*(TLFD!H14)</f>
        <v>175063.5</v>
      </c>
      <c r="I7" s="78">
        <f>SUM(TLFD!I11:I13)+0.5*(TLFD!I14)</f>
        <v>69073</v>
      </c>
      <c r="J7" s="78">
        <f>SUM(TLFD!J11:J13)+0.5*(TLFD!J14)</f>
        <v>20107.5</v>
      </c>
      <c r="K7" s="78">
        <f>SUM(H7:J7)</f>
        <v>264244</v>
      </c>
      <c r="M7" s="43"/>
      <c r="N7" s="64"/>
      <c r="O7" s="65"/>
      <c r="P7" s="65"/>
      <c r="Q7" s="64"/>
      <c r="T7">
        <v>5</v>
      </c>
      <c r="U7" t="s">
        <v>71</v>
      </c>
      <c r="V7" s="54">
        <f>WorkLocationCoefficients!E15</f>
        <v>0</v>
      </c>
      <c r="W7" s="59">
        <f si="0" t="shared"/>
        <v>0</v>
      </c>
    </row>
    <row r="8" spans="1:23" x14ac:dyDescent="0.25">
      <c r="A8" s="48" t="s">
        <v>226</v>
      </c>
      <c r="B8" s="78">
        <f>0.5*(TLFD!B14)+SUM(TLFD!B15:B20)</f>
        <v>466005.69390000001</v>
      </c>
      <c r="C8" s="78">
        <f>0.5*(TLFD!C14)+SUM(TLFD!C15:C20)</f>
        <v>123311.9424</v>
      </c>
      <c r="D8" s="78">
        <f>0.5*(TLFD!D14)+SUM(TLFD!D15:D20)</f>
        <v>23937.204749999997</v>
      </c>
      <c r="E8" s="78">
        <f>SUM(B8:D8)</f>
        <v>613254.84105000005</v>
      </c>
      <c r="G8" s="48" t="s">
        <v>226</v>
      </c>
      <c r="H8" s="78">
        <f>0.5*(TLFD!H14)+SUM(TLFD!H15:H20)</f>
        <v>406933.5</v>
      </c>
      <c r="I8" s="78">
        <f>0.5*(TLFD!I14)+SUM(TLFD!I15:I20)</f>
        <v>120805</v>
      </c>
      <c r="J8" s="78">
        <f>0.5*(TLFD!J14)+SUM(TLFD!J15:J20)</f>
        <v>34308.5</v>
      </c>
      <c r="K8" s="78">
        <f>SUM(H8:J8)</f>
        <v>562047</v>
      </c>
      <c r="M8" s="43" t="s">
        <v>269</v>
      </c>
      <c r="N8" s="64"/>
      <c r="O8" s="65"/>
      <c r="P8" s="65"/>
      <c r="Q8" s="64"/>
      <c r="T8" s="53">
        <v>6</v>
      </c>
      <c r="U8" s="53" t="s">
        <v>72</v>
      </c>
      <c r="V8" s="55">
        <f>WorkLocationCoefficients!E16</f>
        <v>-4.1530549264700003</v>
      </c>
      <c r="W8" s="59">
        <f>Q14</f>
        <v>-4.1530549264700003</v>
      </c>
    </row>
    <row r="9" spans="1:23" x14ac:dyDescent="0.25">
      <c r="A9" s="66" t="s">
        <v>227</v>
      </c>
      <c r="B9" s="80">
        <f>SUM(TLFD!B21:B101)</f>
        <v>693744.63519999955</v>
      </c>
      <c r="C9" s="80">
        <f>SUM(TLFD!C21:C101)</f>
        <v>155103.19539999991</v>
      </c>
      <c r="D9" s="80">
        <f>SUM(TLFD!D21:D101)</f>
        <v>32082.617399999996</v>
      </c>
      <c r="E9" s="80">
        <f>SUM(B9:D9)</f>
        <v>880930.44799999951</v>
      </c>
      <c r="G9" s="66" t="s">
        <v>227</v>
      </c>
      <c r="H9" s="80">
        <f>SUM(TLFD!H21:H101)</f>
        <v>664229</v>
      </c>
      <c r="I9" s="80">
        <f>SUM(TLFD!I21:I101)</f>
        <v>109939</v>
      </c>
      <c r="J9" s="80">
        <f>SUM(TLFD!J21:J101)</f>
        <v>26572</v>
      </c>
      <c r="K9" s="80">
        <f>SUM(H9:J9)</f>
        <v>800740</v>
      </c>
      <c r="M9" s="43" t="s">
        <v>270</v>
      </c>
      <c r="N9" s="64"/>
      <c r="O9" s="65"/>
      <c r="P9" s="65"/>
      <c r="Q9" s="64"/>
      <c r="T9" s="53">
        <v>7</v>
      </c>
      <c r="U9" s="53" t="s">
        <v>73</v>
      </c>
      <c r="V9" s="55">
        <f>WorkLocationCoefficients!E17</f>
        <v>-1.68452606998</v>
      </c>
      <c r="W9" s="59">
        <f ref="W9:W10" si="1" t="shared">Q15</f>
        <v>-0.31103481603115268</v>
      </c>
    </row>
    <row ht="15.75" r="10" spans="1:23" thickBot="1" x14ac:dyDescent="0.3">
      <c r="A10" s="68" t="s">
        <v>4</v>
      </c>
      <c r="B10" s="81">
        <f>SUM(B7:B9)</f>
        <v>1210515.2499999995</v>
      </c>
      <c r="C10" s="81">
        <f ref="C10:E10" si="2" t="shared">SUM(C7:C9)</f>
        <v>301320.23139999993</v>
      </c>
      <c r="D10" s="81">
        <f si="2" t="shared"/>
        <v>57669.619299999991</v>
      </c>
      <c r="E10" s="81">
        <f si="2" t="shared"/>
        <v>1569505.1006999994</v>
      </c>
      <c r="F10" s="43"/>
      <c r="G10" s="68" t="s">
        <v>4</v>
      </c>
      <c r="H10" s="81">
        <f>SUM(H7:H9)</f>
        <v>1246226</v>
      </c>
      <c r="I10" s="81">
        <f ref="I10:K10" si="3" t="shared">SUM(I7:I9)</f>
        <v>299817</v>
      </c>
      <c r="J10" s="81">
        <f si="3" t="shared"/>
        <v>80988</v>
      </c>
      <c r="K10" s="81">
        <f si="3" t="shared"/>
        <v>1627031</v>
      </c>
      <c r="L10" s="43"/>
      <c r="M10" s="43" t="s">
        <v>271</v>
      </c>
      <c r="N10" s="43"/>
      <c r="O10" s="43"/>
      <c r="P10" s="43"/>
      <c r="Q10" s="43"/>
      <c r="T10" s="53">
        <v>8</v>
      </c>
      <c r="U10" s="53" t="s">
        <v>74</v>
      </c>
      <c r="V10" s="55">
        <f>WorkLocationCoefficients!E18</f>
        <v>0.13162300973999999</v>
      </c>
      <c r="W10" s="59">
        <f si="1" t="shared"/>
        <v>1.2484213946366707</v>
      </c>
    </row>
    <row r="11" spans="1:23" x14ac:dyDescent="0.25">
      <c r="T11">
        <v>9</v>
      </c>
      <c r="U11" t="s">
        <v>75</v>
      </c>
      <c r="V11" s="54">
        <f>WorkLocationCoefficients!E19</f>
        <v>-3.1050660724200001</v>
      </c>
      <c r="W11" s="59">
        <f si="0" t="shared"/>
        <v>-3.1050660724200001</v>
      </c>
    </row>
    <row ht="15.75" r="12" spans="1:23" thickBot="1" x14ac:dyDescent="0.3">
      <c r="A12" s="61" t="s">
        <v>267</v>
      </c>
      <c r="M12" s="11" t="s">
        <v>236</v>
      </c>
      <c r="T12">
        <v>10</v>
      </c>
      <c r="U12" t="s">
        <v>76</v>
      </c>
      <c r="V12" s="54">
        <f>WorkLocationCoefficients!E20</f>
        <v>-3.4653118418800002</v>
      </c>
      <c r="W12" s="59">
        <f si="0" t="shared"/>
        <v>-3.4653118418800002</v>
      </c>
    </row>
    <row r="13" spans="1:23" x14ac:dyDescent="0.25">
      <c r="A13" s="5" t="s">
        <v>3</v>
      </c>
      <c r="B13" s="5" t="s">
        <v>9</v>
      </c>
      <c r="C13" s="5" t="s">
        <v>10</v>
      </c>
      <c r="D13" s="5" t="s">
        <v>11</v>
      </c>
      <c r="E13" s="5" t="s">
        <v>229</v>
      </c>
      <c r="G13" s="5" t="s">
        <v>3</v>
      </c>
      <c r="H13" s="5" t="s">
        <v>9</v>
      </c>
      <c r="I13" s="5" t="s">
        <v>10</v>
      </c>
      <c r="J13" s="5" t="s">
        <v>11</v>
      </c>
      <c r="K13" s="5" t="s">
        <v>229</v>
      </c>
      <c r="M13" s="5" t="s">
        <v>238</v>
      </c>
      <c r="N13" s="5" t="s">
        <v>234</v>
      </c>
      <c r="O13" s="5" t="s">
        <v>232</v>
      </c>
      <c r="P13" s="5" t="s">
        <v>233</v>
      </c>
      <c r="Q13" s="5" t="s">
        <v>235</v>
      </c>
      <c r="T13">
        <v>11</v>
      </c>
      <c r="U13" t="s">
        <v>77</v>
      </c>
      <c r="V13" s="54">
        <f>WorkLocationCoefficients!E21</f>
        <v>-0.22974879339000001</v>
      </c>
      <c r="W13" s="59">
        <f si="0" t="shared"/>
        <v>-0.22974879339000001</v>
      </c>
    </row>
    <row r="14" spans="1:23" x14ac:dyDescent="0.25">
      <c r="A14" s="48" t="s">
        <v>225</v>
      </c>
      <c r="B14" s="77">
        <f>B7/B$10</f>
        <v>4.1936622359776153E-2</v>
      </c>
      <c r="C14" s="69">
        <f ref="C14:E14" si="4" t="shared">C7/C$10</f>
        <v>7.6015783917256094E-2</v>
      </c>
      <c r="D14" s="69">
        <f si="4" t="shared"/>
        <v>2.8607734367339589E-2</v>
      </c>
      <c r="E14" s="69">
        <f si="4" t="shared"/>
        <v>4.7989529703603609E-2</v>
      </c>
      <c r="G14" s="48" t="s">
        <v>225</v>
      </c>
      <c r="H14" s="77">
        <f>H7/H$10</f>
        <v>0.14047492188415264</v>
      </c>
      <c r="I14" s="69">
        <f ref="I14:K14" si="5" t="shared">I7/I$10</f>
        <v>0.23038386749250375</v>
      </c>
      <c r="J14" s="69">
        <f si="5" t="shared"/>
        <v>0.24827752259594013</v>
      </c>
      <c r="K14" s="69">
        <f si="5" t="shared"/>
        <v>0.16240870641063385</v>
      </c>
      <c r="M14">
        <v>6</v>
      </c>
      <c r="N14" s="56">
        <f>V8</f>
        <v>-4.1530549264700003</v>
      </c>
      <c r="O14" s="9">
        <f>B14/H14</f>
        <v>0.29853458394773552</v>
      </c>
      <c r="P14" s="9">
        <f>LN(O14)-LN(O$14)</f>
        <v>0</v>
      </c>
      <c r="Q14" s="55">
        <f>N14+P14</f>
        <v>-4.1530549264700003</v>
      </c>
      <c r="T14">
        <v>12</v>
      </c>
      <c r="U14" t="s">
        <v>78</v>
      </c>
      <c r="V14" s="54">
        <f>WorkLocationCoefficients!E22</f>
        <v>-0.93478838755000004</v>
      </c>
      <c r="W14" s="59">
        <f si="0" t="shared"/>
        <v>-0.93478838755000004</v>
      </c>
    </row>
    <row r="15" spans="1:23" x14ac:dyDescent="0.25">
      <c r="A15" s="48" t="s">
        <v>226</v>
      </c>
      <c r="B15" s="77">
        <f ref="B15:E15" si="6" t="shared">B8/B$10</f>
        <v>0.38496474447554474</v>
      </c>
      <c r="C15" s="69">
        <f si="6" t="shared"/>
        <v>0.40923884143811268</v>
      </c>
      <c r="D15" s="69">
        <f si="6" t="shared"/>
        <v>0.41507478357846556</v>
      </c>
      <c r="E15" s="69">
        <f si="6" t="shared"/>
        <v>0.39073134631833201</v>
      </c>
      <c r="G15" s="48" t="s">
        <v>226</v>
      </c>
      <c r="H15" s="77">
        <f ref="H15:K15" si="7" t="shared">H8/H$10</f>
        <v>0.32653266742950315</v>
      </c>
      <c r="I15" s="69">
        <f si="7" t="shared"/>
        <v>0.40292912009659226</v>
      </c>
      <c r="J15" s="69">
        <f si="7" t="shared"/>
        <v>0.42362448757840665</v>
      </c>
      <c r="K15" s="69">
        <f si="7" t="shared"/>
        <v>0.34544332591081545</v>
      </c>
      <c r="M15">
        <v>7</v>
      </c>
      <c r="N15" s="56">
        <f ref="N15:N16" si="8" t="shared">V9</f>
        <v>-1.68452606998</v>
      </c>
      <c r="O15" s="9">
        <f>B15/H15</f>
        <v>1.1789471096598836</v>
      </c>
      <c r="P15" s="9">
        <f ref="P15" si="9" t="shared">LN(O15)-LN(O$14)</f>
        <v>1.3734912539488473</v>
      </c>
      <c r="Q15" s="55">
        <f>N15+P15</f>
        <v>-0.31103481603115268</v>
      </c>
      <c r="T15">
        <v>13</v>
      </c>
      <c r="U15" t="s">
        <v>79</v>
      </c>
      <c r="V15" s="54">
        <f>WorkLocationCoefficients!E23</f>
        <v>0.40796503771199999</v>
      </c>
      <c r="W15" s="59">
        <f si="0" t="shared"/>
        <v>0.40796503771199999</v>
      </c>
    </row>
    <row r="16" spans="1:23" x14ac:dyDescent="0.25">
      <c r="A16" s="66" t="s">
        <v>227</v>
      </c>
      <c r="B16" s="77">
        <f ref="B16:E16" si="10" t="shared">B9/B$10</f>
        <v>0.57309863316467913</v>
      </c>
      <c r="C16" s="69">
        <f si="10" t="shared"/>
        <v>0.5147453746446311</v>
      </c>
      <c r="D16" s="69">
        <f si="10" t="shared"/>
        <v>0.55631748205419485</v>
      </c>
      <c r="E16" s="69">
        <f si="10" t="shared"/>
        <v>0.56127912397806445</v>
      </c>
      <c r="G16" s="66" t="s">
        <v>227</v>
      </c>
      <c r="H16" s="77">
        <f ref="H16:K16" si="11" t="shared">H9/H$10</f>
        <v>0.53299241068634418</v>
      </c>
      <c r="I16" s="69">
        <f si="11" t="shared"/>
        <v>0.36668701241090401</v>
      </c>
      <c r="J16" s="69">
        <f si="11" t="shared"/>
        <v>0.32809798982565319</v>
      </c>
      <c r="K16" s="69">
        <f si="11" t="shared"/>
        <v>0.49214796767855068</v>
      </c>
      <c r="L16" s="43"/>
      <c r="M16" s="6">
        <v>8</v>
      </c>
      <c r="N16" s="57">
        <f si="8" t="shared"/>
        <v>0.13162300973999999</v>
      </c>
      <c r="O16" s="14">
        <f>B16/H16</f>
        <v>1.075247267454877</v>
      </c>
      <c r="P16" s="14">
        <f>LN(O16)-LN(O15)-LN(O$14)</f>
        <v>1.1167983848966707</v>
      </c>
      <c r="Q16" s="58">
        <f>N16+P16</f>
        <v>1.2484213946366707</v>
      </c>
      <c r="T16">
        <v>14</v>
      </c>
      <c r="U16" t="s">
        <v>80</v>
      </c>
      <c r="V16" s="54">
        <f>WorkLocationCoefficients!E24</f>
        <v>-0.50293651045300003</v>
      </c>
      <c r="W16" s="59">
        <f si="0" t="shared"/>
        <v>-0.50293651045300003</v>
      </c>
    </row>
    <row ht="15.75" r="17" spans="1:23" thickBot="1" x14ac:dyDescent="0.3">
      <c r="A17" s="68" t="s">
        <v>4</v>
      </c>
      <c r="B17" s="70">
        <f ref="B17" si="12" t="shared">B10/B$10</f>
        <v>1</v>
      </c>
      <c r="C17" s="70">
        <f ref="C17" si="13" t="shared">SUM(C14:C16)</f>
        <v>0.99999999999999989</v>
      </c>
      <c r="D17" s="70">
        <f ref="D17" si="14" t="shared">SUM(D14:D16)</f>
        <v>1</v>
      </c>
      <c r="E17" s="70">
        <f ref="E17" si="15" t="shared">SUM(E14:E16)</f>
        <v>1</v>
      </c>
      <c r="F17" s="43"/>
      <c r="G17" s="68" t="s">
        <v>4</v>
      </c>
      <c r="H17" s="70">
        <f>SUM(H14:H16)</f>
        <v>1</v>
      </c>
      <c r="I17" s="70">
        <f ref="I17" si="16" t="shared">SUM(I14:I16)</f>
        <v>1</v>
      </c>
      <c r="J17" s="70">
        <f ref="J17" si="17" t="shared">SUM(J14:J16)</f>
        <v>1</v>
      </c>
      <c r="K17" s="70">
        <f ref="K17" si="18" t="shared">SUM(K14:K16)</f>
        <v>1</v>
      </c>
      <c r="L17" s="43"/>
      <c r="M17" s="43"/>
      <c r="N17" s="64"/>
      <c r="O17" s="65"/>
      <c r="P17" s="65"/>
      <c r="Q17" s="64"/>
      <c r="T17">
        <v>15</v>
      </c>
      <c r="U17" t="s">
        <v>81</v>
      </c>
      <c r="V17" s="54">
        <f>WorkLocationCoefficients!E25</f>
        <v>-1.61322160644</v>
      </c>
      <c r="W17" s="59">
        <f si="0" t="shared"/>
        <v>-1.61322160644</v>
      </c>
    </row>
    <row r="18" spans="1:23" x14ac:dyDescent="0.25">
      <c r="A18" s="62"/>
      <c r="B18" s="63"/>
      <c r="C18" s="63"/>
      <c r="D18" s="63"/>
      <c r="E18" s="63"/>
      <c r="F18" s="43"/>
      <c r="G18" s="62"/>
      <c r="H18" s="63"/>
      <c r="I18" s="63"/>
      <c r="J18" s="63"/>
      <c r="K18" s="63"/>
      <c r="L18" s="43"/>
      <c r="M18" s="43"/>
      <c r="N18" s="64"/>
      <c r="O18" s="65"/>
      <c r="P18" s="65"/>
      <c r="Q18" s="64"/>
      <c r="T18">
        <v>16</v>
      </c>
      <c r="U18" t="s">
        <v>82</v>
      </c>
      <c r="V18" s="54">
        <f>WorkLocationCoefficients!E26</f>
        <v>0.130749629122</v>
      </c>
      <c r="W18" s="59">
        <f si="0" t="shared"/>
        <v>0.130749629122</v>
      </c>
    </row>
    <row r="19" spans="1:23" x14ac:dyDescent="0.25">
      <c r="A19" s="62"/>
      <c r="B19" s="63"/>
      <c r="C19" s="63"/>
      <c r="D19" s="63"/>
      <c r="E19" s="63"/>
      <c r="F19" s="43"/>
      <c r="G19" s="62"/>
      <c r="H19" s="63"/>
      <c r="I19" s="63"/>
      <c r="J19" s="63"/>
      <c r="K19" s="63"/>
      <c r="L19" s="43"/>
      <c r="M19" s="43"/>
      <c r="N19" s="64"/>
      <c r="O19" s="65"/>
      <c r="P19" s="65"/>
      <c r="Q19" s="64"/>
      <c r="R19" s="7"/>
      <c r="T19">
        <v>17</v>
      </c>
      <c r="U19" t="s">
        <v>83</v>
      </c>
      <c r="V19" s="54">
        <f>WorkLocationCoefficients!E27</f>
        <v>8.4077289836199998E-2</v>
      </c>
      <c r="W19" s="59">
        <f si="0" t="shared"/>
        <v>8.4077289836199998E-2</v>
      </c>
    </row>
    <row r="20" spans="1:23" x14ac:dyDescent="0.25">
      <c r="A20" s="43"/>
      <c r="B20" s="63"/>
      <c r="C20" s="63"/>
      <c r="D20" s="63"/>
      <c r="E20" s="63"/>
      <c r="F20" s="43"/>
      <c r="G20" s="43"/>
      <c r="H20" s="63"/>
      <c r="I20" s="63"/>
      <c r="J20" s="63"/>
      <c r="K20" s="63"/>
      <c r="L20" s="43"/>
      <c r="M20" s="43"/>
      <c r="N20" s="43"/>
      <c r="O20" s="43"/>
      <c r="P20" s="43"/>
      <c r="Q20" s="43"/>
      <c r="T20">
        <v>18</v>
      </c>
      <c r="U20" t="s">
        <v>84</v>
      </c>
      <c r="V20" s="54">
        <f>WorkLocationCoefficients!E28</f>
        <v>0</v>
      </c>
      <c r="W20" s="59">
        <f si="0" t="shared"/>
        <v>0</v>
      </c>
    </row>
    <row r="21" spans="1:23" x14ac:dyDescent="0.25">
      <c r="T21">
        <v>19</v>
      </c>
      <c r="U21" t="s">
        <v>85</v>
      </c>
      <c r="V21" s="54">
        <f>WorkLocationCoefficients!E29</f>
        <v>0.106386053639</v>
      </c>
      <c r="W21" s="59">
        <f si="0" t="shared"/>
        <v>0.106386053639</v>
      </c>
    </row>
    <row r="22" spans="1:23" x14ac:dyDescent="0.25">
      <c r="N22" s="50"/>
      <c r="Q22" s="51"/>
      <c r="T22">
        <v>20</v>
      </c>
      <c r="U22" t="s">
        <v>86</v>
      </c>
      <c r="V22" s="54">
        <f>WorkLocationCoefficients!E30</f>
        <v>0.88087687792799996</v>
      </c>
      <c r="W22" s="59">
        <f si="0" t="shared"/>
        <v>0.88087687792799996</v>
      </c>
    </row>
    <row r="23" spans="1:23" x14ac:dyDescent="0.25">
      <c r="A23" s="61" t="s">
        <v>258</v>
      </c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T23">
        <v>21</v>
      </c>
      <c r="U23" t="s">
        <v>87</v>
      </c>
      <c r="V23" s="54">
        <f>WorkLocationCoefficients!E31</f>
        <v>-0.16458061134300001</v>
      </c>
      <c r="W23" s="59">
        <f si="0" t="shared"/>
        <v>-0.16458061134300001</v>
      </c>
    </row>
    <row ht="15.75" r="24" spans="1:23" thickBot="1" x14ac:dyDescent="0.3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T24">
        <v>22</v>
      </c>
      <c r="U24" t="s">
        <v>88</v>
      </c>
      <c r="V24" s="54">
        <f>WorkLocationCoefficients!E32</f>
        <v>0.154182014038</v>
      </c>
      <c r="W24" s="59">
        <f si="0" t="shared"/>
        <v>0.154182014038</v>
      </c>
    </row>
    <row r="25" spans="1:23" x14ac:dyDescent="0.25">
      <c r="A25" s="5"/>
      <c r="B25" s="5" t="s">
        <v>268</v>
      </c>
      <c r="C25" s="71"/>
      <c r="D25" s="71"/>
      <c r="E25" s="71"/>
      <c r="G25" s="5"/>
      <c r="H25" s="5" t="s">
        <v>268</v>
      </c>
      <c r="I25" s="71"/>
      <c r="J25" s="71"/>
      <c r="K25" s="71"/>
      <c r="M25" s="73"/>
      <c r="N25" s="73"/>
      <c r="O25" s="73"/>
      <c r="P25" s="73"/>
      <c r="Q25" s="73"/>
      <c r="T25">
        <v>23</v>
      </c>
      <c r="U25" t="s">
        <v>89</v>
      </c>
      <c r="V25" s="54">
        <f>WorkLocationCoefficients!E33</f>
        <v>4.79448884421E-2</v>
      </c>
      <c r="W25" s="59">
        <f si="0" t="shared"/>
        <v>4.79448884421E-2</v>
      </c>
    </row>
    <row r="26" spans="1:23" x14ac:dyDescent="0.25">
      <c r="A26" s="67" t="s">
        <v>228</v>
      </c>
      <c r="B26" s="90">
        <f>WorkAtHome!E14</f>
        <v>4179.7296999999999</v>
      </c>
      <c r="C26" s="74"/>
      <c r="D26" s="74"/>
      <c r="E26" s="74"/>
      <c r="G26" s="67" t="s">
        <v>228</v>
      </c>
      <c r="H26" s="90">
        <f>WorkAtHome!L14</f>
        <v>65924</v>
      </c>
      <c r="I26" s="74"/>
      <c r="J26" s="74"/>
      <c r="K26" s="74"/>
      <c r="L26" s="43"/>
      <c r="M26" s="43"/>
      <c r="N26" s="64"/>
      <c r="O26" s="65"/>
      <c r="P26" s="65"/>
      <c r="Q26" s="64"/>
      <c r="T26">
        <v>24</v>
      </c>
      <c r="U26" t="s">
        <v>90</v>
      </c>
      <c r="V26" s="54">
        <f>WorkLocationCoefficients!E34</f>
        <v>6.4843520043099998E-2</v>
      </c>
      <c r="W26" s="59">
        <f si="0" t="shared"/>
        <v>6.4843520043099998E-2</v>
      </c>
    </row>
    <row ht="15.75" r="27" spans="1:23" thickBot="1" x14ac:dyDescent="0.3">
      <c r="A27" s="68" t="s">
        <v>4</v>
      </c>
      <c r="B27" s="81">
        <f>WorkAtHome!E25</f>
        <v>1603470.9235999999</v>
      </c>
      <c r="G27" s="68" t="s">
        <v>4</v>
      </c>
      <c r="H27" s="81">
        <f>WorkAtHome!L25</f>
        <v>1627031</v>
      </c>
      <c r="I27" s="7"/>
      <c r="J27" s="7"/>
      <c r="K27" s="7"/>
      <c r="M27" s="43"/>
      <c r="N27" s="43"/>
      <c r="O27" s="43"/>
      <c r="P27" s="43"/>
      <c r="Q27" s="43"/>
      <c r="T27">
        <v>25</v>
      </c>
      <c r="U27" t="s">
        <v>91</v>
      </c>
      <c r="V27" s="54">
        <f>WorkLocationCoefficients!E35</f>
        <v>0.15272053169499999</v>
      </c>
      <c r="W27" s="59">
        <f si="0" t="shared"/>
        <v>0.15272053169499999</v>
      </c>
    </row>
    <row r="28" spans="1:23" x14ac:dyDescent="0.25">
      <c r="T28">
        <v>26</v>
      </c>
      <c r="U28" t="s">
        <v>92</v>
      </c>
      <c r="V28" s="54">
        <f>WorkLocationCoefficients!E36</f>
        <v>7.2028590735099998E-2</v>
      </c>
      <c r="W28" s="59">
        <f si="0" t="shared"/>
        <v>7.2028590735099998E-2</v>
      </c>
    </row>
    <row ht="15.75" r="29" spans="1:23" thickBot="1" x14ac:dyDescent="0.3">
      <c r="A29" t="s">
        <v>267</v>
      </c>
      <c r="T29">
        <v>27</v>
      </c>
      <c r="U29" t="s">
        <v>93</v>
      </c>
      <c r="V29" s="54">
        <f>WorkLocationCoefficients!E37</f>
        <v>-0.27934224041799999</v>
      </c>
      <c r="W29" s="59">
        <f si="0" t="shared"/>
        <v>-0.27934224041799999</v>
      </c>
    </row>
    <row r="30" spans="1:23" x14ac:dyDescent="0.25">
      <c r="A30" s="5"/>
      <c r="B30" s="5" t="s">
        <v>268</v>
      </c>
      <c r="C30" s="71"/>
      <c r="D30" s="71"/>
      <c r="E30" s="71"/>
      <c r="G30" s="5"/>
      <c r="H30" s="5" t="s">
        <v>268</v>
      </c>
      <c r="I30" s="71"/>
      <c r="J30" s="71"/>
      <c r="K30" s="71"/>
      <c r="M30" s="5" t="s">
        <v>238</v>
      </c>
      <c r="N30" s="5" t="s">
        <v>234</v>
      </c>
      <c r="O30" s="5" t="s">
        <v>232</v>
      </c>
      <c r="P30" s="5" t="s">
        <v>233</v>
      </c>
      <c r="Q30" s="5" t="s">
        <v>235</v>
      </c>
      <c r="T30">
        <v>28</v>
      </c>
      <c r="U30" t="s">
        <v>94</v>
      </c>
      <c r="V30" s="54">
        <f>WorkLocationCoefficients!E38</f>
        <v>4.3626229225700003E-2</v>
      </c>
      <c r="W30" s="59">
        <f si="0" t="shared"/>
        <v>4.3626229225700003E-2</v>
      </c>
    </row>
    <row r="31" spans="1:23" x14ac:dyDescent="0.25">
      <c r="A31" s="67" t="s">
        <v>228</v>
      </c>
      <c r="B31" s="76">
        <f>B26/B27</f>
        <v>2.6066763285086366E-3</v>
      </c>
      <c r="C31" s="74"/>
      <c r="D31" s="74"/>
      <c r="E31" s="74"/>
      <c r="G31" s="67" t="s">
        <v>228</v>
      </c>
      <c r="H31" s="76">
        <f>H26/H27</f>
        <v>4.0517974150461794E-2</v>
      </c>
      <c r="I31" s="74"/>
      <c r="J31" s="74"/>
      <c r="K31" s="74"/>
      <c r="M31" s="6">
        <v>41</v>
      </c>
      <c r="N31" s="57">
        <f>V39</f>
        <v>-3.8051604915000001</v>
      </c>
      <c r="O31" s="14">
        <f>B31/H31</f>
        <v>6.4333826731535329E-2</v>
      </c>
      <c r="P31" s="14">
        <f>LN(O31)</f>
        <v>-2.7436697093726674</v>
      </c>
      <c r="Q31" s="58">
        <f ref="Q31" si="19" t="shared">N31+P31</f>
        <v>-6.5488302008726675</v>
      </c>
      <c r="T31">
        <v>29</v>
      </c>
      <c r="U31" t="s">
        <v>95</v>
      </c>
      <c r="V31" s="54">
        <f>WorkLocationCoefficients!E39</f>
        <v>-8.7886819411100006E-2</v>
      </c>
      <c r="W31" s="59">
        <f si="0" t="shared"/>
        <v>-8.7886819411100006E-2</v>
      </c>
    </row>
    <row ht="15.75" r="32" spans="1:23" thickBot="1" x14ac:dyDescent="0.3">
      <c r="A32" s="68" t="s">
        <v>4</v>
      </c>
      <c r="B32" s="75">
        <f>B27/B27</f>
        <v>1</v>
      </c>
      <c r="G32" s="68" t="s">
        <v>4</v>
      </c>
      <c r="H32" s="75">
        <f>H27/H27</f>
        <v>1</v>
      </c>
      <c r="T32">
        <v>30</v>
      </c>
      <c r="U32" t="s">
        <v>96</v>
      </c>
      <c r="V32" s="54">
        <f>WorkLocationCoefficients!E40</f>
        <v>-4.2894941477000001E-2</v>
      </c>
      <c r="W32" s="59">
        <f si="0" t="shared"/>
        <v>-4.2894941477000001E-2</v>
      </c>
    </row>
    <row r="33" spans="20:23" x14ac:dyDescent="0.25">
      <c r="T33">
        <v>31</v>
      </c>
      <c r="U33" t="s">
        <v>97</v>
      </c>
      <c r="V33" s="54">
        <f>WorkLocationCoefficients!E41</f>
        <v>-0.13045579928000001</v>
      </c>
      <c r="W33" s="59">
        <f si="0" t="shared"/>
        <v>-0.13045579928000001</v>
      </c>
    </row>
    <row r="34" spans="20:23" x14ac:dyDescent="0.25">
      <c r="T34">
        <v>32</v>
      </c>
      <c r="U34" t="s">
        <v>98</v>
      </c>
      <c r="V34" s="54">
        <f>WorkLocationCoefficients!E42</f>
        <v>0.18945088644899999</v>
      </c>
      <c r="W34" s="59">
        <f si="0" t="shared"/>
        <v>0.18945088644899999</v>
      </c>
    </row>
    <row r="35" spans="20:23" x14ac:dyDescent="0.25">
      <c r="T35">
        <v>33</v>
      </c>
      <c r="U35" t="s">
        <v>99</v>
      </c>
      <c r="V35" s="54">
        <f>WorkLocationCoefficients!E43</f>
        <v>-0.179523169776</v>
      </c>
      <c r="W35" s="59">
        <f si="0" t="shared"/>
        <v>-0.179523169776</v>
      </c>
    </row>
    <row r="36" spans="20:23" x14ac:dyDescent="0.25">
      <c r="T36">
        <v>34</v>
      </c>
      <c r="U36" t="s">
        <v>100</v>
      </c>
      <c r="V36" s="54">
        <f>WorkLocationCoefficients!E44</f>
        <v>0.17233347539499999</v>
      </c>
      <c r="W36" s="59">
        <f si="0" t="shared"/>
        <v>0.17233347539499999</v>
      </c>
    </row>
    <row r="37" spans="20:23" x14ac:dyDescent="0.25">
      <c r="T37">
        <v>35</v>
      </c>
      <c r="U37" t="s">
        <v>101</v>
      </c>
      <c r="V37" s="54">
        <f>WorkLocationCoefficients!E45</f>
        <v>-0.194698386872</v>
      </c>
      <c r="W37" s="59">
        <f si="0" t="shared"/>
        <v>-0.194698386872</v>
      </c>
    </row>
    <row r="38" spans="20:23" x14ac:dyDescent="0.25">
      <c r="T38">
        <v>36</v>
      </c>
      <c r="U38" t="s">
        <v>102</v>
      </c>
      <c r="V38" s="54">
        <f>WorkLocationCoefficients!E46</f>
        <v>0.38785322122799998</v>
      </c>
      <c r="W38" s="59">
        <f si="0" t="shared"/>
        <v>0.38785322122799998</v>
      </c>
    </row>
    <row r="39" spans="20:23" x14ac:dyDescent="0.25">
      <c r="T39" s="53">
        <v>41</v>
      </c>
      <c r="U39" s="53" t="s">
        <v>103</v>
      </c>
      <c r="V39" s="55">
        <f>WorkLocationCoefficients!E47</f>
        <v>-3.8051604915000001</v>
      </c>
      <c r="W39" s="59">
        <f>Q31</f>
        <v>-6.5488302008726675</v>
      </c>
    </row>
    <row r="40" spans="20:23" x14ac:dyDescent="0.25">
      <c r="T40">
        <v>42</v>
      </c>
      <c r="U40" t="s">
        <v>105</v>
      </c>
      <c r="V40" s="54">
        <f>WorkLocationCoefficients!E48</f>
        <v>5.07828619993</v>
      </c>
      <c r="W40" s="59">
        <f si="0" t="shared"/>
        <v>5.07828619993</v>
      </c>
    </row>
    <row r="41" spans="20:23" x14ac:dyDescent="0.25">
      <c r="T41">
        <v>43</v>
      </c>
      <c r="U41" t="s">
        <v>106</v>
      </c>
      <c r="V41" s="54">
        <f>WorkLocationCoefficients!E49</f>
        <v>-3.0390882271000002</v>
      </c>
      <c r="W41" s="59">
        <f si="0" t="shared"/>
        <v>-3.0390882271000002</v>
      </c>
    </row>
    <row r="42" spans="20:23" x14ac:dyDescent="0.25">
      <c r="T42">
        <v>44</v>
      </c>
      <c r="U42" t="s">
        <v>107</v>
      </c>
      <c r="V42" s="54">
        <f>WorkLocationCoefficients!E50</f>
        <v>-2.3320026601800001</v>
      </c>
      <c r="W42" s="59">
        <f si="0" t="shared"/>
        <v>-2.3320026601800001</v>
      </c>
    </row>
    <row r="43" spans="20:23" x14ac:dyDescent="0.25">
      <c r="T43">
        <v>50</v>
      </c>
      <c r="U43" t="s">
        <v>108</v>
      </c>
      <c r="V43" s="54">
        <f>WorkLocationCoefficients!E51</f>
        <v>0.33566647407</v>
      </c>
      <c r="W43" s="59">
        <f si="0" t="shared"/>
        <v>0.33566647407</v>
      </c>
    </row>
    <row r="44" spans="20:23" x14ac:dyDescent="0.25">
      <c r="T44">
        <v>51</v>
      </c>
      <c r="U44" t="s">
        <v>109</v>
      </c>
      <c r="V44" s="54">
        <f>WorkLocationCoefficients!E52</f>
        <v>-0.78911507665199998</v>
      </c>
      <c r="W44" s="59">
        <f si="0" t="shared"/>
        <v>-0.78911507665199998</v>
      </c>
    </row>
    <row r="45" spans="20:23" x14ac:dyDescent="0.25">
      <c r="T45">
        <v>52</v>
      </c>
      <c r="U45" t="s">
        <v>110</v>
      </c>
      <c r="V45" s="54">
        <f>WorkLocationCoefficients!E53</f>
        <v>0.56564055394500001</v>
      </c>
      <c r="W45" s="59">
        <f si="0" t="shared"/>
        <v>0.56564055394500001</v>
      </c>
    </row>
    <row r="46" spans="20:23" x14ac:dyDescent="0.25">
      <c r="T46">
        <v>53</v>
      </c>
      <c r="U46" t="s">
        <v>111</v>
      </c>
      <c r="V46" s="54">
        <f>WorkLocationCoefficients!E54</f>
        <v>-1.85416848242</v>
      </c>
      <c r="W46" s="59">
        <f si="0" t="shared"/>
        <v>-1.85416848242</v>
      </c>
    </row>
    <row r="47" spans="20:23" x14ac:dyDescent="0.25">
      <c r="T47">
        <v>54</v>
      </c>
      <c r="U47" t="s">
        <v>112</v>
      </c>
      <c r="V47" s="54">
        <f>WorkLocationCoefficients!E55</f>
        <v>0</v>
      </c>
      <c r="W47" s="59">
        <f si="0" t="shared"/>
        <v>0</v>
      </c>
    </row>
    <row r="48" spans="20:23" x14ac:dyDescent="0.25">
      <c r="T48">
        <v>55</v>
      </c>
      <c r="U48" t="s">
        <v>113</v>
      </c>
      <c r="V48" s="54">
        <f>WorkLocationCoefficients!E56</f>
        <v>-1.1156286956100001</v>
      </c>
      <c r="W48" s="59">
        <f si="0" t="shared"/>
        <v>-1.1156286956100001</v>
      </c>
    </row>
    <row r="49" spans="20:23" x14ac:dyDescent="0.25">
      <c r="T49">
        <v>56</v>
      </c>
      <c r="U49" t="s">
        <v>114</v>
      </c>
      <c r="V49" s="54">
        <f>WorkLocationCoefficients!E57</f>
        <v>-0.81792869186600003</v>
      </c>
      <c r="W49" s="59">
        <f si="0" t="shared"/>
        <v>-0.81792869186600003</v>
      </c>
    </row>
    <row r="50" spans="20:23" x14ac:dyDescent="0.25">
      <c r="T50">
        <v>57</v>
      </c>
      <c r="U50" t="s">
        <v>115</v>
      </c>
      <c r="V50" s="54">
        <f>WorkLocationCoefficients!E58</f>
        <v>-1.04729487823</v>
      </c>
      <c r="W50" s="59">
        <f si="0" t="shared"/>
        <v>-1.04729487823</v>
      </c>
    </row>
    <row r="51" spans="20:23" x14ac:dyDescent="0.25">
      <c r="T51">
        <v>58</v>
      </c>
      <c r="U51" t="s">
        <v>116</v>
      </c>
      <c r="V51" s="54">
        <f>WorkLocationCoefficients!E59</f>
        <v>-2.0228517391</v>
      </c>
      <c r="W51" s="59">
        <f si="0" t="shared"/>
        <v>-2.0228517391</v>
      </c>
    </row>
    <row r="52" spans="20:23" x14ac:dyDescent="0.25">
      <c r="T52">
        <v>59</v>
      </c>
      <c r="U52" t="s">
        <v>117</v>
      </c>
      <c r="V52" s="54">
        <f>WorkLocationCoefficients!E60</f>
        <v>-1.2945321250099999</v>
      </c>
      <c r="W52" s="59">
        <f si="0" t="shared"/>
        <v>-1.2945321250099999</v>
      </c>
    </row>
    <row r="53" spans="20:23" x14ac:dyDescent="0.25">
      <c r="T53">
        <v>60</v>
      </c>
      <c r="U53" t="s">
        <v>118</v>
      </c>
      <c r="V53" s="54">
        <f>WorkLocationCoefficients!E61</f>
        <v>-0.66178028021599999</v>
      </c>
      <c r="W53" s="59">
        <f si="0" t="shared"/>
        <v>-0.66178028021599999</v>
      </c>
    </row>
    <row r="54" spans="20:23" x14ac:dyDescent="0.25">
      <c r="T54">
        <v>61</v>
      </c>
      <c r="U54" t="s">
        <v>119</v>
      </c>
      <c r="V54" s="54">
        <f>WorkLocationCoefficients!E62</f>
        <v>-0.55504741134900004</v>
      </c>
      <c r="W54" s="59">
        <f si="0" t="shared"/>
        <v>-0.55504741134900004</v>
      </c>
    </row>
    <row r="55" spans="20:23" x14ac:dyDescent="0.25">
      <c r="T55">
        <v>62</v>
      </c>
      <c r="U55" t="s">
        <v>120</v>
      </c>
      <c r="V55" s="54">
        <f>WorkLocationCoefficients!E63</f>
        <v>-1.7449233454799999</v>
      </c>
      <c r="W55" s="59">
        <f si="0" t="shared"/>
        <v>-1.7449233454799999</v>
      </c>
    </row>
    <row r="56" spans="20:23" x14ac:dyDescent="0.25">
      <c r="T56">
        <v>63</v>
      </c>
      <c r="U56" t="s">
        <v>121</v>
      </c>
      <c r="V56" s="54">
        <f>WorkLocationCoefficients!E64</f>
        <v>1.1995398853399999</v>
      </c>
      <c r="W56" s="59">
        <f si="0" t="shared"/>
        <v>1.1995398853399999</v>
      </c>
    </row>
    <row r="57" spans="20:23" x14ac:dyDescent="0.25">
      <c r="T57">
        <v>64</v>
      </c>
      <c r="U57" t="s">
        <v>122</v>
      </c>
      <c r="V57" s="54">
        <f>WorkLocationCoefficients!E65</f>
        <v>0.19542046398099999</v>
      </c>
      <c r="W57" s="59">
        <f si="0" t="shared"/>
        <v>0.19542046398099999</v>
      </c>
    </row>
    <row r="58" spans="20:23" x14ac:dyDescent="0.25">
      <c r="T58">
        <v>65</v>
      </c>
      <c r="U58" t="s">
        <v>123</v>
      </c>
      <c r="V58" s="54">
        <f>WorkLocationCoefficients!E66</f>
        <v>-0.90594458676599998</v>
      </c>
      <c r="W58" s="59">
        <f si="0" t="shared"/>
        <v>-0.90594458676599998</v>
      </c>
    </row>
    <row r="59" spans="20:23" x14ac:dyDescent="0.25">
      <c r="T59">
        <v>66</v>
      </c>
      <c r="U59" t="s">
        <v>124</v>
      </c>
      <c r="V59" s="54">
        <f>WorkLocationCoefficients!E67</f>
        <v>-2.05104130438</v>
      </c>
      <c r="W59" s="59">
        <f si="0" t="shared"/>
        <v>-2.05104130438</v>
      </c>
    </row>
    <row r="60" spans="20:23" x14ac:dyDescent="0.25">
      <c r="T60">
        <v>67</v>
      </c>
      <c r="U60" t="s">
        <v>125</v>
      </c>
      <c r="V60" s="54">
        <f>WorkLocationCoefficients!E68</f>
        <v>-2.2381608455899999</v>
      </c>
      <c r="W60" s="59">
        <f si="0" t="shared"/>
        <v>-2.2381608455899999</v>
      </c>
    </row>
    <row r="61" spans="20:23" x14ac:dyDescent="0.25">
      <c r="T61">
        <v>68</v>
      </c>
      <c r="U61" t="s">
        <v>126</v>
      </c>
      <c r="V61" s="54">
        <f>WorkLocationCoefficients!E69</f>
        <v>-0.40946320528300001</v>
      </c>
      <c r="W61" s="59">
        <f si="0" t="shared"/>
        <v>-0.40946320528300001</v>
      </c>
    </row>
    <row r="62" spans="20:23" x14ac:dyDescent="0.25">
      <c r="T62">
        <v>69</v>
      </c>
      <c r="U62" t="s">
        <v>127</v>
      </c>
      <c r="V62" s="54">
        <f>WorkLocationCoefficients!E70</f>
        <v>-1.1700902309500001</v>
      </c>
      <c r="W62" s="59">
        <f si="0" t="shared"/>
        <v>-1.1700902309500001</v>
      </c>
    </row>
    <row r="63" spans="20:23" x14ac:dyDescent="0.25">
      <c r="T63">
        <v>70</v>
      </c>
      <c r="U63" t="s">
        <v>128</v>
      </c>
      <c r="V63" s="54">
        <f>WorkLocationCoefficients!E71</f>
        <v>1.8412445021999999</v>
      </c>
      <c r="W63" s="59">
        <f si="0" t="shared"/>
        <v>1.8412445021999999</v>
      </c>
    </row>
    <row r="64" spans="20:23" x14ac:dyDescent="0.25">
      <c r="T64">
        <v>71</v>
      </c>
      <c r="U64" t="s">
        <v>129</v>
      </c>
      <c r="V64" s="54">
        <f>WorkLocationCoefficients!E72</f>
        <v>0.71619685052500004</v>
      </c>
      <c r="W64" s="59">
        <f si="0" t="shared"/>
        <v>0.71619685052500004</v>
      </c>
    </row>
    <row r="65" spans="20:23" x14ac:dyDescent="0.25">
      <c r="T65">
        <v>72</v>
      </c>
      <c r="U65" t="s">
        <v>130</v>
      </c>
      <c r="V65" s="54">
        <f>WorkLocationCoefficients!E73</f>
        <v>-0.101060642888</v>
      </c>
      <c r="W65" s="59">
        <f si="0" t="shared"/>
        <v>-0.101060642888</v>
      </c>
    </row>
    <row r="66" spans="20:23" x14ac:dyDescent="0.25">
      <c r="T66">
        <v>73</v>
      </c>
      <c r="U66" t="s">
        <v>131</v>
      </c>
      <c r="V66" s="54">
        <f>WorkLocationCoefficients!E74</f>
        <v>-0.34132571646100002</v>
      </c>
      <c r="W66" s="59">
        <f si="0" t="shared"/>
        <v>-0.34132571646100002</v>
      </c>
    </row>
    <row r="67" spans="20:23" x14ac:dyDescent="0.25">
      <c r="T67">
        <v>74</v>
      </c>
      <c r="U67" t="s">
        <v>132</v>
      </c>
      <c r="V67" s="54">
        <f>WorkLocationCoefficients!E75</f>
        <v>1.0486549950899999</v>
      </c>
      <c r="W67" s="59">
        <f si="0" t="shared"/>
        <v>1.0486549950899999</v>
      </c>
    </row>
    <row r="68" spans="20:23" x14ac:dyDescent="0.25">
      <c r="T68">
        <v>75</v>
      </c>
      <c r="U68" t="s">
        <v>133</v>
      </c>
      <c r="V68" s="54">
        <f>WorkLocationCoefficients!E76</f>
        <v>-30</v>
      </c>
      <c r="W68" s="59">
        <f ref="W68:W75" si="20" t="shared">V68</f>
        <v>-30</v>
      </c>
    </row>
    <row r="69" spans="20:23" x14ac:dyDescent="0.25">
      <c r="T69">
        <v>76</v>
      </c>
      <c r="U69" t="s">
        <v>134</v>
      </c>
      <c r="V69" s="54">
        <f>WorkLocationCoefficients!E77</f>
        <v>0.91468797064200003</v>
      </c>
      <c r="W69" s="59">
        <f si="20" t="shared"/>
        <v>0.91468797064200003</v>
      </c>
    </row>
    <row r="70" spans="20:23" x14ac:dyDescent="0.25">
      <c r="T70">
        <v>77</v>
      </c>
      <c r="U70" t="s">
        <v>135</v>
      </c>
      <c r="V70" s="54">
        <f>WorkLocationCoefficients!E78</f>
        <v>-1.1830909132</v>
      </c>
      <c r="W70" s="59">
        <f si="20" t="shared"/>
        <v>-1.1830909132</v>
      </c>
    </row>
    <row r="71" spans="20:23" x14ac:dyDescent="0.25">
      <c r="T71">
        <v>78</v>
      </c>
      <c r="U71" t="s">
        <v>136</v>
      </c>
      <c r="V71" s="54">
        <f>WorkLocationCoefficients!E79</f>
        <v>1.4576625009499999</v>
      </c>
      <c r="W71" s="59">
        <f si="20" t="shared"/>
        <v>1.4576625009499999</v>
      </c>
    </row>
    <row r="72" spans="20:23" x14ac:dyDescent="0.25">
      <c r="T72">
        <v>79</v>
      </c>
      <c r="U72" t="s">
        <v>137</v>
      </c>
      <c r="V72" s="54">
        <f>WorkLocationCoefficients!E80</f>
        <v>-1.62636517084</v>
      </c>
      <c r="W72" s="59">
        <f si="20" t="shared"/>
        <v>-1.62636517084</v>
      </c>
    </row>
    <row r="73" spans="20:23" x14ac:dyDescent="0.25">
      <c r="T73">
        <v>80</v>
      </c>
      <c r="U73" t="s">
        <v>138</v>
      </c>
      <c r="V73" s="54">
        <f>WorkLocationCoefficients!E81</f>
        <v>0</v>
      </c>
      <c r="W73" s="59">
        <f si="20" t="shared"/>
        <v>0</v>
      </c>
    </row>
    <row r="74" spans="20:23" x14ac:dyDescent="0.25">
      <c r="T74">
        <v>90</v>
      </c>
      <c r="U74" t="s">
        <v>139</v>
      </c>
      <c r="V74" s="54">
        <f>WorkLocationCoefficients!E82</f>
        <v>0.196143079927</v>
      </c>
      <c r="W74" s="59">
        <f si="20" t="shared"/>
        <v>0.196143079927</v>
      </c>
    </row>
    <row r="75" spans="20:23" x14ac:dyDescent="0.25">
      <c r="T75">
        <v>98</v>
      </c>
      <c r="U75" t="s">
        <v>140</v>
      </c>
      <c r="V75" s="54">
        <f>WorkLocationCoefficients!E83</f>
        <v>0</v>
      </c>
      <c r="W75" s="59">
        <f si="20" t="shared"/>
        <v>0</v>
      </c>
    </row>
  </sheetData>
  <pageMargins bottom="0.75" footer="0.3" header="0.3" left="0.7" right="0.7" top="0.75"/>
  <pageSetup orientation="portrait" r:id="rId1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HeadingPairs>
  <TitlesOfParts>
    <vt:vector baseType="lpstr" size="30">
      <vt:lpstr>TLFD</vt:lpstr>
      <vt:lpstr>TDFD</vt:lpstr>
      <vt:lpstr>TDFD_Agg</vt:lpstr>
      <vt:lpstr>County_Flow</vt:lpstr>
      <vt:lpstr>WorkAtHome</vt:lpstr>
      <vt:lpstr>Documentation</vt:lpstr>
      <vt:lpstr>CoeffDef</vt:lpstr>
      <vt:lpstr>WorkLocationCoefficients</vt:lpstr>
      <vt:lpstr>calibration</vt:lpstr>
      <vt:lpstr>athm</vt:lpstr>
      <vt:lpstr>avgdist</vt:lpstr>
      <vt:lpstr>avgtime</vt:lpstr>
      <vt:lpstr>flows</vt:lpstr>
      <vt:lpstr>out1</vt:lpstr>
      <vt:lpstr>out10</vt:lpstr>
      <vt:lpstr>out11</vt:lpstr>
      <vt:lpstr>out12</vt:lpstr>
      <vt:lpstr>out13</vt:lpstr>
      <vt:lpstr>out14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tot</vt:lpstr>
      <vt:lpstr>Wrk_dist</vt:lpstr>
      <vt:lpstr>Wrk_time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2017-10-26T15:42:06Z</dcterms:modified>
</cp:coreProperties>
</file>