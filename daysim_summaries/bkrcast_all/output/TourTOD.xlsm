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431"/>
  <workbookPr codeName="ThisWorkbook" defaultThemeVersion="124226"/>
  <mc:AlternateContent>
    <mc:Choice Requires="x15">
      <x15ac:absPath xmlns:x15ac="http://schemas.microsoft.com/office/spreadsheetml/2010/11/ac" url="D:\LUSubareaAdjTest\BKRCast2014R1-test11a3-test3-SubadjTest3\daysim_summaries\bkrcast_all\output\"/>
    </mc:Choice>
  </mc:AlternateContent>
  <bookViews>
    <workbookView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SchoolTourTime" r:id="rId13" sheetId="24"/>
    <sheet name="WorkBasedSubtourTime" r:id="rId14" sheetId="25"/>
    <sheet name="Calibration" r:id="rId15" sheetId="23"/>
  </sheets>
  <definedNames>
    <definedName name="DURDEST">Duration!$I$8:$L$57</definedName>
    <definedName name="Other_Arrival">Arrival_Time_Other!$M$8:$T$59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1">Arrival_Time!$B$8:$E$58</definedName>
    <definedName name="out3">Departure_Time!$B$8:$E$58</definedName>
    <definedName name="out5">Duration!$B$8:$E$56</definedName>
    <definedName name="out7">Arrival_Time_Work!$B$8:$I$58</definedName>
    <definedName name="out9">Arrival_Time_School!$B$8:$I$58</definedName>
    <definedName name="out11">Arrival_Time_Other!$B$8:$I$58</definedName>
    <definedName name="out13">Arrival_Time_Workbased!$B$8:$I$58</definedName>
    <definedName name="out15">Depart_Time_Work!$B$8:$I$58</definedName>
    <definedName name="out17">Depart_Time_School!$B$8:$I$58</definedName>
    <definedName name="out19">Depart_Time_Other!$B$8:$I$58</definedName>
    <definedName name="out21">Depart_Time_Workbased!$B$8:$I$58</definedName>
    <definedName name="out2">Arrival_Time!$I$8:$L$58</definedName>
    <definedName name="out4">Departure_Time!$I$8:$L$58</definedName>
    <definedName name="out6">Duration!$I$8:$L$56</definedName>
    <definedName name="out8">Arrival_Time_Work!$M$8:$T$58</definedName>
    <definedName name="out10">Arrival_Time_School!$M$8:$T$58</definedName>
    <definedName name="out12">Arrival_Time_Other!$M$8:$T$58</definedName>
    <definedName name="out14">Arrival_Time_Workbased!$M$8:$T$58</definedName>
    <definedName name="out16">Depart_Time_Work!$M$8:$T$58</definedName>
    <definedName name="out18">Depart_Time_School!$M$8:$T$58</definedName>
    <definedName name="out20">Depart_Time_Other!$M$8:$T$58</definedName>
    <definedName name="out22">Depart_Time_Workbased!$M$8:$T$58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71027"/>
</workbook>
</file>

<file path=xl/calcChain.xml><?xml version="1.0" encoding="utf-8"?>
<calcChain xmlns="http://schemas.openxmlformats.org/spreadsheetml/2006/main">
  <c i="23" l="1" r="O5"/>
  <c i="23" r="O6"/>
  <c i="23" r="O7"/>
  <c i="23" r="O8"/>
  <c i="23" r="O9"/>
  <c i="23" r="O10"/>
  <c i="23" r="O11"/>
  <c i="23" r="O12"/>
  <c i="23" r="O13"/>
  <c i="23" r="O4"/>
  <c i="23" l="1" r="H53"/>
  <c i="23" r="H54"/>
  <c i="23" r="H55"/>
  <c i="23" r="H52"/>
  <c i="23" r="AA4"/>
  <c i="23" r="AB4"/>
  <c i="23" r="AA5"/>
  <c i="23" r="AB5"/>
  <c i="23" r="AC5"/>
  <c i="23" r="AD5" s="1"/>
  <c i="23" r="AA6"/>
  <c i="23" r="AC6" s="1"/>
  <c i="23" r="AB6"/>
  <c i="23" r="AA7"/>
  <c i="23" r="AB7"/>
  <c i="23" r="AC7"/>
  <c i="23" r="AD7"/>
  <c i="23" r="AA8"/>
  <c i="23" r="AC8" s="1"/>
  <c i="23" r="AB8"/>
  <c i="23" r="AA9"/>
  <c i="23" r="AC9" s="1"/>
  <c i="23" r="AD9" s="1"/>
  <c i="23" r="AB9"/>
  <c i="23" r="AA10"/>
  <c i="23" r="AC10" s="1"/>
  <c i="23" r="AD10" s="1"/>
  <c i="23" r="AB10"/>
  <c i="23" r="AA11"/>
  <c i="23" r="AC11" s="1"/>
  <c i="23" r="AB11"/>
  <c i="23" r="AA12"/>
  <c i="23" r="AC12" s="1"/>
  <c i="23" r="AB12"/>
  <c i="23" r="AA13"/>
  <c i="23" r="AC13" s="1"/>
  <c i="23" r="AB13"/>
  <c i="23" r="AA14"/>
  <c i="23" r="AC14" s="1"/>
  <c i="23" r="AB14"/>
  <c i="23" r="AA15"/>
  <c i="23" r="AC15" s="1"/>
  <c i="23" r="AB15"/>
  <c i="23" r="AA16"/>
  <c i="23" r="AC16" s="1"/>
  <c i="23" r="AB16"/>
  <c i="23" r="AA17"/>
  <c i="23" r="AC17" s="1"/>
  <c i="23" r="AB17"/>
  <c i="23" r="AA18"/>
  <c i="23" r="AC18" s="1"/>
  <c i="23" r="AB18"/>
  <c i="23" r="AA19"/>
  <c i="23" r="AC19" s="1"/>
  <c i="23" r="AB19"/>
  <c i="23" r="AA20"/>
  <c i="23" r="AC20" s="1"/>
  <c i="23" r="AB20"/>
  <c i="23" r="AA21"/>
  <c i="23" r="AC21" s="1"/>
  <c i="23" r="AB21"/>
  <c i="23" r="AA22"/>
  <c i="23" r="AC22" s="1"/>
  <c i="23" r="AB22"/>
  <c i="23" r="AA23"/>
  <c i="23" r="AC23" s="1"/>
  <c i="23" r="AB23"/>
  <c i="23" r="AA24"/>
  <c i="23" r="AC24" s="1"/>
  <c i="23" r="AB24"/>
  <c i="23" r="AA25"/>
  <c i="23" r="AC25" s="1"/>
  <c i="23" r="AB25"/>
  <c i="23" r="AA26"/>
  <c i="23" r="AC26" s="1"/>
  <c i="23" r="AB26"/>
  <c i="23" r="AA27"/>
  <c i="23" r="AC27" s="1"/>
  <c i="23" r="AB27"/>
  <c i="23" r="AA28"/>
  <c i="23" r="AC28" s="1"/>
  <c i="23" r="AB28"/>
  <c i="23" r="AA29"/>
  <c i="23" r="AC29" s="1"/>
  <c i="23" r="AB29"/>
  <c i="23" r="AA30"/>
  <c i="23" r="AC30" s="1"/>
  <c i="23" r="AB30"/>
  <c i="23" r="AA31"/>
  <c i="23" r="AC31" s="1"/>
  <c i="23" r="AB31"/>
  <c i="23" r="AA32"/>
  <c i="23" r="AC32" s="1"/>
  <c i="23" r="AB32"/>
  <c i="23" r="AA33"/>
  <c i="23" r="AB33"/>
  <c i="23" r="AC33"/>
  <c i="23" r="AD33"/>
  <c i="23" r="AA34"/>
  <c i="23" r="AC34" s="1"/>
  <c i="23" r="AD34" s="1"/>
  <c i="23" r="AB34"/>
  <c i="23" r="AA35"/>
  <c i="23" r="AB35"/>
  <c i="23" r="AA36"/>
  <c i="23" r="AC36" s="1"/>
  <c i="23" r="AB36"/>
  <c i="23" r="AA37"/>
  <c i="23" r="AB37"/>
  <c i="23" r="AA38"/>
  <c i="23" r="AC38" s="1"/>
  <c i="23" r="AB38"/>
  <c i="23" r="AA39"/>
  <c i="23" r="AC39" s="1"/>
  <c i="23" r="AB39"/>
  <c i="23" r="AA40"/>
  <c i="23" r="AC40" s="1"/>
  <c i="23" r="AD40" s="1"/>
  <c i="23" r="AB40"/>
  <c i="23" r="AA41"/>
  <c i="23" r="AB41"/>
  <c i="23" r="AC41"/>
  <c i="23" r="AD41" s="1"/>
  <c i="23" r="AA42"/>
  <c i="23" r="AC42" s="1"/>
  <c i="23" r="AB42"/>
  <c i="23" r="AA43"/>
  <c i="23" r="AB43"/>
  <c i="23" r="AC43"/>
  <c i="23" r="AD43" s="1"/>
  <c i="23" r="AA44"/>
  <c i="23" r="AC44" s="1"/>
  <c i="23" r="AB44"/>
  <c i="23" r="AA45"/>
  <c i="23" r="AC45" s="1"/>
  <c i="23" r="AB45"/>
  <c i="23" r="AA46"/>
  <c i="23" r="AC46" s="1"/>
  <c i="23" r="AB46"/>
  <c i="23" r="AA47"/>
  <c i="23" r="AC47" s="1"/>
  <c i="23" r="AB47"/>
  <c i="23" r="AA48"/>
  <c i="23" r="AC48" s="1"/>
  <c i="23" r="AB48"/>
  <c i="23" r="AA49"/>
  <c i="23" r="AB49"/>
  <c i="23" r="AC49"/>
  <c i="23" r="AD49" s="1"/>
  <c i="23" r="AA50"/>
  <c i="23" r="AC50" s="1"/>
  <c i="23" r="AB50"/>
  <c i="23" r="AA51"/>
  <c i="23" r="AC51" s="1"/>
  <c i="23" r="AD51" s="1"/>
  <c i="23" r="AB51"/>
  <c i="23" r="AA52"/>
  <c i="23" r="AC52" s="1"/>
  <c i="23" r="AB52"/>
  <c i="23" r="AB3"/>
  <c i="23" r="AA3"/>
  <c i="23" l="1" r="AD47"/>
  <c i="23" r="M53"/>
  <c i="23" r="AD39"/>
  <c i="23" r="AC35"/>
  <c i="23" r="AD35" s="1"/>
  <c i="23" r="AC37"/>
  <c i="23" r="AD37" s="1"/>
  <c i="23" r="AD11"/>
  <c i="23" r="AC4"/>
  <c i="23" r="AD4" s="1"/>
  <c i="23" r="M52"/>
  <c i="23" r="M45"/>
  <c i="23" r="M44"/>
  <c i="23" r="M43"/>
  <c i="23" r="M42"/>
  <c i="23" r="M41"/>
  <c i="23" r="M40"/>
  <c i="23" r="M39"/>
  <c i="23" r="M38"/>
  <c i="23" r="M37"/>
  <c i="23" r="M60"/>
  <c i="23" r="M59"/>
  <c i="23" r="M36"/>
  <c i="23" r="M58"/>
  <c i="23" r="AD46"/>
  <c i="23" r="M57"/>
  <c i="23" r="M56"/>
  <c i="23" r="AC3"/>
  <c i="23" r="M55"/>
  <c i="23" r="AD3"/>
  <c i="23" r="M54"/>
  <c i="23" r="AD52"/>
  <c i="23" r="AD45"/>
  <c i="23" r="AD50"/>
  <c i="23" r="AD44"/>
  <c i="23" r="AD38"/>
  <c i="23" r="AD32"/>
  <c i="23" r="AD8"/>
  <c i="23" r="AD48"/>
  <c i="23" r="AD42"/>
  <c i="23" r="AD36"/>
  <c i="23" r="AD12"/>
  <c i="23" r="AD6"/>
  <c i="23" l="1" r="D61"/>
  <c i="23" r="D60"/>
  <c i="23" r="D59"/>
  <c i="23" r="D58"/>
  <c i="23" r="D57"/>
  <c i="23" r="D56"/>
  <c i="23" r="D55"/>
  <c i="23" r="D54"/>
  <c i="23" r="D53"/>
  <c i="23" r="D52"/>
  <c i="23" r="C61"/>
  <c i="23" r="C60"/>
  <c i="23" r="C59"/>
  <c i="23" r="C58"/>
  <c i="23" r="C57"/>
  <c i="23" r="C56"/>
  <c i="23" r="C55"/>
  <c i="23" r="C54"/>
  <c i="23" r="C53"/>
  <c i="23" r="C52"/>
  <c i="23" r="H38"/>
  <c i="23" r="H39"/>
  <c i="23" r="H40"/>
  <c i="23" r="H41"/>
  <c i="23" r="H42"/>
  <c i="23" r="H43"/>
  <c i="23" r="H44"/>
  <c i="23" r="H37"/>
  <c i="23" r="D45"/>
  <c i="23" r="D44"/>
  <c i="23" r="D43"/>
  <c i="23" r="D42"/>
  <c i="23" r="D41"/>
  <c i="23" r="D40"/>
  <c i="23" r="D39"/>
  <c i="23" r="D38"/>
  <c i="23" r="D37"/>
  <c i="23" r="D36"/>
  <c i="23" r="C45"/>
  <c i="23" r="C29"/>
  <c i="23" r="C44"/>
  <c i="23" r="C43"/>
  <c i="23" r="C42"/>
  <c i="23" r="C41"/>
  <c i="23" r="C40"/>
  <c i="23" r="C39"/>
  <c i="23" r="C38"/>
  <c i="23" r="C36"/>
  <c i="23" r="C37"/>
  <c i="23" l="1" r="D62"/>
  <c i="23" r="F60" s="1"/>
  <c i="23" r="C62"/>
  <c i="23" r="E53" s="1"/>
  <c i="23" r="F57"/>
  <c i="23" r="F61"/>
  <c i="23" r="E57"/>
  <c i="23" r="G57" s="1"/>
  <c i="23" r="F56"/>
  <c i="23" r="F58"/>
  <c i="23" r="E56"/>
  <c i="23" r="G56" s="1"/>
  <c i="23" r="F55"/>
  <c i="23" r="E52"/>
  <c i="23" r="F59"/>
  <c i="23" r="E55"/>
  <c i="23" r="G55" s="1"/>
  <c i="23" r="F62"/>
  <c i="23" r="E60"/>
  <c i="23" r="G60" s="1"/>
  <c i="23" r="F54"/>
  <c i="23" r="F52"/>
  <c i="23" r="F53"/>
  <c i="23" r="D46"/>
  <c i="23" r="C46"/>
  <c i="23" l="1" r="G53"/>
  <c i="23" r="E61"/>
  <c i="23" r="G61" s="1"/>
  <c i="23" r="E62"/>
  <c i="23" r="E59"/>
  <c i="23" r="G59" s="1"/>
  <c i="23" r="E54"/>
  <c i="23" r="G54" s="1"/>
  <c i="23" r="I54" s="1"/>
  <c i="23" r="E58"/>
  <c i="23" r="G52"/>
  <c i="23" r="I52" s="1"/>
  <c i="23" r="G62"/>
  <c i="23" r="G58"/>
  <c i="23" r="I58" s="1"/>
  <c i="23" r="E42"/>
  <c i="23" r="E44"/>
  <c i="23" r="E36"/>
  <c i="23" r="E39"/>
  <c i="23" r="E38"/>
  <c i="23" r="E41"/>
  <c i="23" r="E46"/>
  <c i="23" r="E40"/>
  <c i="23" r="E43"/>
  <c i="23" r="E37"/>
  <c i="23" r="E45"/>
  <c i="23" r="F36"/>
  <c i="23" r="F38"/>
  <c i="23" r="F43"/>
  <c i="23" r="F41"/>
  <c i="23" r="F45"/>
  <c i="23" r="F46"/>
  <c i="23" r="F39"/>
  <c i="23" r="F37"/>
  <c i="23" r="F44"/>
  <c i="23" r="F40"/>
  <c i="23" r="F42"/>
  <c i="23" l="1" r="I59"/>
  <c i="23" r="I55"/>
  <c i="23" r="I53"/>
  <c i="23" r="I60"/>
  <c i="23" r="I56"/>
  <c i="23" r="I61"/>
  <c i="23" r="I57"/>
  <c i="23" r="G36"/>
  <c i="23" r="G46"/>
  <c i="23" r="G45"/>
  <c i="23" r="G37"/>
  <c i="23" r="G43"/>
  <c i="23" r="I43" s="1"/>
  <c i="23" r="G40"/>
  <c i="23" r="I40" s="1"/>
  <c i="23" r="G41"/>
  <c i="23" r="I41" s="1"/>
  <c i="23" r="G38"/>
  <c i="23" r="I38" s="1"/>
  <c i="23" r="G39"/>
  <c i="23" r="I39" s="1"/>
  <c i="23" r="G44"/>
  <c i="23" r="I44" s="1"/>
  <c i="23" r="G42"/>
  <c i="23" r="I42" s="1"/>
  <c i="23" l="1" r="I36"/>
  <c i="23" r="I37"/>
  <c i="23" r="I45"/>
  <c i="23" r="H8"/>
  <c i="23" r="U4"/>
  <c i="23" r="W4" s="1"/>
  <c i="23" r="X4" s="1"/>
  <c i="23" r="V4"/>
  <c i="23" r="U5"/>
  <c i="23" r="W5" s="1"/>
  <c i="23" r="V5"/>
  <c i="23" r="U6"/>
  <c i="23" r="W6" s="1"/>
  <c i="23" r="V6"/>
  <c i="23" r="U7"/>
  <c i="23" r="W7" s="1"/>
  <c i="23" r="V7"/>
  <c i="23" r="U8"/>
  <c i="23" r="V8"/>
  <c i="23" r="U9"/>
  <c i="23" r="W9" s="1"/>
  <c i="23" r="V9"/>
  <c i="23" r="U10"/>
  <c i="23" r="W10" s="1"/>
  <c i="23" r="X10" s="1"/>
  <c i="23" r="V10"/>
  <c i="23" r="U11"/>
  <c i="23" r="W11" s="1"/>
  <c i="23" r="X11" s="1"/>
  <c i="23" r="V11"/>
  <c i="23" r="U12"/>
  <c i="23" r="W12" s="1"/>
  <c i="23" r="V12"/>
  <c i="23" r="U13"/>
  <c i="23" r="W13" s="1"/>
  <c i="23" r="V13"/>
  <c i="23" r="U14"/>
  <c i="23" r="W14" s="1"/>
  <c i="23" r="V14"/>
  <c i="23" r="U15"/>
  <c i="23" r="W15" s="1"/>
  <c i="23" r="V15"/>
  <c i="23" r="U16"/>
  <c i="23" r="W16" s="1"/>
  <c i="23" r="V16"/>
  <c i="23" r="U17"/>
  <c i="23" r="W17" s="1"/>
  <c i="23" r="V17"/>
  <c i="23" r="U18"/>
  <c i="23" r="W18" s="1"/>
  <c i="23" r="V18"/>
  <c i="23" r="U19"/>
  <c i="23" r="W19" s="1"/>
  <c i="23" r="V19"/>
  <c i="23" r="U20"/>
  <c i="23" r="W20" s="1"/>
  <c i="23" r="V20"/>
  <c i="23" r="U21"/>
  <c i="23" r="W21" s="1"/>
  <c i="23" r="V21"/>
  <c i="23" r="U22"/>
  <c i="23" r="W22" s="1"/>
  <c i="23" r="V22"/>
  <c i="23" r="U23"/>
  <c i="23" r="W23" s="1"/>
  <c i="23" r="V23"/>
  <c i="23" r="U24"/>
  <c i="23" r="W24" s="1"/>
  <c i="23" r="V24"/>
  <c i="23" r="U25"/>
  <c i="23" r="W25" s="1"/>
  <c i="23" r="V25"/>
  <c i="23" r="U26"/>
  <c i="23" r="W26" s="1"/>
  <c i="23" r="V26"/>
  <c i="23" r="U27"/>
  <c i="23" r="W27" s="1"/>
  <c i="23" r="V27"/>
  <c i="23" r="U28"/>
  <c i="23" r="W28" s="1"/>
  <c i="23" r="V28"/>
  <c i="23" r="U29"/>
  <c i="23" r="W29" s="1"/>
  <c i="23" r="V29"/>
  <c i="23" r="U30"/>
  <c i="23" r="W30" s="1"/>
  <c i="23" r="V30"/>
  <c i="23" r="U31"/>
  <c i="23" r="W31" s="1"/>
  <c i="23" r="V31"/>
  <c i="23" r="U32"/>
  <c i="23" r="W32" s="1"/>
  <c i="23" r="V32"/>
  <c i="23" r="U33"/>
  <c i="23" r="W33" s="1"/>
  <c i="23" r="X33" s="1"/>
  <c i="23" r="V33"/>
  <c i="23" r="U34"/>
  <c i="23" r="V34"/>
  <c i="23" r="U35"/>
  <c i="23" r="W35" s="1"/>
  <c i="23" r="X35" s="1"/>
  <c i="23" r="V35"/>
  <c i="23" r="U36"/>
  <c i="23" r="W36" s="1"/>
  <c i="23" r="V36"/>
  <c i="23" r="U37"/>
  <c i="23" r="W37" s="1"/>
  <c i="23" r="X37" s="1"/>
  <c i="23" r="V37"/>
  <c i="23" r="U38"/>
  <c i="23" r="W38" s="1"/>
  <c i="23" r="X38" s="1"/>
  <c i="23" r="V38"/>
  <c i="23" r="U39"/>
  <c i="23" r="W39" s="1"/>
  <c i="23" r="X39" s="1"/>
  <c i="23" r="V39"/>
  <c i="23" r="U40"/>
  <c i="23" r="V40"/>
  <c i="23" r="U41"/>
  <c i="23" r="V41"/>
  <c i="23" r="U42"/>
  <c i="23" r="V42"/>
  <c i="23" r="U43"/>
  <c i="23" r="V43"/>
  <c i="23" r="U44"/>
  <c i="23" r="W44" s="1"/>
  <c i="23" r="V44"/>
  <c i="23" r="U45"/>
  <c i="23" r="W45" s="1"/>
  <c i="23" r="V45"/>
  <c i="23" r="U46"/>
  <c i="23" r="W46" s="1"/>
  <c i="23" r="V46"/>
  <c i="23" r="U47"/>
  <c i="23" r="W47" s="1"/>
  <c i="23" r="V47"/>
  <c i="23" r="U48"/>
  <c i="23" r="W48" s="1"/>
  <c i="23" r="V48"/>
  <c i="23" r="U49"/>
  <c i="23" r="W49" s="1"/>
  <c i="23" r="X49" s="1"/>
  <c i="23" r="V49"/>
  <c i="23" r="U50"/>
  <c i="23" r="W50" s="1"/>
  <c i="23" r="V50"/>
  <c i="23" r="U51"/>
  <c i="23" r="W51" s="1"/>
  <c i="23" r="V51"/>
  <c i="23" r="U52"/>
  <c i="23" r="W52" s="1"/>
  <c i="23" r="V52"/>
  <c i="23" r="U53"/>
  <c i="23" r="W53" s="1"/>
  <c i="23" r="V53"/>
  <c i="23" r="U54"/>
  <c i="23" r="W54" s="1"/>
  <c i="23" r="V54"/>
  <c i="23" r="U55"/>
  <c i="23" r="W55" s="1"/>
  <c i="23" r="V55"/>
  <c i="23" r="U56"/>
  <c i="23" r="W56" s="1"/>
  <c i="23" r="V56"/>
  <c i="23" r="U57"/>
  <c i="23" r="W57" s="1"/>
  <c i="23" r="X57" s="1"/>
  <c i="23" r="V57"/>
  <c i="23" r="U58"/>
  <c i="23" r="V58"/>
  <c i="23" r="U59"/>
  <c i="23" r="W59" s="1"/>
  <c i="23" r="X59" s="1"/>
  <c i="23" r="V59"/>
  <c i="23" r="U60"/>
  <c i="23" r="W60" s="1"/>
  <c i="23" r="V60"/>
  <c i="23" r="U61"/>
  <c i="23" r="W61" s="1"/>
  <c i="23" r="X61" s="1"/>
  <c i="23" r="V61"/>
  <c i="23" r="U62"/>
  <c i="23" r="W62" s="1"/>
  <c i="23" r="X62" s="1"/>
  <c i="23" r="V62"/>
  <c i="23" r="U63"/>
  <c i="23" r="W63" s="1"/>
  <c i="23" r="X63" s="1"/>
  <c i="23" r="V63"/>
  <c i="23" r="U64"/>
  <c i="23" r="W64" s="1"/>
  <c i="23" r="V64"/>
  <c i="23" r="V3"/>
  <c i="23" r="U3"/>
  <c i="23" l="1" r="W58"/>
  <c i="23" r="X58" s="1"/>
  <c i="23" r="X47"/>
  <c i="23" r="W40"/>
  <c i="23" r="X40" s="1"/>
  <c i="23" r="X48"/>
  <c i="23" r="X46"/>
  <c i="23" r="W34"/>
  <c i="23" r="X34" s="1"/>
  <c i="23" r="X45"/>
  <c i="23" r="M6"/>
  <c i="23" r="X50"/>
  <c i="23" r="M21"/>
  <c i="23" r="X64"/>
  <c i="23" r="M8"/>
  <c i="23" r="M5"/>
  <c i="23" r="M7"/>
  <c i="23" r="X60"/>
  <c i="23" r="X36"/>
  <c i="23" r="W43"/>
  <c i="23" r="X43" s="1"/>
  <c i="23" r="W42"/>
  <c i="23" r="X42" s="1"/>
  <c i="23" r="X56"/>
  <c i="23" r="X12"/>
  <c i="23" r="W3"/>
  <c i="23" r="X3" s="1"/>
  <c i="23" r="W41"/>
  <c i="23" r="X41" s="1"/>
  <c i="23" r="X55"/>
  <c i="23" r="X53"/>
  <c i="23" r="X9"/>
  <c i="23" r="X52"/>
  <c i="23" r="X54"/>
  <c i="23" r="X51"/>
  <c i="23" r="X7"/>
  <c i="23" r="X6"/>
  <c i="23" r="X5"/>
  <c i="23" r="M29"/>
  <c i="23" r="M4"/>
  <c i="23" r="M27"/>
  <c i="23" r="W8"/>
  <c i="23" r="X8" s="1"/>
  <c i="23" r="M20"/>
  <c i="23" r="M26"/>
  <c i="23" r="M13"/>
  <c i="23" r="M25"/>
  <c i="23" r="X44"/>
  <c i="23" r="M12"/>
  <c i="23" r="M24"/>
  <c i="23" r="M28"/>
  <c i="23" r="M11"/>
  <c i="23" r="M23"/>
  <c i="23" r="M10"/>
  <c i="23" r="M22"/>
  <c i="23" r="M9"/>
  <c i="23" r="D29"/>
  <c i="23" r="D28"/>
  <c i="23" r="D27"/>
  <c i="23" r="D26"/>
  <c i="23" r="D25"/>
  <c i="23" r="D24"/>
  <c i="23" r="D23"/>
  <c i="23" r="D22"/>
  <c i="23" r="D21"/>
  <c i="23" r="D20"/>
  <c i="23" r="C28"/>
  <c i="23" r="C27"/>
  <c i="23" r="C26"/>
  <c i="23" r="C25"/>
  <c i="23" r="C24"/>
  <c i="23" r="C23"/>
  <c i="23" r="C22"/>
  <c i="23" r="C21"/>
  <c i="23" r="C20"/>
  <c i="23" r="H28"/>
  <c i="23" r="H27"/>
  <c i="23" r="H26"/>
  <c i="23" r="H25"/>
  <c i="23" r="H24"/>
  <c i="23" r="H23"/>
  <c i="23" r="H22"/>
  <c i="23" r="H21"/>
  <c i="23" r="H20"/>
  <c i="23" r="H5"/>
  <c i="23" r="H6"/>
  <c i="23" r="H7"/>
  <c i="23" r="H9"/>
  <c i="23" r="H10"/>
  <c i="23" r="H11"/>
  <c i="23" r="H12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30"/>
  <c i="23" r="F22" s="1"/>
  <c i="23" r="F23"/>
  <c i="23" r="F28"/>
  <c i="23" r="F27"/>
  <c i="23" r="F29"/>
  <c i="23" r="F20"/>
  <c i="23" r="F24"/>
  <c i="23" r="F21"/>
  <c i="23" r="F25"/>
  <c i="23" r="F30"/>
  <c i="23" r="F26"/>
  <c i="23" r="C14"/>
  <c i="23" r="E12" s="1"/>
  <c i="23" r="C30"/>
  <c i="23" r="E10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E24"/>
  <c i="23" r="G24" s="1"/>
  <c i="23" r="E11"/>
  <c i="23" r="E7"/>
  <c i="23" r="E14"/>
  <c i="23" r="E9"/>
  <c i="23" r="E6"/>
  <c i="23" r="E8"/>
  <c i="23" r="E5"/>
  <c i="23" r="E4"/>
  <c i="23" r="E13"/>
  <c i="23" r="E27"/>
  <c i="23" r="G27" s="1"/>
  <c i="23" r="E29"/>
  <c i="23" r="G29" s="1"/>
  <c i="23" r="E20"/>
  <c i="23" r="G20" s="1"/>
  <c i="23" r="E28"/>
  <c i="23" r="G28" s="1"/>
  <c i="23" r="E21"/>
  <c i="23" r="G21" s="1"/>
  <c i="23" r="E22"/>
  <c i="23" r="G22" s="1"/>
  <c i="23" r="E30"/>
  <c i="23" r="G30" s="1"/>
  <c i="23" r="E26"/>
  <c i="23" r="G26" s="1"/>
  <c i="23" r="E25"/>
  <c i="23" r="G25" s="1"/>
  <c i="23" r="E23"/>
  <c i="23" r="G23" s="1"/>
  <c i="23" r="F9"/>
  <c i="23" r="F14"/>
  <c i="23" r="F10"/>
  <c i="23" r="G10" s="1"/>
  <c i="23" r="F13"/>
  <c i="23" r="F11"/>
  <c i="23" r="F8"/>
  <c i="23" r="F6"/>
  <c i="23" r="F4"/>
  <c i="23" r="F12"/>
  <c i="23" r="G12" s="1"/>
  <c i="23" r="F7"/>
  <c i="23" r="F5"/>
  <c i="23" r="G7"/>
  <c i="23" r="G6"/>
  <c i="23" r="G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G11"/>
  <c i="23" r="G14"/>
  <c i="23" r="G9"/>
  <c i="23" r="N56"/>
  <c i="23" r="AD27" s="1"/>
  <c i="23" r="N57"/>
  <c i="23" r="AD28" s="1"/>
  <c i="23" r="N58"/>
  <c i="23" r="AD29" s="1"/>
  <c i="23" r="N52"/>
  <c i="23" r="AD23" s="1"/>
  <c i="23" r="N53"/>
  <c i="23" r="AD24" s="1"/>
  <c i="23" r="N59"/>
  <c i="23" r="AD30" s="1"/>
  <c i="23" r="N55"/>
  <c i="23" r="AD26" s="1"/>
  <c i="23" r="N54"/>
  <c i="23" r="AD25" s="1"/>
  <c i="23" r="N60"/>
  <c i="23" r="AD31" s="1"/>
  <c i="23" r="I26"/>
  <c i="23" r="N26" s="1"/>
  <c i="23" r="X29" s="1"/>
  <c i="23" r="I22"/>
  <c i="23" r="N22" s="1"/>
  <c i="23" r="X25" s="1"/>
  <c i="23" r="I21"/>
  <c i="23" r="N21" s="1"/>
  <c i="23" r="X24" s="1"/>
  <c i="23" r="I28"/>
  <c i="23" r="N28" s="1"/>
  <c i="23" r="X31" s="1"/>
  <c i="23" r="I20"/>
  <c i="23" r="N20" s="1"/>
  <c i="23" r="X23" s="1"/>
  <c i="23" r="I25"/>
  <c i="23" r="N25" s="1"/>
  <c i="23" r="X28" s="1"/>
  <c i="23" r="I29"/>
  <c i="23" r="N29" s="1"/>
  <c i="23" r="X32" s="1"/>
  <c i="23" r="I27"/>
  <c i="23" r="N27" s="1"/>
  <c i="23" r="X30" s="1"/>
  <c i="23" r="I23"/>
  <c i="23" r="N23" s="1"/>
  <c i="23" r="X26" s="1"/>
  <c i="23" r="G8"/>
  <c i="23" r="I11" s="1"/>
  <c i="23" r="N11" s="1"/>
  <c i="23" r="X20" s="1"/>
  <c i="23" r="I24"/>
  <c i="23" r="N24" s="1"/>
  <c i="23" r="X27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K106" s="1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9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I9"/>
  <c i="23" r="N9" s="1"/>
  <c i="23" r="X18" s="1"/>
  <c i="23" r="I13"/>
  <c i="23" r="N13" s="1"/>
  <c i="23" r="X22" s="1"/>
  <c i="23" r="I8"/>
  <c i="23" r="N8" s="1"/>
  <c i="23" r="X17" s="1"/>
  <c i="23" r="I6"/>
  <c i="23" r="N6" s="1"/>
  <c i="23" r="X15" s="1"/>
  <c i="23" r="N36"/>
  <c i="23" r="AD13" s="1"/>
  <c i="23" r="N42"/>
  <c i="23" r="AD19" s="1"/>
  <c i="23" r="N44"/>
  <c i="23" r="AD21" s="1"/>
  <c i="23" r="N39"/>
  <c i="23" r="AD16" s="1"/>
  <c i="23" r="N38"/>
  <c i="23" r="AD15" s="1"/>
  <c i="23" r="N41"/>
  <c i="23" r="AD18" s="1"/>
  <c i="23" r="N40"/>
  <c i="23" r="AD17" s="1"/>
  <c i="23" r="N43"/>
  <c i="23" r="AD20" s="1"/>
  <c i="23" r="N37"/>
  <c i="23" r="AD14" s="1"/>
  <c i="23" r="N45"/>
  <c i="23" r="AD22" s="1"/>
  <c i="3" r="K110"/>
  <c i="3" r="K89"/>
  <c i="23" r="I10"/>
  <c i="23" r="N10" s="1"/>
  <c i="23" r="X19" s="1"/>
  <c i="3" r="L89"/>
  <c i="3" r="L91"/>
  <c i="23" r="I12"/>
  <c i="23" r="N12" s="1"/>
  <c i="23" r="X21" s="1"/>
  <c i="3" r="L94"/>
  <c i="23" r="I5"/>
  <c i="23" r="N5" s="1"/>
  <c i="23" r="X14" s="1"/>
  <c i="3" r="K100"/>
  <c i="23" r="I7"/>
  <c i="23" r="N7" s="1"/>
  <c i="23" r="X16" s="1"/>
  <c i="3" r="K103"/>
  <c i="23" r="I4"/>
  <c i="23" r="N4" s="1"/>
  <c i="23" r="X13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79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3" l="1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<sst xmlns="http://schemas.openxmlformats.org/spreadsheetml/2006/main" count="729" uniqueCount="200">
  <si>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</si>
  <si>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</si>
  <si>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</si>
  <si>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</si>
  <si>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</si>
  <si>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</si>
  <si>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</si>
  <si>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</si>
  <si>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</si>
  <si>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</si>
  <si>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</si>
  <si>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</si>
  <si>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</si>
  <si>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</si>
  <si>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</si>
  <si>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</si>
  <si>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</si>
  <si>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</si>
  <si>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</si>
  <si>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</si>
  <si>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</si>
  <si>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</si>
  <si>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</si>
  <si>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</si>
  <si>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</si>
  <si>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</si>
  <si>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</si>
  <si>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</si>
  <si>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</si>
  <si>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</si>
  <si>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</si>
  <si>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</si>
  <si>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</si>
  <si>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</si>
  <si>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</si>
  <si>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</si>
  <si>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</si>
  <si>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</si>
  <si>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</si>
  <si>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</si>
  <si>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</si>
  <si>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</si>
  <si>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</si>
  <si>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</si>
  <si>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</si>
  <si>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</si>
  <si>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</si>
  <si>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</si>
  <si>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</si>
  <si>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</si>
  <si>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</si>
  <si>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</si>
  <si>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</si>
  <si>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</si>
  <si>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</si>
  <si>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</si>
  <si>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</si>
  <si>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</si>
  <si>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</si>
  <si>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</si>
  <si>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</si>
  <si>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</si>
  <si>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</si>
  <si>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</si>
  <si>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</si>
  <si>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</si>
  <si>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</si>
  <si>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</si>
  <si>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</si>
  <si>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</si>
  <si>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</si>
  <si>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</si>
  <si>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</si>
  <si>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</si>
  <si>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</si>
  <si>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</si>
  <si>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</si>
  <si>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</si>
  <si>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</si>
  <si>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</si>
  <si>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</si>
  <si>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</si>
  <si>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</si>
  <si>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</si>
  <si>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</si>
  <si>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</si>
  <si>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</si>
  <si>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</si>
  <si>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</si>
  <si>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</si>
  <si>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</si>
  <si>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</si>
  <si>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</si>
  <si>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</si>
  <si>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Open "WorkbasedSubtourGenerationCoefficients_SACOG-v1.5.F12" in Notepad+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</si>
  <si>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</si>
  <si>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</si>
  <si>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</si>
  <si>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</si>
  <si>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</si>
  <si>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</si>
  <si>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</si>
  <si>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</si>
  <si>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</si>
  <si>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</si>
  <si>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</si>
  <si>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Oct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</si>
  <si>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</si>
  <si>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</si>
  <si>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</si>
  <si>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</si>
  <si>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</si>
  <si>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</si>
  <si>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</si>
  <si>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</si>
  <si>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</si>
  <si>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</si>
  <si>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</si>
  <si>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</si>
  <si>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</si>
  <si>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</si>
  <si>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</si>
  <si>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</si>
  <si>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</si>
  <si>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</si>
  <si>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</si>
  <si>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</si>
  <si>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</si>
  <si>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</si>
  <si>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</si>
  <si>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</si>
  <si>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</si>
  <si>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</si>
  <si>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</si>
  <si>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</si>
  <si>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</si>
  <si>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</si>
  <si>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</si>
  <si>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</si>
  <si>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</si>
  <si>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</si>
  <si>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</si>
  <si>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</si>
  <si>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</si>
  <si>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</si>
  <si>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</si>
  <si>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</si>
  <si>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</si>
  <si>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</si>
  <si>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</si>
  <si>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</si>
  <si>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</si>
  <si>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</si>
  <si>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</si>
  <si>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</si>
  <si>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</si>
  <si>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</si>
  <si>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</si>
  <si>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</si>
  <si>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</si>
  <si>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</si>
  <si>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</si>
  <si>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</si>
  <si>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</si>
  <si>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</si>
  <si>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</si>
  <si>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</si>
  <si>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</si>
  <si>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</si>
  <si>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</si>
  <si>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</si>
  <si>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</si>
  <si>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018:42:27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</si>
  <si>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</si>
  <si>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</si>
  <si>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</si>
  <si>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</si>
  <si>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</si>
  <si>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</si>
  <si>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</si>
  <si>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</si>
  <si>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</si>
  <si>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</si>
  <si>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</si>
  <si>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</si>
  <si>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</si>
  <si>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</si>
  <si>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</si>
  <si>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</si>
  <si>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</si>
  <si>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</si>
  <si>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</si>
  <si>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</si>
  <si>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</si>
  <si>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</si>
  <si>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</si>
  <si>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</si>
  <si>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010:39:27</t>
  </si>
  <si>
    <t>WorkbasedSubTourTimeModel.F12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</si>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</sst>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Fill="1" applyNumberFormat="1" borderId="0" fillId="5" fontId="0" numFmtId="168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Alignment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theme/theme1.xml" Type="http://schemas.openxmlformats.org/officeDocument/2006/relationships/theme"/><Relationship Id="rId17" Target="styles.xml" Type="http://schemas.openxmlformats.org/officeDocument/2006/relationships/styles"/><Relationship Id="rId18" Target="sharedStrings.xml" Type="http://schemas.openxmlformats.org/officeDocument/2006/relationships/sharedStrings"/><Relationship Id="rId19" Target="calcChain.xml" Type="http://schemas.openxmlformats.org/officeDocument/2006/relationships/calcChain"/><Relationship Id="rId2" Target="worksheets/sheet2.xml" Type="http://schemas.openxmlformats.org/officeDocument/2006/relationships/worksheet"/><Relationship Id="rId20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_rels/chart8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2.2031645712808101E-3</c:v>
                </c:pt>
                <c:pt idx="2">
                  <c:v>5.2119508513640313E-3</c:v>
                </c:pt>
                <c:pt idx="3">
                  <c:v>9.8967502367837759E-3</c:v>
                </c:pt>
                <c:pt idx="4">
                  <c:v>1.713035270498443E-2</c:v>
                </c:pt>
                <c:pt idx="5">
                  <c:v>2.7557316361067223E-2</c:v>
                </c:pt>
                <c:pt idx="6">
                  <c:v>4.1237332327821764E-2</c:v>
                </c:pt>
                <c:pt idx="7">
                  <c:v>5.7254051564345501E-2</c:v>
                </c:pt>
                <c:pt idx="8">
                  <c:v>7.3477564530148309E-2</c:v>
                </c:pt>
                <c:pt idx="9">
                  <c:v>8.6802307437784415E-2</c:v>
                </c:pt>
                <c:pt idx="10">
                  <c:v>9.4086503481892403E-2</c:v>
                </c:pt>
                <c:pt idx="11">
                  <c:v>9.3507392184192059E-2</c:v>
                </c:pt>
                <c:pt idx="12">
                  <c:v>8.5501033341354199E-2</c:v>
                </c:pt>
                <c:pt idx="13">
                  <c:v>7.2563149831563256E-2</c:v>
                </c:pt>
                <c:pt idx="14">
                  <c:v>5.8021342903304282E-2</c:v>
                </c:pt>
                <c:pt idx="15">
                  <c:v>4.4652465083904122E-2</c:v>
                </c:pt>
                <c:pt idx="16">
                  <c:v>3.3966929548648439E-2</c:v>
                </c:pt>
                <c:pt idx="17">
                  <c:v>2.6291650793590811E-2</c:v>
                </c:pt>
                <c:pt idx="18">
                  <c:v>2.1231599242964104E-2</c:v>
                </c:pt>
                <c:pt idx="19">
                  <c:v>1.8094702975491483E-2</c:v>
                </c:pt>
                <c:pt idx="20">
                  <c:v>1.6161809187344382E-2</c:v>
                </c:pt>
                <c:pt idx="21">
                  <c:v>1.4849279039845094E-2</c:v>
                </c:pt>
                <c:pt idx="22">
                  <c:v>1.3781759115160254E-2</c:v>
                </c:pt>
                <c:pt idx="23">
                  <c:v>1.2766581597388372E-2</c:v>
                </c:pt>
                <c:pt idx="24">
                  <c:v>1.1718269088323515E-2</c:v>
                </c:pt>
                <c:pt idx="25">
                  <c:v>1.0607626867535264E-2</c:v>
                </c:pt>
                <c:pt idx="26">
                  <c:v>9.4468826851649805E-3</c:v>
                </c:pt>
                <c:pt idx="27">
                  <c:v>8.2706572597341151E-3</c:v>
                </c:pt>
                <c:pt idx="28">
                  <c:v>7.1046179053884826E-3</c:v>
                </c:pt>
                <c:pt idx="29">
                  <c:v>5.9565181103851698E-3</c:v>
                </c:pt>
                <c:pt idx="30">
                  <c:v>4.8401377010922429E-3</c:v>
                </c:pt>
                <c:pt idx="31">
                  <c:v>3.7959090663928999E-3</c:v>
                </c:pt>
                <c:pt idx="32">
                  <c:v>2.8790142639737162E-3</c:v>
                </c:pt>
                <c:pt idx="33">
                  <c:v>2.1309891164204764E-3</c:v>
                </c:pt>
                <c:pt idx="34">
                  <c:v>1.5663640467380312E-3</c:v>
                </c:pt>
                <c:pt idx="35">
                  <c:v>1.1778543787010491E-3</c:v>
                </c:pt>
                <c:pt idx="36">
                  <c:v>9.4038357637188483E-4</c:v>
                </c:pt>
                <c:pt idx="37">
                  <c:v>8.074740076885787E-4</c:v>
                </c:pt>
                <c:pt idx="38">
                  <c:v>7.1657885653184485E-4</c:v>
                </c:pt>
                <c:pt idx="39">
                  <c:v>6.1356277280058568E-4</c:v>
                </c:pt>
                <c:pt idx="40">
                  <c:v>4.7879503763668528E-4</c:v>
                </c:pt>
                <c:pt idx="41">
                  <c:v>3.2949109733055237E-4</c:v>
                </c:pt>
                <c:pt idx="42">
                  <c:v>1.9705378473519378E-4</c:v>
                </c:pt>
                <c:pt idx="43">
                  <c:v>1.0206489866615257E-4</c:v>
                </c:pt>
                <c:pt idx="44">
                  <c:v>4.594014705948837E-5</c:v>
                </c:pt>
                <c:pt idx="45">
                  <c:v>1.8089969471988093E-5</c:v>
                </c:pt>
                <c:pt idx="46">
                  <c:v>6.2593819355607646E-6</c:v>
                </c:pt>
                <c:pt idx="47">
                  <c:v>1.8911157524956421E-6</c:v>
                </c:pt>
                <c:pt idx="48">
                  <c:v>4.8624773419930329E-7</c:v>
                </c:pt>
                <c:pt idx="49">
                  <c:v>9.9704211064059079E-8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9.9541975868570258E-4</c:v>
                </c:pt>
                <c:pt idx="1">
                  <c:v>3.1391728249867829E-3</c:v>
                </c:pt>
                <c:pt idx="2">
                  <c:v>5.5907542731780807E-3</c:v>
                </c:pt>
                <c:pt idx="3">
                  <c:v>8.9026521846516868E-3</c:v>
                </c:pt>
                <c:pt idx="4">
                  <c:v>1.396763519170994E-2</c:v>
                </c:pt>
                <c:pt idx="5">
                  <c:v>2.1820167185053928E-2</c:v>
                </c:pt>
                <c:pt idx="6">
                  <c:v>3.3115677790749538E-2</c:v>
                </c:pt>
                <c:pt idx="7">
                  <c:v>4.7500029337702483E-2</c:v>
                </c:pt>
                <c:pt idx="8">
                  <c:v>6.3261237106123414E-2</c:v>
                </c:pt>
                <c:pt idx="9">
                  <c:v>7.7580182432587907E-2</c:v>
                </c:pt>
                <c:pt idx="10">
                  <c:v>8.738216855400055E-2</c:v>
                </c:pt>
                <c:pt idx="11">
                  <c:v>9.0446444446337967E-2</c:v>
                </c:pt>
                <c:pt idx="12">
                  <c:v>8.6266526604708654E-2</c:v>
                </c:pt>
                <c:pt idx="13">
                  <c:v>7.6248465093220585E-2</c:v>
                </c:pt>
                <c:pt idx="14">
                  <c:v>6.3137232744615107E-2</c:v>
                </c:pt>
                <c:pt idx="15">
                  <c:v>4.9937661277548243E-2</c:v>
                </c:pt>
                <c:pt idx="16">
                  <c:v>3.8855679054726235E-2</c:v>
                </c:pt>
                <c:pt idx="17">
                  <c:v>3.075937598150116E-2</c:v>
                </c:pt>
                <c:pt idx="18">
                  <c:v>2.5335126793469324E-2</c:v>
                </c:pt>
                <c:pt idx="19">
                  <c:v>2.1700705819910033E-2</c:v>
                </c:pt>
                <c:pt idx="20">
                  <c:v>1.9028073017324905E-2</c:v>
                </c:pt>
                <c:pt idx="21">
                  <c:v>1.684724327617499E-2</c:v>
                </c:pt>
                <c:pt idx="22">
                  <c:v>1.5002530266892281E-2</c:v>
                </c:pt>
                <c:pt idx="23">
                  <c:v>1.3456438648707153E-2</c:v>
                </c:pt>
                <c:pt idx="24">
                  <c:v>1.2149664200564696E-2</c:v>
                </c:pt>
                <c:pt idx="25">
                  <c:v>1.0989178385199841E-2</c:v>
                </c:pt>
                <c:pt idx="26">
                  <c:v>9.9034810964810614E-3</c:v>
                </c:pt>
                <c:pt idx="27">
                  <c:v>8.8746933855886855E-3</c:v>
                </c:pt>
                <c:pt idx="28">
                  <c:v>7.915843836238709E-3</c:v>
                </c:pt>
                <c:pt idx="29">
                  <c:v>7.0271082729357589E-3</c:v>
                </c:pt>
                <c:pt idx="30">
                  <c:v>6.1786963983333203E-3</c:v>
                </c:pt>
                <c:pt idx="31">
                  <c:v>5.3345239270083059E-3</c:v>
                </c:pt>
                <c:pt idx="32">
                  <c:v>4.490049265982868E-3</c:v>
                </c:pt>
                <c:pt idx="33">
                  <c:v>3.6853118928066864E-3</c:v>
                </c:pt>
                <c:pt idx="34">
                  <c:v>2.9786707307893181E-3</c:v>
                </c:pt>
                <c:pt idx="35">
                  <c:v>2.4046576612879438E-3</c:v>
                </c:pt>
                <c:pt idx="36">
                  <c:v>1.9534773123626456E-3</c:v>
                </c:pt>
                <c:pt idx="37">
                  <c:v>1.5863220926382016E-3</c:v>
                </c:pt>
                <c:pt idx="38">
                  <c:v>1.2667186436102424E-3</c:v>
                </c:pt>
                <c:pt idx="39">
                  <c:v>9.7917038954464493E-4</c:v>
                </c:pt>
                <c:pt idx="40">
                  <c:v>7.2572856697777238E-4</c:v>
                </c:pt>
                <c:pt idx="41">
                  <c:v>5.126122060120881E-4</c:v>
                </c:pt>
                <c:pt idx="42">
                  <c:v>3.4190035386483871E-4</c:v>
                </c:pt>
                <c:pt idx="43">
                  <c:v>2.1169777909144525E-4</c:v>
                </c:pt>
                <c:pt idx="44">
                  <c:v>1.1875364146694435E-4</c:v>
                </c:pt>
                <c:pt idx="45">
                  <c:v>5.8674423661171962E-5</c:v>
                </c:pt>
                <c:pt idx="46">
                  <c:v>2.4799165273737527E-5</c:v>
                </c:pt>
                <c:pt idx="47">
                  <c:v>8.6991266000658096E-6</c:v>
                </c:pt>
                <c:pt idx="48">
                  <c:v>2.4471636116227491E-6</c:v>
                </c:pt>
                <c:pt idx="49">
                  <c:v>5.2041750049989193E-7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1.3110541434186441E-4</c:v>
                </c:pt>
                <c:pt idx="2">
                  <c:v>4.5258101025143866E-4</c:v>
                </c:pt>
                <c:pt idx="3">
                  <c:v>1.4722635127194564E-3</c:v>
                </c:pt>
                <c:pt idx="4">
                  <c:v>4.383534116134096E-3</c:v>
                </c:pt>
                <c:pt idx="5">
                  <c:v>1.1261523157380621E-2</c:v>
                </c:pt>
                <c:pt idx="6">
                  <c:v>2.4570986862645441E-2</c:v>
                </c:pt>
                <c:pt idx="7">
                  <c:v>4.565578656567653E-2</c:v>
                </c:pt>
                <c:pt idx="8">
                  <c:v>7.2799859307040554E-2</c:v>
                </c:pt>
                <c:pt idx="9">
                  <c:v>0.10041686379887581</c:v>
                </c:pt>
                <c:pt idx="10">
                  <c:v>0.12067481758957327</c:v>
                </c:pt>
                <c:pt idx="11">
                  <c:v>0.12710562043613183</c:v>
                </c:pt>
                <c:pt idx="12">
                  <c:v>0.11795292237310229</c:v>
                </c:pt>
                <c:pt idx="13">
                  <c:v>9.6970472802929794E-2</c:v>
                </c:pt>
                <c:pt idx="14">
                  <c:v>7.1226050211875364E-2</c:v>
                </c:pt>
                <c:pt idx="15">
                  <c:v>4.7554309371030168E-2</c:v>
                </c:pt>
                <c:pt idx="16">
                  <c:v>2.9936593157882101E-2</c:v>
                </c:pt>
                <c:pt idx="17">
                  <c:v>1.900236255674775E-2</c:v>
                </c:pt>
                <c:pt idx="18">
                  <c:v>1.3206388224387411E-2</c:v>
                </c:pt>
                <c:pt idx="19">
                  <c:v>1.0405224751888735E-2</c:v>
                </c:pt>
                <c:pt idx="20">
                  <c:v>8.8912359060612477E-3</c:v>
                </c:pt>
                <c:pt idx="21">
                  <c:v>7.7213154948376182E-3</c:v>
                </c:pt>
                <c:pt idx="22">
                  <c:v>6.6081802487050331E-3</c:v>
                </c:pt>
                <c:pt idx="23">
                  <c:v>5.634551569284699E-3</c:v>
                </c:pt>
                <c:pt idx="24">
                  <c:v>4.9525258965070094E-3</c:v>
                </c:pt>
                <c:pt idx="25">
                  <c:v>4.5988781229096805E-3</c:v>
                </c:pt>
                <c:pt idx="26">
                  <c:v>4.4856305083777713E-3</c:v>
                </c:pt>
                <c:pt idx="27">
                  <c:v>4.4897211836022605E-3</c:v>
                </c:pt>
                <c:pt idx="28">
                  <c:v>4.5111617085099092E-3</c:v>
                </c:pt>
                <c:pt idx="29">
                  <c:v>4.4608382385051618E-3</c:v>
                </c:pt>
                <c:pt idx="30">
                  <c:v>4.2450140147461801E-3</c:v>
                </c:pt>
                <c:pt idx="31">
                  <c:v>3.799893254639287E-3</c:v>
                </c:pt>
                <c:pt idx="32">
                  <c:v>3.1427137739996665E-3</c:v>
                </c:pt>
                <c:pt idx="33">
                  <c:v>2.3768170476051193E-3</c:v>
                </c:pt>
                <c:pt idx="34">
                  <c:v>1.6416448010229342E-3</c:v>
                </c:pt>
                <c:pt idx="35">
                  <c:v>1.0520350076171888E-3</c:v>
                </c:pt>
                <c:pt idx="36">
                  <c:v>6.706314014203698E-4</c:v>
                </c:pt>
                <c:pt idx="37">
                  <c:v>5.2097537534967259E-4</c:v>
                </c:pt>
                <c:pt idx="38">
                  <c:v>6.1060131789149807E-4</c:v>
                </c:pt>
                <c:pt idx="39">
                  <c:v>9.2150265045265879E-4</c:v>
                </c:pt>
                <c:pt idx="40">
                  <c:v>1.3648870765811064E-3</c:v>
                </c:pt>
                <c:pt idx="41">
                  <c:v>1.7620347083389595E-3</c:v>
                </c:pt>
                <c:pt idx="42">
                  <c:v>1.9146437213788219E-3</c:v>
                </c:pt>
                <c:pt idx="43">
                  <c:v>1.7319129775995048E-3</c:v>
                </c:pt>
                <c:pt idx="44">
                  <c:v>1.2960902648413313E-3</c:v>
                </c:pt>
                <c:pt idx="45">
                  <c:v>7.9674642292762205E-4</c:v>
                </c:pt>
                <c:pt idx="46">
                  <c:v>3.9813804083819212E-4</c:v>
                </c:pt>
                <c:pt idx="47">
                  <c:v>1.591948309112507E-4</c:v>
                </c:pt>
                <c:pt idx="48">
                  <c:v>4.9724554837728787E-5</c:v>
                </c:pt>
                <c:pt idx="49">
                  <c:v>1.1494659085742889E-5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4.3758692280793363E-5</c:v>
                </c:pt>
                <c:pt idx="1">
                  <c:v>2.0846694175785313E-4</c:v>
                </c:pt>
                <c:pt idx="2">
                  <c:v>5.4565393495529949E-4</c:v>
                </c:pt>
                <c:pt idx="3">
                  <c:v>1.484152328588144E-3</c:v>
                </c:pt>
                <c:pt idx="4">
                  <c:v>3.9624482465323314E-3</c:v>
                </c:pt>
                <c:pt idx="5">
                  <c:v>9.5328460937575028E-3</c:v>
                </c:pt>
                <c:pt idx="6">
                  <c:v>2.001706120570804E-2</c:v>
                </c:pt>
                <c:pt idx="7">
                  <c:v>3.6522406611522347E-2</c:v>
                </c:pt>
                <c:pt idx="8">
                  <c:v>5.8147225223263634E-2</c:v>
                </c:pt>
                <c:pt idx="9">
                  <c:v>8.1289512796925867E-2</c:v>
                </c:pt>
                <c:pt idx="10">
                  <c:v>0.10043652548510812</c:v>
                </c:pt>
                <c:pt idx="11">
                  <c:v>0.11038627370799091</c:v>
                </c:pt>
                <c:pt idx="12">
                  <c:v>0.10868202603563615</c:v>
                </c:pt>
                <c:pt idx="13">
                  <c:v>9.6695805674489876E-2</c:v>
                </c:pt>
                <c:pt idx="14">
                  <c:v>7.8694495105470011E-2</c:v>
                </c:pt>
                <c:pt idx="15">
                  <c:v>5.9633440869069021E-2</c:v>
                </c:pt>
                <c:pt idx="16">
                  <c:v>4.3147080374067712E-2</c:v>
                </c:pt>
                <c:pt idx="17">
                  <c:v>3.0753230655682574E-2</c:v>
                </c:pt>
                <c:pt idx="18">
                  <c:v>2.2260271462055479E-2</c:v>
                </c:pt>
                <c:pt idx="19">
                  <c:v>1.6688608521449679E-2</c:v>
                </c:pt>
                <c:pt idx="20">
                  <c:v>1.3033143276963848E-2</c:v>
                </c:pt>
                <c:pt idx="21">
                  <c:v>1.0596230948427966E-2</c:v>
                </c:pt>
                <c:pt idx="22">
                  <c:v>8.9786872963475671E-3</c:v>
                </c:pt>
                <c:pt idx="23">
                  <c:v>7.9431798437967736E-3</c:v>
                </c:pt>
                <c:pt idx="24">
                  <c:v>7.3092421058182271E-3</c:v>
                </c:pt>
                <c:pt idx="25">
                  <c:v>6.9264998501147798E-3</c:v>
                </c:pt>
                <c:pt idx="26">
                  <c:v>6.6916745513158644E-3</c:v>
                </c:pt>
                <c:pt idx="27">
                  <c:v>6.5549742239440862E-3</c:v>
                </c:pt>
                <c:pt idx="28">
                  <c:v>6.490090467147048E-3</c:v>
                </c:pt>
                <c:pt idx="29">
                  <c:v>6.4467075308150875E-3</c:v>
                </c:pt>
                <c:pt idx="30">
                  <c:v>6.3300124077683264E-3</c:v>
                </c:pt>
                <c:pt idx="31">
                  <c:v>6.0359512998766065E-3</c:v>
                </c:pt>
                <c:pt idx="32">
                  <c:v>5.520623506513442E-3</c:v>
                </c:pt>
                <c:pt idx="33">
                  <c:v>4.8404047796749838E-3</c:v>
                </c:pt>
                <c:pt idx="34">
                  <c:v>4.1165058435716651E-3</c:v>
                </c:pt>
                <c:pt idx="35">
                  <c:v>3.4491999331193934E-3</c:v>
                </c:pt>
                <c:pt idx="36">
                  <c:v>2.8592385505100122E-3</c:v>
                </c:pt>
                <c:pt idx="37">
                  <c:v>2.3058473325913934E-3</c:v>
                </c:pt>
                <c:pt idx="38">
                  <c:v>1.7532556249110415E-3</c:v>
                </c:pt>
                <c:pt idx="39">
                  <c:v>1.2167564619630872E-3</c:v>
                </c:pt>
                <c:pt idx="40">
                  <c:v>7.5139014742764204E-4</c:v>
                </c:pt>
                <c:pt idx="41">
                  <c:v>4.0615656912575896E-4</c:v>
                </c:pt>
                <c:pt idx="42">
                  <c:v>1.9089851505941398E-4</c:v>
                </c:pt>
                <c:pt idx="43">
                  <c:v>7.8518255668918121E-5</c:v>
                </c:pt>
                <c:pt idx="44">
                  <c:v>2.8960975289587562E-5</c:v>
                </c:pt>
                <c:pt idx="45">
                  <c:v>9.9605736987666708E-6</c:v>
                </c:pt>
                <c:pt idx="46">
                  <c:v>3.2753278489528968E-6</c:v>
                </c:pt>
                <c:pt idx="47">
                  <c:v>1.0029681236949874E-6</c:v>
                </c:pt>
                <c:pt idx="48">
                  <c:v>2.6578068597204568E-7</c:v>
                </c:pt>
                <c:pt idx="49">
                  <c:v>5.5085568589500569E-8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4.9632091797558603E-4</c:v>
                </c:pt>
                <c:pt idx="2">
                  <c:v>1.0136301056900832E-3</c:v>
                </c:pt>
                <c:pt idx="3">
                  <c:v>1.5956847674652389E-3</c:v>
                </c:pt>
                <c:pt idx="4">
                  <c:v>2.3384615410733723E-3</c:v>
                </c:pt>
                <c:pt idx="5">
                  <c:v>3.4182538726211993E-3</c:v>
                </c:pt>
                <c:pt idx="6">
                  <c:v>5.0936656455705829E-3</c:v>
                </c:pt>
                <c:pt idx="7">
                  <c:v>7.6523340031911394E-3</c:v>
                </c:pt>
                <c:pt idx="8">
                  <c:v>1.1289816863160636E-2</c:v>
                </c:pt>
                <c:pt idx="9">
                  <c:v>1.5950758998123725E-2</c:v>
                </c:pt>
                <c:pt idx="10">
                  <c:v>2.1221270234038612E-2</c:v>
                </c:pt>
                <c:pt idx="11">
                  <c:v>2.6385145685425326E-2</c:v>
                </c:pt>
                <c:pt idx="12">
                  <c:v>3.0676824877628656E-2</c:v>
                </c:pt>
                <c:pt idx="13">
                  <c:v>3.3600484587411265E-2</c:v>
                </c:pt>
                <c:pt idx="14">
                  <c:v>3.509335969809043E-2</c:v>
                </c:pt>
                <c:pt idx="15">
                  <c:v>3.5428463865244064E-2</c:v>
                </c:pt>
                <c:pt idx="16">
                  <c:v>3.4984095367325142E-2</c:v>
                </c:pt>
                <c:pt idx="17">
                  <c:v>3.4098528397034956E-2</c:v>
                </c:pt>
                <c:pt idx="18">
                  <c:v>3.3080510195621061E-2</c:v>
                </c:pt>
                <c:pt idx="19">
                  <c:v>3.2255226369723021E-2</c:v>
                </c:pt>
                <c:pt idx="20">
                  <c:v>3.1916211121546793E-2</c:v>
                </c:pt>
                <c:pt idx="21">
                  <c:v>3.2198754673380306E-2</c:v>
                </c:pt>
                <c:pt idx="22">
                  <c:v>3.2995932780875419E-2</c:v>
                </c:pt>
                <c:pt idx="23">
                  <c:v>3.4011235910510515E-2</c:v>
                </c:pt>
                <c:pt idx="24">
                  <c:v>3.4943707453813352E-2</c:v>
                </c:pt>
                <c:pt idx="25">
                  <c:v>3.5708599664499713E-2</c:v>
                </c:pt>
                <c:pt idx="26">
                  <c:v>3.6541305342620505E-2</c:v>
                </c:pt>
                <c:pt idx="27">
                  <c:v>3.785870087056404E-2</c:v>
                </c:pt>
                <c:pt idx="28">
                  <c:v>3.9898193252977991E-2</c:v>
                </c:pt>
                <c:pt idx="29">
                  <c:v>4.2353031955431587E-2</c:v>
                </c:pt>
                <c:pt idx="30">
                  <c:v>4.4300521355600322E-2</c:v>
                </c:pt>
                <c:pt idx="31">
                  <c:v>4.4559366642904698E-2</c:v>
                </c:pt>
                <c:pt idx="32">
                  <c:v>4.2297998105757309E-2</c:v>
                </c:pt>
                <c:pt idx="33">
                  <c:v>3.7499690527068544E-2</c:v>
                </c:pt>
                <c:pt idx="34">
                  <c:v>3.0975674315033144E-2</c:v>
                </c:pt>
                <c:pt idx="35">
                  <c:v>2.3946865839004818E-2</c:v>
                </c:pt>
                <c:pt idx="36">
                  <c:v>1.7502759968643627E-2</c:v>
                </c:pt>
                <c:pt idx="37">
                  <c:v>1.2261804471083585E-2</c:v>
                </c:pt>
                <c:pt idx="38">
                  <c:v>8.3454297139499631E-3</c:v>
                </c:pt>
                <c:pt idx="39">
                  <c:v>5.5611433804943072E-3</c:v>
                </c:pt>
                <c:pt idx="40">
                  <c:v>3.6200811561032213E-3</c:v>
                </c:pt>
                <c:pt idx="41">
                  <c:v>2.2743241508299938E-3</c:v>
                </c:pt>
                <c:pt idx="42">
                  <c:v>1.3547479810358681E-3</c:v>
                </c:pt>
                <c:pt idx="43">
                  <c:v>7.5063202184386492E-4</c:v>
                </c:pt>
                <c:pt idx="44">
                  <c:v>3.7959097550169159E-4</c:v>
                </c:pt>
                <c:pt idx="45">
                  <c:v>1.7179590321044511E-4</c:v>
                </c:pt>
                <c:pt idx="46">
                  <c:v>6.8095392286134435E-5</c:v>
                </c:pt>
                <c:pt idx="47">
                  <c:v>2.3060294885145625E-5</c:v>
                </c:pt>
                <c:pt idx="48">
                  <c:v>6.4795111484279403E-6</c:v>
                </c:pt>
                <c:pt idx="49">
                  <c:v>1.4292749804434238E-6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2.3577452799157998E-3</c:v>
                </c:pt>
                <c:pt idx="1">
                  <c:v>2.6440073909078004E-3</c:v>
                </c:pt>
                <c:pt idx="2">
                  <c:v>2.8413471201260551E-3</c:v>
                </c:pt>
                <c:pt idx="3">
                  <c:v>3.0055873235135737E-3</c:v>
                </c:pt>
                <c:pt idx="4">
                  <c:v>3.3696460818675115E-3</c:v>
                </c:pt>
                <c:pt idx="5">
                  <c:v>4.249838644506284E-3</c:v>
                </c:pt>
                <c:pt idx="6">
                  <c:v>5.9064296550011743E-3</c:v>
                </c:pt>
                <c:pt idx="7">
                  <c:v>8.448736338679954E-3</c:v>
                </c:pt>
                <c:pt idx="8">
                  <c:v>1.1818209110760895E-2</c:v>
                </c:pt>
                <c:pt idx="9">
                  <c:v>1.5822339096284332E-2</c:v>
                </c:pt>
                <c:pt idx="10">
                  <c:v>2.0171217754640931E-2</c:v>
                </c:pt>
                <c:pt idx="11">
                  <c:v>2.4493801087245252E-2</c:v>
                </c:pt>
                <c:pt idx="12">
                  <c:v>2.8356490697812396E-2</c:v>
                </c:pt>
                <c:pt idx="13">
                  <c:v>3.132720228852718E-2</c:v>
                </c:pt>
                <c:pt idx="14">
                  <c:v>3.30959823870145E-2</c:v>
                </c:pt>
                <c:pt idx="15">
                  <c:v>3.3602203806911264E-2</c:v>
                </c:pt>
                <c:pt idx="16">
                  <c:v>3.3086509491795361E-2</c:v>
                </c:pt>
                <c:pt idx="17">
                  <c:v>3.2017511150274215E-2</c:v>
                </c:pt>
                <c:pt idx="18">
                  <c:v>3.09168102823069E-2</c:v>
                </c:pt>
                <c:pt idx="19">
                  <c:v>3.0168420105675709E-2</c:v>
                </c:pt>
                <c:pt idx="20">
                  <c:v>2.9911127049521247E-2</c:v>
                </c:pt>
                <c:pt idx="21">
                  <c:v>3.0067464784298066E-2</c:v>
                </c:pt>
                <c:pt idx="22">
                  <c:v>3.048276685474639E-2</c:v>
                </c:pt>
                <c:pt idx="23">
                  <c:v>3.1077965970604346E-2</c:v>
                </c:pt>
                <c:pt idx="24">
                  <c:v>3.1910586027211467E-2</c:v>
                </c:pt>
                <c:pt idx="25">
                  <c:v>3.3106442813758401E-2</c:v>
                </c:pt>
                <c:pt idx="26">
                  <c:v>3.472460923458958E-2</c:v>
                </c:pt>
                <c:pt idx="27">
                  <c:v>3.6662891450346798E-2</c:v>
                </c:pt>
                <c:pt idx="28">
                  <c:v>3.8654424336753188E-2</c:v>
                </c:pt>
                <c:pt idx="29">
                  <c:v>4.0317498527627595E-2</c:v>
                </c:pt>
                <c:pt idx="30">
                  <c:v>4.1215996835268109E-2</c:v>
                </c:pt>
                <c:pt idx="31">
                  <c:v>4.0954693336218512E-2</c:v>
                </c:pt>
                <c:pt idx="32">
                  <c:v>3.9329545691517691E-2</c:v>
                </c:pt>
                <c:pt idx="33">
                  <c:v>3.6443403023977167E-2</c:v>
                </c:pt>
                <c:pt idx="34">
                  <c:v>3.2655440469246073E-2</c:v>
                </c:pt>
                <c:pt idx="35">
                  <c:v>2.8375851445921481E-2</c:v>
                </c:pt>
                <c:pt idx="36">
                  <c:v>2.3887185128145388E-2</c:v>
                </c:pt>
                <c:pt idx="37">
                  <c:v>1.9343637197859618E-2</c:v>
                </c:pt>
                <c:pt idx="38">
                  <c:v>1.490076249842557E-2</c:v>
                </c:pt>
                <c:pt idx="39">
                  <c:v>1.0801163989805924E-2</c:v>
                </c:pt>
                <c:pt idx="40">
                  <c:v>7.31845435295917E-3</c:v>
                </c:pt>
                <c:pt idx="41">
                  <c:v>4.627320355050534E-3</c:v>
                </c:pt>
                <c:pt idx="42">
                  <c:v>2.7315928711379536E-3</c:v>
                </c:pt>
                <c:pt idx="43">
                  <c:v>1.500769933343644E-3</c:v>
                </c:pt>
                <c:pt idx="44">
                  <c:v>7.5803101265977638E-4</c:v>
                </c:pt>
                <c:pt idx="45">
                  <c:v>3.4406551818843092E-4</c:v>
                </c:pt>
                <c:pt idx="46">
                  <c:v>1.3614442421137516E-4</c:v>
                </c:pt>
                <c:pt idx="47">
                  <c:v>4.5366940628065624E-5</c:v>
                </c:pt>
                <c:pt idx="48">
                  <c:v>1.2245564557772722E-5</c:v>
                </c:pt>
                <c:pt idx="49">
                  <c:v>2.5172676532397153E-6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2.2885601384026896E-5</c:v>
                </c:pt>
                <c:pt idx="2">
                  <c:v>6.5012100300001615E-5</c:v>
                </c:pt>
                <c:pt idx="3">
                  <c:v>1.5404043846159256E-4</c:v>
                </c:pt>
                <c:pt idx="4">
                  <c:v>3.3485065256408202E-4</c:v>
                </c:pt>
                <c:pt idx="5">
                  <c:v>6.7896380291742687E-4</c:v>
                </c:pt>
                <c:pt idx="6">
                  <c:v>1.2975214723035143E-3</c:v>
                </c:pt>
                <c:pt idx="7">
                  <c:v>2.3581061360103276E-3</c:v>
                </c:pt>
                <c:pt idx="8">
                  <c:v>4.0853198651336882E-3</c:v>
                </c:pt>
                <c:pt idx="9">
                  <c:v>6.7082311605791145E-3</c:v>
                </c:pt>
                <c:pt idx="10">
                  <c:v>1.0359653000613745E-2</c:v>
                </c:pt>
                <c:pt idx="11">
                  <c:v>1.5034913786263189E-2</c:v>
                </c:pt>
                <c:pt idx="12">
                  <c:v>2.0763273476804865E-2</c:v>
                </c:pt>
                <c:pt idx="13">
                  <c:v>2.7985169001203493E-2</c:v>
                </c:pt>
                <c:pt idx="14">
                  <c:v>3.7784573608329639E-2</c:v>
                </c:pt>
                <c:pt idx="15">
                  <c:v>5.1417488918587488E-2</c:v>
                </c:pt>
                <c:pt idx="16">
                  <c:v>6.8963827627709764E-2</c:v>
                </c:pt>
                <c:pt idx="17">
                  <c:v>8.7926954158300444E-2</c:v>
                </c:pt>
                <c:pt idx="18">
                  <c:v>0.10328647730811344</c:v>
                </c:pt>
                <c:pt idx="19">
                  <c:v>0.10970833773173901</c:v>
                </c:pt>
                <c:pt idx="20">
                  <c:v>0.10463361924046689</c:v>
                </c:pt>
                <c:pt idx="21">
                  <c:v>8.9851567271342039E-2</c:v>
                </c:pt>
                <c:pt idx="22">
                  <c:v>7.0341708700433478E-2</c:v>
                </c:pt>
                <c:pt idx="23">
                  <c:v>5.1454164585525736E-2</c:v>
                </c:pt>
                <c:pt idx="24">
                  <c:v>3.6539288804991597E-2</c:v>
                </c:pt>
                <c:pt idx="25">
                  <c:v>2.6284802446829507E-2</c:v>
                </c:pt>
                <c:pt idx="26">
                  <c:v>1.9563418949690419E-2</c:v>
                </c:pt>
                <c:pt idx="27">
                  <c:v>1.4802583511260575E-2</c:v>
                </c:pt>
                <c:pt idx="28">
                  <c:v>1.0957549566918644E-2</c:v>
                </c:pt>
                <c:pt idx="29">
                  <c:v>7.7221819487413839E-3</c:v>
                </c:pt>
                <c:pt idx="30">
                  <c:v>5.1990722162398046E-3</c:v>
                </c:pt>
                <c:pt idx="31">
                  <c:v>3.4922871576567511E-3</c:v>
                </c:pt>
                <c:pt idx="32">
                  <c:v>2.514955799637974E-3</c:v>
                </c:pt>
                <c:pt idx="33">
                  <c:v>2.0176308502265752E-3</c:v>
                </c:pt>
                <c:pt idx="34">
                  <c:v>1.71656725695348E-3</c:v>
                </c:pt>
                <c:pt idx="35">
                  <c:v>1.416811335982035E-3</c:v>
                </c:pt>
                <c:pt idx="36">
                  <c:v>1.0640921490863322E-3</c:v>
                </c:pt>
                <c:pt idx="37">
                  <c:v>7.0676342134839542E-4</c:v>
                </c:pt>
                <c:pt idx="38">
                  <c:v>4.1302241795738201E-4</c:v>
                </c:pt>
                <c:pt idx="39">
                  <c:v>2.1374203806420663E-4</c:v>
                </c:pt>
                <c:pt idx="40">
                  <c:v>9.861164263123987E-5</c:v>
                </c:pt>
                <c:pt idx="41">
                  <c:v>4.0348979365345333E-5</c:v>
                </c:pt>
                <c:pt idx="42">
                  <c:v>1.4284310779543068E-5</c:v>
                </c:pt>
                <c:pt idx="43">
                  <c:v>4.1893011226627087E-6</c:v>
                </c:pt>
                <c:pt idx="44">
                  <c:v>9.5987828806703728E-7</c:v>
                </c:pt>
                <c:pt idx="45">
                  <c:v>1.5881761522410622E-7</c:v>
                </c:pt>
                <c:pt idx="46">
                  <c:v>1.6717643707800659E-8</c:v>
                </c:pt>
                <c:pt idx="47">
                  <c:v>8.3588218539003285E-10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2.8238223667868248E-4</c:v>
                </c:pt>
                <c:pt idx="1">
                  <c:v>7.4285560976603655E-4</c:v>
                </c:pt>
                <c:pt idx="2">
                  <c:v>1.0738922124144841E-3</c:v>
                </c:pt>
                <c:pt idx="3">
                  <c:v>1.2746031147212347E-3</c:v>
                </c:pt>
                <c:pt idx="4">
                  <c:v>1.4812462726582049E-3</c:v>
                </c:pt>
                <c:pt idx="5">
                  <c:v>1.8794426361084286E-3</c:v>
                </c:pt>
                <c:pt idx="6">
                  <c:v>2.640032048985907E-3</c:v>
                </c:pt>
                <c:pt idx="7">
                  <c:v>3.9368641815993198E-3</c:v>
                </c:pt>
                <c:pt idx="8">
                  <c:v>5.9892235230059199E-3</c:v>
                </c:pt>
                <c:pt idx="9">
                  <c:v>9.0609899620550608E-3</c:v>
                </c:pt>
                <c:pt idx="10">
                  <c:v>1.3442524665486471E-2</c:v>
                </c:pt>
                <c:pt idx="11">
                  <c:v>1.9473690348748508E-2</c:v>
                </c:pt>
                <c:pt idx="12">
                  <c:v>2.7541061802167525E-2</c:v>
                </c:pt>
                <c:pt idx="13">
                  <c:v>3.788058999460038E-2</c:v>
                </c:pt>
                <c:pt idx="14">
                  <c:v>5.0187392302348498E-2</c:v>
                </c:pt>
                <c:pt idx="15">
                  <c:v>6.3334073994929768E-2</c:v>
                </c:pt>
                <c:pt idx="16">
                  <c:v>7.5487491340273119E-2</c:v>
                </c:pt>
                <c:pt idx="17">
                  <c:v>8.4561021907569464E-2</c:v>
                </c:pt>
                <c:pt idx="18">
                  <c:v>8.8753105535928703E-2</c:v>
                </c:pt>
                <c:pt idx="19">
                  <c:v>8.7088197189725811E-2</c:v>
                </c:pt>
                <c:pt idx="20">
                  <c:v>7.9908121646813685E-2</c:v>
                </c:pt>
                <c:pt idx="21">
                  <c:v>6.8962805719274975E-2</c:v>
                </c:pt>
                <c:pt idx="22">
                  <c:v>5.6745786727848073E-2</c:v>
                </c:pt>
                <c:pt idx="23">
                  <c:v>4.5372042186581189E-2</c:v>
                </c:pt>
                <c:pt idx="24">
                  <c:v>3.5843045681647041E-2</c:v>
                </c:pt>
                <c:pt idx="25">
                  <c:v>2.8178244303025325E-2</c:v>
                </c:pt>
                <c:pt idx="26">
                  <c:v>2.2043463538016395E-2</c:v>
                </c:pt>
                <c:pt idx="27">
                  <c:v>1.7201365668091138E-2</c:v>
                </c:pt>
                <c:pt idx="28">
                  <c:v>1.3534308539040337E-2</c:v>
                </c:pt>
                <c:pt idx="29">
                  <c:v>1.0871743415133249E-2</c:v>
                </c:pt>
                <c:pt idx="30">
                  <c:v>8.9152113159511204E-3</c:v>
                </c:pt>
                <c:pt idx="31">
                  <c:v>7.3352779795364106E-3</c:v>
                </c:pt>
                <c:pt idx="32">
                  <c:v>5.9289526576213969E-3</c:v>
                </c:pt>
                <c:pt idx="33">
                  <c:v>4.6904667826232075E-3</c:v>
                </c:pt>
                <c:pt idx="34">
                  <c:v>3.7322594763215255E-3</c:v>
                </c:pt>
                <c:pt idx="35">
                  <c:v>3.1227272506202078E-3</c:v>
                </c:pt>
                <c:pt idx="36">
                  <c:v>2.7807101836323459E-3</c:v>
                </c:pt>
                <c:pt idx="37">
                  <c:v>2.513545990258147E-3</c:v>
                </c:pt>
                <c:pt idx="38">
                  <c:v>2.152975725315062E-3</c:v>
                </c:pt>
                <c:pt idx="39">
                  <c:v>1.6614747808464977E-3</c:v>
                </c:pt>
                <c:pt idx="40">
                  <c:v>1.1253951265765643E-3</c:v>
                </c:pt>
                <c:pt idx="41">
                  <c:v>6.6342271344925279E-4</c:v>
                </c:pt>
                <c:pt idx="42">
                  <c:v>3.4217639949064708E-4</c:v>
                </c:pt>
                <c:pt idx="43">
                  <c:v>1.5734128994180345E-4</c:v>
                </c:pt>
                <c:pt idx="44">
                  <c:v>6.637263499826871E-5</c:v>
                </c:pt>
                <c:pt idx="45">
                  <c:v>2.6251248416491455E-5</c:v>
                </c:pt>
                <c:pt idx="46">
                  <c:v>9.6463748712631787E-6</c:v>
                </c:pt>
                <c:pt idx="47">
                  <c:v>3.1480331928582204E-6</c:v>
                </c:pt>
                <c:pt idx="48">
                  <c:v>8.5662305210374731E-7</c:v>
                </c:pt>
                <c:pt idx="49">
                  <c:v>1.7910804199548874E-7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9.905172927462559E-6</c:v>
                </c:pt>
                <c:pt idx="2">
                  <c:v>2.040196880629291E-5</c:v>
                </c:pt>
                <c:pt idx="3">
                  <c:v>3.2741344849686347E-5</c:v>
                </c:pt>
                <c:pt idx="4">
                  <c:v>5.2280847409959865E-5</c:v>
                </c:pt>
                <c:pt idx="5">
                  <c:v>9.4098946216425897E-5</c:v>
                </c:pt>
                <c:pt idx="6">
                  <c:v>1.8597042786719654E-4</c:v>
                </c:pt>
                <c:pt idx="7">
                  <c:v>3.6339736463742768E-4</c:v>
                </c:pt>
                <c:pt idx="8">
                  <c:v>6.5767767840852734E-4</c:v>
                </c:pt>
                <c:pt idx="9">
                  <c:v>1.0870665187894327E-3</c:v>
                </c:pt>
                <c:pt idx="10">
                  <c:v>1.6615911121135999E-3</c:v>
                </c:pt>
                <c:pt idx="11">
                  <c:v>2.399205546278474E-3</c:v>
                </c:pt>
                <c:pt idx="12">
                  <c:v>3.339178101655539E-3</c:v>
                </c:pt>
                <c:pt idx="13">
                  <c:v>4.5443174776194778E-3</c:v>
                </c:pt>
                <c:pt idx="14">
                  <c:v>6.0946273601568055E-3</c:v>
                </c:pt>
                <c:pt idx="15">
                  <c:v>8.0666858675323798E-3</c:v>
                </c:pt>
                <c:pt idx="16">
                  <c:v>1.0483586873218941E-2</c:v>
                </c:pt>
                <c:pt idx="17">
                  <c:v>1.32576671426078E-2</c:v>
                </c:pt>
                <c:pt idx="18">
                  <c:v>1.621123424425467E-2</c:v>
                </c:pt>
                <c:pt idx="19">
                  <c:v>1.9242247590060609E-2</c:v>
                </c:pt>
                <c:pt idx="20">
                  <c:v>2.2563246530001194E-2</c:v>
                </c:pt>
                <c:pt idx="21">
                  <c:v>2.6814127022614442E-2</c:v>
                </c:pt>
                <c:pt idx="22">
                  <c:v>3.2887515918036306E-2</c:v>
                </c:pt>
                <c:pt idx="23">
                  <c:v>4.1488636814716616E-2</c:v>
                </c:pt>
                <c:pt idx="24">
                  <c:v>5.262058683808548E-2</c:v>
                </c:pt>
                <c:pt idx="25">
                  <c:v>6.5233754050595075E-2</c:v>
                </c:pt>
                <c:pt idx="26">
                  <c:v>7.7226565141014059E-2</c:v>
                </c:pt>
                <c:pt idx="27">
                  <c:v>8.5897334572563808E-2</c:v>
                </c:pt>
                <c:pt idx="28">
                  <c:v>8.8814352459118964E-2</c:v>
                </c:pt>
                <c:pt idx="29">
                  <c:v>8.4833634583292711E-2</c:v>
                </c:pt>
                <c:pt idx="30">
                  <c:v>7.4738711037819594E-2</c:v>
                </c:pt>
                <c:pt idx="31">
                  <c:v>6.1014863637001031E-2</c:v>
                </c:pt>
                <c:pt idx="32">
                  <c:v>4.6776637149226204E-2</c:v>
                </c:pt>
                <c:pt idx="33">
                  <c:v>3.4488171851320595E-2</c:v>
                </c:pt>
                <c:pt idx="34">
                  <c:v>2.5247321850798247E-2</c:v>
                </c:pt>
                <c:pt idx="35">
                  <c:v>1.8913438160080787E-2</c:v>
                </c:pt>
                <c:pt idx="36">
                  <c:v>1.4743126579093187E-2</c:v>
                </c:pt>
                <c:pt idx="37">
                  <c:v>1.1985086427041353E-2</c:v>
                </c:pt>
                <c:pt idx="38">
                  <c:v>1.01190253702874E-2</c:v>
                </c:pt>
                <c:pt idx="39">
                  <c:v>8.7878313934912668E-3</c:v>
                </c:pt>
                <c:pt idx="40">
                  <c:v>7.670061181996389E-3</c:v>
                </c:pt>
                <c:pt idx="41">
                  <c:v>6.4817872740161684E-3</c:v>
                </c:pt>
                <c:pt idx="42">
                  <c:v>5.0917323366213079E-3</c:v>
                </c:pt>
                <c:pt idx="43">
                  <c:v>3.5915401477119055E-3</c:v>
                </c:pt>
                <c:pt idx="44">
                  <c:v>2.2156563161810487E-3</c:v>
                </c:pt>
                <c:pt idx="45">
                  <c:v>1.1710436152737127E-3</c:v>
                </c:pt>
                <c:pt idx="46">
                  <c:v>5.20544543661294E-4</c:v>
                </c:pt>
                <c:pt idx="47">
                  <c:v>1.9081215329675832E-4</c:v>
                </c:pt>
                <c:pt idx="48">
                  <c:v>5.6287361974993556E-5</c:v>
                </c:pt>
                <c:pt idx="49">
                  <c:v>1.2686097657345422E-5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7.3019000091082906E-3</c:v>
                </c:pt>
                <c:pt idx="1">
                  <c:v>4.8819019906951719E-3</c:v>
                </c:pt>
                <c:pt idx="2">
                  <c:v>2.867384862567466E-3</c:v>
                </c:pt>
                <c:pt idx="3">
                  <c:v>1.4835454642058139E-3</c:v>
                </c:pt>
                <c:pt idx="4">
                  <c:v>7.2558468619028811E-4</c:v>
                </c:pt>
                <c:pt idx="5">
                  <c:v>4.4801669540589262E-4</c:v>
                </c:pt>
                <c:pt idx="6">
                  <c:v>4.927338002102844E-4</c:v>
                </c:pt>
                <c:pt idx="7">
                  <c:v>7.6007880045581857E-4</c:v>
                </c:pt>
                <c:pt idx="8">
                  <c:v>1.2091431928907676E-3</c:v>
                </c:pt>
                <c:pt idx="9">
                  <c:v>1.8374066631311344E-3</c:v>
                </c:pt>
                <c:pt idx="10">
                  <c:v>2.6870494575666664E-3</c:v>
                </c:pt>
                <c:pt idx="11">
                  <c:v>3.8715641175824603E-3</c:v>
                </c:pt>
                <c:pt idx="12">
                  <c:v>5.5637363965186501E-3</c:v>
                </c:pt>
                <c:pt idx="13">
                  <c:v>7.8970610854396245E-3</c:v>
                </c:pt>
                <c:pt idx="14">
                  <c:v>1.0824187070403345E-2</c:v>
                </c:pt>
                <c:pt idx="15">
                  <c:v>1.4062878545242654E-2</c:v>
                </c:pt>
                <c:pt idx="16">
                  <c:v>1.7219147049868606E-2</c:v>
                </c:pt>
                <c:pt idx="17">
                  <c:v>2.0015662169087588E-2</c:v>
                </c:pt>
                <c:pt idx="18">
                  <c:v>2.2445073094761271E-2</c:v>
                </c:pt>
                <c:pt idx="19">
                  <c:v>2.4749285834339649E-2</c:v>
                </c:pt>
                <c:pt idx="20">
                  <c:v>2.7306213619296978E-2</c:v>
                </c:pt>
                <c:pt idx="21">
                  <c:v>3.0565176920064233E-2</c:v>
                </c:pt>
                <c:pt idx="22">
                  <c:v>3.5038280269562107E-2</c:v>
                </c:pt>
                <c:pt idx="23">
                  <c:v>4.1203018223102315E-2</c:v>
                </c:pt>
                <c:pt idx="24">
                  <c:v>4.9213085764389028E-2</c:v>
                </c:pt>
                <c:pt idx="25">
                  <c:v>5.8530593888808165E-2</c:v>
                </c:pt>
                <c:pt idx="26">
                  <c:v>6.7753085513380981E-2</c:v>
                </c:pt>
                <c:pt idx="27">
                  <c:v>7.485067792109372E-2</c:v>
                </c:pt>
                <c:pt idx="28">
                  <c:v>7.7810037460564169E-2</c:v>
                </c:pt>
                <c:pt idx="29">
                  <c:v>7.5445286469523559E-2</c:v>
                </c:pt>
                <c:pt idx="30">
                  <c:v>6.7980876765401765E-2</c:v>
                </c:pt>
                <c:pt idx="31">
                  <c:v>5.704287591144655E-2</c:v>
                </c:pt>
                <c:pt idx="32">
                  <c:v>4.499341543292773E-2</c:v>
                </c:pt>
                <c:pt idx="33">
                  <c:v>3.3967949635584568E-2</c:v>
                </c:pt>
                <c:pt idx="34">
                  <c:v>2.5175512762599519E-2</c:v>
                </c:pt>
                <c:pt idx="35">
                  <c:v>1.8798226282364345E-2</c:v>
                </c:pt>
                <c:pt idx="36">
                  <c:v>1.438060466401926E-2</c:v>
                </c:pt>
                <c:pt idx="37">
                  <c:v>1.1320992956568634E-2</c:v>
                </c:pt>
                <c:pt idx="38">
                  <c:v>9.147756451030999E-3</c:v>
                </c:pt>
                <c:pt idx="39">
                  <c:v>7.5363972040574162E-3</c:v>
                </c:pt>
                <c:pt idx="40">
                  <c:v>6.2297662705040309E-3</c:v>
                </c:pt>
                <c:pt idx="41">
                  <c:v>5.0190934546014308E-3</c:v>
                </c:pt>
                <c:pt idx="42">
                  <c:v>3.8001960625128474E-3</c:v>
                </c:pt>
                <c:pt idx="43">
                  <c:v>2.6109776148777676E-3</c:v>
                </c:pt>
                <c:pt idx="44">
                  <c:v>1.5806044625380925E-3</c:v>
                </c:pt>
                <c:pt idx="45">
                  <c:v>8.2254051236211809E-4</c:v>
                </c:pt>
                <c:pt idx="46">
                  <c:v>3.5968633731811502E-4</c:v>
                </c:pt>
                <c:pt idx="47">
                  <c:v>1.2899804248864182E-4</c:v>
                </c:pt>
                <c:pt idx="48">
                  <c:v>3.6824048041429455E-5</c:v>
                </c:pt>
                <c:pt idx="49">
                  <c:v>7.908093297970296E-6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0</c:v>
                </c:pt>
                <c:pt idx="1">
                  <c:v>2.9525223653241477E-4</c:v>
                </c:pt>
                <c:pt idx="2">
                  <c:v>6.1861779087964597E-4</c:v>
                </c:pt>
                <c:pt idx="3">
                  <c:v>1.0092544774296215E-3</c:v>
                </c:pt>
                <c:pt idx="4">
                  <c:v>1.5348689628039468E-3</c:v>
                </c:pt>
                <c:pt idx="5">
                  <c:v>2.3092079437082693E-3</c:v>
                </c:pt>
                <c:pt idx="6">
                  <c:v>3.4893503011949665E-3</c:v>
                </c:pt>
                <c:pt idx="7">
                  <c:v>5.2338909206249146E-3</c:v>
                </c:pt>
                <c:pt idx="8">
                  <c:v>7.6242893241007552E-3</c:v>
                </c:pt>
                <c:pt idx="9">
                  <c:v>1.058286685599919E-2</c:v>
                </c:pt>
                <c:pt idx="10">
                  <c:v>1.3845456130547258E-2</c:v>
                </c:pt>
                <c:pt idx="11">
                  <c:v>1.7040919819795528E-2</c:v>
                </c:pt>
                <c:pt idx="12">
                  <c:v>1.9869296043093558E-2</c:v>
                </c:pt>
                <c:pt idx="13">
                  <c:v>2.2273205701182373E-2</c:v>
                </c:pt>
                <c:pt idx="14">
                  <c:v>2.4452518372064771E-2</c:v>
                </c:pt>
                <c:pt idx="15">
                  <c:v>2.6666861296035089E-2</c:v>
                </c:pt>
                <c:pt idx="16">
                  <c:v>2.8961983681073868E-2</c:v>
                </c:pt>
                <c:pt idx="17">
                  <c:v>3.1064407595819996E-2</c:v>
                </c:pt>
                <c:pt idx="18">
                  <c:v>3.2570625775065282E-2</c:v>
                </c:pt>
                <c:pt idx="19">
                  <c:v>3.329141804949648E-2</c:v>
                </c:pt>
                <c:pt idx="20">
                  <c:v>3.345643933537696E-2</c:v>
                </c:pt>
                <c:pt idx="21">
                  <c:v>3.3599161511740055E-2</c:v>
                </c:pt>
                <c:pt idx="22">
                  <c:v>3.4207096318685133E-2</c:v>
                </c:pt>
                <c:pt idx="23">
                  <c:v>3.5391682559383165E-2</c:v>
                </c:pt>
                <c:pt idx="24">
                  <c:v>3.6802975311395723E-2</c:v>
                </c:pt>
                <c:pt idx="25">
                  <c:v>3.7851958413660632E-2</c:v>
                </c:pt>
                <c:pt idx="26">
                  <c:v>3.810769996529207E-2</c:v>
                </c:pt>
                <c:pt idx="27">
                  <c:v>3.7608486168998131E-2</c:v>
                </c:pt>
                <c:pt idx="28">
                  <c:v>3.6869021680546558E-2</c:v>
                </c:pt>
                <c:pt idx="29">
                  <c:v>3.6573863260094257E-2</c:v>
                </c:pt>
                <c:pt idx="30">
                  <c:v>3.715597987956501E-2</c:v>
                </c:pt>
                <c:pt idx="31">
                  <c:v>3.8511399716135479E-2</c:v>
                </c:pt>
                <c:pt idx="32">
                  <c:v>3.9997683282813806E-2</c:v>
                </c:pt>
                <c:pt idx="33">
                  <c:v>4.0703764145957673E-2</c:v>
                </c:pt>
                <c:pt idx="34">
                  <c:v>3.9843678425327704E-2</c:v>
                </c:pt>
                <c:pt idx="35">
                  <c:v>3.707377878451789E-2</c:v>
                </c:pt>
                <c:pt idx="36">
                  <c:v>3.2592706066928011E-2</c:v>
                </c:pt>
                <c:pt idx="37">
                  <c:v>2.7014639149801418E-2</c:v>
                </c:pt>
                <c:pt idx="38">
                  <c:v>2.1115732066684909E-2</c:v>
                </c:pt>
                <c:pt idx="39">
                  <c:v>1.5584178222723705E-2</c:v>
                </c:pt>
                <c:pt idx="40">
                  <c:v>1.0867989321103881E-2</c:v>
                </c:pt>
                <c:pt idx="41">
                  <c:v>7.1488228606481786E-3</c:v>
                </c:pt>
                <c:pt idx="42">
                  <c:v>4.407549305705959E-3</c:v>
                </c:pt>
                <c:pt idx="43">
                  <c:v>2.5164112854960761E-3</c:v>
                </c:pt>
                <c:pt idx="44">
                  <c:v>1.3070713832767351E-3</c:v>
                </c:pt>
                <c:pt idx="45">
                  <c:v>6.0417643419687485E-4</c:v>
                </c:pt>
                <c:pt idx="46">
                  <c:v>2.4233006395423684E-4</c:v>
                </c:pt>
                <c:pt idx="47">
                  <c:v>8.1985975286146434E-5</c:v>
                </c:pt>
                <c:pt idx="48">
                  <c:v>2.2635418201321872E-5</c:v>
                </c:pt>
                <c:pt idx="49">
                  <c:v>4.8124090544479719E-6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5.1428356044723273E-3</c:v>
                </c:pt>
                <c:pt idx="1">
                  <c:v>4.2332691555471138E-3</c:v>
                </c:pt>
                <c:pt idx="2">
                  <c:v>3.4604621463998563E-3</c:v>
                </c:pt>
                <c:pt idx="3">
                  <c:v>2.9477262224076491E-3</c:v>
                </c:pt>
                <c:pt idx="4">
                  <c:v>2.8040579645668777E-3</c:v>
                </c:pt>
                <c:pt idx="5">
                  <c:v>3.1338795976525329E-3</c:v>
                </c:pt>
                <c:pt idx="6">
                  <c:v>4.0384842308574956E-3</c:v>
                </c:pt>
                <c:pt idx="7">
                  <c:v>5.5918986375401263E-3</c:v>
                </c:pt>
                <c:pt idx="8">
                  <c:v>7.8000080981897799E-3</c:v>
                </c:pt>
                <c:pt idx="9">
                  <c:v>1.0576030712097459E-2</c:v>
                </c:pt>
                <c:pt idx="10">
                  <c:v>1.3755896167919978E-2</c:v>
                </c:pt>
                <c:pt idx="11">
                  <c:v>1.71391897396093E-2</c:v>
                </c:pt>
                <c:pt idx="12">
                  <c:v>2.0516604356833779E-2</c:v>
                </c:pt>
                <c:pt idx="13">
                  <c:v>2.3664676766995626E-2</c:v>
                </c:pt>
                <c:pt idx="14">
                  <c:v>2.6336253263168099E-2</c:v>
                </c:pt>
                <c:pt idx="15">
                  <c:v>2.8296882935654303E-2</c:v>
                </c:pt>
                <c:pt idx="16">
                  <c:v>2.941742392669677E-2</c:v>
                </c:pt>
                <c:pt idx="17">
                  <c:v>2.9762757795473476E-2</c:v>
                </c:pt>
                <c:pt idx="18">
                  <c:v>2.9593631267604292E-2</c:v>
                </c:pt>
                <c:pt idx="19">
                  <c:v>2.9262062489445254E-2</c:v>
                </c:pt>
                <c:pt idx="20">
                  <c:v>2.9073324876000395E-2</c:v>
                </c:pt>
                <c:pt idx="21">
                  <c:v>2.9209052428898544E-2</c:v>
                </c:pt>
                <c:pt idx="22">
                  <c:v>2.9730564265997832E-2</c:v>
                </c:pt>
                <c:pt idx="23">
                  <c:v>3.0601695769670936E-2</c:v>
                </c:pt>
                <c:pt idx="24">
                  <c:v>3.1689100119298839E-2</c:v>
                </c:pt>
                <c:pt idx="25">
                  <c:v>3.2781971098984557E-2</c:v>
                </c:pt>
                <c:pt idx="26">
                  <c:v>3.368646227222355E-2</c:v>
                </c:pt>
                <c:pt idx="27">
                  <c:v>3.4355211353209521E-2</c:v>
                </c:pt>
                <c:pt idx="28">
                  <c:v>3.4937734027828828E-2</c:v>
                </c:pt>
                <c:pt idx="29">
                  <c:v>3.568868175712759E-2</c:v>
                </c:pt>
                <c:pt idx="30">
                  <c:v>3.678413476327317E-2</c:v>
                </c:pt>
                <c:pt idx="31">
                  <c:v>3.8152928411136204E-2</c:v>
                </c:pt>
                <c:pt idx="32">
                  <c:v>3.941384709481268E-2</c:v>
                </c:pt>
                <c:pt idx="33">
                  <c:v>3.9967073054539823E-2</c:v>
                </c:pt>
                <c:pt idx="34">
                  <c:v>3.9228218330194811E-2</c:v>
                </c:pt>
                <c:pt idx="35">
                  <c:v>3.6907896361365058E-2</c:v>
                </c:pt>
                <c:pt idx="36">
                  <c:v>3.3176121338925245E-2</c:v>
                </c:pt>
                <c:pt idx="37">
                  <c:v>2.8588592249704361E-2</c:v>
                </c:pt>
                <c:pt idx="38">
                  <c:v>2.380463388770987E-2</c:v>
                </c:pt>
                <c:pt idx="39">
                  <c:v>1.9286551710142895E-2</c:v>
                </c:pt>
                <c:pt idx="40">
                  <c:v>1.5186754905608073E-2</c:v>
                </c:pt>
                <c:pt idx="41">
                  <c:v>1.1469243629879113E-2</c:v>
                </c:pt>
                <c:pt idx="42">
                  <c:v>8.1189255066676323E-3</c:v>
                </c:pt>
                <c:pt idx="43">
                  <c:v>5.2449002222519966E-3</c:v>
                </c:pt>
                <c:pt idx="44">
                  <c:v>3.012272281665695E-3</c:v>
                </c:pt>
                <c:pt idx="45">
                  <c:v>1.5009881782123695E-3</c:v>
                </c:pt>
                <c:pt idx="46">
                  <c:v>6.3363677152670605E-4</c:v>
                </c:pt>
                <c:pt idx="47">
                  <c:v>2.208607694092299E-4</c:v>
                </c:pt>
                <c:pt idx="48">
                  <c:v>6.16046617450071E-5</c:v>
                </c:pt>
                <c:pt idx="49">
                  <c:v>1.2986822857111036E-5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1.8165559864375912E-5</c:v>
                </c:pt>
                <c:pt idx="2">
                  <c:v>4.5934239268145984E-5</c:v>
                </c:pt>
                <c:pt idx="3">
                  <c:v>9.5144749678068805E-5</c:v>
                </c:pt>
                <c:pt idx="4">
                  <c:v>1.8680609011137425E-4</c:v>
                </c:pt>
                <c:pt idx="5">
                  <c:v>3.6300210391726083E-4</c:v>
                </c:pt>
                <c:pt idx="6">
                  <c:v>6.9755443183527671E-4</c:v>
                </c:pt>
                <c:pt idx="7">
                  <c:v>1.2964300554704356E-3</c:v>
                </c:pt>
                <c:pt idx="8">
                  <c:v>2.2850803018236881E-3</c:v>
                </c:pt>
                <c:pt idx="9">
                  <c:v>3.7929780054710787E-3</c:v>
                </c:pt>
                <c:pt idx="10">
                  <c:v>5.9538452576467218E-3</c:v>
                </c:pt>
                <c:pt idx="11">
                  <c:v>8.9338993947756483E-3</c:v>
                </c:pt>
                <c:pt idx="12">
                  <c:v>1.2991402692470939E-2</c:v>
                </c:pt>
                <c:pt idx="13">
                  <c:v>1.8572050746984176E-2</c:v>
                </c:pt>
                <c:pt idx="14">
                  <c:v>2.6408903858276364E-2</c:v>
                </c:pt>
                <c:pt idx="15">
                  <c:v>3.7454971258828712E-2</c:v>
                </c:pt>
                <c:pt idx="16">
                  <c:v>5.2358547671572331E-2</c:v>
                </c:pt>
                <c:pt idx="17">
                  <c:v>7.0448659062384539E-2</c:v>
                </c:pt>
                <c:pt idx="18">
                  <c:v>8.8887931211112714E-2</c:v>
                </c:pt>
                <c:pt idx="19">
                  <c:v>0.10305643802122963</c:v>
                </c:pt>
                <c:pt idx="20">
                  <c:v>0.10851024422015745</c:v>
                </c:pt>
                <c:pt idx="21">
                  <c:v>0.10338417623566704</c:v>
                </c:pt>
                <c:pt idx="22">
                  <c:v>8.9447685207110023E-2</c:v>
                </c:pt>
                <c:pt idx="23">
                  <c:v>7.1052269533979459E-2</c:v>
                </c:pt>
                <c:pt idx="24">
                  <c:v>5.2878536865511791E-2</c:v>
                </c:pt>
                <c:pt idx="25">
                  <c:v>3.8042969261917484E-2</c:v>
                </c:pt>
                <c:pt idx="26">
                  <c:v>2.7462237140450128E-2</c:v>
                </c:pt>
                <c:pt idx="27">
                  <c:v>2.0378716972912644E-2</c:v>
                </c:pt>
                <c:pt idx="28">
                  <c:v>1.5413172865334387E-2</c:v>
                </c:pt>
                <c:pt idx="29">
                  <c:v>1.147070668942091E-2</c:v>
                </c:pt>
                <c:pt idx="30">
                  <c:v>8.0968159566557427E-3</c:v>
                </c:pt>
                <c:pt idx="31">
                  <c:v>5.307060277945517E-3</c:v>
                </c:pt>
                <c:pt idx="32">
                  <c:v>3.2325880836234877E-3</c:v>
                </c:pt>
                <c:pt idx="33">
                  <c:v>1.9037224168487723E-3</c:v>
                </c:pt>
                <c:pt idx="34">
                  <c:v>1.2321980858463889E-3</c:v>
                </c:pt>
                <c:pt idx="35">
                  <c:v>1.0625468801552865E-3</c:v>
                </c:pt>
                <c:pt idx="36">
                  <c:v>1.1933524444406151E-3</c:v>
                </c:pt>
                <c:pt idx="37">
                  <c:v>1.3909896476767976E-3</c:v>
                </c:pt>
                <c:pt idx="38">
                  <c:v>1.450670225236149E-3</c:v>
                </c:pt>
                <c:pt idx="39">
                  <c:v>1.2832322741815456E-3</c:v>
                </c:pt>
                <c:pt idx="40">
                  <c:v>9.4510149376526072E-4</c:v>
                </c:pt>
                <c:pt idx="41">
                  <c:v>5.7342819810857345E-4</c:v>
                </c:pt>
                <c:pt idx="42">
                  <c:v>2.8332957256960498E-4</c:v>
                </c:pt>
                <c:pt idx="43">
                  <c:v>1.1217126872943476E-4</c:v>
                </c:pt>
                <c:pt idx="44">
                  <c:v>3.4737034087670122E-5</c:v>
                </c:pt>
                <c:pt idx="45">
                  <c:v>8.1076652603376427E-6</c:v>
                </c:pt>
                <c:pt idx="46">
                  <c:v>1.3415094454205871E-6</c:v>
                </c:pt>
                <c:pt idx="47">
                  <c:v>1.4028765187177875E-7</c:v>
                </c:pt>
                <c:pt idx="48">
                  <c:v>6.9725885334046999E-9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2.8236418895102129E-4</c:v>
                </c:pt>
                <c:pt idx="1">
                  <c:v>6.9775414961747442E-4</c:v>
                </c:pt>
                <c:pt idx="2">
                  <c:v>9.786756759806853E-4</c:v>
                </c:pt>
                <c:pt idx="3">
                  <c:v>1.1231789426381592E-3</c:v>
                </c:pt>
                <c:pt idx="4">
                  <c:v>1.2631234936328313E-3</c:v>
                </c:pt>
                <c:pt idx="5">
                  <c:v>1.5538736237809003E-3</c:v>
                </c:pt>
                <c:pt idx="6">
                  <c:v>2.0859888700095436E-3</c:v>
                </c:pt>
                <c:pt idx="7">
                  <c:v>2.9073474701297938E-3</c:v>
                </c:pt>
                <c:pt idx="8">
                  <c:v>4.1168979874673791E-3</c:v>
                </c:pt>
                <c:pt idx="9">
                  <c:v>5.9322085208183975E-3</c:v>
                </c:pt>
                <c:pt idx="10">
                  <c:v>8.6902244507317452E-3</c:v>
                </c:pt>
                <c:pt idx="11">
                  <c:v>1.2817403344068867E-2</c:v>
                </c:pt>
                <c:pt idx="12">
                  <c:v>1.8781658415973543E-2</c:v>
                </c:pt>
                <c:pt idx="13">
                  <c:v>2.6953739734164449E-2</c:v>
                </c:pt>
                <c:pt idx="14">
                  <c:v>3.7339703220213231E-2</c:v>
                </c:pt>
                <c:pt idx="15">
                  <c:v>4.9327696337657836E-2</c:v>
                </c:pt>
                <c:pt idx="16">
                  <c:v>6.1674948333224462E-2</c:v>
                </c:pt>
                <c:pt idx="17">
                  <c:v>7.277927021682469E-2</c:v>
                </c:pt>
                <c:pt idx="18">
                  <c:v>8.1057471007486906E-2</c:v>
                </c:pt>
                <c:pt idx="19">
                  <c:v>8.5275657104609048E-2</c:v>
                </c:pt>
                <c:pt idx="20">
                  <c:v>8.4824143484543174E-2</c:v>
                </c:pt>
                <c:pt idx="21">
                  <c:v>7.9907942379001257E-2</c:v>
                </c:pt>
                <c:pt idx="22">
                  <c:v>7.1504911214537684E-2</c:v>
                </c:pt>
                <c:pt idx="23">
                  <c:v>6.1033172560483955E-2</c:v>
                </c:pt>
                <c:pt idx="24">
                  <c:v>4.9921374598217376E-2</c:v>
                </c:pt>
                <c:pt idx="25">
                  <c:v>3.933146538510858E-2</c:v>
                </c:pt>
                <c:pt idx="26">
                  <c:v>3.0075063011593139E-2</c:v>
                </c:pt>
                <c:pt idx="27">
                  <c:v>2.260325282873445E-2</c:v>
                </c:pt>
                <c:pt idx="28">
                  <c:v>1.7004359656976414E-2</c:v>
                </c:pt>
                <c:pt idx="29">
                  <c:v>1.3045787950686814E-2</c:v>
                </c:pt>
                <c:pt idx="30">
                  <c:v>1.0291207787526209E-2</c:v>
                </c:pt>
                <c:pt idx="31">
                  <c:v>8.2685247729395381E-3</c:v>
                </c:pt>
                <c:pt idx="32">
                  <c:v>6.6336917408302675E-3</c:v>
                </c:pt>
                <c:pt idx="33">
                  <c:v>5.2618056441942184E-3</c:v>
                </c:pt>
                <c:pt idx="34">
                  <c:v>4.2082670840069437E-3</c:v>
                </c:pt>
                <c:pt idx="35">
                  <c:v>3.5567424581809592E-3</c:v>
                </c:pt>
                <c:pt idx="36">
                  <c:v>3.2667346713031471E-3</c:v>
                </c:pt>
                <c:pt idx="37">
                  <c:v>3.1441555394445386E-3</c:v>
                </c:pt>
                <c:pt idx="38">
                  <c:v>2.9519393864481107E-3</c:v>
                </c:pt>
                <c:pt idx="39">
                  <c:v>2.5557102553370784E-3</c:v>
                </c:pt>
                <c:pt idx="40">
                  <c:v>1.9824214782090889E-3</c:v>
                </c:pt>
                <c:pt idx="41">
                  <c:v>1.3630901352886945E-3</c:v>
                </c:pt>
                <c:pt idx="42">
                  <c:v>8.2927955120149313E-4</c:v>
                </c:pt>
                <c:pt idx="43">
                  <c:v>4.468797402533396E-4</c:v>
                </c:pt>
                <c:pt idx="44">
                  <c:v>2.132414573655876E-4</c:v>
                </c:pt>
                <c:pt idx="45">
                  <c:v>8.962844853993122E-5</c:v>
                </c:pt>
                <c:pt idx="46">
                  <c:v>3.2748468520561973E-5</c:v>
                </c:pt>
                <c:pt idx="47">
                  <c:v>1.0167793441039349E-5</c:v>
                </c:pt>
                <c:pt idx="48">
                  <c:v>2.5938332489578985E-6</c:v>
                </c:pt>
                <c:pt idx="49">
                  <c:v>5.1159585662641856E-7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4.8196847989353877E-6</c:v>
                </c:pt>
                <c:pt idx="2">
                  <c:v>8.1786272307976558E-6</c:v>
                </c:pt>
                <c:pt idx="3">
                  <c:v>9.4089356294674794E-6</c:v>
                </c:pt>
                <c:pt idx="4">
                  <c:v>9.0340153800601882E-6</c:v>
                </c:pt>
                <c:pt idx="5">
                  <c:v>9.5030557214067879E-6</c:v>
                </c:pt>
                <c:pt idx="6">
                  <c:v>1.8597526817135721E-5</c:v>
                </c:pt>
                <c:pt idx="7">
                  <c:v>5.8895091202790076E-5</c:v>
                </c:pt>
                <c:pt idx="8">
                  <c:v>1.844216722198219E-4</c:v>
                </c:pt>
                <c:pt idx="9">
                  <c:v>4.9620970211575167E-4</c:v>
                </c:pt>
                <c:pt idx="10">
                  <c:v>1.1359383136926244E-3</c:v>
                </c:pt>
                <c:pt idx="11">
                  <c:v>2.2410334626615461E-3</c:v>
                </c:pt>
                <c:pt idx="12">
                  <c:v>3.8804290790388934E-3</c:v>
                </c:pt>
                <c:pt idx="13">
                  <c:v>6.0256592135197237E-3</c:v>
                </c:pt>
                <c:pt idx="14">
                  <c:v>8.5854763429176785E-3</c:v>
                </c:pt>
                <c:pt idx="15">
                  <c:v>1.1458529794922345E-2</c:v>
                </c:pt>
                <c:pt idx="16">
                  <c:v>1.4561681128205347E-2</c:v>
                </c:pt>
                <c:pt idx="17">
                  <c:v>1.791938496170865E-2</c:v>
                </c:pt>
                <c:pt idx="18">
                  <c:v>2.1951850980420153E-2</c:v>
                </c:pt>
                <c:pt idx="19">
                  <c:v>2.7838474874573707E-2</c:v>
                </c:pt>
                <c:pt idx="20">
                  <c:v>3.7421381183240149E-2</c:v>
                </c:pt>
                <c:pt idx="21">
                  <c:v>5.2136367503666022E-2</c:v>
                </c:pt>
                <c:pt idx="22">
                  <c:v>7.1271982847369922E-2</c:v>
                </c:pt>
                <c:pt idx="23">
                  <c:v>9.0911295008627366E-2</c:v>
                </c:pt>
                <c:pt idx="24">
                  <c:v>0.10498279092209022</c:v>
                </c:pt>
                <c:pt idx="25">
                  <c:v>0.10833832516615886</c:v>
                </c:pt>
                <c:pt idx="26">
                  <c:v>9.9805234135137838E-2</c:v>
                </c:pt>
                <c:pt idx="27">
                  <c:v>8.2801152436830894E-2</c:v>
                </c:pt>
                <c:pt idx="28">
                  <c:v>6.3050909924752416E-2</c:v>
                </c:pt>
                <c:pt idx="29">
                  <c:v>4.5367050207574006E-2</c:v>
                </c:pt>
                <c:pt idx="30">
                  <c:v>3.1899069112900746E-2</c:v>
                </c:pt>
                <c:pt idx="31">
                  <c:v>2.2518577424137584E-2</c:v>
                </c:pt>
                <c:pt idx="32">
                  <c:v>1.6186279955560417E-2</c:v>
                </c:pt>
                <c:pt idx="33">
                  <c:v>1.1937067838468842E-2</c:v>
                </c:pt>
                <c:pt idx="34">
                  <c:v>9.1035760904303546E-3</c:v>
                </c:pt>
                <c:pt idx="35">
                  <c:v>7.1837374266469391E-3</c:v>
                </c:pt>
                <c:pt idx="36">
                  <c:v>5.7697255277693871E-3</c:v>
                </c:pt>
                <c:pt idx="37">
                  <c:v>4.6073372139175508E-3</c:v>
                </c:pt>
                <c:pt idx="38">
                  <c:v>3.6435099242046734E-3</c:v>
                </c:pt>
                <c:pt idx="39">
                  <c:v>2.9513137793464087E-3</c:v>
                </c:pt>
                <c:pt idx="40">
                  <c:v>2.5674226567352935E-3</c:v>
                </c:pt>
                <c:pt idx="41">
                  <c:v>2.382341370145616E-3</c:v>
                </c:pt>
                <c:pt idx="42">
                  <c:v>2.1875242772094483E-3</c:v>
                </c:pt>
                <c:pt idx="43">
                  <c:v>1.8310553453909286E-3</c:v>
                </c:pt>
                <c:pt idx="44">
                  <c:v>1.3243054288562728E-3</c:v>
                </c:pt>
                <c:pt idx="45">
                  <c:v>8.0259462304169897E-4</c:v>
                </c:pt>
                <c:pt idx="46">
                  <c:v>3.9915457642318445E-4</c:v>
                </c:pt>
                <c:pt idx="47">
                  <c:v>1.5965955659270762E-4</c:v>
                </c:pt>
                <c:pt idx="48">
                  <c:v>5.007164186604293E-5</c:v>
                </c:pt>
                <c:pt idx="49">
                  <c:v>1.1660432131304737E-5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1.3030553618028053E-4</c:v>
                </c:pt>
                <c:pt idx="1">
                  <c:v>1.3191922699078929E-4</c:v>
                </c:pt>
                <c:pt idx="2">
                  <c:v>1.2081163132841628E-4</c:v>
                </c:pt>
                <c:pt idx="3">
                  <c:v>9.7543088669246829E-5</c:v>
                </c:pt>
                <c:pt idx="4">
                  <c:v>7.8503363126991994E-5</c:v>
                </c:pt>
                <c:pt idx="5">
                  <c:v>8.8751410744101279E-5</c:v>
                </c:pt>
                <c:pt idx="6">
                  <c:v>1.530430749697912E-4</c:v>
                </c:pt>
                <c:pt idx="7">
                  <c:v>2.8872968612182276E-4</c:v>
                </c:pt>
                <c:pt idx="8">
                  <c:v>5.0126649329013801E-4</c:v>
                </c:pt>
                <c:pt idx="9">
                  <c:v>7.8882588827598374E-4</c:v>
                </c:pt>
                <c:pt idx="10">
                  <c:v>1.1639555748323659E-3</c:v>
                </c:pt>
                <c:pt idx="11">
                  <c:v>1.6828021606122223E-3</c:v>
                </c:pt>
                <c:pt idx="12">
                  <c:v>2.4495150393503925E-3</c:v>
                </c:pt>
                <c:pt idx="13">
                  <c:v>3.5735201473079048E-3</c:v>
                </c:pt>
                <c:pt idx="14">
                  <c:v>5.1167527583402877E-3</c:v>
                </c:pt>
                <c:pt idx="15">
                  <c:v>7.1248866640972837E-3</c:v>
                </c:pt>
                <c:pt idx="16">
                  <c:v>9.7979913639102637E-3</c:v>
                </c:pt>
                <c:pt idx="17">
                  <c:v>1.3697548929858952E-2</c:v>
                </c:pt>
                <c:pt idx="18">
                  <c:v>1.9743766488958293E-2</c:v>
                </c:pt>
                <c:pt idx="19">
                  <c:v>2.8841881858942126E-2</c:v>
                </c:pt>
                <c:pt idx="20">
                  <c:v>4.1302618747957466E-2</c:v>
                </c:pt>
                <c:pt idx="21">
                  <c:v>5.6453931421599685E-2</c:v>
                </c:pt>
                <c:pt idx="22">
                  <c:v>7.2652395944285339E-2</c:v>
                </c:pt>
                <c:pt idx="23">
                  <c:v>8.7525183276782548E-2</c:v>
                </c:pt>
                <c:pt idx="24">
                  <c:v>9.8279184942299994E-2</c:v>
                </c:pt>
                <c:pt idx="25">
                  <c:v>0.10227466590118284</c:v>
                </c:pt>
                <c:pt idx="26">
                  <c:v>9.8032645893799675E-2</c:v>
                </c:pt>
                <c:pt idx="27">
                  <c:v>8.6190394866028128E-2</c:v>
                </c:pt>
                <c:pt idx="28">
                  <c:v>6.9527422620918655E-2</c:v>
                </c:pt>
                <c:pt idx="29">
                  <c:v>5.1808057781268839E-2</c:v>
                </c:pt>
                <c:pt idx="30">
                  <c:v>3.6211043943683671E-2</c:v>
                </c:pt>
                <c:pt idx="31">
                  <c:v>2.437508806716706E-2</c:v>
                </c:pt>
                <c:pt idx="32">
                  <c:v>1.6421306861714353E-2</c:v>
                </c:pt>
                <c:pt idx="33">
                  <c:v>1.1568184827260511E-2</c:v>
                </c:pt>
                <c:pt idx="34">
                  <c:v>8.7818109538090623E-3</c:v>
                </c:pt>
                <c:pt idx="35">
                  <c:v>7.1773881747681659E-3</c:v>
                </c:pt>
                <c:pt idx="36">
                  <c:v>6.1696112615927537E-3</c:v>
                </c:pt>
                <c:pt idx="37">
                  <c:v>5.4594906958257243E-3</c:v>
                </c:pt>
                <c:pt idx="38">
                  <c:v>4.9276092788093492E-3</c:v>
                </c:pt>
                <c:pt idx="39">
                  <c:v>4.5010201156168057E-3</c:v>
                </c:pt>
                <c:pt idx="40">
                  <c:v>4.074369737769536E-3</c:v>
                </c:pt>
                <c:pt idx="41">
                  <c:v>3.5304489038896522E-3</c:v>
                </c:pt>
                <c:pt idx="42">
                  <c:v>2.8206184108504123E-3</c:v>
                </c:pt>
                <c:pt idx="43">
                  <c:v>2.0125590915885303E-3</c:v>
                </c:pt>
                <c:pt idx="44">
                  <c:v>1.2506469759172509E-3</c:v>
                </c:pt>
                <c:pt idx="45">
                  <c:v>6.628379270471387E-4</c:v>
                </c:pt>
                <c:pt idx="46">
                  <c:v>2.9365223515314293E-4</c:v>
                </c:pt>
                <c:pt idx="47">
                  <c:v>1.0632308920776206E-4</c:v>
                </c:pt>
                <c:pt idx="48">
                  <c:v>3.0568076394619569E-5</c:v>
                </c:pt>
                <c:pt idx="49">
                  <c:v>6.5995899038760318E-6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1.8096394028116844E-2</c:v>
                </c:pt>
                <c:pt idx="1">
                  <c:v>1.8711861977254204E-2</c:v>
                </c:pt>
                <c:pt idx="2">
                  <c:v>1.9465986131181431E-2</c:v>
                </c:pt>
                <c:pt idx="3">
                  <c:v>2.0456865498303278E-2</c:v>
                </c:pt>
                <c:pt idx="4">
                  <c:v>2.1723164257031864E-2</c:v>
                </c:pt>
                <c:pt idx="5">
                  <c:v>2.3230956598960524E-2</c:v>
                </c:pt>
                <c:pt idx="6">
                  <c:v>2.4847191376203552E-2</c:v>
                </c:pt>
                <c:pt idx="7">
                  <c:v>2.6336039202909275E-2</c:v>
                </c:pt>
                <c:pt idx="8">
                  <c:v>2.7452948137642329E-2</c:v>
                </c:pt>
                <c:pt idx="9">
                  <c:v>2.8158576829470261E-2</c:v>
                </c:pt>
                <c:pt idx="10">
                  <c:v>2.8866165485007273E-2</c:v>
                </c:pt>
                <c:pt idx="11">
                  <c:v>3.0569190389380826E-2</c:v>
                </c:pt>
                <c:pt idx="12">
                  <c:v>3.4693415948639804E-2</c:v>
                </c:pt>
                <c:pt idx="13">
                  <c:v>4.2543970360506327E-2</c:v>
                </c:pt>
                <c:pt idx="14">
                  <c:v>5.4363107535287745E-2</c:v>
                </c:pt>
                <c:pt idx="15">
                  <c:v>6.841898528885261E-2</c:v>
                </c:pt>
                <c:pt idx="16">
                  <c:v>8.0959477787581433E-2</c:v>
                </c:pt>
                <c:pt idx="17">
                  <c:v>8.7602926609238824E-2</c:v>
                </c:pt>
                <c:pt idx="18">
                  <c:v>8.5594521254986219E-2</c:v>
                </c:pt>
                <c:pt idx="19">
                  <c:v>7.5344613401644028E-2</c:v>
                </c:pt>
                <c:pt idx="20">
                  <c:v>6.0054013757545203E-2</c:v>
                </c:pt>
                <c:pt idx="21">
                  <c:v>4.3812392737397933E-2</c:v>
                </c:pt>
                <c:pt idx="22">
                  <c:v>2.9694146544947234E-2</c:v>
                </c:pt>
                <c:pt idx="23">
                  <c:v>1.9010342936864773E-2</c:v>
                </c:pt>
                <c:pt idx="24">
                  <c:v>1.1684032070542732E-2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3.0024469216190366E-2</c:v>
                </c:pt>
                <c:pt idx="1">
                  <c:v>2.8275167841731973E-2</c:v>
                </c:pt>
                <c:pt idx="2">
                  <c:v>2.7246842291821033E-2</c:v>
                </c:pt>
                <c:pt idx="3">
                  <c:v>2.7344062923771905E-2</c:v>
                </c:pt>
                <c:pt idx="4">
                  <c:v>2.852064937330261E-2</c:v>
                </c:pt>
                <c:pt idx="5">
                  <c:v>3.0359457423460787E-2</c:v>
                </c:pt>
                <c:pt idx="6">
                  <c:v>3.2279421836622191E-2</c:v>
                </c:pt>
                <c:pt idx="7">
                  <c:v>3.3786319109000228E-2</c:v>
                </c:pt>
                <c:pt idx="8">
                  <c:v>3.4711064171864869E-2</c:v>
                </c:pt>
                <c:pt idx="9">
                  <c:v>3.5348873008066301E-2</c:v>
                </c:pt>
                <c:pt idx="10">
                  <c:v>3.6401625160795946E-2</c:v>
                </c:pt>
                <c:pt idx="11">
                  <c:v>3.8719908217075279E-2</c:v>
                </c:pt>
                <c:pt idx="12">
                  <c:v>4.2960562133323929E-2</c:v>
                </c:pt>
                <c:pt idx="13">
                  <c:v>4.9279859431893488E-2</c:v>
                </c:pt>
                <c:pt idx="14">
                  <c:v>5.7098523700639468E-2</c:v>
                </c:pt>
                <c:pt idx="15">
                  <c:v>6.4976181202469979E-2</c:v>
                </c:pt>
                <c:pt idx="16">
                  <c:v>7.076271089947346E-2</c:v>
                </c:pt>
                <c:pt idx="17">
                  <c:v>7.2223634472219744E-2</c:v>
                </c:pt>
                <c:pt idx="18">
                  <c:v>6.8034223358062931E-2</c:v>
                </c:pt>
                <c:pt idx="19">
                  <c:v>5.857860675514432E-2</c:v>
                </c:pt>
                <c:pt idx="20">
                  <c:v>4.5913388088472222E-2</c:v>
                </c:pt>
                <c:pt idx="21">
                  <c:v>3.2817449702546082E-2</c:v>
                </c:pt>
                <c:pt idx="22">
                  <c:v>2.1570063545543399E-2</c:v>
                </c:pt>
                <c:pt idx="23">
                  <c:v>1.3245025978745203E-2</c:v>
                </c:pt>
                <c:pt idx="24">
                  <c:v>7.7822521080125034E-3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4.1974158405842354E-3</c:v>
                </c:pt>
                <c:pt idx="1">
                  <c:v>1.1919107803832846E-2</c:v>
                </c:pt>
                <c:pt idx="2">
                  <c:v>1.8680230589556784E-2</c:v>
                </c:pt>
                <c:pt idx="3">
                  <c:v>2.3846310605752648E-2</c:v>
                </c:pt>
                <c:pt idx="4">
                  <c:v>2.7206537783689862E-2</c:v>
                </c:pt>
                <c:pt idx="5">
                  <c:v>2.89028309290769E-2</c:v>
                </c:pt>
                <c:pt idx="6">
                  <c:v>2.9463587364283114E-2</c:v>
                </c:pt>
                <c:pt idx="7">
                  <c:v>3.0080396186940542E-2</c:v>
                </c:pt>
                <c:pt idx="8">
                  <c:v>3.2862667227458772E-2</c:v>
                </c:pt>
                <c:pt idx="9">
                  <c:v>4.044768607666302E-2</c:v>
                </c:pt>
                <c:pt idx="10">
                  <c:v>5.4487763150844325E-2</c:v>
                </c:pt>
                <c:pt idx="11">
                  <c:v>7.3544545055256469E-2</c:v>
                </c:pt>
                <c:pt idx="12">
                  <c:v>9.222855536549987E-2</c:v>
                </c:pt>
                <c:pt idx="13">
                  <c:v>0.1032892721914692</c:v>
                </c:pt>
                <c:pt idx="14">
                  <c:v>0.10190037415398072</c:v>
                </c:pt>
                <c:pt idx="15">
                  <c:v>8.8785731040054855E-2</c:v>
                </c:pt>
                <c:pt idx="16">
                  <c:v>6.9429222582293004E-2</c:v>
                </c:pt>
                <c:pt idx="17">
                  <c:v>5.0224494760734296E-2</c:v>
                </c:pt>
                <c:pt idx="18">
                  <c:v>3.5014040798143076E-2</c:v>
                </c:pt>
                <c:pt idx="19">
                  <c:v>2.4371348636085706E-2</c:v>
                </c:pt>
                <c:pt idx="20">
                  <c:v>1.7071693805793695E-2</c:v>
                </c:pt>
                <c:pt idx="21">
                  <c:v>1.178819734267797E-2</c:v>
                </c:pt>
                <c:pt idx="22">
                  <c:v>7.8188230272663514E-3</c:v>
                </c:pt>
                <c:pt idx="23">
                  <c:v>4.9493790945643844E-3</c:v>
                </c:pt>
                <c:pt idx="24">
                  <c:v>3.08030524048028E-3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4.2395794576678157E-2</c:v>
                </c:pt>
                <c:pt idx="1">
                  <c:v>3.4862369359573785E-2</c:v>
                </c:pt>
                <c:pt idx="2">
                  <c:v>2.8867481936078857E-2</c:v>
                </c:pt>
                <c:pt idx="3">
                  <c:v>2.5420408289737913E-2</c:v>
                </c:pt>
                <c:pt idx="4">
                  <c:v>2.4823303146290956E-2</c:v>
                </c:pt>
                <c:pt idx="5">
                  <c:v>2.6894810195057642E-2</c:v>
                </c:pt>
                <c:pt idx="6">
                  <c:v>3.1335377734226323E-2</c:v>
                </c:pt>
                <c:pt idx="7">
                  <c:v>3.7913140841107772E-2</c:v>
                </c:pt>
                <c:pt idx="8">
                  <c:v>4.6346333783071042E-2</c:v>
                </c:pt>
                <c:pt idx="9">
                  <c:v>5.6034315584605428E-2</c:v>
                </c:pt>
                <c:pt idx="10">
                  <c:v>6.5914267394694526E-2</c:v>
                </c:pt>
                <c:pt idx="11">
                  <c:v>7.4582289976517696E-2</c:v>
                </c:pt>
                <c:pt idx="12">
                  <c:v>8.0569719977751433E-2</c:v>
                </c:pt>
                <c:pt idx="13">
                  <c:v>8.2598457217056429E-2</c:v>
                </c:pt>
                <c:pt idx="14">
                  <c:v>7.9805802537944281E-2</c:v>
                </c:pt>
                <c:pt idx="15">
                  <c:v>7.2042649395305275E-2</c:v>
                </c:pt>
                <c:pt idx="16">
                  <c:v>6.0180995661447551E-2</c:v>
                </c:pt>
                <c:pt idx="17">
                  <c:v>4.6118615520036453E-2</c:v>
                </c:pt>
                <c:pt idx="18">
                  <c:v>3.2244894225571016E-2</c:v>
                </c:pt>
                <c:pt idx="19">
                  <c:v>2.0571231193119849E-2</c:v>
                </c:pt>
                <c:pt idx="20">
                  <c:v>1.2074437221531788E-2</c:v>
                </c:pt>
                <c:pt idx="21">
                  <c:v>6.6452688427461916E-3</c:v>
                </c:pt>
                <c:pt idx="22">
                  <c:v>3.5394010293863455E-3</c:v>
                </c:pt>
                <c:pt idx="23">
                  <c:v>1.91209601778049E-3</c:v>
                </c:pt>
                <c:pt idx="24">
                  <c:v>1.1207466993008392E-3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0.29922702134217166</c:v>
                </c:pt>
                <c:pt idx="1">
                  <c:v>0.22731329846575424</c:v>
                </c:pt>
                <c:pt idx="2">
                  <c:v>0.16294446294532658</c:v>
                </c:pt>
                <c:pt idx="3">
                  <c:v>0.11096029666494484</c:v>
                </c:pt>
                <c:pt idx="4">
                  <c:v>7.2506072504067862E-2</c:v>
                </c:pt>
                <c:pt idx="5">
                  <c:v>4.5942060004501246E-2</c:v>
                </c:pt>
                <c:pt idx="6">
                  <c:v>2.8485940926929014E-2</c:v>
                </c:pt>
                <c:pt idx="7">
                  <c:v>1.7435319948262865E-2</c:v>
                </c:pt>
                <c:pt idx="8">
                  <c:v>1.0657473794152408E-2</c:v>
                </c:pt>
                <c:pt idx="9">
                  <c:v>6.6196018783371835E-3</c:v>
                </c:pt>
                <c:pt idx="10">
                  <c:v>4.2688586435469149E-3</c:v>
                </c:pt>
                <c:pt idx="11">
                  <c:v>2.9055876642066227E-3</c:v>
                </c:pt>
                <c:pt idx="12">
                  <c:v>2.0879131917696209E-3</c:v>
                </c:pt>
                <c:pt idx="13">
                  <c:v>1.5641121501309891E-3</c:v>
                </c:pt>
                <c:pt idx="14">
                  <c:v>1.2129159117457145E-3</c:v>
                </c:pt>
                <c:pt idx="15">
                  <c:v>9.8240511778124005E-4</c:v>
                </c:pt>
                <c:pt idx="16">
                  <c:v>8.4010080408622283E-4</c:v>
                </c:pt>
                <c:pt idx="17">
                  <c:v>7.5007891328469499E-4</c:v>
                </c:pt>
                <c:pt idx="18">
                  <c:v>6.7580063749074297E-4</c:v>
                </c:pt>
                <c:pt idx="19">
                  <c:v>5.9269593055297166E-4</c:v>
                </c:pt>
                <c:pt idx="20">
                  <c:v>4.9534858241326567E-4</c:v>
                </c:pt>
                <c:pt idx="21">
                  <c:v>3.9401084299637575E-4</c:v>
                </c:pt>
                <c:pt idx="22">
                  <c:v>3.0384641939675406E-4</c:v>
                </c:pt>
                <c:pt idx="23">
                  <c:v>2.3411328149851911E-4</c:v>
                </c:pt>
                <c:pt idx="24">
                  <c:v>1.8369014194985123E-4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0.30941474619172743</c:v>
                </c:pt>
                <c:pt idx="1">
                  <c:v>0.23164538762209794</c:v>
                </c:pt>
                <c:pt idx="2">
                  <c:v>0.16280578057791126</c:v>
                </c:pt>
                <c:pt idx="3">
                  <c:v>0.10840970275292147</c:v>
                </c:pt>
                <c:pt idx="4">
                  <c:v>6.937871422465812E-2</c:v>
                </c:pt>
                <c:pt idx="5">
                  <c:v>4.3324737439883736E-2</c:v>
                </c:pt>
                <c:pt idx="6">
                  <c:v>2.6721272884753681E-2</c:v>
                </c:pt>
                <c:pt idx="7">
                  <c:v>1.6420291133181494E-2</c:v>
                </c:pt>
                <c:pt idx="8">
                  <c:v>1.0136943003276229E-2</c:v>
                </c:pt>
                <c:pt idx="9">
                  <c:v>6.348195586801479E-3</c:v>
                </c:pt>
                <c:pt idx="10">
                  <c:v>4.0709738595080935E-3</c:v>
                </c:pt>
                <c:pt idx="11">
                  <c:v>2.6897905291904797E-3</c:v>
                </c:pt>
                <c:pt idx="12">
                  <c:v>1.8348635368169038E-3</c:v>
                </c:pt>
                <c:pt idx="13">
                  <c:v>1.2931904634132421E-3</c:v>
                </c:pt>
                <c:pt idx="14">
                  <c:v>9.4656876885311925E-4</c:v>
                </c:pt>
                <c:pt idx="15">
                  <c:v>7.2965850926054107E-4</c:v>
                </c:pt>
                <c:pt idx="16">
                  <c:v>6.0146988029842604E-4</c:v>
                </c:pt>
                <c:pt idx="17">
                  <c:v>5.2892000844927687E-4</c:v>
                </c:pt>
                <c:pt idx="18">
                  <c:v>4.8255624564538124E-4</c:v>
                </c:pt>
                <c:pt idx="19">
                  <c:v>4.4028924251342857E-4</c:v>
                </c:pt>
                <c:pt idx="20">
                  <c:v>3.9153493423670495E-4</c:v>
                </c:pt>
                <c:pt idx="21">
                  <c:v>3.3634229122905818E-4</c:v>
                </c:pt>
                <c:pt idx="22">
                  <c:v>2.7988510860067338E-4</c:v>
                </c:pt>
                <c:pt idx="23">
                  <c:v>2.2670352990179237E-4</c:v>
                </c:pt>
                <c:pt idx="24">
                  <c:v>1.7837108915983092E-4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0.36309550460655332</c:v>
                </c:pt>
                <c:pt idx="1">
                  <c:v>0.26000463345475183</c:v>
                </c:pt>
                <c:pt idx="2">
                  <c:v>0.17004222502162575</c:v>
                </c:pt>
                <c:pt idx="3">
                  <c:v>0.10138058370958576</c:v>
                </c:pt>
                <c:pt idx="4">
                  <c:v>5.5296472176126994E-2</c:v>
                </c:pt>
                <c:pt idx="5">
                  <c:v>2.7815369603808138E-2</c:v>
                </c:pt>
                <c:pt idx="6">
                  <c:v>1.3022411092190345E-2</c:v>
                </c:pt>
                <c:pt idx="7">
                  <c:v>5.6996678616760147E-3</c:v>
                </c:pt>
                <c:pt idx="8">
                  <c:v>2.323161878663453E-3</c:v>
                </c:pt>
                <c:pt idx="9">
                  <c:v>8.7480597715501411E-4</c:v>
                </c:pt>
                <c:pt idx="10">
                  <c:v>3.0402948795389939E-4</c:v>
                </c:pt>
                <c:pt idx="11">
                  <c:v>9.8856837612472848E-5</c:v>
                </c:pt>
                <c:pt idx="12">
                  <c:v>3.0569617606773135E-5</c:v>
                </c:pt>
                <c:pt idx="13">
                  <c:v>8.8730460595927832E-6</c:v>
                </c:pt>
                <c:pt idx="14">
                  <c:v>2.2793336545425837E-6</c:v>
                </c:pt>
                <c:pt idx="15">
                  <c:v>4.7559613498872901E-7</c:v>
                </c:pt>
                <c:pt idx="16">
                  <c:v>7.3105810396048974E-8</c:v>
                </c:pt>
                <c:pt idx="17">
                  <c:v>7.246518373751367E-9</c:v>
                </c:pt>
                <c:pt idx="18">
                  <c:v>3.4651268502323782E-10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0.36816751297753314</c:v>
                </c:pt>
                <c:pt idx="1">
                  <c:v>0.26030408174802588</c:v>
                </c:pt>
                <c:pt idx="2">
                  <c:v>0.16728631053907306</c:v>
                </c:pt>
                <c:pt idx="3">
                  <c:v>9.7899805704359674E-2</c:v>
                </c:pt>
                <c:pt idx="4">
                  <c:v>5.278912023968494E-2</c:v>
                </c:pt>
                <c:pt idx="5">
                  <c:v>2.684177197009666E-2</c:v>
                </c:pt>
                <c:pt idx="6">
                  <c:v>1.3285984161408243E-2</c:v>
                </c:pt>
                <c:pt idx="7">
                  <c:v>6.5972579204919262E-3</c:v>
                </c:pt>
                <c:pt idx="8">
                  <c:v>3.3367422285178619E-3</c:v>
                </c:pt>
                <c:pt idx="9">
                  <c:v>1.7121513302160633E-3</c:v>
                </c:pt>
                <c:pt idx="10">
                  <c:v>8.7755545541221252E-4</c:v>
                </c:pt>
                <c:pt idx="11">
                  <c:v>4.4278988072775165E-4</c:v>
                </c:pt>
                <c:pt idx="12">
                  <c:v>2.2000838666613417E-4</c:v>
                </c:pt>
                <c:pt idx="13">
                  <c:v>1.1048597455392092E-4</c:v>
                </c:pt>
                <c:pt idx="14">
                  <c:v>5.8422355599434661E-5</c:v>
                </c:pt>
                <c:pt idx="15">
                  <c:v>3.2893772257801765E-5</c:v>
                </c:pt>
                <c:pt idx="16">
                  <c:v>1.8838370444194107E-5</c:v>
                </c:pt>
                <c:pt idx="17">
                  <c:v>1.0232135200497487E-5</c:v>
                </c:pt>
                <c:pt idx="18">
                  <c:v>4.9762205114101319E-6</c:v>
                </c:pt>
                <c:pt idx="19">
                  <c:v>2.0810317529599302E-6</c:v>
                </c:pt>
                <c:pt idx="20">
                  <c:v>7.2412548380243072E-7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105.52976483861445</c:v>
                </c:pt>
                <c:pt idx="2">
                  <c:v>364.29286938309133</c:v>
                </c:pt>
                <c:pt idx="3">
                  <c:v>1185.0587792860124</c:v>
                </c:pt>
                <c:pt idx="4">
                  <c:v>3528.4074785152497</c:v>
                </c:pt>
                <c:pt idx="5">
                  <c:v>9064.6591255499461</c:v>
                </c:pt>
                <c:pt idx="6">
                  <c:v>19777.752722754445</c:v>
                </c:pt>
                <c:pt idx="7">
                  <c:v>36749.393180929255</c:v>
                </c:pt>
                <c:pt idx="8">
                  <c:v>58598.28193611851</c:v>
                </c:pt>
                <c:pt idx="9">
                  <c:v>80827.844339779724</c:v>
                </c:pt>
                <c:pt idx="10">
                  <c:v>97133.93749676671</c:v>
                </c:pt>
                <c:pt idx="11">
                  <c:v>102310.23868560416</c:v>
                </c:pt>
                <c:pt idx="12">
                  <c:v>94943.021404159445</c:v>
                </c:pt>
                <c:pt idx="13">
                  <c:v>78053.764923076582</c:v>
                </c:pt>
                <c:pt idx="14">
                  <c:v>57331.486780881198</c:v>
                </c:pt>
                <c:pt idx="15">
                  <c:v>38277.557873405574</c:v>
                </c:pt>
                <c:pt idx="16">
                  <c:v>24096.652696453741</c:v>
                </c:pt>
                <c:pt idx="17">
                  <c:v>15295.438880675942</c:v>
                </c:pt>
                <c:pt idx="18">
                  <c:v>10630.125770801415</c:v>
                </c:pt>
                <c:pt idx="19">
                  <c:v>8375.4048348948854</c:v>
                </c:pt>
                <c:pt idx="20">
                  <c:v>7156.7603748587153</c:v>
                </c:pt>
                <c:pt idx="21">
                  <c:v>6215.0645151103708</c:v>
                </c:pt>
                <c:pt idx="22">
                  <c:v>5319.0763414134517</c:v>
                </c:pt>
                <c:pt idx="23">
                  <c:v>4535.3802134149482</c:v>
                </c:pt>
                <c:pt idx="24">
                  <c:v>3986.4020554690746</c:v>
                </c:pt>
                <c:pt idx="25">
                  <c:v>3701.7428247975568</c:v>
                </c:pt>
                <c:pt idx="26">
                  <c:v>3610.5872139474691</c:v>
                </c:pt>
                <c:pt idx="27">
                  <c:v>3613.879892565195</c:v>
                </c:pt>
                <c:pt idx="28">
                  <c:v>3631.1378644260726</c:v>
                </c:pt>
                <c:pt idx="29">
                  <c:v>3590.6313454381047</c:v>
                </c:pt>
                <c:pt idx="30">
                  <c:v>3416.9094614557043</c:v>
                </c:pt>
                <c:pt idx="31">
                  <c:v>3058.621519079963</c:v>
                </c:pt>
                <c:pt idx="32">
                  <c:v>2529.642632915713</c:v>
                </c:pt>
                <c:pt idx="33">
                  <c:v>1913.1547339771837</c:v>
                </c:pt>
                <c:pt idx="34">
                  <c:v>1321.3976758331689</c:v>
                </c:pt>
                <c:pt idx="35">
                  <c:v>846.8071857531271</c:v>
                </c:pt>
                <c:pt idx="36">
                  <c:v>539.8066467395571</c:v>
                </c:pt>
                <c:pt idx="37">
                  <c:v>419.34506765678412</c:v>
                </c:pt>
                <c:pt idx="38">
                  <c:v>491.48705116949571</c:v>
                </c:pt>
                <c:pt idx="39">
                  <c:v>741.73868782302873</c:v>
                </c:pt>
                <c:pt idx="40">
                  <c:v>1098.6290150251612</c:v>
                </c:pt>
                <c:pt idx="41">
                  <c:v>1418.3022824947557</c:v>
                </c:pt>
                <c:pt idx="42">
                  <c:v>1541.140788739476</c:v>
                </c:pt>
                <c:pt idx="43">
                  <c:v>1394.0566082987384</c:v>
                </c:pt>
                <c:pt idx="44">
                  <c:v>1043.2528781890896</c:v>
                </c:pt>
                <c:pt idx="45">
                  <c:v>641.31952955287488</c:v>
                </c:pt>
                <c:pt idx="46">
                  <c:v>320.4704705284226</c:v>
                </c:pt>
                <c:pt idx="47">
                  <c:v>128.13958259405601</c:v>
                </c:pt>
                <c:pt idx="48">
                  <c:v>40.024438388542634</c:v>
                </c:pt>
                <c:pt idx="49">
                  <c:v>9.2523155989229569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33.252109217104618</c:v>
                </c:pt>
                <c:pt idx="1">
                  <c:v>158.41345237207901</c:v>
                </c:pt>
                <c:pt idx="2">
                  <c:v>414.64091576247546</c:v>
                </c:pt>
                <c:pt idx="3">
                  <c:v>1127.8032489717348</c:v>
                </c:pt>
                <c:pt idx="4">
                  <c:v>3011.0534614547887</c:v>
                </c:pt>
                <c:pt idx="5">
                  <c:v>7243.9833765006351</c:v>
                </c:pt>
                <c:pt idx="6">
                  <c:v>15210.909438210569</c:v>
                </c:pt>
                <c:pt idx="7">
                  <c:v>27753.275754332637</c:v>
                </c:pt>
                <c:pt idx="8">
                  <c:v>44185.915597944091</c:v>
                </c:pt>
                <c:pt idx="9">
                  <c:v>61771.67590803506</c:v>
                </c:pt>
                <c:pt idx="10">
                  <c:v>76321.437884541272</c:v>
                </c:pt>
                <c:pt idx="11">
                  <c:v>83882.224035712614</c:v>
                </c:pt>
                <c:pt idx="12">
                  <c:v>82587.170943849313</c:v>
                </c:pt>
                <c:pt idx="13">
                  <c:v>73478.875248183409</c:v>
                </c:pt>
                <c:pt idx="14">
                  <c:v>59799.729142740973</c:v>
                </c:pt>
                <c:pt idx="15">
                  <c:v>45315.28675596157</c:v>
                </c:pt>
                <c:pt idx="16">
                  <c:v>32787.347021049471</c:v>
                </c:pt>
                <c:pt idx="17">
                  <c:v>23369.294904418621</c:v>
                </c:pt>
                <c:pt idx="18">
                  <c:v>16915.518706749746</c:v>
                </c:pt>
                <c:pt idx="19">
                  <c:v>12681.627450743517</c:v>
                </c:pt>
                <c:pt idx="20">
                  <c:v>9903.8495233550293</c:v>
                </c:pt>
                <c:pt idx="21">
                  <c:v>8052.0465859863798</c:v>
                </c:pt>
                <c:pt idx="22">
                  <c:v>6822.8796392853737</c:v>
                </c:pt>
                <c:pt idx="23">
                  <c:v>6036.0003905547601</c:v>
                </c:pt>
                <c:pt idx="24">
                  <c:v>5554.2728570891586</c:v>
                </c:pt>
                <c:pt idx="25">
                  <c:v>5263.4280757372662</c:v>
                </c:pt>
                <c:pt idx="26">
                  <c:v>5084.9849807632409</c:v>
                </c:pt>
                <c:pt idx="27">
                  <c:v>4981.1067801394183</c:v>
                </c:pt>
                <c:pt idx="28">
                  <c:v>4931.801792833432</c:v>
                </c:pt>
                <c:pt idx="29">
                  <c:v>4898.8352195224143</c:v>
                </c:pt>
                <c:pt idx="30">
                  <c:v>4810.1589183259648</c:v>
                </c:pt>
                <c:pt idx="31">
                  <c:v>4586.7026958828155</c:v>
                </c:pt>
                <c:pt idx="32">
                  <c:v>4195.1065312268011</c:v>
                </c:pt>
                <c:pt idx="33">
                  <c:v>3678.2102023509005</c:v>
                </c:pt>
                <c:pt idx="34">
                  <c:v>3128.1214032846005</c:v>
                </c:pt>
                <c:pt idx="35">
                  <c:v>2621.0374878606076</c:v>
                </c:pt>
                <c:pt idx="36">
                  <c:v>2172.7274651908551</c:v>
                </c:pt>
                <c:pt idx="37">
                  <c:v>1752.2070095077397</c:v>
                </c:pt>
                <c:pt idx="38">
                  <c:v>1332.2940994430458</c:v>
                </c:pt>
                <c:pt idx="39">
                  <c:v>924.6098696046505</c:v>
                </c:pt>
                <c:pt idx="40">
                  <c:v>570.97929450434901</c:v>
                </c:pt>
                <c:pt idx="41">
                  <c:v>308.63725335188138</c:v>
                </c:pt>
                <c:pt idx="42">
                  <c:v>145.0632535224299</c:v>
                </c:pt>
                <c:pt idx="43">
                  <c:v>59.665805282425886</c:v>
                </c:pt>
                <c:pt idx="44">
                  <c:v>22.007365009532545</c:v>
                </c:pt>
                <c:pt idx="45">
                  <c:v>7.5690124003496395</c:v>
                </c:pt>
                <c:pt idx="46">
                  <c:v>2.488912572074502</c:v>
                </c:pt>
                <c:pt idx="47">
                  <c:v>0.76215270274469782</c:v>
                </c:pt>
                <c:pt idx="48">
                  <c:v>0.20196600805683892</c:v>
                </c:pt>
                <c:pt idx="49">
                  <c:v>4.1859371191226347E-2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3793.6826660477072</c:v>
                </c:pt>
                <c:pt idx="2">
                  <c:v>8974.5849487846372</c:v>
                </c:pt>
                <c:pt idx="3">
                  <c:v>17041.454965692043</c:v>
                </c:pt>
                <c:pt idx="4">
                  <c:v>29497.171009064747</c:v>
                </c:pt>
                <c:pt idx="5">
                  <c:v>47451.61335859586</c:v>
                </c:pt>
                <c:pt idx="6">
                  <c:v>71007.565610570295</c:v>
                </c:pt>
                <c:pt idx="7">
                  <c:v>98587.144061774598</c:v>
                </c:pt>
                <c:pt idx="8">
                  <c:v>126522.80566556755</c:v>
                </c:pt>
                <c:pt idx="9">
                  <c:v>149467.00459522539</c:v>
                </c:pt>
                <c:pt idx="10">
                  <c:v>162009.83894761364</c:v>
                </c:pt>
                <c:pt idx="11">
                  <c:v>161012.65311754151</c:v>
                </c:pt>
                <c:pt idx="12">
                  <c:v>147226.30907580972</c:v>
                </c:pt>
                <c:pt idx="13">
                  <c:v>124948.2527534423</c:v>
                </c:pt>
                <c:pt idx="14">
                  <c:v>99908.361682265022</c:v>
                </c:pt>
                <c:pt idx="15">
                  <c:v>76888.165774483394</c:v>
                </c:pt>
                <c:pt idx="16">
                  <c:v>58488.48221658657</c:v>
                </c:pt>
                <c:pt idx="17">
                  <c:v>45272.23303134353</c:v>
                </c:pt>
                <c:pt idx="18">
                  <c:v>36559.207183364953</c:v>
                </c:pt>
                <c:pt idx="19">
                  <c:v>31157.709197137632</c:v>
                </c:pt>
                <c:pt idx="20">
                  <c:v>27829.412366755136</c:v>
                </c:pt>
                <c:pt idx="21">
                  <c:v>25569.334779206441</c:v>
                </c:pt>
                <c:pt idx="22">
                  <c:v>23731.146254060055</c:v>
                </c:pt>
                <c:pt idx="23">
                  <c:v>21983.087392577192</c:v>
                </c:pt>
                <c:pt idx="24">
                  <c:v>20177.972583596616</c:v>
                </c:pt>
                <c:pt idx="25">
                  <c:v>18265.530727863774</c:v>
                </c:pt>
                <c:pt idx="26">
                  <c:v>16266.817085780334</c:v>
                </c:pt>
                <c:pt idx="27">
                  <c:v>14241.445914698212</c:v>
                </c:pt>
                <c:pt idx="28">
                  <c:v>12233.614387188294</c:v>
                </c:pt>
                <c:pt idx="29">
                  <c:v>10256.673423279773</c:v>
                </c:pt>
                <c:pt idx="30">
                  <c:v>8334.3508411824678</c:v>
                </c:pt>
                <c:pt idx="31">
                  <c:v>6536.268154809859</c:v>
                </c:pt>
                <c:pt idx="32">
                  <c:v>4957.4446915654771</c:v>
                </c:pt>
                <c:pt idx="33">
                  <c:v>3669.4019946956892</c:v>
                </c:pt>
                <c:pt idx="34">
                  <c:v>2697.1603530170505</c:v>
                </c:pt>
                <c:pt idx="35">
                  <c:v>2028.1761053414416</c:v>
                </c:pt>
                <c:pt idx="36">
                  <c:v>1619.2693544649696</c:v>
                </c:pt>
                <c:pt idx="37">
                  <c:v>1390.4091351974596</c:v>
                </c:pt>
                <c:pt idx="38">
                  <c:v>1233.8945634464162</c:v>
                </c:pt>
                <c:pt idx="39">
                  <c:v>1056.5086630603182</c:v>
                </c:pt>
                <c:pt idx="40">
                  <c:v>824.44882173100189</c:v>
                </c:pt>
                <c:pt idx="41">
                  <c:v>567.35873518212725</c:v>
                </c:pt>
                <c:pt idx="42">
                  <c:v>339.31170515982245</c:v>
                </c:pt>
                <c:pt idx="43">
                  <c:v>175.74803168544</c:v>
                </c:pt>
                <c:pt idx="44">
                  <c:v>79.10545669039351</c:v>
                </c:pt>
                <c:pt idx="45">
                  <c:v>31.149558462315294</c:v>
                </c:pt>
                <c:pt idx="46">
                  <c:v>10.778182010844612</c:v>
                </c:pt>
                <c:pt idx="47">
                  <c:v>3.2563582145666516</c:v>
                </c:pt>
                <c:pt idx="48">
                  <c:v>0.83728180122489471</c:v>
                </c:pt>
                <c:pt idx="49">
                  <c:v>0.17168310628097533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1679.0734390139362</c:v>
                </c:pt>
                <c:pt idx="1">
                  <c:v>5295.1547976795837</c:v>
                </c:pt>
                <c:pt idx="2">
                  <c:v>9430.480882297772</c:v>
                </c:pt>
                <c:pt idx="3">
                  <c:v>15016.988250027134</c:v>
                </c:pt>
                <c:pt idx="4">
                  <c:v>23560.598482796973</c:v>
                </c:pt>
                <c:pt idx="5">
                  <c:v>36806.244637580719</c:v>
                </c:pt>
                <c:pt idx="6">
                  <c:v>55859.505006016021</c:v>
                </c:pt>
                <c:pt idx="7">
                  <c:v>80123.020381496623</c:v>
                </c:pt>
                <c:pt idx="8">
                  <c:v>106709.01598768952</c:v>
                </c:pt>
                <c:pt idx="9">
                  <c:v>130862.20419052744</c:v>
                </c:pt>
                <c:pt idx="10">
                  <c:v>147396.18837402179</c:v>
                </c:pt>
                <c:pt idx="11">
                  <c:v>152565.00707160105</c:v>
                </c:pt>
                <c:pt idx="12">
                  <c:v>145514.32421755872</c:v>
                </c:pt>
                <c:pt idx="13">
                  <c:v>128615.86419848395</c:v>
                </c:pt>
                <c:pt idx="14">
                  <c:v>106499.84550668021</c:v>
                </c:pt>
                <c:pt idx="15">
                  <c:v>84234.816443985022</c:v>
                </c:pt>
                <c:pt idx="16">
                  <c:v>65541.735620942767</c:v>
                </c:pt>
                <c:pt idx="17">
                  <c:v>51884.896557984757</c:v>
                </c:pt>
                <c:pt idx="18">
                  <c:v>42735.276351286739</c:v>
                </c:pt>
                <c:pt idx="19">
                  <c:v>36604.737280055197</c:v>
                </c:pt>
                <c:pt idx="20">
                  <c:v>32096.541906293303</c:v>
                </c:pt>
                <c:pt idx="21">
                  <c:v>28417.919635211136</c:v>
                </c:pt>
                <c:pt idx="22">
                  <c:v>25306.258861489183</c:v>
                </c:pt>
                <c:pt idx="23">
                  <c:v>22698.312467292286</c:v>
                </c:pt>
                <c:pt idx="24">
                  <c:v>20494.046128883299</c:v>
                </c:pt>
                <c:pt idx="25">
                  <c:v>18536.539366606143</c:v>
                </c:pt>
                <c:pt idx="26">
                  <c:v>16705.185845249394</c:v>
                </c:pt>
                <c:pt idx="27">
                  <c:v>14969.82736489924</c:v>
                </c:pt>
                <c:pt idx="28">
                  <c:v>13352.440532584642</c:v>
                </c:pt>
                <c:pt idx="29">
                  <c:v>11853.321928972275</c:v>
                </c:pt>
                <c:pt idx="30">
                  <c:v>10422.221298751841</c:v>
                </c:pt>
                <c:pt idx="31">
                  <c:v>8998.2716913821041</c:v>
                </c:pt>
                <c:pt idx="32">
                  <c:v>7573.8123506108568</c:v>
                </c:pt>
                <c:pt idx="33">
                  <c:v>6216.3818426349662</c:v>
                </c:pt>
                <c:pt idx="34">
                  <c:v>5024.4199635339337</c:v>
                </c:pt>
                <c:pt idx="35">
                  <c:v>4056.1750696218619</c:v>
                </c:pt>
                <c:pt idx="36">
                  <c:v>3295.1243335125487</c:v>
                </c:pt>
                <c:pt idx="37">
                  <c:v>2675.807133853375</c:v>
                </c:pt>
                <c:pt idx="38">
                  <c:v>2136.7002318679879</c:v>
                </c:pt>
                <c:pt idx="39">
                  <c:v>1651.6640131034969</c:v>
                </c:pt>
                <c:pt idx="40">
                  <c:v>1224.1585020925565</c:v>
                </c:pt>
                <c:pt idx="41">
                  <c:v>864.67395500133125</c:v>
                </c:pt>
                <c:pt idx="42">
                  <c:v>576.71730740194926</c:v>
                </c:pt>
                <c:pt idx="43">
                  <c:v>357.0916840549861</c:v>
                </c:pt>
                <c:pt idx="44">
                  <c:v>200.31356966090547</c:v>
                </c:pt>
                <c:pt idx="45">
                  <c:v>98.971981879286062</c:v>
                </c:pt>
                <c:pt idx="46">
                  <c:v>41.831216788210135</c:v>
                </c:pt>
                <c:pt idx="47">
                  <c:v>14.673681418656678</c:v>
                </c:pt>
                <c:pt idx="48">
                  <c:v>4.1278740806013614</c:v>
                </c:pt>
                <c:pt idx="49">
                  <c:v>0.87783992096071461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3.8800589823722853</c:v>
                </c:pt>
                <c:pt idx="2">
                  <c:v>6.5841558886466158</c:v>
                </c:pt>
                <c:pt idx="3">
                  <c:v>7.5746084498600306</c:v>
                </c:pt>
                <c:pt idx="4">
                  <c:v>7.2727811017920931</c:v>
                </c:pt>
                <c:pt idx="5">
                  <c:v>7.6503792779090949</c:v>
                </c:pt>
                <c:pt idx="6">
                  <c:v>14.971829899058152</c:v>
                </c:pt>
                <c:pt idx="7">
                  <c:v>47.413147782920824</c:v>
                </c:pt>
                <c:pt idx="8">
                  <c:v>148.46758568085153</c:v>
                </c:pt>
                <c:pt idx="9">
                  <c:v>399.47071066966453</c:v>
                </c:pt>
                <c:pt idx="10">
                  <c:v>914.48047773527867</c:v>
                </c:pt>
                <c:pt idx="11">
                  <c:v>1804.1308465892832</c:v>
                </c:pt>
                <c:pt idx="12">
                  <c:v>3123.9166733287693</c:v>
                </c:pt>
                <c:pt idx="13">
                  <c:v>4850.9216124041704</c:v>
                </c:pt>
                <c:pt idx="14">
                  <c:v>6911.6873803948265</c:v>
                </c:pt>
                <c:pt idx="15">
                  <c:v>9224.6222129276066</c:v>
                </c:pt>
                <c:pt idx="16">
                  <c:v>11722.79599537596</c:v>
                </c:pt>
                <c:pt idx="17">
                  <c:v>14425.895775305158</c:v>
                </c:pt>
                <c:pt idx="18">
                  <c:v>17672.208895297699</c:v>
                </c:pt>
                <c:pt idx="19">
                  <c:v>22411.200939217881</c:v>
                </c:pt>
                <c:pt idx="20">
                  <c:v>30125.863464117097</c:v>
                </c:pt>
                <c:pt idx="21">
                  <c:v>41972.076905432878</c:v>
                </c:pt>
                <c:pt idx="22">
                  <c:v>57377.091817188018</c:v>
                </c:pt>
                <c:pt idx="23">
                  <c:v>73187.604897987854</c:v>
                </c:pt>
                <c:pt idx="24">
                  <c:v>84515.780160923445</c:v>
                </c:pt>
                <c:pt idx="25">
                  <c:v>87217.133325601812</c:v>
                </c:pt>
                <c:pt idx="26">
                  <c:v>80347.618433336072</c:v>
                </c:pt>
                <c:pt idx="27">
                  <c:v>66658.582182442347</c:v>
                </c:pt>
                <c:pt idx="28">
                  <c:v>50758.765273264326</c:v>
                </c:pt>
                <c:pt idx="29">
                  <c:v>36522.477714831955</c:v>
                </c:pt>
                <c:pt idx="30">
                  <c:v>25680.158517454151</c:v>
                </c:pt>
                <c:pt idx="31">
                  <c:v>18128.448695248822</c:v>
                </c:pt>
                <c:pt idx="32">
                  <c:v>13030.669753888742</c:v>
                </c:pt>
                <c:pt idx="33">
                  <c:v>9609.866458501423</c:v>
                </c:pt>
                <c:pt idx="34">
                  <c:v>7328.7805437372544</c:v>
                </c:pt>
                <c:pt idx="35">
                  <c:v>5783.2256863399689</c:v>
                </c:pt>
                <c:pt idx="36">
                  <c:v>4644.8836996123255</c:v>
                </c:pt>
                <c:pt idx="37">
                  <c:v>3709.1098043647303</c:v>
                </c:pt>
                <c:pt idx="38">
                  <c:v>2933.1862971403471</c:v>
                </c:pt>
                <c:pt idx="39">
                  <c:v>2375.9378501020615</c:v>
                </c:pt>
                <c:pt idx="40">
                  <c:v>2066.8885531710139</c:v>
                </c:pt>
                <c:pt idx="41">
                  <c:v>1917.8899488100144</c:v>
                </c:pt>
                <c:pt idx="42">
                  <c:v>1761.053590645347</c:v>
                </c:pt>
                <c:pt idx="43">
                  <c:v>1474.0803675946163</c:v>
                </c:pt>
                <c:pt idx="44">
                  <c:v>1066.1243191200329</c:v>
                </c:pt>
                <c:pt idx="45">
                  <c:v>646.12409446869106</c:v>
                </c:pt>
                <c:pt idx="46">
                  <c:v>321.33705091002662</c:v>
                </c:pt>
                <c:pt idx="47">
                  <c:v>128.53298971251175</c:v>
                </c:pt>
                <c:pt idx="48">
                  <c:v>40.309881639434685</c:v>
                </c:pt>
                <c:pt idx="49">
                  <c:v>9.3871625047772973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99.052388544717346</c:v>
                </c:pt>
                <c:pt idx="1">
                  <c:v>100.27904348079321</c:v>
                </c:pt>
                <c:pt idx="2">
                  <c:v>91.835550490404898</c:v>
                </c:pt>
                <c:pt idx="3">
                  <c:v>74.147854357858094</c:v>
                </c:pt>
                <c:pt idx="4">
                  <c:v>59.674714171496582</c:v>
                </c:pt>
                <c:pt idx="5">
                  <c:v>67.464817525127458</c:v>
                </c:pt>
                <c:pt idx="6">
                  <c:v>116.33643949718972</c:v>
                </c:pt>
                <c:pt idx="7">
                  <c:v>219.47927841350682</c:v>
                </c:pt>
                <c:pt idx="8">
                  <c:v>381.04016846320781</c:v>
                </c:pt>
                <c:pt idx="9">
                  <c:v>599.62984436473175</c:v>
                </c:pt>
                <c:pt idx="10">
                  <c:v>884.78650429384356</c:v>
                </c:pt>
                <c:pt idx="11">
                  <c:v>1279.1902657630646</c:v>
                </c:pt>
                <c:pt idx="12">
                  <c:v>1862.0107981304752</c:v>
                </c:pt>
                <c:pt idx="13">
                  <c:v>2716.4287602776822</c:v>
                </c:pt>
                <c:pt idx="14">
                  <c:v>3889.5245525498699</c:v>
                </c:pt>
                <c:pt idx="15">
                  <c:v>5416.0173303215352</c:v>
                </c:pt>
                <c:pt idx="16">
                  <c:v>7447.9908988141287</c:v>
                </c:pt>
                <c:pt idx="17">
                  <c:v>10412.258592248443</c:v>
                </c:pt>
                <c:pt idx="18">
                  <c:v>15008.320344077774</c:v>
                </c:pt>
                <c:pt idx="19">
                  <c:v>21924.297094332556</c:v>
                </c:pt>
                <c:pt idx="20">
                  <c:v>31396.386984485856</c:v>
                </c:pt>
                <c:pt idx="21">
                  <c:v>42913.731173421591</c:v>
                </c:pt>
                <c:pt idx="22">
                  <c:v>55227.072945094471</c:v>
                </c:pt>
                <c:pt idx="23">
                  <c:v>66532.694738195263</c:v>
                </c:pt>
                <c:pt idx="24">
                  <c:v>74707.401528163347</c:v>
                </c:pt>
                <c:pt idx="25">
                  <c:v>77744.585856346763</c:v>
                </c:pt>
                <c:pt idx="26">
                  <c:v>74519.993668610012</c:v>
                </c:pt>
                <c:pt idx="27">
                  <c:v>65518.048820894313</c:v>
                </c:pt>
                <c:pt idx="28">
                  <c:v>52851.609239625002</c:v>
                </c:pt>
                <c:pt idx="29">
                  <c:v>39382.147677882022</c:v>
                </c:pt>
                <c:pt idx="30">
                  <c:v>27526.001576457857</c:v>
                </c:pt>
                <c:pt idx="31">
                  <c:v>18528.842018656407</c:v>
                </c:pt>
                <c:pt idx="32">
                  <c:v>12482.736462003953</c:v>
                </c:pt>
                <c:pt idx="33">
                  <c:v>8793.6120893712068</c:v>
                </c:pt>
                <c:pt idx="34">
                  <c:v>6675.5364063694187</c:v>
                </c:pt>
                <c:pt idx="35">
                  <c:v>5455.9266095939229</c:v>
                </c:pt>
                <c:pt idx="36">
                  <c:v>4689.8600763029654</c:v>
                </c:pt>
                <c:pt idx="37">
                  <c:v>4150.058466518446</c:v>
                </c:pt>
                <c:pt idx="38">
                  <c:v>3745.7462145422046</c:v>
                </c:pt>
                <c:pt idx="39">
                  <c:v>3421.4723825919391</c:v>
                </c:pt>
                <c:pt idx="40">
                  <c:v>3097.1520180234706</c:v>
                </c:pt>
                <c:pt idx="41">
                  <c:v>2683.6879446283288</c:v>
                </c:pt>
                <c:pt idx="42">
                  <c:v>2144.1068350418932</c:v>
                </c:pt>
                <c:pt idx="43">
                  <c:v>1529.8566043535336</c:v>
                </c:pt>
                <c:pt idx="44">
                  <c:v>950.68539543432144</c:v>
                </c:pt>
                <c:pt idx="45">
                  <c:v>503.85948146679004</c:v>
                </c:pt>
                <c:pt idx="46">
                  <c:v>223.22117805625226</c:v>
                </c:pt>
                <c:pt idx="47">
                  <c:v>80.822014568216488</c:v>
                </c:pt>
                <c:pt idx="48">
                  <c:v>23.236472285531885</c:v>
                </c:pt>
                <c:pt idx="49">
                  <c:v>5.0167104373071876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0</c:v>
                </c:pt>
                <c:pt idx="1">
                  <c:v>1677.8350168269787</c:v>
                </c:pt>
                <c:pt idx="2">
                  <c:v>3426.6218163315662</c:v>
                </c:pt>
                <c:pt idx="3">
                  <c:v>5394.2835808550162</c:v>
                </c:pt>
                <c:pt idx="4">
                  <c:v>7905.2736183669849</c:v>
                </c:pt>
                <c:pt idx="5">
                  <c:v>11555.559792405105</c:v>
                </c:pt>
                <c:pt idx="6">
                  <c:v>17219.364073966579</c:v>
                </c:pt>
                <c:pt idx="7">
                  <c:v>25869.056664747368</c:v>
                </c:pt>
                <c:pt idx="8">
                  <c:v>38165.729834313388</c:v>
                </c:pt>
                <c:pt idx="9">
                  <c:v>53922.252765772922</c:v>
                </c:pt>
                <c:pt idx="10">
                  <c:v>71739.451251517632</c:v>
                </c:pt>
                <c:pt idx="11">
                  <c:v>89196.162707906507</c:v>
                </c:pt>
                <c:pt idx="12">
                  <c:v>103704.37577907242</c:v>
                </c:pt>
                <c:pt idx="13">
                  <c:v>113587.937927466</c:v>
                </c:pt>
                <c:pt idx="14">
                  <c:v>118634.66887457909</c:v>
                </c:pt>
                <c:pt idx="15">
                  <c:v>119767.50346923675</c:v>
                </c:pt>
                <c:pt idx="16">
                  <c:v>118265.29592734177</c:v>
                </c:pt>
                <c:pt idx="17">
                  <c:v>115271.5972564118</c:v>
                </c:pt>
                <c:pt idx="18">
                  <c:v>111830.14128662033</c:v>
                </c:pt>
                <c:pt idx="19">
                  <c:v>109040.23247608583</c:v>
                </c:pt>
                <c:pt idx="20">
                  <c:v>107894.17629745758</c:v>
                </c:pt>
                <c:pt idx="21">
                  <c:v>108849.32738594795</c:v>
                </c:pt>
                <c:pt idx="22">
                  <c:v>111544.22356090417</c:v>
                </c:pt>
                <c:pt idx="23">
                  <c:v>114976.5011093584</c:v>
                </c:pt>
                <c:pt idx="24">
                  <c:v>118128.7627829741</c:v>
                </c:pt>
                <c:pt idx="25">
                  <c:v>120714.51504266608</c:v>
                </c:pt>
                <c:pt idx="26">
                  <c:v>123529.51375591883</c:v>
                </c:pt>
                <c:pt idx="27">
                  <c:v>127983.02814094757</c:v>
                </c:pt>
                <c:pt idx="28">
                  <c:v>134877.62317378141</c:v>
                </c:pt>
                <c:pt idx="29">
                  <c:v>143176.31498076537</c:v>
                </c:pt>
                <c:pt idx="30">
                  <c:v>149759.88982550564</c:v>
                </c:pt>
                <c:pt idx="31">
                  <c:v>150634.92787296767</c:v>
                </c:pt>
                <c:pt idx="32">
                  <c:v>142990.2705954694</c:v>
                </c:pt>
                <c:pt idx="33">
                  <c:v>126769.37765009834</c:v>
                </c:pt>
                <c:pt idx="34">
                  <c:v>104714.6496415594</c:v>
                </c:pt>
                <c:pt idx="35">
                  <c:v>80953.448852857808</c:v>
                </c:pt>
                <c:pt idx="36">
                  <c:v>59168.86132119922</c:v>
                </c:pt>
                <c:pt idx="37">
                  <c:v>41451.577328202897</c:v>
                </c:pt>
                <c:pt idx="38">
                  <c:v>28212.09765175034</c:v>
                </c:pt>
                <c:pt idx="39">
                  <c:v>18799.6934230523</c:v>
                </c:pt>
                <c:pt idx="40">
                  <c:v>12237.845932909582</c:v>
                </c:pt>
                <c:pt idx="41">
                  <c:v>7688.454307834656</c:v>
                </c:pt>
                <c:pt idx="42">
                  <c:v>4579.7860199586476</c:v>
                </c:pt>
                <c:pt idx="43">
                  <c:v>2537.5450547970286</c:v>
                </c:pt>
                <c:pt idx="44">
                  <c:v>1283.2242359762449</c:v>
                </c:pt>
                <c:pt idx="45">
                  <c:v>580.76371902600715</c:v>
                </c:pt>
                <c:pt idx="46">
                  <c:v>230.19951310588564</c:v>
                </c:pt>
                <c:pt idx="47">
                  <c:v>77.956356170659404</c:v>
                </c:pt>
                <c:pt idx="48">
                  <c:v>21.904276654501107</c:v>
                </c:pt>
                <c:pt idx="49">
                  <c:v>4.8317278680175102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7952.5489812731857</c:v>
                </c:pt>
                <c:pt idx="1">
                  <c:v>8918.0958020170492</c:v>
                </c:pt>
                <c:pt idx="2">
                  <c:v>9583.7121753919564</c:v>
                </c:pt>
                <c:pt idx="3">
                  <c:v>10137.6856148723</c:v>
                </c:pt>
                <c:pt idx="4">
                  <c:v>11365.636374665397</c:v>
                </c:pt>
                <c:pt idx="5">
                  <c:v>14334.478906962686</c:v>
                </c:pt>
                <c:pt idx="6">
                  <c:v>19922.071962548376</c:v>
                </c:pt>
                <c:pt idx="7">
                  <c:v>28497.136707496436</c:v>
                </c:pt>
                <c:pt idx="8">
                  <c:v>39862.188517502378</c:v>
                </c:pt>
                <c:pt idx="9">
                  <c:v>53367.905232752069</c:v>
                </c:pt>
                <c:pt idx="10">
                  <c:v>68036.440820035496</c:v>
                </c:pt>
                <c:pt idx="11">
                  <c:v>82616.28367710553</c:v>
                </c:pt>
                <c:pt idx="12">
                  <c:v>95644.929557201292</c:v>
                </c:pt>
                <c:pt idx="13">
                  <c:v>105664.98118688328</c:v>
                </c:pt>
                <c:pt idx="14">
                  <c:v>111630.98204802125</c:v>
                </c:pt>
                <c:pt idx="15">
                  <c:v>113338.43987707158</c:v>
                </c:pt>
                <c:pt idx="16">
                  <c:v>111599.03047807585</c:v>
                </c:pt>
                <c:pt idx="17">
                  <c:v>107993.35613137532</c:v>
                </c:pt>
                <c:pt idx="18">
                  <c:v>104280.75085513756</c:v>
                </c:pt>
                <c:pt idx="19">
                  <c:v>101756.470735711</c:v>
                </c:pt>
                <c:pt idx="20">
                  <c:v>100888.6349906712</c:v>
                </c:pt>
                <c:pt idx="21">
                  <c:v>101415.95382533276</c:v>
                </c:pt>
                <c:pt idx="22">
                  <c:v>102816.74554163827</c:v>
                </c:pt>
                <c:pt idx="23">
                  <c:v>104824.32038985932</c:v>
                </c:pt>
                <c:pt idx="24">
                  <c:v>107632.70339855949</c:v>
                </c:pt>
                <c:pt idx="25">
                  <c:v>111666.26450908883</c:v>
                </c:pt>
                <c:pt idx="26">
                  <c:v>117124.25347470392</c:v>
                </c:pt>
                <c:pt idx="27">
                  <c:v>123661.97592998562</c:v>
                </c:pt>
                <c:pt idx="28">
                  <c:v>130379.3100550395</c:v>
                </c:pt>
                <c:pt idx="29">
                  <c:v>135988.77053199668</c:v>
                </c:pt>
                <c:pt idx="30">
                  <c:v>139019.3573650906</c:v>
                </c:pt>
                <c:pt idx="31">
                  <c:v>138137.9946102284</c:v>
                </c:pt>
                <c:pt idx="32">
                  <c:v>132656.45834913341</c:v>
                </c:pt>
                <c:pt idx="33">
                  <c:v>122921.65318333617</c:v>
                </c:pt>
                <c:pt idx="34">
                  <c:v>110145.05767391644</c:v>
                </c:pt>
                <c:pt idx="35">
                  <c:v>95710.232327166799</c:v>
                </c:pt>
                <c:pt idx="36">
                  <c:v>80570.200426019146</c:v>
                </c:pt>
                <c:pt idx="37">
                  <c:v>65245.055775257541</c:v>
                </c:pt>
                <c:pt idx="38">
                  <c:v>50259.476558587281</c:v>
                </c:pt>
                <c:pt idx="39">
                  <c:v>36431.749610697254</c:v>
                </c:pt>
                <c:pt idx="40">
                  <c:v>24684.755900008935</c:v>
                </c:pt>
                <c:pt idx="41">
                  <c:v>15607.704568025249</c:v>
                </c:pt>
                <c:pt idx="42">
                  <c:v>9213.5169518384137</c:v>
                </c:pt>
                <c:pt idx="43">
                  <c:v>5062.0168795178943</c:v>
                </c:pt>
                <c:pt idx="44">
                  <c:v>2556.7981447581437</c:v>
                </c:pt>
                <c:pt idx="45">
                  <c:v>1160.5146278814107</c:v>
                </c:pt>
                <c:pt idx="46">
                  <c:v>459.20787596990181</c:v>
                </c:pt>
                <c:pt idx="47">
                  <c:v>153.02026921588779</c:v>
                </c:pt>
                <c:pt idx="48">
                  <c:v>41.30363562959112</c:v>
                </c:pt>
                <c:pt idx="49">
                  <c:v>8.4906094317696432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4.2118758157721343</c:v>
                </c:pt>
                <c:pt idx="2">
                  <c:v>11.964854599680525</c:v>
                </c:pt>
                <c:pt idx="3">
                  <c:v>28.349667833511681</c:v>
                </c:pt>
                <c:pt idx="4">
                  <c:v>61.626056565615727</c:v>
                </c:pt>
                <c:pt idx="5">
                  <c:v>124.95678716524954</c:v>
                </c:pt>
                <c:pt idx="6">
                  <c:v>238.79640381460746</c:v>
                </c:pt>
                <c:pt idx="7">
                  <c:v>433.98685656641271</c:v>
                </c:pt>
                <c:pt idx="8">
                  <c:v>751.86400614578849</c:v>
                </c:pt>
                <c:pt idx="9">
                  <c:v>1234.5857169203505</c:v>
                </c:pt>
                <c:pt idx="10">
                  <c:v>1906.594945917851</c:v>
                </c:pt>
                <c:pt idx="11">
                  <c:v>2767.0319300754336</c:v>
                </c:pt>
                <c:pt idx="12">
                  <c:v>3821.2816847476474</c:v>
                </c:pt>
                <c:pt idx="13">
                  <c:v>5150.4024097322999</c:v>
                </c:pt>
                <c:pt idx="14">
                  <c:v>6953.8890029457925</c:v>
                </c:pt>
                <c:pt idx="15">
                  <c:v>9462.8965369938742</c:v>
                </c:pt>
                <c:pt idx="16">
                  <c:v>12692.132178399366</c:v>
                </c:pt>
                <c:pt idx="17">
                  <c:v>16182.114053263607</c:v>
                </c:pt>
                <c:pt idx="18">
                  <c:v>19008.887228717143</c:v>
                </c:pt>
                <c:pt idx="19">
                  <c:v>20190.769153367415</c:v>
                </c:pt>
                <c:pt idx="20">
                  <c:v>19256.815803111182</c:v>
                </c:pt>
                <c:pt idx="21">
                  <c:v>16536.320669446111</c:v>
                </c:pt>
                <c:pt idx="22">
                  <c:v>12945.717997265619</c:v>
                </c:pt>
                <c:pt idx="23">
                  <c:v>9469.6463423414552</c:v>
                </c:pt>
                <c:pt idx="24">
                  <c:v>6724.7062579125404</c:v>
                </c:pt>
                <c:pt idx="25">
                  <c:v>4837.4662256163729</c:v>
                </c:pt>
                <c:pt idx="26">
                  <c:v>3600.459947079647</c:v>
                </c:pt>
                <c:pt idx="27">
                  <c:v>2724.2737674152131</c:v>
                </c:pt>
                <c:pt idx="28">
                  <c:v>2016.6320843655403</c:v>
                </c:pt>
                <c:pt idx="29">
                  <c:v>1421.1936513757878</c:v>
                </c:pt>
                <c:pt idx="30">
                  <c:v>956.83946270762897</c:v>
                </c:pt>
                <c:pt idx="31">
                  <c:v>642.72201434620558</c:v>
                </c:pt>
                <c:pt idx="32">
                  <c:v>462.85353539471589</c:v>
                </c:pt>
                <c:pt idx="33">
                  <c:v>371.32564010995594</c:v>
                </c:pt>
                <c:pt idx="34">
                  <c:v>315.91776831151395</c:v>
                </c:pt>
                <c:pt idx="35">
                  <c:v>260.75056107983846</c:v>
                </c:pt>
                <c:pt idx="36">
                  <c:v>195.8359718533693</c:v>
                </c:pt>
                <c:pt idx="37">
                  <c:v>130.0730407690902</c:v>
                </c:pt>
                <c:pt idx="38">
                  <c:v>76.012821528062972</c:v>
                </c:pt>
                <c:pt idx="39">
                  <c:v>39.337175625405045</c:v>
                </c:pt>
                <c:pt idx="40">
                  <c:v>18.148528665799969</c:v>
                </c:pt>
                <c:pt idx="41">
                  <c:v>7.4258433295356037</c:v>
                </c:pt>
                <c:pt idx="42">
                  <c:v>2.6288906333622588</c:v>
                </c:pt>
                <c:pt idx="43">
                  <c:v>0.7710007610219668</c:v>
                </c:pt>
                <c:pt idx="44">
                  <c:v>0.17665640853187559</c:v>
                </c:pt>
                <c:pt idx="45">
                  <c:v>2.9228861477413173E-2</c:v>
                </c:pt>
                <c:pt idx="46">
                  <c:v>3.0767222607803349E-3</c:v>
                </c:pt>
                <c:pt idx="47">
                  <c:v>1.5383611303901673E-4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52.868358307829197</c:v>
                </c:pt>
                <c:pt idx="1">
                  <c:v>139.07941593642249</c:v>
                </c:pt>
                <c:pt idx="2">
                  <c:v>201.05697489222564</c:v>
                </c:pt>
                <c:pt idx="3">
                  <c:v>238.63460733911123</c:v>
                </c:pt>
                <c:pt idx="4">
                  <c:v>277.32289256614661</c:v>
                </c:pt>
                <c:pt idx="5">
                  <c:v>351.87428173059914</c:v>
                </c:pt>
                <c:pt idx="6">
                  <c:v>494.27386776016755</c:v>
                </c:pt>
                <c:pt idx="7">
                  <c:v>737.07025133767604</c:v>
                </c:pt>
                <c:pt idx="8">
                  <c:v>1121.3184615442203</c:v>
                </c:pt>
                <c:pt idx="9">
                  <c:v>1696.4227975949532</c:v>
                </c:pt>
                <c:pt idx="10">
                  <c:v>2516.7454544438824</c:v>
                </c:pt>
                <c:pt idx="11">
                  <c:v>3645.9164395133271</c:v>
                </c:pt>
                <c:pt idx="12">
                  <c:v>5156.3113199357304</c:v>
                </c:pt>
                <c:pt idx="13">
                  <c:v>7092.1054677575939</c:v>
                </c:pt>
                <c:pt idx="14">
                  <c:v>9396.217941978126</c:v>
                </c:pt>
                <c:pt idx="15">
                  <c:v>11857.574883042525</c:v>
                </c:pt>
                <c:pt idx="16">
                  <c:v>14132.970213979444</c:v>
                </c:pt>
                <c:pt idx="17">
                  <c:v>15831.740897259735</c:v>
                </c:pt>
                <c:pt idx="18">
                  <c:v>16616.594016659976</c:v>
                </c:pt>
                <c:pt idx="19">
                  <c:v>16304.885419008677</c:v>
                </c:pt>
                <c:pt idx="20">
                  <c:v>14960.612454304111</c:v>
                </c:pt>
                <c:pt idx="21">
                  <c:v>12911.401104979921</c:v>
                </c:pt>
                <c:pt idx="22">
                  <c:v>10624.098103597215</c:v>
                </c:pt>
                <c:pt idx="23">
                  <c:v>8494.6752022777036</c:v>
                </c:pt>
                <c:pt idx="24">
                  <c:v>6710.6309668389276</c:v>
                </c:pt>
                <c:pt idx="25">
                  <c:v>5275.6063335281042</c:v>
                </c:pt>
                <c:pt idx="26">
                  <c:v>4127.0362554692429</c:v>
                </c:pt>
                <c:pt idx="27">
                  <c:v>3220.4857296297737</c:v>
                </c:pt>
                <c:pt idx="28">
                  <c:v>2533.9294769624371</c:v>
                </c:pt>
                <c:pt idx="29">
                  <c:v>2035.43690659292</c:v>
                </c:pt>
                <c:pt idx="30">
                  <c:v>1669.1297292118199</c:v>
                </c:pt>
                <c:pt idx="31">
                  <c:v>1373.3303803770614</c:v>
                </c:pt>
                <c:pt idx="32">
                  <c:v>1110.0343887776401</c:v>
                </c:pt>
                <c:pt idx="33">
                  <c:v>878.16174774783474</c:v>
                </c:pt>
                <c:pt idx="34">
                  <c:v>698.76361067457071</c:v>
                </c:pt>
                <c:pt idx="35">
                  <c:v>584.64535561869741</c:v>
                </c:pt>
                <c:pt idx="36">
                  <c:v>520.61200473380393</c:v>
                </c:pt>
                <c:pt idx="37">
                  <c:v>470.5928092331983</c:v>
                </c:pt>
                <c:pt idx="38">
                  <c:v>403.08587895892924</c:v>
                </c:pt>
                <c:pt idx="39">
                  <c:v>311.06575635338379</c:v>
                </c:pt>
                <c:pt idx="40">
                  <c:v>210.69948835852603</c:v>
                </c:pt>
                <c:pt idx="41">
                  <c:v>124.20777644061771</c:v>
                </c:pt>
                <c:pt idx="42">
                  <c:v>64.063181542609044</c:v>
                </c:pt>
                <c:pt idx="43">
                  <c:v>29.457857516457846</c:v>
                </c:pt>
                <c:pt idx="44">
                  <c:v>12.426462408526335</c:v>
                </c:pt>
                <c:pt idx="45">
                  <c:v>4.9148290049495014</c:v>
                </c:pt>
                <c:pt idx="46">
                  <c:v>1.8060201274129266</c:v>
                </c:pt>
                <c:pt idx="47">
                  <c:v>0.58938320187026172</c:v>
                </c:pt>
                <c:pt idx="48">
                  <c:v>0.16037926105422778</c:v>
                </c:pt>
                <c:pt idx="49">
                  <c:v>3.3533087107054785E-2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Relationship Id="rId3" Target="../charts/chart3.xml" Type="http://schemas.openxmlformats.org/officeDocument/2006/relationships/chart"/><Relationship Id="rId4" Target="../charts/chart4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5.xml" Type="http://schemas.openxmlformats.org/officeDocument/2006/relationships/chart"/><Relationship Id="rId2" Target="../charts/chart6.xml" Type="http://schemas.openxmlformats.org/officeDocument/2006/relationships/chart"/><Relationship Id="rId3" Target="../charts/chart7.xml" Type="http://schemas.openxmlformats.org/officeDocument/2006/relationships/chart"/><Relationship Id="rId4" Target="../charts/chart8.xml" Type="http://schemas.openxmlformats.org/officeDocument/2006/relationships/chart"/></Relationships>
</file>

<file path=xl/drawings/_rels/drawing3.xml.rels><?xml version="1.0" encoding="UTF-8" standalone="no"?><Relationships xmlns="http://schemas.openxmlformats.org/package/2006/relationships"><Relationship Id="rId1" Target="../charts/chart9.xml" Type="http://schemas.openxmlformats.org/officeDocument/2006/relationships/chart"/><Relationship Id="rId2" Target="../charts/chart10.xml" Type="http://schemas.openxmlformats.org/officeDocument/2006/relationships/chart"/><Relationship Id="rId3" Target="../charts/chart11.xml" Type="http://schemas.openxmlformats.org/officeDocument/2006/relationships/chart"/><Relationship Id="rId4" Target="../charts/chart12.xml" Type="http://schemas.openxmlformats.org/officeDocument/2006/relationships/chart"/></Relationships>
</file>

<file path=xl/drawings/_rels/drawing4.xml.rels><?xml version="1.0" encoding="UTF-8" standalone="no"?><Relationships xmlns="http://schemas.openxmlformats.org/package/2006/relationships"><Relationship Id="rId1" Target="../charts/chart13.xml" Type="http://schemas.openxmlformats.org/officeDocument/2006/relationships/chart"/></Relationships>
</file>

<file path=xl/drawings/_rels/drawing5.xml.rels><?xml version="1.0" encoding="UTF-8" standalone="no"?><Relationships xmlns="http://schemas.openxmlformats.org/package/2006/relationships"><Relationship Id="rId1" Target="../charts/chart14.xml" Type="http://schemas.openxmlformats.org/officeDocument/2006/relationships/chart"/></Relationships>
</file>

<file path=xl/drawings/_rels/drawing6.xml.rels><?xml version="1.0" encoding="UTF-8" standalone="no"?><Relationships xmlns="http://schemas.openxmlformats.org/package/2006/relationships"><Relationship Id="rId1" Target="../charts/chart15.xml" Type="http://schemas.openxmlformats.org/officeDocument/2006/relationships/chart"/></Relationships>
</file>

<file path=xl/drawings/_rels/drawing7.xml.rels><?xml version="1.0" encoding="UTF-8" standalone="no"?><Relationships xmlns="http://schemas.openxmlformats.org/package/2006/relationships"><Relationship Id="rId1" Target="../charts/chart16.xml" Type="http://schemas.openxmlformats.org/officeDocument/2006/relationships/chart"/></Relationships>
</file>

<file path=xl/drawings/_rels/drawing8.xml.rels><?xml version="1.0" encoding="UTF-8" standalone="no"?><Relationships xmlns="http://schemas.openxmlformats.org/package/2006/relationships"><Relationship Id="rId1" Target="../charts/chart17.xml" Type="http://schemas.openxmlformats.org/officeDocument/2006/relationships/chart"/></Relationships>
</file>

<file path=xl/drawings/_rels/drawing9.xml.rels><?xml version="1.0" encoding="UTF-8" standalone="no"?><Relationships xmlns="http://schemas.openxmlformats.org/package/2006/relationships"><Relationship Id="rId1" Target="../charts/chart18.xml" Type="http://schemas.openxmlformats.org/officeDocument/2006/relationships/chart"/></Relationships>
</file>

<file path=xl/drawings/_rels/drawing10.xml.rels><?xml version="1.0" encoding="UTF-8" standalone="no"?><Relationships xmlns="http://schemas.openxmlformats.org/package/2006/relationships"><Relationship Id="rId1" Target="../charts/chart19.xml" Type="http://schemas.openxmlformats.org/officeDocument/2006/relationships/chart"/></Relationships>
</file>

<file path=xl/drawings/_rels/drawing11.xml.rels><?xml version="1.0" encoding="UTF-8" standalone="no"?><Relationships xmlns="http://schemas.openxmlformats.org/package/2006/relationships"><Relationship Id="rId1" Target="../charts/chart20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5.xml" Type="http://schemas.openxmlformats.org/officeDocument/2006/relationships/drawing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/Relationships>
</file>

<file path=xl/worksheets/_rels/sheet8.xml.rels><?xml version="1.0" encoding="UTF-8" standalone="no"?><Relationships xmlns="http://schemas.openxmlformats.org/package/2006/relationships"><Relationship Id="rId1" Target="../drawings/drawing8.xml" Type="http://schemas.openxmlformats.org/officeDocument/2006/relationships/drawing"/></Relationships>
</file>

<file path=xl/worksheets/_rels/sheet9.xml.rels><?xml version="1.0" encoding="UTF-8" standalone="no"?><Relationships xmlns="http://schemas.openxmlformats.org/package/2006/relationships"><Relationship Id="rId1" Target="../drawings/drawing9.xml" Type="http://schemas.openxmlformats.org/officeDocument/2006/relationships/drawing"/></Relationships>
</file>

<file path=xl/worksheets/_rels/sheet10.xml.rels><?xml version="1.0" encoding="UTF-8" standalone="no"?><Relationships xmlns="http://schemas.openxmlformats.org/package/2006/relationships"><Relationship Id="rId1" Target="../drawings/drawing10.xml" Type="http://schemas.openxmlformats.org/officeDocument/2006/relationships/drawing"/></Relationships>
</file>

<file path=xl/worksheets/_rels/sheet11.xml.rels><?xml version="1.0" encoding="UTF-8" standalone="no"?><Relationships xmlns="http://schemas.openxmlformats.org/package/2006/relationships"><Relationship Id="rId1" Target="../drawings/drawing11.xml" Type="http://schemas.openxmlformats.org/officeDocument/2006/relationships/drawing"/></Relationships>
</file>

<file path=xl/worksheets/_rels/sheet15.xml.rels><?xml version="1.0" encoding="UTF-8" standalone="no"?><Relationships xmlns="http://schemas.openxmlformats.org/package/2006/relationships"><Relationship Id="rId1" Target="../printerSettings/printerSettings8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15"/>
  <sheetViews>
    <sheetView tabSelected="1" topLeftCell="D43" workbookViewId="0">
      <selection activeCell="AA80" sqref="AA80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2322.0</v>
      </c>
      <c r="J8" s="9" t="n">
        <v>23.0</v>
      </c>
      <c r="K8" s="9" t="n">
        <v>9432.0</v>
      </c>
      <c r="L8" s="9" t="n">
        <v>58.0</v>
      </c>
      <c r="M8">
        <f>SUM(I8:L8)</f>
        <v>9717.7428878120554</v>
      </c>
      <c r="O8" s="5"/>
      <c r="P8" s="16"/>
      <c r="Q8" s="16"/>
      <c r="R8" s="5"/>
    </row>
    <row r="9" spans="1:18" x14ac:dyDescent="0.25">
      <c r="A9" s="12">
        <v>0.125</v>
      </c>
      <c r="B9" s="6" t="n">
        <v>3793.6826660477063</v>
      </c>
      <c r="C9" s="6" t="n">
        <v>105.52976483861443</v>
      </c>
      <c r="D9" s="6" t="n">
        <v>1677.8350168269785</v>
      </c>
      <c r="E9" s="6" t="n">
        <v>4.211875815772134</v>
      </c>
      <c r="F9" s="6">
        <f ref="F9:F58" si="0" t="shared">SUM(B9:E9)</f>
        <v>5581.2593235290715</v>
      </c>
      <c r="H9" s="12">
        <v>0.125</v>
      </c>
      <c r="I9" s="9" t="n">
        <v>6367.204788208008</v>
      </c>
      <c r="J9" s="9" t="n">
        <v>102.37329196929932</v>
      </c>
      <c r="K9" s="9" t="n">
        <v>9479.49931526184</v>
      </c>
      <c r="L9" s="9" t="n">
        <v>70.07420635223389</v>
      </c>
      <c r="M9">
        <f ref="M9:M58" si="1" t="shared">SUM(I9:L9)</f>
        <v>14510.743468005132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8974.584948784635</v>
      </c>
      <c r="C10" s="6" t="n">
        <v>364.2928693830913</v>
      </c>
      <c r="D10" s="6" t="n">
        <v>3426.621816331566</v>
      </c>
      <c r="E10" s="6" t="n">
        <v>11.964854599680523</v>
      </c>
      <c r="F10" s="6">
        <f si="0" t="shared"/>
        <v>12777.464489098973</v>
      </c>
      <c r="H10" s="12">
        <v>0.14583333333333334</v>
      </c>
      <c r="I10" s="9" t="n">
        <v>11114.58551120758</v>
      </c>
      <c r="J10" s="9" t="n">
        <v>313.1688756942749</v>
      </c>
      <c r="K10" s="9" t="n">
        <v>9594.493105888367</v>
      </c>
      <c r="L10" s="9" t="n">
        <v>95.731689453125</v>
      </c>
      <c r="M10">
        <f si="1" t="shared"/>
        <v>19629.890948344426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17041.454965692043</v>
      </c>
      <c r="C11" s="6" t="n">
        <v>1185.0587792860122</v>
      </c>
      <c r="D11" s="6" t="n">
        <v>5394.283580855015</v>
      </c>
      <c r="E11" s="6" t="n">
        <v>28.34966783351167</v>
      </c>
      <c r="F11" s="6">
        <f si="0" t="shared"/>
        <v>23649.146993666582</v>
      </c>
      <c r="H11" s="12">
        <v>0.16666666666666666</v>
      </c>
      <c r="I11" s="9" t="n">
        <v>17733.823448181152</v>
      </c>
      <c r="J11" s="9" t="n">
        <v>952.9760818481445</v>
      </c>
      <c r="K11" s="9" t="n">
        <v>10101.095888137817</v>
      </c>
      <c r="L11" s="9" t="n">
        <v>146.7698392868042</v>
      </c>
      <c r="M11">
        <f si="1" t="shared"/>
        <v>26521.11172121028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29497.171009064747</v>
      </c>
      <c r="C12" s="6" t="n">
        <v>3528.407478515249</v>
      </c>
      <c r="D12" s="6" t="n">
        <v>7905.273618366984</v>
      </c>
      <c r="E12" s="6" t="n">
        <v>61.626056565615706</v>
      </c>
      <c r="F12" s="6">
        <f si="0" t="shared"/>
        <v>40992.478162512591</v>
      </c>
      <c r="H12" s="12">
        <v>0.1875</v>
      </c>
      <c r="I12" s="9" t="n">
        <v>28049.914499282837</v>
      </c>
      <c r="J12" s="9" t="n">
        <v>2661.26056098938</v>
      </c>
      <c r="K12" s="9" t="n">
        <v>11672.691738128662</v>
      </c>
      <c r="L12" s="9" t="n">
        <v>233.17204666137695</v>
      </c>
      <c r="M12">
        <f si="1" t="shared"/>
        <v>38214.611211483301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47451.613358595845</v>
      </c>
      <c r="C13" s="6" t="n">
        <v>9064.659125549944</v>
      </c>
      <c r="D13" s="6" t="n">
        <v>11555.559792405105</v>
      </c>
      <c r="E13" s="6" t="n">
        <v>124.9567871652495</v>
      </c>
      <c r="F13" s="6">
        <f si="0" t="shared"/>
        <v>68196.789063716147</v>
      </c>
      <c r="H13" s="12">
        <v>0.20833333333333334</v>
      </c>
      <c r="I13" s="9" t="n">
        <v>44158.60548210144</v>
      </c>
      <c r="J13" s="9" t="n">
        <v>6503.766703605652</v>
      </c>
      <c r="K13" s="9" t="n">
        <v>15181.299220085144</v>
      </c>
      <c r="L13" s="9" t="n">
        <v>366.5721445083618</v>
      </c>
      <c r="M13">
        <f si="1" t="shared"/>
        <v>58736.581202774643</v>
      </c>
    </row>
    <row r="14" spans="1:18" x14ac:dyDescent="0.25">
      <c r="A14" s="12">
        <v>0.22916666666666666</v>
      </c>
      <c r="B14" s="6" t="n">
        <v>71007.56561057031</v>
      </c>
      <c r="C14" s="6" t="n">
        <v>19777.75272275444</v>
      </c>
      <c r="D14" s="6" t="n">
        <v>17219.364073966583</v>
      </c>
      <c r="E14" s="6" t="n">
        <v>238.79640381460743</v>
      </c>
      <c r="F14" s="6">
        <f si="0" t="shared"/>
        <v>108243.47881110593</v>
      </c>
      <c r="H14" s="12">
        <v>0.22916666666666666</v>
      </c>
      <c r="I14" s="9" t="n">
        <v>67392.89570236206</v>
      </c>
      <c r="J14" s="9" t="n">
        <v>13747.809879302979</v>
      </c>
      <c r="K14" s="9" t="n">
        <v>21372.868056297302</v>
      </c>
      <c r="L14" s="9" t="n">
        <v>568.151725769043</v>
      </c>
      <c r="M14">
        <f si="1" t="shared"/>
        <v>91486.760274535132</v>
      </c>
    </row>
    <row r="15" spans="1:18" x14ac:dyDescent="0.25">
      <c r="A15" s="12">
        <v>0.25</v>
      </c>
      <c r="B15" s="6" t="n">
        <v>98587.1440617746</v>
      </c>
      <c r="C15" s="6" t="n">
        <v>36749.393180929255</v>
      </c>
      <c r="D15" s="6" t="n">
        <v>25869.056664747368</v>
      </c>
      <c r="E15" s="6" t="n">
        <v>433.9868565664126</v>
      </c>
      <c r="F15" s="6">
        <f si="0" t="shared"/>
        <v>161639.58076401762</v>
      </c>
      <c r="H15" s="12">
        <v>0.25</v>
      </c>
      <c r="I15" s="9" t="n">
        <v>97046.57576465607</v>
      </c>
      <c r="J15" s="9" t="n">
        <v>25184.06920814514</v>
      </c>
      <c r="K15" s="9" t="n">
        <v>30561.211177825928</v>
      </c>
      <c r="L15" s="9" t="n">
        <v>877.9446077346802</v>
      </c>
      <c r="M15">
        <f si="1" t="shared"/>
        <v>137110.50309466335</v>
      </c>
    </row>
    <row r="16" spans="1:18" x14ac:dyDescent="0.25">
      <c r="A16" s="12">
        <v>0.27083333333333331</v>
      </c>
      <c r="B16" s="6" t="n">
        <v>126522.80566556758</v>
      </c>
      <c r="C16" s="6" t="n">
        <v>58598.28193611851</v>
      </c>
      <c r="D16" s="6" t="n">
        <v>38165.72983431339</v>
      </c>
      <c r="E16" s="6" t="n">
        <v>751.8640061457884</v>
      </c>
      <c r="F16" s="6">
        <f si="0" t="shared"/>
        <v>224038.68144214526</v>
      </c>
      <c r="H16" s="12">
        <v>0.27083333333333331</v>
      </c>
      <c r="I16" s="9" t="n">
        <v>129641.00813102722</v>
      </c>
      <c r="J16" s="9" t="n">
        <v>40216.76894283295</v>
      </c>
      <c r="K16" s="9" t="n">
        <v>42514.5400724411</v>
      </c>
      <c r="L16" s="9" t="n">
        <v>1357.1850900650024</v>
      </c>
      <c r="M16">
        <f si="1" t="shared"/>
        <v>191878.43856468023</v>
      </c>
    </row>
    <row r="17" spans="1:13" x14ac:dyDescent="0.25">
      <c r="A17" s="12">
        <v>0.29166666666666669</v>
      </c>
      <c r="B17" s="6" t="n">
        <v>149467.0045952254</v>
      </c>
      <c r="C17" s="6" t="n">
        <v>80827.84433977971</v>
      </c>
      <c r="D17" s="6" t="n">
        <v>53922.25276577292</v>
      </c>
      <c r="E17" s="6" t="n">
        <v>1234.5857169203505</v>
      </c>
      <c r="F17" s="6">
        <f si="0" t="shared"/>
        <v>285451.68741769833</v>
      </c>
      <c r="H17" s="12">
        <v>0.29166666666666669</v>
      </c>
      <c r="I17" s="9" t="n">
        <v>159396.60436153412</v>
      </c>
      <c r="J17" s="9" t="n">
        <v>56361.43986225128</v>
      </c>
      <c r="K17" s="9" t="n">
        <v>56543.07338523865</v>
      </c>
      <c r="L17" s="9" t="n">
        <v>2078.8791646957397</v>
      </c>
      <c r="M17">
        <f si="1" t="shared"/>
        <v>247698.20812890946</v>
      </c>
    </row>
    <row r="18" spans="1:13" x14ac:dyDescent="0.25">
      <c r="A18" s="12">
        <v>0.3125</v>
      </c>
      <c r="B18" s="6" t="n">
        <v>162009.83894761367</v>
      </c>
      <c r="C18" s="6" t="n">
        <v>97133.93749676671</v>
      </c>
      <c r="D18" s="6" t="n">
        <v>71739.45125151763</v>
      </c>
      <c r="E18" s="6" t="n">
        <v>1906.594945917851</v>
      </c>
      <c r="F18" s="6">
        <f si="0" t="shared"/>
        <v>332789.82264181587</v>
      </c>
      <c r="H18" s="12">
        <v>0.3125</v>
      </c>
      <c r="I18" s="9" t="n">
        <v>179950.21885681152</v>
      </c>
      <c r="J18" s="9" t="n">
        <v>69775.98119163513</v>
      </c>
      <c r="K18" s="9" t="n">
        <v>71642.28721141815</v>
      </c>
      <c r="L18" s="9" t="n">
        <v>3116.7963848114014</v>
      </c>
      <c r="M18">
        <f si="1" t="shared"/>
        <v>294270.81253304245</v>
      </c>
    </row>
    <row r="19" spans="1:13" x14ac:dyDescent="0.25">
      <c r="A19" s="12">
        <v>0.33333333333333331</v>
      </c>
      <c r="B19" s="6" t="n">
        <v>161012.65311754154</v>
      </c>
      <c r="C19" s="6" t="n">
        <v>102310.23868560416</v>
      </c>
      <c r="D19" s="6" t="n">
        <v>89196.1627079065</v>
      </c>
      <c r="E19" s="6" t="n">
        <v>2767.0319300754345</v>
      </c>
      <c r="F19" s="6">
        <f si="0" t="shared"/>
        <v>355286.08644112764</v>
      </c>
      <c r="H19" s="12">
        <v>0.33333333333333331</v>
      </c>
      <c r="I19" s="9" t="n">
        <v>186645.04408359528</v>
      </c>
      <c r="J19" s="9" t="n">
        <v>76807.52083396912</v>
      </c>
      <c r="K19" s="9" t="n">
        <v>86566.8830909729</v>
      </c>
      <c r="L19" s="9" t="n">
        <v>4546.635467529297</v>
      </c>
      <c r="M19">
        <f si="1" t="shared"/>
        <v>322709.43122393254</v>
      </c>
    </row>
    <row r="20" spans="1:13" x14ac:dyDescent="0.25">
      <c r="A20" s="12">
        <v>0.35416666666666669</v>
      </c>
      <c r="B20" s="6" t="n">
        <v>147226.30907580975</v>
      </c>
      <c r="C20" s="6" t="n">
        <v>94943.02140415946</v>
      </c>
      <c r="D20" s="6" t="n">
        <v>103704.3757790724</v>
      </c>
      <c r="E20" s="6" t="n">
        <v>3821.2816847476483</v>
      </c>
      <c r="F20" s="6">
        <f si="0" t="shared"/>
        <v>349694.98794378928</v>
      </c>
      <c r="H20" s="12">
        <v>0.35416666666666669</v>
      </c>
      <c r="I20" s="9" t="n">
        <v>178344.2094926834</v>
      </c>
      <c r="J20" s="9" t="n">
        <v>75707.74384689331</v>
      </c>
      <c r="K20" s="9" t="n">
        <v>99878.97525215149</v>
      </c>
      <c r="L20" s="9" t="n">
        <v>6445.773817062378</v>
      </c>
      <c r="M20">
        <f si="1" t="shared"/>
        <v>328902.73603854503</v>
      </c>
    </row>
    <row r="21" spans="1:13" x14ac:dyDescent="0.25">
      <c r="A21" s="12">
        <v>0.375</v>
      </c>
      <c r="B21" s="6" t="n">
        <v>124948.25275344233</v>
      </c>
      <c r="C21" s="6" t="n">
        <v>78053.76492307658</v>
      </c>
      <c r="D21" s="6" t="n">
        <v>113587.937927466</v>
      </c>
      <c r="E21" s="6" t="n">
        <v>5150.402409732301</v>
      </c>
      <c r="F21" s="6">
        <f si="0" t="shared"/>
        <v>321740.35801371717</v>
      </c>
      <c r="H21" s="12">
        <v>0.375</v>
      </c>
      <c r="I21" s="9" t="n">
        <v>157884.78616428375</v>
      </c>
      <c r="J21" s="9" t="n">
        <v>67409.61336898804</v>
      </c>
      <c r="K21" s="9" t="n">
        <v>110131.21452999115</v>
      </c>
      <c r="L21" s="9" t="n">
        <v>8854.276915550232</v>
      </c>
      <c r="M21">
        <f si="1" t="shared"/>
        <v>314851.82610130822</v>
      </c>
    </row>
    <row r="22" spans="1:13" x14ac:dyDescent="0.25">
      <c r="A22" s="12">
        <v>0.39583333333333331</v>
      </c>
      <c r="B22" s="6" t="n">
        <v>99908.36168226504</v>
      </c>
      <c r="C22" s="6" t="n">
        <v>57331.4867808812</v>
      </c>
      <c r="D22" s="6" t="n">
        <v>118634.66887457907</v>
      </c>
      <c r="E22" s="6" t="n">
        <v>6953.889002945793</v>
      </c>
      <c r="F22" s="6">
        <f si="0" t="shared"/>
        <v>282828.40634067112</v>
      </c>
      <c r="H22" s="12">
        <v>0.39583333333333331</v>
      </c>
      <c r="I22" s="9" t="n">
        <v>130919.87083721161</v>
      </c>
      <c r="J22" s="9" t="n">
        <v>54882.99037075043</v>
      </c>
      <c r="K22" s="9" t="n">
        <v>116257.41143512726</v>
      </c>
      <c r="L22" s="9" t="n">
        <v>11694.471950531006</v>
      </c>
      <c r="M22">
        <f si="1" t="shared"/>
        <v>287326.77463942056</v>
      </c>
    </row>
    <row r="23" spans="1:13" x14ac:dyDescent="0.25">
      <c r="A23" s="12">
        <v>0.41666666666666669</v>
      </c>
      <c r="B23" s="6" t="n">
        <v>76888.16577448336</v>
      </c>
      <c r="C23" s="6" t="n">
        <v>38277.557873405574</v>
      </c>
      <c r="D23" s="6" t="n">
        <v>119767.50346923676</v>
      </c>
      <c r="E23" s="6" t="n">
        <v>9462.896536993876</v>
      </c>
      <c r="F23" s="6">
        <f si="0" t="shared"/>
        <v>244396.12365411958</v>
      </c>
      <c r="H23" s="12">
        <v>0.41666666666666669</v>
      </c>
      <c r="I23" s="9" t="n">
        <v>103692.61131000519</v>
      </c>
      <c r="J23" s="9" t="n">
        <v>41588.745882987976</v>
      </c>
      <c r="K23" s="9" t="n">
        <v>118016.41155433655</v>
      </c>
      <c r="L23" s="9" t="n">
        <v>14711.610816955566</v>
      </c>
      <c r="M23">
        <f si="1" t="shared"/>
        <v>254746.11796006066</v>
      </c>
    </row>
    <row r="24" spans="1:13" x14ac:dyDescent="0.25">
      <c r="A24" s="12">
        <v>0.4375</v>
      </c>
      <c r="B24" s="6" t="n">
        <v>58488.48221658657</v>
      </c>
      <c r="C24" s="6" t="n">
        <v>24096.65269645374</v>
      </c>
      <c r="D24" s="6" t="n">
        <v>118265.29592734177</v>
      </c>
      <c r="E24" s="6" t="n">
        <v>12692.13217839937</v>
      </c>
      <c r="F24" s="6">
        <f si="0" t="shared"/>
        <v>213542.56301878142</v>
      </c>
      <c r="H24" s="12">
        <v>0.4375</v>
      </c>
      <c r="I24" s="9" t="n">
        <v>80828.50350379944</v>
      </c>
      <c r="J24" s="9" t="n">
        <v>30070.06423187256</v>
      </c>
      <c r="K24" s="9" t="n">
        <v>116196.57213783264</v>
      </c>
      <c r="L24" s="9" t="n">
        <v>17497.634306907654</v>
      </c>
      <c r="M24">
        <f si="1" t="shared"/>
        <v>224061.08333404752</v>
      </c>
    </row>
    <row r="25" spans="1:13" x14ac:dyDescent="0.25">
      <c r="A25" s="12">
        <v>0.45833333333333331</v>
      </c>
      <c r="B25" s="6" t="n">
        <v>45272.23303134352</v>
      </c>
      <c r="C25" s="6" t="n">
        <v>15295.438880675942</v>
      </c>
      <c r="D25" s="6" t="n">
        <v>115271.5972564118</v>
      </c>
      <c r="E25" s="6" t="n">
        <v>16182.114053263611</v>
      </c>
      <c r="F25" s="6">
        <f si="0" t="shared"/>
        <v>192021.38322169488</v>
      </c>
      <c r="H25" s="12">
        <v>0.45833333333333331</v>
      </c>
      <c r="I25" s="9" t="n">
        <v>64182.703256607056</v>
      </c>
      <c r="J25" s="9" t="n">
        <v>21397.479187965393</v>
      </c>
      <c r="K25" s="9" t="n">
        <v>112388.99325370789</v>
      </c>
      <c r="L25" s="9" t="n">
        <v>19585.926664352417</v>
      </c>
      <c r="M25">
        <f si="1" t="shared"/>
        <v>199079.2884910384</v>
      </c>
    </row>
    <row r="26" spans="1:13" x14ac:dyDescent="0.25">
      <c r="A26" s="12">
        <v>0.47916666666666669</v>
      </c>
      <c r="B26" s="6" t="n">
        <v>36559.20718336494</v>
      </c>
      <c r="C26" s="6" t="n">
        <v>10630.125770801415</v>
      </c>
      <c r="D26" s="6" t="n">
        <v>111830.14128662035</v>
      </c>
      <c r="E26" s="6" t="n">
        <v>19008.887228717147</v>
      </c>
      <c r="F26" s="6">
        <f si="0" t="shared"/>
        <v>178028.36146950384</v>
      </c>
      <c r="H26" s="12">
        <v>0.47916666666666669</v>
      </c>
      <c r="I26" s="9" t="n">
        <v>53125.38563632965</v>
      </c>
      <c r="J26" s="9" t="n">
        <v>15453.829832077026</v>
      </c>
      <c r="K26" s="9" t="n">
        <v>108401.67986679077</v>
      </c>
      <c r="L26" s="9" t="n">
        <v>20567.58087539673</v>
      </c>
      <c r="M26">
        <f si="1" t="shared"/>
        <v>180548.13992983403</v>
      </c>
    </row>
    <row r="27" spans="1:13" x14ac:dyDescent="0.25">
      <c r="A27" s="12">
        <v>0.5</v>
      </c>
      <c r="B27" s="6" t="n">
        <v>31157.709197137636</v>
      </c>
      <c r="C27" s="6" t="n">
        <v>8375.404834894885</v>
      </c>
      <c r="D27" s="6" t="n">
        <v>109040.23247608582</v>
      </c>
      <c r="E27" s="6" t="n">
        <v>20190.769153367422</v>
      </c>
      <c r="F27" s="6">
        <f si="0" t="shared"/>
        <v>168764.11566148576</v>
      </c>
      <c r="H27" s="12">
        <v>0.5</v>
      </c>
      <c r="I27" s="9" t="n">
        <v>45801.753702163696</v>
      </c>
      <c r="J27" s="9" t="n">
        <v>11571.629984855652</v>
      </c>
      <c r="K27" s="9" t="n">
        <v>105607.89873504639</v>
      </c>
      <c r="L27" s="9" t="n">
        <v>20215.578466415405</v>
      </c>
      <c r="M27">
        <f si="1" t="shared"/>
        <v>167347.72088551839</v>
      </c>
    </row>
    <row r="28" spans="1:13" x14ac:dyDescent="0.25">
      <c r="A28" s="12">
        <v>0.52083333333333337</v>
      </c>
      <c r="B28" s="6" t="n">
        <v>27829.412366755132</v>
      </c>
      <c r="C28" s="6" t="n">
        <v>7156.7603748587135</v>
      </c>
      <c r="D28" s="6" t="n">
        <v>107894.17629745758</v>
      </c>
      <c r="E28" s="6" t="n">
        <v>19256.81580311119</v>
      </c>
      <c r="F28" s="6">
        <f si="0" t="shared"/>
        <v>162137.1648421826</v>
      </c>
      <c r="H28" s="12">
        <v>0.52083333333333337</v>
      </c>
      <c r="I28" s="9" t="n">
        <v>40448.27303695679</v>
      </c>
      <c r="J28" s="9" t="n">
        <v>9056.984829902649</v>
      </c>
      <c r="K28" s="9" t="n">
        <v>104560.72671699524</v>
      </c>
      <c r="L28" s="9" t="n">
        <v>18602.62579727173</v>
      </c>
      <c r="M28">
        <f si="1" t="shared"/>
        <v>157849.63887462366</v>
      </c>
    </row>
    <row r="29" spans="1:13" x14ac:dyDescent="0.25">
      <c r="A29" s="12">
        <v>0.54166666666666663</v>
      </c>
      <c r="B29" s="6" t="n">
        <v>25569.334779206438</v>
      </c>
      <c r="C29" s="6" t="n">
        <v>6215.06451511037</v>
      </c>
      <c r="D29" s="6" t="n">
        <v>108849.32738594798</v>
      </c>
      <c r="E29" s="6" t="n">
        <v>16536.320669446115</v>
      </c>
      <c r="F29" s="6">
        <f si="0" t="shared"/>
        <v>157170.04734971089</v>
      </c>
      <c r="H29" s="12">
        <v>0.54166666666666663</v>
      </c>
      <c r="I29" s="9" t="n">
        <v>36059.80116271973</v>
      </c>
      <c r="J29" s="9" t="n">
        <v>7420.29621887207</v>
      </c>
      <c r="K29" s="9" t="n">
        <v>105057.7789812088</v>
      </c>
      <c r="L29" s="9" t="n">
        <v>16125.255583763123</v>
      </c>
      <c r="M29">
        <f si="1" t="shared"/>
        <v>150797.32115151017</v>
      </c>
    </row>
    <row r="30" spans="1:13" x14ac:dyDescent="0.25">
      <c r="A30" s="12">
        <v>0.5625</v>
      </c>
      <c r="B30" s="6" t="n">
        <v>23731.14625406006</v>
      </c>
      <c r="C30" s="6" t="n">
        <v>5319.076341413452</v>
      </c>
      <c r="D30" s="6" t="n">
        <v>111544.2235609042</v>
      </c>
      <c r="E30" s="6" t="n">
        <v>12945.717997265625</v>
      </c>
      <c r="F30" s="6">
        <f si="0" t="shared"/>
        <v>153540.16415364333</v>
      </c>
      <c r="H30" s="12">
        <v>0.5625</v>
      </c>
      <c r="I30" s="9" t="n">
        <v>32316.24792289734</v>
      </c>
      <c r="J30" s="9" t="n">
        <v>6376.34041595459</v>
      </c>
      <c r="K30" s="9" t="n">
        <v>106585.34724617004</v>
      </c>
      <c r="L30" s="9" t="n">
        <v>13350.516388893127</v>
      </c>
      <c r="M30">
        <f si="1" t="shared"/>
        <v>145569.98214601004</v>
      </c>
    </row>
    <row r="31" spans="1:13" x14ac:dyDescent="0.25">
      <c r="A31" s="12">
        <v>0.58333333333333337</v>
      </c>
      <c r="B31" s="6" t="n">
        <v>21983.08739257719</v>
      </c>
      <c r="C31" s="6" t="n">
        <v>4535.380213414948</v>
      </c>
      <c r="D31" s="6" t="n">
        <v>114976.5011093584</v>
      </c>
      <c r="E31" s="6" t="n">
        <v>9469.646342341457</v>
      </c>
      <c r="F31" s="6">
        <f si="0" t="shared"/>
        <v>150964.61505769202</v>
      </c>
      <c r="H31" s="12">
        <v>0.58333333333333337</v>
      </c>
      <c r="I31" s="9" t="n">
        <v>29163.84340763092</v>
      </c>
      <c r="J31" s="9" t="n">
        <v>5756.249262809753</v>
      </c>
      <c r="K31" s="9" t="n">
        <v>108840.51119232178</v>
      </c>
      <c r="L31" s="9" t="n">
        <v>10757.7741689682</v>
      </c>
      <c r="M31">
        <f si="1" t="shared"/>
        <v>142053.30844998406</v>
      </c>
    </row>
    <row r="32" spans="1:13" x14ac:dyDescent="0.25">
      <c r="A32" s="12">
        <v>0.60416666666666663</v>
      </c>
      <c r="B32" s="6" t="n">
        <v>20177.972583596616</v>
      </c>
      <c r="C32" s="6" t="n">
        <v>3986.4020554690733</v>
      </c>
      <c r="D32" s="6" t="n">
        <v>118128.7627829741</v>
      </c>
      <c r="E32" s="6" t="n">
        <v>6724.706257912542</v>
      </c>
      <c r="F32" s="6">
        <f si="0" t="shared"/>
        <v>149017.84367995232</v>
      </c>
      <c r="H32" s="12">
        <v>0.60416666666666663</v>
      </c>
      <c r="I32" s="9" t="n">
        <v>26498.991971969604</v>
      </c>
      <c r="J32" s="9" t="n">
        <v>5436.648391723633</v>
      </c>
      <c r="K32" s="9" t="n">
        <v>111977.16399669647</v>
      </c>
      <c r="L32" s="9" t="n">
        <v>8572.59682559967</v>
      </c>
      <c r="M32">
        <f si="1" t="shared"/>
        <v>140391.65335137089</v>
      </c>
    </row>
    <row r="33" spans="1:13" x14ac:dyDescent="0.25">
      <c r="A33" s="12">
        <v>0.625</v>
      </c>
      <c r="B33" s="6" t="n">
        <v>18265.530727863777</v>
      </c>
      <c r="C33" s="6" t="n">
        <v>3701.742824797556</v>
      </c>
      <c r="D33" s="6" t="n">
        <v>120714.51504266608</v>
      </c>
      <c r="E33" s="6" t="n">
        <v>4837.466225616373</v>
      </c>
      <c r="F33" s="6">
        <f si="0" t="shared"/>
        <v>147519.25482094378</v>
      </c>
      <c r="H33" s="12">
        <v>0.625</v>
      </c>
      <c r="I33" s="9" t="n">
        <v>24127.119114875793</v>
      </c>
      <c r="J33" s="9" t="n">
        <v>5319.302061080933</v>
      </c>
      <c r="K33" s="9" t="n">
        <v>116421.67464447021</v>
      </c>
      <c r="L33" s="9" t="n">
        <v>6799.6748905181885</v>
      </c>
      <c r="M33">
        <f si="1" t="shared"/>
        <v>140741.83828496034</v>
      </c>
    </row>
    <row r="34" spans="1:13" x14ac:dyDescent="0.25">
      <c r="A34" s="12">
        <v>0.64583333333333337</v>
      </c>
      <c r="B34" s="6" t="n">
        <v>16266.817085780338</v>
      </c>
      <c r="C34" s="6" t="n">
        <v>3610.5872139474686</v>
      </c>
      <c r="D34" s="6" t="n">
        <v>123529.51375591886</v>
      </c>
      <c r="E34" s="6" t="n">
        <v>3600.4599470796466</v>
      </c>
      <c r="F34" s="6">
        <f si="0" t="shared"/>
        <v>147007.37800272633</v>
      </c>
      <c r="H34" s="12">
        <v>0.64583333333333337</v>
      </c>
      <c r="I34" s="9" t="n">
        <v>21881.33284664154</v>
      </c>
      <c r="J34" s="9" t="n">
        <v>5340.239779472351</v>
      </c>
      <c r="K34" s="9" t="n">
        <v>122432.43413925171</v>
      </c>
      <c r="L34" s="9" t="n">
        <v>5366.17947101593</v>
      </c>
      <c r="M34">
        <f si="1" t="shared"/>
        <v>143041.4605561858</v>
      </c>
    </row>
    <row r="35" spans="1:13" x14ac:dyDescent="0.25">
      <c r="A35" s="12">
        <v>0.66666666666666663</v>
      </c>
      <c r="B35" s="6" t="n">
        <v>14241.445914698215</v>
      </c>
      <c r="C35" s="6" t="n">
        <v>3613.879892565194</v>
      </c>
      <c r="D35" s="6" t="n">
        <v>127983.02814094759</v>
      </c>
      <c r="E35" s="6" t="n">
        <v>2724.2737674152136</v>
      </c>
      <c r="F35" s="6">
        <f si="0" t="shared"/>
        <v>148562.62771562621</v>
      </c>
      <c r="H35" s="12">
        <v>0.66666666666666663</v>
      </c>
      <c r="I35" s="9" t="n">
        <v>19705.868173599243</v>
      </c>
      <c r="J35" s="9" t="n">
        <v>5469.536847114563</v>
      </c>
      <c r="K35" s="9" t="n">
        <v>129748.49503612518</v>
      </c>
      <c r="L35" s="9" t="n">
        <v>4222.008415222168</v>
      </c>
      <c r="M35">
        <f si="1" t="shared"/>
        <v>146833.39580465405</v>
      </c>
    </row>
    <row r="36" spans="1:13" x14ac:dyDescent="0.25">
      <c r="A36" s="12">
        <v>0.6875</v>
      </c>
      <c r="B36" s="6" t="n">
        <v>12233.614387188294</v>
      </c>
      <c r="C36" s="6" t="n">
        <v>3631.137864426072</v>
      </c>
      <c r="D36" s="6" t="n">
        <v>134877.6231737814</v>
      </c>
      <c r="E36" s="6" t="n">
        <v>2016.6320843655408</v>
      </c>
      <c r="F36" s="6">
        <f si="0" t="shared"/>
        <v>152759.00750976132</v>
      </c>
      <c r="H36" s="12">
        <v>0.6875</v>
      </c>
      <c r="I36" s="9" t="n">
        <v>17621.811265945435</v>
      </c>
      <c r="J36" s="9" t="n">
        <v>5681.0145654678345</v>
      </c>
      <c r="K36" s="9" t="n">
        <v>137512.71336650848</v>
      </c>
      <c r="L36" s="9" t="n">
        <v>3343.275284767151</v>
      </c>
      <c r="M36">
        <f si="1" t="shared"/>
        <v>151197.48185742003</v>
      </c>
    </row>
    <row r="37" spans="1:13" x14ac:dyDescent="0.25">
      <c r="A37" s="12">
        <v>0.70833333333333337</v>
      </c>
      <c r="B37" s="6" t="n">
        <v>10256.673423279772</v>
      </c>
      <c r="C37" s="6" t="n">
        <v>3590.6313454381043</v>
      </c>
      <c r="D37" s="6" t="n">
        <v>143176.31498076537</v>
      </c>
      <c r="E37" s="6" t="n">
        <v>1421.1936513757878</v>
      </c>
      <c r="F37" s="6">
        <f si="0" t="shared"/>
        <v>158444.81340085904</v>
      </c>
      <c r="H37" s="12">
        <v>0.70833333333333337</v>
      </c>
      <c r="I37" s="9" t="n">
        <v>15636.33423614502</v>
      </c>
      <c r="J37" s="9" t="n">
        <v>5908.811785697937</v>
      </c>
      <c r="K37" s="9" t="n">
        <v>144376.74171733856</v>
      </c>
      <c r="L37" s="9" t="n">
        <v>2692.884141921997</v>
      </c>
      <c r="M37">
        <f si="1" t="shared"/>
        <v>154776.3645870843</v>
      </c>
    </row>
    <row r="38" spans="1:13" x14ac:dyDescent="0.25">
      <c r="A38" s="12">
        <v>0.72916666666666663</v>
      </c>
      <c r="B38" s="6" t="n">
        <v>8334.35084118247</v>
      </c>
      <c r="C38" s="6" t="n">
        <v>3416.9094614557043</v>
      </c>
      <c r="D38" s="6" t="n">
        <v>149759.88982550564</v>
      </c>
      <c r="E38" s="6" t="n">
        <v>956.8394627076291</v>
      </c>
      <c r="F38" s="6">
        <f si="0" t="shared"/>
        <v>162467.98959085144</v>
      </c>
      <c r="H38" s="12">
        <v>0.72916666666666663</v>
      </c>
      <c r="I38" s="9" t="n">
        <v>13700.305975914001</v>
      </c>
      <c r="J38" s="9" t="n">
        <v>6034.465353965759</v>
      </c>
      <c r="K38" s="9" t="n">
        <v>148683.68494415283</v>
      </c>
      <c r="L38" s="9" t="n">
        <v>2203.7656087875366</v>
      </c>
      <c r="M38">
        <f si="1" t="shared"/>
        <v>155920.86731138031</v>
      </c>
    </row>
    <row r="39" spans="1:13" x14ac:dyDescent="0.25">
      <c r="A39" s="12">
        <v>0.75</v>
      </c>
      <c r="B39" s="6" t="n">
        <v>6536.26815480986</v>
      </c>
      <c r="C39" s="6" t="n">
        <v>3058.621519079962</v>
      </c>
      <c r="D39" s="6" t="n">
        <v>150634.92787296767</v>
      </c>
      <c r="E39" s="6" t="n">
        <v>642.7220143462056</v>
      </c>
      <c r="F39" s="6">
        <f si="0" t="shared"/>
        <v>160872.53956120371</v>
      </c>
      <c r="H39" s="12">
        <v>0.75</v>
      </c>
      <c r="I39" s="9" t="n">
        <v>11753.655468940735</v>
      </c>
      <c r="J39" s="9" t="n">
        <v>5933.38308429718</v>
      </c>
      <c r="K39" s="9" t="n">
        <v>148837.51365184784</v>
      </c>
      <c r="L39" s="9" t="n">
        <v>1801.553734779358</v>
      </c>
      <c r="M39">
        <f si="1" t="shared"/>
        <v>153096.29937787043</v>
      </c>
    </row>
    <row r="40" spans="1:13" x14ac:dyDescent="0.25">
      <c r="A40" s="12">
        <v>0.77083333333333337</v>
      </c>
      <c r="B40" s="6" t="n">
        <v>4957.444691565477</v>
      </c>
      <c r="C40" s="6" t="n">
        <v>2529.6426329157125</v>
      </c>
      <c r="D40" s="6" t="n">
        <v>142990.2705954694</v>
      </c>
      <c r="E40" s="6" t="n">
        <v>462.85353539471595</v>
      </c>
      <c r="F40" s="6">
        <f si="0" t="shared"/>
        <v>150940.2114553453</v>
      </c>
      <c r="H40" s="12">
        <v>0.77083333333333337</v>
      </c>
      <c r="I40" s="9" t="n">
        <v>9804.800507545471</v>
      </c>
      <c r="J40" s="9" t="n">
        <v>5554.401907920837</v>
      </c>
      <c r="K40" s="9" t="n">
        <v>143915.39684581757</v>
      </c>
      <c r="L40" s="9" t="n">
        <v>1441.7403583526611</v>
      </c>
      <c r="M40">
        <f si="1" t="shared"/>
        <v>145535.41161974875</v>
      </c>
    </row>
    <row r="41" spans="1:13" x14ac:dyDescent="0.25">
      <c r="A41" s="12">
        <v>0.79166666666666663</v>
      </c>
      <c r="B41" s="6" t="n">
        <v>3669.4019946956896</v>
      </c>
      <c r="C41" s="6" t="n">
        <v>1913.154733977184</v>
      </c>
      <c r="D41" s="6" t="n">
        <v>126769.37765009832</v>
      </c>
      <c r="E41" s="6" t="n">
        <v>371.325640109956</v>
      </c>
      <c r="F41" s="6">
        <f si="0" t="shared"/>
        <v>132723.26001888115</v>
      </c>
      <c r="H41" s="12">
        <v>0.79166666666666663</v>
      </c>
      <c r="I41" s="9" t="n">
        <v>7957.508296966553</v>
      </c>
      <c r="J41" s="9" t="n">
        <v>4961.153435707092</v>
      </c>
      <c r="K41" s="9" t="n">
        <v>134156.5128030777</v>
      </c>
      <c r="L41" s="9" t="n">
        <v>1126.535457611084</v>
      </c>
      <c r="M41">
        <f si="1" t="shared"/>
        <v>133694.40697606985</v>
      </c>
    </row>
    <row r="42" spans="1:13" x14ac:dyDescent="0.25">
      <c r="A42" s="12">
        <v>0.8125</v>
      </c>
      <c r="B42" s="6" t="n">
        <v>2697.1603530170505</v>
      </c>
      <c r="C42" s="6" t="n">
        <v>1321.397675833169</v>
      </c>
      <c r="D42" s="6" t="n">
        <v>104714.64964155942</v>
      </c>
      <c r="E42" s="6" t="n">
        <v>315.917768311514</v>
      </c>
      <c r="F42" s="6">
        <f si="0" t="shared"/>
        <v>109049.12543872115</v>
      </c>
      <c r="H42" s="12">
        <v>0.8125</v>
      </c>
      <c r="I42" s="9" t="n">
        <v>6351.662938117981</v>
      </c>
      <c r="J42" s="9" t="n">
        <v>4287.915919303894</v>
      </c>
      <c r="K42" s="9" t="n">
        <v>120810.70019435883</v>
      </c>
      <c r="L42" s="9" t="n">
        <v>885.3092365264893</v>
      </c>
      <c r="M42">
        <f si="1" t="shared"/>
        <v>118996.36265140957</v>
      </c>
    </row>
    <row r="43" spans="1:13" x14ac:dyDescent="0.25">
      <c r="A43" s="12">
        <v>0.83333333333333337</v>
      </c>
      <c r="B43" s="6" t="n">
        <v>2028.1761053414418</v>
      </c>
      <c r="C43" s="6" t="n">
        <v>846.8071857531272</v>
      </c>
      <c r="D43" s="6" t="n">
        <v>80953.44885285782</v>
      </c>
      <c r="E43" s="6" t="n">
        <v>260.75056107983846</v>
      </c>
      <c r="F43" s="6">
        <f si="0" t="shared"/>
        <v>84089.182705032232</v>
      </c>
      <c r="H43" s="12">
        <v>0.83333333333333337</v>
      </c>
      <c r="I43" s="9" t="n">
        <v>5069.218317985535</v>
      </c>
      <c r="J43" s="9" t="n">
        <v>3644.1381616592407</v>
      </c>
      <c r="K43" s="9" t="n">
        <v>105381.45578479767</v>
      </c>
      <c r="L43" s="9" t="n">
        <v>734.6393346786499</v>
      </c>
      <c r="M43">
        <f si="1" t="shared"/>
        <v>102972.09024026799</v>
      </c>
    </row>
    <row r="44" spans="1:13" x14ac:dyDescent="0.25">
      <c r="A44" s="12">
        <v>0.85416666666666663</v>
      </c>
      <c r="B44" s="6" t="n">
        <v>1619.2693544649696</v>
      </c>
      <c r="C44" s="6" t="n">
        <v>539.8066467395571</v>
      </c>
      <c r="D44" s="6" t="n">
        <v>59168.86132119923</v>
      </c>
      <c r="E44" s="6" t="n">
        <v>195.83597185336924</v>
      </c>
      <c r="F44" s="6">
        <f si="0" t="shared"/>
        <v>61523.773294257124</v>
      </c>
      <c r="H44" s="12">
        <v>0.85416666666666663</v>
      </c>
      <c r="I44" s="9" t="n">
        <v>4087.9382581710815</v>
      </c>
      <c r="J44" s="9" t="n">
        <v>3053.944381713867</v>
      </c>
      <c r="K44" s="9" t="n">
        <v>88948.44612884521</v>
      </c>
      <c r="L44" s="9" t="n">
        <v>652.9547519683838</v>
      </c>
      <c r="M44">
        <f si="1" t="shared"/>
        <v>86558.66422945635</v>
      </c>
    </row>
    <row r="45" spans="1:13" x14ac:dyDescent="0.25">
      <c r="A45" s="12">
        <v>0.875</v>
      </c>
      <c r="B45" s="6" t="n">
        <v>1390.4091351974598</v>
      </c>
      <c r="C45" s="6" t="n">
        <v>419.34506765678407</v>
      </c>
      <c r="D45" s="6" t="n">
        <v>41451.57732820289</v>
      </c>
      <c r="E45" s="6" t="n">
        <v>130.0730407690902</v>
      </c>
      <c r="F45" s="6">
        <f si="0" t="shared"/>
        <v>43391.404571826228</v>
      </c>
      <c r="H45" s="12">
        <v>0.875</v>
      </c>
      <c r="I45" s="9" t="n">
        <v>3314.7849712371826</v>
      </c>
      <c r="J45" s="9" t="n">
        <v>2479.1069946289062</v>
      </c>
      <c r="K45" s="9" t="n">
        <v>72146.80195903778</v>
      </c>
      <c r="L45" s="9" t="n">
        <v>591.1808748245239</v>
      </c>
      <c r="M45">
        <f si="1" t="shared"/>
        <v>70143.662727851886</v>
      </c>
    </row>
    <row r="46" spans="1:13" x14ac:dyDescent="0.25">
      <c r="A46" s="12">
        <v>0.89583333333333337</v>
      </c>
      <c r="B46" s="6" t="n">
        <v>1233.8945634464162</v>
      </c>
      <c r="C46" s="6" t="n">
        <v>491.48705116949566</v>
      </c>
      <c r="D46" s="6" t="n">
        <v>28212.09765175034</v>
      </c>
      <c r="E46" s="6" t="n">
        <v>76.01282152806299</v>
      </c>
      <c r="F46" s="6">
        <f si="0" t="shared"/>
        <v>30013.492087894316</v>
      </c>
      <c r="H46" s="12">
        <v>0.89583333333333337</v>
      </c>
      <c r="I46" s="9" t="n">
        <v>2656.974052429199</v>
      </c>
      <c r="J46" s="9" t="n">
        <v>1890.128186225891</v>
      </c>
      <c r="K46" s="9" t="n">
        <v>55629.819294929504</v>
      </c>
      <c r="L46" s="9" t="n">
        <v>507.1201705932617</v>
      </c>
      <c r="M46">
        <f si="1" t="shared"/>
        <v>54131.556768857256</v>
      </c>
    </row>
    <row r="47" spans="1:13" x14ac:dyDescent="0.25">
      <c r="A47" s="12">
        <v>0.91666666666666663</v>
      </c>
      <c r="B47" s="6" t="n">
        <v>1056.5086630603187</v>
      </c>
      <c r="C47" s="6" t="n">
        <v>741.7386878230287</v>
      </c>
      <c r="D47" s="6" t="n">
        <v>18799.693423052304</v>
      </c>
      <c r="E47" s="6" t="n">
        <v>39.33717562540505</v>
      </c>
      <c r="F47" s="6">
        <f si="0" t="shared"/>
        <v>20637.277949561056</v>
      </c>
      <c r="H47" s="12">
        <v>0.91666666666666663</v>
      </c>
      <c r="I47" s="9" t="n">
        <v>2067.629159927368</v>
      </c>
      <c r="J47" s="9" t="n">
        <v>1311.9971532821655</v>
      </c>
      <c r="K47" s="9" t="n">
        <v>40363.89270114899</v>
      </c>
      <c r="L47" s="9" t="n">
        <v>391.4281873703003</v>
      </c>
      <c r="M47">
        <f si="1" t="shared"/>
        <v>39319.089249758785</v>
      </c>
    </row>
    <row r="48" spans="1:13" x14ac:dyDescent="0.25">
      <c r="A48" s="12">
        <v>0.9375</v>
      </c>
      <c r="B48" s="6" t="n">
        <v>824.448821731002</v>
      </c>
      <c r="C48" s="6" t="n">
        <v>1098.629015025161</v>
      </c>
      <c r="D48" s="6" t="n">
        <v>12237.845932909582</v>
      </c>
      <c r="E48" s="6" t="n">
        <v>18.148528665799972</v>
      </c>
      <c r="F48" s="6">
        <f si="0" t="shared"/>
        <v>14179.072298331546</v>
      </c>
      <c r="H48" s="12">
        <v>0.9375</v>
      </c>
      <c r="I48" s="9" t="n">
        <v>1542.9694995880127</v>
      </c>
      <c r="J48" s="9" t="n">
        <v>809.1812868118286</v>
      </c>
      <c r="K48" s="9" t="n">
        <v>27399.65188407898</v>
      </c>
      <c r="L48" s="9" t="n">
        <v>265.1059455871582</v>
      </c>
      <c r="M48">
        <f si="1" t="shared"/>
        <v>26690.593184964368</v>
      </c>
    </row>
    <row r="49" spans="1:13" x14ac:dyDescent="0.25">
      <c r="A49" s="12">
        <v>0.95833333333333337</v>
      </c>
      <c r="B49" s="6" t="n">
        <v>567.3587351821274</v>
      </c>
      <c r="C49" s="6" t="n">
        <v>1418.3022824947557</v>
      </c>
      <c r="D49" s="6" t="n">
        <v>7688.454307834658</v>
      </c>
      <c r="E49" s="6" t="n">
        <v>7.425843329535604</v>
      </c>
      <c r="F49" s="6">
        <f si="0" t="shared"/>
        <v>9681.5411688410768</v>
      </c>
      <c r="H49" s="12">
        <v>0.95833333333333337</v>
      </c>
      <c r="I49" s="9" t="n">
        <v>1094.80784034729</v>
      </c>
      <c r="J49" s="9" t="n">
        <v>436.386212348938</v>
      </c>
      <c r="K49" s="9" t="n">
        <v>17386.295384407043</v>
      </c>
      <c r="L49" s="9" t="n">
        <v>156.60085487365723</v>
      </c>
      <c r="M49">
        <f si="1" t="shared"/>
        <v>16905.223552819083</v>
      </c>
    </row>
    <row r="50" spans="1:13" x14ac:dyDescent="0.25">
      <c r="A50" s="12">
        <v>0.97916666666666663</v>
      </c>
      <c r="B50" s="6" t="n">
        <v>339.3117051598224</v>
      </c>
      <c r="C50" s="6" t="n">
        <v>1541.1407887394757</v>
      </c>
      <c r="D50" s="6" t="n">
        <v>4579.786019958647</v>
      </c>
      <c r="E50" s="6" t="n">
        <v>2.628890633362259</v>
      </c>
      <c r="F50" s="6">
        <f si="0" t="shared"/>
        <v>6462.8674044913068</v>
      </c>
      <c r="H50" s="12">
        <v>0.97916666666666663</v>
      </c>
      <c r="I50" s="9" t="n">
        <v>730.6949071884155</v>
      </c>
      <c r="J50" s="9" t="n">
        <v>204.40095710754395</v>
      </c>
      <c r="K50" s="9" t="n">
        <v>10322.321024894714</v>
      </c>
      <c r="L50" s="9" t="n">
        <v>81.44678688049316</v>
      </c>
      <c r="M50">
        <f si="1" t="shared"/>
        <v>9999.3606943054037</v>
      </c>
    </row>
    <row r="51" spans="1:13" x14ac:dyDescent="0.25">
      <c r="A51" s="12">
        <v>1</v>
      </c>
      <c r="B51" s="6" t="n">
        <v>175.74803168544</v>
      </c>
      <c r="C51" s="6" t="n">
        <v>1394.0566082987382</v>
      </c>
      <c r="D51" s="6" t="n">
        <v>2537.5450547970286</v>
      </c>
      <c r="E51" s="6" t="n">
        <v>0.7710007610219669</v>
      </c>
      <c r="F51" s="6">
        <f si="0" t="shared"/>
        <v>4108.1206955422294</v>
      </c>
      <c r="H51" s="12">
        <v>1</v>
      </c>
      <c r="I51" s="9" t="n">
        <v>450.86640071868896</v>
      </c>
      <c r="J51" s="9" t="n">
        <v>83.6861457824707</v>
      </c>
      <c r="K51" s="9" t="n">
        <v>5713.739534378052</v>
      </c>
      <c r="L51" s="9" t="n">
        <v>38.21482181549072</v>
      </c>
      <c r="M51">
        <f si="1" t="shared"/>
        <v>5508.2322263717651</v>
      </c>
    </row>
    <row r="52" spans="1:13" x14ac:dyDescent="0.25">
      <c r="A52" s="12">
        <v>1.0208333333333333</v>
      </c>
      <c r="B52" s="6" t="n">
        <v>79.10545669039352</v>
      </c>
      <c r="C52" s="6" t="n">
        <v>1043.2528781890896</v>
      </c>
      <c r="D52" s="6" t="n">
        <v>1283.224235976245</v>
      </c>
      <c r="E52" s="6" t="n">
        <v>0.17665640853187559</v>
      </c>
      <c r="F52" s="6">
        <f si="0" t="shared"/>
        <v>2405.7592272642601</v>
      </c>
      <c r="H52" s="12">
        <v>1.0208333333333333</v>
      </c>
      <c r="I52" s="9" t="n">
        <v>251.21520042419434</v>
      </c>
      <c r="J52" s="9" t="n">
        <v>30.7288875579834</v>
      </c>
      <c r="K52" s="9" t="n">
        <v>2909.430390357971</v>
      </c>
      <c r="L52" s="9" t="n">
        <v>16.70677375793457</v>
      </c>
      <c r="M52">
        <f si="1" t="shared"/>
        <v>2791.5455418371075</v>
      </c>
    </row>
    <row r="53" spans="1:13" x14ac:dyDescent="0.25">
      <c r="A53" s="12">
        <v>4.1666666666666664E-2</v>
      </c>
      <c r="B53" s="6" t="n">
        <v>31.149558462315294</v>
      </c>
      <c r="C53" s="6" t="n">
        <v>641.3195295528747</v>
      </c>
      <c r="D53" s="6" t="n">
        <v>580.763719026007</v>
      </c>
      <c r="E53" s="6" t="n">
        <v>0.029228861477413173</v>
      </c>
      <c r="F53" s="6">
        <f si="0" t="shared"/>
        <v>1253.2620359026744</v>
      </c>
      <c r="H53" s="12">
        <v>4.1666666666666664E-2</v>
      </c>
      <c r="I53" s="9" t="n">
        <v>123.03952598571777</v>
      </c>
      <c r="J53" s="9" t="n">
        <v>10.561751365661621</v>
      </c>
      <c r="K53" s="9" t="n">
        <v>1330.4742603302002</v>
      </c>
      <c r="L53" s="9" t="n">
        <v>6.927362442016602</v>
      </c>
      <c r="M53">
        <f si="1" t="shared"/>
        <v>1271.9704511659961</v>
      </c>
    </row>
    <row r="54" spans="1:13" x14ac:dyDescent="0.25">
      <c r="A54" s="12">
        <v>6.25E-2</v>
      </c>
      <c r="B54" s="6" t="n">
        <v>10.778182010844613</v>
      </c>
      <c r="C54" s="6" t="n">
        <v>320.47047052842254</v>
      </c>
      <c r="D54" s="6" t="n">
        <v>230.1995131058856</v>
      </c>
      <c r="E54" s="6" t="n">
        <v>0.003076722260780335</v>
      </c>
      <c r="F54" s="6">
        <f si="0" t="shared"/>
        <v>561.45124236741344</v>
      </c>
      <c r="H54" s="12">
        <v>6.25E-2</v>
      </c>
      <c r="I54" s="9" t="n">
        <v>51.50588035583496</v>
      </c>
      <c r="J54" s="9" t="n">
        <v>3.498753547668457</v>
      </c>
      <c r="K54" s="9" t="n">
        <v>529.671088218689</v>
      </c>
      <c r="L54" s="9" t="n">
        <v>2.669827461242676</v>
      </c>
      <c r="M54">
        <f si="1" t="shared"/>
        <v>505.33402545759935</v>
      </c>
    </row>
    <row r="55" spans="1:13" x14ac:dyDescent="0.25">
      <c r="A55" s="12">
        <v>8.3333333333333329E-2</v>
      </c>
      <c r="B55" s="6" t="n">
        <v>3.256358214566652</v>
      </c>
      <c r="C55" s="6" t="n">
        <v>128.13958259405604</v>
      </c>
      <c r="D55" s="6" t="n">
        <v>77.95635617065936</v>
      </c>
      <c r="E55" s="6" t="n">
        <v>1.5383611303901673E-4</v>
      </c>
      <c r="F55" s="6">
        <f si="0" t="shared"/>
        <v>209.35245081539512</v>
      </c>
      <c r="H55" s="12">
        <v>8.3333333333333329E-2</v>
      </c>
      <c r="I55" s="9" t="n">
        <v>17.89316463470459</v>
      </c>
      <c r="J55" s="9" t="n">
        <v>1.0877141952514648</v>
      </c>
      <c r="K55" s="9" t="n">
        <v>177.2974796295166</v>
      </c>
      <c r="L55" s="9" t="n">
        <v>0.9065570831298828</v>
      </c>
      <c r="M55">
        <f si="1" t="shared"/>
        <v>169.04548653915941</v>
      </c>
    </row>
    <row r="56" spans="1:13" x14ac:dyDescent="0.25">
      <c r="A56" s="12">
        <v>0.10416666666666667</v>
      </c>
      <c r="B56" s="6" t="n">
        <v>0.8372818012248946</v>
      </c>
      <c r="C56" s="6" t="n">
        <v>40.02443838854264</v>
      </c>
      <c r="D56" s="6" t="n">
        <v>21.904276654501107</v>
      </c>
      <c r="E56" s="6" t="n">
        <v>0.0</v>
      </c>
      <c r="F56" s="6">
        <f si="0" t="shared"/>
        <v>62.765996844268642</v>
      </c>
      <c r="G56" s="5"/>
      <c r="H56" s="12">
        <v>0.10416666666666667</v>
      </c>
      <c r="I56" s="9" t="n">
        <v>4.986907005310059</v>
      </c>
      <c r="J56" s="9" t="n">
        <v>0.29367828369140625</v>
      </c>
      <c r="K56" s="9" t="n">
        <v>48.004801750183105</v>
      </c>
      <c r="L56" s="9" t="n">
        <v>0.2543811798095703</v>
      </c>
      <c r="M56">
        <f si="1" t="shared"/>
        <v>45.793854979303539</v>
      </c>
    </row>
    <row r="57" spans="1:13" x14ac:dyDescent="0.25">
      <c r="A57" s="12">
        <v>0.125</v>
      </c>
      <c r="B57" s="6" t="n">
        <v>0.17168310628097538</v>
      </c>
      <c r="C57" s="6" t="n">
        <v>9.252315598922959</v>
      </c>
      <c r="D57" s="6" t="n">
        <v>4.831727868017509</v>
      </c>
      <c r="E57" s="6" t="n">
        <v>0.0</v>
      </c>
      <c r="F57" s="6">
        <f si="0" t="shared"/>
        <v>14.255726573221443</v>
      </c>
      <c r="G57" s="5"/>
      <c r="H57" s="12">
        <v>0.125</v>
      </c>
      <c r="I57" s="9" t="n">
        <v>1.051560401916504</v>
      </c>
      <c r="J57" s="9" t="n">
        <v>0.06200599670410156</v>
      </c>
      <c r="K57" s="9" t="n">
        <v>9.887192726135254</v>
      </c>
      <c r="L57" s="9" t="n">
        <v>0.05447673797607422</v>
      </c>
      <c r="M57">
        <f si="1" t="shared"/>
        <v>9.4438418110286371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25"/>
      <c r="B59" s="26">
        <f>SUM(B8:B58)</f>
        <v>1721924.3244467427</v>
      </c>
      <c r="C59" s="26">
        <f>SUM(C8:C58)</f>
        <v>804923.01075712941</v>
      </c>
      <c r="D59" s="26">
        <f>SUM(D8:D58)</f>
        <v>3380544.6356575103</v>
      </c>
      <c r="E59" s="26">
        <f>SUM(E8:E58)</f>
        <v>184040.42546646082</v>
      </c>
      <c r="F59" s="26">
        <f>SUM(F8:F58)</f>
        <v>6091432.3963278439</v>
      </c>
      <c r="G59" s="5"/>
      <c r="H59" s="25"/>
      <c r="I59" s="26">
        <f>SUM(I8:I58)</f>
        <v>1686799.3872563795</v>
      </c>
      <c r="J59" s="26">
        <f>SUM(J8:J58)</f>
        <v>759897.23375942127</v>
      </c>
      <c r="K59" s="26">
        <f>SUM(K8:K58)</f>
        <v>3372946.6236306871</v>
      </c>
      <c r="L59" s="26">
        <f>SUM(L8:L58)</f>
        <v>187222.67706940477</v>
      </c>
      <c r="M59" s="26">
        <f>SUM(M8:M58)</f>
        <v>6006865.9217158901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65" si="3" t="shared">I8/I$59</f>
        <v>9.9541975868570258E-4</v>
      </c>
      <c r="J65" s="17">
        <f si="3" t="shared"/>
        <v>4.3758692280793363E-5</v>
      </c>
      <c r="K65" s="17">
        <f si="3" t="shared"/>
        <v>2.3577452799157998E-3</v>
      </c>
      <c r="L65" s="17">
        <f si="3" t="shared"/>
        <v>2.8238223667868248E-4</v>
      </c>
      <c r="M65" s="18">
        <f si="3" t="shared"/>
        <v>1.6177725646714844E-3</v>
      </c>
    </row>
    <row r="66" spans="1:13" x14ac:dyDescent="0.25">
      <c r="A66" s="12">
        <v>0.125</v>
      </c>
      <c r="B66" s="18">
        <f ref="B66:F66" si="4" t="shared">B9/B$59</f>
        <v>2.2031645712808101E-3</v>
      </c>
      <c r="C66" s="18">
        <f si="4" t="shared"/>
        <v>1.3110541434186441E-4</v>
      </c>
      <c r="D66" s="18">
        <f si="4" t="shared"/>
        <v>4.9632091797558603E-4</v>
      </c>
      <c r="E66" s="18">
        <f si="4" t="shared"/>
        <v>2.2885601384026896E-5</v>
      </c>
      <c r="F66" s="18">
        <f si="4" t="shared"/>
        <v>9.1624743744897757E-4</v>
      </c>
      <c r="H66" s="12">
        <v>0.125</v>
      </c>
      <c r="I66" s="17">
        <f ref="I66:M66" si="5" t="shared">I9/I$59</f>
        <v>3.1391728249867829E-3</v>
      </c>
      <c r="J66" s="17">
        <f si="5" t="shared"/>
        <v>2.0846694175785313E-4</v>
      </c>
      <c r="K66" s="17">
        <f si="5" t="shared"/>
        <v>2.6440073909078004E-3</v>
      </c>
      <c r="L66" s="17">
        <f si="5" t="shared"/>
        <v>7.4285560976603655E-4</v>
      </c>
      <c r="M66" s="18">
        <f si="5" t="shared"/>
        <v>2.4156929182564588E-3</v>
      </c>
    </row>
    <row r="67" spans="1:13" x14ac:dyDescent="0.25">
      <c r="A67" s="12">
        <v>0.14583333333333334</v>
      </c>
      <c r="B67" s="18">
        <f ref="B67:F67" si="6" t="shared">B10/B$59</f>
        <v>5.2119508513640313E-3</v>
      </c>
      <c r="C67" s="18">
        <f si="6" t="shared"/>
        <v>4.5258101025143866E-4</v>
      </c>
      <c r="D67" s="18">
        <f si="6" t="shared"/>
        <v>1.0136301056900832E-3</v>
      </c>
      <c r="E67" s="18">
        <f si="6" t="shared"/>
        <v>6.5012100300001615E-5</v>
      </c>
      <c r="F67" s="18">
        <f si="6" t="shared"/>
        <v>2.0976124592307277E-3</v>
      </c>
      <c r="H67" s="12">
        <v>0.14583333333333334</v>
      </c>
      <c r="I67" s="17">
        <f ref="I67:M67" si="7" t="shared">I10/I$59</f>
        <v>5.5907542731780807E-3</v>
      </c>
      <c r="J67" s="17">
        <f si="7" t="shared"/>
        <v>5.4565393495529949E-4</v>
      </c>
      <c r="K67" s="17">
        <f si="7" t="shared"/>
        <v>2.8413471201260551E-3</v>
      </c>
      <c r="L67" s="17">
        <f si="7" t="shared"/>
        <v>1.0738922124144841E-3</v>
      </c>
      <c r="M67" s="18">
        <f si="7" t="shared"/>
        <v>3.26790895687864E-3</v>
      </c>
    </row>
    <row r="68" spans="1:13" x14ac:dyDescent="0.25">
      <c r="A68" s="12">
        <v>0.16666666666666666</v>
      </c>
      <c r="B68" s="18">
        <f ref="B68:F68" si="8" t="shared">B11/B$59</f>
        <v>9.8967502367837759E-3</v>
      </c>
      <c r="C68" s="18">
        <f si="8" t="shared"/>
        <v>1.4722635127194564E-3</v>
      </c>
      <c r="D68" s="18">
        <f si="8" t="shared"/>
        <v>1.5956847674652389E-3</v>
      </c>
      <c r="E68" s="18">
        <f si="8" t="shared"/>
        <v>1.5404043846159256E-4</v>
      </c>
      <c r="F68" s="18">
        <f si="8" t="shared"/>
        <v>3.8823622187653633E-3</v>
      </c>
      <c r="H68" s="12">
        <v>0.16666666666666666</v>
      </c>
      <c r="I68" s="17">
        <f ref="I68:M68" si="9" t="shared">I11/I$59</f>
        <v>8.9026521846516868E-3</v>
      </c>
      <c r="J68" s="17">
        <f si="9" t="shared"/>
        <v>1.484152328588144E-3</v>
      </c>
      <c r="K68" s="17">
        <f si="9" t="shared"/>
        <v>3.0055873235135737E-3</v>
      </c>
      <c r="L68" s="17">
        <f si="9" t="shared"/>
        <v>1.2746031147212347E-3</v>
      </c>
      <c r="M68" s="18">
        <f si="9" t="shared"/>
        <v>4.4151329606561948E-3</v>
      </c>
    </row>
    <row r="69" spans="1:13" x14ac:dyDescent="0.25">
      <c r="A69" s="12">
        <v>0.1875</v>
      </c>
      <c r="B69" s="18">
        <f ref="B69:F69" si="10" t="shared">B12/B$59</f>
        <v>1.713035270498443E-2</v>
      </c>
      <c r="C69" s="18">
        <f si="10" t="shared"/>
        <v>4.383534116134096E-3</v>
      </c>
      <c r="D69" s="18">
        <f si="10" t="shared"/>
        <v>2.3384615410733723E-3</v>
      </c>
      <c r="E69" s="18">
        <f si="10" t="shared"/>
        <v>3.3485065256408202E-4</v>
      </c>
      <c r="F69" s="18">
        <f si="10" t="shared"/>
        <v>6.7295301819691004E-3</v>
      </c>
      <c r="H69" s="12">
        <v>0.1875</v>
      </c>
      <c r="I69" s="17">
        <f ref="I69:M69" si="11" t="shared">I12/I$59</f>
        <v>1.396763519170994E-2</v>
      </c>
      <c r="J69" s="17">
        <f si="11" t="shared"/>
        <v>3.9624482465323314E-3</v>
      </c>
      <c r="K69" s="17">
        <f si="11" t="shared"/>
        <v>3.3696460818675115E-3</v>
      </c>
      <c r="L69" s="17">
        <f si="11" t="shared"/>
        <v>1.4812462726582049E-3</v>
      </c>
      <c r="M69" s="18">
        <f si="11" t="shared"/>
        <v>6.3618219067168918E-3</v>
      </c>
    </row>
    <row r="70" spans="1:13" x14ac:dyDescent="0.25">
      <c r="A70" s="12">
        <v>0.20833333333333334</v>
      </c>
      <c r="B70" s="18">
        <f ref="B70:F70" si="12" t="shared">B13/B$59</f>
        <v>2.7557316361067223E-2</v>
      </c>
      <c r="C70" s="18">
        <f si="12" t="shared"/>
        <v>1.1261523157380621E-2</v>
      </c>
      <c r="D70" s="18">
        <f si="12" t="shared"/>
        <v>3.4182538726211993E-3</v>
      </c>
      <c r="E70" s="18">
        <f si="12" t="shared"/>
        <v>6.7896380291742687E-4</v>
      </c>
      <c r="F70" s="18">
        <f si="12" t="shared"/>
        <v>1.1195525883998626E-2</v>
      </c>
      <c r="H70" s="12">
        <v>0.20833333333333334</v>
      </c>
      <c r="I70" s="17">
        <f ref="I70:M70" si="13" t="shared">I13/I$59</f>
        <v>2.1820167185053928E-2</v>
      </c>
      <c r="J70" s="17">
        <f si="13" t="shared"/>
        <v>9.5328460937575028E-3</v>
      </c>
      <c r="K70" s="17">
        <f si="13" t="shared"/>
        <v>4.249838644506284E-3</v>
      </c>
      <c r="L70" s="17">
        <f si="13" t="shared"/>
        <v>1.8794426361084286E-3</v>
      </c>
      <c r="M70" s="18">
        <f si="13" t="shared"/>
        <v>9.7782407611981884E-3</v>
      </c>
    </row>
    <row r="71" spans="1:13" x14ac:dyDescent="0.25">
      <c r="A71" s="12">
        <v>0.22916666666666666</v>
      </c>
      <c r="B71" s="18">
        <f ref="B71:F71" si="14" t="shared">B14/B$59</f>
        <v>4.1237332327821764E-2</v>
      </c>
      <c r="C71" s="18">
        <f si="14" t="shared"/>
        <v>2.4570986862645441E-2</v>
      </c>
      <c r="D71" s="18">
        <f si="14" t="shared"/>
        <v>5.0936656455705829E-3</v>
      </c>
      <c r="E71" s="18">
        <f si="14" t="shared"/>
        <v>1.2975214723035143E-3</v>
      </c>
      <c r="F71" s="18">
        <f si="14" t="shared"/>
        <v>1.7769790710697106E-2</v>
      </c>
      <c r="H71" s="12">
        <v>0.22916666666666666</v>
      </c>
      <c r="I71" s="17">
        <f ref="I71:M71" si="15" t="shared">I14/I$59</f>
        <v>3.3115677790749538E-2</v>
      </c>
      <c r="J71" s="17">
        <f si="15" t="shared"/>
        <v>2.001706120570804E-2</v>
      </c>
      <c r="K71" s="17">
        <f si="15" t="shared"/>
        <v>5.9064296550011743E-3</v>
      </c>
      <c r="L71" s="17">
        <f si="15" t="shared"/>
        <v>2.640032048985907E-3</v>
      </c>
      <c r="M71" s="18">
        <f si="15" t="shared"/>
        <v>1.5230364963498553E-2</v>
      </c>
    </row>
    <row r="72" spans="1:13" x14ac:dyDescent="0.25">
      <c r="A72" s="12">
        <v>0.25</v>
      </c>
      <c r="B72" s="18">
        <f ref="B72:F72" si="16" t="shared">B15/B$59</f>
        <v>5.7254051564345501E-2</v>
      </c>
      <c r="C72" s="18">
        <f si="16" t="shared"/>
        <v>4.565578656567653E-2</v>
      </c>
      <c r="D72" s="18">
        <f si="16" t="shared"/>
        <v>7.6523340031911394E-3</v>
      </c>
      <c r="E72" s="18">
        <f si="16" t="shared"/>
        <v>2.3581061360103276E-3</v>
      </c>
      <c r="F72" s="18">
        <f si="16" t="shared"/>
        <v>2.6535561793554558E-2</v>
      </c>
      <c r="H72" s="12">
        <v>0.25</v>
      </c>
      <c r="I72" s="17">
        <f ref="I72:M72" si="17" t="shared">I15/I$59</f>
        <v>4.7500029337702483E-2</v>
      </c>
      <c r="J72" s="17">
        <f si="17" t="shared"/>
        <v>3.6522406611522347E-2</v>
      </c>
      <c r="K72" s="17">
        <f si="17" t="shared"/>
        <v>8.448736338679954E-3</v>
      </c>
      <c r="L72" s="17">
        <f si="17" t="shared"/>
        <v>3.9368641815993198E-3</v>
      </c>
      <c r="M72" s="18">
        <f si="17" t="shared"/>
        <v>2.2825630683545716E-2</v>
      </c>
    </row>
    <row r="73" spans="1:13" x14ac:dyDescent="0.25">
      <c r="A73" s="12">
        <v>0.27083333333333331</v>
      </c>
      <c r="B73" s="18">
        <f ref="B73:F73" si="18" t="shared">B16/B$59</f>
        <v>7.3477564530148309E-2</v>
      </c>
      <c r="C73" s="18">
        <f si="18" t="shared"/>
        <v>7.2799859307040554E-2</v>
      </c>
      <c r="D73" s="18">
        <f si="18" t="shared"/>
        <v>1.1289816863160636E-2</v>
      </c>
      <c r="E73" s="18">
        <f si="18" t="shared"/>
        <v>4.0853198651336882E-3</v>
      </c>
      <c r="F73" s="18">
        <f si="18" t="shared"/>
        <v>3.6779310163107877E-2</v>
      </c>
      <c r="H73" s="12">
        <v>0.27083333333333331</v>
      </c>
      <c r="I73" s="17">
        <f ref="I73:M73" si="19" t="shared">I16/I$59</f>
        <v>6.3261237106123414E-2</v>
      </c>
      <c r="J73" s="17">
        <f si="19" t="shared"/>
        <v>5.8147225223263634E-2</v>
      </c>
      <c r="K73" s="17">
        <f si="19" t="shared"/>
        <v>1.1818209110760895E-2</v>
      </c>
      <c r="L73" s="17">
        <f si="19" t="shared"/>
        <v>5.9892235230059199E-3</v>
      </c>
      <c r="M73" s="18">
        <f si="19" t="shared"/>
        <v>3.1943186524441225E-2</v>
      </c>
    </row>
    <row r="74" spans="1:13" x14ac:dyDescent="0.25">
      <c r="A74" s="12">
        <v>0.29166666666666669</v>
      </c>
      <c r="B74" s="18">
        <f ref="B74:F74" si="20" t="shared">B17/B$59</f>
        <v>8.6802307437784415E-2</v>
      </c>
      <c r="C74" s="18">
        <f si="20" t="shared"/>
        <v>0.10041686379887581</v>
      </c>
      <c r="D74" s="18">
        <f si="20" t="shared"/>
        <v>1.5950758998123725E-2</v>
      </c>
      <c r="E74" s="18">
        <f si="20" t="shared"/>
        <v>6.7082311605791145E-3</v>
      </c>
      <c r="F74" s="18">
        <f si="20" t="shared"/>
        <v>4.686117629570672E-2</v>
      </c>
      <c r="H74" s="12">
        <v>0.29166666666666669</v>
      </c>
      <c r="I74" s="17">
        <f ref="I74:M74" si="21" t="shared">I17/I$59</f>
        <v>7.7580182432587907E-2</v>
      </c>
      <c r="J74" s="17">
        <f si="21" t="shared"/>
        <v>8.1289512796925867E-2</v>
      </c>
      <c r="K74" s="17">
        <f si="21" t="shared"/>
        <v>1.5822339096284332E-2</v>
      </c>
      <c r="L74" s="17">
        <f si="21" t="shared"/>
        <v>9.0609899620550608E-3</v>
      </c>
      <c r="M74" s="18">
        <f si="21" t="shared"/>
        <v>4.1235847671151828E-2</v>
      </c>
    </row>
    <row r="75" spans="1:13" x14ac:dyDescent="0.25">
      <c r="A75" s="12">
        <v>0.3125</v>
      </c>
      <c r="B75" s="18">
        <f ref="B75:F75" si="22" t="shared">B18/B$59</f>
        <v>9.4086503481892403E-2</v>
      </c>
      <c r="C75" s="18">
        <f si="22" t="shared"/>
        <v>0.12067481758957327</v>
      </c>
      <c r="D75" s="18">
        <f si="22" t="shared"/>
        <v>2.1221270234038612E-2</v>
      </c>
      <c r="E75" s="18">
        <f si="22" t="shared"/>
        <v>1.0359653000613745E-2</v>
      </c>
      <c r="F75" s="18">
        <f si="22" t="shared"/>
        <v>5.463244126987845E-2</v>
      </c>
      <c r="H75" s="12">
        <v>0.3125</v>
      </c>
      <c r="I75" s="17">
        <f ref="I75:M75" si="23" t="shared">I18/I$59</f>
        <v>8.738216855400055E-2</v>
      </c>
      <c r="J75" s="17">
        <f si="23" t="shared"/>
        <v>0.10043652548510812</v>
      </c>
      <c r="K75" s="17">
        <f si="23" t="shared"/>
        <v>2.0171217754640931E-2</v>
      </c>
      <c r="L75" s="17">
        <f si="23" t="shared"/>
        <v>1.3442524665486471E-2</v>
      </c>
      <c r="M75" s="18">
        <f si="23" t="shared"/>
        <v>4.8989076228454019E-2</v>
      </c>
    </row>
    <row r="76" spans="1:13" x14ac:dyDescent="0.25">
      <c r="A76" s="12">
        <v>0.33333333333333331</v>
      </c>
      <c r="B76" s="18">
        <f ref="B76:F76" si="24" t="shared">B19/B$59</f>
        <v>9.3507392184192059E-2</v>
      </c>
      <c r="C76" s="18">
        <f si="24" t="shared"/>
        <v>0.12710562043613183</v>
      </c>
      <c r="D76" s="18">
        <f si="24" t="shared"/>
        <v>2.6385145685425326E-2</v>
      </c>
      <c r="E76" s="18">
        <f si="24" t="shared"/>
        <v>1.5034913786263189E-2</v>
      </c>
      <c r="F76" s="18">
        <f si="24" t="shared"/>
        <v>5.8325540418918236E-2</v>
      </c>
      <c r="H76" s="12">
        <v>0.33333333333333331</v>
      </c>
      <c r="I76" s="17">
        <f ref="I76:M76" si="25" t="shared">I19/I$59</f>
        <v>9.0446444446337967E-2</v>
      </c>
      <c r="J76" s="17">
        <f si="25" t="shared"/>
        <v>0.11038627370799091</v>
      </c>
      <c r="K76" s="17">
        <f si="25" t="shared"/>
        <v>2.4493801087245252E-2</v>
      </c>
      <c r="L76" s="17">
        <f si="25" t="shared"/>
        <v>1.9473690348748508E-2</v>
      </c>
      <c r="M76" s="18">
        <f si="25" t="shared"/>
        <v>5.3723428395043821E-2</v>
      </c>
    </row>
    <row r="77" spans="1:13" x14ac:dyDescent="0.25">
      <c r="A77" s="12">
        <v>0.35416666666666669</v>
      </c>
      <c r="B77" s="18">
        <f ref="B77:F77" si="26" t="shared">B20/B$59</f>
        <v>8.5501033341354199E-2</v>
      </c>
      <c r="C77" s="18">
        <f si="26" t="shared"/>
        <v>0.11795292237310229</v>
      </c>
      <c r="D77" s="18">
        <f si="26" t="shared"/>
        <v>3.0676824877628656E-2</v>
      </c>
      <c r="E77" s="18">
        <f si="26" t="shared"/>
        <v>2.0763273476804865E-2</v>
      </c>
      <c r="F77" s="18">
        <f si="26" t="shared"/>
        <v>5.74076777334998E-2</v>
      </c>
      <c r="H77" s="12">
        <v>0.35416666666666669</v>
      </c>
      <c r="I77" s="17">
        <f ref="I77:M77" si="27" t="shared">I20/I$59</f>
        <v>8.6266526604708654E-2</v>
      </c>
      <c r="J77" s="17">
        <f si="27" t="shared"/>
        <v>0.10868202603563615</v>
      </c>
      <c r="K77" s="17">
        <f si="27" t="shared"/>
        <v>2.8356490697812396E-2</v>
      </c>
      <c r="L77" s="17">
        <f si="27" t="shared"/>
        <v>2.7541061802167525E-2</v>
      </c>
      <c r="M77" s="18">
        <f si="27" t="shared"/>
        <v>5.4754466026868197E-2</v>
      </c>
    </row>
    <row r="78" spans="1:13" x14ac:dyDescent="0.25">
      <c r="A78" s="12">
        <v>0.375</v>
      </c>
      <c r="B78" s="18">
        <f ref="B78:F78" si="28" t="shared">B21/B$59</f>
        <v>7.2563149831563256E-2</v>
      </c>
      <c r="C78" s="18">
        <f si="28" t="shared"/>
        <v>9.6970472802929794E-2</v>
      </c>
      <c r="D78" s="18">
        <f si="28" t="shared"/>
        <v>3.3600484587411265E-2</v>
      </c>
      <c r="E78" s="18">
        <f si="28" t="shared"/>
        <v>2.7985169001203493E-2</v>
      </c>
      <c r="F78" s="18">
        <f si="28" t="shared"/>
        <v>5.2818505908015158E-2</v>
      </c>
      <c r="H78" s="12">
        <v>0.375</v>
      </c>
      <c r="I78" s="17">
        <f ref="I78:M78" si="29" t="shared">I21/I$59</f>
        <v>7.6248465093220585E-2</v>
      </c>
      <c r="J78" s="17">
        <f si="29" t="shared"/>
        <v>9.6695805674489876E-2</v>
      </c>
      <c r="K78" s="17">
        <f si="29" t="shared"/>
        <v>3.132720228852718E-2</v>
      </c>
      <c r="L78" s="17">
        <f si="29" t="shared"/>
        <v>3.788058999460038E-2</v>
      </c>
      <c r="M78" s="18">
        <f si="29" t="shared"/>
        <v>5.241532443117513E-2</v>
      </c>
    </row>
    <row r="79" spans="1:13" x14ac:dyDescent="0.25">
      <c r="A79" s="12">
        <v>0.39583333333333331</v>
      </c>
      <c r="B79" s="18">
        <f ref="B79:F79" si="30" t="shared">B22/B$59</f>
        <v>5.8021342903304282E-2</v>
      </c>
      <c r="C79" s="18">
        <f si="30" t="shared"/>
        <v>7.1226050211875364E-2</v>
      </c>
      <c r="D79" s="18">
        <f si="30" t="shared"/>
        <v>3.509335969809043E-2</v>
      </c>
      <c r="E79" s="18">
        <f si="30" t="shared"/>
        <v>3.7784573608329639E-2</v>
      </c>
      <c r="F79" s="18">
        <f si="30" t="shared"/>
        <v>4.6430525357413675E-2</v>
      </c>
      <c r="H79" s="12">
        <v>0.39583333333333331</v>
      </c>
      <c r="I79" s="17">
        <f ref="I79:M79" si="31" t="shared">I22/I$59</f>
        <v>6.3137232744615107E-2</v>
      </c>
      <c r="J79" s="17">
        <f si="31" t="shared"/>
        <v>7.8694495105470011E-2</v>
      </c>
      <c r="K79" s="17">
        <f si="31" t="shared"/>
        <v>3.30959823870145E-2</v>
      </c>
      <c r="L79" s="17">
        <f si="31" t="shared"/>
        <v>5.0187392302348498E-2</v>
      </c>
      <c r="M79" s="18">
        <f si="31" t="shared"/>
        <v>4.7833059432987025E-2</v>
      </c>
    </row>
    <row r="80" spans="1:13" x14ac:dyDescent="0.25">
      <c r="A80" s="12">
        <v>0.41666666666666669</v>
      </c>
      <c r="B80" s="18">
        <f ref="B80:F80" si="32" t="shared">B23/B$59</f>
        <v>4.4652465083904122E-2</v>
      </c>
      <c r="C80" s="18">
        <f si="32" t="shared"/>
        <v>4.7554309371030168E-2</v>
      </c>
      <c r="D80" s="18">
        <f si="32" t="shared"/>
        <v>3.5428463865244064E-2</v>
      </c>
      <c r="E80" s="18">
        <f si="32" t="shared"/>
        <v>5.1417488918587488E-2</v>
      </c>
      <c r="F80" s="18">
        <f si="32" t="shared"/>
        <v>4.012128966603179E-2</v>
      </c>
      <c r="H80" s="12">
        <v>0.41666666666666669</v>
      </c>
      <c r="I80" s="17">
        <f ref="I80:M80" si="33" t="shared">I23/I$59</f>
        <v>4.9937661277548243E-2</v>
      </c>
      <c r="J80" s="17">
        <f si="33" t="shared"/>
        <v>5.9633440869069021E-2</v>
      </c>
      <c r="K80" s="17">
        <f si="33" t="shared"/>
        <v>3.3602203806911264E-2</v>
      </c>
      <c r="L80" s="17">
        <f si="33" t="shared"/>
        <v>6.3334073994929768E-2</v>
      </c>
      <c r="M80" s="18">
        <f si="33" t="shared"/>
        <v>4.2409156668389764E-2</v>
      </c>
    </row>
    <row r="81" spans="1:13" x14ac:dyDescent="0.25">
      <c r="A81" s="12">
        <v>0.4375</v>
      </c>
      <c r="B81" s="18">
        <f ref="B81:F81" si="34" t="shared">B24/B$59</f>
        <v>3.3966929548648439E-2</v>
      </c>
      <c r="C81" s="18">
        <f si="34" t="shared"/>
        <v>2.9936593157882101E-2</v>
      </c>
      <c r="D81" s="18">
        <f si="34" t="shared"/>
        <v>3.4984095367325142E-2</v>
      </c>
      <c r="E81" s="18">
        <f si="34" t="shared"/>
        <v>6.8963827627709764E-2</v>
      </c>
      <c r="F81" s="18">
        <f si="34" t="shared"/>
        <v>3.5056214881004556E-2</v>
      </c>
      <c r="H81" s="12">
        <v>0.4375</v>
      </c>
      <c r="I81" s="17">
        <f ref="I81:M81" si="35" t="shared">I24/I$59</f>
        <v>3.8855679054726235E-2</v>
      </c>
      <c r="J81" s="17">
        <f si="35" t="shared"/>
        <v>4.3147080374067712E-2</v>
      </c>
      <c r="K81" s="17">
        <f si="35" t="shared"/>
        <v>3.3086509491795361E-2</v>
      </c>
      <c r="L81" s="17">
        <f si="35" t="shared"/>
        <v>7.5487491340273119E-2</v>
      </c>
      <c r="M81" s="18">
        <f si="35" t="shared"/>
        <v>3.7300829792792076E-2</v>
      </c>
    </row>
    <row r="82" spans="1:13" x14ac:dyDescent="0.25">
      <c r="A82" s="12">
        <v>0.45833333333333331</v>
      </c>
      <c r="B82" s="18">
        <f ref="B82:F82" si="36" t="shared">B25/B$59</f>
        <v>2.6291650793590811E-2</v>
      </c>
      <c r="C82" s="18">
        <f si="36" t="shared"/>
        <v>1.900236255674775E-2</v>
      </c>
      <c r="D82" s="18">
        <f si="36" t="shared"/>
        <v>3.4098528397034956E-2</v>
      </c>
      <c r="E82" s="18">
        <f si="36" t="shared"/>
        <v>8.7926954158300444E-2</v>
      </c>
      <c r="F82" s="18">
        <f si="36" t="shared"/>
        <v>3.1523190397295217E-2</v>
      </c>
      <c r="H82" s="12">
        <v>0.45833333333333331</v>
      </c>
      <c r="I82" s="17">
        <f ref="I82:M82" si="37" t="shared">I25/I$59</f>
        <v>3.075937598150116E-2</v>
      </c>
      <c r="J82" s="17">
        <f si="37" t="shared"/>
        <v>3.0753230655682574E-2</v>
      </c>
      <c r="K82" s="17">
        <f si="37" t="shared"/>
        <v>3.2017511150274215E-2</v>
      </c>
      <c r="L82" s="17">
        <f si="37" t="shared"/>
        <v>8.4561021907569464E-2</v>
      </c>
      <c r="M82" s="18">
        <f si="37" t="shared"/>
        <v>3.314195640214497E-2</v>
      </c>
    </row>
    <row r="83" spans="1:13" x14ac:dyDescent="0.25">
      <c r="A83" s="12">
        <v>0.47916666666666669</v>
      </c>
      <c r="B83" s="18">
        <f ref="B83:F83" si="38" t="shared">B26/B$59</f>
        <v>2.1231599242964104E-2</v>
      </c>
      <c r="C83" s="18">
        <f si="38" t="shared"/>
        <v>1.3206388224387411E-2</v>
      </c>
      <c r="D83" s="18">
        <f si="38" t="shared"/>
        <v>3.3080510195621061E-2</v>
      </c>
      <c r="E83" s="18">
        <f si="38" t="shared"/>
        <v>0.10328647730811344</v>
      </c>
      <c r="F83" s="18">
        <f si="38" t="shared"/>
        <v>2.9226025979837908E-2</v>
      </c>
      <c r="H83" s="12">
        <v>0.47916666666666669</v>
      </c>
      <c r="I83" s="17">
        <f ref="I83:M83" si="39" t="shared">I26/I$59</f>
        <v>2.5335126793469324E-2</v>
      </c>
      <c r="J83" s="17">
        <f si="39" t="shared"/>
        <v>2.2260271462055479E-2</v>
      </c>
      <c r="K83" s="17">
        <f si="39" t="shared"/>
        <v>3.09168102823069E-2</v>
      </c>
      <c r="L83" s="17">
        <f si="39" t="shared"/>
        <v>8.8753105535928703E-2</v>
      </c>
      <c r="M83" s="18">
        <f si="39" t="shared"/>
        <v>3.0056961863776641E-2</v>
      </c>
    </row>
    <row r="84" spans="1:13" x14ac:dyDescent="0.25">
      <c r="A84" s="12">
        <v>0.5</v>
      </c>
      <c r="B84" s="18">
        <f ref="B84:F84" si="40" t="shared">B27/B$59</f>
        <v>1.8094702975491483E-2</v>
      </c>
      <c r="C84" s="18">
        <f si="40" t="shared"/>
        <v>1.0405224751888735E-2</v>
      </c>
      <c r="D84" s="18">
        <f si="40" t="shared"/>
        <v>3.2255226369723021E-2</v>
      </c>
      <c r="E84" s="18">
        <f si="40" t="shared"/>
        <v>0.10970833773173901</v>
      </c>
      <c r="F84" s="18">
        <f si="40" t="shared"/>
        <v>2.7705161065765656E-2</v>
      </c>
      <c r="H84" s="12">
        <v>0.5</v>
      </c>
      <c r="I84" s="17">
        <f ref="I84:M84" si="41" t="shared">I27/I$59</f>
        <v>2.1700705819910033E-2</v>
      </c>
      <c r="J84" s="17">
        <f si="41" t="shared"/>
        <v>1.6688608521449679E-2</v>
      </c>
      <c r="K84" s="17">
        <f si="41" t="shared"/>
        <v>3.0168420105675709E-2</v>
      </c>
      <c r="L84" s="17">
        <f si="41" t="shared"/>
        <v>8.7088197189725811E-2</v>
      </c>
      <c r="M84" s="18">
        <f si="41" t="shared"/>
        <v>2.7859406729976537E-2</v>
      </c>
    </row>
    <row r="85" spans="1:13" x14ac:dyDescent="0.25">
      <c r="A85" s="12">
        <v>0.52083333333333337</v>
      </c>
      <c r="B85" s="18">
        <f ref="B85:F85" si="42" t="shared">B28/B$59</f>
        <v>1.6161809187344382E-2</v>
      </c>
      <c r="C85" s="18">
        <f si="42" t="shared"/>
        <v>8.8912359060612477E-3</v>
      </c>
      <c r="D85" s="18">
        <f si="42" t="shared"/>
        <v>3.1916211121546793E-2</v>
      </c>
      <c r="E85" s="18">
        <f si="42" t="shared"/>
        <v>0.10463361924046689</v>
      </c>
      <c r="F85" s="18">
        <f si="42" t="shared"/>
        <v>2.6617247683800166E-2</v>
      </c>
      <c r="H85" s="12">
        <v>0.52083333333333337</v>
      </c>
      <c r="I85" s="17">
        <f ref="I85:M85" si="43" t="shared">I28/I$59</f>
        <v>1.9028073017324905E-2</v>
      </c>
      <c r="J85" s="17">
        <f si="43" t="shared"/>
        <v>1.3033143276963848E-2</v>
      </c>
      <c r="K85" s="17">
        <f si="43" t="shared"/>
        <v>2.9911127049521247E-2</v>
      </c>
      <c r="L85" s="17">
        <f si="43" t="shared"/>
        <v>7.9908121646813685E-2</v>
      </c>
      <c r="M85" s="18">
        <f si="43" t="shared"/>
        <v>2.6278202465610079E-2</v>
      </c>
    </row>
    <row r="86" spans="1:13" x14ac:dyDescent="0.25">
      <c r="A86" s="12">
        <v>0.54166666666666663</v>
      </c>
      <c r="B86" s="18">
        <f ref="B86:F86" si="44" t="shared">B29/B$59</f>
        <v>1.4849279039845094E-2</v>
      </c>
      <c r="C86" s="18">
        <f si="44" t="shared"/>
        <v>7.7213154948376182E-3</v>
      </c>
      <c r="D86" s="18">
        <f si="44" t="shared"/>
        <v>3.2198754673380306E-2</v>
      </c>
      <c r="E86" s="18">
        <f si="44" t="shared"/>
        <v>8.9851567271342039E-2</v>
      </c>
      <c r="F86" s="18">
        <f si="44" t="shared"/>
        <v>2.5801820840112944E-2</v>
      </c>
      <c r="H86" s="12">
        <v>0.54166666666666663</v>
      </c>
      <c r="I86" s="17">
        <f ref="I86:M86" si="45" t="shared">I29/I$59</f>
        <v>1.684724327617499E-2</v>
      </c>
      <c r="J86" s="17">
        <f si="45" t="shared"/>
        <v>1.0596230948427966E-2</v>
      </c>
      <c r="K86" s="17">
        <f si="45" t="shared"/>
        <v>3.0067464784298066E-2</v>
      </c>
      <c r="L86" s="17">
        <f si="45" t="shared"/>
        <v>6.8962805719274975E-2</v>
      </c>
      <c r="M86" s="18">
        <f si="45" t="shared"/>
        <v>2.5104159659424228E-2</v>
      </c>
    </row>
    <row r="87" spans="1:13" x14ac:dyDescent="0.25">
      <c r="A87" s="12">
        <v>0.5625</v>
      </c>
      <c r="B87" s="18">
        <f ref="B87:F87" si="46" t="shared">B30/B$59</f>
        <v>1.3781759115160254E-2</v>
      </c>
      <c r="C87" s="18">
        <f si="46" t="shared"/>
        <v>6.6081802487050331E-3</v>
      </c>
      <c r="D87" s="18">
        <f si="46" t="shared"/>
        <v>3.2995932780875419E-2</v>
      </c>
      <c r="E87" s="18">
        <f si="46" t="shared"/>
        <v>7.0341708700433478E-2</v>
      </c>
      <c r="F87" s="18">
        <f si="46" t="shared"/>
        <v>2.5205921064839102E-2</v>
      </c>
      <c r="H87" s="12">
        <v>0.5625</v>
      </c>
      <c r="I87" s="17">
        <f ref="I87:M87" si="47" t="shared">I30/I$59</f>
        <v>1.5002530266892281E-2</v>
      </c>
      <c r="J87" s="17">
        <f si="47" t="shared"/>
        <v>8.9786872963475671E-3</v>
      </c>
      <c r="K87" s="17">
        <f si="47" t="shared"/>
        <v>3.048276685474639E-2</v>
      </c>
      <c r="L87" s="17">
        <f si="47" t="shared"/>
        <v>5.6745786727848073E-2</v>
      </c>
      <c r="M87" s="18">
        <f si="47" t="shared"/>
        <v>2.4233932310649488E-2</v>
      </c>
    </row>
    <row r="88" spans="1:13" x14ac:dyDescent="0.25">
      <c r="A88" s="12">
        <v>0.58333333333333337</v>
      </c>
      <c r="B88" s="18">
        <f ref="B88:F88" si="48" t="shared">B31/B$59</f>
        <v>1.2766581597388372E-2</v>
      </c>
      <c r="C88" s="18">
        <f si="48" t="shared"/>
        <v>5.634551569284699E-3</v>
      </c>
      <c r="D88" s="18">
        <f si="48" t="shared"/>
        <v>3.4011235910510515E-2</v>
      </c>
      <c r="E88" s="18">
        <f si="48" t="shared"/>
        <v>5.1454164585525736E-2</v>
      </c>
      <c r="F88" s="18">
        <f si="48" t="shared"/>
        <v>2.4783106047224533E-2</v>
      </c>
      <c r="H88" s="12">
        <v>0.58333333333333337</v>
      </c>
      <c r="I88" s="17">
        <f ref="I88:M88" si="49" t="shared">I31/I$59</f>
        <v>1.3456438648707153E-2</v>
      </c>
      <c r="J88" s="17">
        <f si="49" t="shared"/>
        <v>7.9431798437967736E-3</v>
      </c>
      <c r="K88" s="17">
        <f si="49" t="shared"/>
        <v>3.1077965970604346E-2</v>
      </c>
      <c r="L88" s="17">
        <f si="49" t="shared"/>
        <v>4.5372042186581189E-2</v>
      </c>
      <c r="M88" s="18">
        <f si="49" t="shared"/>
        <v>2.364848996153486E-2</v>
      </c>
    </row>
    <row r="89" spans="1:13" x14ac:dyDescent="0.25">
      <c r="A89" s="12">
        <v>0.60416666666666663</v>
      </c>
      <c r="B89" s="18">
        <f ref="B89:F89" si="50" t="shared">B32/B$59</f>
        <v>1.1718269088323515E-2</v>
      </c>
      <c r="C89" s="18">
        <f si="50" t="shared"/>
        <v>4.9525258965070094E-3</v>
      </c>
      <c r="D89" s="18">
        <f si="50" t="shared"/>
        <v>3.4943707453813352E-2</v>
      </c>
      <c r="E89" s="18">
        <f si="50" t="shared"/>
        <v>3.6539288804991597E-2</v>
      </c>
      <c r="F89" s="18">
        <f si="50" t="shared"/>
        <v>2.4463514323787974E-2</v>
      </c>
      <c r="H89" s="12">
        <v>0.60416666666666663</v>
      </c>
      <c r="I89" s="17">
        <f ref="I89:M89" si="51" t="shared">I32/I$59</f>
        <v>1.2149664200564696E-2</v>
      </c>
      <c r="J89" s="17">
        <f si="51" t="shared"/>
        <v>7.3092421058182271E-3</v>
      </c>
      <c r="K89" s="17">
        <f si="51" t="shared"/>
        <v>3.1910586027211467E-2</v>
      </c>
      <c r="L89" s="17">
        <f si="51" t="shared"/>
        <v>3.5843045681647041E-2</v>
      </c>
      <c r="M89" s="18">
        <f si="51" t="shared"/>
        <v>2.3371863993805832E-2</v>
      </c>
    </row>
    <row r="90" spans="1:13" x14ac:dyDescent="0.25">
      <c r="A90" s="12">
        <v>0.625</v>
      </c>
      <c r="B90" s="18">
        <f ref="B90:F90" si="52" t="shared">B33/B$59</f>
        <v>1.0607626867535264E-2</v>
      </c>
      <c r="C90" s="18">
        <f si="52" t="shared"/>
        <v>4.5988781229096805E-3</v>
      </c>
      <c r="D90" s="18">
        <f si="52" t="shared"/>
        <v>3.5708599664499713E-2</v>
      </c>
      <c r="E90" s="18">
        <f si="52" t="shared"/>
        <v>2.6284802446829507E-2</v>
      </c>
      <c r="F90" s="18">
        <f si="52" t="shared"/>
        <v>2.4217498483587247E-2</v>
      </c>
      <c r="H90" s="12">
        <v>0.625</v>
      </c>
      <c r="I90" s="17">
        <f ref="I90:M90" si="53" t="shared">I33/I$59</f>
        <v>1.0989178385199841E-2</v>
      </c>
      <c r="J90" s="17">
        <f si="53" t="shared"/>
        <v>6.9264998501147798E-3</v>
      </c>
      <c r="K90" s="17">
        <f si="53" t="shared"/>
        <v>3.3106442813758401E-2</v>
      </c>
      <c r="L90" s="17">
        <f si="53" t="shared"/>
        <v>2.8178244303025325E-2</v>
      </c>
      <c r="M90" s="18">
        <f si="53" t="shared"/>
        <v>2.3430161438455541E-2</v>
      </c>
    </row>
    <row r="91" spans="1:13" x14ac:dyDescent="0.25">
      <c r="A91" s="12">
        <v>0.64583333333333337</v>
      </c>
      <c r="B91" s="18">
        <f ref="B91:F91" si="54" t="shared">B34/B$59</f>
        <v>9.4468826851649805E-3</v>
      </c>
      <c r="C91" s="18">
        <f si="54" t="shared"/>
        <v>4.4856305083777713E-3</v>
      </c>
      <c r="D91" s="18">
        <f si="54" t="shared"/>
        <v>3.6541305342620505E-2</v>
      </c>
      <c r="E91" s="18">
        <f si="54" t="shared"/>
        <v>1.9563418949690419E-2</v>
      </c>
      <c r="F91" s="18">
        <f si="54" t="shared"/>
        <v>2.4133466225669382E-2</v>
      </c>
      <c r="H91" s="12">
        <v>0.64583333333333337</v>
      </c>
      <c r="I91" s="17">
        <f ref="I91:M91" si="55" t="shared">I34/I$59</f>
        <v>9.9034810964810614E-3</v>
      </c>
      <c r="J91" s="17">
        <f si="55" t="shared"/>
        <v>6.6916745513158644E-3</v>
      </c>
      <c r="K91" s="17">
        <f si="55" t="shared"/>
        <v>3.472460923458958E-2</v>
      </c>
      <c r="L91" s="17">
        <f si="55" t="shared"/>
        <v>2.2043463538016395E-2</v>
      </c>
      <c r="M91" s="18">
        <f si="55" t="shared"/>
        <v>2.3812993734230934E-2</v>
      </c>
    </row>
    <row r="92" spans="1:13" x14ac:dyDescent="0.25">
      <c r="A92" s="12">
        <v>0.66666666666666663</v>
      </c>
      <c r="B92" s="18">
        <f ref="B92:F92" si="56" t="shared">B35/B$59</f>
        <v>8.2706572597341151E-3</v>
      </c>
      <c r="C92" s="18">
        <f si="56" t="shared"/>
        <v>4.4897211836022605E-3</v>
      </c>
      <c r="D92" s="18">
        <f si="56" t="shared"/>
        <v>3.785870087056404E-2</v>
      </c>
      <c r="E92" s="18">
        <f si="56" t="shared"/>
        <v>1.4802583511260575E-2</v>
      </c>
      <c r="F92" s="18">
        <f si="56" t="shared"/>
        <v>2.4388783794955293E-2</v>
      </c>
      <c r="H92" s="12">
        <v>0.66666666666666663</v>
      </c>
      <c r="I92" s="17">
        <f ref="I92:M92" si="57" t="shared">I35/I$59</f>
        <v>8.8746933855886855E-3</v>
      </c>
      <c r="J92" s="17">
        <f si="57" t="shared"/>
        <v>6.5549742239440862E-3</v>
      </c>
      <c r="K92" s="17">
        <f si="57" t="shared"/>
        <v>3.6662891450346798E-2</v>
      </c>
      <c r="L92" s="17">
        <f si="57" t="shared"/>
        <v>1.7201365668091138E-2</v>
      </c>
      <c r="M92" s="18">
        <f si="57" t="shared"/>
        <v>2.444426057086195E-2</v>
      </c>
    </row>
    <row r="93" spans="1:13" x14ac:dyDescent="0.25">
      <c r="A93" s="12">
        <v>0.6875</v>
      </c>
      <c r="B93" s="18">
        <f ref="B93:F93" si="58" t="shared">B36/B$59</f>
        <v>7.1046179053884826E-3</v>
      </c>
      <c r="C93" s="18">
        <f si="58" t="shared"/>
        <v>4.5111617085099092E-3</v>
      </c>
      <c r="D93" s="18">
        <f si="58" t="shared"/>
        <v>3.9898193252977991E-2</v>
      </c>
      <c r="E93" s="18">
        <f si="58" t="shared"/>
        <v>1.0957549566918644E-2</v>
      </c>
      <c r="F93" s="18">
        <f si="58" t="shared"/>
        <v>2.507768248431198E-2</v>
      </c>
      <c r="H93" s="12">
        <v>0.6875</v>
      </c>
      <c r="I93" s="17">
        <f ref="I93:M93" si="59" t="shared">I36/I$59</f>
        <v>7.915843836238709E-3</v>
      </c>
      <c r="J93" s="17">
        <f si="59" t="shared"/>
        <v>6.490090467147048E-3</v>
      </c>
      <c r="K93" s="17">
        <f si="59" t="shared"/>
        <v>3.8654424336753188E-2</v>
      </c>
      <c r="L93" s="17">
        <f si="59" t="shared"/>
        <v>1.3534308539040337E-2</v>
      </c>
      <c r="M93" s="18">
        <f si="59" t="shared"/>
        <v>2.5170776878973476E-2</v>
      </c>
    </row>
    <row r="94" spans="1:13" x14ac:dyDescent="0.25">
      <c r="A94" s="12">
        <v>0.70833333333333337</v>
      </c>
      <c r="B94" s="18">
        <f ref="B94:F94" si="60" t="shared">B37/B$59</f>
        <v>5.9565181103851698E-3</v>
      </c>
      <c r="C94" s="18">
        <f si="60" t="shared"/>
        <v>4.4608382385051618E-3</v>
      </c>
      <c r="D94" s="18">
        <f si="60" t="shared"/>
        <v>4.2353031955431587E-2</v>
      </c>
      <c r="E94" s="18">
        <f si="60" t="shared"/>
        <v>7.7221819487413839E-3</v>
      </c>
      <c r="F94" s="18">
        <f si="60" t="shared"/>
        <v>2.6011092809037139E-2</v>
      </c>
      <c r="H94" s="12">
        <v>0.70833333333333337</v>
      </c>
      <c r="I94" s="17">
        <f ref="I94:M94" si="61" t="shared">I37/I$59</f>
        <v>7.0271082729357589E-3</v>
      </c>
      <c r="J94" s="17">
        <f si="61" t="shared"/>
        <v>6.4467075308150875E-3</v>
      </c>
      <c r="K94" s="17">
        <f si="61" t="shared"/>
        <v>4.0317498527627595E-2</v>
      </c>
      <c r="L94" s="17">
        <f si="61" t="shared"/>
        <v>1.0871743415133249E-2</v>
      </c>
      <c r="M94" s="18">
        <f si="61" t="shared"/>
        <v>2.5766575549412578E-2</v>
      </c>
    </row>
    <row r="95" spans="1:13" x14ac:dyDescent="0.25">
      <c r="A95" s="12">
        <v>0.72916666666666663</v>
      </c>
      <c r="B95" s="18">
        <f ref="B95:F95" si="62" t="shared">B38/B$59</f>
        <v>4.8401377010922429E-3</v>
      </c>
      <c r="C95" s="18">
        <f si="62" t="shared"/>
        <v>4.2450140147461801E-3</v>
      </c>
      <c r="D95" s="18">
        <f si="62" t="shared"/>
        <v>4.4300521355600322E-2</v>
      </c>
      <c r="E95" s="18">
        <f si="62" t="shared"/>
        <v>5.1990722162398046E-3</v>
      </c>
      <c r="F95" s="18">
        <f si="62" t="shared"/>
        <v>2.6671557528701061E-2</v>
      </c>
      <c r="H95" s="12">
        <v>0.72916666666666663</v>
      </c>
      <c r="I95" s="17">
        <f ref="I95:M95" si="63" t="shared">I38/I$59</f>
        <v>6.1786963983333203E-3</v>
      </c>
      <c r="J95" s="17">
        <f si="63" t="shared"/>
        <v>6.3300124077683264E-3</v>
      </c>
      <c r="K95" s="17">
        <f si="63" t="shared"/>
        <v>4.1215996835268109E-2</v>
      </c>
      <c r="L95" s="17">
        <f si="63" t="shared"/>
        <v>8.9152113159511204E-3</v>
      </c>
      <c r="M95" s="18">
        <f si="63" t="shared"/>
        <v>2.5957107973344072E-2</v>
      </c>
    </row>
    <row r="96" spans="1:13" x14ac:dyDescent="0.25">
      <c r="A96" s="12">
        <v>0.75</v>
      </c>
      <c r="B96" s="18">
        <f ref="B96:F96" si="64" t="shared">B39/B$59</f>
        <v>3.7959090663928999E-3</v>
      </c>
      <c r="C96" s="18">
        <f si="64" t="shared"/>
        <v>3.799893254639287E-3</v>
      </c>
      <c r="D96" s="18">
        <f si="64" t="shared"/>
        <v>4.4559366642904698E-2</v>
      </c>
      <c r="E96" s="18">
        <f si="64" t="shared"/>
        <v>3.4922871576567511E-3</v>
      </c>
      <c r="F96" s="18">
        <f si="64" t="shared"/>
        <v>2.6409640474411904E-2</v>
      </c>
      <c r="H96" s="12">
        <v>0.75</v>
      </c>
      <c r="I96" s="17">
        <f ref="I96:M96" si="65" t="shared">I39/I$59</f>
        <v>5.3345239270083059E-3</v>
      </c>
      <c r="J96" s="17">
        <f si="65" t="shared"/>
        <v>6.0359512998766065E-3</v>
      </c>
      <c r="K96" s="17">
        <f si="65" t="shared"/>
        <v>4.0954693336218512E-2</v>
      </c>
      <c r="L96" s="17">
        <f si="65" t="shared"/>
        <v>7.3352779795364106E-3</v>
      </c>
      <c r="M96" s="18">
        <f si="65" t="shared"/>
        <v>2.548688473708062E-2</v>
      </c>
    </row>
    <row r="97" spans="1:13" x14ac:dyDescent="0.25">
      <c r="A97" s="12">
        <v>0.77083333333333337</v>
      </c>
      <c r="B97" s="18">
        <f ref="B97:F97" si="66" t="shared">B40/B$59</f>
        <v>2.8790142639737162E-3</v>
      </c>
      <c r="C97" s="18">
        <f si="66" t="shared"/>
        <v>3.1427137739996665E-3</v>
      </c>
      <c r="D97" s="18">
        <f si="66" t="shared"/>
        <v>4.2297998105757309E-2</v>
      </c>
      <c r="E97" s="18">
        <f si="66" t="shared"/>
        <v>2.514955799637974E-3</v>
      </c>
      <c r="F97" s="18">
        <f si="66" t="shared"/>
        <v>2.4779099829842652E-2</v>
      </c>
      <c r="H97" s="12">
        <v>0.77083333333333337</v>
      </c>
      <c r="I97" s="17">
        <f ref="I97:M97" si="67" t="shared">I40/I$59</f>
        <v>4.490049265982868E-3</v>
      </c>
      <c r="J97" s="17">
        <f si="67" t="shared"/>
        <v>5.520623506513442E-3</v>
      </c>
      <c r="K97" s="17">
        <f si="67" t="shared"/>
        <v>3.9329545691517691E-2</v>
      </c>
      <c r="L97" s="17">
        <f si="67" t="shared"/>
        <v>5.9289526576213969E-3</v>
      </c>
      <c r="M97" s="18">
        <f si="67" t="shared"/>
        <v>2.4228177142028809E-2</v>
      </c>
    </row>
    <row r="98" spans="1:13" x14ac:dyDescent="0.25">
      <c r="A98" s="12">
        <v>0.79166666666666663</v>
      </c>
      <c r="B98" s="18">
        <f ref="B98:F98" si="68" t="shared">B41/B$59</f>
        <v>2.1309891164204764E-3</v>
      </c>
      <c r="C98" s="18">
        <f si="68" t="shared"/>
        <v>2.3768170476051193E-3</v>
      </c>
      <c r="D98" s="18">
        <f si="68" t="shared"/>
        <v>3.7499690527068544E-2</v>
      </c>
      <c r="E98" s="18">
        <f si="68" t="shared"/>
        <v>2.0176308502265752E-3</v>
      </c>
      <c r="F98" s="18">
        <f si="68" t="shared"/>
        <v>2.178851399531118E-2</v>
      </c>
      <c r="H98" s="12">
        <v>0.79166666666666663</v>
      </c>
      <c r="I98" s="17">
        <f ref="I98:M98" si="69" t="shared">I41/I$59</f>
        <v>3.6853118928066864E-3</v>
      </c>
      <c r="J98" s="17">
        <f si="69" t="shared"/>
        <v>4.8404047796749838E-3</v>
      </c>
      <c r="K98" s="17">
        <f si="69" t="shared"/>
        <v>3.6443403023977167E-2</v>
      </c>
      <c r="L98" s="17">
        <f si="69" t="shared"/>
        <v>4.6904667826232075E-3</v>
      </c>
      <c r="M98" s="18">
        <f si="69" t="shared"/>
        <v>2.2256932103768248E-2</v>
      </c>
    </row>
    <row r="99" spans="1:13" x14ac:dyDescent="0.25">
      <c r="A99" s="12">
        <v>0.8125</v>
      </c>
      <c r="B99" s="18">
        <f ref="B99:F99" si="70" t="shared">B42/B$59</f>
        <v>1.5663640467380312E-3</v>
      </c>
      <c r="C99" s="18">
        <f si="70" t="shared"/>
        <v>1.6416448010229342E-3</v>
      </c>
      <c r="D99" s="18">
        <f si="70" t="shared"/>
        <v>3.0975674315033144E-2</v>
      </c>
      <c r="E99" s="18">
        <f si="70" t="shared"/>
        <v>1.71656725695348E-3</v>
      </c>
      <c r="F99" s="18">
        <f si="70" t="shared"/>
        <v>1.7902049689406431E-2</v>
      </c>
      <c r="H99" s="12">
        <v>0.8125</v>
      </c>
      <c r="I99" s="17">
        <f ref="I99:M99" si="71" t="shared">I42/I$59</f>
        <v>2.9786707307893181E-3</v>
      </c>
      <c r="J99" s="17">
        <f si="71" t="shared"/>
        <v>4.1165058435716651E-3</v>
      </c>
      <c r="K99" s="17">
        <f si="71" t="shared"/>
        <v>3.2655440469246073E-2</v>
      </c>
      <c r="L99" s="17">
        <f si="71" t="shared"/>
        <v>3.7322594763215255E-3</v>
      </c>
      <c r="M99" s="18">
        <f si="71" t="shared"/>
        <v>1.9810058057266856E-2</v>
      </c>
    </row>
    <row r="100" spans="1:13" x14ac:dyDescent="0.25">
      <c r="A100" s="12">
        <v>0.83333333333333337</v>
      </c>
      <c r="B100" s="18">
        <f ref="B100:F100" si="72" t="shared">B43/B$59</f>
        <v>1.1778543787010491E-3</v>
      </c>
      <c r="C100" s="18">
        <f si="72" t="shared"/>
        <v>1.0520350076171888E-3</v>
      </c>
      <c r="D100" s="18">
        <f si="72" t="shared"/>
        <v>2.3946865839004818E-2</v>
      </c>
      <c r="E100" s="18">
        <f si="72" t="shared"/>
        <v>1.416811335982035E-3</v>
      </c>
      <c r="F100" s="18">
        <f si="72" t="shared"/>
        <v>1.3804500687838958E-2</v>
      </c>
      <c r="H100" s="12">
        <v>0.83333333333333337</v>
      </c>
      <c r="I100" s="17">
        <f ref="I100:M100" si="73" t="shared">I43/I$59</f>
        <v>2.4046576612879438E-3</v>
      </c>
      <c r="J100" s="17">
        <f si="73" t="shared"/>
        <v>3.4491999331193934E-3</v>
      </c>
      <c r="K100" s="17">
        <f si="73" t="shared"/>
        <v>2.8375851445921481E-2</v>
      </c>
      <c r="L100" s="17">
        <f si="73" t="shared"/>
        <v>3.1227272506202078E-3</v>
      </c>
      <c r="M100" s="18">
        <f si="73" t="shared"/>
        <v>1.7142398645524207E-2</v>
      </c>
    </row>
    <row r="101" spans="1:13" x14ac:dyDescent="0.25">
      <c r="A101" s="12">
        <v>0.85416666666666663</v>
      </c>
      <c r="B101" s="18">
        <f ref="B101:F101" si="74" t="shared">B44/B$59</f>
        <v>9.4038357637188483E-4</v>
      </c>
      <c r="C101" s="18">
        <f si="74" t="shared"/>
        <v>6.706314014203698E-4</v>
      </c>
      <c r="D101" s="18">
        <f si="74" t="shared"/>
        <v>1.7502759968643627E-2</v>
      </c>
      <c r="E101" s="18">
        <f si="74" t="shared"/>
        <v>1.0640921490863322E-3</v>
      </c>
      <c r="F101" s="18">
        <f si="74" t="shared"/>
        <v>1.0100050249485832E-2</v>
      </c>
      <c r="H101" s="12">
        <v>0.85416666666666663</v>
      </c>
      <c r="I101" s="17">
        <f ref="I101:M101" si="75" t="shared">I44/I$59</f>
        <v>1.9534773123626456E-3</v>
      </c>
      <c r="J101" s="17">
        <f si="75" t="shared"/>
        <v>2.8592385505100122E-3</v>
      </c>
      <c r="K101" s="17">
        <f si="75" t="shared"/>
        <v>2.3887185128145388E-2</v>
      </c>
      <c r="L101" s="17">
        <f si="75" t="shared"/>
        <v>2.7807101836323459E-3</v>
      </c>
      <c r="M101" s="18">
        <f si="75" t="shared"/>
        <v>1.4409954435062612E-2</v>
      </c>
    </row>
    <row r="102" spans="1:13" x14ac:dyDescent="0.25">
      <c r="A102" s="12">
        <v>0.875</v>
      </c>
      <c r="B102" s="18">
        <f ref="B102:F102" si="76" t="shared">B45/B$59</f>
        <v>8.074740076885787E-4</v>
      </c>
      <c r="C102" s="18">
        <f si="76" t="shared"/>
        <v>5.2097537534967259E-4</v>
      </c>
      <c r="D102" s="18">
        <f si="76" t="shared"/>
        <v>1.2261804471083585E-2</v>
      </c>
      <c r="E102" s="18">
        <f si="76" t="shared"/>
        <v>7.0676342134839542E-4</v>
      </c>
      <c r="F102" s="18">
        <f si="76" t="shared"/>
        <v>7.1233499362127507E-3</v>
      </c>
      <c r="H102" s="12">
        <v>0.875</v>
      </c>
      <c r="I102" s="17">
        <f ref="I102:M102" si="77" t="shared">I45/I$59</f>
        <v>1.5863220926382016E-3</v>
      </c>
      <c r="J102" s="17">
        <f si="77" t="shared"/>
        <v>2.3058473325913934E-3</v>
      </c>
      <c r="K102" s="17">
        <f si="77" t="shared"/>
        <v>1.9343637197859618E-2</v>
      </c>
      <c r="L102" s="17">
        <f si="77" t="shared"/>
        <v>2.513545990258147E-3</v>
      </c>
      <c r="M102" s="18">
        <f si="77" t="shared"/>
        <v>1.1677247942936441E-2</v>
      </c>
    </row>
    <row r="103" spans="1:13" x14ac:dyDescent="0.25">
      <c r="A103" s="12">
        <v>0.89583333333333337</v>
      </c>
      <c r="B103" s="18">
        <f ref="B103:F103" si="78" t="shared">B46/B$59</f>
        <v>7.1657885653184485E-4</v>
      </c>
      <c r="C103" s="18">
        <f si="78" t="shared"/>
        <v>6.1060131789149807E-4</v>
      </c>
      <c r="D103" s="18">
        <f si="78" t="shared"/>
        <v>8.3454297139499631E-3</v>
      </c>
      <c r="E103" s="18">
        <f si="78" t="shared"/>
        <v>4.1302241795738201E-4</v>
      </c>
      <c r="F103" s="18">
        <f si="78" t="shared"/>
        <v>4.9271649318455273E-3</v>
      </c>
      <c r="H103" s="12">
        <v>0.89583333333333337</v>
      </c>
      <c r="I103" s="17">
        <f ref="I103:M103" si="79" t="shared">I46/I$59</f>
        <v>1.2667186436102424E-3</v>
      </c>
      <c r="J103" s="17">
        <f si="79" t="shared"/>
        <v>1.7532556249110415E-3</v>
      </c>
      <c r="K103" s="17">
        <f si="79" t="shared"/>
        <v>1.490076249842557E-2</v>
      </c>
      <c r="L103" s="17">
        <f si="79" t="shared"/>
        <v>2.152975725315062E-3</v>
      </c>
      <c r="M103" s="18">
        <f si="79" t="shared"/>
        <v>9.0116139554841795E-3</v>
      </c>
    </row>
    <row r="104" spans="1:13" x14ac:dyDescent="0.25">
      <c r="A104" s="12">
        <v>0.91666666666666663</v>
      </c>
      <c r="B104" s="18">
        <f ref="B104:F104" si="80" t="shared">B47/B$59</f>
        <v>6.1356277280058568E-4</v>
      </c>
      <c r="C104" s="18">
        <f si="80" t="shared"/>
        <v>9.2150265045265879E-4</v>
      </c>
      <c r="D104" s="18">
        <f si="80" t="shared"/>
        <v>5.5611433804943072E-3</v>
      </c>
      <c r="E104" s="18">
        <f si="80" t="shared"/>
        <v>2.1374203806420663E-4</v>
      </c>
      <c r="F104" s="18">
        <f si="80" t="shared"/>
        <v>3.3879187368150098E-3</v>
      </c>
      <c r="H104" s="12">
        <v>0.91666666666666663</v>
      </c>
      <c r="I104" s="17">
        <f ref="I104:M104" si="81" t="shared">I47/I$59</f>
        <v>9.7917038954464493E-4</v>
      </c>
      <c r="J104" s="17">
        <f si="81" t="shared"/>
        <v>1.2167564619630872E-3</v>
      </c>
      <c r="K104" s="17">
        <f si="81" t="shared"/>
        <v>1.0801163989805924E-2</v>
      </c>
      <c r="L104" s="17">
        <f si="81" t="shared"/>
        <v>1.6614747808464977E-3</v>
      </c>
      <c r="M104" s="18">
        <f si="81" t="shared"/>
        <v>6.5456911744297928E-3</v>
      </c>
    </row>
    <row r="105" spans="1:13" x14ac:dyDescent="0.25">
      <c r="A105" s="12">
        <v>0.9375</v>
      </c>
      <c r="B105" s="18">
        <f ref="B105:F105" si="82" t="shared">B48/B$59</f>
        <v>4.7879503763668528E-4</v>
      </c>
      <c r="C105" s="18">
        <f si="82" t="shared"/>
        <v>1.3648870765811064E-3</v>
      </c>
      <c r="D105" s="18">
        <f si="82" t="shared"/>
        <v>3.6200811561032213E-3</v>
      </c>
      <c r="E105" s="18">
        <f si="82" t="shared"/>
        <v>9.861164263123987E-5</v>
      </c>
      <c r="F105" s="18">
        <f si="82" t="shared"/>
        <v>2.3277074053845285E-3</v>
      </c>
      <c r="H105" s="12">
        <v>0.9375</v>
      </c>
      <c r="I105" s="17">
        <f ref="I105:M105" si="83" t="shared">I48/I$59</f>
        <v>7.2572856697777238E-4</v>
      </c>
      <c r="J105" s="17">
        <f si="83" t="shared"/>
        <v>7.5139014742764204E-4</v>
      </c>
      <c r="K105" s="17">
        <f si="83" t="shared"/>
        <v>7.31845435295917E-3</v>
      </c>
      <c r="L105" s="17">
        <f si="83" t="shared"/>
        <v>1.1253951265765643E-3</v>
      </c>
      <c r="M105" s="18">
        <f si="83" t="shared"/>
        <v>4.4433475847152036E-3</v>
      </c>
    </row>
    <row r="106" spans="1:13" x14ac:dyDescent="0.25">
      <c r="A106" s="12">
        <v>0.95833333333333337</v>
      </c>
      <c r="B106" s="18">
        <f ref="B106:F106" si="84" t="shared">B49/B$59</f>
        <v>3.2949109733055237E-4</v>
      </c>
      <c r="C106" s="18">
        <f si="84" t="shared"/>
        <v>1.7620347083389595E-3</v>
      </c>
      <c r="D106" s="18">
        <f si="84" t="shared"/>
        <v>2.2743241508299938E-3</v>
      </c>
      <c r="E106" s="18">
        <f si="84" t="shared"/>
        <v>4.0348979365345333E-5</v>
      </c>
      <c r="F106" s="18">
        <f si="84" t="shared"/>
        <v>1.5893702070267565E-3</v>
      </c>
      <c r="H106" s="12">
        <v>0.95833333333333337</v>
      </c>
      <c r="I106" s="17">
        <f ref="I106:M106" si="85" t="shared">I49/I$59</f>
        <v>5.126122060120881E-4</v>
      </c>
      <c r="J106" s="17">
        <f si="85" t="shared"/>
        <v>4.0615656912575896E-4</v>
      </c>
      <c r="K106" s="17">
        <f si="85" t="shared"/>
        <v>4.627320355050534E-3</v>
      </c>
      <c r="L106" s="17">
        <f si="85" t="shared"/>
        <v>6.6342271344925279E-4</v>
      </c>
      <c r="M106" s="18">
        <f si="85" t="shared"/>
        <v>2.8143167790217671E-3</v>
      </c>
    </row>
    <row r="107" spans="1:13" x14ac:dyDescent="0.25">
      <c r="A107" s="12">
        <v>0.97916666666666663</v>
      </c>
      <c r="B107" s="18">
        <f ref="B107:F107" si="86" t="shared">B50/B$59</f>
        <v>1.9705378473519378E-4</v>
      </c>
      <c r="C107" s="18">
        <f si="86" t="shared"/>
        <v>1.9146437213788219E-3</v>
      </c>
      <c r="D107" s="18">
        <f si="86" t="shared"/>
        <v>1.3547479810358681E-3</v>
      </c>
      <c r="E107" s="18">
        <f si="86" t="shared"/>
        <v>1.4284310779543068E-5</v>
      </c>
      <c r="F107" s="18">
        <f si="86" t="shared"/>
        <v>1.0609766281552068E-3</v>
      </c>
      <c r="H107" s="12">
        <v>0.97916666666666663</v>
      </c>
      <c r="I107" s="17">
        <f ref="I107:M107" si="87" t="shared">I50/I$59</f>
        <v>3.4190035386483871E-4</v>
      </c>
      <c r="J107" s="17">
        <f si="87" t="shared"/>
        <v>1.9089851505941398E-4</v>
      </c>
      <c r="K107" s="17">
        <f si="87" t="shared"/>
        <v>2.7315928711379536E-3</v>
      </c>
      <c r="L107" s="17">
        <f si="87" t="shared"/>
        <v>3.4217639949064708E-4</v>
      </c>
      <c r="M107" s="18">
        <f si="87" t="shared"/>
        <v>1.6646552169836076E-3</v>
      </c>
    </row>
    <row r="108" spans="1:13" x14ac:dyDescent="0.25">
      <c r="A108" s="12">
        <v>1</v>
      </c>
      <c r="B108" s="18">
        <f ref="B108:F108" si="88" t="shared">B51/B$59</f>
        <v>1.0206489866615257E-4</v>
      </c>
      <c r="C108" s="18">
        <f si="88" t="shared"/>
        <v>1.7319129775995048E-3</v>
      </c>
      <c r="D108" s="18">
        <f si="88" t="shared"/>
        <v>7.5063202184386492E-4</v>
      </c>
      <c r="E108" s="18">
        <f si="88" t="shared"/>
        <v>4.1893011226627087E-6</v>
      </c>
      <c r="F108" s="18">
        <f si="88" t="shared"/>
        <v>6.7440963442666902E-4</v>
      </c>
      <c r="H108" s="12">
        <v>1</v>
      </c>
      <c r="I108" s="17">
        <f ref="I108:M108" si="89" t="shared">I51/I$59</f>
        <v>2.1169777909144525E-4</v>
      </c>
      <c r="J108" s="17">
        <f si="89" t="shared"/>
        <v>7.8518255668918121E-5</v>
      </c>
      <c r="K108" s="17">
        <f si="89" t="shared"/>
        <v>1.500769933343644E-3</v>
      </c>
      <c r="L108" s="17">
        <f si="89" t="shared"/>
        <v>1.5734128994180345E-4</v>
      </c>
      <c r="M108" s="18">
        <f si="89" t="shared"/>
        <v>9.1698937485162185E-4</v>
      </c>
    </row>
    <row r="109" spans="1:13" x14ac:dyDescent="0.25">
      <c r="A109" s="12">
        <v>1.0208333333333333</v>
      </c>
      <c r="B109" s="18">
        <f ref="B109:F109" si="90" t="shared">B52/B$59</f>
        <v>4.594014705948837E-5</v>
      </c>
      <c r="C109" s="18">
        <f si="90" t="shared"/>
        <v>1.2960902648413313E-3</v>
      </c>
      <c r="D109" s="18">
        <f si="90" t="shared"/>
        <v>3.7959097550169159E-4</v>
      </c>
      <c r="E109" s="18">
        <f si="90" t="shared"/>
        <v>9.5987828806703728E-7</v>
      </c>
      <c r="F109" s="18">
        <f si="90" t="shared"/>
        <v>3.9494146380325042E-4</v>
      </c>
      <c r="H109" s="12">
        <v>1.0208333333333333</v>
      </c>
      <c r="I109" s="17">
        <f ref="I109:M109" si="91" t="shared">I52/I$59</f>
        <v>1.1875364146694435E-4</v>
      </c>
      <c r="J109" s="17">
        <f si="91" t="shared"/>
        <v>2.8960975289587562E-5</v>
      </c>
      <c r="K109" s="17">
        <f si="91" t="shared"/>
        <v>7.5803101265977638E-4</v>
      </c>
      <c r="L109" s="17">
        <f si="91" t="shared"/>
        <v>6.637263499826871E-5</v>
      </c>
      <c r="M109" s="18">
        <f si="91" t="shared"/>
        <v>4.6472579515137392E-4</v>
      </c>
    </row>
    <row r="110" spans="1:13" x14ac:dyDescent="0.25">
      <c r="A110" s="12">
        <v>4.1666666666666664E-2</v>
      </c>
      <c r="B110" s="18">
        <f ref="B110:F110" si="92" t="shared">B53/B$59</f>
        <v>1.8089969471988093E-5</v>
      </c>
      <c r="C110" s="18">
        <f si="92" t="shared"/>
        <v>7.9674642292762205E-4</v>
      </c>
      <c r="D110" s="18">
        <f si="92" t="shared"/>
        <v>1.7179590321044511E-4</v>
      </c>
      <c r="E110" s="18">
        <f si="92" t="shared"/>
        <v>1.5881761522410622E-7</v>
      </c>
      <c r="F110" s="18">
        <f si="92" t="shared"/>
        <v>2.0574176225910185E-4</v>
      </c>
      <c r="H110" s="12">
        <v>4.1666666666666664E-2</v>
      </c>
      <c r="I110" s="17">
        <f ref="I110:M110" si="93" t="shared">I53/I$59</f>
        <v>5.8674423661171962E-5</v>
      </c>
      <c r="J110" s="17">
        <f si="93" t="shared"/>
        <v>9.9605736987666708E-6</v>
      </c>
      <c r="K110" s="17">
        <f si="93" t="shared"/>
        <v>3.4406551818843092E-4</v>
      </c>
      <c r="L110" s="17">
        <f si="93" t="shared"/>
        <v>2.6251248416491455E-5</v>
      </c>
      <c r="M110" s="18">
        <f si="93" t="shared"/>
        <v>2.1175276221291979E-4</v>
      </c>
    </row>
    <row r="111" spans="1:13" x14ac:dyDescent="0.25">
      <c r="A111" s="12">
        <v>6.25E-2</v>
      </c>
      <c r="B111" s="18">
        <f ref="B111:F111" si="94" t="shared">B54/B$59</f>
        <v>6.2593819355607646E-6</v>
      </c>
      <c r="C111" s="18">
        <f si="94" t="shared"/>
        <v>3.9813804083819212E-4</v>
      </c>
      <c r="D111" s="18">
        <f si="94" t="shared"/>
        <v>6.8095392286134435E-5</v>
      </c>
      <c r="E111" s="18">
        <f si="94" t="shared"/>
        <v>1.6717643707800659E-8</v>
      </c>
      <c r="F111" s="18">
        <f si="94" t="shared"/>
        <v>9.2170643263787743E-5</v>
      </c>
      <c r="H111" s="12">
        <v>6.25E-2</v>
      </c>
      <c r="I111" s="17">
        <f ref="I111:M111" si="95" t="shared">I54/I$59</f>
        <v>2.4799165273737527E-5</v>
      </c>
      <c r="J111" s="17">
        <f si="95" t="shared"/>
        <v>3.2753278489528968E-6</v>
      </c>
      <c r="K111" s="17">
        <f si="95" t="shared"/>
        <v>1.3614442421137516E-4</v>
      </c>
      <c r="L111" s="17">
        <f si="95" t="shared"/>
        <v>9.6463748712631787E-6</v>
      </c>
      <c r="M111" s="18">
        <f si="95" t="shared"/>
        <v>8.4126070407319542E-5</v>
      </c>
    </row>
    <row r="112" spans="1:13" x14ac:dyDescent="0.25">
      <c r="A112" s="12">
        <v>8.3333333333333329E-2</v>
      </c>
      <c r="B112" s="18">
        <f ref="B112:F112" si="96" t="shared">B55/B$59</f>
        <v>1.8911157524956421E-6</v>
      </c>
      <c r="C112" s="18">
        <f si="96" t="shared"/>
        <v>1.591948309112507E-4</v>
      </c>
      <c r="D112" s="18">
        <f si="96" t="shared"/>
        <v>2.3060294885145625E-5</v>
      </c>
      <c r="E112" s="18">
        <f si="96" t="shared"/>
        <v>8.3588218539003285E-10</v>
      </c>
      <c r="F112" s="18">
        <f si="96" t="shared"/>
        <v>3.4368345110683825E-5</v>
      </c>
      <c r="H112" s="12">
        <v>8.3333333333333329E-2</v>
      </c>
      <c r="I112" s="17">
        <f ref="I112:M112" si="97" t="shared">I55/I$59</f>
        <v>8.6991266000658096E-6</v>
      </c>
      <c r="J112" s="17">
        <f si="97" t="shared"/>
        <v>1.0029681236949874E-6</v>
      </c>
      <c r="K112" s="17">
        <f si="97" t="shared"/>
        <v>4.5366940628065624E-5</v>
      </c>
      <c r="L112" s="17">
        <f si="97" t="shared"/>
        <v>3.1480331928582204E-6</v>
      </c>
      <c r="M112" s="18">
        <f si="97" t="shared"/>
        <v>2.8142044244408697E-5</v>
      </c>
    </row>
    <row r="113" spans="1:13" x14ac:dyDescent="0.25">
      <c r="A113" s="12">
        <v>0.10416666666666667</v>
      </c>
      <c r="B113" s="18">
        <f ref="B113:F113" si="98" t="shared">B56/B$59</f>
        <v>4.8624773419930329E-7</v>
      </c>
      <c r="C113" s="18">
        <f si="98" t="shared"/>
        <v>4.9724554837728787E-5</v>
      </c>
      <c r="D113" s="18">
        <f si="98" t="shared"/>
        <v>6.4795111484279403E-6</v>
      </c>
      <c r="E113" s="18">
        <f si="98" t="shared"/>
        <v>0</v>
      </c>
      <c r="F113" s="18">
        <f si="98" t="shared"/>
        <v>1.0303979878707423E-5</v>
      </c>
      <c r="H113" s="12">
        <v>0.10416666666666667</v>
      </c>
      <c r="I113" s="17">
        <f ref="I113:M113" si="99" t="shared">I56/I$59</f>
        <v>2.4471636116227491E-6</v>
      </c>
      <c r="J113" s="17">
        <f si="99" t="shared"/>
        <v>2.6578068597204568E-7</v>
      </c>
      <c r="K113" s="17">
        <f si="99" t="shared"/>
        <v>1.2245564557772722E-5</v>
      </c>
      <c r="L113" s="17">
        <f si="99" t="shared"/>
        <v>8.5662305210374731E-7</v>
      </c>
      <c r="M113" s="18">
        <f si="99" t="shared"/>
        <v>7.6235853398609408E-6</v>
      </c>
    </row>
    <row r="114" spans="1:13" x14ac:dyDescent="0.25">
      <c r="A114" s="12">
        <v>0.125</v>
      </c>
      <c r="B114" s="18">
        <f ref="B114:F114" si="100" t="shared">B57/B$59</f>
        <v>9.9704211064059079E-8</v>
      </c>
      <c r="C114" s="18">
        <f si="100" t="shared"/>
        <v>1.1494659085742889E-5</v>
      </c>
      <c r="D114" s="18">
        <f si="100" t="shared"/>
        <v>1.4292749804434238E-6</v>
      </c>
      <c r="E114" s="18">
        <f si="100" t="shared"/>
        <v>0</v>
      </c>
      <c r="F114" s="18">
        <f si="100" t="shared"/>
        <v>2.3402913544300941E-6</v>
      </c>
      <c r="H114" s="12">
        <v>0.125</v>
      </c>
      <c r="I114" s="17">
        <f ref="I114:M114" si="101" t="shared">I57/I$59</f>
        <v>5.2041750049989193E-7</v>
      </c>
      <c r="J114" s="17">
        <f si="101" t="shared"/>
        <v>5.5085568589500569E-8</v>
      </c>
      <c r="K114" s="17">
        <f si="101" t="shared"/>
        <v>2.5172676532397153E-6</v>
      </c>
      <c r="L114" s="17">
        <f si="101" t="shared"/>
        <v>1.7910804199548874E-7</v>
      </c>
      <c r="M114" s="18">
        <f si="101" t="shared"/>
        <v>1.572174563924836E-6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Q115"/>
  <sheetViews>
    <sheetView topLeftCell="D37" workbookViewId="0">
      <selection activeCell="Z59" sqref="Z59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>
        <f>SUM(B8:E8)</f>
        <v>0</v>
      </c>
      <c r="H8" t="s">
        <v>5</v>
      </c>
      <c r="I8" s="9" t="n">
        <v>15542.0</v>
      </c>
      <c r="J8" s="9" t="n">
        <v>84.0</v>
      </c>
      <c r="K8" s="9" t="n">
        <v>19914.0</v>
      </c>
      <c r="L8" s="9" t="n">
        <v>58.0</v>
      </c>
      <c r="M8">
        <f>SUM(I8:L8)</f>
        <v>30096.369189347795</v>
      </c>
      <c r="O8" s="5"/>
      <c r="P8" s="16"/>
      <c r="Q8" s="16"/>
    </row>
    <row r="9" spans="1:17" x14ac:dyDescent="0.25">
      <c r="A9" s="12">
        <v>0.125</v>
      </c>
      <c r="B9" s="6" t="n">
        <v>17.11150457159455</v>
      </c>
      <c r="C9" s="6" t="n">
        <v>3.8800589823722853</v>
      </c>
      <c r="D9" s="6" t="n">
        <v>998.6470809243673</v>
      </c>
      <c r="E9" s="6" t="n">
        <v>3.343201292712906</v>
      </c>
      <c r="F9" s="6">
        <f ref="F9:F58" si="0" t="shared">SUM(B9:E9)</f>
        <v>1022.981845771047</v>
      </c>
      <c r="H9" s="12">
        <v>0.125</v>
      </c>
      <c r="I9" s="9" t="n">
        <v>10356.912534713745</v>
      </c>
      <c r="J9" s="9" t="n">
        <v>56.202524185180664</v>
      </c>
      <c r="K9" s="9" t="n">
        <v>15498.454211235046</v>
      </c>
      <c r="L9" s="9" t="n">
        <v>58.5942907333374</v>
      </c>
      <c r="M9">
        <f ref="M9:M58" si="1" t="shared">SUM(I9:L9)</f>
        <v>22947.454578048306</v>
      </c>
      <c r="O9" s="5"/>
      <c r="P9" s="16"/>
      <c r="Q9" s="16"/>
    </row>
    <row r="10" spans="1:17" x14ac:dyDescent="0.25">
      <c r="A10" s="12">
        <v>0.14583333333333334</v>
      </c>
      <c r="B10" s="6" t="n">
        <v>35.245056805670814</v>
      </c>
      <c r="C10" s="6" t="n">
        <v>6.584155888646617</v>
      </c>
      <c r="D10" s="6" t="n">
        <v>2092.3833069830616</v>
      </c>
      <c r="E10" s="6" t="n">
        <v>8.453766866949547</v>
      </c>
      <c r="F10" s="6">
        <f si="0" t="shared"/>
        <v>2142.6662865443286</v>
      </c>
      <c r="H10" s="12">
        <v>0.14583333333333334</v>
      </c>
      <c r="I10" s="9" t="n">
        <v>6052.209209442139</v>
      </c>
      <c r="J10" s="9" t="n">
        <v>34.11879825592041</v>
      </c>
      <c r="K10" s="9" t="n">
        <v>11991.57992553711</v>
      </c>
      <c r="L10" s="9" t="n">
        <v>72.22674655914307</v>
      </c>
      <c r="M10">
        <f si="1" t="shared"/>
        <v>16921.700707439348</v>
      </c>
      <c r="O10" s="5"/>
      <c r="P10" s="16"/>
      <c r="Q10" s="16"/>
    </row>
    <row r="11" spans="1:17" x14ac:dyDescent="0.25">
      <c r="A11" s="12">
        <v>0.16666666666666666</v>
      </c>
      <c r="B11" s="6" t="n">
        <v>56.561725492164996</v>
      </c>
      <c r="C11" s="6" t="n">
        <v>7.574608449860031</v>
      </c>
      <c r="D11" s="6" t="n">
        <v>3413.6542016821827</v>
      </c>
      <c r="E11" s="6" t="n">
        <v>17.51050077693235</v>
      </c>
      <c r="F11" s="6">
        <f si="0" t="shared"/>
        <v>3495.3010364011402</v>
      </c>
      <c r="H11" s="12">
        <v>0.16666666666666666</v>
      </c>
      <c r="I11" s="9" t="n">
        <v>3112.815589904785</v>
      </c>
      <c r="J11" s="9" t="n">
        <v>23.30784320831299</v>
      </c>
      <c r="K11" s="9" t="n">
        <v>9978.39428138733</v>
      </c>
      <c r="L11" s="9" t="n">
        <v>110.89882564544678</v>
      </c>
      <c r="M11">
        <f si="1" t="shared"/>
        <v>12822.947580911634</v>
      </c>
      <c r="O11" s="5"/>
      <c r="P11" s="16"/>
      <c r="Q11" s="16"/>
    </row>
    <row r="12" spans="1:17" x14ac:dyDescent="0.25">
      <c r="A12" s="12">
        <v>0.1875</v>
      </c>
      <c r="B12" s="6" t="n">
        <v>90.31684413929148</v>
      </c>
      <c r="C12" s="6" t="n">
        <v>7.272781101792092</v>
      </c>
      <c r="D12" s="6" t="n">
        <v>5191.467564504944</v>
      </c>
      <c r="E12" s="6" t="n">
        <v>34.379912681455146</v>
      </c>
      <c r="F12" s="6">
        <f si="0" t="shared"/>
        <v>5323.4371024274824</v>
      </c>
      <c r="H12" s="12">
        <v>0.1875</v>
      </c>
      <c r="I12" s="9" t="n">
        <v>1521.9684267044067</v>
      </c>
      <c r="J12" s="9" t="n">
        <v>31.26719093322754</v>
      </c>
      <c r="K12" s="9" t="n">
        <v>9691.802802085876</v>
      </c>
      <c r="L12" s="9" t="n">
        <v>183.7947702407837</v>
      </c>
      <c r="M12">
        <f si="1" t="shared"/>
        <v>11049.853471634042</v>
      </c>
      <c r="O12" s="5"/>
      <c r="P12" s="5"/>
      <c r="Q12" s="5"/>
    </row>
    <row r="13" spans="1:17" x14ac:dyDescent="0.25">
      <c r="A13" s="12">
        <v>0.20833333333333334</v>
      </c>
      <c r="B13" s="6" t="n">
        <v>162.55895380688577</v>
      </c>
      <c r="C13" s="6" t="n">
        <v>7.650379277909094</v>
      </c>
      <c r="D13" s="6" t="n">
        <v>7810.554796520386</v>
      </c>
      <c r="E13" s="6" t="n">
        <v>66.80714011207739</v>
      </c>
      <c r="F13" s="6">
        <f si="0" t="shared"/>
        <v>8047.5712697172585</v>
      </c>
      <c r="H13" s="12">
        <v>0.20833333333333334</v>
      </c>
      <c r="I13" s="9" t="n">
        <v>960.032431602478</v>
      </c>
      <c r="J13" s="9" t="n">
        <v>70.68694019317627</v>
      </c>
      <c r="K13" s="9" t="n">
        <v>11241.49907207489</v>
      </c>
      <c r="L13" s="9" t="n">
        <v>295.41111278533936</v>
      </c>
      <c r="M13">
        <f si="1" t="shared"/>
        <v>11755.721332882196</v>
      </c>
    </row>
    <row r="14" spans="1:17" x14ac:dyDescent="0.25">
      <c r="A14" s="12">
        <v>0.22916666666666666</v>
      </c>
      <c r="B14" s="6" t="n">
        <v>321.26989098878175</v>
      </c>
      <c r="C14" s="6" t="n">
        <v>14.971829899058152</v>
      </c>
      <c r="D14" s="6" t="n">
        <v>11802.212012129328</v>
      </c>
      <c r="E14" s="6" t="n">
        <v>128.378365195486</v>
      </c>
      <c r="F14" s="6">
        <f si="0" t="shared"/>
        <v>12266.832098212653</v>
      </c>
      <c r="H14" s="12">
        <v>0.22916666666666666</v>
      </c>
      <c r="I14" s="9" t="n">
        <v>1083.5564393997192</v>
      </c>
      <c r="J14" s="9" t="n">
        <v>159.3080348968506</v>
      </c>
      <c r="K14" s="9" t="n">
        <v>14803.893976211548</v>
      </c>
      <c r="L14" s="9" t="n">
        <v>447.4063911437988</v>
      </c>
      <c r="M14">
        <f si="1" t="shared"/>
        <v>15049.269496714169</v>
      </c>
    </row>
    <row r="15" spans="1:17" x14ac:dyDescent="0.25">
      <c r="A15" s="12">
        <v>0.25</v>
      </c>
      <c r="B15" s="6" t="n">
        <v>627.7806265308396</v>
      </c>
      <c r="C15" s="6" t="n">
        <v>47.41314778292083</v>
      </c>
      <c r="D15" s="6" t="n">
        <v>17702.862986390235</v>
      </c>
      <c r="E15" s="6" t="n">
        <v>238.5958192161412</v>
      </c>
      <c r="F15" s="6">
        <f si="0" t="shared"/>
        <v>18616.652579920137</v>
      </c>
      <c r="H15" s="12">
        <v>0.25</v>
      </c>
      <c r="I15" s="9" t="n">
        <v>1675.2210416793823</v>
      </c>
      <c r="J15" s="9" t="n">
        <v>313.0144672393799</v>
      </c>
      <c r="K15" s="9" t="n">
        <v>20571.301067352295</v>
      </c>
      <c r="L15" s="9" t="n">
        <v>648.4459218978882</v>
      </c>
      <c r="M15">
        <f si="1" t="shared"/>
        <v>21033.162864461992</v>
      </c>
    </row>
    <row r="16" spans="1:17" x14ac:dyDescent="0.25">
      <c r="A16" s="12">
        <v>0.27083333333333331</v>
      </c>
      <c r="B16" s="6" t="n">
        <v>1136.1593263577827</v>
      </c>
      <c r="C16" s="6" t="n">
        <v>148.46758568085153</v>
      </c>
      <c r="D16" s="6" t="n">
        <v>25788.032521135952</v>
      </c>
      <c r="E16" s="6" t="n">
        <v>420.5476448865955</v>
      </c>
      <c r="F16" s="6">
        <f si="0" t="shared"/>
        <v>27493.207078061183</v>
      </c>
      <c r="H16" s="12">
        <v>0.27083333333333331</v>
      </c>
      <c r="I16" s="9" t="n">
        <v>2641.3389835357666</v>
      </c>
      <c r="J16" s="9" t="n">
        <v>536.4509286880493</v>
      </c>
      <c r="K16" s="9" t="n">
        <v>28545.284299850464</v>
      </c>
      <c r="L16" s="9" t="n">
        <v>929.0530366897583</v>
      </c>
      <c r="M16">
        <f si="1" t="shared"/>
        <v>29680.01050323313</v>
      </c>
    </row>
    <row r="17" spans="1:13" x14ac:dyDescent="0.25">
      <c r="A17" s="12">
        <v>0.29166666666666669</v>
      </c>
      <c r="B17" s="6" t="n">
        <v>1877.9423481158667</v>
      </c>
      <c r="C17" s="6" t="n">
        <v>399.47071066966447</v>
      </c>
      <c r="D17" s="6" t="n">
        <v>35794.984036961025</v>
      </c>
      <c r="E17" s="6" t="n">
        <v>698.0621057537762</v>
      </c>
      <c r="F17" s="6">
        <f si="0" t="shared"/>
        <v>38770.459201500336</v>
      </c>
      <c r="H17" s="12">
        <v>0.29166666666666669</v>
      </c>
      <c r="I17" s="9" t="n">
        <v>3971.306679725647</v>
      </c>
      <c r="J17" s="9" t="n">
        <v>823.4373121261597</v>
      </c>
      <c r="K17" s="9" t="n">
        <v>38404.198466300964</v>
      </c>
      <c r="L17" s="9" t="n">
        <v>1350.2027215957642</v>
      </c>
      <c r="M17">
        <f si="1" t="shared"/>
        <v>40730.4732564804</v>
      </c>
    </row>
    <row r="18" spans="1:13" x14ac:dyDescent="0.25">
      <c r="A18" s="12">
        <v>0.3125</v>
      </c>
      <c r="B18" s="6" t="n">
        <v>2870.4520475581785</v>
      </c>
      <c r="C18" s="6" t="n">
        <v>914.4804777352787</v>
      </c>
      <c r="D18" s="6" t="n">
        <v>46830.2103693613</v>
      </c>
      <c r="E18" s="6" t="n">
        <v>1095.7495012863437</v>
      </c>
      <c r="F18" s="6">
        <f si="0" t="shared"/>
        <v>51710.892395941104</v>
      </c>
      <c r="H18" s="12">
        <v>0.3125</v>
      </c>
      <c r="I18" s="9" t="n">
        <v>5757.5723514556885</v>
      </c>
      <c r="J18" s="9" t="n">
        <v>1175.8661727905273</v>
      </c>
      <c r="K18" s="9" t="n">
        <v>49563.188241004944</v>
      </c>
      <c r="L18" s="9" t="n">
        <v>1998.7798461914062</v>
      </c>
      <c r="M18">
        <f si="1" t="shared"/>
        <v>53772.840938293717</v>
      </c>
    </row>
    <row r="19" spans="1:13" x14ac:dyDescent="0.25">
      <c r="A19" s="12">
        <v>0.33333333333333331</v>
      </c>
      <c r="B19" s="6" t="n">
        <v>4144.704688548639</v>
      </c>
      <c r="C19" s="6" t="n">
        <v>1804.1308465892828</v>
      </c>
      <c r="D19" s="6" t="n">
        <v>57638.3943240229</v>
      </c>
      <c r="E19" s="6" t="n">
        <v>1644.2005767272906</v>
      </c>
      <c r="F19" s="6">
        <f si="0" t="shared"/>
        <v>65231.430435888113</v>
      </c>
      <c r="H19" s="12">
        <v>0.33333333333333331</v>
      </c>
      <c r="I19" s="9" t="n">
        <v>8252.31470298767</v>
      </c>
      <c r="J19" s="9" t="n">
        <v>1630.21706199646</v>
      </c>
      <c r="K19" s="9" t="n">
        <v>61336.61866855621</v>
      </c>
      <c r="L19" s="9" t="n">
        <v>2975.8321075439453</v>
      </c>
      <c r="M19">
        <f si="1" t="shared"/>
        <v>68444.095001415903</v>
      </c>
    </row>
    <row r="20" spans="1:13" x14ac:dyDescent="0.25">
      <c r="A20" s="12">
        <v>0.35416666666666669</v>
      </c>
      <c r="B20" s="6" t="n">
        <v>5768.537487460554</v>
      </c>
      <c r="C20" s="6" t="n">
        <v>3123.9166733287693</v>
      </c>
      <c r="D20" s="6" t="n">
        <v>67204.95914441289</v>
      </c>
      <c r="E20" s="6" t="n">
        <v>2390.946086985078</v>
      </c>
      <c r="F20" s="6">
        <f si="0" t="shared"/>
        <v>78488.359392187282</v>
      </c>
      <c r="H20" s="12">
        <v>0.35416666666666669</v>
      </c>
      <c r="I20" s="9" t="n">
        <v>11830.961166381836</v>
      </c>
      <c r="J20" s="9" t="n">
        <v>2261.7626962661743</v>
      </c>
      <c r="K20" s="9" t="n">
        <v>73028.69356822968</v>
      </c>
      <c r="L20" s="9" t="n">
        <v>4382.113760948181</v>
      </c>
      <c r="M20">
        <f si="1" t="shared"/>
        <v>84496.803729751293</v>
      </c>
    </row>
    <row r="21" spans="1:13" x14ac:dyDescent="0.25">
      <c r="A21" s="12">
        <v>0.375</v>
      </c>
      <c r="B21" s="6" t="n">
        <v>7850.454491053775</v>
      </c>
      <c r="C21" s="6" t="n">
        <v>4850.921612404171</v>
      </c>
      <c r="D21" s="6" t="n">
        <v>75335.82850225679</v>
      </c>
      <c r="E21" s="6" t="n">
        <v>3418.0121355582746</v>
      </c>
      <c r="F21" s="6">
        <f si="0" t="shared"/>
        <v>91455.21674127302</v>
      </c>
      <c r="H21" s="12">
        <v>0.375</v>
      </c>
      <c r="I21" s="9" t="n">
        <v>16770.35678577423</v>
      </c>
      <c r="J21" s="9" t="n">
        <v>3147.932427406311</v>
      </c>
      <c r="K21" s="9" t="n">
        <v>83891.72595596313</v>
      </c>
      <c r="L21" s="9" t="n">
        <v>6289.224606513977</v>
      </c>
      <c r="M21">
        <f si="1" t="shared"/>
        <v>101554.07624241138</v>
      </c>
    </row>
    <row r="22" spans="1:13" x14ac:dyDescent="0.25">
      <c r="A22" s="12">
        <v>0.39583333333333331</v>
      </c>
      <c r="B22" s="6" t="n">
        <v>10528.664638084645</v>
      </c>
      <c r="C22" s="6" t="n">
        <v>6911.687380394827</v>
      </c>
      <c r="D22" s="6" t="n">
        <v>82707.03172414756</v>
      </c>
      <c r="E22" s="6" t="n">
        <v>4860.311610393279</v>
      </c>
      <c r="F22" s="6">
        <f si="0" t="shared"/>
        <v>105007.69535302032</v>
      </c>
      <c r="H22" s="12">
        <v>0.39583333333333331</v>
      </c>
      <c r="I22" s="9" t="n">
        <v>22949.036207199097</v>
      </c>
      <c r="J22" s="9" t="n">
        <v>4322.33903503418</v>
      </c>
      <c r="K22" s="9" t="n">
        <v>93080.07420158386</v>
      </c>
      <c r="L22" s="9" t="n">
        <v>8688.05031299591</v>
      </c>
      <c r="M22">
        <f si="1" t="shared"/>
        <v>118744.70332041517</v>
      </c>
    </row>
    <row r="23" spans="1:13" x14ac:dyDescent="0.25">
      <c r="A23" s="12">
        <v>0.41666666666666669</v>
      </c>
      <c r="B23" s="6" t="n">
        <v>13935.459088977044</v>
      </c>
      <c r="C23" s="6" t="n">
        <v>9224.622212927608</v>
      </c>
      <c r="D23" s="6" t="n">
        <v>90196.71960309343</v>
      </c>
      <c r="E23" s="6" t="n">
        <v>6893.236942099768</v>
      </c>
      <c r="F23" s="6">
        <f si="0" t="shared"/>
        <v>120250.03784709786</v>
      </c>
      <c r="H23" s="12">
        <v>0.41666666666666669</v>
      </c>
      <c r="I23" s="9" t="n">
        <v>29749.238574028015</v>
      </c>
      <c r="J23" s="9" t="n">
        <v>5794.958238601685</v>
      </c>
      <c r="K23" s="9" t="n">
        <v>99784.52518367767</v>
      </c>
      <c r="L23" s="9" t="n">
        <v>11440.255712509155</v>
      </c>
      <c r="M23">
        <f si="1" t="shared"/>
        <v>134710.43068667705</v>
      </c>
    </row>
    <row r="24" spans="1:13" x14ac:dyDescent="0.25">
      <c r="A24" s="12">
        <v>0.4375</v>
      </c>
      <c r="B24" s="6" t="n">
        <v>18110.733252362254</v>
      </c>
      <c r="C24" s="6" t="n">
        <v>11722.79599537596</v>
      </c>
      <c r="D24" s="6" t="n">
        <v>97959.63207786994</v>
      </c>
      <c r="E24" s="6" t="n">
        <v>9636.1007074408</v>
      </c>
      <c r="F24" s="6">
        <f si="0" t="shared"/>
        <v>137429.26203304896</v>
      </c>
      <c r="H24" s="12">
        <v>0.4375</v>
      </c>
      <c r="I24" s="9" t="n">
        <v>36336.486877441406</v>
      </c>
      <c r="J24" s="9" t="n">
        <v>7680.367630958557</v>
      </c>
      <c r="K24" s="9" t="n">
        <v>103566.30331420898</v>
      </c>
      <c r="L24" s="9" t="n">
        <v>14275.765705108643</v>
      </c>
      <c r="M24">
        <f si="1" t="shared"/>
        <v>148258.15678505614</v>
      </c>
    </row>
    <row r="25" spans="1:13" x14ac:dyDescent="0.25">
      <c r="A25" s="12">
        <v>0.45833333333333331</v>
      </c>
      <c r="B25" s="6" t="n">
        <v>22903.04607307117</v>
      </c>
      <c r="C25" s="6" t="n">
        <v>14425.895775305158</v>
      </c>
      <c r="D25" s="6" t="n">
        <v>105070.77043870094</v>
      </c>
      <c r="E25" s="6" t="n">
        <v>12965.416414670264</v>
      </c>
      <c r="F25" s="6">
        <f si="0" t="shared"/>
        <v>155365.12870174754</v>
      </c>
      <c r="H25" s="12">
        <v>0.45833333333333331</v>
      </c>
      <c r="I25" s="9" t="n">
        <v>42146.90891170502</v>
      </c>
      <c r="J25" s="9" t="n">
        <v>10353.428166389465</v>
      </c>
      <c r="K25" s="9" t="n">
        <v>104666.04204082489</v>
      </c>
      <c r="L25" s="9" t="n">
        <v>16844.654419898987</v>
      </c>
      <c r="M25">
        <f si="1" t="shared"/>
        <v>159260.05549637644</v>
      </c>
    </row>
    <row r="26" spans="1:13" x14ac:dyDescent="0.25">
      <c r="A26" s="12">
        <v>0.47916666666666669</v>
      </c>
      <c r="B26" s="6" t="n">
        <v>28005.428164979658</v>
      </c>
      <c r="C26" s="6" t="n">
        <v>17672.208895297703</v>
      </c>
      <c r="D26" s="6" t="n">
        <v>110165.3309595774</v>
      </c>
      <c r="E26" s="6" t="n">
        <v>16358.99189181293</v>
      </c>
      <c r="F26" s="6">
        <f si="0" t="shared"/>
        <v>172201.95991166771</v>
      </c>
      <c r="H26" s="12">
        <v>0.47916666666666669</v>
      </c>
      <c r="I26" s="9" t="n">
        <v>47196.63264465332</v>
      </c>
      <c r="J26" s="9" t="n">
        <v>14449.885122299194</v>
      </c>
      <c r="K26" s="9" t="n">
        <v>104004.07570648193</v>
      </c>
      <c r="L26" s="9" t="n">
        <v>18790.92721939087</v>
      </c>
      <c r="M26">
        <f si="1" t="shared"/>
        <v>168991.09124445799</v>
      </c>
    </row>
    <row r="27" spans="1:13" x14ac:dyDescent="0.25">
      <c r="A27" s="12">
        <v>0.5</v>
      </c>
      <c r="B27" s="6" t="n">
        <v>33241.601132694705</v>
      </c>
      <c r="C27" s="6" t="n">
        <v>22411.20093921788</v>
      </c>
      <c r="D27" s="6" t="n">
        <v>112603.30436586699</v>
      </c>
      <c r="E27" s="6" t="n">
        <v>18966.57297585577</v>
      </c>
      <c r="F27" s="6">
        <f si="0" t="shared"/>
        <v>187222.67941363534</v>
      </c>
      <c r="H27" s="12">
        <v>0.5</v>
      </c>
      <c r="I27" s="9" t="n">
        <v>52016.34208011627</v>
      </c>
      <c r="J27" s="9" t="n">
        <v>20600.959025382996</v>
      </c>
      <c r="K27" s="9" t="n">
        <v>102816.75481700897</v>
      </c>
      <c r="L27" s="9" t="n">
        <v>19823.61549949646</v>
      </c>
      <c r="M27">
        <f si="1" t="shared"/>
        <v>179516.5321026608</v>
      </c>
    </row>
    <row r="28" spans="1:13" x14ac:dyDescent="0.25">
      <c r="A28" s="12">
        <v>0.52083333333333337</v>
      </c>
      <c r="B28" s="6" t="n">
        <v>38978.733534038016</v>
      </c>
      <c r="C28" s="6" t="n">
        <v>30125.8634641171</v>
      </c>
      <c r="D28" s="6" t="n">
        <v>113161.46449149515</v>
      </c>
      <c r="E28" s="6" t="n">
        <v>19970.294967943548</v>
      </c>
      <c r="F28" s="6">
        <f si="0" t="shared"/>
        <v>202236.35645759382</v>
      </c>
      <c r="H28" s="12">
        <v>0.52083333333333337</v>
      </c>
      <c r="I28" s="9" t="n">
        <v>57400.35981655121</v>
      </c>
      <c r="J28" s="9" t="n">
        <v>29029.37123298645</v>
      </c>
      <c r="K28" s="9" t="n">
        <v>102182.59533119202</v>
      </c>
      <c r="L28" s="9" t="n">
        <v>19786.174874305725</v>
      </c>
      <c r="M28">
        <f si="1" t="shared"/>
        <v>192640.8536597277</v>
      </c>
    </row>
    <row r="29" spans="1:13" x14ac:dyDescent="0.25">
      <c r="A29" s="12">
        <v>0.54166666666666663</v>
      </c>
      <c r="B29" s="6" t="n">
        <v>46322.26620280965</v>
      </c>
      <c r="C29" s="6" t="n">
        <v>41972.07690543288</v>
      </c>
      <c r="D29" s="6" t="n">
        <v>113644.20117278877</v>
      </c>
      <c r="E29" s="6" t="n">
        <v>19026.89012712218</v>
      </c>
      <c r="F29" s="6">
        <f si="0" t="shared"/>
        <v>220965.43440815347</v>
      </c>
      <c r="H29" s="12">
        <v>0.54166666666666663</v>
      </c>
      <c r="I29" s="9" t="n">
        <v>64277.30646800995</v>
      </c>
      <c r="J29" s="9" t="n">
        <v>39287.910994529724</v>
      </c>
      <c r="K29" s="9" t="n">
        <v>102754.55410194397</v>
      </c>
      <c r="L29" s="9" t="n">
        <v>18709.6305103302</v>
      </c>
      <c r="M29">
        <f si="1" t="shared"/>
        <v>209276.85419522846</v>
      </c>
    </row>
    <row r="30" spans="1:13" x14ac:dyDescent="0.25">
      <c r="A30" s="12">
        <v>0.5625</v>
      </c>
      <c r="B30" s="6" t="n">
        <v>56814.240710488</v>
      </c>
      <c r="C30" s="6" t="n">
        <v>57377.09181718802</v>
      </c>
      <c r="D30" s="6" t="n">
        <v>115700.45086450405</v>
      </c>
      <c r="E30" s="6" t="n">
        <v>16462.00937638214</v>
      </c>
      <c r="F30" s="6">
        <f si="0" t="shared"/>
        <v>246353.79276856218</v>
      </c>
      <c r="H30" s="12">
        <v>0.5625</v>
      </c>
      <c r="I30" s="9" t="n">
        <v>73712.88032150269</v>
      </c>
      <c r="J30" s="9" t="n">
        <v>50272.81263637543</v>
      </c>
      <c r="K30" s="9" t="n">
        <v>104757.06901931763</v>
      </c>
      <c r="L30" s="9" t="n">
        <v>16807.654907226562</v>
      </c>
      <c r="M30">
        <f si="1" t="shared"/>
        <v>229442.99345346639</v>
      </c>
    </row>
    <row r="31" spans="1:13" x14ac:dyDescent="0.25">
      <c r="A31" s="12">
        <v>0.58333333333333337</v>
      </c>
      <c r="B31" s="6" t="n">
        <v>71672.95348836633</v>
      </c>
      <c r="C31" s="6" t="n">
        <v>73187.60489798788</v>
      </c>
      <c r="D31" s="6" t="n">
        <v>119707.13885870788</v>
      </c>
      <c r="E31" s="6" t="n">
        <v>13076.505273147377</v>
      </c>
      <c r="F31" s="6">
        <f si="0" t="shared"/>
        <v>277644.20251820947</v>
      </c>
      <c r="H31" s="12">
        <v>0.58333333333333337</v>
      </c>
      <c r="I31" s="9" t="n">
        <v>86723.29988002777</v>
      </c>
      <c r="J31" s="9" t="n">
        <v>60381.008140563965</v>
      </c>
      <c r="K31" s="9" t="n">
        <v>108046.26300144196</v>
      </c>
      <c r="L31" s="9" t="n">
        <v>14401.435400009155</v>
      </c>
      <c r="M31">
        <f si="1" t="shared"/>
        <v>252295.78393444433</v>
      </c>
    </row>
    <row r="32" spans="1:13" x14ac:dyDescent="0.25">
      <c r="A32" s="12">
        <v>0.60416666666666663</v>
      </c>
      <c r="B32" s="6" t="n">
        <v>90903.75492016278</v>
      </c>
      <c r="C32" s="6" t="n">
        <v>84515.78016092346</v>
      </c>
      <c r="D32" s="6" t="n">
        <v>124480.62814258103</v>
      </c>
      <c r="E32" s="6" t="n">
        <v>9731.799852325641</v>
      </c>
      <c r="F32" s="6">
        <f si="0" t="shared"/>
        <v>309631.96307599294</v>
      </c>
      <c r="H32" s="12">
        <v>0.60416666666666663</v>
      </c>
      <c r="I32" s="9" t="n">
        <v>103665.25927639008</v>
      </c>
      <c r="J32" s="9" t="n">
        <v>67704.96252632141</v>
      </c>
      <c r="K32" s="9" t="n">
        <v>112108.97828674316</v>
      </c>
      <c r="L32" s="9" t="n">
        <v>11823.218247413635</v>
      </c>
      <c r="M32">
        <f si="1" t="shared"/>
        <v>275790.29611802904</v>
      </c>
    </row>
    <row r="33" spans="1:13" x14ac:dyDescent="0.25">
      <c r="A33" s="12">
        <v>0.625</v>
      </c>
      <c r="B33" s="6" t="n">
        <v>112693.40665059797</v>
      </c>
      <c r="C33" s="6" t="n">
        <v>87217.13332560183</v>
      </c>
      <c r="D33" s="6" t="n">
        <v>128028.65854979804</v>
      </c>
      <c r="E33" s="6" t="n">
        <v>7001.452471855836</v>
      </c>
      <c r="F33" s="6">
        <f si="0" t="shared"/>
        <v>334940.65099785366</v>
      </c>
      <c r="H33" s="12">
        <v>0.625</v>
      </c>
      <c r="I33" s="9" t="n">
        <v>123436.73558521271</v>
      </c>
      <c r="J33" s="9" t="n">
        <v>70423.46326065063</v>
      </c>
      <c r="K33" s="9" t="n">
        <v>116159.69721698761</v>
      </c>
      <c r="L33" s="9" t="n">
        <v>9353.105292320251</v>
      </c>
      <c r="M33">
        <f si="1" t="shared"/>
        <v>296501.64014706668</v>
      </c>
    </row>
    <row r="34" spans="1:13" x14ac:dyDescent="0.25">
      <c r="A34" s="12">
        <v>0.64583333333333337</v>
      </c>
      <c r="B34" s="6" t="n">
        <v>133411.37324268097</v>
      </c>
      <c r="C34" s="6" t="n">
        <v>80347.61843333607</v>
      </c>
      <c r="D34" s="6" t="n">
        <v>128893.66657482536</v>
      </c>
      <c r="E34" s="6" t="n">
        <v>5054.167743477666</v>
      </c>
      <c r="F34" s="6">
        <f si="0" t="shared"/>
        <v>347706.8259943201</v>
      </c>
      <c r="H34" s="12">
        <v>0.64583333333333337</v>
      </c>
      <c r="I34" s="9" t="n">
        <v>143078.56811618805</v>
      </c>
      <c r="J34" s="9" t="n">
        <v>67512.28773593903</v>
      </c>
      <c r="K34" s="9" t="n">
        <v>119513.78722667694</v>
      </c>
      <c r="L34" s="9" t="n">
        <v>7192.7378034591675</v>
      </c>
      <c r="M34">
        <f si="1" t="shared"/>
        <v>310399.23481379257</v>
      </c>
    </row>
    <row r="35" spans="1:13" x14ac:dyDescent="0.25">
      <c r="A35" s="12">
        <v>0.66666666666666663</v>
      </c>
      <c r="B35" s="6" t="n">
        <v>148390.4061029598</v>
      </c>
      <c r="C35" s="6" t="n">
        <v>66658.58218244233</v>
      </c>
      <c r="D35" s="6" t="n">
        <v>127205.14964340025</v>
      </c>
      <c r="E35" s="6" t="n">
        <v>3750.51214696006</v>
      </c>
      <c r="F35" s="6">
        <f si="0" t="shared"/>
        <v>346004.65007576247</v>
      </c>
      <c r="H35" s="12">
        <v>0.66666666666666663</v>
      </c>
      <c r="I35" s="9" t="n">
        <v>158254.49023246765</v>
      </c>
      <c r="J35" s="9" t="n">
        <v>59418.90811252594</v>
      </c>
      <c r="K35" s="9" t="n">
        <v>122065.38509654999</v>
      </c>
      <c r="L35" s="9" t="n">
        <v>5451.958302497864</v>
      </c>
      <c r="M35">
        <f si="1" t="shared"/>
        <v>314416.52365715982</v>
      </c>
    </row>
    <row r="36" spans="1:13" x14ac:dyDescent="0.25">
      <c r="A36" s="12">
        <v>0.6875</v>
      </c>
      <c r="B36" s="6" t="n">
        <v>153429.648251153</v>
      </c>
      <c r="C36" s="6" t="n">
        <v>50758.76527326432</v>
      </c>
      <c r="D36" s="6" t="n">
        <v>124704.0202310975</v>
      </c>
      <c r="E36" s="6" t="n">
        <v>2836.650223439933</v>
      </c>
      <c r="F36" s="6">
        <f si="0" t="shared"/>
        <v>331729.0839789547</v>
      </c>
      <c r="H36" s="12">
        <v>0.6875</v>
      </c>
      <c r="I36" s="9" t="n">
        <v>164622.53871059418</v>
      </c>
      <c r="J36" s="9" t="n">
        <v>48073.34103393555</v>
      </c>
      <c r="K36" s="9" t="n">
        <v>124446.375705719</v>
      </c>
      <c r="L36" s="9" t="n">
        <v>4145.0393142700195</v>
      </c>
      <c r="M36">
        <f si="1" t="shared"/>
        <v>307743.61933037674</v>
      </c>
    </row>
    <row r="37" spans="1:13" x14ac:dyDescent="0.25">
      <c r="A37" s="12">
        <v>0.70833333333333337</v>
      </c>
      <c r="B37" s="6" t="n">
        <v>146552.83018555678</v>
      </c>
      <c r="C37" s="6" t="n">
        <v>36522.47771483195</v>
      </c>
      <c r="D37" s="6" t="n">
        <v>123705.69046920736</v>
      </c>
      <c r="E37" s="6" t="n">
        <v>2111.076218884271</v>
      </c>
      <c r="F37" s="6">
        <f si="0" t="shared"/>
        <v>308892.07458848035</v>
      </c>
      <c r="H37" s="12">
        <v>0.70833333333333337</v>
      </c>
      <c r="I37" s="9" t="n">
        <v>159594.2552614212</v>
      </c>
      <c r="J37" s="9" t="n">
        <v>36066.79995918274</v>
      </c>
      <c r="K37" s="9" t="n">
        <v>127649.95619869232</v>
      </c>
      <c r="L37" s="9" t="n">
        <v>3208.7597999572754</v>
      </c>
      <c r="M37">
        <f si="1" t="shared"/>
        <v>292032.24264742655</v>
      </c>
    </row>
    <row r="38" spans="1:13" x14ac:dyDescent="0.25">
      <c r="A38" s="12">
        <v>0.72916666666666663</v>
      </c>
      <c r="B38" s="6" t="n">
        <v>129113.5253230104</v>
      </c>
      <c r="C38" s="6" t="n">
        <v>25680.158517454147</v>
      </c>
      <c r="D38" s="6" t="n">
        <v>125674.61395517121</v>
      </c>
      <c r="E38" s="6" t="n">
        <v>1490.1432036914512</v>
      </c>
      <c r="F38" s="6">
        <f si="0" t="shared"/>
        <v>281958.44099932723</v>
      </c>
      <c r="H38" s="12">
        <v>0.72916666666666663</v>
      </c>
      <c r="I38" s="9" t="n">
        <v>143624.0189037323</v>
      </c>
      <c r="J38" s="9" t="n">
        <v>25558.05273628235</v>
      </c>
      <c r="K38" s="9" t="n">
        <v>132323.01892089844</v>
      </c>
      <c r="L38" s="9" t="n">
        <v>2539.8722610473633</v>
      </c>
      <c r="M38">
        <f si="1" t="shared"/>
        <v>270598.53443564387</v>
      </c>
    </row>
    <row r="39" spans="1:13" x14ac:dyDescent="0.25">
      <c r="A39" s="12">
        <v>0.75</v>
      </c>
      <c r="B39" s="6" t="n">
        <v>105405.13787145165</v>
      </c>
      <c r="C39" s="6" t="n">
        <v>18128.44869524882</v>
      </c>
      <c r="D39" s="6" t="n">
        <v>130259.12135506512</v>
      </c>
      <c r="E39" s="6" t="n">
        <v>976.7147786359914</v>
      </c>
      <c r="F39" s="6">
        <f si="0" t="shared"/>
        <v>254769.42270040157</v>
      </c>
      <c r="H39" s="12">
        <v>0.75</v>
      </c>
      <c r="I39" s="9" t="n">
        <v>120217.50978183746</v>
      </c>
      <c r="J39" s="9" t="n">
        <v>17631.202257156372</v>
      </c>
      <c r="K39" s="9" t="n">
        <v>138138.8021287918</v>
      </c>
      <c r="L39" s="9" t="n">
        <v>2035.4606285095215</v>
      </c>
      <c r="M39">
        <f si="1" t="shared"/>
        <v>247141.90218113616</v>
      </c>
    </row>
    <row r="40" spans="1:13" x14ac:dyDescent="0.25">
      <c r="A40" s="12">
        <v>0.77083333333333337</v>
      </c>
      <c r="B40" s="6" t="n">
        <v>80808.14401569964</v>
      </c>
      <c r="C40" s="6" t="n">
        <v>13030.669753888737</v>
      </c>
      <c r="D40" s="6" t="n">
        <v>135286.25599330253</v>
      </c>
      <c r="E40" s="6" t="n">
        <v>594.9275849830609</v>
      </c>
      <c r="F40" s="6">
        <f si="0" t="shared"/>
        <v>229719.99734787398</v>
      </c>
      <c r="H40" s="12">
        <v>0.77083333333333337</v>
      </c>
      <c r="I40" s="9" t="n">
        <v>94491.66605377197</v>
      </c>
      <c r="J40" s="9" t="n">
        <v>12336.84333229065</v>
      </c>
      <c r="K40" s="9" t="n">
        <v>143591.619890213</v>
      </c>
      <c r="L40" s="9" t="n">
        <v>1624.0693674087524</v>
      </c>
      <c r="M40">
        <f si="1" t="shared"/>
        <v>224440.40910833052</v>
      </c>
    </row>
    <row r="41" spans="1:13" x14ac:dyDescent="0.25">
      <c r="A41" s="12">
        <v>0.79166666666666663</v>
      </c>
      <c r="B41" s="6" t="n">
        <v>59579.425278240975</v>
      </c>
      <c r="C41" s="6" t="n">
        <v>9609.866458501423</v>
      </c>
      <c r="D41" s="6" t="n">
        <v>137674.47022380767</v>
      </c>
      <c r="E41" s="6" t="n">
        <v>350.36229505134554</v>
      </c>
      <c r="F41" s="6">
        <f si="0" t="shared"/>
        <v>207214.1242556014</v>
      </c>
      <c r="H41" s="12">
        <v>0.79166666666666663</v>
      </c>
      <c r="I41" s="9" t="n">
        <v>71064.56553649902</v>
      </c>
      <c r="J41" s="9" t="n">
        <v>9126.181720733643</v>
      </c>
      <c r="K41" s="9" t="n">
        <v>146376.55728435516</v>
      </c>
      <c r="L41" s="9" t="n">
        <v>1280.5821390151978</v>
      </c>
      <c r="M41">
        <f si="1" t="shared"/>
        <v>203497.46245367249</v>
      </c>
    </row>
    <row r="42" spans="1:13" x14ac:dyDescent="0.25">
      <c r="A42" s="12">
        <v>0.8125</v>
      </c>
      <c r="B42" s="6" t="n">
        <v>43615.55991341235</v>
      </c>
      <c r="C42" s="6" t="n">
        <v>7328.780543737254</v>
      </c>
      <c r="D42" s="6" t="n">
        <v>134765.3573095773</v>
      </c>
      <c r="E42" s="6" t="n">
        <v>226.7745263144161</v>
      </c>
      <c r="F42" s="6">
        <f si="0" t="shared"/>
        <v>185936.4722930413</v>
      </c>
      <c r="H42" s="12">
        <v>0.8125</v>
      </c>
      <c r="I42" s="9" t="n">
        <v>52518.14649772644</v>
      </c>
      <c r="J42" s="9" t="n">
        <v>7289.9458475112915</v>
      </c>
      <c r="K42" s="9" t="n">
        <v>144280.27953147888</v>
      </c>
      <c r="L42" s="9" t="n">
        <v>1017.0786190032959</v>
      </c>
      <c r="M42">
        <f si="1" t="shared"/>
        <v>183624.84908556828</v>
      </c>
    </row>
    <row r="43" spans="1:13" x14ac:dyDescent="0.25">
      <c r="A43" s="12">
        <v>0.83333333333333337</v>
      </c>
      <c r="B43" s="6" t="n">
        <v>32673.572274896214</v>
      </c>
      <c r="C43" s="6" t="n">
        <v>5783.225686339969</v>
      </c>
      <c r="D43" s="6" t="n">
        <v>125396.58089238498</v>
      </c>
      <c r="E43" s="6" t="n">
        <v>195.55180956847767</v>
      </c>
      <c r="F43" s="6">
        <f si="0" t="shared"/>
        <v>164048.93066318965</v>
      </c>
      <c r="H43" s="12">
        <v>0.83333333333333337</v>
      </c>
      <c r="I43" s="9" t="n">
        <v>39189.00246715546</v>
      </c>
      <c r="J43" s="9" t="n">
        <v>6223.405961990356</v>
      </c>
      <c r="K43" s="9" t="n">
        <v>136209.66642093658</v>
      </c>
      <c r="L43" s="9" t="n">
        <v>851.117672920227</v>
      </c>
      <c r="M43">
        <f si="1" t="shared"/>
        <v>163495.78481054158</v>
      </c>
    </row>
    <row r="44" spans="1:13" x14ac:dyDescent="0.25">
      <c r="A44" s="12">
        <v>0.85416666666666663</v>
      </c>
      <c r="B44" s="6" t="n">
        <v>25469.22499033814</v>
      </c>
      <c r="C44" s="6" t="n">
        <v>4644.883699612325</v>
      </c>
      <c r="D44" s="6" t="n">
        <v>110240.01428551471</v>
      </c>
      <c r="E44" s="6" t="n">
        <v>219.62534954619946</v>
      </c>
      <c r="F44" s="6">
        <f si="0" t="shared"/>
        <v>140573.74832501137</v>
      </c>
      <c r="H44" s="12">
        <v>0.85416666666666663</v>
      </c>
      <c r="I44" s="9" t="n">
        <v>30041.888776779175</v>
      </c>
      <c r="J44" s="9" t="n">
        <v>5529.032079696655</v>
      </c>
      <c r="K44" s="9" t="n">
        <v>122781.49708938599</v>
      </c>
      <c r="L44" s="9" t="n">
        <v>772.6334972381592</v>
      </c>
      <c r="M44">
        <f si="1" t="shared"/>
        <v>142454.76108626282</v>
      </c>
    </row>
    <row r="45" spans="1:13" x14ac:dyDescent="0.25">
      <c r="A45" s="12">
        <v>0.875</v>
      </c>
      <c r="B45" s="6" t="n">
        <v>20704.621987837487</v>
      </c>
      <c r="C45" s="6" t="n">
        <v>3709.109804364729</v>
      </c>
      <c r="D45" s="6" t="n">
        <v>91373.02682620825</v>
      </c>
      <c r="E45" s="6" t="n">
        <v>255.99862723653553</v>
      </c>
      <c r="F45" s="6">
        <f si="0" t="shared"/>
        <v>116042.75724564701</v>
      </c>
      <c r="H45" s="12">
        <v>0.875</v>
      </c>
      <c r="I45" s="9" t="n">
        <v>23753.856419563293</v>
      </c>
      <c r="J45" s="9" t="n">
        <v>5011.662276268005</v>
      </c>
      <c r="K45" s="9" t="n">
        <v>106044.15250396729</v>
      </c>
      <c r="L45" s="9" t="n">
        <v>736.6488971710205</v>
      </c>
      <c r="M45">
        <f si="1" t="shared"/>
        <v>121093.2180600326</v>
      </c>
    </row>
    <row r="46" spans="1:13" x14ac:dyDescent="0.25">
      <c r="A46" s="12">
        <v>0.89583333333333337</v>
      </c>
      <c r="B46" s="6" t="n">
        <v>17480.94153951444</v>
      </c>
      <c r="C46" s="6" t="n">
        <v>2933.186297140347</v>
      </c>
      <c r="D46" s="6" t="n">
        <v>71420.8448939585</v>
      </c>
      <c r="E46" s="6" t="n">
        <v>266.9822790224383</v>
      </c>
      <c r="F46" s="6">
        <f si="0" t="shared"/>
        <v>92101.955009635727</v>
      </c>
      <c r="H46" s="12">
        <v>0.89583333333333337</v>
      </c>
      <c r="I46" s="9" t="n">
        <v>19305.645040512085</v>
      </c>
      <c r="J46" s="9" t="n">
        <v>4601.773180961609</v>
      </c>
      <c r="K46" s="9" t="n">
        <v>88444.0089597702</v>
      </c>
      <c r="L46" s="9" t="n">
        <v>687.8074417114258</v>
      </c>
      <c r="M46">
        <f si="1" t="shared"/>
        <v>100705.13015930701</v>
      </c>
    </row>
    <row r="47" spans="1:13" x14ac:dyDescent="0.25">
      <c r="A47" s="12">
        <v>0.91666666666666663</v>
      </c>
      <c r="B47" s="6" t="n">
        <v>15181.261161752325</v>
      </c>
      <c r="C47" s="6" t="n">
        <v>2375.9378501020615</v>
      </c>
      <c r="D47" s="6" t="n">
        <v>52711.18103459143</v>
      </c>
      <c r="E47" s="6" t="n">
        <v>236.16689107985576</v>
      </c>
      <c r="F47" s="6">
        <f si="0" t="shared"/>
        <v>70504.54693752568</v>
      </c>
      <c r="H47" s="12">
        <v>0.91666666666666663</v>
      </c>
      <c r="I47" s="9" t="n">
        <v>16001.614247322083</v>
      </c>
      <c r="J47" s="9" t="n">
        <v>4252.269449234009</v>
      </c>
      <c r="K47" s="9" t="n">
        <v>71720.46610832214</v>
      </c>
      <c r="L47" s="9" t="n">
        <v>594.0553131103516</v>
      </c>
      <c r="M47">
        <f si="1" t="shared"/>
        <v>82222.58733804521</v>
      </c>
    </row>
    <row r="48" spans="1:13" x14ac:dyDescent="0.25">
      <c r="A48" s="12">
        <v>0.9375</v>
      </c>
      <c r="B48" s="6" t="n">
        <v>13250.277197710966</v>
      </c>
      <c r="C48" s="6" t="n">
        <v>2066.888553171014</v>
      </c>
      <c r="D48" s="6" t="n">
        <v>36759.36866221178</v>
      </c>
      <c r="E48" s="6" t="n">
        <v>173.9370853026814</v>
      </c>
      <c r="F48" s="6">
        <f si="0" t="shared"/>
        <v>52250.471498396444</v>
      </c>
      <c r="H48" s="12">
        <v>0.9375</v>
      </c>
      <c r="I48" s="9" t="n">
        <v>13291.498560905457</v>
      </c>
      <c r="J48" s="9" t="n">
        <v>3877.303475379944</v>
      </c>
      <c r="K48" s="9" t="n">
        <v>56481.097675323486</v>
      </c>
      <c r="L48" s="9" t="n">
        <v>460.74982833862305</v>
      </c>
      <c r="M48">
        <f si="1" t="shared"/>
        <v>65647.345443899321</v>
      </c>
    </row>
    <row r="49" spans="1:13" x14ac:dyDescent="0.25">
      <c r="A49" s="12">
        <v>0.95833333333333337</v>
      </c>
      <c r="B49" s="6" t="n">
        <v>11197.495832093871</v>
      </c>
      <c r="C49" s="6" t="n">
        <v>1917.8899488100144</v>
      </c>
      <c r="D49" s="6" t="n">
        <v>24179.837435534228</v>
      </c>
      <c r="E49" s="6" t="n">
        <v>105.53409349932403</v>
      </c>
      <c r="F49" s="6">
        <f si="0" t="shared"/>
        <v>37400.757309937435</v>
      </c>
      <c r="H49" s="12">
        <v>0.95833333333333337</v>
      </c>
      <c r="I49" s="9" t="n">
        <v>10735.693055152893</v>
      </c>
      <c r="J49" s="9" t="n">
        <v>3375.7212991714478</v>
      </c>
      <c r="K49" s="9" t="n">
        <v>42635.48225688934</v>
      </c>
      <c r="L49" s="9" t="n">
        <v>317.5572633743286</v>
      </c>
      <c r="M49">
        <f si="1" t="shared"/>
        <v>50435.347801385593</v>
      </c>
    </row>
    <row r="50" spans="1:13" x14ac:dyDescent="0.25">
      <c r="A50" s="12">
        <v>0.97916666666666663</v>
      </c>
      <c r="B50" s="6" t="n">
        <v>8796.131253182572</v>
      </c>
      <c r="C50" s="6" t="n">
        <v>1761.053590645347</v>
      </c>
      <c r="D50" s="6" t="n">
        <v>14907.884525678242</v>
      </c>
      <c r="E50" s="6" t="n">
        <v>52.14415632386242</v>
      </c>
      <c r="F50" s="6">
        <f si="0" t="shared"/>
        <v>25517.213525830026</v>
      </c>
      <c r="H50" s="12">
        <v>0.97916666666666663</v>
      </c>
      <c r="I50" s="9" t="n">
        <v>8129.506248474121</v>
      </c>
      <c r="J50" s="9" t="n">
        <v>2707.1527395248413</v>
      </c>
      <c r="K50" s="9" t="n">
        <v>30157.736638069153</v>
      </c>
      <c r="L50" s="9" t="n">
        <v>194.32948780059814</v>
      </c>
      <c r="M50">
        <f si="1" t="shared"/>
        <v>36344.718207731836</v>
      </c>
    </row>
    <row r="51" spans="1:13" x14ac:dyDescent="0.25">
      <c r="A51" s="12">
        <v>1</v>
      </c>
      <c r="B51" s="6" t="n">
        <v>6204.501032611573</v>
      </c>
      <c r="C51" s="6" t="n">
        <v>1474.0803675946163</v>
      </c>
      <c r="D51" s="6" t="n">
        <v>8511.38949590953</v>
      </c>
      <c r="E51" s="6" t="n">
        <v>20.644072267594645</v>
      </c>
      <c r="F51" s="6">
        <f si="0" t="shared"/>
        <v>16210.614968383314</v>
      </c>
      <c r="H51" s="12">
        <v>1</v>
      </c>
      <c r="I51" s="9" t="n">
        <v>5576.092169761658</v>
      </c>
      <c r="J51" s="9" t="n">
        <v>1938.4633674621582</v>
      </c>
      <c r="K51" s="9" t="n">
        <v>19465.408108711243</v>
      </c>
      <c r="L51" s="9" t="n">
        <v>105.82896614074707</v>
      </c>
      <c r="M51">
        <f si="1" t="shared"/>
        <v>23874.201021630506</v>
      </c>
    </row>
    <row r="52" spans="1:13" x14ac:dyDescent="0.25">
      <c r="A52" s="12">
        <v>1.0208333333333333</v>
      </c>
      <c r="B52" s="6" t="n">
        <v>3827.6174945212906</v>
      </c>
      <c r="C52" s="6" t="n">
        <v>1066.1243191200329</v>
      </c>
      <c r="D52" s="6" t="n">
        <v>4420.975897758463</v>
      </c>
      <c r="E52" s="6" t="n">
        <v>6.393026041253854</v>
      </c>
      <c r="F52" s="6">
        <f si="0" t="shared"/>
        <v>9321.1107374410403</v>
      </c>
      <c r="H52" s="12">
        <v>1.0208333333333333</v>
      </c>
      <c r="I52" s="9" t="n">
        <v>3366.4056243896484</v>
      </c>
      <c r="J52" s="9" t="n">
        <v>1208.8880224227905</v>
      </c>
      <c r="K52" s="9" t="n">
        <v>11170.326453208923</v>
      </c>
      <c r="L52" s="9" t="n">
        <v>51.30175304412842</v>
      </c>
      <c r="M52">
        <f si="1" t="shared"/>
        <v>13914.206203140278</v>
      </c>
    </row>
    <row r="53" spans="1:13" x14ac:dyDescent="0.25">
      <c r="A53" s="12">
        <v>4.1666666666666664E-2</v>
      </c>
      <c r="B53" s="6" t="n">
        <v>2023.015481207356</v>
      </c>
      <c r="C53" s="6" t="n">
        <v>646.124094468691</v>
      </c>
      <c r="D53" s="6" t="n">
        <v>2043.5375510111041</v>
      </c>
      <c r="E53" s="6" t="n">
        <v>1.4921399165021305</v>
      </c>
      <c r="F53" s="6">
        <f si="0" t="shared"/>
        <v>4714.1692666036533</v>
      </c>
      <c r="H53" s="12">
        <v>4.1666666666666664E-2</v>
      </c>
      <c r="I53" s="9" t="n">
        <v>1746.322382926941</v>
      </c>
      <c r="J53" s="9" t="n">
        <v>642.9522838592529</v>
      </c>
      <c r="K53" s="9" t="n">
        <v>5562.112270355225</v>
      </c>
      <c r="L53" s="9" t="n">
        <v>22.002500534057617</v>
      </c>
      <c r="M53">
        <f si="1" t="shared"/>
        <v>7020.1619457230972</v>
      </c>
    </row>
    <row r="54" spans="1:13" x14ac:dyDescent="0.25">
      <c r="A54" s="12">
        <v>6.25E-2</v>
      </c>
      <c r="B54" s="6" t="n">
        <v>899.2574288009573</v>
      </c>
      <c r="C54" s="6" t="n">
        <v>321.33705091002656</v>
      </c>
      <c r="D54" s="6" t="n">
        <v>819.6456488536887</v>
      </c>
      <c r="E54" s="6" t="n">
        <v>0.24689225906612394</v>
      </c>
      <c r="F54" s="6">
        <f si="0" t="shared"/>
        <v>2040.4870208237387</v>
      </c>
      <c r="H54" s="12">
        <v>6.25E-2</v>
      </c>
      <c r="I54" s="9" t="n">
        <v>761.1718626022339</v>
      </c>
      <c r="J54" s="9" t="n">
        <v>285.7927236557007</v>
      </c>
      <c r="K54" s="9" t="n">
        <v>2346.6532278060913</v>
      </c>
      <c r="L54" s="9" t="n">
        <v>8.222187995910645</v>
      </c>
      <c r="M54">
        <f si="1" t="shared"/>
        <v>2994.4208623749214</v>
      </c>
    </row>
    <row r="55" spans="1:13" x14ac:dyDescent="0.25">
      <c r="A55" s="12">
        <v>8.3333333333333329E-2</v>
      </c>
      <c r="B55" s="6" t="n">
        <v>329.63412727512144</v>
      </c>
      <c r="C55" s="6" t="n">
        <v>128.53298971251175</v>
      </c>
      <c r="D55" s="6" t="n">
        <v>277.3054519682145</v>
      </c>
      <c r="E55" s="6" t="n">
        <v>0.02581862946096993</v>
      </c>
      <c r="F55" s="6">
        <f si="0" t="shared"/>
        <v>735.49838758530871</v>
      </c>
      <c r="H55" s="12">
        <v>8.3333333333333329E-2</v>
      </c>
      <c r="I55" s="9" t="n">
        <v>272.1347904205322</v>
      </c>
      <c r="J55" s="9" t="n">
        <v>103.79543209075928</v>
      </c>
      <c r="K55" s="9" t="n">
        <v>817.581244468689</v>
      </c>
      <c r="L55" s="9" t="n">
        <v>2.610292434692383</v>
      </c>
      <c r="M55">
        <f si="1" t="shared"/>
        <v>1052.7256826946643</v>
      </c>
    </row>
    <row r="56" spans="1:13" x14ac:dyDescent="0.25">
      <c r="A56" s="12">
        <v>0.10416666666666667</v>
      </c>
      <c r="B56" s="6" t="n">
        <v>97.23822681456565</v>
      </c>
      <c r="C56" s="6" t="n">
        <v>40.30988163943469</v>
      </c>
      <c r="D56" s="6" t="n">
        <v>76.56095878471245</v>
      </c>
      <c r="E56" s="6" t="n">
        <v>0.0012832396673965454</v>
      </c>
      <c r="F56" s="6">
        <f si="0" t="shared"/>
        <v>214.11035047838018</v>
      </c>
      <c r="H56" s="12">
        <v>0.10416666666666667</v>
      </c>
      <c r="I56" s="9" t="n">
        <v>77.45677375793457</v>
      </c>
      <c r="J56" s="9" t="n">
        <v>29.923821449279785</v>
      </c>
      <c r="K56" s="9" t="n">
        <v>227.97488594055176</v>
      </c>
      <c r="L56" s="9" t="n">
        <v>0.6793403625488281</v>
      </c>
      <c r="M56">
        <f si="1" t="shared"/>
        <v>295.72650622669909</v>
      </c>
    </row>
    <row r="57" spans="1:13" x14ac:dyDescent="0.25">
      <c r="A57" s="12">
        <v>0.125</v>
      </c>
      <c r="B57" s="6" t="n">
        <v>21.91564141777894</v>
      </c>
      <c r="C57" s="6" t="n">
        <v>9.387162504777294</v>
      </c>
      <c r="D57" s="6" t="n">
        <v>16.277262827476797</v>
      </c>
      <c r="E57" s="6" t="n">
        <v>0.0</v>
      </c>
      <c r="F57" s="6">
        <f si="0" t="shared"/>
        <v>47.580066750033026</v>
      </c>
      <c r="H57" s="12">
        <v>0.125</v>
      </c>
      <c r="I57" s="9" t="n">
        <v>16.590106964111328</v>
      </c>
      <c r="J57" s="9" t="n">
        <v>6.475895881652832</v>
      </c>
      <c r="K57" s="9" t="n">
        <v>48.04997730255127</v>
      </c>
      <c r="L57" s="9" t="n">
        <v>0.13620567321777344</v>
      </c>
      <c r="M57">
        <f si="1" t="shared"/>
        <v>62.702134718061366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1727532.1387022026</v>
      </c>
      <c r="C59" s="7">
        <f>SUM(C8:C58)</f>
        <v>805044.13550640189</v>
      </c>
      <c r="D59" s="7">
        <f>SUM(D8:D58)</f>
        <v>3382352.2986750659</v>
      </c>
      <c r="E59" s="7">
        <f>SUM(E8:E58)</f>
        <v>184040.6416137598</v>
      </c>
      <c r="F59" s="7">
        <f>SUM(F8:F58)</f>
        <v>6098969.2144974312</v>
      </c>
      <c r="H59" s="1"/>
      <c r="I59" s="7">
        <f>SUM(I8:I58)</f>
        <v>1711814.2043831085</v>
      </c>
      <c r="J59" s="7">
        <f>SUM(J8:J58)</f>
        <v>760154.87482954084</v>
      </c>
      <c r="K59" s="7">
        <f>SUM(K8:K58)</f>
        <v>3392088.2621151642</v>
      </c>
      <c r="L59" s="7">
        <f>SUM(L8:L58)</f>
        <v>187234.64368564001</v>
      </c>
      <c r="M59" s="7">
        <f>SUM(M8:M58)</f>
        <v>6051291.9850134533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0</v>
      </c>
      <c r="E65" s="18">
        <f si="2" t="shared"/>
        <v>0</v>
      </c>
      <c r="F65" s="18">
        <f si="2" t="shared"/>
        <v>0</v>
      </c>
      <c r="H65" t="s">
        <v>5</v>
      </c>
      <c r="I65" s="17">
        <f ref="I65:M80" si="3" t="shared">I8/I$59</f>
        <v>7.3019000091082906E-3</v>
      </c>
      <c r="J65" s="17">
        <f si="3" t="shared"/>
        <v>1.3030553618028053E-4</v>
      </c>
      <c r="K65" s="17">
        <f si="3" t="shared"/>
        <v>5.1428356044723273E-3</v>
      </c>
      <c r="L65" s="17">
        <f si="3" t="shared"/>
        <v>2.8236418895102129E-4</v>
      </c>
      <c r="M65" s="18">
        <f si="3" t="shared"/>
        <v>4.9735443710011099E-3</v>
      </c>
    </row>
    <row r="66" spans="1:13" x14ac:dyDescent="0.25">
      <c r="A66" s="12">
        <v>0.125</v>
      </c>
      <c r="B66" s="18">
        <f ref="B66:F81" si="4" t="shared">B9/B$59</f>
        <v>9.905172927462559E-6</v>
      </c>
      <c r="C66" s="18">
        <f si="4" t="shared"/>
        <v>4.8196847989353877E-6</v>
      </c>
      <c r="D66" s="18">
        <f si="4" t="shared"/>
        <v>2.9525223653241477E-4</v>
      </c>
      <c r="E66" s="18">
        <f si="4" t="shared"/>
        <v>1.8165559864375912E-5</v>
      </c>
      <c r="F66" s="18">
        <f si="4" t="shared"/>
        <v>1.6773028519956925E-4</v>
      </c>
      <c r="H66" s="12">
        <v>0.125</v>
      </c>
      <c r="I66" s="17">
        <f si="3" t="shared"/>
        <v>4.8819019906951719E-3</v>
      </c>
      <c r="J66" s="17">
        <f si="3" t="shared"/>
        <v>1.3191922699078929E-4</v>
      </c>
      <c r="K66" s="17">
        <f si="3" t="shared"/>
        <v>4.2332691555471138E-3</v>
      </c>
      <c r="L66" s="17">
        <f si="3" t="shared"/>
        <v>6.9775414961747442E-4</v>
      </c>
      <c r="M66" s="18">
        <f si="3" t="shared"/>
        <v>3.7921578788264816E-3</v>
      </c>
    </row>
    <row r="67" spans="1:13" x14ac:dyDescent="0.25">
      <c r="A67" s="12">
        <v>0.14583333333333334</v>
      </c>
      <c r="B67" s="18">
        <f si="4" t="shared"/>
        <v>2.040196880629291E-5</v>
      </c>
      <c r="C67" s="18">
        <f si="4" t="shared"/>
        <v>8.1786272307976558E-6</v>
      </c>
      <c r="D67" s="18">
        <f si="4" t="shared"/>
        <v>6.1861779087964597E-4</v>
      </c>
      <c r="E67" s="18">
        <f si="4" t="shared"/>
        <v>4.5934239268145984E-5</v>
      </c>
      <c r="F67" s="18">
        <f si="4" t="shared"/>
        <v>3.5131613411839283E-4</v>
      </c>
      <c r="H67" s="12">
        <v>0.14583333333333334</v>
      </c>
      <c r="I67" s="17">
        <f si="3" t="shared"/>
        <v>2.867384862567466E-3</v>
      </c>
      <c r="J67" s="17">
        <f si="3" t="shared"/>
        <v>1.2081163132841628E-4</v>
      </c>
      <c r="K67" s="17">
        <f si="3" t="shared"/>
        <v>3.4604621463998563E-3</v>
      </c>
      <c r="L67" s="17">
        <f si="3" t="shared"/>
        <v>9.786756759806853E-4</v>
      </c>
      <c r="M67" s="18">
        <f si="3" t="shared"/>
        <v>2.7963781535162075E-3</v>
      </c>
    </row>
    <row r="68" spans="1:13" x14ac:dyDescent="0.25">
      <c r="A68" s="12">
        <v>0.16666666666666666</v>
      </c>
      <c r="B68" s="18">
        <f si="4" t="shared"/>
        <v>3.2741344849686347E-5</v>
      </c>
      <c r="C68" s="18">
        <f si="4" t="shared"/>
        <v>9.4089356294674794E-6</v>
      </c>
      <c r="D68" s="18">
        <f si="4" t="shared"/>
        <v>1.0092544774296215E-3</v>
      </c>
      <c r="E68" s="18">
        <f si="4" t="shared"/>
        <v>9.5144749678068805E-5</v>
      </c>
      <c r="F68" s="18">
        <f si="4" t="shared"/>
        <v>5.7309701253987404E-4</v>
      </c>
      <c r="H68" s="12">
        <v>0.16666666666666666</v>
      </c>
      <c r="I68" s="17">
        <f si="3" t="shared"/>
        <v>1.4835454642058139E-3</v>
      </c>
      <c r="J68" s="17">
        <f si="3" t="shared"/>
        <v>9.7543088669246829E-5</v>
      </c>
      <c r="K68" s="17">
        <f si="3" t="shared"/>
        <v>2.9477262224076491E-3</v>
      </c>
      <c r="L68" s="17">
        <f si="3" t="shared"/>
        <v>1.1231789426381592E-3</v>
      </c>
      <c r="M68" s="18">
        <f si="3" t="shared"/>
        <v>2.1190429436670332E-3</v>
      </c>
    </row>
    <row r="69" spans="1:13" x14ac:dyDescent="0.25">
      <c r="A69" s="12">
        <v>0.1875</v>
      </c>
      <c r="B69" s="18">
        <f si="4" t="shared"/>
        <v>5.2280847409959865E-5</v>
      </c>
      <c r="C69" s="18">
        <f si="4" t="shared"/>
        <v>9.0340153800601882E-6</v>
      </c>
      <c r="D69" s="18">
        <f si="4" t="shared"/>
        <v>1.5348689628039468E-3</v>
      </c>
      <c r="E69" s="18">
        <f si="4" t="shared"/>
        <v>1.8680609011137425E-4</v>
      </c>
      <c r="F69" s="18">
        <f si="4" t="shared"/>
        <v>8.7284210088706701E-4</v>
      </c>
      <c r="H69" s="12">
        <v>0.1875</v>
      </c>
      <c r="I69" s="17">
        <f si="3" t="shared"/>
        <v>7.2558468619028811E-4</v>
      </c>
      <c r="J69" s="17">
        <f si="3" t="shared"/>
        <v>7.8503363126991994E-5</v>
      </c>
      <c r="K69" s="17">
        <f si="3" t="shared"/>
        <v>2.8040579645668777E-3</v>
      </c>
      <c r="L69" s="17">
        <f si="3" t="shared"/>
        <v>1.2631234936328313E-3</v>
      </c>
      <c r="M69" s="18">
        <f si="3" t="shared"/>
        <v>1.8260321100022866E-3</v>
      </c>
    </row>
    <row r="70" spans="1:13" x14ac:dyDescent="0.25">
      <c r="A70" s="12">
        <v>0.20833333333333334</v>
      </c>
      <c r="B70" s="18">
        <f si="4" t="shared"/>
        <v>9.4098946216425897E-5</v>
      </c>
      <c r="C70" s="18">
        <f si="4" t="shared"/>
        <v>9.5030557214067879E-6</v>
      </c>
      <c r="D70" s="18">
        <f si="4" t="shared"/>
        <v>2.3092079437082693E-3</v>
      </c>
      <c r="E70" s="18">
        <f si="4" t="shared"/>
        <v>3.6300210391726083E-4</v>
      </c>
      <c r="F70" s="18">
        <f si="4" t="shared"/>
        <v>1.3194969488594798E-3</v>
      </c>
      <c r="H70" s="12">
        <v>0.20833333333333334</v>
      </c>
      <c r="I70" s="17">
        <f si="3" t="shared"/>
        <v>4.4801669540589262E-4</v>
      </c>
      <c r="J70" s="17">
        <f si="3" t="shared"/>
        <v>8.8751410744101279E-5</v>
      </c>
      <c r="K70" s="17">
        <f si="3" t="shared"/>
        <v>3.1338795976525329E-3</v>
      </c>
      <c r="L70" s="17">
        <f si="3" t="shared"/>
        <v>1.5538736237809003E-3</v>
      </c>
      <c r="M70" s="18">
        <f si="3" t="shared"/>
        <v>1.9426795735516076E-3</v>
      </c>
    </row>
    <row r="71" spans="1:13" x14ac:dyDescent="0.25">
      <c r="A71" s="12">
        <v>0.22916666666666666</v>
      </c>
      <c r="B71" s="18">
        <f si="4" t="shared"/>
        <v>1.8597042786719654E-4</v>
      </c>
      <c r="C71" s="18">
        <f si="4" t="shared"/>
        <v>1.8597526817135721E-5</v>
      </c>
      <c r="D71" s="18">
        <f si="4" t="shared"/>
        <v>3.4893503011949665E-3</v>
      </c>
      <c r="E71" s="18">
        <f si="4" t="shared"/>
        <v>6.9755443183527671E-4</v>
      </c>
      <c r="F71" s="18">
        <f si="4" t="shared"/>
        <v>2.011295952938085E-3</v>
      </c>
      <c r="H71" s="12">
        <v>0.22916666666666666</v>
      </c>
      <c r="I71" s="17">
        <f si="3" t="shared"/>
        <v>4.927338002102844E-4</v>
      </c>
      <c r="J71" s="17">
        <f si="3" t="shared"/>
        <v>1.530430749697912E-4</v>
      </c>
      <c r="K71" s="17">
        <f si="3" t="shared"/>
        <v>4.0384842308574956E-3</v>
      </c>
      <c r="L71" s="17">
        <f si="3" t="shared"/>
        <v>2.0859888700095436E-3</v>
      </c>
      <c r="M71" s="18">
        <f si="3" t="shared"/>
        <v>2.4869514698654407E-3</v>
      </c>
    </row>
    <row r="72" spans="1:13" x14ac:dyDescent="0.25">
      <c r="A72" s="12">
        <v>0.25</v>
      </c>
      <c r="B72" s="18">
        <f si="4" t="shared"/>
        <v>3.6339736463742768E-4</v>
      </c>
      <c r="C72" s="18">
        <f si="4" t="shared"/>
        <v>5.8895091202790076E-5</v>
      </c>
      <c r="D72" s="18">
        <f si="4" t="shared"/>
        <v>5.2338909206249146E-3</v>
      </c>
      <c r="E72" s="18">
        <f si="4" t="shared"/>
        <v>1.2964300554704356E-3</v>
      </c>
      <c r="F72" s="18">
        <f si="4" t="shared"/>
        <v>3.0524260617134777E-3</v>
      </c>
      <c r="H72" s="12">
        <v>0.25</v>
      </c>
      <c r="I72" s="17">
        <f si="3" t="shared"/>
        <v>7.6007880045581857E-4</v>
      </c>
      <c r="J72" s="17">
        <f si="3" t="shared"/>
        <v>2.8872968612182276E-4</v>
      </c>
      <c r="K72" s="17">
        <f si="3" t="shared"/>
        <v>5.5918986375401263E-3</v>
      </c>
      <c r="L72" s="17">
        <f si="3" t="shared"/>
        <v>2.9073474701297938E-3</v>
      </c>
      <c r="M72" s="18">
        <f si="3" t="shared"/>
        <v>3.4758135810587947E-3</v>
      </c>
    </row>
    <row r="73" spans="1:13" x14ac:dyDescent="0.25">
      <c r="A73" s="12">
        <v>0.27083333333333331</v>
      </c>
      <c r="B73" s="18">
        <f si="4" t="shared"/>
        <v>6.5767767840852734E-4</v>
      </c>
      <c r="C73" s="18">
        <f si="4" t="shared"/>
        <v>1.844216722198219E-4</v>
      </c>
      <c r="D73" s="18">
        <f si="4" t="shared"/>
        <v>7.6242893241007552E-3</v>
      </c>
      <c r="E73" s="18">
        <f si="4" t="shared"/>
        <v>2.2850803018236881E-3</v>
      </c>
      <c r="F73" s="18">
        <f si="4" t="shared"/>
        <v>4.5078448687212603E-3</v>
      </c>
      <c r="H73" s="12">
        <v>0.27083333333333331</v>
      </c>
      <c r="I73" s="17">
        <f si="3" t="shared"/>
        <v>1.2091431928907676E-3</v>
      </c>
      <c r="J73" s="17">
        <f si="3" t="shared"/>
        <v>5.0126649329013801E-4</v>
      </c>
      <c r="K73" s="17">
        <f si="3" t="shared"/>
        <v>7.8000080981897799E-3</v>
      </c>
      <c r="L73" s="17">
        <f si="3" t="shared"/>
        <v>4.1168979874673791E-3</v>
      </c>
      <c r="M73" s="18">
        <f si="3" t="shared"/>
        <v>4.9047394468384993E-3</v>
      </c>
    </row>
    <row r="74" spans="1:13" x14ac:dyDescent="0.25">
      <c r="A74" s="12">
        <v>0.29166666666666669</v>
      </c>
      <c r="B74" s="18">
        <f si="4" t="shared"/>
        <v>1.0870665187894327E-3</v>
      </c>
      <c r="C74" s="18">
        <f si="4" t="shared"/>
        <v>4.9620970211575167E-4</v>
      </c>
      <c r="D74" s="18">
        <f si="4" t="shared"/>
        <v>1.058286685599919E-2</v>
      </c>
      <c r="E74" s="18">
        <f si="4" t="shared"/>
        <v>3.7929780054710787E-3</v>
      </c>
      <c r="F74" s="18">
        <f si="4" t="shared"/>
        <v>6.3568871784664537E-3</v>
      </c>
      <c r="H74" s="12">
        <v>0.29166666666666669</v>
      </c>
      <c r="I74" s="17">
        <f si="3" t="shared"/>
        <v>1.8374066631311344E-3</v>
      </c>
      <c r="J74" s="17">
        <f si="3" t="shared"/>
        <v>7.8882588827598374E-4</v>
      </c>
      <c r="K74" s="17">
        <f si="3" t="shared"/>
        <v>1.0576030712097459E-2</v>
      </c>
      <c r="L74" s="17">
        <f si="3" t="shared"/>
        <v>5.9322085208183975E-3</v>
      </c>
      <c r="M74" s="18">
        <f si="3" t="shared"/>
        <v>6.7308722430437879E-3</v>
      </c>
    </row>
    <row r="75" spans="1:13" x14ac:dyDescent="0.25">
      <c r="A75" s="12">
        <v>0.3125</v>
      </c>
      <c r="B75" s="18">
        <f si="4" t="shared"/>
        <v>1.6615911121135999E-3</v>
      </c>
      <c r="C75" s="18">
        <f si="4" t="shared"/>
        <v>1.1359383136926244E-3</v>
      </c>
      <c r="D75" s="18">
        <f si="4" t="shared"/>
        <v>1.3845456130547258E-2</v>
      </c>
      <c r="E75" s="18">
        <f si="4" t="shared"/>
        <v>5.9538452576467218E-3</v>
      </c>
      <c r="F75" s="18">
        <f si="4" t="shared"/>
        <v>8.4786282037664293E-3</v>
      </c>
      <c r="H75" s="12">
        <v>0.3125</v>
      </c>
      <c r="I75" s="17">
        <f si="3" t="shared"/>
        <v>2.6870494575666664E-3</v>
      </c>
      <c r="J75" s="17">
        <f si="3" t="shared"/>
        <v>1.1639555748323659E-3</v>
      </c>
      <c r="K75" s="17">
        <f si="3" t="shared"/>
        <v>1.3755896167919978E-2</v>
      </c>
      <c r="L75" s="17">
        <f si="3" t="shared"/>
        <v>8.6902244507317452E-3</v>
      </c>
      <c r="M75" s="18">
        <f si="3" t="shared"/>
        <v>8.8861752286068484E-3</v>
      </c>
    </row>
    <row r="76" spans="1:13" x14ac:dyDescent="0.25">
      <c r="A76" s="12">
        <v>0.33333333333333331</v>
      </c>
      <c r="B76" s="18">
        <f si="4" t="shared"/>
        <v>2.399205546278474E-3</v>
      </c>
      <c r="C76" s="18">
        <f si="4" t="shared"/>
        <v>2.2410334626615461E-3</v>
      </c>
      <c r="D76" s="18">
        <f si="4" t="shared"/>
        <v>1.7040919819795528E-2</v>
      </c>
      <c r="E76" s="18">
        <f si="4" t="shared"/>
        <v>8.9338993947756483E-3</v>
      </c>
      <c r="F76" s="18">
        <f si="4" t="shared"/>
        <v>1.0695484456755588E-2</v>
      </c>
      <c r="H76" s="12">
        <v>0.33333333333333331</v>
      </c>
      <c r="I76" s="17">
        <f si="3" t="shared"/>
        <v>3.8715641175824603E-3</v>
      </c>
      <c r="J76" s="17">
        <f si="3" t="shared"/>
        <v>1.6828021606122223E-3</v>
      </c>
      <c r="K76" s="17">
        <f si="3" t="shared"/>
        <v>1.71391897396093E-2</v>
      </c>
      <c r="L76" s="17">
        <f si="3" t="shared"/>
        <v>1.2817403344068867E-2</v>
      </c>
      <c r="M76" s="18">
        <f si="3" t="shared"/>
        <v>1.1310658148858725E-2</v>
      </c>
    </row>
    <row r="77" spans="1:13" x14ac:dyDescent="0.25">
      <c r="A77" s="12">
        <v>0.35416666666666669</v>
      </c>
      <c r="B77" s="18">
        <f si="4" t="shared"/>
        <v>3.339178101655539E-3</v>
      </c>
      <c r="C77" s="18">
        <f si="4" t="shared"/>
        <v>3.8804290790388934E-3</v>
      </c>
      <c r="D77" s="18">
        <f si="4" t="shared"/>
        <v>1.9869296043093558E-2</v>
      </c>
      <c r="E77" s="18">
        <f si="4" t="shared"/>
        <v>1.2991402692470939E-2</v>
      </c>
      <c r="F77" s="18">
        <f si="4" t="shared"/>
        <v>1.286911880217695E-2</v>
      </c>
      <c r="H77" s="12">
        <v>0.35416666666666669</v>
      </c>
      <c r="I77" s="17">
        <f si="3" t="shared"/>
        <v>5.5637363965186501E-3</v>
      </c>
      <c r="J77" s="17">
        <f si="3" t="shared"/>
        <v>2.4495150393503925E-3</v>
      </c>
      <c r="K77" s="17">
        <f si="3" t="shared"/>
        <v>2.0516604356833779E-2</v>
      </c>
      <c r="L77" s="17">
        <f si="3" t="shared"/>
        <v>1.8781658415973543E-2</v>
      </c>
      <c r="M77" s="18">
        <f si="3" t="shared"/>
        <v>1.3963431931398273E-2</v>
      </c>
    </row>
    <row r="78" spans="1:13" x14ac:dyDescent="0.25">
      <c r="A78" s="12">
        <v>0.375</v>
      </c>
      <c r="B78" s="18">
        <f si="4" t="shared"/>
        <v>4.5443174776194778E-3</v>
      </c>
      <c r="C78" s="18">
        <f si="4" t="shared"/>
        <v>6.0256592135197237E-3</v>
      </c>
      <c r="D78" s="18">
        <f si="4" t="shared"/>
        <v>2.2273205701182373E-2</v>
      </c>
      <c r="E78" s="18">
        <f si="4" t="shared"/>
        <v>1.8572050746984176E-2</v>
      </c>
      <c r="F78" s="18">
        <f si="4" t="shared"/>
        <v>1.4995192388228695E-2</v>
      </c>
      <c r="H78" s="12">
        <v>0.375</v>
      </c>
      <c r="I78" s="17">
        <f si="3" t="shared"/>
        <v>7.8970610854396245E-3</v>
      </c>
      <c r="J78" s="17">
        <f si="3" t="shared"/>
        <v>3.5735201473079048E-3</v>
      </c>
      <c r="K78" s="17">
        <f si="3" t="shared"/>
        <v>2.3664676766995626E-2</v>
      </c>
      <c r="L78" s="17">
        <f si="3" t="shared"/>
        <v>2.6953739734164449E-2</v>
      </c>
      <c r="M78" s="18">
        <f si="3" t="shared"/>
        <v>1.6782213863406163E-2</v>
      </c>
    </row>
    <row r="79" spans="1:13" x14ac:dyDescent="0.25">
      <c r="A79" s="12">
        <v>0.39583333333333331</v>
      </c>
      <c r="B79" s="18">
        <f si="4" t="shared"/>
        <v>6.0946273601568055E-3</v>
      </c>
      <c r="C79" s="18">
        <f si="4" t="shared"/>
        <v>8.5854763429176785E-3</v>
      </c>
      <c r="D79" s="18">
        <f si="4" t="shared"/>
        <v>2.4452518372064771E-2</v>
      </c>
      <c r="E79" s="18">
        <f si="4" t="shared"/>
        <v>2.6408903858276364E-2</v>
      </c>
      <c r="F79" s="18">
        <f si="4" t="shared"/>
        <v>1.7217285685491558E-2</v>
      </c>
      <c r="H79" s="12">
        <v>0.39583333333333331</v>
      </c>
      <c r="I79" s="17">
        <f si="3" t="shared"/>
        <v>1.0824187070403345E-2</v>
      </c>
      <c r="J79" s="17">
        <f si="3" t="shared"/>
        <v>5.1167527583402877E-3</v>
      </c>
      <c r="K79" s="17">
        <f si="3" t="shared"/>
        <v>2.6336253263168099E-2</v>
      </c>
      <c r="L79" s="17">
        <f si="3" t="shared"/>
        <v>3.7339703220213231E-2</v>
      </c>
      <c r="M79" s="18">
        <f si="3" t="shared"/>
        <v>1.9623033166222464E-2</v>
      </c>
    </row>
    <row r="80" spans="1:13" x14ac:dyDescent="0.25">
      <c r="A80" s="12">
        <v>0.41666666666666669</v>
      </c>
      <c r="B80" s="18">
        <f si="4" t="shared"/>
        <v>8.0666858675323798E-3</v>
      </c>
      <c r="C80" s="18">
        <f si="4" t="shared"/>
        <v>1.1458529794922345E-2</v>
      </c>
      <c r="D80" s="18">
        <f si="4" t="shared"/>
        <v>2.6666861296035089E-2</v>
      </c>
      <c r="E80" s="18">
        <f si="4" t="shared"/>
        <v>3.7454971258828712E-2</v>
      </c>
      <c r="F80" s="18">
        <f si="4" t="shared"/>
        <v>1.9716452668962478E-2</v>
      </c>
      <c r="H80" s="12">
        <v>0.41666666666666669</v>
      </c>
      <c r="I80" s="17">
        <f si="3" t="shared"/>
        <v>1.4062878545242654E-2</v>
      </c>
      <c r="J80" s="17">
        <f si="3" t="shared"/>
        <v>7.1248866640972837E-3</v>
      </c>
      <c r="K80" s="17">
        <f si="3" t="shared"/>
        <v>2.8296882935654303E-2</v>
      </c>
      <c r="L80" s="17">
        <f si="3" t="shared"/>
        <v>4.9327696337657836E-2</v>
      </c>
      <c r="M80" s="18">
        <f si="3" t="shared"/>
        <v>2.226143293371053E-2</v>
      </c>
    </row>
    <row r="81" spans="1:13" x14ac:dyDescent="0.25">
      <c r="A81" s="12">
        <v>0.4375</v>
      </c>
      <c r="B81" s="18">
        <f si="4" t="shared"/>
        <v>1.0483586873218941E-2</v>
      </c>
      <c r="C81" s="18">
        <f si="4" t="shared"/>
        <v>1.4561681128205347E-2</v>
      </c>
      <c r="D81" s="18">
        <f si="4" t="shared"/>
        <v>2.8961983681073868E-2</v>
      </c>
      <c r="E81" s="18">
        <f si="4" t="shared"/>
        <v>5.2358547671572331E-2</v>
      </c>
      <c r="F81" s="18">
        <f si="4" t="shared"/>
        <v>2.2533194905521987E-2</v>
      </c>
      <c r="H81" s="12">
        <v>0.4375</v>
      </c>
      <c r="I81" s="17">
        <f ref="I81:M96" si="5" t="shared">I24/I$59</f>
        <v>1.7219147049868606E-2</v>
      </c>
      <c r="J81" s="17">
        <f si="5" t="shared"/>
        <v>9.7979913639102637E-3</v>
      </c>
      <c r="K81" s="17">
        <f si="5" t="shared"/>
        <v>2.941742392669677E-2</v>
      </c>
      <c r="L81" s="17">
        <f si="5" t="shared"/>
        <v>6.1674948333224462E-2</v>
      </c>
      <c r="M81" s="18">
        <f si="5" t="shared"/>
        <v>2.4500248401866948E-2</v>
      </c>
    </row>
    <row r="82" spans="1:13" x14ac:dyDescent="0.25">
      <c r="A82" s="12">
        <v>0.45833333333333331</v>
      </c>
      <c r="B82" s="18">
        <f ref="B82:F97" si="6" t="shared">B25/B$59</f>
        <v>1.32576671426078E-2</v>
      </c>
      <c r="C82" s="18">
        <f si="6" t="shared"/>
        <v>1.791938496170865E-2</v>
      </c>
      <c r="D82" s="18">
        <f si="6" t="shared"/>
        <v>3.1064407595819996E-2</v>
      </c>
      <c r="E82" s="18">
        <f si="6" t="shared"/>
        <v>7.0448659062384539E-2</v>
      </c>
      <c r="F82" s="18">
        <f si="6" t="shared"/>
        <v>2.5473997857283819E-2</v>
      </c>
      <c r="H82" s="12">
        <v>0.45833333333333331</v>
      </c>
      <c r="I82" s="17">
        <f si="5" t="shared"/>
        <v>2.0015662169087588E-2</v>
      </c>
      <c r="J82" s="17">
        <f si="5" t="shared"/>
        <v>1.3697548929858952E-2</v>
      </c>
      <c r="K82" s="17">
        <f si="5" t="shared"/>
        <v>2.9762757795473476E-2</v>
      </c>
      <c r="L82" s="17">
        <f si="5" t="shared"/>
        <v>7.277927021682469E-2</v>
      </c>
      <c r="M82" s="18">
        <f si="5" t="shared"/>
        <v>2.6318355797538395E-2</v>
      </c>
    </row>
    <row r="83" spans="1:13" x14ac:dyDescent="0.25">
      <c r="A83" s="12">
        <v>0.47916666666666669</v>
      </c>
      <c r="B83" s="18">
        <f si="6" t="shared"/>
        <v>1.621123424425467E-2</v>
      </c>
      <c r="C83" s="18">
        <f si="6" t="shared"/>
        <v>2.1951850980420153E-2</v>
      </c>
      <c r="D83" s="18">
        <f si="6" t="shared"/>
        <v>3.2570625775065282E-2</v>
      </c>
      <c r="E83" s="18">
        <f si="6" t="shared"/>
        <v>8.8887931211112714E-2</v>
      </c>
      <c r="F83" s="18">
        <f si="6" t="shared"/>
        <v>2.8234600611253872E-2</v>
      </c>
      <c r="H83" s="12">
        <v>0.47916666666666669</v>
      </c>
      <c r="I83" s="17">
        <f si="5" t="shared"/>
        <v>2.2445073094761271E-2</v>
      </c>
      <c r="J83" s="17">
        <f si="5" t="shared"/>
        <v>1.9743766488958293E-2</v>
      </c>
      <c r="K83" s="17">
        <f si="5" t="shared"/>
        <v>2.9593631267604292E-2</v>
      </c>
      <c r="L83" s="17">
        <f si="5" t="shared"/>
        <v>8.1057471007486906E-2</v>
      </c>
      <c r="M83" s="18">
        <f si="5" t="shared"/>
        <v>2.7926448048281094E-2</v>
      </c>
    </row>
    <row r="84" spans="1:13" x14ac:dyDescent="0.25">
      <c r="A84" s="12">
        <v>0.5</v>
      </c>
      <c r="B84" s="18">
        <f si="6" t="shared"/>
        <v>1.9242247590060609E-2</v>
      </c>
      <c r="C84" s="18">
        <f si="6" t="shared"/>
        <v>2.7838474874573707E-2</v>
      </c>
      <c r="D84" s="18">
        <f si="6" t="shared"/>
        <v>3.329141804949648E-2</v>
      </c>
      <c r="E84" s="18">
        <f si="6" t="shared"/>
        <v>0.10305643802122963</v>
      </c>
      <c r="F84" s="18">
        <f si="6" t="shared"/>
        <v>3.069742981627149E-2</v>
      </c>
      <c r="H84" s="12">
        <v>0.5</v>
      </c>
      <c r="I84" s="17">
        <f si="5" t="shared"/>
        <v>2.4749285834339649E-2</v>
      </c>
      <c r="J84" s="17">
        <f si="5" t="shared"/>
        <v>2.8841881858942126E-2</v>
      </c>
      <c r="K84" s="17">
        <f si="5" t="shared"/>
        <v>2.9262062489445254E-2</v>
      </c>
      <c r="L84" s="17">
        <f si="5" t="shared"/>
        <v>8.5275657104609048E-2</v>
      </c>
      <c r="M84" s="18">
        <f si="5" t="shared"/>
        <v>2.9665818894088897E-2</v>
      </c>
    </row>
    <row r="85" spans="1:13" x14ac:dyDescent="0.25">
      <c r="A85" s="12">
        <v>0.52083333333333337</v>
      </c>
      <c r="B85" s="18">
        <f si="6" t="shared"/>
        <v>2.2563246530001194E-2</v>
      </c>
      <c r="C85" s="18">
        <f si="6" t="shared"/>
        <v>3.7421381183240149E-2</v>
      </c>
      <c r="D85" s="18">
        <f si="6" t="shared"/>
        <v>3.345643933537696E-2</v>
      </c>
      <c r="E85" s="18">
        <f si="6" t="shared"/>
        <v>0.10851024422015745</v>
      </c>
      <c r="F85" s="18">
        <f si="6" t="shared"/>
        <v>3.3159104324854104E-2</v>
      </c>
      <c r="H85" s="12">
        <v>0.52083333333333337</v>
      </c>
      <c r="I85" s="17">
        <f si="5" t="shared"/>
        <v>2.7306213619296978E-2</v>
      </c>
      <c r="J85" s="17">
        <f si="5" t="shared"/>
        <v>4.1302618747957466E-2</v>
      </c>
      <c r="K85" s="17">
        <f si="5" t="shared"/>
        <v>2.9073324876000395E-2</v>
      </c>
      <c r="L85" s="17">
        <f si="5" t="shared"/>
        <v>8.4824143484543174E-2</v>
      </c>
      <c r="M85" s="18">
        <f si="5" t="shared"/>
        <v>3.1834665082567389E-2</v>
      </c>
    </row>
    <row r="86" spans="1:13" x14ac:dyDescent="0.25">
      <c r="A86" s="12">
        <v>0.54166666666666663</v>
      </c>
      <c r="B86" s="18">
        <f si="6" t="shared"/>
        <v>2.6814127022614442E-2</v>
      </c>
      <c r="C86" s="18">
        <f si="6" t="shared"/>
        <v>5.2136367503666022E-2</v>
      </c>
      <c r="D86" s="18">
        <f si="6" t="shared"/>
        <v>3.3599161511740055E-2</v>
      </c>
      <c r="E86" s="18">
        <f si="6" t="shared"/>
        <v>0.10338417623566704</v>
      </c>
      <c r="F86" s="18">
        <f si="6" t="shared"/>
        <v>3.6229963890113112E-2</v>
      </c>
      <c r="H86" s="12">
        <v>0.54166666666666663</v>
      </c>
      <c r="I86" s="17">
        <f si="5" t="shared"/>
        <v>3.0565176920064233E-2</v>
      </c>
      <c r="J86" s="17">
        <f si="5" t="shared"/>
        <v>5.6453931421599685E-2</v>
      </c>
      <c r="K86" s="17">
        <f si="5" t="shared"/>
        <v>2.9209052428898544E-2</v>
      </c>
      <c r="L86" s="17">
        <f si="5" t="shared"/>
        <v>7.9907942379001257E-2</v>
      </c>
      <c r="M86" s="18">
        <f si="5" t="shared"/>
        <v>3.4583830149581385E-2</v>
      </c>
    </row>
    <row r="87" spans="1:13" x14ac:dyDescent="0.25">
      <c r="A87" s="12">
        <v>0.5625</v>
      </c>
      <c r="B87" s="18">
        <f si="6" t="shared"/>
        <v>3.2887515918036306E-2</v>
      </c>
      <c r="C87" s="18">
        <f si="6" t="shared"/>
        <v>7.1271982847369922E-2</v>
      </c>
      <c r="D87" s="18">
        <f si="6" t="shared"/>
        <v>3.4207096318685133E-2</v>
      </c>
      <c r="E87" s="18">
        <f si="6" t="shared"/>
        <v>8.9447685207110023E-2</v>
      </c>
      <c r="F87" s="18">
        <f si="6" t="shared"/>
        <v>4.0392693273967002E-2</v>
      </c>
      <c r="H87" s="12">
        <v>0.5625</v>
      </c>
      <c r="I87" s="17">
        <f si="5" t="shared"/>
        <v>3.5038280269562107E-2</v>
      </c>
      <c r="J87" s="17">
        <f si="5" t="shared"/>
        <v>7.2652395944285339E-2</v>
      </c>
      <c r="K87" s="17">
        <f si="5" t="shared"/>
        <v>2.9730564265997832E-2</v>
      </c>
      <c r="L87" s="17">
        <f si="5" t="shared"/>
        <v>7.1504911214537684E-2</v>
      </c>
      <c r="M87" s="18">
        <f si="5" t="shared"/>
        <v>3.791636464108851E-2</v>
      </c>
    </row>
    <row r="88" spans="1:13" x14ac:dyDescent="0.25">
      <c r="A88" s="12">
        <v>0.58333333333333337</v>
      </c>
      <c r="B88" s="18">
        <f si="6" t="shared"/>
        <v>4.1488636814716616E-2</v>
      </c>
      <c r="C88" s="18">
        <f si="6" t="shared"/>
        <v>9.0911295008627366E-2</v>
      </c>
      <c r="D88" s="18">
        <f si="6" t="shared"/>
        <v>3.5391682559383165E-2</v>
      </c>
      <c r="E88" s="18">
        <f si="6" t="shared"/>
        <v>7.1052269533979459E-2</v>
      </c>
      <c r="F88" s="18">
        <f si="6" t="shared"/>
        <v>4.5523135591214486E-2</v>
      </c>
      <c r="H88" s="12">
        <v>0.58333333333333337</v>
      </c>
      <c r="I88" s="17">
        <f si="5" t="shared"/>
        <v>4.1203018223102315E-2</v>
      </c>
      <c r="J88" s="17">
        <f si="5" t="shared"/>
        <v>8.7525183276782548E-2</v>
      </c>
      <c r="K88" s="17">
        <f si="5" t="shared"/>
        <v>3.0601695769670936E-2</v>
      </c>
      <c r="L88" s="17">
        <f si="5" t="shared"/>
        <v>6.1033172560483955E-2</v>
      </c>
      <c r="M88" s="18">
        <f si="5" t="shared"/>
        <v>4.1692878902435483E-2</v>
      </c>
    </row>
    <row r="89" spans="1:13" x14ac:dyDescent="0.25">
      <c r="A89" s="12">
        <v>0.60416666666666663</v>
      </c>
      <c r="B89" s="18">
        <f si="6" t="shared"/>
        <v>5.262058683808548E-2</v>
      </c>
      <c r="C89" s="18">
        <f si="6" t="shared"/>
        <v>0.10498279092209022</v>
      </c>
      <c r="D89" s="18">
        <f si="6" t="shared"/>
        <v>3.6802975311395723E-2</v>
      </c>
      <c r="E89" s="18">
        <f si="6" t="shared"/>
        <v>5.2878536865511791E-2</v>
      </c>
      <c r="F89" s="18">
        <f si="6" t="shared"/>
        <v>5.0767917034240564E-2</v>
      </c>
      <c r="H89" s="12">
        <v>0.60416666666666663</v>
      </c>
      <c r="I89" s="17">
        <f si="5" t="shared"/>
        <v>4.9213085764389028E-2</v>
      </c>
      <c r="J89" s="17">
        <f si="5" t="shared"/>
        <v>9.8279184942299994E-2</v>
      </c>
      <c r="K89" s="17">
        <f si="5" t="shared"/>
        <v>3.1689100119298839E-2</v>
      </c>
      <c r="L89" s="17">
        <f si="5" t="shared"/>
        <v>4.9921374598217376E-2</v>
      </c>
      <c r="M89" s="18">
        <f si="5" t="shared"/>
        <v>4.5575440220212066E-2</v>
      </c>
    </row>
    <row r="90" spans="1:13" x14ac:dyDescent="0.25">
      <c r="A90" s="12">
        <v>0.625</v>
      </c>
      <c r="B90" s="18">
        <f si="6" t="shared"/>
        <v>6.5233754050595075E-2</v>
      </c>
      <c r="C90" s="18">
        <f si="6" t="shared"/>
        <v>0.10833832516615886</v>
      </c>
      <c r="D90" s="18">
        <f si="6" t="shared"/>
        <v>3.7851958413660632E-2</v>
      </c>
      <c r="E90" s="18">
        <f si="6" t="shared"/>
        <v>3.8042969261917484E-2</v>
      </c>
      <c r="F90" s="18">
        <f si="6" t="shared"/>
        <v>5.491758348307281E-2</v>
      </c>
      <c r="H90" s="12">
        <v>0.625</v>
      </c>
      <c r="I90" s="17">
        <f si="5" t="shared"/>
        <v>5.8530593888808165E-2</v>
      </c>
      <c r="J90" s="17">
        <f si="5" t="shared"/>
        <v>0.10227466590118284</v>
      </c>
      <c r="K90" s="17">
        <f si="5" t="shared"/>
        <v>3.2781971098984557E-2</v>
      </c>
      <c r="L90" s="17">
        <f si="5" t="shared"/>
        <v>3.933146538510858E-2</v>
      </c>
      <c r="M90" s="18">
        <f si="5" t="shared"/>
        <v>4.8998071962380693E-2</v>
      </c>
    </row>
    <row r="91" spans="1:13" x14ac:dyDescent="0.25">
      <c r="A91" s="12">
        <v>0.64583333333333337</v>
      </c>
      <c r="B91" s="18">
        <f si="6" t="shared"/>
        <v>7.7226565141014059E-2</v>
      </c>
      <c r="C91" s="18">
        <f si="6" t="shared"/>
        <v>9.9805234135137838E-2</v>
      </c>
      <c r="D91" s="18">
        <f si="6" t="shared"/>
        <v>3.810769996529207E-2</v>
      </c>
      <c r="E91" s="18">
        <f si="6" t="shared"/>
        <v>2.7462237140450128E-2</v>
      </c>
      <c r="F91" s="18">
        <f si="6" t="shared"/>
        <v>5.7010752762583328E-2</v>
      </c>
      <c r="H91" s="12">
        <v>0.64583333333333337</v>
      </c>
      <c r="I91" s="17">
        <f si="5" t="shared"/>
        <v>6.7753085513380981E-2</v>
      </c>
      <c r="J91" s="17">
        <f si="5" t="shared"/>
        <v>9.8032645893799675E-2</v>
      </c>
      <c r="K91" s="17">
        <f si="5" t="shared"/>
        <v>3.368646227222355E-2</v>
      </c>
      <c r="L91" s="17">
        <f si="5" t="shared"/>
        <v>3.0075063011593139E-2</v>
      </c>
      <c r="M91" s="18">
        <f si="5" t="shared"/>
        <v>5.1294704599038198E-2</v>
      </c>
    </row>
    <row r="92" spans="1:13" x14ac:dyDescent="0.25">
      <c r="A92" s="12">
        <v>0.66666666666666663</v>
      </c>
      <c r="B92" s="18">
        <f si="6" t="shared"/>
        <v>8.5897334572563808E-2</v>
      </c>
      <c r="C92" s="18">
        <f si="6" t="shared"/>
        <v>8.2801152436830894E-2</v>
      </c>
      <c r="D92" s="18">
        <f si="6" t="shared"/>
        <v>3.7608486168998131E-2</v>
      </c>
      <c r="E92" s="18">
        <f si="6" t="shared"/>
        <v>2.0378716972912644E-2</v>
      </c>
      <c r="F92" s="18">
        <f si="6" t="shared"/>
        <v>5.6731660368656907E-2</v>
      </c>
      <c r="H92" s="12">
        <v>0.66666666666666663</v>
      </c>
      <c r="I92" s="17">
        <f si="5" t="shared"/>
        <v>7.485067792109372E-2</v>
      </c>
      <c r="J92" s="17">
        <f si="5" t="shared"/>
        <v>8.6190394866028128E-2</v>
      </c>
      <c r="K92" s="17">
        <f si="5" t="shared"/>
        <v>3.4355211353209521E-2</v>
      </c>
      <c r="L92" s="17">
        <f si="5" t="shared"/>
        <v>2.260325282873445E-2</v>
      </c>
      <c r="M92" s="18">
        <f si="5" t="shared"/>
        <v>5.1958577513007052E-2</v>
      </c>
    </row>
    <row r="93" spans="1:13" x14ac:dyDescent="0.25">
      <c r="A93" s="12">
        <v>0.6875</v>
      </c>
      <c r="B93" s="18">
        <f si="6" t="shared"/>
        <v>8.8814352459118964E-2</v>
      </c>
      <c r="C93" s="18">
        <f si="6" t="shared"/>
        <v>6.3050909924752416E-2</v>
      </c>
      <c r="D93" s="18">
        <f si="6" t="shared"/>
        <v>3.6869021680546558E-2</v>
      </c>
      <c r="E93" s="18">
        <f si="6" t="shared"/>
        <v>1.5413172865334387E-2</v>
      </c>
      <c r="F93" s="18">
        <f si="6" t="shared"/>
        <v>5.439100810517699E-2</v>
      </c>
      <c r="H93" s="12">
        <v>0.6875</v>
      </c>
      <c r="I93" s="17">
        <f si="5" t="shared"/>
        <v>7.7810037460564169E-2</v>
      </c>
      <c r="J93" s="17">
        <f si="5" t="shared"/>
        <v>6.9527422620918655E-2</v>
      </c>
      <c r="K93" s="17">
        <f si="5" t="shared"/>
        <v>3.4937734027828828E-2</v>
      </c>
      <c r="L93" s="17">
        <f si="5" t="shared"/>
        <v>1.7004359656976414E-2</v>
      </c>
      <c r="M93" s="18">
        <f si="5" t="shared"/>
        <v>5.0855853608209677E-2</v>
      </c>
    </row>
    <row r="94" spans="1:13" x14ac:dyDescent="0.25">
      <c r="A94" s="12">
        <v>0.70833333333333337</v>
      </c>
      <c r="B94" s="18">
        <f si="6" t="shared"/>
        <v>8.4833634583292711E-2</v>
      </c>
      <c r="C94" s="18">
        <f si="6" t="shared"/>
        <v>4.5367050207574006E-2</v>
      </c>
      <c r="D94" s="18">
        <f si="6" t="shared"/>
        <v>3.6573863260094257E-2</v>
      </c>
      <c r="E94" s="18">
        <f si="6" t="shared"/>
        <v>1.147070668942091E-2</v>
      </c>
      <c r="F94" s="18">
        <f si="6" t="shared"/>
        <v>5.064660333982908E-2</v>
      </c>
      <c r="H94" s="12">
        <v>0.70833333333333337</v>
      </c>
      <c r="I94" s="17">
        <f si="5" t="shared"/>
        <v>7.5445286469523559E-2</v>
      </c>
      <c r="J94" s="17">
        <f si="5" t="shared"/>
        <v>5.1808057781268839E-2</v>
      </c>
      <c r="K94" s="17">
        <f si="5" t="shared"/>
        <v>3.568868175712759E-2</v>
      </c>
      <c r="L94" s="17">
        <f si="5" t="shared"/>
        <v>1.3045787950686814E-2</v>
      </c>
      <c r="M94" s="18">
        <f si="5" t="shared"/>
        <v>4.825948629989589E-2</v>
      </c>
    </row>
    <row r="95" spans="1:13" x14ac:dyDescent="0.25">
      <c r="A95" s="12">
        <v>0.72916666666666663</v>
      </c>
      <c r="B95" s="18">
        <f si="6" t="shared"/>
        <v>7.4738711037819594E-2</v>
      </c>
      <c r="C95" s="18">
        <f si="6" t="shared"/>
        <v>3.1899069112900746E-2</v>
      </c>
      <c r="D95" s="18">
        <f si="6" t="shared"/>
        <v>3.715597987956501E-2</v>
      </c>
      <c r="E95" s="18">
        <f si="6" t="shared"/>
        <v>8.0968159566557427E-3</v>
      </c>
      <c r="F95" s="18">
        <f si="6" t="shared"/>
        <v>4.6230507333780868E-2</v>
      </c>
      <c r="H95" s="12">
        <v>0.72916666666666663</v>
      </c>
      <c r="I95" s="17">
        <f si="5" t="shared"/>
        <v>6.7980876765401765E-2</v>
      </c>
      <c r="J95" s="17">
        <f si="5" t="shared"/>
        <v>3.6211043943683671E-2</v>
      </c>
      <c r="K95" s="17">
        <f si="5" t="shared"/>
        <v>3.678413476327317E-2</v>
      </c>
      <c r="L95" s="17">
        <f si="5" t="shared"/>
        <v>1.0291207787526209E-2</v>
      </c>
      <c r="M95" s="18">
        <f si="5" t="shared"/>
        <v>4.471748101162603E-2</v>
      </c>
    </row>
    <row r="96" spans="1:13" x14ac:dyDescent="0.25">
      <c r="A96" s="12">
        <v>0.75</v>
      </c>
      <c r="B96" s="18">
        <f si="6" t="shared"/>
        <v>6.1014863637001031E-2</v>
      </c>
      <c r="C96" s="18">
        <f si="6" t="shared"/>
        <v>2.2518577424137584E-2</v>
      </c>
      <c r="D96" s="18">
        <f si="6" t="shared"/>
        <v>3.8511399716135479E-2</v>
      </c>
      <c r="E96" s="18">
        <f si="6" t="shared"/>
        <v>5.307060277945517E-3</v>
      </c>
      <c r="F96" s="18">
        <f si="6" t="shared"/>
        <v>4.1772537906046008E-2</v>
      </c>
      <c r="H96" s="12">
        <v>0.75</v>
      </c>
      <c r="I96" s="17">
        <f si="5" t="shared"/>
        <v>5.704287591144655E-2</v>
      </c>
      <c r="J96" s="17">
        <f si="5" t="shared"/>
        <v>2.437508806716706E-2</v>
      </c>
      <c r="K96" s="17">
        <f si="5" t="shared"/>
        <v>3.8152928411136204E-2</v>
      </c>
      <c r="L96" s="17">
        <f si="5" t="shared"/>
        <v>8.2685247729395381E-3</v>
      </c>
      <c r="M96" s="18">
        <f si="5" t="shared"/>
        <v>4.0841179502361546E-2</v>
      </c>
    </row>
    <row r="97" spans="1:13" x14ac:dyDescent="0.25">
      <c r="A97" s="12">
        <v>0.77083333333333337</v>
      </c>
      <c r="B97" s="18">
        <f si="6" t="shared"/>
        <v>4.6776637149226204E-2</v>
      </c>
      <c r="C97" s="18">
        <f si="6" t="shared"/>
        <v>1.6186279955560417E-2</v>
      </c>
      <c r="D97" s="18">
        <f si="6" t="shared"/>
        <v>3.9997683282813806E-2</v>
      </c>
      <c r="E97" s="18">
        <f si="6" t="shared"/>
        <v>3.2325880836234877E-3</v>
      </c>
      <c r="F97" s="18">
        <f si="6" t="shared"/>
        <v>3.766538070102448E-2</v>
      </c>
      <c r="H97" s="12">
        <v>0.77083333333333337</v>
      </c>
      <c r="I97" s="17">
        <f ref="I97:M112" si="7" t="shared">I40/I$59</f>
        <v>4.499341543292773E-2</v>
      </c>
      <c r="J97" s="17">
        <f si="7" t="shared"/>
        <v>1.6421306861714353E-2</v>
      </c>
      <c r="K97" s="17">
        <f si="7" t="shared"/>
        <v>3.941384709481268E-2</v>
      </c>
      <c r="L97" s="17">
        <f si="7" t="shared"/>
        <v>6.6336917408302675E-3</v>
      </c>
      <c r="M97" s="18">
        <f si="7" t="shared"/>
        <v>3.7089667737761879E-2</v>
      </c>
    </row>
    <row r="98" spans="1:13" x14ac:dyDescent="0.25">
      <c r="A98" s="12">
        <v>0.79166666666666663</v>
      </c>
      <c r="B98" s="18">
        <f ref="B98:F113" si="8" t="shared">B41/B$59</f>
        <v>3.4488171851320595E-2</v>
      </c>
      <c r="C98" s="18">
        <f si="8" t="shared"/>
        <v>1.1937067838468842E-2</v>
      </c>
      <c r="D98" s="18">
        <f si="8" t="shared"/>
        <v>4.0703764145957673E-2</v>
      </c>
      <c r="E98" s="18">
        <f si="8" t="shared"/>
        <v>1.9037224168487723E-3</v>
      </c>
      <c r="F98" s="18">
        <f si="8" t="shared"/>
        <v>3.3975269749361464E-2</v>
      </c>
      <c r="H98" s="12">
        <v>0.79166666666666663</v>
      </c>
      <c r="I98" s="17">
        <f si="7" t="shared"/>
        <v>3.3967949635584568E-2</v>
      </c>
      <c r="J98" s="17">
        <f si="7" t="shared"/>
        <v>1.1568184827260511E-2</v>
      </c>
      <c r="K98" s="17">
        <f si="7" t="shared"/>
        <v>3.9967073054539823E-2</v>
      </c>
      <c r="L98" s="17">
        <f si="7" t="shared"/>
        <v>5.2618056441942184E-3</v>
      </c>
      <c r="M98" s="18">
        <f si="7" t="shared"/>
        <v>3.3628762743171461E-2</v>
      </c>
    </row>
    <row r="99" spans="1:13" x14ac:dyDescent="0.25">
      <c r="A99" s="12">
        <v>0.8125</v>
      </c>
      <c r="B99" s="18">
        <f si="8" t="shared"/>
        <v>2.5247321850798247E-2</v>
      </c>
      <c r="C99" s="18">
        <f si="8" t="shared"/>
        <v>9.1035760904303546E-3</v>
      </c>
      <c r="D99" s="18">
        <f si="8" t="shared"/>
        <v>3.9843678425327704E-2</v>
      </c>
      <c r="E99" s="18">
        <f si="8" t="shared"/>
        <v>1.2321980858463889E-3</v>
      </c>
      <c r="F99" s="18">
        <f si="8" t="shared"/>
        <v>3.0486540553617613E-2</v>
      </c>
      <c r="H99" s="12">
        <v>0.8125</v>
      </c>
      <c r="I99" s="17">
        <f si="7" t="shared"/>
        <v>2.5175512762599519E-2</v>
      </c>
      <c r="J99" s="17">
        <f si="7" t="shared"/>
        <v>8.7818109538090623E-3</v>
      </c>
      <c r="K99" s="17">
        <f si="7" t="shared"/>
        <v>3.9228218330194811E-2</v>
      </c>
      <c r="L99" s="17">
        <f si="7" t="shared"/>
        <v>4.2082670840069437E-3</v>
      </c>
      <c r="M99" s="18">
        <f si="7" t="shared"/>
        <v>3.0344734569135164E-2</v>
      </c>
    </row>
    <row r="100" spans="1:13" x14ac:dyDescent="0.25">
      <c r="A100" s="12">
        <v>0.83333333333333337</v>
      </c>
      <c r="B100" s="18">
        <f si="8" t="shared"/>
        <v>1.8913438160080787E-2</v>
      </c>
      <c r="C100" s="18">
        <f si="8" t="shared"/>
        <v>7.1837374266469391E-3</v>
      </c>
      <c r="D100" s="18">
        <f si="8" t="shared"/>
        <v>3.707377878451789E-2</v>
      </c>
      <c r="E100" s="18">
        <f si="8" t="shared"/>
        <v>1.0625468801552865E-3</v>
      </c>
      <c r="F100" s="18">
        <f si="8" t="shared"/>
        <v>2.6897812547281016E-2</v>
      </c>
      <c r="H100" s="12">
        <v>0.83333333333333337</v>
      </c>
      <c r="I100" s="17">
        <f si="7" t="shared"/>
        <v>1.8798226282364345E-2</v>
      </c>
      <c r="J100" s="17">
        <f si="7" t="shared"/>
        <v>7.1773881747681659E-3</v>
      </c>
      <c r="K100" s="17">
        <f si="7" t="shared"/>
        <v>3.6907896361365058E-2</v>
      </c>
      <c r="L100" s="17">
        <f si="7" t="shared"/>
        <v>3.5567424581809592E-3</v>
      </c>
      <c r="M100" s="18">
        <f si="7" t="shared"/>
        <v>2.7018326865643403E-2</v>
      </c>
    </row>
    <row r="101" spans="1:13" x14ac:dyDescent="0.25">
      <c r="A101" s="12">
        <v>0.85416666666666663</v>
      </c>
      <c r="B101" s="18">
        <f si="8" t="shared"/>
        <v>1.4743126579093187E-2</v>
      </c>
      <c r="C101" s="18">
        <f si="8" t="shared"/>
        <v>5.7697255277693871E-3</v>
      </c>
      <c r="D101" s="18">
        <f si="8" t="shared"/>
        <v>3.2592706066928011E-2</v>
      </c>
      <c r="E101" s="18">
        <f si="8" t="shared"/>
        <v>1.1933524444406151E-3</v>
      </c>
      <c r="F101" s="18">
        <f si="8" t="shared"/>
        <v>2.3048771584362714E-2</v>
      </c>
      <c r="H101" s="12">
        <v>0.85416666666666663</v>
      </c>
      <c r="I101" s="17">
        <f si="7" t="shared"/>
        <v>1.438060466401926E-2</v>
      </c>
      <c r="J101" s="17">
        <f si="7" t="shared"/>
        <v>6.1696112615927537E-3</v>
      </c>
      <c r="K101" s="17">
        <f si="7" t="shared"/>
        <v>3.3176121338925245E-2</v>
      </c>
      <c r="L101" s="17">
        <f si="7" t="shared"/>
        <v>3.2667346713031471E-3</v>
      </c>
      <c r="M101" s="18">
        <f si="7" t="shared"/>
        <v>2.354121424632365E-2</v>
      </c>
    </row>
    <row r="102" spans="1:13" x14ac:dyDescent="0.25">
      <c r="A102" s="12">
        <v>0.875</v>
      </c>
      <c r="B102" s="18">
        <f si="8" t="shared"/>
        <v>1.1985086427041353E-2</v>
      </c>
      <c r="C102" s="18">
        <f si="8" t="shared"/>
        <v>4.6073372139175508E-3</v>
      </c>
      <c r="D102" s="18">
        <f si="8" t="shared"/>
        <v>2.7014639149801418E-2</v>
      </c>
      <c r="E102" s="18">
        <f si="8" t="shared"/>
        <v>1.3909896476767976E-3</v>
      </c>
      <c r="F102" s="18">
        <f si="8" t="shared"/>
        <v>1.9026617968460953E-2</v>
      </c>
      <c r="H102" s="12">
        <v>0.875</v>
      </c>
      <c r="I102" s="17">
        <f si="7" t="shared"/>
        <v>1.1320992956568634E-2</v>
      </c>
      <c r="J102" s="17">
        <f si="7" t="shared"/>
        <v>5.4594906958257243E-3</v>
      </c>
      <c r="K102" s="17">
        <f si="7" t="shared"/>
        <v>2.8588592249704361E-2</v>
      </c>
      <c r="L102" s="17">
        <f si="7" t="shared"/>
        <v>3.1441555394445386E-3</v>
      </c>
      <c r="M102" s="18">
        <f si="7" t="shared"/>
        <v>2.0011134541174081E-2</v>
      </c>
    </row>
    <row r="103" spans="1:13" x14ac:dyDescent="0.25">
      <c r="A103" s="12">
        <v>0.89583333333333337</v>
      </c>
      <c r="B103" s="18">
        <f si="8" t="shared"/>
        <v>1.01190253702874E-2</v>
      </c>
      <c r="C103" s="18">
        <f si="8" t="shared"/>
        <v>3.6435099242046734E-3</v>
      </c>
      <c r="D103" s="18">
        <f si="8" t="shared"/>
        <v>2.1115732066684909E-2</v>
      </c>
      <c r="E103" s="18">
        <f si="8" t="shared"/>
        <v>1.450670225236149E-3</v>
      </c>
      <c r="F103" s="18">
        <f si="8" t="shared"/>
        <v>1.5101232974042013E-2</v>
      </c>
      <c r="H103" s="12">
        <v>0.89583333333333337</v>
      </c>
      <c r="I103" s="17">
        <f si="7" t="shared"/>
        <v>9.147756451030999E-3</v>
      </c>
      <c r="J103" s="17">
        <f si="7" t="shared"/>
        <v>4.9276092788093492E-3</v>
      </c>
      <c r="K103" s="17">
        <f si="7" t="shared"/>
        <v>2.380463388770987E-2</v>
      </c>
      <c r="L103" s="17">
        <f si="7" t="shared"/>
        <v>2.9519393864481107E-3</v>
      </c>
      <c r="M103" s="18">
        <f si="7" t="shared"/>
        <v>1.6641922156245634E-2</v>
      </c>
    </row>
    <row r="104" spans="1:13" x14ac:dyDescent="0.25">
      <c r="A104" s="12">
        <v>0.91666666666666663</v>
      </c>
      <c r="B104" s="18">
        <f si="8" t="shared"/>
        <v>8.7878313934912668E-3</v>
      </c>
      <c r="C104" s="18">
        <f si="8" t="shared"/>
        <v>2.9513137793464087E-3</v>
      </c>
      <c r="D104" s="18">
        <f si="8" t="shared"/>
        <v>1.5584178222723705E-2</v>
      </c>
      <c r="E104" s="18">
        <f si="8" t="shared"/>
        <v>1.2832322741815456E-3</v>
      </c>
      <c r="F104" s="18">
        <f si="8" t="shared"/>
        <v>1.156007588461576E-2</v>
      </c>
      <c r="H104" s="12">
        <v>0.91666666666666663</v>
      </c>
      <c r="I104" s="17">
        <f si="7" t="shared"/>
        <v>7.5363972040574162E-3</v>
      </c>
      <c r="J104" s="17">
        <f si="7" t="shared"/>
        <v>4.5010201156168057E-3</v>
      </c>
      <c r="K104" s="17">
        <f si="7" t="shared"/>
        <v>1.9286551710142895E-2</v>
      </c>
      <c r="L104" s="17">
        <f si="7" t="shared"/>
        <v>2.5557102553370784E-3</v>
      </c>
      <c r="M104" s="18">
        <f si="7" t="shared"/>
        <v>1.3587608653106898E-2</v>
      </c>
    </row>
    <row r="105" spans="1:13" x14ac:dyDescent="0.25">
      <c r="A105" s="12">
        <v>0.9375</v>
      </c>
      <c r="B105" s="18">
        <f si="8" t="shared"/>
        <v>7.670061181996389E-3</v>
      </c>
      <c r="C105" s="18">
        <f si="8" t="shared"/>
        <v>2.5674226567352935E-3</v>
      </c>
      <c r="D105" s="18">
        <f si="8" t="shared"/>
        <v>1.0867989321103881E-2</v>
      </c>
      <c r="E105" s="18">
        <f si="8" t="shared"/>
        <v>9.4510149376526072E-4</v>
      </c>
      <c r="F105" s="18">
        <f si="8" t="shared"/>
        <v>8.5670987441936117E-3</v>
      </c>
      <c r="H105" s="12">
        <v>0.9375</v>
      </c>
      <c r="I105" s="17">
        <f si="7" t="shared"/>
        <v>6.2297662705040309E-3</v>
      </c>
      <c r="J105" s="17">
        <f si="7" t="shared"/>
        <v>4.074369737769536E-3</v>
      </c>
      <c r="K105" s="17">
        <f si="7" t="shared"/>
        <v>1.5186754905608073E-2</v>
      </c>
      <c r="L105" s="17">
        <f si="7" t="shared"/>
        <v>1.9824214782090889E-3</v>
      </c>
      <c r="M105" s="18">
        <f si="7" t="shared"/>
        <v>1.0848484192546094E-2</v>
      </c>
    </row>
    <row r="106" spans="1:13" x14ac:dyDescent="0.25">
      <c r="A106" s="12">
        <v>0.95833333333333337</v>
      </c>
      <c r="B106" s="18">
        <f si="8" t="shared"/>
        <v>6.4817872740161684E-3</v>
      </c>
      <c r="C106" s="18">
        <f si="8" t="shared"/>
        <v>2.382341370145616E-3</v>
      </c>
      <c r="D106" s="18">
        <f si="8" t="shared"/>
        <v>7.1488228606481786E-3</v>
      </c>
      <c r="E106" s="18">
        <f si="8" t="shared"/>
        <v>5.7342819810857345E-4</v>
      </c>
      <c r="F106" s="18">
        <f si="8" t="shared"/>
        <v>6.1323079350908546E-3</v>
      </c>
      <c r="H106" s="12">
        <v>0.95833333333333337</v>
      </c>
      <c r="I106" s="17">
        <f si="7" t="shared"/>
        <v>5.0190934546014308E-3</v>
      </c>
      <c r="J106" s="17">
        <f si="7" t="shared"/>
        <v>3.5304489038896522E-3</v>
      </c>
      <c r="K106" s="17">
        <f si="7" t="shared"/>
        <v>1.1469243629879113E-2</v>
      </c>
      <c r="L106" s="17">
        <f si="7" t="shared"/>
        <v>1.3630901352886945E-3</v>
      </c>
      <c r="M106" s="18">
        <f si="7" t="shared"/>
        <v>8.3346412512060371E-3</v>
      </c>
    </row>
    <row r="107" spans="1:13" x14ac:dyDescent="0.25">
      <c r="A107" s="12">
        <v>0.97916666666666663</v>
      </c>
      <c r="B107" s="18">
        <f si="8" t="shared"/>
        <v>5.0917323366213079E-3</v>
      </c>
      <c r="C107" s="18">
        <f si="8" t="shared"/>
        <v>2.1875242772094483E-3</v>
      </c>
      <c r="D107" s="18">
        <f si="8" t="shared"/>
        <v>4.407549305705959E-3</v>
      </c>
      <c r="E107" s="18">
        <f si="8" t="shared"/>
        <v>2.8332957256960498E-4</v>
      </c>
      <c r="F107" s="18">
        <f si="8" t="shared"/>
        <v>4.1838567515925231E-3</v>
      </c>
      <c r="H107" s="12">
        <v>0.97916666666666663</v>
      </c>
      <c r="I107" s="17">
        <f si="7" t="shared"/>
        <v>3.8001960625128474E-3</v>
      </c>
      <c r="J107" s="17">
        <f si="7" t="shared"/>
        <v>2.8206184108504123E-3</v>
      </c>
      <c r="K107" s="17">
        <f si="7" t="shared"/>
        <v>8.1189255066676323E-3</v>
      </c>
      <c r="L107" s="17">
        <f si="7" t="shared"/>
        <v>8.2927955120149313E-4</v>
      </c>
      <c r="M107" s="18">
        <f si="7" t="shared"/>
        <v>6.0061088272955043E-3</v>
      </c>
    </row>
    <row r="108" spans="1:13" x14ac:dyDescent="0.25">
      <c r="A108" s="12">
        <v>1</v>
      </c>
      <c r="B108" s="18">
        <f si="8" t="shared"/>
        <v>3.5915401477119055E-3</v>
      </c>
      <c r="C108" s="18">
        <f si="8" t="shared"/>
        <v>1.8310553453909286E-3</v>
      </c>
      <c r="D108" s="18">
        <f si="8" t="shared"/>
        <v>2.5164112854960761E-3</v>
      </c>
      <c r="E108" s="18">
        <f si="8" t="shared"/>
        <v>1.1217126872943476E-4</v>
      </c>
      <c r="F108" s="18">
        <f si="8" t="shared"/>
        <v>2.6579270034434999E-3</v>
      </c>
      <c r="H108" s="12">
        <v>1</v>
      </c>
      <c r="I108" s="17">
        <f si="7" t="shared"/>
        <v>2.6109776148777676E-3</v>
      </c>
      <c r="J108" s="17">
        <f si="7" t="shared"/>
        <v>2.0125590915885303E-3</v>
      </c>
      <c r="K108" s="17">
        <f si="7" t="shared"/>
        <v>5.2449002222519966E-3</v>
      </c>
      <c r="L108" s="17">
        <f si="7" t="shared"/>
        <v>4.468797402533396E-4</v>
      </c>
      <c r="M108" s="18">
        <f si="7" t="shared"/>
        <v>3.9453064041128777E-3</v>
      </c>
    </row>
    <row r="109" spans="1:13" x14ac:dyDescent="0.25">
      <c r="A109" s="12">
        <v>1.0208333333333333</v>
      </c>
      <c r="B109" s="18">
        <f si="8" t="shared"/>
        <v>2.2156563161810487E-3</v>
      </c>
      <c r="C109" s="18">
        <f si="8" t="shared"/>
        <v>1.3243054288562728E-3</v>
      </c>
      <c r="D109" s="18">
        <f si="8" t="shared"/>
        <v>1.3070713832767351E-3</v>
      </c>
      <c r="E109" s="18">
        <f si="8" t="shared"/>
        <v>3.4737034087670122E-5</v>
      </c>
      <c r="F109" s="18">
        <f si="8" t="shared"/>
        <v>1.5283091961317797E-3</v>
      </c>
      <c r="H109" s="12">
        <v>1.0208333333333333</v>
      </c>
      <c r="I109" s="17">
        <f si="7" t="shared"/>
        <v>1.5806044625380925E-3</v>
      </c>
      <c r="J109" s="17">
        <f si="7" t="shared"/>
        <v>1.2506469759172509E-3</v>
      </c>
      <c r="K109" s="17">
        <f si="7" t="shared"/>
        <v>3.012272281665695E-3</v>
      </c>
      <c r="L109" s="17">
        <f si="7" t="shared"/>
        <v>2.132414573655876E-4</v>
      </c>
      <c r="M109" s="18">
        <f si="7" t="shared"/>
        <v>2.2993777589314828E-3</v>
      </c>
    </row>
    <row r="110" spans="1:13" x14ac:dyDescent="0.25">
      <c r="A110" s="12">
        <v>4.1666666666666664E-2</v>
      </c>
      <c r="B110" s="18">
        <f si="8" t="shared"/>
        <v>1.1710436152737127E-3</v>
      </c>
      <c r="C110" s="18">
        <f si="8" t="shared"/>
        <v>8.0259462304169897E-4</v>
      </c>
      <c r="D110" s="18">
        <f si="8" t="shared"/>
        <v>6.0417643419687485E-4</v>
      </c>
      <c r="E110" s="18">
        <f si="8" t="shared"/>
        <v>8.1076652603376427E-6</v>
      </c>
      <c r="F110" s="18">
        <f si="8" t="shared"/>
        <v>7.7294524710797572E-4</v>
      </c>
      <c r="H110" s="12">
        <v>4.1666666666666664E-2</v>
      </c>
      <c r="I110" s="17">
        <f si="7" t="shared"/>
        <v>8.2254051236211809E-4</v>
      </c>
      <c r="J110" s="17">
        <f si="7" t="shared"/>
        <v>6.628379270471387E-4</v>
      </c>
      <c r="K110" s="17">
        <f si="7" t="shared"/>
        <v>1.5009881782123695E-3</v>
      </c>
      <c r="L110" s="17">
        <f si="7" t="shared"/>
        <v>8.962844853993122E-5</v>
      </c>
      <c r="M110" s="18">
        <f si="7" t="shared"/>
        <v>1.1601096035539409E-3</v>
      </c>
    </row>
    <row r="111" spans="1:13" x14ac:dyDescent="0.25">
      <c r="A111" s="12">
        <v>6.25E-2</v>
      </c>
      <c r="B111" s="18">
        <f si="8" t="shared"/>
        <v>5.20544543661294E-4</v>
      </c>
      <c r="C111" s="18">
        <f si="8" t="shared"/>
        <v>3.9915457642318445E-4</v>
      </c>
      <c r="D111" s="18">
        <f si="8" t="shared"/>
        <v>2.4233006395423684E-4</v>
      </c>
      <c r="E111" s="18">
        <f si="8" t="shared"/>
        <v>1.3415094454205871E-6</v>
      </c>
      <c r="F111" s="18">
        <f si="8" t="shared"/>
        <v>3.3456260378777455E-4</v>
      </c>
      <c r="H111" s="12">
        <v>6.25E-2</v>
      </c>
      <c r="I111" s="17">
        <f si="7" t="shared"/>
        <v>3.5968633731811502E-4</v>
      </c>
      <c r="J111" s="17">
        <f si="7" t="shared"/>
        <v>2.9365223515314293E-4</v>
      </c>
      <c r="K111" s="17">
        <f si="7" t="shared"/>
        <v>6.3363677152670605E-4</v>
      </c>
      <c r="L111" s="17">
        <f si="7" t="shared"/>
        <v>3.2748468520561973E-5</v>
      </c>
      <c r="M111" s="18">
        <f si="7" t="shared"/>
        <v>4.9483992340658206E-4</v>
      </c>
    </row>
    <row r="112" spans="1:13" x14ac:dyDescent="0.25">
      <c r="A112" s="12">
        <v>8.3333333333333329E-2</v>
      </c>
      <c r="B112" s="18">
        <f si="8" t="shared"/>
        <v>1.9081215329675832E-4</v>
      </c>
      <c r="C112" s="18">
        <f si="8" t="shared"/>
        <v>1.5965955659270762E-4</v>
      </c>
      <c r="D112" s="18">
        <f si="8" t="shared"/>
        <v>8.1985975286146434E-5</v>
      </c>
      <c r="E112" s="18">
        <f si="8" t="shared"/>
        <v>1.4028765187177875E-7</v>
      </c>
      <c r="F112" s="18">
        <f si="8" t="shared"/>
        <v>1.2059388426441098E-4</v>
      </c>
      <c r="H112" s="12">
        <v>8.3333333333333329E-2</v>
      </c>
      <c r="I112" s="17">
        <f si="7" t="shared"/>
        <v>1.2899804248864182E-4</v>
      </c>
      <c r="J112" s="17">
        <f si="7" t="shared"/>
        <v>1.0632308920776206E-4</v>
      </c>
      <c r="K112" s="17">
        <f si="7" t="shared"/>
        <v>2.208607694092299E-4</v>
      </c>
      <c r="L112" s="17">
        <f si="7" t="shared"/>
        <v>1.0167793441039349E-5</v>
      </c>
      <c r="M112" s="18">
        <f si="7" t="shared"/>
        <v>1.739670941844866E-4</v>
      </c>
    </row>
    <row r="113" spans="1:13" x14ac:dyDescent="0.25">
      <c r="A113" s="12">
        <v>0.10416666666666667</v>
      </c>
      <c r="B113" s="18">
        <f si="8" t="shared"/>
        <v>5.6287361974993556E-5</v>
      </c>
      <c r="C113" s="18">
        <f si="8" t="shared"/>
        <v>5.007164186604293E-5</v>
      </c>
      <c r="D113" s="18">
        <f si="8" t="shared"/>
        <v>2.2635418201321872E-5</v>
      </c>
      <c r="E113" s="18">
        <f si="8" t="shared"/>
        <v>6.9725885334046999E-9</v>
      </c>
      <c r="F113" s="18">
        <f si="8" t="shared"/>
        <v>3.510598970879104E-5</v>
      </c>
      <c r="H113" s="12">
        <v>0.10416666666666667</v>
      </c>
      <c r="I113" s="17">
        <f ref="I113:M115" si="9" t="shared">I56/I$59</f>
        <v>3.6824048041429455E-5</v>
      </c>
      <c r="J113" s="17">
        <f si="9" t="shared"/>
        <v>3.0568076394619569E-5</v>
      </c>
      <c r="K113" s="17">
        <f si="9" t="shared"/>
        <v>6.16046617450071E-5</v>
      </c>
      <c r="L113" s="17">
        <f si="9" t="shared"/>
        <v>2.5938332489578985E-6</v>
      </c>
      <c r="M113" s="18">
        <f si="9" t="shared"/>
        <v>4.8869978007852088E-5</v>
      </c>
    </row>
    <row r="114" spans="1:13" x14ac:dyDescent="0.25">
      <c r="A114" s="12">
        <v>0.125</v>
      </c>
      <c r="B114" s="18">
        <f ref="B114:F115" si="10" t="shared">B57/B$59</f>
        <v>1.2686097657345422E-5</v>
      </c>
      <c r="C114" s="18">
        <f si="10" t="shared"/>
        <v>1.1660432131304737E-5</v>
      </c>
      <c r="D114" s="18">
        <f si="10" t="shared"/>
        <v>4.8124090544479719E-6</v>
      </c>
      <c r="E114" s="18">
        <f si="10" t="shared"/>
        <v>0</v>
      </c>
      <c r="F114" s="18">
        <f si="10" t="shared"/>
        <v>7.8013292208351845E-6</v>
      </c>
      <c r="H114" s="12">
        <v>0.125</v>
      </c>
      <c r="I114" s="17">
        <f si="9" t="shared"/>
        <v>7.908093297970296E-6</v>
      </c>
      <c r="J114" s="17">
        <f si="9" t="shared"/>
        <v>6.5995899038760318E-6</v>
      </c>
      <c r="K114" s="17">
        <f si="9" t="shared"/>
        <v>1.2986822857111036E-5</v>
      </c>
      <c r="L114" s="17">
        <f si="9" t="shared"/>
        <v>5.1159585662641856E-7</v>
      </c>
      <c r="M114" s="18">
        <f si="9" t="shared"/>
        <v>1.0361776439370073E-5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Q113"/>
  <sheetViews>
    <sheetView topLeftCell="A7" workbookViewId="0">
      <selection activeCell="Y93" sqref="Y93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31271.9041133003</v>
      </c>
      <c r="C8" s="6" t="n">
        <v>3257.7369405150002</v>
      </c>
      <c r="D8" s="6" t="n">
        <v>1325996.584800747</v>
      </c>
      <c r="E8" s="6" t="n">
        <v>101582.4170901713</v>
      </c>
      <c r="F8" s="6">
        <f>SUM(B8:E8)</f>
        <v>1462108.6429447336</v>
      </c>
      <c r="H8" s="15">
        <v>0</v>
      </c>
      <c r="I8" s="14" t="n">
        <v>64491.0</v>
      </c>
      <c r="J8" s="14" t="n">
        <v>38978.0</v>
      </c>
      <c r="K8" s="14" t="n">
        <v>1501686.0</v>
      </c>
      <c r="L8" s="14" t="n">
        <v>138418.0</v>
      </c>
      <c r="M8" s="14">
        <f>SUM(I8:L8)</f>
        <v>1615228.8555978953</v>
      </c>
      <c r="O8" s="5"/>
      <c r="P8" s="14"/>
      <c r="Q8" s="14"/>
    </row>
    <row r="9" spans="1:17" x14ac:dyDescent="0.25">
      <c r="A9" s="12">
        <v>2.0833333333333332E-2</v>
      </c>
      <c r="B9" s="6" t="n">
        <v>32335.478141381736</v>
      </c>
      <c r="C9" s="6" t="n">
        <v>9250.767440073856</v>
      </c>
      <c r="D9" s="6" t="n">
        <v>1007317.641613347</v>
      </c>
      <c r="E9" s="6" t="n">
        <v>72740.91467917615</v>
      </c>
      <c r="F9" s="6">
        <f ref="F9:F56" si="0" t="shared">SUM(B9:E9)</f>
        <v>1121644.8018739787</v>
      </c>
      <c r="H9" s="12">
        <v>2.0833333333333332E-2</v>
      </c>
      <c r="I9" s="9" t="n">
        <v>60845.29756069183</v>
      </c>
      <c r="J9" s="9" t="n">
        <v>31526.53947353363</v>
      </c>
      <c r="K9" s="9" t="n">
        <v>1123812.1367378235</v>
      </c>
      <c r="L9" s="9" t="n">
        <v>97990.6128692627</v>
      </c>
      <c r="M9" s="14">
        <f ref="M9:M56" si="1" t="shared">SUM(I9:L9)</f>
        <v>1216896.693421388</v>
      </c>
      <c r="O9" s="5"/>
      <c r="P9" s="16"/>
      <c r="Q9" s="16"/>
    </row>
    <row r="10" spans="1:17" x14ac:dyDescent="0.25">
      <c r="A10" s="12">
        <v>4.1666666666666664E-2</v>
      </c>
      <c r="B10" s="6" t="n">
        <v>33638.66032201367</v>
      </c>
      <c r="C10" s="6" t="n">
        <v>14498.272165587252</v>
      </c>
      <c r="D10" s="6" t="n">
        <v>722073.1617370276</v>
      </c>
      <c r="E10" s="6" t="n">
        <v>47572.332915012885</v>
      </c>
      <c r="F10" s="6">
        <f si="0" t="shared"/>
        <v>817782.42713964137</v>
      </c>
      <c r="H10" s="12">
        <v>4.1666666666666664E-2</v>
      </c>
      <c r="I10" s="9" t="n">
        <v>58723.48960494995</v>
      </c>
      <c r="J10" s="9" t="n">
        <v>25429.648992538452</v>
      </c>
      <c r="K10" s="9" t="n">
        <v>789378.1628389359</v>
      </c>
      <c r="L10" s="9" t="n">
        <v>63090.2028799057</v>
      </c>
      <c r="M10" s="14">
        <f si="1" t="shared"/>
        <v>866465.33452395117</v>
      </c>
      <c r="O10" s="5"/>
      <c r="P10" s="16"/>
      <c r="Q10" s="16"/>
    </row>
    <row r="11" spans="1:17" x14ac:dyDescent="0.25">
      <c r="A11" s="12">
        <v>6.25E-2</v>
      </c>
      <c r="B11" s="6" t="n">
        <v>35350.97297990215</v>
      </c>
      <c r="C11" s="6" t="n">
        <v>18507.81764442527</v>
      </c>
      <c r="D11" s="6" t="n">
        <v>491710.186353609</v>
      </c>
      <c r="E11" s="6" t="n">
        <v>28363.01911914746</v>
      </c>
      <c r="F11" s="6">
        <f si="0" t="shared"/>
        <v>573931.9960970839</v>
      </c>
      <c r="H11" s="12">
        <v>6.25E-2</v>
      </c>
      <c r="I11" s="9" t="n">
        <v>58983.36929702759</v>
      </c>
      <c r="J11" s="9" t="n">
        <v>21557.72181034088</v>
      </c>
      <c r="K11" s="9" t="n">
        <v>525208.9147605896</v>
      </c>
      <c r="L11" s="9" t="n">
        <v>37000.65250778198</v>
      </c>
      <c r="M11" s="14">
        <f si="1" t="shared"/>
        <v>593372.94547613245</v>
      </c>
      <c r="O11" s="5"/>
      <c r="P11" s="16"/>
      <c r="Q11" s="16"/>
    </row>
    <row r="12" spans="1:17" x14ac:dyDescent="0.25">
      <c r="A12" s="12">
        <v>8.3333333333333329E-2</v>
      </c>
      <c r="B12" s="6" t="n">
        <v>37539.230668158976</v>
      </c>
      <c r="C12" s="6" t="n">
        <v>21115.78802950031</v>
      </c>
      <c r="D12" s="6" t="n">
        <v>321303.8852121856</v>
      </c>
      <c r="E12" s="6" t="n">
        <v>15470.170324188044</v>
      </c>
      <c r="F12" s="6">
        <f si="0" t="shared"/>
        <v>395429.07423403295</v>
      </c>
      <c r="H12" s="12">
        <v>8.3333333333333329E-2</v>
      </c>
      <c r="I12" s="9" t="n">
        <v>61520.38798522949</v>
      </c>
      <c r="J12" s="9" t="n">
        <v>20134.917414665222</v>
      </c>
      <c r="K12" s="9" t="n">
        <v>335783.64119911194</v>
      </c>
      <c r="L12" s="9" t="n">
        <v>19986.35401535034</v>
      </c>
      <c r="M12" s="14">
        <f si="1" t="shared"/>
        <v>402199.64666767319</v>
      </c>
      <c r="O12" s="5"/>
      <c r="P12" s="16"/>
      <c r="Q12" s="16"/>
    </row>
    <row r="13" spans="1:17" x14ac:dyDescent="0.25">
      <c r="A13" s="12">
        <v>0.10416666666666667</v>
      </c>
      <c r="B13" s="6" t="n">
        <v>40144.807086659865</v>
      </c>
      <c r="C13" s="6" t="n">
        <v>22432.330647994015</v>
      </c>
      <c r="D13" s="6" t="n">
        <v>203587.9460064458</v>
      </c>
      <c r="E13" s="6" t="n">
        <v>7781.843731921307</v>
      </c>
      <c r="F13" s="6">
        <f si="0" t="shared"/>
        <v>273946.92747302097</v>
      </c>
      <c r="H13" s="12">
        <v>0.10416666666666667</v>
      </c>
      <c r="I13" s="9" t="n">
        <v>65425.30263519287</v>
      </c>
      <c r="J13" s="9" t="n">
        <v>20945.421639442444</v>
      </c>
      <c r="K13" s="9" t="n">
        <v>209466.63674926758</v>
      </c>
      <c r="L13" s="9" t="n">
        <v>10165.05634689331</v>
      </c>
      <c r="M13" s="14">
        <f si="1" t="shared"/>
        <v>279585.81327884126</v>
      </c>
      <c r="O13" s="5"/>
      <c r="P13" s="5"/>
      <c r="Q13" s="5"/>
    </row>
    <row r="14" spans="1:17" x14ac:dyDescent="0.25">
      <c r="A14" s="12">
        <v>0.125</v>
      </c>
      <c r="B14" s="6" t="n">
        <v>42937.78003475083</v>
      </c>
      <c r="C14" s="6" t="n">
        <v>22867.550083709615</v>
      </c>
      <c r="D14" s="6" t="n">
        <v>126232.78544336549</v>
      </c>
      <c r="E14" s="6" t="n">
        <v>3643.2508205244176</v>
      </c>
      <c r="F14" s="6">
        <f si="0" t="shared"/>
        <v>195681.36638235033</v>
      </c>
      <c r="H14" s="12">
        <v>0.125</v>
      </c>
      <c r="I14" s="9" t="n">
        <v>69436.010263443</v>
      </c>
      <c r="J14" s="9" t="n">
        <v>23670.68788909912</v>
      </c>
      <c r="K14" s="9" t="n">
        <v>129074.47696208954</v>
      </c>
      <c r="L14" s="9" t="n">
        <v>5020.315636634827</v>
      </c>
      <c r="M14" s="14">
        <f si="1" t="shared"/>
        <v>206074.74599087314</v>
      </c>
    </row>
    <row r="15" spans="1:17" x14ac:dyDescent="0.25">
      <c r="A15" s="12">
        <v>0.14583333333333334</v>
      </c>
      <c r="B15" s="6" t="n">
        <v>45510.6189331356</v>
      </c>
      <c r="C15" s="6" t="n">
        <v>23346.27341328255</v>
      </c>
      <c r="D15" s="6" t="n">
        <v>77262.99116505154</v>
      </c>
      <c r="E15" s="6" t="n">
        <v>1594.5833276773867</v>
      </c>
      <c r="F15" s="6">
        <f si="0" t="shared"/>
        <v>147714.46683914709</v>
      </c>
      <c r="H15" s="12">
        <v>0.14583333333333334</v>
      </c>
      <c r="I15" s="9" t="n">
        <v>72497.20189189911</v>
      </c>
      <c r="J15" s="9" t="n">
        <v>28067.953846931458</v>
      </c>
      <c r="K15" s="9" t="n">
        <v>79268.03494739532</v>
      </c>
      <c r="L15" s="9" t="n">
        <v>2482.9062299728394</v>
      </c>
      <c r="M15" s="14">
        <f si="1" t="shared"/>
        <v>164525.99685225377</v>
      </c>
    </row>
    <row r="16" spans="1:17" x14ac:dyDescent="0.25">
      <c r="A16" s="12">
        <v>0.16666666666666666</v>
      </c>
      <c r="B16" s="6" t="n">
        <v>47440.71998288021</v>
      </c>
      <c r="C16" s="6" t="n">
        <v>25505.67517176063</v>
      </c>
      <c r="D16" s="6" t="n">
        <v>47227.599266476696</v>
      </c>
      <c r="E16" s="6" t="n">
        <v>649.9458019511859</v>
      </c>
      <c r="F16" s="6">
        <f si="0" t="shared"/>
        <v>120823.94022306871</v>
      </c>
      <c r="H16" s="12">
        <v>0.16666666666666666</v>
      </c>
      <c r="I16" s="9" t="n">
        <v>74273.6467962265</v>
      </c>
      <c r="J16" s="9" t="n">
        <v>33884.56241798401</v>
      </c>
      <c r="K16" s="9" t="n">
        <v>48918.77144908905</v>
      </c>
      <c r="L16" s="9" t="n">
        <v>1252.3773889541626</v>
      </c>
      <c r="M16" s="14">
        <f si="1" t="shared"/>
        <v>142906.72600708835</v>
      </c>
    </row>
    <row r="17" spans="1:13" x14ac:dyDescent="0.25">
      <c r="A17" s="12">
        <v>0.1875</v>
      </c>
      <c r="B17" s="6" t="n">
        <v>48660.09842679294</v>
      </c>
      <c r="C17" s="6" t="n">
        <v>31392.629678540186</v>
      </c>
      <c r="D17" s="6" t="n">
        <v>29334.14717709736</v>
      </c>
      <c r="E17" s="6" t="n">
        <v>244.7425113142853</v>
      </c>
      <c r="F17" s="6">
        <f si="0" t="shared"/>
        <v>109631.61779374476</v>
      </c>
      <c r="H17" s="12">
        <v>0.1875</v>
      </c>
      <c r="I17" s="9" t="n">
        <v>75420.4159860611</v>
      </c>
      <c r="J17" s="9" t="n">
        <v>40645.35576725006</v>
      </c>
      <c r="K17" s="9" t="n">
        <v>30619.574842453003</v>
      </c>
      <c r="L17" s="9" t="n">
        <v>643.7826681137085</v>
      </c>
      <c r="M17" s="14">
        <f si="1" t="shared"/>
        <v>133719.18634563673</v>
      </c>
    </row>
    <row r="18" spans="1:13" x14ac:dyDescent="0.25">
      <c r="A18" s="12">
        <v>0.20833333333333334</v>
      </c>
      <c r="B18" s="6" t="n">
        <v>49882.86383260982</v>
      </c>
      <c r="C18" s="6" t="n">
        <v>42289.54327237458</v>
      </c>
      <c r="D18" s="6" t="n">
        <v>18917.04818953326</v>
      </c>
      <c r="E18" s="6" t="n">
        <v>85.0576497401417</v>
      </c>
      <c r="F18" s="6">
        <f si="0" t="shared"/>
        <v>111174.51294425782</v>
      </c>
      <c r="H18" s="12">
        <v>0.20833333333333334</v>
      </c>
      <c r="I18" s="9" t="n">
        <v>77429.77665615082</v>
      </c>
      <c r="J18" s="9" t="n">
        <v>47544.049284935</v>
      </c>
      <c r="K18" s="9" t="n">
        <v>19608.28382587433</v>
      </c>
      <c r="L18" s="9" t="n">
        <v>331.7818250656128</v>
      </c>
      <c r="M18" s="14">
        <f si="1" t="shared"/>
        <v>132559.68744642541</v>
      </c>
    </row>
    <row r="19" spans="1:13" x14ac:dyDescent="0.25">
      <c r="A19" s="12">
        <v>0.22916666666666666</v>
      </c>
      <c r="B19" s="6" t="n">
        <v>52825.81652414525</v>
      </c>
      <c r="C19" s="6" t="n">
        <v>57080.0679035248</v>
      </c>
      <c r="D19" s="6" t="n">
        <v>12875.840230924245</v>
      </c>
      <c r="E19" s="6" t="n">
        <v>27.656956319101468</v>
      </c>
      <c r="F19" s="6">
        <f si="0" t="shared"/>
        <v>122809.38161491339</v>
      </c>
      <c r="H19" s="12">
        <v>0.22916666666666666</v>
      </c>
      <c r="I19" s="9" t="n">
        <v>82077.96740245819</v>
      </c>
      <c r="J19" s="9" t="n">
        <v>53541.5254907608</v>
      </c>
      <c r="K19" s="9" t="n">
        <v>12924.600901603699</v>
      </c>
      <c r="L19" s="9" t="n">
        <v>167.46342277526855</v>
      </c>
      <c r="M19" s="14">
        <f si="1" t="shared"/>
        <v>136834.62082744503</v>
      </c>
    </row>
    <row r="20" spans="1:13" x14ac:dyDescent="0.25">
      <c r="A20" s="12">
        <v>0.25</v>
      </c>
      <c r="B20" s="6" t="n">
        <v>59952.782594312666</v>
      </c>
      <c r="C20" s="6" t="n">
        <v>71581.27362065265</v>
      </c>
      <c r="D20" s="6" t="n">
        <v>9252.392211200198</v>
      </c>
      <c r="E20" s="6" t="n">
        <v>8.552393534541782</v>
      </c>
      <c r="F20" s="6">
        <f si="0" t="shared"/>
        <v>140795.00081970004</v>
      </c>
      <c r="H20" s="12">
        <v>0.25</v>
      </c>
      <c r="I20" s="9" t="n">
        <v>90715.59872341156</v>
      </c>
      <c r="J20" s="9" t="n">
        <v>57576.35041999817</v>
      </c>
      <c r="K20" s="9" t="n">
        <v>8801.20621585846</v>
      </c>
      <c r="L20" s="9" t="n">
        <v>81.13495349884033</v>
      </c>
      <c r="M20" s="14">
        <f si="1" t="shared"/>
        <v>144758.07184066655</v>
      </c>
    </row>
    <row r="21" spans="1:13" x14ac:dyDescent="0.25">
      <c r="A21" s="12">
        <v>0.27083333333333331</v>
      </c>
      <c r="B21" s="6" t="n">
        <v>73519.11986695902</v>
      </c>
      <c r="C21" s="6" t="n">
        <v>80165.81876963191</v>
      </c>
      <c r="D21" s="6" t="n">
        <v>6931.216840030564</v>
      </c>
      <c r="E21" s="6" t="n">
        <v>2.4823922473580167</v>
      </c>
      <c r="F21" s="6">
        <f si="0" t="shared"/>
        <v>160618.63786886886</v>
      </c>
      <c r="H21" s="12">
        <v>0.27083333333333331</v>
      </c>
      <c r="I21" s="9" t="n">
        <v>103633.8210105896</v>
      </c>
      <c r="J21" s="9" t="n">
        <v>58751.7294178009</v>
      </c>
      <c r="K21" s="9" t="n">
        <v>6214.884449005127</v>
      </c>
      <c r="L21" s="9" t="n">
        <v>37.45558166503906</v>
      </c>
      <c r="M21" s="14">
        <f si="1" t="shared"/>
        <v>154587.48173846226</v>
      </c>
    </row>
    <row r="22" spans="1:13" x14ac:dyDescent="0.25">
      <c r="A22" s="12">
        <v>0.29166666666666669</v>
      </c>
      <c r="B22" s="6" t="n">
        <v>93943.4609736701</v>
      </c>
      <c r="C22" s="6" t="n">
        <v>79087.85446607479</v>
      </c>
      <c r="D22" s="6" t="n">
        <v>5374.923525994516</v>
      </c>
      <c r="E22" s="6" t="n">
        <v>0.6376840777312951</v>
      </c>
      <c r="F22" s="6">
        <f si="0" t="shared"/>
        <v>178406.87664981713</v>
      </c>
      <c r="H22" s="12">
        <v>0.29166666666666669</v>
      </c>
      <c r="I22" s="9" t="n">
        <v>119577.30772304535</v>
      </c>
      <c r="J22" s="9" t="n">
        <v>56493.47021484375</v>
      </c>
      <c r="K22" s="9" t="n">
        <v>4583.176922798157</v>
      </c>
      <c r="L22" s="9" t="n">
        <v>16.635947227478027</v>
      </c>
      <c r="M22" s="14">
        <f si="1" t="shared"/>
        <v>164101.65411789584</v>
      </c>
    </row>
    <row r="23" spans="1:13" x14ac:dyDescent="0.25">
      <c r="A23" s="12">
        <v>0.3125</v>
      </c>
      <c r="B23" s="6" t="n">
        <v>118233.05483722128</v>
      </c>
      <c r="C23" s="6" t="n">
        <v>68909.19717869956</v>
      </c>
      <c r="D23" s="6" t="n">
        <v>4353.436481857958</v>
      </c>
      <c r="E23" s="6" t="n">
        <v>0.13305646679170294</v>
      </c>
      <c r="F23" s="6">
        <f si="0" t="shared"/>
        <v>191495.82155424557</v>
      </c>
      <c r="H23" s="12">
        <v>0.3125</v>
      </c>
      <c r="I23" s="9" t="n">
        <v>135500.88980674744</v>
      </c>
      <c r="J23" s="9" t="n">
        <v>50751.5683259964</v>
      </c>
      <c r="K23" s="9" t="n">
        <v>3572.792688369751</v>
      </c>
      <c r="L23" s="9" t="n">
        <v>7.25169563293457</v>
      </c>
      <c r="M23" s="14">
        <f si="1" t="shared"/>
        <v>170423.00208871975</v>
      </c>
    </row>
    <row r="24" spans="1:13" x14ac:dyDescent="0.25">
      <c r="A24" s="12">
        <v>0.33333333333333331</v>
      </c>
      <c r="B24" s="6" t="n">
        <v>139903.9511685286</v>
      </c>
      <c r="C24" s="6" t="n">
        <v>53886.04602161411</v>
      </c>
      <c r="D24" s="6" t="n">
        <v>3722.828212873351</v>
      </c>
      <c r="E24" s="6" t="n">
        <v>0.0204526490390275</v>
      </c>
      <c r="F24" s="6">
        <f si="0" t="shared"/>
        <v>197512.8458556651</v>
      </c>
      <c r="H24" s="12">
        <v>0.33333333333333331</v>
      </c>
      <c r="I24" s="9" t="n">
        <v>146927.86361026764</v>
      </c>
      <c r="J24" s="9" t="n">
        <v>42196.239278793335</v>
      </c>
      <c r="K24" s="9" t="n">
        <v>2974.165722846985</v>
      </c>
      <c r="L24" s="9" t="n">
        <v>3.1376075744628906</v>
      </c>
      <c r="M24" s="14">
        <f si="1" t="shared"/>
        <v>170382.72392052499</v>
      </c>
    </row>
    <row r="25" spans="1:13" x14ac:dyDescent="0.25">
      <c r="A25" s="12">
        <v>0.35416666666666669</v>
      </c>
      <c r="B25" s="6" t="n">
        <v>151384.32091565593</v>
      </c>
      <c r="C25" s="6" t="n">
        <v>38980.696246186635</v>
      </c>
      <c r="D25" s="6" t="n">
        <v>3323.904615583548</v>
      </c>
      <c r="E25" s="6" t="n">
        <v>0.0020273422351831435</v>
      </c>
      <c r="F25" s="6">
        <f si="0" t="shared"/>
        <v>193688.92380476833</v>
      </c>
      <c r="H25" s="12">
        <v>0.35416666666666669</v>
      </c>
      <c r="I25" s="9" t="n">
        <v>149290.75517749786</v>
      </c>
      <c r="J25" s="9" t="n">
        <v>32195.35990715027</v>
      </c>
      <c r="K25" s="9" t="n">
        <v>2625.6122665405273</v>
      </c>
      <c r="L25" s="9" t="n">
        <v>1.3303699493408203</v>
      </c>
      <c r="M25" s="14">
        <f si="1" t="shared"/>
        <v>161511.48289982358</v>
      </c>
    </row>
    <row r="26" spans="1:13" x14ac:dyDescent="0.25">
      <c r="A26" s="12">
        <v>0.375</v>
      </c>
      <c r="B26" s="6" t="n">
        <v>147913.648274397</v>
      </c>
      <c r="C26" s="6" t="n">
        <v>27175.418990397957</v>
      </c>
      <c r="D26" s="6" t="n">
        <v>2994.747377089903</v>
      </c>
      <c r="E26" s="6" t="n">
        <v>9.694307875061035E-5</v>
      </c>
      <c r="F26" s="6">
        <f si="0" t="shared"/>
        <v>178083.81473882793</v>
      </c>
      <c r="H26" s="12">
        <v>0.375</v>
      </c>
      <c r="I26" s="9" t="n">
        <v>139987.6540365219</v>
      </c>
      <c r="J26" s="9" t="n">
        <v>22425.159390449524</v>
      </c>
      <c r="K26" s="9" t="n">
        <v>2389.2751121520996</v>
      </c>
      <c r="L26" s="9" t="n">
        <v>0.5349960327148438</v>
      </c>
      <c r="M26" s="14">
        <f si="1" t="shared"/>
        <v>143291.63470295796</v>
      </c>
    </row>
    <row r="27" spans="1:13" x14ac:dyDescent="0.25">
      <c r="A27" s="12">
        <v>0.39583333333333331</v>
      </c>
      <c r="B27" s="6" t="n">
        <v>130201.05121987562</v>
      </c>
      <c r="C27" s="6" t="n">
        <v>18915.31498363414</v>
      </c>
      <c r="D27" s="6" t="n">
        <v>2626.476633739021</v>
      </c>
      <c r="E27" s="6" t="n">
        <v>0.0</v>
      </c>
      <c r="F27" s="6">
        <f si="0" t="shared"/>
        <v>151742.84283724878</v>
      </c>
      <c r="H27" s="12">
        <v>0.39583333333333331</v>
      </c>
      <c r="I27" s="9" t="n">
        <v>119971.33928871155</v>
      </c>
      <c r="J27" s="9" t="n">
        <v>14266.967341423035</v>
      </c>
      <c r="K27" s="9" t="n">
        <v>2165.207823753357</v>
      </c>
      <c r="L27" s="9" t="n">
        <v>0.19622421264648438</v>
      </c>
      <c r="M27" s="14">
        <f si="1" t="shared"/>
        <v>117852.04359771626</v>
      </c>
    </row>
    <row r="28" spans="1:13" x14ac:dyDescent="0.25">
      <c r="A28" s="12">
        <v>0.41666666666666669</v>
      </c>
      <c r="B28" s="6" t="n">
        <v>103777.7668261902</v>
      </c>
      <c r="C28" s="6" t="n">
        <v>13249.839820625017</v>
      </c>
      <c r="D28" s="6" t="n">
        <v>2195.0909567581593</v>
      </c>
      <c r="E28" s="6" t="n">
        <v>0.0</v>
      </c>
      <c r="F28" s="6">
        <f si="0" t="shared"/>
        <v>119222.69760357337</v>
      </c>
      <c r="H28" s="12">
        <v>0.41666666666666669</v>
      </c>
      <c r="I28" s="9" t="n">
        <v>93589.03171634674</v>
      </c>
      <c r="J28" s="9" t="n">
        <v>8366.522208213806</v>
      </c>
      <c r="K28" s="9" t="n">
        <v>1909.4381694793701</v>
      </c>
      <c r="L28" s="9" t="n">
        <v>0.0630655288696289</v>
      </c>
      <c r="M28" s="14">
        <f si="1" t="shared"/>
        <v>89410.186930467884</v>
      </c>
    </row>
    <row r="29" spans="1:13" x14ac:dyDescent="0.25">
      <c r="A29" s="12">
        <v>0.4375</v>
      </c>
      <c r="B29" s="6" t="n">
        <v>75711.04732409157</v>
      </c>
      <c r="C29" s="6" t="n">
        <v>9149.16401039205</v>
      </c>
      <c r="D29" s="6" t="n">
        <v>1746.0222337013417</v>
      </c>
      <c r="E29" s="6" t="n">
        <v>0.0</v>
      </c>
      <c r="F29" s="6">
        <f si="0" t="shared"/>
        <v>86606.233568184965</v>
      </c>
      <c r="H29" s="12">
        <v>0.4375</v>
      </c>
      <c r="I29" s="9" t="n">
        <v>66574.99890232086</v>
      </c>
      <c r="J29" s="9" t="n">
        <v>4615.43088054657</v>
      </c>
      <c r="K29" s="9" t="n">
        <v>1628.434687614441</v>
      </c>
      <c r="L29" s="9" t="n">
        <v>0.016992568969726562</v>
      </c>
      <c r="M29" s="14">
        <f si="1" t="shared"/>
        <v>62610.449650729432</v>
      </c>
    </row>
    <row r="30" spans="1:13" x14ac:dyDescent="0.25">
      <c r="A30" s="12">
        <v>0.45833333333333331</v>
      </c>
      <c r="B30" s="6" t="n">
        <v>51313.6761963239</v>
      </c>
      <c r="C30" s="6" t="n">
        <v>6068.4167532301335</v>
      </c>
      <c r="D30" s="6" t="n">
        <v>1346.4670156352909</v>
      </c>
      <c r="E30" s="6" t="n">
        <v>0.0</v>
      </c>
      <c r="F30" s="6">
        <f si="0" t="shared"/>
        <v>58728.559965189321</v>
      </c>
      <c r="H30" s="12">
        <v>0.45833333333333331</v>
      </c>
      <c r="I30" s="9" t="n">
        <v>43549.02937602997</v>
      </c>
      <c r="J30" s="9" t="n">
        <v>2474.9763889312744</v>
      </c>
      <c r="K30" s="9" t="n">
        <v>1350.8438186645508</v>
      </c>
      <c r="L30" s="9" t="n">
        <v>0.0036334991455078125</v>
      </c>
      <c r="M30" s="14">
        <f si="1" t="shared"/>
        <v>40772.584236620336</v>
      </c>
    </row>
    <row r="31" spans="1:13" x14ac:dyDescent="0.25">
      <c r="A31" s="12">
        <v>0.47916666666666669</v>
      </c>
      <c r="B31" s="6" t="n">
        <v>32851.2752628461</v>
      </c>
      <c r="C31" s="6" t="n">
        <v>3841.3575688823876</v>
      </c>
      <c r="D31" s="6" t="n">
        <v>1037.4511310211717</v>
      </c>
      <c r="E31" s="6" t="n">
        <v>0.0</v>
      </c>
      <c r="F31" s="6">
        <f si="0" t="shared"/>
        <v>37730.083962749668</v>
      </c>
      <c r="H31" s="12">
        <v>0.47916666666666669</v>
      </c>
      <c r="I31" s="9" t="n">
        <v>26619.108058929443</v>
      </c>
      <c r="J31" s="9" t="n">
        <v>1350.0972270965576</v>
      </c>
      <c r="K31" s="9" t="n">
        <v>1098.4717798233032</v>
      </c>
      <c r="L31" s="9" t="n">
        <v>5.712509155273438E-4</v>
      </c>
      <c r="M31" s="14">
        <f si="1" t="shared"/>
        <v>25082.93152276516</v>
      </c>
    </row>
    <row r="32" spans="1:13" x14ac:dyDescent="0.25">
      <c r="A32" s="12">
        <v>0.5</v>
      </c>
      <c r="B32" s="6" t="n">
        <v>20190.86951792906</v>
      </c>
      <c r="C32" s="6" t="n">
        <v>2390.714799555769</v>
      </c>
      <c r="D32" s="6" t="n">
        <v>814.005699734375</v>
      </c>
      <c r="E32" s="6" t="n">
        <v>0.0</v>
      </c>
      <c r="F32" s="6">
        <f si="0" t="shared"/>
        <v>23395.590017219201</v>
      </c>
      <c r="H32" s="12">
        <v>0.5</v>
      </c>
      <c r="I32" s="9" t="n">
        <v>15579.888852119446</v>
      </c>
      <c r="J32" s="9" t="n">
        <v>796.2885894775391</v>
      </c>
      <c r="K32" s="9" t="n">
        <v>875.1868762969971</v>
      </c>
      <c r="L32" s="9" t="n">
        <v>5.817413330078125E-5</v>
      </c>
      <c r="M32" s="14">
        <f si="1" t="shared"/>
        <v>14942.706127193058</v>
      </c>
    </row>
    <row r="33" spans="1:13" x14ac:dyDescent="0.25">
      <c r="A33" s="12">
        <v>0.52083333333333337</v>
      </c>
      <c r="B33" s="6" t="n">
        <v>12103.973700067065</v>
      </c>
      <c r="C33" s="6" t="n">
        <v>1575.47894689852</v>
      </c>
      <c r="D33" s="6" t="n">
        <v>640.8148796831314</v>
      </c>
      <c r="E33" s="6" t="n">
        <v>0.0</v>
      </c>
      <c r="F33" s="6">
        <f si="0" t="shared"/>
        <v>14320.267526648717</v>
      </c>
      <c r="H33" s="12">
        <v>0.52083333333333337</v>
      </c>
      <c r="I33" s="9" t="n">
        <v>9005.156539916992</v>
      </c>
      <c r="J33" s="9" t="n">
        <v>545.2845125198364</v>
      </c>
      <c r="K33" s="9" t="n">
        <v>674.250078201294</v>
      </c>
      <c r="L33" s="9" t="n">
        <v>2.86102294921875E-6</v>
      </c>
      <c r="M33" s="14">
        <f si="1" t="shared"/>
        <v>8896.4364248553757</v>
      </c>
    </row>
    <row r="34" spans="1:13" x14ac:dyDescent="0.25">
      <c r="A34" s="12">
        <v>0.54166666666666663</v>
      </c>
      <c r="B34" s="6" t="n">
        <v>7209.933698710768</v>
      </c>
      <c r="C34" s="6" t="n">
        <v>1204.2153487371124</v>
      </c>
      <c r="D34" s="6" t="n">
        <v>484.7299548114264</v>
      </c>
      <c r="E34" s="6" t="n">
        <v>0.0</v>
      </c>
      <c r="F34" s="6">
        <f si="0" t="shared"/>
        <v>8898.8790022593075</v>
      </c>
      <c r="H34" s="12">
        <v>0.54166666666666663</v>
      </c>
      <c r="I34" s="9" t="n">
        <v>5288.921438217163</v>
      </c>
      <c r="J34" s="9" t="n">
        <v>448.9311580657959</v>
      </c>
      <c r="K34" s="9" t="n">
        <v>491.2292251586914</v>
      </c>
      <c r="L34" s="9" t="n">
        <v>0.0</v>
      </c>
      <c r="M34" s="14">
        <f si="1" t="shared"/>
        <v>5451.5460384359385</v>
      </c>
    </row>
    <row r="35" spans="1:13" x14ac:dyDescent="0.25">
      <c r="A35" s="12">
        <v>0.5625</v>
      </c>
      <c r="B35" s="6" t="n">
        <v>4365.112891973895</v>
      </c>
      <c r="C35" s="6" t="n">
        <v>1101.1964264376238</v>
      </c>
      <c r="D35" s="6" t="n">
        <v>336.0863697196903</v>
      </c>
      <c r="E35" s="6" t="n">
        <v>0.0</v>
      </c>
      <c r="F35" s="6">
        <f si="0" t="shared"/>
        <v>5802.3956881312088</v>
      </c>
      <c r="H35" s="12">
        <v>0.5625</v>
      </c>
      <c r="I35" s="9" t="n">
        <v>3194.5272970199585</v>
      </c>
      <c r="J35" s="9" t="n">
        <v>423.58507537841797</v>
      </c>
      <c r="K35" s="9" t="n">
        <v>330.17119789123535</v>
      </c>
      <c r="L35" s="9" t="n">
        <v>0.0</v>
      </c>
      <c r="M35" s="14">
        <f si="1" t="shared"/>
        <v>3488.7382872379776</v>
      </c>
    </row>
    <row r="36" spans="1:13" x14ac:dyDescent="0.25">
      <c r="A36" s="12">
        <v>0.58333333333333337</v>
      </c>
      <c r="B36" s="6" t="n">
        <v>2737.700851781001</v>
      </c>
      <c r="C36" s="6" t="n">
        <v>1135.8890036732819</v>
      </c>
      <c r="D36" s="6" t="n">
        <v>205.8575840347009</v>
      </c>
      <c r="E36" s="6" t="n">
        <v>0.0</v>
      </c>
      <c r="F36" s="6">
        <f si="0" t="shared"/>
        <v>4079.4474394889835</v>
      </c>
      <c r="H36" s="12">
        <v>0.58333333333333337</v>
      </c>
      <c r="I36" s="9" t="n">
        <v>1967.2751007080078</v>
      </c>
      <c r="J36" s="9" t="n">
        <v>419.3369331359863</v>
      </c>
      <c r="K36" s="9" t="n">
        <v>200.06578826904297</v>
      </c>
      <c r="L36" s="9" t="n">
        <v>0.0</v>
      </c>
      <c r="M36" s="14">
        <f si="1" t="shared"/>
        <v>2324.8129633179396</v>
      </c>
    </row>
    <row r="37" spans="1:13" x14ac:dyDescent="0.25">
      <c r="A37" s="12">
        <v>0.60416666666666663</v>
      </c>
      <c r="B37" s="6" t="n">
        <v>1780.9657485530342</v>
      </c>
      <c r="C37" s="6" t="n">
        <v>1209.524347228092</v>
      </c>
      <c r="D37" s="6" t="n">
        <v>108.42348988895236</v>
      </c>
      <c r="E37" s="6" t="n">
        <v>0.0</v>
      </c>
      <c r="F37" s="6">
        <f si="0" t="shared"/>
        <v>3098.9135856700782</v>
      </c>
      <c r="H37" s="12">
        <v>0.60416666666666663</v>
      </c>
      <c r="I37" s="9" t="n">
        <v>1222.2928686141968</v>
      </c>
      <c r="J37" s="9" t="n">
        <v>407.1086769104004</v>
      </c>
      <c r="K37" s="9" t="n">
        <v>107.0700454711914</v>
      </c>
      <c r="L37" s="9" t="n">
        <v>0.0</v>
      </c>
      <c r="M37" s="14">
        <f si="1" t="shared"/>
        <v>1601.9055921042579</v>
      </c>
    </row>
    <row r="38" spans="1:13" x14ac:dyDescent="0.25">
      <c r="A38" s="12">
        <v>0.625</v>
      </c>
      <c r="B38" s="6" t="n">
        <v>1177.2914571095605</v>
      </c>
      <c r="C38" s="6" t="n">
        <v>1238.831874625768</v>
      </c>
      <c r="D38" s="6" t="n">
        <v>48.010977848389615</v>
      </c>
      <c r="E38" s="6" t="n">
        <v>0.0</v>
      </c>
      <c r="F38" s="6">
        <f si="0" t="shared"/>
        <v>2464.1343095837183</v>
      </c>
      <c r="H38" s="12">
        <v>0.625</v>
      </c>
      <c r="I38" s="9" t="n">
        <v>777.2607955932617</v>
      </c>
      <c r="J38" s="9" t="n">
        <v>373.41821002960205</v>
      </c>
      <c r="K38" s="9" t="n">
        <v>49.654372215270996</v>
      </c>
      <c r="L38" s="9" t="n">
        <v>0.0</v>
      </c>
      <c r="M38" s="14">
        <f si="1" t="shared"/>
        <v>1142.0050002946523</v>
      </c>
    </row>
    <row r="39" spans="1:13" x14ac:dyDescent="0.25">
      <c r="A39" s="12">
        <v>0.64583333333333337</v>
      </c>
      <c r="B39" s="6" t="n">
        <v>767.913770364878</v>
      </c>
      <c r="C39" s="6" t="n">
        <v>1164.6970309059152</v>
      </c>
      <c r="D39" s="6" t="n">
        <v>17.46178990820498</v>
      </c>
      <c r="E39" s="6" t="n">
        <v>0.0</v>
      </c>
      <c r="F39" s="6">
        <f si="0" t="shared"/>
        <v>1950.0725911789982</v>
      </c>
      <c r="H39" s="12">
        <v>0.64583333333333337</v>
      </c>
      <c r="I39" s="9" t="n">
        <v>527.0491237640381</v>
      </c>
      <c r="J39" s="9" t="n">
        <v>317.2269821166992</v>
      </c>
      <c r="K39" s="9" t="n">
        <v>19.57829189300537</v>
      </c>
      <c r="L39" s="9" t="n">
        <v>0.0</v>
      </c>
      <c r="M39" s="14">
        <f si="1" t="shared"/>
        <v>843.21429464068297</v>
      </c>
    </row>
    <row r="40" spans="1:13" x14ac:dyDescent="0.25">
      <c r="A40" s="12">
        <v>0.66666666666666663</v>
      </c>
      <c r="B40" s="6" t="n">
        <v>484.4395549941047</v>
      </c>
      <c r="C40" s="6" t="n">
        <v>975.5631974090968</v>
      </c>
      <c r="D40" s="6" t="n">
        <v>5.0674355020381405</v>
      </c>
      <c r="E40" s="6" t="n">
        <v>0.0</v>
      </c>
      <c r="F40" s="6">
        <f si="0" t="shared"/>
        <v>1465.0701879052397</v>
      </c>
      <c r="H40" s="12">
        <v>0.66666666666666663</v>
      </c>
      <c r="I40" s="9" t="n">
        <v>390.20434856414795</v>
      </c>
      <c r="J40" s="9" t="n">
        <v>246.47834014892578</v>
      </c>
      <c r="K40" s="9" t="n">
        <v>6.431588172912598</v>
      </c>
      <c r="L40" s="9" t="n">
        <v>0.0</v>
      </c>
      <c r="M40" s="14">
        <f si="1" t="shared"/>
        <v>635.88661630685181</v>
      </c>
    </row>
    <row r="41" spans="1:13" x14ac:dyDescent="0.25">
      <c r="A41" s="12">
        <v>0.6875</v>
      </c>
      <c r="B41" s="6" t="n">
        <v>297.5608781611658</v>
      </c>
      <c r="C41" s="6" t="n">
        <v>714.0402690557278</v>
      </c>
      <c r="D41" s="6" t="n">
        <v>1.126511596639614</v>
      </c>
      <c r="E41" s="6" t="n">
        <v>0.0</v>
      </c>
      <c r="F41" s="6">
        <f si="0" t="shared"/>
        <v>1012.7276588135333</v>
      </c>
      <c r="H41" s="12">
        <v>0.6875</v>
      </c>
      <c r="I41" s="9" t="n">
        <v>304.65423679351807</v>
      </c>
      <c r="J41" s="9" t="n">
        <v>173.51401138305664</v>
      </c>
      <c r="K41" s="9" t="n">
        <v>1.722579002380371</v>
      </c>
      <c r="L41" s="9" t="n">
        <v>0.0</v>
      </c>
      <c r="M41" s="14">
        <f si="1" t="shared"/>
        <v>475.40497520661069</v>
      </c>
    </row>
    <row r="42" spans="1:13" x14ac:dyDescent="0.25">
      <c r="A42" s="12">
        <v>0.70833333333333337</v>
      </c>
      <c r="B42" s="6" t="n">
        <v>187.5229983878583</v>
      </c>
      <c r="C42" s="6" t="n">
        <v>450.6567245223639</v>
      </c>
      <c r="D42" s="6" t="n">
        <v>0.17992670397373486</v>
      </c>
      <c r="E42" s="6" t="n">
        <v>0.0</v>
      </c>
      <c r="F42" s="6">
        <f si="0" t="shared"/>
        <v>638.35964961419586</v>
      </c>
      <c r="H42" s="12">
        <v>0.70833333333333337</v>
      </c>
      <c r="I42" s="9" t="n">
        <v>234.74109649658203</v>
      </c>
      <c r="J42" s="9" t="n">
        <v>109.88528633117676</v>
      </c>
      <c r="K42" s="9" t="n">
        <v>0.36885738372802734</v>
      </c>
      <c r="L42" s="9" t="n">
        <v>0.0</v>
      </c>
      <c r="M42" s="14">
        <f si="1" t="shared"/>
        <v>341.09324459839519</v>
      </c>
    </row>
    <row r="43" spans="1:13" x14ac:dyDescent="0.25">
      <c r="A43" s="12">
        <v>0.72916666666666663</v>
      </c>
      <c r="B43" s="6" t="n">
        <v>132.48981296184985</v>
      </c>
      <c r="C43" s="6" t="n">
        <v>242.81674688870226</v>
      </c>
      <c r="D43" s="6" t="n">
        <v>0.018365101652433397</v>
      </c>
      <c r="E43" s="6" t="n">
        <v>0.0</v>
      </c>
      <c r="F43" s="6">
        <f si="0" t="shared"/>
        <v>375.32492495220453</v>
      </c>
      <c r="H43" s="12">
        <v>0.72916666666666663</v>
      </c>
      <c r="I43" s="9" t="n">
        <v>169.2391710281372</v>
      </c>
      <c r="J43" s="9" t="n">
        <v>62.319969177246094</v>
      </c>
      <c r="K43" s="9" t="n">
        <v>0.0630331039428711</v>
      </c>
      <c r="L43" s="9" t="n">
        <v>0.0</v>
      </c>
      <c r="M43" s="14">
        <f si="1" t="shared"/>
        <v>228.75260785594458</v>
      </c>
    </row>
    <row r="44" spans="1:13" x14ac:dyDescent="0.25">
      <c r="A44" s="12">
        <v>0.75</v>
      </c>
      <c r="B44" s="6" t="n">
        <v>108.35840593185318</v>
      </c>
      <c r="C44" s="6" t="n">
        <v>110.72074282920363</v>
      </c>
      <c r="D44" s="6" t="n">
        <v>8.991226390752793E-4</v>
      </c>
      <c r="E44" s="6" t="n">
        <v>0.0</v>
      </c>
      <c r="F44" s="6">
        <f si="0" t="shared"/>
        <v>219.0800478836959</v>
      </c>
      <c r="H44" s="12">
        <v>0.75</v>
      </c>
      <c r="I44" s="9" t="n">
        <v>110.9321346282959</v>
      </c>
      <c r="J44" s="9" t="n">
        <v>31.59438419342041</v>
      </c>
      <c r="K44" s="9" t="n">
        <v>0.009121894836425781</v>
      </c>
      <c r="L44" s="9" t="n">
        <v>0.0</v>
      </c>
      <c r="M44" s="14">
        <f si="1" t="shared"/>
        <v>140.49519490148512</v>
      </c>
    </row>
    <row r="45" spans="1:13" x14ac:dyDescent="0.25">
      <c r="A45" s="12">
        <v>0.77083333333333337</v>
      </c>
      <c r="B45" s="6" t="n">
        <v>94.02744599054803</v>
      </c>
      <c r="C45" s="6" t="n">
        <v>42.330104108691216</v>
      </c>
      <c r="D45" s="6" t="n">
        <v>0.0</v>
      </c>
      <c r="E45" s="6" t="n">
        <v>0.0</v>
      </c>
      <c r="F45" s="6">
        <f si="0" t="shared"/>
        <v>136.35755009923923</v>
      </c>
      <c r="H45" s="12">
        <v>0.77083333333333337</v>
      </c>
      <c r="I45" s="9" t="n">
        <v>65.5646915435791</v>
      </c>
      <c r="J45" s="9" t="n">
        <v>14.313985824584961</v>
      </c>
      <c r="K45" s="9" t="n">
        <v>0.00128936767578125</v>
      </c>
      <c r="L45" s="9" t="n">
        <v>0.0</v>
      </c>
      <c r="M45" s="14">
        <f si="1" t="shared"/>
        <v>77.646261460023311</v>
      </c>
    </row>
    <row r="46" spans="1:13" x14ac:dyDescent="0.25">
      <c r="A46" s="12">
        <v>0.79166666666666663</v>
      </c>
      <c r="B46" s="6" t="n">
        <v>77.02729278970156</v>
      </c>
      <c r="C46" s="6" t="n">
        <v>13.40198564183712</v>
      </c>
      <c r="D46" s="6" t="n">
        <v>0.0</v>
      </c>
      <c r="E46" s="6" t="n">
        <v>0.0</v>
      </c>
      <c r="F46" s="6">
        <f si="0" t="shared"/>
        <v>90.429278431538677</v>
      </c>
      <c r="H46" s="12">
        <v>0.79166666666666663</v>
      </c>
      <c r="I46" s="9" t="n">
        <v>35.39442157745361</v>
      </c>
      <c r="J46" s="9" t="n">
        <v>5.783757209777832</v>
      </c>
      <c r="K46" s="9" t="n">
        <v>1.811981201171875E-4</v>
      </c>
      <c r="L46" s="9" t="n">
        <v>0.0</v>
      </c>
      <c r="M46" s="14">
        <f si="1" t="shared"/>
        <v>38.02752716179242</v>
      </c>
    </row>
    <row r="47" spans="1:13" x14ac:dyDescent="0.25">
      <c r="A47" s="12">
        <v>0.8125</v>
      </c>
      <c r="B47" s="6" t="n">
        <v>55.27071432256977</v>
      </c>
      <c r="C47" s="6" t="n">
        <v>3.446497911334038</v>
      </c>
      <c r="D47" s="6" t="n">
        <v>0.0</v>
      </c>
      <c r="E47" s="6" t="n">
        <v>0.0</v>
      </c>
      <c r="F47" s="6">
        <f si="0" t="shared"/>
        <v>58.717212233903808</v>
      </c>
      <c r="H47" s="12">
        <v>0.8125</v>
      </c>
      <c r="I47" s="9" t="n">
        <v>18.177034378051758</v>
      </c>
      <c r="J47" s="9" t="n">
        <v>2.066329002380371</v>
      </c>
      <c r="K47" s="9" t="n">
        <v>1.9073486328125E-5</v>
      </c>
      <c r="L47" s="9" t="n">
        <v>0.0</v>
      </c>
      <c r="M47" s="14">
        <f si="1" t="shared"/>
        <v>16.358933709320652</v>
      </c>
    </row>
    <row r="48" spans="1:13" x14ac:dyDescent="0.25">
      <c r="A48" s="12">
        <v>0.83333333333333337</v>
      </c>
      <c r="B48" s="6" t="n">
        <v>33.392197341150094</v>
      </c>
      <c r="C48" s="6" t="n">
        <v>0.6964202995300294</v>
      </c>
      <c r="D48" s="6" t="n">
        <v>0.0</v>
      </c>
      <c r="E48" s="6" t="n">
        <v>0.0</v>
      </c>
      <c r="F48" s="6">
        <f si="0" t="shared"/>
        <v>34.088617640680127</v>
      </c>
      <c r="H48" s="12">
        <v>0.83333333333333337</v>
      </c>
      <c r="I48" s="9" t="n">
        <v>9.451234817504883</v>
      </c>
      <c r="J48" s="9" t="n">
        <v>0.6397342681884766</v>
      </c>
      <c r="K48" s="9" t="n">
        <v>9.5367431640625E-7</v>
      </c>
      <c r="L48" s="9" t="n">
        <v>0.0</v>
      </c>
      <c r="M48" s="14">
        <f si="1" t="shared"/>
        <v>6.2401143043395404</v>
      </c>
    </row>
    <row r="49" spans="1:13" x14ac:dyDescent="0.25">
      <c r="A49" s="12">
        <v>0.85416666666666663</v>
      </c>
      <c r="B49" s="6" t="n">
        <v>16.574339456359212</v>
      </c>
      <c r="C49" s="6" t="n">
        <v>0.10415944814682009</v>
      </c>
      <c r="D49" s="6" t="n">
        <v>0.0</v>
      </c>
      <c r="E49" s="6" t="n">
        <v>0.0</v>
      </c>
      <c r="F49" s="6">
        <f si="0" t="shared"/>
        <v>16.678498904506032</v>
      </c>
      <c r="H49" s="12">
        <v>0.85416666666666663</v>
      </c>
      <c r="I49" s="9" t="n">
        <v>5.165651321411133</v>
      </c>
      <c r="J49" s="9" t="n">
        <v>0.16583251953125</v>
      </c>
      <c r="K49" s="9" t="n">
        <v>0.0</v>
      </c>
      <c r="L49" s="9" t="n">
        <v>0.0</v>
      </c>
      <c r="M49" s="14">
        <f si="1" t="shared"/>
        <v>2.217623515029659</v>
      </c>
    </row>
    <row r="50" spans="1:13" x14ac:dyDescent="0.25">
      <c r="A50" s="12">
        <v>0.875</v>
      </c>
      <c r="B50" s="6" t="n">
        <v>6.612291293066078</v>
      </c>
      <c r="C50" s="6" t="n">
        <v>0.01025931453704834</v>
      </c>
      <c r="D50" s="6" t="n">
        <v>0.0</v>
      </c>
      <c r="E50" s="6" t="n">
        <v>0.0</v>
      </c>
      <c r="F50" s="6">
        <f si="0" t="shared"/>
        <v>6.6225506076031264</v>
      </c>
      <c r="H50" s="12">
        <v>0.875</v>
      </c>
      <c r="I50" s="9" t="n">
        <v>2.871260643005371</v>
      </c>
      <c r="J50" s="9" t="n">
        <v>0.03420448303222656</v>
      </c>
      <c r="K50" s="9" t="n">
        <v>0.0</v>
      </c>
      <c r="L50" s="9" t="n">
        <v>0.0</v>
      </c>
      <c r="M50" s="14">
        <f si="1" t="shared"/>
        <v>0.80789331749686988</v>
      </c>
    </row>
    <row r="51" spans="1:13" x14ac:dyDescent="0.25">
      <c r="A51" s="12">
        <v>0.89583333333333337</v>
      </c>
      <c r="B51" s="6" t="n">
        <v>2.0647340975747994</v>
      </c>
      <c r="C51" s="6" t="n">
        <v>4.978137016296387E-4</v>
      </c>
      <c r="D51" s="6" t="n">
        <v>0.0</v>
      </c>
      <c r="E51" s="6" t="n">
        <v>0.0</v>
      </c>
      <c r="F51" s="6">
        <f si="0" t="shared"/>
        <v>2.0652319112764292</v>
      </c>
      <c r="H51" s="12">
        <v>0.89583333333333337</v>
      </c>
      <c r="I51" s="9" t="n">
        <v>1.507002830505371</v>
      </c>
      <c r="J51" s="9" t="n">
        <v>0.005208015441894531</v>
      </c>
      <c r="K51" s="9" t="n">
        <v>0.0</v>
      </c>
      <c r="L51" s="9" t="n">
        <v>0.0</v>
      </c>
      <c r="M51" s="14">
        <f si="1" t="shared"/>
        <v>0.3204703817377082</v>
      </c>
    </row>
    <row r="52" spans="1:13" x14ac:dyDescent="0.25">
      <c r="A52" s="12">
        <v>0.91666666666666663</v>
      </c>
      <c r="B52" s="6" t="n">
        <v>0.4857487788011742</v>
      </c>
      <c r="C52" s="6" t="n">
        <v>0.0</v>
      </c>
      <c r="D52" s="6" t="n">
        <v>0.0</v>
      </c>
      <c r="E52" s="6" t="n">
        <v>0.0</v>
      </c>
      <c r="F52" s="6">
        <f si="0" t="shared"/>
        <v>0.48574877880117417</v>
      </c>
      <c r="H52" s="12">
        <v>0.91666666666666663</v>
      </c>
      <c r="I52" s="9" t="n">
        <v>0.7009735107421875</v>
      </c>
      <c r="J52" s="9" t="n">
        <v>5.159378051757812E-4</v>
      </c>
      <c r="K52" s="9" t="n">
        <v>0.0</v>
      </c>
      <c r="L52" s="9" t="n">
        <v>0.0</v>
      </c>
      <c r="M52" s="14">
        <f si="1" t="shared"/>
        <v>0.12918225185495377</v>
      </c>
    </row>
    <row r="53" spans="1:13" x14ac:dyDescent="0.25">
      <c r="A53" s="12">
        <v>0.9375</v>
      </c>
      <c r="B53" s="6" t="n">
        <v>0.08095812980019569</v>
      </c>
      <c r="C53" s="6" t="n">
        <v>0.0</v>
      </c>
      <c r="D53" s="6" t="n">
        <v>0.0</v>
      </c>
      <c r="E53" s="6" t="n">
        <v>0.0</v>
      </c>
      <c r="F53" s="6">
        <f si="0" t="shared"/>
        <v>8.0958129800195691E-2</v>
      </c>
      <c r="H53" s="12">
        <v>0.9375</v>
      </c>
      <c r="I53" s="9" t="n">
        <v>0.27727317810058594</v>
      </c>
      <c r="J53" s="9" t="n">
        <v>2.47955322265625E-5</v>
      </c>
      <c r="K53" s="9" t="n">
        <v>0.0</v>
      </c>
      <c r="L53" s="9" t="n">
        <v>0.0</v>
      </c>
      <c r="M53" s="14">
        <f si="1" t="shared"/>
        <v>4.6702884516367157E-2</v>
      </c>
    </row>
    <row r="54" spans="1:13" x14ac:dyDescent="0.25">
      <c r="A54" s="12">
        <v>0.95833333333333337</v>
      </c>
      <c r="B54" s="6" t="n">
        <v>0.0085219084000206</v>
      </c>
      <c r="C54" s="6" t="n">
        <v>0.0</v>
      </c>
      <c r="D54" s="6" t="n">
        <v>0.0</v>
      </c>
      <c r="E54" s="6" t="n">
        <v>0.0</v>
      </c>
      <c r="F54" s="6">
        <f si="0" t="shared"/>
        <v>8.5219084000205999E-3</v>
      </c>
      <c r="H54" s="12">
        <v>0.95833333333333337</v>
      </c>
      <c r="I54" s="9" t="n">
        <v>0.09044456481933594</v>
      </c>
      <c r="J54" s="9" t="n">
        <v>0.0</v>
      </c>
      <c r="K54" s="9" t="n">
        <v>0.0</v>
      </c>
      <c r="L54" s="9" t="n">
        <v>0.0</v>
      </c>
      <c r="M54" s="14">
        <f si="1" t="shared"/>
        <v>1.3813620794522868E-2</v>
      </c>
    </row>
    <row r="55" spans="1:13" x14ac:dyDescent="0.25">
      <c r="A55" s="12">
        <v>0.97916666666666663</v>
      </c>
      <c r="B55" s="6" t="n">
        <v>4.2609542000102997E-4</v>
      </c>
      <c r="C55" s="6" t="n">
        <v>0.0</v>
      </c>
      <c r="D55" s="6" t="n">
        <v>0.0</v>
      </c>
      <c r="E55" s="6" t="n">
        <v>0.0</v>
      </c>
      <c r="F55" s="6">
        <f si="0" t="shared"/>
        <v>4.2609542000102997E-4</v>
      </c>
      <c r="H55" s="12">
        <v>0.97916666666666663</v>
      </c>
      <c r="I55" s="9" t="n">
        <v>0.02295970916748047</v>
      </c>
      <c r="J55" s="9" t="n">
        <v>0.0</v>
      </c>
      <c r="K55" s="9" t="n">
        <v>0.0</v>
      </c>
      <c r="L55" s="9" t="n">
        <v>0.0</v>
      </c>
      <c r="M55" s="14">
        <f si="1" t="shared"/>
        <v>3.0854760314063204E-3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1728073.7844629332</v>
      </c>
      <c r="C57" s="7">
        <f>SUM(C8:C56)</f>
        <v>776129.18620461447</v>
      </c>
      <c r="D57" s="7">
        <f>SUM(D8:D56)</f>
        <v>4431406.5583149502</v>
      </c>
      <c r="E57" s="7">
        <f>SUM(E8:E56)</f>
        <v>279767.76303040434</v>
      </c>
      <c r="F57" s="7">
        <f>SUM(F8:F56)</f>
        <v>7215377.292012902</v>
      </c>
      <c r="H57" s="1"/>
      <c r="I57" s="7">
        <f>SUM(I8:I56)</f>
        <v>1702124.5594674365</v>
      </c>
      <c r="J57" s="7">
        <f>SUM(J8:J56)</f>
        <v>783838.88906146644</v>
      </c>
      <c r="K57" s="7">
        <f>SUM(K8:K56)</f>
        <v>4585152.4492649417</v>
      </c>
      <c r="L57" s="7">
        <f>SUM(L8:L56)</f>
        <v>304693.41086414136</v>
      </c>
      <c r="M57" s="7">
        <f>SUM(M8:M56)</f>
        <v>7375809.3086579861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1.8096394028116844E-2</v>
      </c>
      <c r="C65" s="18">
        <f ref="C65:F65" si="2" t="shared">C8/C$57</f>
        <v>4.1974158405842354E-3</v>
      </c>
      <c r="D65" s="18">
        <f si="2" t="shared"/>
        <v>0.29922702134217166</v>
      </c>
      <c r="E65" s="18">
        <f si="2" t="shared"/>
        <v>0.36309550460655332</v>
      </c>
      <c r="F65" s="18">
        <f si="2" t="shared"/>
        <v>0.20263786407444309</v>
      </c>
      <c r="G65" s="18"/>
      <c r="H65" s="15">
        <v>0</v>
      </c>
      <c r="I65" s="18">
        <f ref="I65:M65" si="3" t="shared">I8/I$57</f>
        <v>3.0024469216190366E-2</v>
      </c>
      <c r="J65" s="18">
        <f si="3" t="shared"/>
        <v>4.2395794576678157E-2</v>
      </c>
      <c r="K65" s="18">
        <f si="3" t="shared"/>
        <v>0.30941474619172743</v>
      </c>
      <c r="L65" s="18">
        <f si="3" t="shared"/>
        <v>0.36816751297753314</v>
      </c>
      <c r="M65" s="18">
        <f si="3" t="shared"/>
        <v>0.21899005085474249</v>
      </c>
    </row>
    <row r="66" spans="1:13" x14ac:dyDescent="0.25">
      <c r="A66" s="12">
        <v>2.0833333333333332E-2</v>
      </c>
      <c r="B66" s="18">
        <f ref="B66:F66" si="4" t="shared">B9/B$57</f>
        <v>1.8711861977254204E-2</v>
      </c>
      <c r="C66" s="18">
        <f si="4" t="shared"/>
        <v>1.1919107803832846E-2</v>
      </c>
      <c r="D66" s="18">
        <f si="4" t="shared"/>
        <v>0.22731329846575424</v>
      </c>
      <c r="E66" s="18">
        <f si="4" t="shared"/>
        <v>0.26000463345475183</v>
      </c>
      <c r="F66" s="18">
        <f si="4" t="shared"/>
        <v>0.15545199599133769</v>
      </c>
      <c r="G66" s="18"/>
      <c r="H66" s="12">
        <v>2.0833333333333332E-2</v>
      </c>
      <c r="I66" s="18">
        <f ref="I66:M66" si="5" t="shared">I9/I$57</f>
        <v>2.8275167841731973E-2</v>
      </c>
      <c r="J66" s="18">
        <f si="5" t="shared"/>
        <v>3.4862369359573785E-2</v>
      </c>
      <c r="K66" s="18">
        <f si="5" t="shared"/>
        <v>0.23164538762209794</v>
      </c>
      <c r="L66" s="18">
        <f si="5" t="shared"/>
        <v>0.26030408174802588</v>
      </c>
      <c r="M66" s="18">
        <f si="5" t="shared"/>
        <v>0.1649848365782656</v>
      </c>
    </row>
    <row r="67" spans="1:13" x14ac:dyDescent="0.25">
      <c r="A67" s="12">
        <v>4.1666666666666664E-2</v>
      </c>
      <c r="B67" s="18">
        <f ref="B67:F67" si="6" t="shared">B10/B$57</f>
        <v>1.9465986131181431E-2</v>
      </c>
      <c r="C67" s="18">
        <f si="6" t="shared"/>
        <v>1.8680230589556784E-2</v>
      </c>
      <c r="D67" s="18">
        <f si="6" t="shared"/>
        <v>0.16294446294532658</v>
      </c>
      <c r="E67" s="18">
        <f si="6" t="shared"/>
        <v>0.17004222502162575</v>
      </c>
      <c r="F67" s="18">
        <f si="6" t="shared"/>
        <v>0.11333883094996151</v>
      </c>
      <c r="G67" s="18"/>
      <c r="H67" s="12">
        <v>4.1666666666666664E-2</v>
      </c>
      <c r="I67" s="18">
        <f ref="I67:M67" si="7" t="shared">I10/I$57</f>
        <v>2.7246842291821033E-2</v>
      </c>
      <c r="J67" s="18">
        <f si="7" t="shared"/>
        <v>2.8867481936078857E-2</v>
      </c>
      <c r="K67" s="18">
        <f si="7" t="shared"/>
        <v>0.16280578057791126</v>
      </c>
      <c r="L67" s="18">
        <f si="7" t="shared"/>
        <v>0.16728631053907306</v>
      </c>
      <c r="M67" s="18">
        <f si="7" t="shared"/>
        <v>0.11747393381047196</v>
      </c>
    </row>
    <row r="68" spans="1:13" x14ac:dyDescent="0.25">
      <c r="A68" s="12">
        <v>6.25E-2</v>
      </c>
      <c r="B68" s="18">
        <f ref="B68:F68" si="8" t="shared">B11/B$57</f>
        <v>2.0456865498303278E-2</v>
      </c>
      <c r="C68" s="18">
        <f si="8" t="shared"/>
        <v>2.3846310605752648E-2</v>
      </c>
      <c r="D68" s="18">
        <f si="8" t="shared"/>
        <v>0.11096029666494484</v>
      </c>
      <c r="E68" s="18">
        <f si="8" t="shared"/>
        <v>0.10138058370958576</v>
      </c>
      <c r="F68" s="18">
        <f si="8" t="shared"/>
        <v>7.9542894691369895E-2</v>
      </c>
      <c r="G68" s="18"/>
      <c r="H68" s="12">
        <v>6.25E-2</v>
      </c>
      <c r="I68" s="18">
        <f ref="I68:M68" si="9" t="shared">I11/I$57</f>
        <v>2.7344062923771905E-2</v>
      </c>
      <c r="J68" s="18">
        <f si="9" t="shared"/>
        <v>2.5420408289737913E-2</v>
      </c>
      <c r="K68" s="18">
        <f si="9" t="shared"/>
        <v>0.10840970275292147</v>
      </c>
      <c r="L68" s="18">
        <f si="9" t="shared"/>
        <v>9.7899805704359674E-2</v>
      </c>
      <c r="M68" s="18">
        <f si="9" t="shared"/>
        <v>8.0448520378585478E-2</v>
      </c>
    </row>
    <row r="69" spans="1:13" x14ac:dyDescent="0.25">
      <c r="A69" s="12">
        <v>8.3333333333333329E-2</v>
      </c>
      <c r="B69" s="18">
        <f ref="B69:F69" si="10" t="shared">B12/B$57</f>
        <v>2.1723164257031864E-2</v>
      </c>
      <c r="C69" s="18">
        <f si="10" t="shared"/>
        <v>2.7206537783689862E-2</v>
      </c>
      <c r="D69" s="18">
        <f si="10" t="shared"/>
        <v>7.2506072504067862E-2</v>
      </c>
      <c r="E69" s="18">
        <f si="10" t="shared"/>
        <v>5.5296472176126994E-2</v>
      </c>
      <c r="F69" s="18">
        <f si="10" t="shared"/>
        <v>5.480365866269462E-2</v>
      </c>
      <c r="G69" s="18"/>
      <c r="H69" s="12">
        <v>8.3333333333333329E-2</v>
      </c>
      <c r="I69" s="18">
        <f ref="I69:M69" si="11" t="shared">I12/I$57</f>
        <v>2.852064937330261E-2</v>
      </c>
      <c r="J69" s="18">
        <f si="11" t="shared"/>
        <v>2.4823303146290956E-2</v>
      </c>
      <c r="K69" s="18">
        <f si="11" t="shared"/>
        <v>6.937871422465812E-2</v>
      </c>
      <c r="L69" s="18">
        <f si="11" t="shared"/>
        <v>5.278912023968494E-2</v>
      </c>
      <c r="M69" s="18">
        <f si="11" t="shared"/>
        <v>5.452956141308548E-2</v>
      </c>
    </row>
    <row r="70" spans="1:13" x14ac:dyDescent="0.25">
      <c r="A70" s="12">
        <v>0.10416666666666667</v>
      </c>
      <c r="B70" s="18">
        <f ref="B70:F70" si="12" t="shared">B13/B$57</f>
        <v>2.3230956598960524E-2</v>
      </c>
      <c r="C70" s="18">
        <f si="12" t="shared"/>
        <v>2.89028309290769E-2</v>
      </c>
      <c r="D70" s="18">
        <f si="12" t="shared"/>
        <v>4.5942060004501246E-2</v>
      </c>
      <c r="E70" s="18">
        <f si="12" t="shared"/>
        <v>2.7815369603808138E-2</v>
      </c>
      <c r="F70" s="18">
        <f si="12" t="shared"/>
        <v>3.7967096713884652E-2</v>
      </c>
      <c r="G70" s="18"/>
      <c r="H70" s="12">
        <v>0.10416666666666667</v>
      </c>
      <c r="I70" s="18">
        <f ref="I70:M70" si="13" t="shared">I13/I$57</f>
        <v>3.0359457423460787E-2</v>
      </c>
      <c r="J70" s="18">
        <f si="13" t="shared"/>
        <v>2.6894810195057642E-2</v>
      </c>
      <c r="K70" s="18">
        <f si="13" t="shared"/>
        <v>4.3324737439883736E-2</v>
      </c>
      <c r="L70" s="18">
        <f si="13" t="shared"/>
        <v>2.684177197009666E-2</v>
      </c>
      <c r="M70" s="18">
        <f si="13" t="shared"/>
        <v>3.7905781125693358E-2</v>
      </c>
    </row>
    <row r="71" spans="1:13" x14ac:dyDescent="0.25">
      <c r="A71" s="12">
        <v>0.125</v>
      </c>
      <c r="B71" s="18">
        <f ref="B71:F71" si="14" t="shared">B14/B$57</f>
        <v>2.4847191376203552E-2</v>
      </c>
      <c r="C71" s="18">
        <f si="14" t="shared"/>
        <v>2.9463587364283114E-2</v>
      </c>
      <c r="D71" s="18">
        <f si="14" t="shared"/>
        <v>2.8485940926929014E-2</v>
      </c>
      <c r="E71" s="18">
        <f si="14" t="shared"/>
        <v>1.3022411092190345E-2</v>
      </c>
      <c r="F71" s="18">
        <f si="14" t="shared"/>
        <v>2.7120046320926391E-2</v>
      </c>
      <c r="G71" s="18"/>
      <c r="H71" s="12">
        <v>0.125</v>
      </c>
      <c r="I71" s="18">
        <f ref="I71:M71" si="15" t="shared">I14/I$57</f>
        <v>3.2279421836622191E-2</v>
      </c>
      <c r="J71" s="18">
        <f si="15" t="shared"/>
        <v>3.1335377734226323E-2</v>
      </c>
      <c r="K71" s="18">
        <f si="15" t="shared"/>
        <v>2.6721272884753681E-2</v>
      </c>
      <c r="L71" s="18">
        <f si="15" t="shared"/>
        <v>1.3285984161408243E-2</v>
      </c>
      <c r="M71" s="18">
        <f si="15" t="shared"/>
        <v>2.7939272474001641E-2</v>
      </c>
    </row>
    <row r="72" spans="1:13" x14ac:dyDescent="0.25">
      <c r="A72" s="12">
        <v>0.14583333333333334</v>
      </c>
      <c r="B72" s="18">
        <f ref="B72:F72" si="16" t="shared">B15/B$57</f>
        <v>2.6336039202909275E-2</v>
      </c>
      <c r="C72" s="18">
        <f si="16" t="shared"/>
        <v>3.0080396186940542E-2</v>
      </c>
      <c r="D72" s="18">
        <f si="16" t="shared"/>
        <v>1.7435319948262865E-2</v>
      </c>
      <c r="E72" s="18">
        <f si="16" t="shared"/>
        <v>5.6996678616760147E-3</v>
      </c>
      <c r="F72" s="18">
        <f si="16" t="shared"/>
        <v>2.0472175031326548E-2</v>
      </c>
      <c r="G72" s="18"/>
      <c r="H72" s="12">
        <v>0.14583333333333334</v>
      </c>
      <c r="I72" s="18">
        <f ref="I72:M72" si="17" t="shared">I15/I$57</f>
        <v>3.3786319109000228E-2</v>
      </c>
      <c r="J72" s="18">
        <f si="17" t="shared"/>
        <v>3.7913140841107772E-2</v>
      </c>
      <c r="K72" s="18">
        <f si="17" t="shared"/>
        <v>1.6420291133181494E-2</v>
      </c>
      <c r="L72" s="18">
        <f si="17" t="shared"/>
        <v>6.5972579204919262E-3</v>
      </c>
      <c r="M72" s="18">
        <f si="17" t="shared"/>
        <v>2.230616193657926E-2</v>
      </c>
    </row>
    <row r="73" spans="1:13" x14ac:dyDescent="0.25">
      <c r="A73" s="12">
        <v>0.16666666666666666</v>
      </c>
      <c r="B73" s="18">
        <f ref="B73:F73" si="18" t="shared">B16/B$57</f>
        <v>2.7452948137642329E-2</v>
      </c>
      <c r="C73" s="18">
        <f si="18" t="shared"/>
        <v>3.2862667227458772E-2</v>
      </c>
      <c r="D73" s="18">
        <f si="18" t="shared"/>
        <v>1.0657473794152408E-2</v>
      </c>
      <c r="E73" s="18">
        <f si="18" t="shared"/>
        <v>2.323161878663453E-3</v>
      </c>
      <c r="F73" s="18">
        <f si="18" t="shared"/>
        <v>1.6745339201709574E-2</v>
      </c>
      <c r="G73" s="18"/>
      <c r="H73" s="12">
        <v>0.16666666666666666</v>
      </c>
      <c r="I73" s="18">
        <f ref="I73:M73" si="19" t="shared">I16/I$57</f>
        <v>3.4711064171864869E-2</v>
      </c>
      <c r="J73" s="18">
        <f si="19" t="shared"/>
        <v>4.6346333783071042E-2</v>
      </c>
      <c r="K73" s="18">
        <f si="19" t="shared"/>
        <v>1.0136943003276229E-2</v>
      </c>
      <c r="L73" s="18">
        <f si="19" t="shared"/>
        <v>3.3367422285178619E-3</v>
      </c>
      <c r="M73" s="18">
        <f si="19" t="shared"/>
        <v>1.9375057031279182E-2</v>
      </c>
    </row>
    <row r="74" spans="1:13" x14ac:dyDescent="0.25">
      <c r="A74" s="12">
        <v>0.1875</v>
      </c>
      <c r="B74" s="18">
        <f ref="B74:F74" si="20" t="shared">B17/B$57</f>
        <v>2.8158576829470261E-2</v>
      </c>
      <c r="C74" s="18">
        <f si="20" t="shared"/>
        <v>4.044768607666302E-2</v>
      </c>
      <c r="D74" s="18">
        <f si="20" t="shared"/>
        <v>6.6196018783371835E-3</v>
      </c>
      <c r="E74" s="18">
        <f si="20" t="shared"/>
        <v>8.7480597715501411E-4</v>
      </c>
      <c r="F74" s="18">
        <f si="20" t="shared"/>
        <v>1.5194162876985245E-2</v>
      </c>
      <c r="G74" s="18"/>
      <c r="H74" s="12">
        <v>0.1875</v>
      </c>
      <c r="I74" s="18">
        <f ref="I74:M74" si="21" t="shared">I17/I$57</f>
        <v>3.5348873008066301E-2</v>
      </c>
      <c r="J74" s="18">
        <f si="21" t="shared"/>
        <v>5.6034315584605428E-2</v>
      </c>
      <c r="K74" s="18">
        <f si="21" t="shared"/>
        <v>6.348195586801479E-3</v>
      </c>
      <c r="L74" s="18">
        <f si="21" t="shared"/>
        <v>1.7121513302160633E-3</v>
      </c>
      <c r="M74" s="18">
        <f si="21" t="shared"/>
        <v>1.8129425633153558E-2</v>
      </c>
    </row>
    <row r="75" spans="1:13" x14ac:dyDescent="0.25">
      <c r="A75" s="12">
        <v>0.20833333333333334</v>
      </c>
      <c r="B75" s="18">
        <f ref="B75:F75" si="22" t="shared">B18/B$57</f>
        <v>2.8866165485007273E-2</v>
      </c>
      <c r="C75" s="18">
        <f si="22" t="shared"/>
        <v>5.4487763150844325E-2</v>
      </c>
      <c r="D75" s="18">
        <f si="22" t="shared"/>
        <v>4.2688586435469149E-3</v>
      </c>
      <c r="E75" s="18">
        <f si="22" t="shared"/>
        <v>3.0402948795389939E-4</v>
      </c>
      <c r="F75" s="18">
        <f si="22" t="shared"/>
        <v>1.5407997176713545E-2</v>
      </c>
      <c r="G75" s="18"/>
      <c r="H75" s="12">
        <v>0.20833333333333334</v>
      </c>
      <c r="I75" s="18">
        <f ref="I75:M75" si="23" t="shared">I18/I$57</f>
        <v>3.6401625160795946E-2</v>
      </c>
      <c r="J75" s="18">
        <f si="23" t="shared"/>
        <v>6.5914267394694526E-2</v>
      </c>
      <c r="K75" s="18">
        <f si="23" t="shared"/>
        <v>4.0709738595080935E-3</v>
      </c>
      <c r="L75" s="18">
        <f si="23" t="shared"/>
        <v>8.7755545541221252E-4</v>
      </c>
      <c r="M75" s="18">
        <f si="23" t="shared"/>
        <v>1.7972222694372285E-2</v>
      </c>
    </row>
    <row r="76" spans="1:13" x14ac:dyDescent="0.25">
      <c r="A76" s="12">
        <v>0.22916666666666666</v>
      </c>
      <c r="B76" s="18">
        <f ref="B76:F76" si="24" t="shared">B19/B$57</f>
        <v>3.0569190389380826E-2</v>
      </c>
      <c r="C76" s="18">
        <f si="24" t="shared"/>
        <v>7.3544545055256469E-2</v>
      </c>
      <c r="D76" s="18">
        <f si="24" t="shared"/>
        <v>2.9055876642066227E-3</v>
      </c>
      <c r="E76" s="18">
        <f si="24" t="shared"/>
        <v>9.8856837612472848E-5</v>
      </c>
      <c r="F76" s="18">
        <f si="24" t="shared"/>
        <v>1.7020507264513783E-2</v>
      </c>
      <c r="G76" s="18"/>
      <c r="H76" s="12">
        <v>0.22916666666666666</v>
      </c>
      <c r="I76" s="18">
        <f ref="I76:M76" si="25" t="shared">I19/I$57</f>
        <v>3.8719908217075279E-2</v>
      </c>
      <c r="J76" s="18">
        <f si="25" t="shared"/>
        <v>7.4582289976517696E-2</v>
      </c>
      <c r="K76" s="18">
        <f si="25" t="shared"/>
        <v>2.6897905291904797E-3</v>
      </c>
      <c r="L76" s="18">
        <f si="25" t="shared"/>
        <v>4.4278988072775165E-4</v>
      </c>
      <c r="M76" s="18">
        <f si="25" t="shared"/>
        <v>1.8551811076084047E-2</v>
      </c>
    </row>
    <row r="77" spans="1:13" x14ac:dyDescent="0.25">
      <c r="A77" s="12">
        <v>0.25</v>
      </c>
      <c r="B77" s="18">
        <f ref="B77:F77" si="26" t="shared">B20/B$57</f>
        <v>3.4693415948639804E-2</v>
      </c>
      <c r="C77" s="18">
        <f si="26" t="shared"/>
        <v>9.222855536549987E-2</v>
      </c>
      <c r="D77" s="18">
        <f si="26" t="shared"/>
        <v>2.0879131917696209E-3</v>
      </c>
      <c r="E77" s="18">
        <f si="26" t="shared"/>
        <v>3.0569617606773135E-5</v>
      </c>
      <c r="F77" s="18">
        <f si="26" t="shared"/>
        <v>1.9513186230130167E-2</v>
      </c>
      <c r="G77" s="18"/>
      <c r="H77" s="12">
        <v>0.25</v>
      </c>
      <c r="I77" s="18">
        <f ref="I77:M77" si="27" t="shared">I20/I$57</f>
        <v>4.2960562133323929E-2</v>
      </c>
      <c r="J77" s="18">
        <f si="27" t="shared"/>
        <v>8.0569719977751433E-2</v>
      </c>
      <c r="K77" s="18">
        <f si="27" t="shared"/>
        <v>1.8348635368169038E-3</v>
      </c>
      <c r="L77" s="18">
        <f si="27" t="shared"/>
        <v>2.2000838666613417E-4</v>
      </c>
      <c r="M77" s="18">
        <f si="27" t="shared"/>
        <v>1.9626059430623351E-2</v>
      </c>
    </row>
    <row r="78" spans="1:13" x14ac:dyDescent="0.25">
      <c r="A78" s="12">
        <v>0.27083333333333331</v>
      </c>
      <c r="B78" s="18">
        <f ref="B78:F78" si="28" t="shared">B21/B$57</f>
        <v>4.2543970360506327E-2</v>
      </c>
      <c r="C78" s="18">
        <f si="28" t="shared"/>
        <v>0.1032892721914692</v>
      </c>
      <c r="D78" s="18">
        <f si="28" t="shared"/>
        <v>1.5641121501309891E-3</v>
      </c>
      <c r="E78" s="18">
        <f si="28" t="shared"/>
        <v>8.8730460595927832E-6</v>
      </c>
      <c r="F78" s="18">
        <f si="28" t="shared"/>
        <v>2.2260601402876945E-2</v>
      </c>
      <c r="G78" s="18"/>
      <c r="H78" s="12">
        <v>0.27083333333333331</v>
      </c>
      <c r="I78" s="18">
        <f ref="I78:M78" si="29" t="shared">I21/I$57</f>
        <v>4.9279859431893488E-2</v>
      </c>
      <c r="J78" s="18">
        <f si="29" t="shared"/>
        <v>8.2598457217056429E-2</v>
      </c>
      <c r="K78" s="18">
        <f si="29" t="shared"/>
        <v>1.2931904634132421E-3</v>
      </c>
      <c r="L78" s="18">
        <f si="29" t="shared"/>
        <v>1.1048597455392092E-4</v>
      </c>
      <c r="M78" s="18">
        <f si="29" t="shared"/>
        <v>2.0958714531434809E-2</v>
      </c>
    </row>
    <row r="79" spans="1:13" x14ac:dyDescent="0.25">
      <c r="A79" s="12">
        <v>0.29166666666666669</v>
      </c>
      <c r="B79" s="18">
        <f ref="B79:F79" si="30" t="shared">B22/B$57</f>
        <v>5.4363107535287745E-2</v>
      </c>
      <c r="C79" s="18">
        <f si="30" t="shared"/>
        <v>0.10190037415398072</v>
      </c>
      <c r="D79" s="18">
        <f si="30" t="shared"/>
        <v>1.2129159117457145E-3</v>
      </c>
      <c r="E79" s="18">
        <f si="30" t="shared"/>
        <v>2.2793336545425837E-6</v>
      </c>
      <c r="F79" s="18">
        <f si="30" t="shared"/>
        <v>2.4725924844887254E-2</v>
      </c>
      <c r="G79" s="18"/>
      <c r="H79" s="12">
        <v>0.29166666666666669</v>
      </c>
      <c r="I79" s="18">
        <f ref="I79:M79" si="31" t="shared">I22/I$57</f>
        <v>5.7098523700639468E-2</v>
      </c>
      <c r="J79" s="18">
        <f si="31" t="shared"/>
        <v>7.9805802537944281E-2</v>
      </c>
      <c r="K79" s="18">
        <f si="31" t="shared"/>
        <v>9.4656876885311925E-4</v>
      </c>
      <c r="L79" s="18">
        <f si="31" t="shared"/>
        <v>5.8422355599434661E-5</v>
      </c>
      <c r="M79" s="18">
        <f si="31" t="shared"/>
        <v>2.2248630252041292E-2</v>
      </c>
    </row>
    <row r="80" spans="1:13" x14ac:dyDescent="0.25">
      <c r="A80" s="12">
        <v>0.3125</v>
      </c>
      <c r="B80" s="18">
        <f ref="B80:F80" si="32" t="shared">B23/B$57</f>
        <v>6.841898528885261E-2</v>
      </c>
      <c r="C80" s="18">
        <f si="32" t="shared"/>
        <v>8.8785731040054855E-2</v>
      </c>
      <c r="D80" s="18">
        <f si="32" t="shared"/>
        <v>9.8240511778124005E-4</v>
      </c>
      <c r="E80" s="18">
        <f si="32" t="shared"/>
        <v>4.7559613498872901E-7</v>
      </c>
      <c r="F80" s="18">
        <f si="32" t="shared"/>
        <v>2.6539959561951505E-2</v>
      </c>
      <c r="G80" s="18"/>
      <c r="H80" s="12">
        <v>0.3125</v>
      </c>
      <c r="I80" s="18">
        <f ref="I80:M80" si="33" t="shared">I23/I$57</f>
        <v>6.4976181202469979E-2</v>
      </c>
      <c r="J80" s="18">
        <f si="33" t="shared"/>
        <v>7.2042649395305275E-2</v>
      </c>
      <c r="K80" s="18">
        <f si="33" t="shared"/>
        <v>7.2965850926054107E-4</v>
      </c>
      <c r="L80" s="18">
        <f si="33" t="shared"/>
        <v>3.2893772257801765E-5</v>
      </c>
      <c r="M80" s="18">
        <f si="33" t="shared"/>
        <v>2.310566813172233E-2</v>
      </c>
    </row>
    <row r="81" spans="1:13" x14ac:dyDescent="0.25">
      <c r="A81" s="12">
        <v>0.33333333333333331</v>
      </c>
      <c r="B81" s="18">
        <f ref="B81:F81" si="34" t="shared">B24/B$57</f>
        <v>8.0959477787581433E-2</v>
      </c>
      <c r="C81" s="18">
        <f si="34" t="shared"/>
        <v>6.9429222582293004E-2</v>
      </c>
      <c r="D81" s="18">
        <f si="34" t="shared"/>
        <v>8.4010080408622283E-4</v>
      </c>
      <c r="E81" s="18">
        <f si="34" t="shared"/>
        <v>7.3105810396048974E-8</v>
      </c>
      <c r="F81" s="18">
        <f si="34" t="shared"/>
        <v>2.7373876356306819E-2</v>
      </c>
      <c r="G81" s="18"/>
      <c r="H81" s="12">
        <v>0.33333333333333331</v>
      </c>
      <c r="I81" s="18">
        <f ref="I81:M81" si="35" t="shared">I24/I$57</f>
        <v>7.076271089947346E-2</v>
      </c>
      <c r="J81" s="18">
        <f si="35" t="shared"/>
        <v>6.0180995661447551E-2</v>
      </c>
      <c r="K81" s="18">
        <f si="35" t="shared"/>
        <v>6.0146988029842604E-4</v>
      </c>
      <c r="L81" s="18">
        <f si="35" t="shared"/>
        <v>1.8838370444194107E-5</v>
      </c>
      <c r="M81" s="18">
        <f si="35" t="shared"/>
        <v>2.3100207284443175E-2</v>
      </c>
    </row>
    <row r="82" spans="1:13" x14ac:dyDescent="0.25">
      <c r="A82" s="12">
        <v>0.35416666666666669</v>
      </c>
      <c r="B82" s="18">
        <f ref="B82:F82" si="36" t="shared">B25/B$57</f>
        <v>8.7602926609238824E-2</v>
      </c>
      <c r="C82" s="18">
        <f si="36" t="shared"/>
        <v>5.0224494760734296E-2</v>
      </c>
      <c r="D82" s="18">
        <f si="36" t="shared"/>
        <v>7.5007891328469499E-4</v>
      </c>
      <c r="E82" s="18">
        <f si="36" t="shared"/>
        <v>7.246518373751367E-9</v>
      </c>
      <c r="F82" s="18">
        <f si="36" t="shared"/>
        <v>2.6843907943549017E-2</v>
      </c>
      <c r="G82" s="18"/>
      <c r="H82" s="12">
        <v>0.35416666666666669</v>
      </c>
      <c r="I82" s="18">
        <f ref="I82:M82" si="37" t="shared">I25/I$57</f>
        <v>7.2223634472219744E-2</v>
      </c>
      <c r="J82" s="18">
        <f si="37" t="shared"/>
        <v>4.6118615520036453E-2</v>
      </c>
      <c r="K82" s="18">
        <f si="37" t="shared"/>
        <v>5.2892000844927687E-4</v>
      </c>
      <c r="L82" s="18">
        <f si="37" t="shared"/>
        <v>1.0232135200497487E-5</v>
      </c>
      <c r="M82" s="18">
        <f si="37" t="shared"/>
        <v>2.1897459131736997E-2</v>
      </c>
    </row>
    <row r="83" spans="1:13" x14ac:dyDescent="0.25">
      <c r="A83" s="12">
        <v>0.375</v>
      </c>
      <c r="B83" s="18">
        <f ref="B83:F83" si="38" t="shared">B26/B$57</f>
        <v>8.5594521254986219E-2</v>
      </c>
      <c r="C83" s="18">
        <f si="38" t="shared"/>
        <v>3.5014040798143076E-2</v>
      </c>
      <c r="D83" s="18">
        <f si="38" t="shared"/>
        <v>6.7580063749074297E-4</v>
      </c>
      <c r="E83" s="18">
        <f si="38" t="shared"/>
        <v>3.4651268502323782E-10</v>
      </c>
      <c r="F83" s="18">
        <f si="38" t="shared"/>
        <v>2.4681150760606615E-2</v>
      </c>
      <c r="G83" s="18"/>
      <c r="H83" s="12">
        <v>0.375</v>
      </c>
      <c r="I83" s="18">
        <f ref="I83:M83" si="39" t="shared">I26/I$57</f>
        <v>6.8034223358062931E-2</v>
      </c>
      <c r="J83" s="18">
        <f si="39" t="shared"/>
        <v>3.2244894225571016E-2</v>
      </c>
      <c r="K83" s="18">
        <f si="39" t="shared"/>
        <v>4.8255624564538124E-4</v>
      </c>
      <c r="L83" s="18">
        <f si="39" t="shared"/>
        <v>4.9762205114101319E-6</v>
      </c>
      <c r="M83" s="18">
        <f si="39" t="shared"/>
        <v>1.9427242314244374E-2</v>
      </c>
    </row>
    <row r="84" spans="1:13" x14ac:dyDescent="0.25">
      <c r="A84" s="12">
        <v>0.39583333333333331</v>
      </c>
      <c r="B84" s="18">
        <f ref="B84:F84" si="40" t="shared">B27/B$57</f>
        <v>7.5344613401644028E-2</v>
      </c>
      <c r="C84" s="18">
        <f si="40" t="shared"/>
        <v>2.4371348636085706E-2</v>
      </c>
      <c r="D84" s="18">
        <f si="40" t="shared"/>
        <v>5.9269593055297166E-4</v>
      </c>
      <c r="E84" s="18">
        <f si="40" t="shared"/>
        <v>0</v>
      </c>
      <c r="F84" s="18">
        <f si="40" t="shared"/>
        <v>2.1030479307744765E-2</v>
      </c>
      <c r="G84" s="18"/>
      <c r="H84" s="12">
        <v>0.39583333333333331</v>
      </c>
      <c r="I84" s="18">
        <f ref="I84:M84" si="41" t="shared">I27/I$57</f>
        <v>5.857860675514432E-2</v>
      </c>
      <c r="J84" s="18">
        <f si="41" t="shared"/>
        <v>2.0571231193119849E-2</v>
      </c>
      <c r="K84" s="18">
        <f si="41" t="shared"/>
        <v>4.4028924251342857E-4</v>
      </c>
      <c r="L84" s="18">
        <f si="41" t="shared"/>
        <v>2.0810317529599302E-6</v>
      </c>
      <c r="M84" s="18">
        <f si="41" t="shared"/>
        <v>1.5978184720607861E-2</v>
      </c>
    </row>
    <row r="85" spans="1:13" x14ac:dyDescent="0.25">
      <c r="A85" s="12">
        <v>0.41666666666666669</v>
      </c>
      <c r="B85" s="18">
        <f ref="B85:F85" si="42" t="shared">B28/B$57</f>
        <v>6.0054013757545203E-2</v>
      </c>
      <c r="C85" s="18">
        <f si="42" t="shared"/>
        <v>1.7071693805793695E-2</v>
      </c>
      <c r="D85" s="18">
        <f si="42" t="shared"/>
        <v>4.9534858241326567E-4</v>
      </c>
      <c r="E85" s="18">
        <f si="42" t="shared"/>
        <v>0</v>
      </c>
      <c r="F85" s="18">
        <f si="42" t="shared"/>
        <v>1.6523418357560805E-2</v>
      </c>
      <c r="G85" s="18"/>
      <c r="H85" s="12">
        <v>0.41666666666666669</v>
      </c>
      <c r="I85" s="18">
        <f ref="I85:M85" si="43" t="shared">I28/I$57</f>
        <v>4.5913388088472222E-2</v>
      </c>
      <c r="J85" s="18">
        <f si="43" t="shared"/>
        <v>1.2074437221531788E-2</v>
      </c>
      <c r="K85" s="18">
        <f si="43" t="shared"/>
        <v>3.9153493423670495E-4</v>
      </c>
      <c r="L85" s="18">
        <f si="43" t="shared"/>
        <v>7.2412548380243072E-7</v>
      </c>
      <c r="M85" s="18">
        <f si="43" t="shared"/>
        <v>1.2122084938599896E-2</v>
      </c>
    </row>
    <row r="86" spans="1:13" x14ac:dyDescent="0.25">
      <c r="A86" s="12">
        <v>0.4375</v>
      </c>
      <c r="B86" s="18">
        <f ref="B86:F86" si="44" t="shared">B29/B$57</f>
        <v>4.3812392737397933E-2</v>
      </c>
      <c r="C86" s="18">
        <f si="44" t="shared"/>
        <v>1.178819734267797E-2</v>
      </c>
      <c r="D86" s="18">
        <f si="44" t="shared"/>
        <v>3.9401084299637575E-4</v>
      </c>
      <c r="E86" s="18">
        <f si="44" t="shared"/>
        <v>0</v>
      </c>
      <c r="F86" s="18">
        <f si="44" t="shared"/>
        <v>1.2003008306170513E-2</v>
      </c>
      <c r="G86" s="18"/>
      <c r="H86" s="12">
        <v>0.4375</v>
      </c>
      <c r="I86" s="18">
        <f ref="I86:M86" si="45" t="shared">I29/I$57</f>
        <v>3.2817449702546082E-2</v>
      </c>
      <c r="J86" s="18">
        <f si="45" t="shared"/>
        <v>6.6452688427461916E-3</v>
      </c>
      <c r="K86" s="18">
        <f si="45" t="shared"/>
        <v>3.3634229122905818E-4</v>
      </c>
      <c r="L86" s="18">
        <f si="45" t="shared"/>
        <v>2.025160472083061E-7</v>
      </c>
      <c r="M86" s="18">
        <f si="45" t="shared"/>
        <v>8.4886209811898296E-3</v>
      </c>
    </row>
    <row r="87" spans="1:13" x14ac:dyDescent="0.25">
      <c r="A87" s="12">
        <v>0.45833333333333331</v>
      </c>
      <c r="B87" s="18">
        <f ref="B87:F87" si="46" t="shared">B30/B$57</f>
        <v>2.9694146544947234E-2</v>
      </c>
      <c r="C87" s="18">
        <f si="46" t="shared"/>
        <v>7.8188230272663514E-3</v>
      </c>
      <c r="D87" s="18">
        <f si="46" t="shared"/>
        <v>3.0384641939675406E-4</v>
      </c>
      <c r="E87" s="18">
        <f si="46" t="shared"/>
        <v>0</v>
      </c>
      <c r="F87" s="18">
        <f si="46" t="shared"/>
        <v>8.1393609215971545E-3</v>
      </c>
      <c r="G87" s="18"/>
      <c r="H87" s="12">
        <v>0.45833333333333331</v>
      </c>
      <c r="I87" s="18">
        <f ref="I87:M87" si="47" t="shared">I30/I$57</f>
        <v>2.1570063545543399E-2</v>
      </c>
      <c r="J87" s="18">
        <f si="47" t="shared"/>
        <v>3.5394010293863455E-3</v>
      </c>
      <c r="K87" s="18">
        <f si="47" t="shared"/>
        <v>2.7988510860067338E-4</v>
      </c>
      <c r="L87" s="18">
        <f si="47" t="shared"/>
        <v>4.3533751709703331E-8</v>
      </c>
      <c r="M87" s="18">
        <f si="47" t="shared"/>
        <v>5.5278793865725399E-3</v>
      </c>
    </row>
    <row r="88" spans="1:13" x14ac:dyDescent="0.25">
      <c r="A88" s="12">
        <v>0.47916666666666669</v>
      </c>
      <c r="B88" s="18">
        <f ref="B88:F88" si="48" t="shared">B31/B$57</f>
        <v>1.9010342936864773E-2</v>
      </c>
      <c r="C88" s="18">
        <f si="48" t="shared"/>
        <v>4.9493790945643844E-3</v>
      </c>
      <c r="D88" s="18">
        <f si="48" t="shared"/>
        <v>2.3411328149851911E-4</v>
      </c>
      <c r="E88" s="18">
        <f si="48" t="shared"/>
        <v>0</v>
      </c>
      <c r="F88" s="18">
        <f si="48" t="shared"/>
        <v>5.2291214216220088E-3</v>
      </c>
      <c r="G88" s="18"/>
      <c r="H88" s="12">
        <v>0.47916666666666669</v>
      </c>
      <c r="I88" s="18">
        <f ref="I88:M88" si="49" t="shared">I31/I$57</f>
        <v>1.3245025978745203E-2</v>
      </c>
      <c r="J88" s="18">
        <f si="49" t="shared"/>
        <v>1.91209601778049E-3</v>
      </c>
      <c r="K88" s="18">
        <f si="49" t="shared"/>
        <v>2.2670352990179237E-4</v>
      </c>
      <c r="L88" s="18">
        <f si="49" t="shared"/>
        <v>6.7274727089936947E-9</v>
      </c>
      <c r="M88" s="18">
        <f si="49" t="shared"/>
        <v>3.4007022786397049E-3</v>
      </c>
    </row>
    <row r="89" spans="1:13" x14ac:dyDescent="0.25">
      <c r="A89" s="12">
        <v>0.5</v>
      </c>
      <c r="B89" s="18">
        <f ref="B89:F89" si="50" t="shared">B32/B$57</f>
        <v>1.1684032070542732E-2</v>
      </c>
      <c r="C89" s="18">
        <f si="50" t="shared"/>
        <v>3.08030524048028E-3</v>
      </c>
      <c r="D89" s="18">
        <f si="50" t="shared"/>
        <v>1.8369014194985123E-4</v>
      </c>
      <c r="E89" s="18">
        <f si="50" t="shared"/>
        <v>0</v>
      </c>
      <c r="F89" s="18">
        <f si="50" t="shared"/>
        <v>3.2424624618198508E-3</v>
      </c>
      <c r="G89" s="18"/>
      <c r="H89" s="12">
        <v>0.5</v>
      </c>
      <c r="I89" s="18">
        <f ref="I89:M89" si="51" t="shared">I32/I$57</f>
        <v>7.7822521080125034E-3</v>
      </c>
      <c r="J89" s="18">
        <f si="51" t="shared"/>
        <v>1.1207466993008392E-3</v>
      </c>
      <c r="K89" s="18">
        <f si="51" t="shared"/>
        <v>1.7837108915983092E-4</v>
      </c>
      <c r="L89" s="18">
        <f si="51" t="shared"/>
        <v>6.6341840781661264E-10</v>
      </c>
      <c r="M89" s="18">
        <f si="51" t="shared"/>
        <v>2.0259073278443875E-3</v>
      </c>
    </row>
    <row r="90" spans="1:13" x14ac:dyDescent="0.25">
      <c r="A90" s="12">
        <v>0.52083333333333337</v>
      </c>
      <c r="B90" s="18">
        <f ref="B90:F90" si="52" t="shared">B33/B$57</f>
        <v>7.0043153301054505E-3</v>
      </c>
      <c r="C90" s="18">
        <f si="52" t="shared"/>
        <v>2.0299184399994582E-3</v>
      </c>
      <c r="D90" s="18">
        <f si="52" t="shared"/>
        <v>1.4460755772469731E-4</v>
      </c>
      <c r="E90" s="18">
        <f si="52" t="shared"/>
        <v>0</v>
      </c>
      <c r="F90" s="18">
        <f si="52" t="shared"/>
        <v>1.9846872792779122E-3</v>
      </c>
      <c r="G90" s="18"/>
      <c r="H90" s="12">
        <v>0.52083333333333337</v>
      </c>
      <c r="I90" s="18">
        <f ref="I90:M90" si="53" t="shared">I33/I$57</f>
        <v>4.5091391072262883E-3</v>
      </c>
      <c r="J90" s="18">
        <f si="53" t="shared"/>
        <v>7.704033591597484E-4</v>
      </c>
      <c r="K90" s="18">
        <f si="53" t="shared"/>
        <v>1.3466245506882617E-4</v>
      </c>
      <c r="L90" s="18">
        <f si="53" t="shared"/>
        <v>3.1292375539815247E-11</v>
      </c>
      <c r="M90" s="18">
        <f si="53" t="shared"/>
        <v>1.2061641038377203E-3</v>
      </c>
    </row>
    <row r="91" spans="1:13" x14ac:dyDescent="0.25">
      <c r="A91" s="12">
        <v>0.54166666666666663</v>
      </c>
      <c r="B91" s="18">
        <f ref="B91:F91" si="54" t="shared">B34/B$57</f>
        <v>4.1722371831197811E-3</v>
      </c>
      <c r="C91" s="18">
        <f si="54" t="shared"/>
        <v>1.551565602919666E-3</v>
      </c>
      <c r="D91" s="18">
        <f si="54" t="shared"/>
        <v>1.0938512375983525E-4</v>
      </c>
      <c r="E91" s="18">
        <f si="54" t="shared"/>
        <v>0</v>
      </c>
      <c r="F91" s="18">
        <f si="54" t="shared"/>
        <v>1.2333213693634518E-3</v>
      </c>
      <c r="G91" s="18"/>
      <c r="H91" s="12">
        <v>0.54166666666666663</v>
      </c>
      <c r="I91" s="18">
        <f ref="I91:M91" si="55" t="shared">I34/I$57</f>
        <v>2.6500628852278428E-3</v>
      </c>
      <c r="J91" s="18">
        <f si="55" t="shared"/>
        <v>6.4059947154664022E-4</v>
      </c>
      <c r="K91" s="18">
        <f si="55" t="shared"/>
        <v>9.567449372732166E-5</v>
      </c>
      <c r="L91" s="18">
        <f si="55" t="shared"/>
        <v>0</v>
      </c>
      <c r="M91" s="18">
        <f si="55" t="shared"/>
        <v>7.3911157546287438E-4</v>
      </c>
    </row>
    <row r="92" spans="1:13" x14ac:dyDescent="0.25">
      <c r="A92" s="12">
        <v>0.5625</v>
      </c>
      <c r="B92" s="18">
        <f ref="B92:F92" si="56" t="shared">B35/B$57</f>
        <v>2.5259991391690054E-3</v>
      </c>
      <c r="C92" s="18">
        <f si="56" t="shared"/>
        <v>1.4188313569582867E-3</v>
      </c>
      <c r="D92" s="18">
        <f si="56" t="shared"/>
        <v>7.5841917300291153E-5</v>
      </c>
      <c r="E92" s="18">
        <f si="56" t="shared"/>
        <v>0</v>
      </c>
      <c r="F92" s="18">
        <f si="56" t="shared"/>
        <v>8.041707943054066E-4</v>
      </c>
      <c r="G92" s="18"/>
      <c r="H92" s="12">
        <v>0.5625</v>
      </c>
      <c r="I92" s="18">
        <f ref="I92:M92" si="57" t="shared">I35/I$57</f>
        <v>1.6006227707234513E-3</v>
      </c>
      <c r="J92" s="18">
        <f si="57" t="shared"/>
        <v>6.0873837280787902E-4</v>
      </c>
      <c r="K92" s="18">
        <f si="57" t="shared"/>
        <v>6.2620851117391443E-5</v>
      </c>
      <c r="L92" s="18">
        <f si="57" t="shared"/>
        <v>0</v>
      </c>
      <c r="M92" s="18">
        <f si="57" t="shared"/>
        <v>4.729973540859812E-4</v>
      </c>
    </row>
    <row r="93" spans="1:13" x14ac:dyDescent="0.25">
      <c r="A93" s="12">
        <v>0.58333333333333337</v>
      </c>
      <c r="B93" s="18">
        <f ref="B93:F93" si="58" t="shared">B36/B$57</f>
        <v>1.5842499761269447E-3</v>
      </c>
      <c r="C93" s="18">
        <f si="58" t="shared"/>
        <v>1.4635308449459886E-3</v>
      </c>
      <c r="D93" s="18">
        <f si="58" t="shared"/>
        <v>4.6454231027039546E-5</v>
      </c>
      <c r="E93" s="18">
        <f si="58" t="shared"/>
        <v>0</v>
      </c>
      <c r="F93" s="18">
        <f si="58" t="shared"/>
        <v>5.6538241513784014E-4</v>
      </c>
      <c r="G93" s="18"/>
      <c r="H93" s="12">
        <v>0.58333333333333337</v>
      </c>
      <c r="I93" s="18">
        <f ref="I93:M93" si="59" t="shared">I36/I$57</f>
        <v>9.8767115432003339E-4</v>
      </c>
      <c r="J93" s="18">
        <f si="59" t="shared"/>
        <v>6.0469670803039142E-4</v>
      </c>
      <c r="K93" s="18">
        <f si="59" t="shared"/>
        <v>3.7008330891548308E-5</v>
      </c>
      <c r="L93" s="18">
        <f si="59" t="shared"/>
        <v>0</v>
      </c>
      <c r="M93" s="18">
        <f si="59" t="shared"/>
        <v>3.1519428797989555E-4</v>
      </c>
    </row>
    <row r="94" spans="1:13" x14ac:dyDescent="0.25">
      <c r="A94" s="12">
        <v>0.60416666666666663</v>
      </c>
      <c r="B94" s="18">
        <f ref="B94:F94" si="60" t="shared">B37/B$57</f>
        <v>1.0306074685963362E-3</v>
      </c>
      <c r="C94" s="18">
        <f si="60" t="shared"/>
        <v>1.5584059570583131E-3</v>
      </c>
      <c r="D94" s="18">
        <f si="60" t="shared"/>
        <v>2.4467059941839454E-5</v>
      </c>
      <c r="E94" s="18">
        <f si="60" t="shared"/>
        <v>0</v>
      </c>
      <c r="F94" s="18">
        <f si="60" t="shared"/>
        <v>4.294873934174497E-4</v>
      </c>
      <c r="G94" s="18"/>
      <c r="H94" s="12">
        <v>0.60416666666666663</v>
      </c>
      <c r="I94" s="18">
        <f ref="I94:M94" si="61" t="shared">I37/I$57</f>
        <v>6.1768197590099827E-4</v>
      </c>
      <c r="J94" s="18">
        <f si="61" t="shared"/>
        <v>5.8895040070142764E-4</v>
      </c>
      <c r="K94" s="18">
        <f si="61" t="shared"/>
        <v>1.9386858816206515E-5</v>
      </c>
      <c r="L94" s="18">
        <f si="61" t="shared"/>
        <v>0</v>
      </c>
      <c r="M94" s="18">
        <f si="61" t="shared"/>
        <v>2.1718370487478362E-4</v>
      </c>
    </row>
    <row r="95" spans="1:13" x14ac:dyDescent="0.25">
      <c r="A95" s="12">
        <v>0.625</v>
      </c>
      <c r="B95" s="18">
        <f ref="B95:F95" si="62" t="shared">B38/B$57</f>
        <v>6.8127383662350391E-4</v>
      </c>
      <c r="C95" s="18">
        <f si="62" t="shared"/>
        <v>1.5961671029069756E-3</v>
      </c>
      <c r="D95" s="18">
        <f si="62" t="shared"/>
        <v>1.0834252559901854E-5</v>
      </c>
      <c r="E95" s="18">
        <f si="62" t="shared"/>
        <v>0</v>
      </c>
      <c r="F95" s="18">
        <f si="62" t="shared"/>
        <v>3.4151149827070081E-4</v>
      </c>
      <c r="G95" s="18"/>
      <c r="H95" s="12">
        <v>0.625</v>
      </c>
      <c r="I95" s="18">
        <f ref="I95:M95" si="63" t="shared">I38/I$57</f>
        <v>3.9719981401258633E-4</v>
      </c>
      <c r="J95" s="18">
        <f si="63" t="shared"/>
        <v>5.4269971868277378E-4</v>
      </c>
      <c r="K95" s="18">
        <f si="63" t="shared"/>
        <v>8.8399017721108155E-6</v>
      </c>
      <c r="L95" s="18">
        <f si="63" t="shared"/>
        <v>0</v>
      </c>
      <c r="M95" s="18">
        <f si="63" t="shared"/>
        <v>1.5483114496386537E-4</v>
      </c>
    </row>
    <row r="96" spans="1:13" x14ac:dyDescent="0.25">
      <c r="A96" s="12">
        <v>0.64583333333333337</v>
      </c>
      <c r="B96" s="18">
        <f ref="B96:F96" si="64" t="shared">B39/B$57</f>
        <v>4.4437556849086593E-4</v>
      </c>
      <c r="C96" s="18">
        <f si="64" t="shared"/>
        <v>1.5006484121560413E-3</v>
      </c>
      <c r="D96" s="18">
        <f si="64" t="shared"/>
        <v>3.9404621711903714E-6</v>
      </c>
      <c r="E96" s="18">
        <f si="64" t="shared"/>
        <v>0</v>
      </c>
      <c r="F96" s="18">
        <f si="64" t="shared"/>
        <v>2.702661984616717E-4</v>
      </c>
      <c r="G96" s="18"/>
      <c r="H96" s="12">
        <v>0.64583333333333337</v>
      </c>
      <c r="I96" s="18">
        <f ref="I96:M96" si="65" t="shared">I39/I$57</f>
        <v>2.7265647639414036E-4</v>
      </c>
      <c r="J96" s="18">
        <f si="65" t="shared"/>
        <v>4.6354720122648147E-4</v>
      </c>
      <c r="K96" s="18">
        <f si="65" t="shared"/>
        <v>3.4399481391233912E-6</v>
      </c>
      <c r="L96" s="18">
        <f si="65" t="shared"/>
        <v>0</v>
      </c>
      <c r="M96" s="18">
        <f si="65" t="shared"/>
        <v>1.1432159636378995E-4</v>
      </c>
    </row>
    <row r="97" spans="1:13" x14ac:dyDescent="0.25">
      <c r="A97" s="12">
        <v>0.66666666666666663</v>
      </c>
      <c r="B97" s="18">
        <f ref="B97:F97" si="66" t="shared">B40/B$57</f>
        <v>2.8033499457586142E-4</v>
      </c>
      <c r="C97" s="18">
        <f si="66" t="shared"/>
        <v>1.256959813842002E-3</v>
      </c>
      <c r="D97" s="18">
        <f si="66" t="shared"/>
        <v>1.1435275539162089E-6</v>
      </c>
      <c r="E97" s="18">
        <f si="66" t="shared"/>
        <v>0</v>
      </c>
      <c r="F97" s="18">
        <f si="66" t="shared"/>
        <v>2.0304831315293885E-4</v>
      </c>
      <c r="G97" s="18"/>
      <c r="H97" s="12">
        <v>0.66666666666666663</v>
      </c>
      <c r="I97" s="18">
        <f ref="I97:M97" si="67" t="shared">I40/I$57</f>
        <v>2.0380103437498637E-4</v>
      </c>
      <c r="J97" s="18">
        <f si="67" t="shared"/>
        <v>3.621604445724073E-4</v>
      </c>
      <c r="K97" s="18">
        <f si="67" t="shared"/>
        <v>1.1158690955843606E-6</v>
      </c>
      <c r="L97" s="18">
        <f si="67" t="shared"/>
        <v>0</v>
      </c>
      <c r="M97" s="18">
        <f si="67" t="shared"/>
        <v>8.6212453399578211E-5</v>
      </c>
    </row>
    <row r="98" spans="1:13" x14ac:dyDescent="0.25">
      <c r="A98" s="12">
        <v>0.6875</v>
      </c>
      <c r="B98" s="18">
        <f ref="B98:F98" si="68" t="shared">B41/B$57</f>
        <v>1.7219222977428857E-4</v>
      </c>
      <c r="C98" s="18">
        <f si="68" t="shared"/>
        <v>9.2000182669007646E-4</v>
      </c>
      <c r="D98" s="18">
        <f si="68" t="shared"/>
        <v>2.5421084294914524E-7</v>
      </c>
      <c r="E98" s="18">
        <f si="68" t="shared"/>
        <v>0</v>
      </c>
      <c r="F98" s="18">
        <f si="68" t="shared"/>
        <v>1.4035685423332986E-4</v>
      </c>
      <c r="G98" s="18"/>
      <c r="H98" s="12">
        <v>0.6875</v>
      </c>
      <c r="I98" s="18">
        <f ref="I98:M98" si="69" t="shared">I41/I$57</f>
        <v>1.6036690183477421E-4</v>
      </c>
      <c r="J98" s="18">
        <f si="69" t="shared"/>
        <v>2.5655576603305827E-4</v>
      </c>
      <c r="K98" s="18">
        <f si="69" t="shared"/>
        <v>2.9271577185775824E-7</v>
      </c>
      <c r="L98" s="18">
        <f si="69" t="shared"/>
        <v>0</v>
      </c>
      <c r="M98" s="18">
        <f si="69" t="shared"/>
        <v>6.4454618511973114E-5</v>
      </c>
    </row>
    <row r="99" spans="1:13" x14ac:dyDescent="0.25">
      <c r="A99" s="12">
        <v>0.70833333333333337</v>
      </c>
      <c r="B99" s="18">
        <f ref="B99:F99" si="70" t="shared">B42/B$57</f>
        <v>1.0851562015110278E-4</v>
      </c>
      <c r="C99" s="18">
        <f si="70" t="shared"/>
        <v>5.8064653737110615E-4</v>
      </c>
      <c r="D99" s="18">
        <f si="70" t="shared"/>
        <v>4.0602617161390015E-8</v>
      </c>
      <c r="E99" s="18">
        <f si="70" t="shared"/>
        <v>0</v>
      </c>
      <c r="F99" s="18">
        <f si="70" t="shared"/>
        <v>8.8472109465548147E-5</v>
      </c>
      <c r="G99" s="18"/>
      <c r="H99" s="12">
        <v>0.70833333333333337</v>
      </c>
      <c r="I99" s="18">
        <f ref="I99:M99" si="71" t="shared">I42/I$57</f>
        <v>1.2467560353469112E-4</v>
      </c>
      <c r="J99" s="18">
        <f si="71" t="shared"/>
        <v>1.6407322946318786E-4</v>
      </c>
      <c r="K99" s="18">
        <f si="71" t="shared"/>
        <v>5.9509460468165613E-8</v>
      </c>
      <c r="L99" s="18">
        <f si="71" t="shared"/>
        <v>0</v>
      </c>
      <c r="M99" s="18">
        <f si="71" t="shared"/>
        <v>4.6244856709894581E-5</v>
      </c>
    </row>
    <row r="100" spans="1:13" x14ac:dyDescent="0.25">
      <c r="A100" s="12">
        <v>0.72916666666666663</v>
      </c>
      <c r="B100" s="18">
        <f ref="B100:F100" si="72" t="shared">B43/B$57</f>
        <v>7.6669071745120106E-5</v>
      </c>
      <c r="C100" s="18">
        <f si="72" t="shared"/>
        <v>3.1285609561484441E-4</v>
      </c>
      <c r="D100" s="18">
        <f si="72" t="shared"/>
        <v>4.1443052924073748E-9</v>
      </c>
      <c r="E100" s="18">
        <f si="72" t="shared"/>
        <v>0</v>
      </c>
      <c r="F100" s="18">
        <f si="72" t="shared"/>
        <v>5.2017366488606539E-5</v>
      </c>
      <c r="G100" s="18"/>
      <c r="H100" s="12">
        <v>0.72916666666666663</v>
      </c>
      <c r="I100" s="18">
        <f ref="I100:M100" si="73" t="shared">I43/I$57</f>
        <v>9.0744930098945992E-5</v>
      </c>
      <c r="J100" s="18">
        <f si="73" t="shared"/>
        <v>9.4730156693767902E-5</v>
      </c>
      <c r="K100" s="18">
        <f si="73" t="shared"/>
        <v>8.7789674076365793E-9</v>
      </c>
      <c r="L100" s="18">
        <f si="73" t="shared"/>
        <v>0</v>
      </c>
      <c r="M100" s="18">
        <f si="73" t="shared"/>
        <v>3.1013899395070677E-5</v>
      </c>
    </row>
    <row r="101" spans="1:13" x14ac:dyDescent="0.25">
      <c r="A101" s="12">
        <v>0.75</v>
      </c>
      <c r="B101" s="18">
        <f ref="B101:F101" si="74" t="shared">B44/B$57</f>
        <v>6.2704733389338355E-5</v>
      </c>
      <c r="C101" s="18">
        <f si="74" t="shared"/>
        <v>1.4265762040291811E-4</v>
      </c>
      <c r="D101" s="18">
        <f si="74" t="shared"/>
        <v>2.0289779943304776E-10</v>
      </c>
      <c r="E101" s="18">
        <f si="74" t="shared"/>
        <v>0</v>
      </c>
      <c r="F101" s="18">
        <f si="74" t="shared"/>
        <v>3.0362937240469413E-5</v>
      </c>
      <c r="G101" s="18"/>
      <c r="H101" s="12">
        <v>0.75</v>
      </c>
      <c r="I101" s="18">
        <f ref="I101:M101" si="75" t="shared">I44/I$57</f>
        <v>5.9729115819746585E-5</v>
      </c>
      <c r="J101" s="18">
        <f si="75" t="shared"/>
        <v>4.953182840901803E-5</v>
      </c>
      <c r="K101" s="18">
        <f si="75" t="shared"/>
        <v>8.3456246088617561E-10</v>
      </c>
      <c r="L101" s="18">
        <f si="75" t="shared"/>
        <v>0</v>
      </c>
      <c r="M101" s="18">
        <f si="75" t="shared"/>
        <v>1.9048105641311374E-5</v>
      </c>
    </row>
    <row r="102" spans="1:13" x14ac:dyDescent="0.25">
      <c r="A102" s="12">
        <v>0.77083333333333337</v>
      </c>
      <c r="B102" s="18">
        <f ref="B102:F102" si="76" t="shared">B45/B$57</f>
        <v>5.4411707900407013E-5</v>
      </c>
      <c r="C102" s="18">
        <f si="76" t="shared"/>
        <v>5.4540023569647769E-5</v>
      </c>
      <c r="D102" s="18">
        <f si="76" t="shared"/>
        <v>0</v>
      </c>
      <c r="E102" s="18">
        <f si="76" t="shared"/>
        <v>0</v>
      </c>
      <c r="F102" s="18">
        <f si="76" t="shared"/>
        <v>1.8898187105223301E-5</v>
      </c>
      <c r="G102" s="18"/>
      <c r="H102" s="12">
        <v>0.77083333333333337</v>
      </c>
      <c r="I102" s="18">
        <f ref="I102:M102" si="77" t="shared">I45/I$57</f>
        <v>3.4792183482746508E-5</v>
      </c>
      <c r="J102" s="18">
        <f si="77" t="shared"/>
        <v>2.3506687447221901E-5</v>
      </c>
      <c r="K102" s="18">
        <f si="77" t="shared"/>
        <v>3.8319859501787004E-11</v>
      </c>
      <c r="L102" s="18">
        <f si="77" t="shared"/>
        <v>0</v>
      </c>
      <c r="M102" s="18">
        <f si="77" t="shared"/>
        <v>1.0527151423082397E-5</v>
      </c>
    </row>
    <row r="103" spans="1:13" x14ac:dyDescent="0.25">
      <c r="A103" s="12">
        <v>0.79166666666666663</v>
      </c>
      <c r="B103" s="18">
        <f ref="B103:F103" si="78" t="shared">B46/B$57</f>
        <v>4.4574076339941019E-5</v>
      </c>
      <c r="C103" s="18">
        <f si="78" t="shared"/>
        <v>1.7267725373626002E-5</v>
      </c>
      <c r="D103" s="18">
        <f si="78" t="shared"/>
        <v>0</v>
      </c>
      <c r="E103" s="18">
        <f si="78" t="shared"/>
        <v>0</v>
      </c>
      <c r="F103" s="18">
        <f si="78" t="shared"/>
        <v>1.2532855146970598E-5</v>
      </c>
      <c r="G103" s="18"/>
      <c r="H103" s="12">
        <v>0.79166666666666663</v>
      </c>
      <c r="I103" s="18">
        <f ref="I103:M103" si="79" t="shared">I46/I$57</f>
        <v>1.77006891967168E-5</v>
      </c>
      <c r="J103" s="18">
        <f si="79" t="shared"/>
        <v>1.0077006220013447E-5</v>
      </c>
      <c r="K103" s="18">
        <f si="79" t="shared"/>
        <v>0</v>
      </c>
      <c r="L103" s="18">
        <f si="79" t="shared"/>
        <v>0</v>
      </c>
      <c r="M103" s="18">
        <f si="79" t="shared"/>
        <v>5.1557090985465643E-6</v>
      </c>
    </row>
    <row r="104" spans="1:13" x14ac:dyDescent="0.25">
      <c r="A104" s="12">
        <v>0.8125</v>
      </c>
      <c r="B104" s="18">
        <f ref="B104:F104" si="80" t="shared">B47/B$57</f>
        <v>3.1984001389007423E-5</v>
      </c>
      <c r="C104" s="18">
        <f si="80" t="shared"/>
        <v>4.4406240257345788E-6</v>
      </c>
      <c r="D104" s="18">
        <f si="80" t="shared"/>
        <v>0</v>
      </c>
      <c r="E104" s="18">
        <f si="80" t="shared"/>
        <v>0</v>
      </c>
      <c r="F104" s="18">
        <f si="80" t="shared"/>
        <v>8.1377882067097332E-6</v>
      </c>
      <c r="G104" s="18"/>
      <c r="H104" s="12">
        <v>0.8125</v>
      </c>
      <c r="I104" s="18">
        <f ref="I104:M104" si="81" t="shared">I47/I$57</f>
        <v>7.8441458212518747E-6</v>
      </c>
      <c r="J104" s="18">
        <f si="81" t="shared"/>
        <v>3.8365287827511099E-6</v>
      </c>
      <c r="K104" s="18">
        <f si="81" t="shared"/>
        <v>0</v>
      </c>
      <c r="L104" s="18">
        <f si="81" t="shared"/>
        <v>0</v>
      </c>
      <c r="M104" s="18">
        <f si="81" t="shared"/>
        <v>2.2179171159045498E-6</v>
      </c>
    </row>
    <row r="105" spans="1:13" x14ac:dyDescent="0.25">
      <c r="A105" s="12">
        <v>0.83333333333333337</v>
      </c>
      <c r="B105" s="18">
        <f ref="B105:F105" si="82" t="shared">B48/B$57</f>
        <v>1.9323363181235941E-5</v>
      </c>
      <c r="C105" s="18">
        <f si="82" t="shared"/>
        <v>8.9729945981754245E-7</v>
      </c>
      <c r="D105" s="18">
        <f si="82" t="shared"/>
        <v>0</v>
      </c>
      <c r="E105" s="18">
        <f si="82" t="shared"/>
        <v>0</v>
      </c>
      <c r="F105" s="18">
        <f si="82" t="shared"/>
        <v>4.7244400758384032E-6</v>
      </c>
      <c r="G105" s="18"/>
      <c r="H105" s="12">
        <v>0.83333333333333337</v>
      </c>
      <c r="I105" s="18">
        <f ref="I105:M105" si="83" t="shared">I48/I$57</f>
        <v>3.0864756363849868E-6</v>
      </c>
      <c r="J105" s="18">
        <f si="83" t="shared"/>
        <v>1.2586110937057712E-6</v>
      </c>
      <c r="K105" s="18">
        <f si="83" t="shared"/>
        <v>0</v>
      </c>
      <c r="L105" s="18">
        <f si="83" t="shared"/>
        <v>0</v>
      </c>
      <c r="M105" s="18">
        <f si="83" t="shared"/>
        <v>8.4602435383120239E-7</v>
      </c>
    </row>
    <row r="106" spans="1:13" x14ac:dyDescent="0.25">
      <c r="A106" s="12">
        <v>0.85416666666666663</v>
      </c>
      <c r="B106" s="18">
        <f ref="B106:F106" si="84" t="shared">B49/B$57</f>
        <v>9.5912220909654846E-6</v>
      </c>
      <c r="C106" s="18">
        <f si="84" t="shared"/>
        <v>1.3420375112573084E-7</v>
      </c>
      <c r="D106" s="18">
        <f si="84" t="shared"/>
        <v>0</v>
      </c>
      <c r="E106" s="18">
        <f si="84" t="shared"/>
        <v>0</v>
      </c>
      <c r="F106" s="18">
        <f si="84" t="shared"/>
        <v>2.3115213840540787E-6</v>
      </c>
      <c r="G106" s="18"/>
      <c r="H106" s="12">
        <v>0.85416666666666663</v>
      </c>
      <c r="I106" s="18">
        <f ref="I106:M106" si="85" t="shared">I49/I$57</f>
        <v>1.1456970380199829E-6</v>
      </c>
      <c r="J106" s="18">
        <f si="85" t="shared"/>
        <v>3.412747857242023E-7</v>
      </c>
      <c r="K106" s="18">
        <f si="85" t="shared"/>
        <v>0</v>
      </c>
      <c r="L106" s="18">
        <f si="85" t="shared"/>
        <v>0</v>
      </c>
      <c r="M106" s="18">
        <f si="85" t="shared"/>
        <v>3.0066172025712949E-7</v>
      </c>
    </row>
    <row r="107" spans="1:13" x14ac:dyDescent="0.25">
      <c r="A107" s="12">
        <v>0.875</v>
      </c>
      <c r="B107" s="18">
        <f ref="B107:F107" si="86" t="shared">B50/B$57</f>
        <v>3.8263940767558757E-6</v>
      </c>
      <c r="C107" s="18">
        <f si="86" t="shared"/>
        <v>1.3218565567953825E-8</v>
      </c>
      <c r="D107" s="18">
        <f si="86" t="shared"/>
        <v>0</v>
      </c>
      <c r="E107" s="18">
        <f si="86" t="shared"/>
        <v>0</v>
      </c>
      <c r="F107" s="18">
        <f si="86" t="shared"/>
        <v>9.1783843582704848E-7</v>
      </c>
      <c r="G107" s="18"/>
      <c r="H107" s="12">
        <v>0.875</v>
      </c>
      <c r="I107" s="18">
        <f ref="I107:M107" si="87" t="shared">I50/I$57</f>
        <v>4.4125031247291435E-7</v>
      </c>
      <c r="J107" s="18">
        <f si="87" t="shared"/>
        <v>7.2502557039607848E-8</v>
      </c>
      <c r="K107" s="18">
        <f si="87" t="shared"/>
        <v>0</v>
      </c>
      <c r="L107" s="18">
        <f si="87" t="shared"/>
        <v>0</v>
      </c>
      <c r="M107" s="18">
        <f si="87" t="shared"/>
        <v>1.0953283683033076E-7</v>
      </c>
    </row>
    <row r="108" spans="1:13" x14ac:dyDescent="0.25">
      <c r="A108" s="12">
        <v>0.89583333333333337</v>
      </c>
      <c r="B108" s="18">
        <f ref="B108:F108" si="88" t="shared">B51/B$57</f>
        <v>1.1948182514767428E-6</v>
      </c>
      <c r="C108" s="18">
        <f si="88" t="shared"/>
        <v>6.4140572275605384E-10</v>
      </c>
      <c r="D108" s="18">
        <f si="88" t="shared"/>
        <v>0</v>
      </c>
      <c r="E108" s="18">
        <f si="88" t="shared"/>
        <v>0</v>
      </c>
      <c r="F108" s="18">
        <f si="88" t="shared"/>
        <v>2.8622646158261855E-7</v>
      </c>
      <c r="G108" s="18"/>
      <c r="H108" s="12">
        <v>0.89583333333333337</v>
      </c>
      <c r="I108" s="18">
        <f ref="I108:M108" si="89" t="shared">I51/I$57</f>
        <v>1.8311539179801025E-7</v>
      </c>
      <c r="J108" s="18">
        <f si="89" t="shared"/>
        <v>1.1207885018733783E-8</v>
      </c>
      <c r="K108" s="18">
        <f si="89" t="shared"/>
        <v>0</v>
      </c>
      <c r="L108" s="18">
        <f si="89" t="shared"/>
        <v>0</v>
      </c>
      <c r="M108" s="18">
        <f si="89" t="shared"/>
        <v>4.3448843147494165E-8</v>
      </c>
    </row>
    <row r="109" spans="1:13" x14ac:dyDescent="0.25">
      <c r="A109" s="12">
        <v>0.91666666666666663</v>
      </c>
      <c r="B109" s="18">
        <f ref="B109:F109" si="90" t="shared">B52/B$57</f>
        <v>2.810926148921006E-7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6.7321327650998401E-8</v>
      </c>
      <c r="G109" s="18"/>
      <c r="H109" s="12">
        <v>0.91666666666666663</v>
      </c>
      <c r="I109" s="18">
        <f ref="I109:M109" si="91" t="shared">I52/I$57</f>
        <v>7.5381685494885539E-8</v>
      </c>
      <c r="J109" s="18">
        <f si="91" t="shared"/>
        <v>1.1140473536652816E-9</v>
      </c>
      <c r="K109" s="18">
        <f si="91" t="shared"/>
        <v>0</v>
      </c>
      <c r="L109" s="18">
        <f si="91" t="shared"/>
        <v>0</v>
      </c>
      <c r="M109" s="18">
        <f si="91" t="shared"/>
        <v>1.7514315575284067E-8</v>
      </c>
    </row>
    <row r="110" spans="1:13" x14ac:dyDescent="0.25">
      <c r="A110" s="12">
        <v>0.9375</v>
      </c>
      <c r="B110" s="18">
        <f ref="B110:F110" si="92" t="shared">B53/B$57</f>
        <v>4.6848769148683433E-8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1.12202212751664E-8</v>
      </c>
      <c r="G110" s="18"/>
      <c r="H110" s="12">
        <v>0.9375</v>
      </c>
      <c r="I110" s="18">
        <f ref="I110:M110" si="93" t="shared">I53/I$57</f>
        <v>2.7413479033203208E-8</v>
      </c>
      <c r="J110" s="18">
        <f si="93" t="shared"/>
        <v>5.3236186783618603E-11</v>
      </c>
      <c r="K110" s="18">
        <f si="93" t="shared"/>
        <v>0</v>
      </c>
      <c r="L110" s="18">
        <f si="93" t="shared"/>
        <v>0</v>
      </c>
      <c r="M110" s="18">
        <f si="93" t="shared"/>
        <v>6.3318996684940945E-9</v>
      </c>
    </row>
    <row r="111" spans="1:13" x14ac:dyDescent="0.25">
      <c r="A111" s="12">
        <v>0.95833333333333337</v>
      </c>
      <c r="B111" s="18">
        <f ref="B111:F111" si="94" t="shared">B54/B$57</f>
        <v>4.9314493840719406E-9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1.1810759237017265E-9</v>
      </c>
      <c r="G111" s="18"/>
      <c r="H111" s="12">
        <v>0.95833333333333337</v>
      </c>
      <c r="I111" s="18">
        <f ref="I111:M111" si="95" t="shared">I54/I$57</f>
        <v>8.115516997677829E-9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1.8728278100015344E-9</v>
      </c>
    </row>
    <row r="112" spans="1:13" x14ac:dyDescent="0.25">
      <c r="A112" s="12">
        <v>0.97916666666666663</v>
      </c>
      <c r="B112" s="18">
        <f ref="B112:F112" si="96" t="shared">B55/B$57</f>
        <v>2.4657246920359702E-10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5.9053796185086315E-11</v>
      </c>
      <c r="G112" s="18"/>
      <c r="H112" s="12">
        <v>0.97916666666666663</v>
      </c>
      <c r="I112" s="18">
        <f ref="I112:M112" si="97" t="shared">I55/I$57</f>
        <v>1.8127204699823549E-9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4.1832372588381313E-10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704.0</v>
      </c>
      <c r="N8" s="9" t="n">
        <v>677.0</v>
      </c>
      <c r="O8" s="9" t="n">
        <v>0.0</v>
      </c>
      <c r="P8" s="9" t="n">
        <v>0.0</v>
      </c>
      <c r="Q8" s="9" t="n">
        <v>881.0</v>
      </c>
      <c r="R8" s="9" t="n">
        <v>59.0</v>
      </c>
      <c r="S8" s="9" t="n">
        <v>1.0</v>
      </c>
      <c r="T8" s="9" t="n">
        <v>0.0</v>
      </c>
      <c r="U8">
        <f>SUM(M8:T8)</f>
        <v>1679.0734390139362</v>
      </c>
      <c r="W8" s="5"/>
      <c r="X8" s="16"/>
      <c r="Y8" s="16"/>
      <c r="Z8" s="5"/>
    </row>
    <row r="9" spans="1:26" x14ac:dyDescent="0.25">
      <c r="A9" s="12">
        <v>0.125</v>
      </c>
      <c r="B9" s="6" t="n">
        <v>3339.7288279331547</v>
      </c>
      <c r="C9" s="6" t="n">
        <v>282.4480069551597</v>
      </c>
      <c r="D9" s="6" t="n">
        <v>0.7176892419374123</v>
      </c>
      <c r="E9" s="6" t="n">
        <v>13.513914594583031</v>
      </c>
      <c r="F9" s="6" t="n">
        <v>157.2742273228724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3793.6826660477072</v>
      </c>
      <c r="L9" s="12">
        <v>0.125</v>
      </c>
      <c r="M9" s="9" t="n">
        <v>4926.62825012207</v>
      </c>
      <c r="N9" s="9" t="n">
        <v>694.9603128433228</v>
      </c>
      <c r="O9" s="9" t="n">
        <v>0.0</v>
      </c>
      <c r="P9" s="9" t="n">
        <v>0.0</v>
      </c>
      <c r="Q9" s="9" t="n">
        <v>693.0484342575073</v>
      </c>
      <c r="R9" s="9" t="n">
        <v>39.71255683898926</v>
      </c>
      <c r="S9" s="9" t="n">
        <v>12.855234146118164</v>
      </c>
      <c r="T9" s="9" t="n">
        <v>0.0</v>
      </c>
      <c r="U9">
        <f ref="U9:U58" si="1" t="shared">SUM(M9:T9)</f>
        <v>5295.1547976795837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7980.424041908767</v>
      </c>
      <c r="C10" s="6" t="n">
        <v>603.5710135210455</v>
      </c>
      <c r="D10" s="6" t="n">
        <v>2.7883532237758986</v>
      </c>
      <c r="E10" s="6" t="n">
        <v>33.31341354831341</v>
      </c>
      <c r="F10" s="6" t="n">
        <v>354.48812658273505</v>
      </c>
      <c r="G10" s="6" t="n">
        <v>0.0</v>
      </c>
      <c r="H10" s="6" t="n">
        <v>0.0</v>
      </c>
      <c r="I10" s="6" t="n">
        <v>0.0</v>
      </c>
      <c r="J10" s="6">
        <f si="0" t="shared"/>
        <v>8974.5849487846372</v>
      </c>
      <c r="L10" s="12">
        <v>0.14583333333333334</v>
      </c>
      <c r="M10" s="9" t="n">
        <v>9685.899318695068</v>
      </c>
      <c r="N10" s="9" t="n">
        <v>796.660647392273</v>
      </c>
      <c r="O10" s="9" t="n">
        <v>0.0</v>
      </c>
      <c r="P10" s="9" t="n">
        <v>0.0</v>
      </c>
      <c r="Q10" s="9" t="n">
        <v>583.108832359314</v>
      </c>
      <c r="R10" s="9" t="n">
        <v>23.9755916595459</v>
      </c>
      <c r="S10" s="9" t="n">
        <v>24.941121101379395</v>
      </c>
      <c r="T10" s="9" t="n">
        <v>0.0</v>
      </c>
      <c r="U10">
        <f si="1" t="shared"/>
        <v>9430.480882297772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15295.304658686502</v>
      </c>
      <c r="C11" s="6" t="n">
        <v>1033.1833223569945</v>
      </c>
      <c r="D11" s="6" t="n">
        <v>8.815841614795056</v>
      </c>
      <c r="E11" s="6" t="n">
        <v>68.23213722944462</v>
      </c>
      <c r="F11" s="6" t="n">
        <v>635.9190058043077</v>
      </c>
      <c r="G11" s="6" t="n">
        <v>0.0</v>
      </c>
      <c r="H11" s="6" t="n">
        <v>0.0</v>
      </c>
      <c r="I11" s="6" t="n">
        <v>0.0</v>
      </c>
      <c r="J11" s="6">
        <f si="0" t="shared"/>
        <v>17041.454965692043</v>
      </c>
      <c r="L11" s="12">
        <v>0.16666666666666666</v>
      </c>
      <c r="M11" s="9" t="n">
        <v>15969.90514755249</v>
      </c>
      <c r="N11" s="9" t="n">
        <v>1084.721495628357</v>
      </c>
      <c r="O11" s="9" t="n">
        <v>0.0</v>
      </c>
      <c r="P11" s="9" t="n">
        <v>0.0</v>
      </c>
      <c r="Q11" s="9" t="n">
        <v>626.1595621109009</v>
      </c>
      <c r="R11" s="9" t="n">
        <v>13.946966171264648</v>
      </c>
      <c r="S11" s="9" t="n">
        <v>39.09027671813965</v>
      </c>
      <c r="T11" s="9" t="n">
        <v>0.0</v>
      </c>
      <c r="U11">
        <f si="1" t="shared"/>
        <v>15016.988250027134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26611.55426712788</v>
      </c>
      <c r="C12" s="6" t="n">
        <v>1680.4197238724944</v>
      </c>
      <c r="D12" s="6" t="n">
        <v>24.216213156374</v>
      </c>
      <c r="E12" s="6" t="n">
        <v>131.552328049545</v>
      </c>
      <c r="F12" s="6" t="n">
        <v>1049.4284768584516</v>
      </c>
      <c r="G12" s="6" t="n">
        <v>0.0</v>
      </c>
      <c r="H12" s="6" t="n">
        <v>0.0</v>
      </c>
      <c r="I12" s="6" t="n">
        <v>0.0</v>
      </c>
      <c r="J12" s="6">
        <f si="0" t="shared"/>
        <v>29497.171009064747</v>
      </c>
      <c r="L12" s="12">
        <v>0.1875</v>
      </c>
      <c r="M12" s="9" t="n">
        <v>25387.28322982788</v>
      </c>
      <c r="N12" s="9" t="n">
        <v>1693.872555732727</v>
      </c>
      <c r="O12" s="9" t="n">
        <v>0.0</v>
      </c>
      <c r="P12" s="9" t="n">
        <v>0.0</v>
      </c>
      <c r="Q12" s="9" t="n">
        <v>899.3316011428833</v>
      </c>
      <c r="R12" s="9" t="n">
        <v>10.107836723327637</v>
      </c>
      <c r="S12" s="9" t="n">
        <v>59.319275856018066</v>
      </c>
      <c r="T12" s="9" t="n">
        <v>0.0</v>
      </c>
      <c r="U12">
        <f si="1" t="shared"/>
        <v>23560.598482796973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42853.383994249634</v>
      </c>
      <c r="C13" s="6" t="n">
        <v>2667.7790396320765</v>
      </c>
      <c r="D13" s="6" t="n">
        <v>59.042457774076034</v>
      </c>
      <c r="E13" s="6" t="n">
        <v>240.39696536189936</v>
      </c>
      <c r="F13" s="6" t="n">
        <v>1631.010797373512</v>
      </c>
      <c r="G13" s="6" t="n">
        <v>0.0</v>
      </c>
      <c r="H13" s="6" t="n">
        <v>0.0</v>
      </c>
      <c r="I13" s="6" t="n">
        <v>1.0420465469360351E-4</v>
      </c>
      <c r="J13" s="6">
        <f si="0" t="shared"/>
        <v>47451.61335859586</v>
      </c>
      <c r="L13" s="12">
        <v>0.20833333333333334</v>
      </c>
      <c r="M13" s="9" t="n">
        <v>39788.572622299194</v>
      </c>
      <c r="N13" s="9" t="n">
        <v>2780.865714073181</v>
      </c>
      <c r="O13" s="9" t="n">
        <v>0.0</v>
      </c>
      <c r="P13" s="9" t="n">
        <v>0.0</v>
      </c>
      <c r="Q13" s="9" t="n">
        <v>1486.4203653335571</v>
      </c>
      <c r="R13" s="9" t="n">
        <v>12.054524421691895</v>
      </c>
      <c r="S13" s="9" t="n">
        <v>90.69225597381592</v>
      </c>
      <c r="T13" s="9" t="n">
        <v>0.0</v>
      </c>
      <c r="U13">
        <f si="1" t="shared"/>
        <v>36806.244637580719</v>
      </c>
    </row>
    <row r="14" spans="1:26" x14ac:dyDescent="0.25">
      <c r="A14" s="12">
        <v>0.22916666666666666</v>
      </c>
      <c r="B14" s="6" t="n">
        <v>64014.80250835138</v>
      </c>
      <c r="C14" s="6" t="n">
        <v>4080.255015324763</v>
      </c>
      <c r="D14" s="6" t="n">
        <v>129.02917654440373</v>
      </c>
      <c r="E14" s="6" t="n">
        <v>411.0115292056514</v>
      </c>
      <c r="F14" s="6" t="n">
        <v>2372.465297051007</v>
      </c>
      <c r="G14" s="6" t="n">
        <v>0.0</v>
      </c>
      <c r="H14" s="6" t="n">
        <v>0.0</v>
      </c>
      <c r="I14" s="6" t="n">
        <v>0.00208409309387207</v>
      </c>
      <c r="J14" s="6">
        <f si="0" t="shared"/>
        <v>71007.565610570295</v>
      </c>
      <c r="L14" s="12">
        <v>0.22916666666666666</v>
      </c>
      <c r="M14" s="9" t="n">
        <v>60300.24946975708</v>
      </c>
      <c r="N14" s="9" t="n">
        <v>4474.207798957825</v>
      </c>
      <c r="O14" s="9" t="n">
        <v>0.0</v>
      </c>
      <c r="P14" s="9" t="n">
        <v>0.0</v>
      </c>
      <c r="Q14" s="9" t="n">
        <v>2462.459557533264</v>
      </c>
      <c r="R14" s="9" t="n">
        <v>19.361087799072266</v>
      </c>
      <c r="S14" s="9" t="n">
        <v>136.61778831481934</v>
      </c>
      <c r="T14" s="9" t="n">
        <v>0.0</v>
      </c>
      <c r="U14">
        <f si="1" t="shared"/>
        <v>55859.505006016021</v>
      </c>
    </row>
    <row r="15" spans="1:26" x14ac:dyDescent="0.25">
      <c r="A15" s="12">
        <v>0.25</v>
      </c>
      <c r="B15" s="6" t="n">
        <v>88576.58383324687</v>
      </c>
      <c r="C15" s="6" t="n">
        <v>5913.092922576861</v>
      </c>
      <c r="D15" s="6" t="n">
        <v>253.43507056537763</v>
      </c>
      <c r="E15" s="6" t="n">
        <v>650.7158273784644</v>
      </c>
      <c r="F15" s="6" t="n">
        <v>3193.2966091226435</v>
      </c>
      <c r="G15" s="6" t="n">
        <v>0.0</v>
      </c>
      <c r="H15" s="6" t="n">
        <v>0.0</v>
      </c>
      <c r="I15" s="6" t="n">
        <v>0.019798884391784666</v>
      </c>
      <c r="J15" s="6">
        <f si="0" t="shared"/>
        <v>98587.144061774598</v>
      </c>
      <c r="L15" s="12">
        <v>0.25</v>
      </c>
      <c r="M15" s="9" t="n">
        <v>86175.41477108002</v>
      </c>
      <c r="N15" s="9" t="n">
        <v>6792.370778083801</v>
      </c>
      <c r="O15" s="9" t="n">
        <v>0.0</v>
      </c>
      <c r="P15" s="9" t="n">
        <v>0.0</v>
      </c>
      <c r="Q15" s="9" t="n">
        <v>3851.245882987976</v>
      </c>
      <c r="R15" s="9" t="n">
        <v>31.679319381713867</v>
      </c>
      <c r="S15" s="9" t="n">
        <v>195.8650131225586</v>
      </c>
      <c r="T15" s="9" t="n">
        <v>0.0</v>
      </c>
      <c r="U15">
        <f si="1" t="shared"/>
        <v>80123.020381496623</v>
      </c>
    </row>
    <row r="16" spans="1:26" x14ac:dyDescent="0.25">
      <c r="A16" s="12">
        <v>0.27083333333333331</v>
      </c>
      <c r="B16" s="6" t="n">
        <v>113137.76469102284</v>
      </c>
      <c r="C16" s="6" t="n">
        <v>8038.333298128331</v>
      </c>
      <c r="D16" s="6" t="n">
        <v>447.0561315199424</v>
      </c>
      <c r="E16" s="6" t="n">
        <v>949.7338747086065</v>
      </c>
      <c r="F16" s="6" t="n">
        <v>3949.7988398668886</v>
      </c>
      <c r="G16" s="6" t="n">
        <v>0.0</v>
      </c>
      <c r="H16" s="6" t="n">
        <v>0.0</v>
      </c>
      <c r="I16" s="6" t="n">
        <v>0.1188303209543228</v>
      </c>
      <c r="J16" s="6">
        <f si="0" t="shared"/>
        <v>126522.80566556755</v>
      </c>
      <c r="L16" s="12">
        <v>0.27083333333333331</v>
      </c>
      <c r="M16" s="9" t="n">
        <v>114188.84872531891</v>
      </c>
      <c r="N16" s="9" t="n">
        <v>9569.671426773071</v>
      </c>
      <c r="O16" s="9" t="n">
        <v>0.0</v>
      </c>
      <c r="P16" s="9" t="n">
        <v>0.0</v>
      </c>
      <c r="Q16" s="9" t="n">
        <v>5573.189064025879</v>
      </c>
      <c r="R16" s="9" t="n">
        <v>48.16349411010742</v>
      </c>
      <c r="S16" s="9" t="n">
        <v>261.13542079925537</v>
      </c>
      <c r="T16" s="9" t="n">
        <v>0.0</v>
      </c>
      <c r="U16">
        <f si="1" t="shared"/>
        <v>106709.01598768952</v>
      </c>
    </row>
    <row r="17" spans="1:21" x14ac:dyDescent="0.25">
      <c r="A17" s="12">
        <v>0.29166666666666669</v>
      </c>
      <c r="B17" s="6" t="n">
        <v>132792.14167169345</v>
      </c>
      <c r="C17" s="6" t="n">
        <v>10202.207502753596</v>
      </c>
      <c r="D17" s="6" t="n">
        <v>706.830821010281</v>
      </c>
      <c r="E17" s="6" t="n">
        <v>1277.4110876262764</v>
      </c>
      <c r="F17" s="6" t="n">
        <v>4487.90790029771</v>
      </c>
      <c r="G17" s="6" t="n">
        <v>0.0</v>
      </c>
      <c r="H17" s="6" t="n">
        <v>0.0</v>
      </c>
      <c r="I17" s="6" t="n">
        <v>0.505611844062805</v>
      </c>
      <c r="J17" s="6">
        <f si="0" t="shared"/>
        <v>149467.00459522539</v>
      </c>
      <c r="L17" s="12">
        <v>0.29166666666666669</v>
      </c>
      <c r="M17" s="9" t="n">
        <v>139154.08347797394</v>
      </c>
      <c r="N17" s="9" t="n">
        <v>12438.030268669128</v>
      </c>
      <c r="O17" s="9" t="n">
        <v>0.0</v>
      </c>
      <c r="P17" s="9" t="n">
        <v>0.0</v>
      </c>
      <c r="Q17" s="9" t="n">
        <v>7417.209550857544</v>
      </c>
      <c r="R17" s="9" t="n">
        <v>66.92711067199707</v>
      </c>
      <c r="S17" s="9" t="n">
        <v>320.35395336151123</v>
      </c>
      <c r="T17" s="9" t="n">
        <v>0.0</v>
      </c>
      <c r="U17">
        <f si="1" t="shared"/>
        <v>130862.20419052744</v>
      </c>
    </row>
    <row r="18" spans="1:21" x14ac:dyDescent="0.25">
      <c r="A18" s="12">
        <v>0.3125</v>
      </c>
      <c r="B18" s="6" t="n">
        <v>142648.21521898577</v>
      </c>
      <c r="C18" s="6" t="n">
        <v>12068.332711608833</v>
      </c>
      <c r="D18" s="6" t="n">
        <v>999.742311941937</v>
      </c>
      <c r="E18" s="6" t="n">
        <v>1587.0441264748436</v>
      </c>
      <c r="F18" s="6" t="n">
        <v>4704.881956861203</v>
      </c>
      <c r="G18" s="6" t="n">
        <v>0.0</v>
      </c>
      <c r="H18" s="6" t="n">
        <v>0.0</v>
      </c>
      <c r="I18" s="6" t="n">
        <v>1.622621741056442</v>
      </c>
      <c r="J18" s="6">
        <f si="0" t="shared"/>
        <v>162009.83894761364</v>
      </c>
      <c r="L18" s="12">
        <v>0.3125</v>
      </c>
      <c r="M18" s="9" t="n">
        <v>155542.67582702637</v>
      </c>
      <c r="N18" s="9" t="n">
        <v>14894.498516082764</v>
      </c>
      <c r="O18" s="9" t="n">
        <v>0.0</v>
      </c>
      <c r="P18" s="9" t="n">
        <v>0.0</v>
      </c>
      <c r="Q18" s="9" t="n">
        <v>9067.577439308167</v>
      </c>
      <c r="R18" s="9" t="n">
        <v>85.09787082672119</v>
      </c>
      <c r="S18" s="9" t="n">
        <v>360.3692035675049</v>
      </c>
      <c r="T18" s="9" t="n">
        <v>0.0</v>
      </c>
      <c r="U18">
        <f si="1" t="shared"/>
        <v>147396.18837402179</v>
      </c>
    </row>
    <row r="19" spans="1:21" x14ac:dyDescent="0.25">
      <c r="A19" s="12">
        <v>0.33333333333333331</v>
      </c>
      <c r="B19" s="6" t="n">
        <v>140018.73519035836</v>
      </c>
      <c r="C19" s="6" t="n">
        <v>13315.526604486364</v>
      </c>
      <c r="D19" s="6" t="n">
        <v>1263.7506808902629</v>
      </c>
      <c r="E19" s="6" t="n">
        <v>1829.7640194475603</v>
      </c>
      <c r="F19" s="6" t="n">
        <v>4580.795453294942</v>
      </c>
      <c r="G19" s="6" t="n">
        <v>0.0</v>
      </c>
      <c r="H19" s="6" t="n">
        <v>0.0</v>
      </c>
      <c r="I19" s="6" t="n">
        <v>4.0811690640449525</v>
      </c>
      <c r="J19" s="6">
        <f si="0" t="shared"/>
        <v>161012.65311754151</v>
      </c>
      <c r="L19" s="12">
        <v>0.33333333333333331</v>
      </c>
      <c r="M19" s="9" t="n">
        <v>159531.1200323105</v>
      </c>
      <c r="N19" s="9" t="n">
        <v>16448.915482521057</v>
      </c>
      <c r="O19" s="9" t="n">
        <v>0.0</v>
      </c>
      <c r="P19" s="9" t="n">
        <v>0.0</v>
      </c>
      <c r="Q19" s="9" t="n">
        <v>10193.9315366745</v>
      </c>
      <c r="R19" s="9" t="n">
        <v>99.52577590942383</v>
      </c>
      <c r="S19" s="9" t="n">
        <v>371.55125617980957</v>
      </c>
      <c r="T19" s="9" t="n">
        <v>0.0</v>
      </c>
      <c r="U19">
        <f si="1" t="shared"/>
        <v>152565.00707160105</v>
      </c>
    </row>
    <row r="20" spans="1:21" x14ac:dyDescent="0.25">
      <c r="A20" s="12">
        <v>0.35416666666666669</v>
      </c>
      <c r="B20" s="6" t="n">
        <v>125883.4853649082</v>
      </c>
      <c r="C20" s="6" t="n">
        <v>13757.130104172495</v>
      </c>
      <c r="D20" s="6" t="n">
        <v>1429.728773709967</v>
      </c>
      <c r="E20" s="6" t="n">
        <v>1971.3506558963754</v>
      </c>
      <c r="F20" s="6" t="n">
        <v>4176.356896536315</v>
      </c>
      <c r="G20" s="6" t="n">
        <v>0.0</v>
      </c>
      <c r="H20" s="6" t="n">
        <v>0.0</v>
      </c>
      <c r="I20" s="6" t="n">
        <v>8.257280586361883</v>
      </c>
      <c r="J20" s="6">
        <f si="0" t="shared"/>
        <v>147226.30907580972</v>
      </c>
      <c r="L20" s="12">
        <v>0.35416666666666669</v>
      </c>
      <c r="M20" s="9" t="n">
        <v>150504.48565483093</v>
      </c>
      <c r="N20" s="9" t="n">
        <v>16803.998077392578</v>
      </c>
      <c r="O20" s="9" t="n">
        <v>0.0</v>
      </c>
      <c r="P20" s="9" t="n">
        <v>0.0</v>
      </c>
      <c r="Q20" s="9" t="n">
        <v>10576.445958137512</v>
      </c>
      <c r="R20" s="9" t="n">
        <v>107.8505277633667</v>
      </c>
      <c r="S20" s="9" t="n">
        <v>351.429274559021</v>
      </c>
      <c r="T20" s="9" t="n">
        <v>0.0</v>
      </c>
      <c r="U20">
        <f si="1" t="shared"/>
        <v>145514.32421755872</v>
      </c>
    </row>
    <row r="21" spans="1:21" x14ac:dyDescent="0.25">
      <c r="A21" s="12">
        <v>0.375</v>
      </c>
      <c r="B21" s="6" t="n">
        <v>104454.7872159727</v>
      </c>
      <c r="C21" s="6" t="n">
        <v>13405.844765822565</v>
      </c>
      <c r="D21" s="6" t="n">
        <v>1456.893907117903</v>
      </c>
      <c r="E21" s="6" t="n">
        <v>2003.1719632652844</v>
      </c>
      <c r="F21" s="6" t="n">
        <v>3613.8539643392896</v>
      </c>
      <c r="G21" s="6" t="n">
        <v>4.0215837955474853E-4</v>
      </c>
      <c r="H21" s="6" t="n">
        <v>0.0</v>
      </c>
      <c r="I21" s="6" t="n">
        <v>13.700534766197201</v>
      </c>
      <c r="J21" s="6">
        <f si="0" t="shared"/>
        <v>124948.2527534423</v>
      </c>
      <c r="L21" s="12">
        <v>0.375</v>
      </c>
      <c r="M21" s="9" t="n">
        <v>131276.916349411</v>
      </c>
      <c r="N21" s="9" t="n">
        <v>15986.642422676086</v>
      </c>
      <c r="O21" s="9" t="n">
        <v>0.0</v>
      </c>
      <c r="P21" s="9" t="n">
        <v>0.0</v>
      </c>
      <c r="Q21" s="9" t="n">
        <v>10205.89059829712</v>
      </c>
      <c r="R21" s="9" t="n">
        <v>109.50685024261475</v>
      </c>
      <c r="S21" s="9" t="n">
        <v>305.8299436569214</v>
      </c>
      <c r="T21" s="9" t="n">
        <v>0.0</v>
      </c>
      <c r="U21">
        <f si="1" t="shared"/>
        <v>128615.86419848395</v>
      </c>
    </row>
    <row r="22" spans="1:21" x14ac:dyDescent="0.25">
      <c r="A22" s="12">
        <v>0.39583333333333331</v>
      </c>
      <c r="B22" s="6" t="n">
        <v>81109.17072646854</v>
      </c>
      <c r="C22" s="6" t="n">
        <v>12435.35518225431</v>
      </c>
      <c r="D22" s="6" t="n">
        <v>1357.5846480998157</v>
      </c>
      <c r="E22" s="6" t="n">
        <v>1943.5754275654306</v>
      </c>
      <c r="F22" s="6" t="n">
        <v>3043.730754870894</v>
      </c>
      <c r="G22" s="6" t="n">
        <v>0.00804316759109497</v>
      </c>
      <c r="H22" s="6" t="n">
        <v>0.0</v>
      </c>
      <c r="I22" s="6" t="n">
        <v>18.936899838447566</v>
      </c>
      <c r="J22" s="6">
        <f si="0" t="shared"/>
        <v>99908.361682265022</v>
      </c>
      <c r="L22" s="12">
        <v>0.39583333333333331</v>
      </c>
      <c r="M22" s="9" t="n">
        <v>106919.10023117065</v>
      </c>
      <c r="N22" s="9" t="n">
        <v>14351.235224723816</v>
      </c>
      <c r="O22" s="9" t="n">
        <v>0.0</v>
      </c>
      <c r="P22" s="9" t="n">
        <v>0.0</v>
      </c>
      <c r="Q22" s="9" t="n">
        <v>9296.61040687561</v>
      </c>
      <c r="R22" s="9" t="n">
        <v>106.14139175415039</v>
      </c>
      <c r="S22" s="9" t="n">
        <v>246.78358268737793</v>
      </c>
      <c r="T22" s="9" t="n">
        <v>0.0</v>
      </c>
      <c r="U22">
        <f si="1" t="shared"/>
        <v>106499.84550668021</v>
      </c>
    </row>
    <row r="23" spans="1:21" x14ac:dyDescent="0.25">
      <c r="A23" s="12">
        <v>0.41666666666666669</v>
      </c>
      <c r="B23" s="6" t="n">
        <v>60169.4884590513</v>
      </c>
      <c r="C23" s="6" t="n">
        <v>11079.89468208615</v>
      </c>
      <c r="D23" s="6" t="n">
        <v>1189.1364339101121</v>
      </c>
      <c r="E23" s="6" t="n">
        <v>1832.1231493884056</v>
      </c>
      <c r="F23" s="6" t="n">
        <v>2595.324579096209</v>
      </c>
      <c r="G23" s="6" t="n">
        <v>0.07666369640827178</v>
      </c>
      <c r="H23" s="6" t="n">
        <v>0.0</v>
      </c>
      <c r="I23" s="6" t="n">
        <v>22.121807254791253</v>
      </c>
      <c r="J23" s="6">
        <f si="0" t="shared"/>
        <v>76888.165774483394</v>
      </c>
      <c r="L23" s="12">
        <v>0.41666666666666669</v>
      </c>
      <c r="M23" s="9" t="n">
        <v>82777.93362236023</v>
      </c>
      <c r="N23" s="9" t="n">
        <v>12432.980188369751</v>
      </c>
      <c r="O23" s="9" t="n">
        <v>0.0</v>
      </c>
      <c r="P23" s="9" t="n">
        <v>0.0</v>
      </c>
      <c r="Q23" s="9" t="n">
        <v>8192.855562210083</v>
      </c>
      <c r="R23" s="9" t="n">
        <v>100.97875690460205</v>
      </c>
      <c r="S23" s="9" t="n">
        <v>187.86318016052246</v>
      </c>
      <c r="T23" s="9" t="n">
        <v>0.0</v>
      </c>
      <c r="U23">
        <f si="1" t="shared"/>
        <v>84234.816443985022</v>
      </c>
    </row>
    <row r="24" spans="1:21" x14ac:dyDescent="0.25">
      <c r="A24" s="12">
        <v>0.4375</v>
      </c>
      <c r="B24" s="6" t="n">
        <v>43835.74288432257</v>
      </c>
      <c r="C24" s="6" t="n">
        <v>9561.050013457989</v>
      </c>
      <c r="D24" s="6" t="n">
        <v>1016.9070610930364</v>
      </c>
      <c r="E24" s="6" t="n">
        <v>1718.2817034920183</v>
      </c>
      <c r="F24" s="6" t="n">
        <v>2333.872078162716</v>
      </c>
      <c r="G24" s="6" t="n">
        <v>0.4635326385498046</v>
      </c>
      <c r="H24" s="6" t="n">
        <v>0.0</v>
      </c>
      <c r="I24" s="6" t="n">
        <v>22.164943419694897</v>
      </c>
      <c r="J24" s="6">
        <f si="0" t="shared"/>
        <v>58488.48221658657</v>
      </c>
      <c r="L24" s="12">
        <v>0.4375</v>
      </c>
      <c r="M24" s="9" t="n">
        <v>62657.323382377625</v>
      </c>
      <c r="N24" s="9" t="n">
        <v>10719.766090393066</v>
      </c>
      <c r="O24" s="9" t="n">
        <v>0.0</v>
      </c>
      <c r="P24" s="9" t="n">
        <v>0.0</v>
      </c>
      <c r="Q24" s="9" t="n">
        <v>7214.979990005493</v>
      </c>
      <c r="R24" s="9" t="n">
        <v>97.26773357391357</v>
      </c>
      <c r="S24" s="9" t="n">
        <v>139.16630744934082</v>
      </c>
      <c r="T24" s="9" t="n">
        <v>0.0</v>
      </c>
      <c r="U24">
        <f si="1" t="shared"/>
        <v>65541.735620942767</v>
      </c>
    </row>
    <row r="25" spans="1:21" x14ac:dyDescent="0.25">
      <c r="A25" s="12">
        <v>0.45833333333333331</v>
      </c>
      <c r="B25" s="6" t="n">
        <v>32401.66194463618</v>
      </c>
      <c r="C25" s="6" t="n">
        <v>8076.04419733955</v>
      </c>
      <c r="D25" s="6" t="n">
        <v>879.2356389438842</v>
      </c>
      <c r="E25" s="6" t="n">
        <v>1643.6587497902062</v>
      </c>
      <c r="F25" s="6" t="n">
        <v>2250.291963277091</v>
      </c>
      <c r="G25" s="6" t="n">
        <v>1.9969041817188258</v>
      </c>
      <c r="H25" s="6" t="n">
        <v>0.0</v>
      </c>
      <c r="I25" s="6" t="n">
        <v>19.343633174896237</v>
      </c>
      <c r="J25" s="6">
        <f si="0" t="shared"/>
        <v>45272.23303134353</v>
      </c>
      <c r="L25" s="12">
        <v>0.45833333333333331</v>
      </c>
      <c r="M25" s="9" t="n">
        <v>47977.24707508087</v>
      </c>
      <c r="N25" s="9" t="n">
        <v>9469.969836235046</v>
      </c>
      <c r="O25" s="9" t="n">
        <v>0.0</v>
      </c>
      <c r="P25" s="9" t="n">
        <v>0.0</v>
      </c>
      <c r="Q25" s="9" t="n">
        <v>6534.142153739929</v>
      </c>
      <c r="R25" s="9" t="n">
        <v>96.78310012817383</v>
      </c>
      <c r="S25" s="9" t="n">
        <v>104.56109142303467</v>
      </c>
      <c r="T25" s="9" t="n">
        <v>0.0</v>
      </c>
      <c r="U25">
        <f si="1" t="shared"/>
        <v>51884.896557984757</v>
      </c>
    </row>
    <row r="26" spans="1:21" x14ac:dyDescent="0.25">
      <c r="A26" s="12">
        <v>0.47916666666666669</v>
      </c>
      <c r="B26" s="6" t="n">
        <v>25056.185553781896</v>
      </c>
      <c r="C26" s="6" t="n">
        <v>6799.8598780764905</v>
      </c>
      <c r="D26" s="6" t="n">
        <v>781.0913903076282</v>
      </c>
      <c r="E26" s="6" t="n">
        <v>1622.2870746106894</v>
      </c>
      <c r="F26" s="6" t="n">
        <v>2278.3372588978273</v>
      </c>
      <c r="G26" s="6" t="n">
        <v>6.529412753105163</v>
      </c>
      <c r="H26" s="6" t="n">
        <v>0.0</v>
      </c>
      <c r="I26" s="6" t="n">
        <v>14.916614937305448</v>
      </c>
      <c r="J26" s="6">
        <f si="0" t="shared"/>
        <v>36559.207183364953</v>
      </c>
      <c r="L26" s="12">
        <v>0.47916666666666669</v>
      </c>
      <c r="M26" s="9" t="n">
        <v>38123.324935913086</v>
      </c>
      <c r="N26" s="9" t="n">
        <v>8675.244117736816</v>
      </c>
      <c r="O26" s="9" t="n">
        <v>0.0</v>
      </c>
      <c r="P26" s="9" t="n">
        <v>0.0</v>
      </c>
      <c r="Q26" s="9" t="n">
        <v>6144.9875230789185</v>
      </c>
      <c r="R26" s="9" t="n">
        <v>99.4750747680664</v>
      </c>
      <c r="S26" s="9" t="n">
        <v>82.35398483276367</v>
      </c>
      <c r="T26" s="9" t="n">
        <v>0.0</v>
      </c>
      <c r="U26">
        <f si="1" t="shared"/>
        <v>42735.276351286739</v>
      </c>
    </row>
    <row r="27" spans="1:21" x14ac:dyDescent="0.25">
      <c r="A27" s="12">
        <v>0.5</v>
      </c>
      <c r="B27" s="6" t="n">
        <v>20615.98545606914</v>
      </c>
      <c r="C27" s="6" t="n">
        <v>5853.6821564018555</v>
      </c>
      <c r="D27" s="6" t="n">
        <v>711.5354153416853</v>
      </c>
      <c r="E27" s="6" t="n">
        <v>1631.9533605295292</v>
      </c>
      <c r="F27" s="6" t="n">
        <v>2317.429606394862</v>
      </c>
      <c r="G27" s="6" t="n">
        <v>16.866154845356938</v>
      </c>
      <c r="H27" s="6" t="n">
        <v>0.00110231614112854</v>
      </c>
      <c r="I27" s="6" t="n">
        <v>10.255945239067078</v>
      </c>
      <c r="J27" s="6">
        <f si="0" t="shared"/>
        <v>31157.709197137632</v>
      </c>
      <c r="L27" s="12">
        <v>0.5</v>
      </c>
      <c r="M27" s="9" t="n">
        <v>31526.843960762024</v>
      </c>
      <c r="N27" s="9" t="n">
        <v>8166.302414894104</v>
      </c>
      <c r="O27" s="9" t="n">
        <v>0.0</v>
      </c>
      <c r="P27" s="9" t="n">
        <v>0.0</v>
      </c>
      <c r="Q27" s="9" t="n">
        <v>5935.997711181641</v>
      </c>
      <c r="R27" s="9" t="n">
        <v>104.36048603057861</v>
      </c>
      <c r="S27" s="9" t="n">
        <v>68.24912929534912</v>
      </c>
      <c r="T27" s="9" t="n">
        <v>0.0</v>
      </c>
      <c r="U27">
        <f si="1" t="shared"/>
        <v>36604.737280055197</v>
      </c>
    </row>
    <row r="28" spans="1:21" x14ac:dyDescent="0.25">
      <c r="A28" s="12">
        <v>0.52083333333333337</v>
      </c>
      <c r="B28" s="6" t="n">
        <v>17978.202042662975</v>
      </c>
      <c r="C28" s="6" t="n">
        <v>5261.858745187541</v>
      </c>
      <c r="D28" s="6" t="n">
        <v>659.1651271581607</v>
      </c>
      <c r="E28" s="6" t="n">
        <v>1626.4470259321554</v>
      </c>
      <c r="F28" s="6" t="n">
        <v>2262.0331628388485</v>
      </c>
      <c r="G28" s="6" t="n">
        <v>35.40589806890487</v>
      </c>
      <c r="H28" s="6" t="n">
        <v>0.0220463228225708</v>
      </c>
      <c r="I28" s="6" t="n">
        <v>6.2783185837268825</v>
      </c>
      <c r="J28" s="6">
        <f si="0" t="shared"/>
        <v>27829.412366755136</v>
      </c>
      <c r="L28" s="12">
        <v>0.52083333333333337</v>
      </c>
      <c r="M28" s="9" t="n">
        <v>26720.298820495605</v>
      </c>
      <c r="N28" s="9" t="n">
        <v>7766.787933349609</v>
      </c>
      <c r="O28" s="9" t="n">
        <v>0.0</v>
      </c>
      <c r="P28" s="9" t="n">
        <v>0.0</v>
      </c>
      <c r="Q28" s="9" t="n">
        <v>5792.25253200531</v>
      </c>
      <c r="R28" s="9" t="n">
        <v>110.63815879821777</v>
      </c>
      <c r="S28" s="9" t="n">
        <v>58.295592308044434</v>
      </c>
      <c r="T28" s="9" t="n">
        <v>0.0</v>
      </c>
      <c r="U28">
        <f si="1" t="shared"/>
        <v>32096.541906293303</v>
      </c>
    </row>
    <row r="29" spans="1:21" x14ac:dyDescent="0.25">
      <c r="A29" s="12">
        <v>0.54166666666666663</v>
      </c>
      <c r="B29" s="6" t="n">
        <v>16328.106694163931</v>
      </c>
      <c r="C29" s="6" t="n">
        <v>4952.182321395578</v>
      </c>
      <c r="D29" s="6" t="n">
        <v>612.7912205437708</v>
      </c>
      <c r="E29" s="6" t="n">
        <v>1563.1507002803635</v>
      </c>
      <c r="F29" s="6" t="n">
        <v>2047.7604324803433</v>
      </c>
      <c r="G29" s="6" t="n">
        <v>61.75906646311282</v>
      </c>
      <c r="H29" s="6" t="n">
        <v>0.2097925126552582</v>
      </c>
      <c r="I29" s="6" t="n">
        <v>3.3745513666868208</v>
      </c>
      <c r="J29" s="6">
        <f si="0" t="shared"/>
        <v>25569.334779206441</v>
      </c>
      <c r="L29" s="12">
        <v>0.54166666666666663</v>
      </c>
      <c r="M29" s="9" t="n">
        <v>22846.674854278564</v>
      </c>
      <c r="N29" s="9" t="n">
        <v>7388.175946235657</v>
      </c>
      <c r="O29" s="9" t="n">
        <v>0.0</v>
      </c>
      <c r="P29" s="9" t="n">
        <v>0.0</v>
      </c>
      <c r="Q29" s="9" t="n">
        <v>5656.695976257324</v>
      </c>
      <c r="R29" s="9" t="n">
        <v>118.01716136932373</v>
      </c>
      <c r="S29" s="9" t="n">
        <v>50.23722457885742</v>
      </c>
      <c r="T29" s="9" t="n">
        <v>0.0</v>
      </c>
      <c r="U29">
        <f si="1" t="shared"/>
        <v>28417.919635211136</v>
      </c>
    </row>
    <row r="30" spans="1:21" x14ac:dyDescent="0.25">
      <c r="A30" s="12">
        <v>0.5625</v>
      </c>
      <c r="B30" s="6" t="n">
        <v>15149.33803930453</v>
      </c>
      <c r="C30" s="6" t="n">
        <v>4808.077356288043</v>
      </c>
      <c r="D30" s="6" t="n">
        <v>558.7871542119117</v>
      </c>
      <c r="E30" s="6" t="n">
        <v>1428.6314540565018</v>
      </c>
      <c r="F30" s="6" t="n">
        <v>1692.2206868793915</v>
      </c>
      <c r="G30" s="6" t="n">
        <v>91.26823980998992</v>
      </c>
      <c r="H30" s="6" t="n">
        <v>1.263689317703247</v>
      </c>
      <c r="I30" s="6" t="n">
        <v>1.5596341919898984</v>
      </c>
      <c r="J30" s="6">
        <f si="0" t="shared"/>
        <v>23731.146254060055</v>
      </c>
      <c r="L30" s="12">
        <v>0.5625</v>
      </c>
      <c r="M30" s="9" t="n">
        <v>19596.910380363464</v>
      </c>
      <c r="N30" s="9" t="n">
        <v>7025.898656845093</v>
      </c>
      <c r="O30" s="9" t="n">
        <v>0.0</v>
      </c>
      <c r="P30" s="9" t="n">
        <v>0.0</v>
      </c>
      <c r="Q30" s="9" t="n">
        <v>5523.908357620239</v>
      </c>
      <c r="R30" s="9" t="n">
        <v>126.25396728515625</v>
      </c>
      <c r="S30" s="9" t="n">
        <v>43.27656078338623</v>
      </c>
      <c r="T30" s="9" t="n">
        <v>0.0</v>
      </c>
      <c r="U30">
        <f si="1" t="shared"/>
        <v>25306.258861489183</v>
      </c>
    </row>
    <row r="31" spans="1:21" x14ac:dyDescent="0.25">
      <c r="A31" s="12">
        <v>0.58333333333333337</v>
      </c>
      <c r="B31" s="6" t="n">
        <v>14108.736059581106</v>
      </c>
      <c r="C31" s="6" t="n">
        <v>4727.88365765911</v>
      </c>
      <c r="D31" s="6" t="n">
        <v>487.79067987973053</v>
      </c>
      <c r="E31" s="6" t="n">
        <v>1247.1581720819415</v>
      </c>
      <c r="F31" s="6" t="n">
        <v>1289.0544605477621</v>
      </c>
      <c r="G31" s="6" t="n">
        <v>116.40453204464913</v>
      </c>
      <c r="H31" s="6" t="n">
        <v>5.407686413526535</v>
      </c>
      <c r="I31" s="6" t="n">
        <v>0.6521443693637847</v>
      </c>
      <c r="J31" s="6">
        <f si="0" t="shared"/>
        <v>21983.087392577192</v>
      </c>
      <c r="L31" s="12">
        <v>0.58333333333333337</v>
      </c>
      <c r="M31" s="9" t="n">
        <v>16896.754183769226</v>
      </c>
      <c r="N31" s="9" t="n">
        <v>6697.592488288879</v>
      </c>
      <c r="O31" s="9" t="n">
        <v>0.0</v>
      </c>
      <c r="P31" s="9" t="n">
        <v>0.0</v>
      </c>
      <c r="Q31" s="9" t="n">
        <v>5397.580633163452</v>
      </c>
      <c r="R31" s="9" t="n">
        <v>134.6721134185791</v>
      </c>
      <c r="S31" s="9" t="n">
        <v>37.24398899078369</v>
      </c>
      <c r="T31" s="9" t="n">
        <v>0.0</v>
      </c>
      <c r="U31">
        <f si="1" t="shared"/>
        <v>22698.312467292286</v>
      </c>
    </row>
    <row r="32" spans="1:21" x14ac:dyDescent="0.25">
      <c r="A32" s="12">
        <v>0.60416666666666663</v>
      </c>
      <c r="B32" s="6" t="n">
        <v>12954.770878008221</v>
      </c>
      <c r="C32" s="6" t="n">
        <v>4651.247092357275</v>
      </c>
      <c r="D32" s="6" t="n">
        <v>404.7992992321937</v>
      </c>
      <c r="E32" s="6" t="n">
        <v>1068.387961145653</v>
      </c>
      <c r="F32" s="6" t="n">
        <v>950.2687082870968</v>
      </c>
      <c r="G32" s="6" t="n">
        <v>130.4743005847931</v>
      </c>
      <c r="H32" s="6" t="n">
        <v>17.492097710609432</v>
      </c>
      <c r="I32" s="6" t="n">
        <v>0.5322462707757949</v>
      </c>
      <c r="J32" s="6">
        <f si="0" t="shared"/>
        <v>20177.972583596616</v>
      </c>
      <c r="L32" s="12">
        <v>0.60416666666666663</v>
      </c>
      <c r="M32" s="9" t="n">
        <v>14669.938821792603</v>
      </c>
      <c r="N32" s="9" t="n">
        <v>6393.397143363953</v>
      </c>
      <c r="O32" s="9" t="n">
        <v>0.0</v>
      </c>
      <c r="P32" s="9" t="n">
        <v>0.0</v>
      </c>
      <c r="Q32" s="9" t="n">
        <v>5261.405107498169</v>
      </c>
      <c r="R32" s="9" t="n">
        <v>142.230975151062</v>
      </c>
      <c r="S32" s="9" t="n">
        <v>32.01992416381836</v>
      </c>
      <c r="T32" s="9" t="n">
        <v>0.0</v>
      </c>
      <c r="U32">
        <f si="1" t="shared"/>
        <v>20494.046128883299</v>
      </c>
    </row>
    <row r="33" spans="1:21" x14ac:dyDescent="0.25">
      <c r="A33" s="12">
        <v>0.625</v>
      </c>
      <c r="B33" s="6" t="n">
        <v>11527.05972274497</v>
      </c>
      <c r="C33" s="6" t="n">
        <v>4550.180883970157</v>
      </c>
      <c r="D33" s="6" t="n">
        <v>328.16280895444993</v>
      </c>
      <c r="E33" s="6" t="n">
        <v>942.0170039076809</v>
      </c>
      <c r="F33" s="6" t="n">
        <v>741.4245932895813</v>
      </c>
      <c r="G33" s="6" t="n">
        <v>130.71902811670304</v>
      </c>
      <c r="H33" s="6" t="n">
        <v>44.43337372899054</v>
      </c>
      <c r="I33" s="6" t="n">
        <v>1.5333131512403486</v>
      </c>
      <c r="J33" s="6">
        <f si="0" t="shared"/>
        <v>18265.530727863774</v>
      </c>
      <c r="L33" s="12">
        <v>0.625</v>
      </c>
      <c r="M33" s="9" t="n">
        <v>12791.165147781372</v>
      </c>
      <c r="N33" s="9" t="n">
        <v>6074.823072433472</v>
      </c>
      <c r="O33" s="9" t="n">
        <v>0.0</v>
      </c>
      <c r="P33" s="9" t="n">
        <v>0.0</v>
      </c>
      <c r="Q33" s="9" t="n">
        <v>5085.737112998962</v>
      </c>
      <c r="R33" s="9" t="n">
        <v>147.9941701889038</v>
      </c>
      <c r="S33" s="9" t="n">
        <v>27.399611473083496</v>
      </c>
      <c r="T33" s="9" t="n">
        <v>0.0</v>
      </c>
      <c r="U33">
        <f si="1" t="shared"/>
        <v>18536.539366606143</v>
      </c>
    </row>
    <row r="34" spans="1:21" x14ac:dyDescent="0.25">
      <c r="A34" s="12">
        <v>0.64583333333333337</v>
      </c>
      <c r="B34" s="6" t="n">
        <v>9824.622173567761</v>
      </c>
      <c r="C34" s="6" t="n">
        <v>4403.161595777667</v>
      </c>
      <c r="D34" s="6" t="n">
        <v>275.4878617222277</v>
      </c>
      <c r="E34" s="6" t="n">
        <v>893.2026269477814</v>
      </c>
      <c r="F34" s="6" t="n">
        <v>655.6820501228867</v>
      </c>
      <c r="G34" s="6" t="n">
        <v>118.96663793563843</v>
      </c>
      <c r="H34" s="6" t="n">
        <v>90.9158675765991</v>
      </c>
      <c r="I34" s="6" t="n">
        <v>4.778272129774093</v>
      </c>
      <c r="J34" s="6">
        <f si="0" t="shared"/>
        <v>16266.817085780334</v>
      </c>
      <c r="L34" s="12">
        <v>0.64583333333333337</v>
      </c>
      <c r="M34" s="9" t="n">
        <v>11148.220371246338</v>
      </c>
      <c r="N34" s="9" t="n">
        <v>5705.744559288025</v>
      </c>
      <c r="O34" s="9" t="n">
        <v>0.0</v>
      </c>
      <c r="P34" s="9" t="n">
        <v>0.0</v>
      </c>
      <c r="Q34" s="9" t="n">
        <v>4852.688776016235</v>
      </c>
      <c r="R34" s="9" t="n">
        <v>151.49503231048584</v>
      </c>
      <c r="S34" s="9" t="n">
        <v>23.184107780456543</v>
      </c>
      <c r="T34" s="9" t="n">
        <v>0.0</v>
      </c>
      <c r="U34">
        <f si="1" t="shared"/>
        <v>16705.185845249394</v>
      </c>
    </row>
    <row r="35" spans="1:21" x14ac:dyDescent="0.25">
      <c r="A35" s="12">
        <v>0.66666666666666663</v>
      </c>
      <c r="B35" s="6" t="n">
        <v>8007.478573490863</v>
      </c>
      <c r="C35" s="6" t="n">
        <v>4174.3290822643285</v>
      </c>
      <c r="D35" s="6" t="n">
        <v>249.52785666374797</v>
      </c>
      <c r="E35" s="6" t="n">
        <v>910.2228543720374</v>
      </c>
      <c r="F35" s="6" t="n">
        <v>634.4486449433583</v>
      </c>
      <c r="G35" s="6" t="n">
        <v>100.9904991953373</v>
      </c>
      <c r="H35" s="6" t="n">
        <v>152.5195650887489</v>
      </c>
      <c r="I35" s="6" t="n">
        <v>11.928838679790495</v>
      </c>
      <c r="J35" s="6">
        <f si="0" t="shared"/>
        <v>14241.445914698212</v>
      </c>
      <c r="L35" s="12">
        <v>0.66666666666666663</v>
      </c>
      <c r="M35" s="9" t="n">
        <v>9689.138363838196</v>
      </c>
      <c r="N35" s="9" t="n">
        <v>5276.333860397339</v>
      </c>
      <c r="O35" s="9" t="n">
        <v>0.0</v>
      </c>
      <c r="P35" s="9" t="n">
        <v>0.0</v>
      </c>
      <c r="Q35" s="9" t="n">
        <v>4568.4024267196655</v>
      </c>
      <c r="R35" s="9" t="n">
        <v>152.7078046798706</v>
      </c>
      <c r="S35" s="9" t="n">
        <v>19.285717964172363</v>
      </c>
      <c r="T35" s="9" t="n">
        <v>0.0</v>
      </c>
      <c r="U35">
        <f si="1" t="shared"/>
        <v>14969.82736489924</v>
      </c>
    </row>
    <row r="36" spans="1:21" x14ac:dyDescent="0.25">
      <c r="A36" s="12">
        <v>0.6875</v>
      </c>
      <c r="B36" s="6" t="n">
        <v>6295.651700133247</v>
      </c>
      <c r="C36" s="6" t="n">
        <v>3818.768161328553</v>
      </c>
      <c r="D36" s="6" t="n">
        <v>236.84213626596846</v>
      </c>
      <c r="E36" s="6" t="n">
        <v>948.7596298385108</v>
      </c>
      <c r="F36" s="6" t="n">
        <v>611.2164136579404</v>
      </c>
      <c r="G36" s="6" t="n">
        <v>86.05349152851105</v>
      </c>
      <c r="H36" s="6" t="n">
        <v>212.46662064552302</v>
      </c>
      <c r="I36" s="6" t="n">
        <v>23.85623379004001</v>
      </c>
      <c r="J36" s="6">
        <f si="0" t="shared"/>
        <v>12233.614387188294</v>
      </c>
      <c r="L36" s="12">
        <v>0.6875</v>
      </c>
      <c r="M36" s="9" t="n">
        <v>8404.397311210632</v>
      </c>
      <c r="N36" s="9" t="n">
        <v>4799.486958503723</v>
      </c>
      <c r="O36" s="9" t="n">
        <v>0.0</v>
      </c>
      <c r="P36" s="9" t="n">
        <v>0.0</v>
      </c>
      <c r="Q36" s="9" t="n">
        <v>4250.4801778793335</v>
      </c>
      <c r="R36" s="9" t="n">
        <v>151.6866626739502</v>
      </c>
      <c r="S36" s="9" t="n">
        <v>15.76015567779541</v>
      </c>
      <c r="T36" s="9" t="n">
        <v>0.0</v>
      </c>
      <c r="U36">
        <f si="1" t="shared"/>
        <v>13352.440532584642</v>
      </c>
    </row>
    <row r="37" spans="1:21" x14ac:dyDescent="0.25">
      <c r="A37" s="12">
        <v>0.70833333333333337</v>
      </c>
      <c r="B37" s="6" t="n">
        <v>4848.97626540547</v>
      </c>
      <c r="C37" s="6" t="n">
        <v>3316.0912925017674</v>
      </c>
      <c r="D37" s="6" t="n">
        <v>219.1609521302464</v>
      </c>
      <c r="E37" s="6" t="n">
        <v>951.5990936665296</v>
      </c>
      <c r="F37" s="6" t="n">
        <v>548.8613537343447</v>
      </c>
      <c r="G37" s="6" t="n">
        <v>85.16102254092694</v>
      </c>
      <c r="H37" s="6" t="n">
        <v>248.05712354040145</v>
      </c>
      <c r="I37" s="6" t="n">
        <v>38.766319760084144</v>
      </c>
      <c r="J37" s="6">
        <f si="0" t="shared"/>
        <v>10256.673423279773</v>
      </c>
      <c r="L37" s="12">
        <v>0.70833333333333337</v>
      </c>
      <c r="M37" s="9" t="n">
        <v>7278.071118354797</v>
      </c>
      <c r="N37" s="9" t="n">
        <v>4291.10435295105</v>
      </c>
      <c r="O37" s="9" t="n">
        <v>0.0</v>
      </c>
      <c r="P37" s="9" t="n">
        <v>0.0</v>
      </c>
      <c r="Q37" s="9" t="n">
        <v>3906.266842842102</v>
      </c>
      <c r="R37" s="9" t="n">
        <v>148.1490879058838</v>
      </c>
      <c r="S37" s="9" t="n">
        <v>12.742834091186523</v>
      </c>
      <c r="T37" s="9" t="n">
        <v>0.0</v>
      </c>
      <c r="U37">
        <f si="1" t="shared"/>
        <v>11853.321928972275</v>
      </c>
    </row>
    <row r="38" spans="1:21" x14ac:dyDescent="0.25">
      <c r="A38" s="12">
        <v>0.72916666666666663</v>
      </c>
      <c r="B38" s="6" t="n">
        <v>3716.5723927209724</v>
      </c>
      <c r="C38" s="6" t="n">
        <v>2702.3945742552996</v>
      </c>
      <c r="D38" s="6" t="n">
        <v>186.48620075213498</v>
      </c>
      <c r="E38" s="6" t="n">
        <v>877.142193180249</v>
      </c>
      <c r="F38" s="6" t="n">
        <v>450.27019228944084</v>
      </c>
      <c r="G38" s="6" t="n">
        <v>105.45503914690018</v>
      </c>
      <c r="H38" s="6" t="n">
        <v>244.34182249069215</v>
      </c>
      <c r="I38" s="6" t="n">
        <v>51.68842634677886</v>
      </c>
      <c r="J38" s="6">
        <f si="0" t="shared"/>
        <v>8334.3508411824678</v>
      </c>
      <c r="L38" s="12">
        <v>0.72916666666666663</v>
      </c>
      <c r="M38" s="9" t="n">
        <v>6264.258031845093</v>
      </c>
      <c r="N38" s="9" t="n">
        <v>3758.3025760650635</v>
      </c>
      <c r="O38" s="9" t="n">
        <v>0.0</v>
      </c>
      <c r="P38" s="9" t="n">
        <v>0.0</v>
      </c>
      <c r="Q38" s="9" t="n">
        <v>3526.032459259033</v>
      </c>
      <c r="R38" s="9" t="n">
        <v>141.38738346099854</v>
      </c>
      <c r="S38" s="9" t="n">
        <v>10.325525283813477</v>
      </c>
      <c r="T38" s="9" t="n">
        <v>0.0</v>
      </c>
      <c r="U38">
        <f si="1" t="shared"/>
        <v>10422.221298751841</v>
      </c>
    </row>
    <row r="39" spans="1:21" x14ac:dyDescent="0.25">
      <c r="A39" s="12">
        <v>0.75</v>
      </c>
      <c r="B39" s="6" t="n">
        <v>2862.749928966068</v>
      </c>
      <c r="C39" s="6" t="n">
        <v>2064.8124504990446</v>
      </c>
      <c r="D39" s="6" t="n">
        <v>141.54515319780376</v>
      </c>
      <c r="E39" s="6" t="n">
        <v>722.231299192717</v>
      </c>
      <c r="F39" s="6" t="n">
        <v>341.41206333487105</v>
      </c>
      <c r="G39" s="6" t="n">
        <v>142.68474257051946</v>
      </c>
      <c r="H39" s="6" t="n">
        <v>203.975248067379</v>
      </c>
      <c r="I39" s="6" t="n">
        <v>56.85726898145675</v>
      </c>
      <c r="J39" s="6">
        <f si="0" t="shared"/>
        <v>6536.268154809859</v>
      </c>
      <c r="L39" s="12">
        <v>0.75</v>
      </c>
      <c r="M39" s="9" t="n">
        <v>5309.060991287231</v>
      </c>
      <c r="N39" s="9" t="n">
        <v>3206.5782222747803</v>
      </c>
      <c r="O39" s="9" t="n">
        <v>0.0</v>
      </c>
      <c r="P39" s="9" t="n">
        <v>0.0</v>
      </c>
      <c r="Q39" s="9" t="n">
        <v>3098.768567085266</v>
      </c>
      <c r="R39" s="9" t="n">
        <v>130.77785396575928</v>
      </c>
      <c r="S39" s="9" t="n">
        <v>8.469834327697754</v>
      </c>
      <c r="T39" s="9" t="n">
        <v>0.0</v>
      </c>
      <c r="U39">
        <f si="1" t="shared"/>
        <v>8998.2716913821041</v>
      </c>
    </row>
    <row r="40" spans="1:21" x14ac:dyDescent="0.25">
      <c r="A40" s="12">
        <v>0.77083333333333337</v>
      </c>
      <c r="B40" s="6" t="n">
        <v>2219.7160939056243</v>
      </c>
      <c r="C40" s="6" t="n">
        <v>1498.4311549112604</v>
      </c>
      <c r="D40" s="6" t="n">
        <v>94.58216573613093</v>
      </c>
      <c r="E40" s="6" t="n">
        <v>523.3446390591477</v>
      </c>
      <c r="F40" s="6" t="n">
        <v>245.7092810111369</v>
      </c>
      <c r="G40" s="6" t="n">
        <v>179.324579908371</v>
      </c>
      <c r="H40" s="6" t="n">
        <v>144.64835068702698</v>
      </c>
      <c r="I40" s="6" t="n">
        <v>51.68842634677886</v>
      </c>
      <c r="J40" s="6">
        <f si="0" t="shared"/>
        <v>4957.4446915654771</v>
      </c>
      <c r="L40" s="12">
        <v>0.77083333333333337</v>
      </c>
      <c r="M40" s="9" t="n">
        <v>4390.853346824646</v>
      </c>
      <c r="N40" s="9" t="n">
        <v>2655.2684383392334</v>
      </c>
      <c r="O40" s="9" t="n">
        <v>0.0</v>
      </c>
      <c r="P40" s="9" t="n">
        <v>0.0</v>
      </c>
      <c r="Q40" s="9" t="n">
        <v>2635.0135288238525</v>
      </c>
      <c r="R40" s="9" t="n">
        <v>116.63875961303711</v>
      </c>
      <c r="S40" s="9" t="n">
        <v>7.026433944702148</v>
      </c>
      <c r="T40" s="9" t="n">
        <v>0.0</v>
      </c>
      <c r="U40">
        <f si="1" t="shared"/>
        <v>7573.8123506108568</v>
      </c>
    </row>
    <row r="41" spans="1:21" x14ac:dyDescent="0.25">
      <c r="A41" s="12">
        <v>0.79166666666666663</v>
      </c>
      <c r="B41" s="6" t="n">
        <v>1726.972585844642</v>
      </c>
      <c r="C41" s="6" t="n">
        <v>1062.0667547887215</v>
      </c>
      <c r="D41" s="6" t="n">
        <v>55.23951423406177</v>
      </c>
      <c r="E41" s="6" t="n">
        <v>334.26892538355014</v>
      </c>
      <c r="F41" s="6" t="n">
        <v>171.18483283622754</v>
      </c>
      <c r="G41" s="6" t="n">
        <v>193.7796856482029</v>
      </c>
      <c r="H41" s="6" t="n">
        <v>87.12337620019913</v>
      </c>
      <c r="I41" s="6" t="n">
        <v>38.76631976008415</v>
      </c>
      <c r="J41" s="6">
        <f si="0" t="shared"/>
        <v>3669.4019946956892</v>
      </c>
      <c r="L41" s="12">
        <v>0.79166666666666663</v>
      </c>
      <c r="M41" s="9" t="n">
        <v>3536.198058128357</v>
      </c>
      <c r="N41" s="9" t="n">
        <v>2141.5796041488647</v>
      </c>
      <c r="O41" s="9" t="n">
        <v>0.0</v>
      </c>
      <c r="P41" s="9" t="n">
        <v>0.0</v>
      </c>
      <c r="Q41" s="9" t="n">
        <v>2173.2545251846313</v>
      </c>
      <c r="R41" s="9" t="n">
        <v>100.64954471588135</v>
      </c>
      <c r="S41" s="9" t="n">
        <v>5.826564788818359</v>
      </c>
      <c r="T41" s="9" t="n">
        <v>0.0</v>
      </c>
      <c r="U41">
        <f si="1" t="shared"/>
        <v>6216.3818426349662</v>
      </c>
    </row>
    <row r="42" spans="1:21" x14ac:dyDescent="0.25">
      <c r="A42" s="12">
        <v>0.8125</v>
      </c>
      <c r="B42" s="6" t="n">
        <v>1348.4179390008107</v>
      </c>
      <c r="C42" s="6" t="n">
        <v>765.6001131468092</v>
      </c>
      <c r="D42" s="6" t="n">
        <v>27.95454651145278</v>
      </c>
      <c r="E42" s="6" t="n">
        <v>196.87819756812</v>
      </c>
      <c r="F42" s="6" t="n">
        <v>114.77256311557932</v>
      </c>
      <c r="G42" s="6" t="n">
        <v>175.26888586521147</v>
      </c>
      <c r="H42" s="6" t="n">
        <v>44.411911033630375</v>
      </c>
      <c r="I42" s="6" t="n">
        <v>23.856196775436402</v>
      </c>
      <c r="J42" s="6">
        <f si="0" t="shared"/>
        <v>2697.1603530170505</v>
      </c>
      <c r="L42" s="12">
        <v>0.8125</v>
      </c>
      <c r="M42" s="9" t="n">
        <v>2795.1570892333984</v>
      </c>
      <c r="N42" s="9" t="n">
        <v>1704.9489097595215</v>
      </c>
      <c r="O42" s="9" t="n">
        <v>0.0</v>
      </c>
      <c r="P42" s="9" t="n">
        <v>0.0</v>
      </c>
      <c r="Q42" s="9" t="n">
        <v>1761.5565338134766</v>
      </c>
      <c r="R42" s="9" t="n">
        <v>85.24202156066895</v>
      </c>
      <c r="S42" s="9" t="n">
        <v>4.758383750915527</v>
      </c>
      <c r="T42" s="9" t="n">
        <v>0.0</v>
      </c>
      <c r="U42">
        <f si="1" t="shared"/>
        <v>5024.4199635339337</v>
      </c>
    </row>
    <row r="43" spans="1:21" x14ac:dyDescent="0.25">
      <c r="A43" s="12">
        <v>0.83333333333333337</v>
      </c>
      <c r="B43" s="6" t="n">
        <v>1070.9368619471597</v>
      </c>
      <c r="C43" s="6" t="n">
        <v>586.457335318945</v>
      </c>
      <c r="D43" s="6" t="n">
        <v>12.083571618211643</v>
      </c>
      <c r="E43" s="6" t="n">
        <v>124.51297165418416</v>
      </c>
      <c r="F43" s="6" t="n">
        <v>71.98187137387633</v>
      </c>
      <c r="G43" s="6" t="n">
        <v>131.273872546792</v>
      </c>
      <c r="H43" s="6" t="n">
        <v>19.00152249455452</v>
      </c>
      <c r="I43" s="6" t="n">
        <v>11.9280983877182</v>
      </c>
      <c r="J43" s="6">
        <f si="0" t="shared"/>
        <v>2028.1761053414416</v>
      </c>
      <c r="L43" s="12">
        <v>0.83333333333333337</v>
      </c>
      <c r="M43" s="9" t="n">
        <v>2199.4063472747803</v>
      </c>
      <c r="N43" s="9" t="n">
        <v>1364.076008796692</v>
      </c>
      <c r="O43" s="9" t="n">
        <v>0.0</v>
      </c>
      <c r="P43" s="9" t="n">
        <v>0.0</v>
      </c>
      <c r="Q43" s="9" t="n">
        <v>1429.635690689087</v>
      </c>
      <c r="R43" s="9" t="n">
        <v>72.31836605072021</v>
      </c>
      <c r="S43" s="9" t="n">
        <v>3.781905174255371</v>
      </c>
      <c r="T43" s="9" t="n">
        <v>0.0</v>
      </c>
      <c r="U43">
        <f si="1" t="shared"/>
        <v>4056.1750696218619</v>
      </c>
    </row>
    <row r="44" spans="1:21" x14ac:dyDescent="0.25">
      <c r="A44" s="12">
        <v>0.85416666666666663</v>
      </c>
      <c r="B44" s="6" t="n">
        <v>888.2622383850486</v>
      </c>
      <c r="C44" s="6" t="n">
        <v>489.6611834202789</v>
      </c>
      <c r="D44" s="6" t="n">
        <v>4.363276183182329</v>
      </c>
      <c r="E44" s="6" t="n">
        <v>103.75301249147954</v>
      </c>
      <c r="F44" s="6" t="n">
        <v>40.979073916144</v>
      </c>
      <c r="G44" s="6" t="n">
        <v>80.75836999654769</v>
      </c>
      <c r="H44" s="6" t="n">
        <v>6.720960717201233</v>
      </c>
      <c r="I44" s="6" t="n">
        <v>4.771239355087279</v>
      </c>
      <c r="J44" s="6">
        <f si="0" t="shared"/>
        <v>1619.2693544649696</v>
      </c>
      <c r="L44" s="12">
        <v>0.85416666666666663</v>
      </c>
      <c r="M44" s="9" t="n">
        <v>1740.2160272598267</v>
      </c>
      <c r="N44" s="9" t="n">
        <v>1107.398856163025</v>
      </c>
      <c r="O44" s="9" t="n">
        <v>0.0</v>
      </c>
      <c r="P44" s="9" t="n">
        <v>0.0</v>
      </c>
      <c r="Q44" s="9" t="n">
        <v>1175.088092803955</v>
      </c>
      <c r="R44" s="9" t="n">
        <v>62.33505153656006</v>
      </c>
      <c r="S44" s="9" t="n">
        <v>2.9002304077148438</v>
      </c>
      <c r="T44" s="9" t="n">
        <v>0.0</v>
      </c>
      <c r="U44">
        <f si="1" t="shared"/>
        <v>3295.1243335125487</v>
      </c>
    </row>
    <row r="45" spans="1:21" x14ac:dyDescent="0.25">
      <c r="A45" s="12">
        <v>0.875</v>
      </c>
      <c r="B45" s="6" t="n">
        <v>780.1983113387569</v>
      </c>
      <c r="C45" s="6" t="n">
        <v>436.7563300507356</v>
      </c>
      <c r="D45" s="6" t="n">
        <v>1.2747445856908273</v>
      </c>
      <c r="E45" s="6" t="n">
        <v>107.51115680622604</v>
      </c>
      <c r="F45" s="6" t="n">
        <v>20.883713107826573</v>
      </c>
      <c r="G45" s="6" t="n">
        <v>40.37682684409618</v>
      </c>
      <c r="H45" s="6" t="n">
        <v>1.9170401656627656</v>
      </c>
      <c r="I45" s="6" t="n">
        <v>1.491012298464775</v>
      </c>
      <c r="J45" s="6">
        <f si="0" t="shared"/>
        <v>1390.4091351974596</v>
      </c>
      <c r="L45" s="12">
        <v>0.875</v>
      </c>
      <c r="M45" s="9" t="n">
        <v>1380.3087224960327</v>
      </c>
      <c r="N45" s="9" t="n">
        <v>904.9459495544434</v>
      </c>
      <c r="O45" s="9" t="n">
        <v>0.0</v>
      </c>
      <c r="P45" s="9" t="n">
        <v>0.0</v>
      </c>
      <c r="Q45" s="9" t="n">
        <v>972.9708395004272</v>
      </c>
      <c r="R45" s="9" t="n">
        <v>54.432814598083496</v>
      </c>
      <c r="S45" s="9" t="n">
        <v>2.126645088195801</v>
      </c>
      <c r="T45" s="9" t="n">
        <v>0.0</v>
      </c>
      <c r="U45">
        <f si="1" t="shared"/>
        <v>2675.807133853375</v>
      </c>
    </row>
    <row r="46" spans="1:21" x14ac:dyDescent="0.25">
      <c r="A46" s="12">
        <v>0.89583333333333337</v>
      </c>
      <c r="B46" s="6" t="n">
        <v>705.7261213841093</v>
      </c>
      <c r="C46" s="6" t="n">
        <v>391.12870657262636</v>
      </c>
      <c r="D46" s="6" t="n">
        <v>0.28796994983770086</v>
      </c>
      <c r="E46" s="6" t="n">
        <v>110.1876647723598</v>
      </c>
      <c r="F46" s="6" t="n">
        <v>9.63881383215356</v>
      </c>
      <c r="G46" s="6" t="n">
        <v>16.15062593078613</v>
      </c>
      <c r="H46" s="6" t="n">
        <v>0.4238345813751221</v>
      </c>
      <c r="I46" s="6" t="n">
        <v>0.35082642316818236</v>
      </c>
      <c r="J46" s="6">
        <f si="0" t="shared"/>
        <v>1233.8945634464162</v>
      </c>
      <c r="L46" s="12">
        <v>0.89583333333333337</v>
      </c>
      <c r="M46" s="9" t="n">
        <v>1081.7750778198242</v>
      </c>
      <c r="N46" s="9" t="n">
        <v>729.5175838470459</v>
      </c>
      <c r="O46" s="9" t="n">
        <v>0.0</v>
      </c>
      <c r="P46" s="9" t="n">
        <v>0.0</v>
      </c>
      <c r="Q46" s="9" t="n">
        <v>796.8853750228882</v>
      </c>
      <c r="R46" s="9" t="n">
        <v>47.32540988922119</v>
      </c>
      <c r="S46" s="9" t="n">
        <v>1.4706058502197266</v>
      </c>
      <c r="T46" s="9" t="n">
        <v>0.0</v>
      </c>
      <c r="U46">
        <f si="1" t="shared"/>
        <v>2136.7002318679879</v>
      </c>
    </row>
    <row r="47" spans="1:21" x14ac:dyDescent="0.25">
      <c r="A47" s="12">
        <v>0.91666666666666663</v>
      </c>
      <c r="B47" s="6" t="n">
        <v>619.9732809151632</v>
      </c>
      <c r="C47" s="6" t="n">
        <v>328.68431233536705</v>
      </c>
      <c r="D47" s="6" t="n">
        <v>0.046969022013606074</v>
      </c>
      <c r="E47" s="6" t="n">
        <v>98.44375326650452</v>
      </c>
      <c r="F47" s="6" t="n">
        <v>4.186738821471504</v>
      </c>
      <c r="G47" s="6" t="n">
        <v>5.047070603370667</v>
      </c>
      <c r="H47" s="6" t="n">
        <v>0.06806702589988708</v>
      </c>
      <c r="I47" s="6" t="n">
        <v>0.05847107052803039</v>
      </c>
      <c r="J47" s="6">
        <f si="0" t="shared"/>
        <v>1056.5086630603182</v>
      </c>
      <c r="L47" s="12">
        <v>0.91666666666666663</v>
      </c>
      <c r="M47" s="9" t="n">
        <v>824.0271463394165</v>
      </c>
      <c r="N47" s="9" t="n">
        <v>569.214033126831</v>
      </c>
      <c r="O47" s="9" t="n">
        <v>0.0</v>
      </c>
      <c r="P47" s="9" t="n">
        <v>0.0</v>
      </c>
      <c r="Q47" s="9" t="n">
        <v>633.3212985992432</v>
      </c>
      <c r="R47" s="9" t="n">
        <v>40.127007484436035</v>
      </c>
      <c r="S47" s="9" t="n">
        <v>0.9396743774414062</v>
      </c>
      <c r="T47" s="9" t="n">
        <v>0.0</v>
      </c>
      <c r="U47">
        <f si="1" t="shared"/>
        <v>1651.6640131034969</v>
      </c>
    </row>
    <row r="48" spans="1:21" x14ac:dyDescent="0.25">
      <c r="A48" s="12">
        <v>0.9375</v>
      </c>
      <c r="B48" s="6" t="n">
        <v>500.8913605018904</v>
      </c>
      <c r="C48" s="6" t="n">
        <v>247.02077482883377</v>
      </c>
      <c r="D48" s="6" t="n">
        <v>0.004902110013027192</v>
      </c>
      <c r="E48" s="6" t="n">
        <v>73.54255074580692</v>
      </c>
      <c r="F48" s="6" t="n">
        <v>1.7884837537892149</v>
      </c>
      <c r="G48" s="6" t="n">
        <v>1.1875460243225098</v>
      </c>
      <c r="H48" s="6" t="n">
        <v>0.007048916816711425</v>
      </c>
      <c r="I48" s="6" t="n">
        <v>0.006154849529266356</v>
      </c>
      <c r="J48" s="6">
        <f si="0" t="shared"/>
        <v>824.44882173100189</v>
      </c>
      <c r="L48" s="12">
        <v>0.9375</v>
      </c>
      <c r="M48" s="9" t="n">
        <v>602.7913618087769</v>
      </c>
      <c r="N48" s="9" t="n">
        <v>425.10803508758545</v>
      </c>
      <c r="O48" s="9" t="n">
        <v>0.0</v>
      </c>
      <c r="P48" s="9" t="n">
        <v>0.0</v>
      </c>
      <c r="Q48" s="9" t="n">
        <v>481.919469833374</v>
      </c>
      <c r="R48" s="9" t="n">
        <v>32.60977649688721</v>
      </c>
      <c r="S48" s="9" t="n">
        <v>0.5408563613891602</v>
      </c>
      <c r="T48" s="9" t="n">
        <v>0.0</v>
      </c>
      <c r="U48">
        <f si="1" t="shared"/>
        <v>1224.1585020925565</v>
      </c>
    </row>
    <row r="49" spans="1:21" x14ac:dyDescent="0.25">
      <c r="A49" s="12">
        <v>0.95833333333333337</v>
      </c>
      <c r="B49" s="6" t="n">
        <v>359.6644067919937</v>
      </c>
      <c r="C49" s="6" t="n">
        <v>161.5197058489486</v>
      </c>
      <c r="D49" s="6" t="n">
        <v>2.451055006513596E-4</v>
      </c>
      <c r="E49" s="6" t="n">
        <v>45.220925434039415</v>
      </c>
      <c r="F49" s="6" t="n">
        <v>0.7548674759405423</v>
      </c>
      <c r="G49" s="6" t="n">
        <v>0.19792433738708495</v>
      </c>
      <c r="H49" s="6" t="n">
        <v>3.524458408355713E-4</v>
      </c>
      <c r="I49" s="6" t="n">
        <v>3.0774247646331787E-4</v>
      </c>
      <c r="J49" s="6">
        <f si="0" t="shared"/>
        <v>567.35873518212725</v>
      </c>
      <c r="L49" s="12">
        <v>0.95833333333333337</v>
      </c>
      <c r="M49" s="9" t="n">
        <v>419.75695610046387</v>
      </c>
      <c r="N49" s="9" t="n">
        <v>301.9489755630493</v>
      </c>
      <c r="O49" s="9" t="n">
        <v>0.0</v>
      </c>
      <c r="P49" s="9" t="n">
        <v>0.0</v>
      </c>
      <c r="Q49" s="9" t="n">
        <v>347.81172943115234</v>
      </c>
      <c r="R49" s="9" t="n">
        <v>25.017406463623047</v>
      </c>
      <c r="S49" s="9" t="n">
        <v>0.27277278900146484</v>
      </c>
      <c r="T49" s="9" t="n">
        <v>0.0</v>
      </c>
      <c r="U49">
        <f si="1" t="shared"/>
        <v>864.67395500133125</v>
      </c>
    </row>
    <row r="50" spans="1:21" x14ac:dyDescent="0.25">
      <c r="A50" s="12">
        <v>0.97916666666666663</v>
      </c>
      <c r="B50" s="6" t="n">
        <v>225.83938023036214</v>
      </c>
      <c r="C50" s="6" t="n">
        <v>90.54467631447096</v>
      </c>
      <c r="D50" s="6" t="n">
        <v>0.0</v>
      </c>
      <c r="E50" s="6" t="n">
        <v>22.6075244028748</v>
      </c>
      <c r="F50" s="6" t="n">
        <v>0.2992900713369179</v>
      </c>
      <c r="G50" s="6" t="n">
        <v>0.020834140777587887</v>
      </c>
      <c r="H50" s="6" t="n">
        <v>0.0</v>
      </c>
      <c r="I50" s="6" t="n">
        <v>0.0</v>
      </c>
      <c r="J50" s="6">
        <f si="0" t="shared"/>
        <v>339.31170515982245</v>
      </c>
      <c r="L50" s="12">
        <v>0.97916666666666663</v>
      </c>
      <c r="M50" s="9" t="n">
        <v>275.2365369796753</v>
      </c>
      <c r="N50" s="9" t="n">
        <v>202.11499404907227</v>
      </c>
      <c r="O50" s="9" t="n">
        <v>0.0</v>
      </c>
      <c r="P50" s="9" t="n">
        <v>0.0</v>
      </c>
      <c r="Q50" s="9" t="n">
        <v>235.40986728668213</v>
      </c>
      <c r="R50" s="9" t="n">
        <v>17.816317558288574</v>
      </c>
      <c r="S50" s="9" t="n">
        <v>0.11719131469726562</v>
      </c>
      <c r="T50" s="9" t="n">
        <v>0.0</v>
      </c>
      <c r="U50">
        <f si="1" t="shared"/>
        <v>576.71730740194926</v>
      </c>
    </row>
    <row r="51" spans="1:21" x14ac:dyDescent="0.25">
      <c r="A51" s="12">
        <v>1</v>
      </c>
      <c r="B51" s="6" t="n">
        <v>123.47313463502245</v>
      </c>
      <c r="C51" s="6" t="n">
        <v>43.12707607744094</v>
      </c>
      <c r="D51" s="6" t="n">
        <v>0.0</v>
      </c>
      <c r="E51" s="6" t="n">
        <v>9.042891727226074</v>
      </c>
      <c r="F51" s="6" t="n">
        <v>0.10388753871165181</v>
      </c>
      <c r="G51" s="6" t="n">
        <v>0.0010417070388793945</v>
      </c>
      <c r="H51" s="6" t="n">
        <v>0.0</v>
      </c>
      <c r="I51" s="6" t="n">
        <v>0.0</v>
      </c>
      <c r="J51" s="6">
        <f si="0" t="shared"/>
        <v>175.74803168544</v>
      </c>
      <c r="L51" s="12">
        <v>1</v>
      </c>
      <c r="M51" s="9" t="n">
        <v>167.068190574646</v>
      </c>
      <c r="N51" s="9" t="n">
        <v>125.33969783782959</v>
      </c>
      <c r="O51" s="9" t="n">
        <v>0.0</v>
      </c>
      <c r="P51" s="9" t="n">
        <v>0.0</v>
      </c>
      <c r="Q51" s="9" t="n">
        <v>146.87504196166992</v>
      </c>
      <c r="R51" s="9" t="n">
        <v>11.541820526123047</v>
      </c>
      <c r="S51" s="9" t="n">
        <v>0.041649818420410156</v>
      </c>
      <c r="T51" s="9" t="n">
        <v>0.0</v>
      </c>
      <c r="U51">
        <f si="1" t="shared"/>
        <v>357.0916840549861</v>
      </c>
    </row>
    <row r="52" spans="1:21" x14ac:dyDescent="0.25">
      <c r="A52" s="12">
        <v>1.0208333333333333</v>
      </c>
      <c r="B52" s="6" t="n">
        <v>58.94261596499806</v>
      </c>
      <c r="C52" s="6" t="n">
        <v>17.307258167548014</v>
      </c>
      <c r="D52" s="6" t="n">
        <v>0.0</v>
      </c>
      <c r="E52" s="6" t="n">
        <v>2.825903664758148</v>
      </c>
      <c r="F52" s="6" t="n">
        <v>0.029678893089294438</v>
      </c>
      <c r="G52" s="6" t="n">
        <v>0.0</v>
      </c>
      <c r="H52" s="6" t="n">
        <v>0.0</v>
      </c>
      <c r="I52" s="6" t="n">
        <v>0.0</v>
      </c>
      <c r="J52" s="6">
        <f si="0" t="shared"/>
        <v>79.10545669039351</v>
      </c>
      <c r="L52" s="12">
        <v>1.0208333333333333</v>
      </c>
      <c r="M52" s="9" t="n">
        <v>91.72750759124756</v>
      </c>
      <c r="N52" s="9" t="n">
        <v>70.27455234527588</v>
      </c>
      <c r="O52" s="9" t="n">
        <v>0.0</v>
      </c>
      <c r="P52" s="9" t="n">
        <v>0.0</v>
      </c>
      <c r="Q52" s="9" t="n">
        <v>82.55323505401611</v>
      </c>
      <c r="R52" s="9" t="n">
        <v>6.648064613342285</v>
      </c>
      <c r="S52" s="9" t="n">
        <v>0.0118408203125</v>
      </c>
      <c r="T52" s="9" t="n">
        <v>0.0</v>
      </c>
      <c r="U52">
        <f si="1" t="shared"/>
        <v>200.31356966090547</v>
      </c>
    </row>
    <row r="53" spans="1:21" x14ac:dyDescent="0.25">
      <c r="A53" s="12">
        <v>4.1666666666666664E-2</v>
      </c>
      <c r="B53" s="6" t="n">
        <v>24.698216244266458</v>
      </c>
      <c r="C53" s="6" t="n">
        <v>5.779826379315849</v>
      </c>
      <c r="D53" s="6" t="n">
        <v>0.0</v>
      </c>
      <c r="E53" s="6" t="n">
        <v>0.6649185093548584</v>
      </c>
      <c r="F53" s="6" t="n">
        <v>0.006597329378128052</v>
      </c>
      <c r="G53" s="6" t="n">
        <v>0.0</v>
      </c>
      <c r="H53" s="6" t="n">
        <v>0.0</v>
      </c>
      <c r="I53" s="6" t="n">
        <v>0.0</v>
      </c>
      <c r="J53" s="6">
        <f si="0" t="shared"/>
        <v>31.149558462315294</v>
      </c>
      <c r="L53" s="12">
        <v>4.1666666666666664E-2</v>
      </c>
      <c r="M53" s="9" t="n">
        <v>44.35467529296875</v>
      </c>
      <c r="N53" s="9" t="n">
        <v>34.63844966888428</v>
      </c>
      <c r="O53" s="9" t="n">
        <v>0.0</v>
      </c>
      <c r="P53" s="9" t="n">
        <v>0.0</v>
      </c>
      <c r="Q53" s="9" t="n">
        <v>40.7193603515625</v>
      </c>
      <c r="R53" s="9" t="n">
        <v>3.324462890625</v>
      </c>
      <c r="S53" s="9" t="n">
        <v>0.0025777816772460938</v>
      </c>
      <c r="T53" s="9" t="n">
        <v>0.0</v>
      </c>
      <c r="U53">
        <f si="1" t="shared"/>
        <v>98.971981879286062</v>
      </c>
    </row>
    <row r="54" spans="1:21" x14ac:dyDescent="0.25">
      <c r="A54" s="12">
        <v>6.25E-2</v>
      </c>
      <c r="B54" s="6" t="n">
        <v>9.094017916029163</v>
      </c>
      <c r="C54" s="6" t="n">
        <v>1.5722803288214922</v>
      </c>
      <c r="D54" s="6" t="n">
        <v>0.0</v>
      </c>
      <c r="E54" s="6" t="n">
        <v>0.11081975155914306</v>
      </c>
      <c r="F54" s="6" t="n">
        <v>0.0010640144348144532</v>
      </c>
      <c r="G54" s="6" t="n">
        <v>0.0</v>
      </c>
      <c r="H54" s="6" t="n">
        <v>0.0</v>
      </c>
      <c r="I54" s="6" t="n">
        <v>0.0</v>
      </c>
      <c r="J54" s="6">
        <f si="0" t="shared"/>
        <v>10.778182010844612</v>
      </c>
      <c r="L54" s="12">
        <v>6.25E-2</v>
      </c>
      <c r="M54" s="9" t="n">
        <v>18.36634922027588</v>
      </c>
      <c r="N54" s="9" t="n">
        <v>14.583035469055176</v>
      </c>
      <c r="O54" s="9" t="n">
        <v>0.0</v>
      </c>
      <c r="P54" s="9" t="n">
        <v>0.0</v>
      </c>
      <c r="Q54" s="9" t="n">
        <v>17.14769744873047</v>
      </c>
      <c r="R54" s="9" t="n">
        <v>1.408395767211914</v>
      </c>
      <c r="S54" s="9" t="n">
        <v>4.024505615234375E-4</v>
      </c>
      <c r="T54" s="9" t="n">
        <v>0.0</v>
      </c>
      <c r="U54">
        <f si="1" t="shared"/>
        <v>41.831216788210135</v>
      </c>
    </row>
    <row r="55" spans="1:21" x14ac:dyDescent="0.25">
      <c r="A55" s="12">
        <v>8.3333333333333329E-2</v>
      </c>
      <c r="B55" s="6" t="n">
        <v>2.9088536835031125</v>
      </c>
      <c r="C55" s="6" t="n">
        <v>0.33572885857147405</v>
      </c>
      <c r="D55" s="6" t="n">
        <v>0.0</v>
      </c>
      <c r="E55" s="6" t="n">
        <v>0.011665237006225586</v>
      </c>
      <c r="F55" s="6" t="n">
        <v>1.1043548583984375E-4</v>
      </c>
      <c r="G55" s="6" t="n">
        <v>0.0</v>
      </c>
      <c r="H55" s="6" t="n">
        <v>0.0</v>
      </c>
      <c r="I55" s="6" t="n">
        <v>0.0</v>
      </c>
      <c r="J55" s="6">
        <f si="0" t="shared"/>
        <v>3.2563582145666516</v>
      </c>
      <c r="L55" s="12">
        <v>8.3333333333333329E-2</v>
      </c>
      <c r="M55" s="9" t="n">
        <v>6.32234001159668</v>
      </c>
      <c r="N55" s="9" t="n">
        <v>5.090108871459961</v>
      </c>
      <c r="O55" s="9" t="n">
        <v>0.0</v>
      </c>
      <c r="P55" s="9" t="n">
        <v>0.0</v>
      </c>
      <c r="Q55" s="9" t="n">
        <v>5.988372802734375</v>
      </c>
      <c r="R55" s="9" t="n">
        <v>0.49230289459228516</v>
      </c>
      <c r="S55" s="9" t="n">
        <v>4.00543212890625E-5</v>
      </c>
      <c r="T55" s="9" t="n">
        <v>0.0</v>
      </c>
      <c r="U55">
        <f si="1" t="shared"/>
        <v>14.673681418656678</v>
      </c>
    </row>
    <row r="56" spans="1:21" x14ac:dyDescent="0.25">
      <c r="A56" s="12">
        <v>0.10416666666666667</v>
      </c>
      <c r="B56" s="6" t="n">
        <v>0.7839241481734591</v>
      </c>
      <c r="C56" s="6" t="n">
        <v>0.052768869426832204</v>
      </c>
      <c r="D56" s="6" t="n">
        <v>0.0</v>
      </c>
      <c r="E56" s="6" t="n">
        <v>5.832618503112792E-4</v>
      </c>
      <c r="F56" s="6" t="n">
        <v>5.5217742919921875E-6</v>
      </c>
      <c r="G56" s="6" t="n">
        <v>0.0</v>
      </c>
      <c r="H56" s="6" t="n">
        <v>0.0</v>
      </c>
      <c r="I56" s="6" t="n">
        <v>0.0</v>
      </c>
      <c r="J56" s="6">
        <f si="0" t="shared"/>
        <v>0.83728180122489471</v>
      </c>
      <c r="L56" s="12">
        <v>0.10416666666666667</v>
      </c>
      <c r="M56" s="9" t="n">
        <v>1.7486238479614258</v>
      </c>
      <c r="N56" s="9" t="n">
        <v>1.4238862991333008</v>
      </c>
      <c r="O56" s="9" t="n">
        <v>0.0</v>
      </c>
      <c r="P56" s="9" t="n">
        <v>0.0</v>
      </c>
      <c r="Q56" s="9" t="n">
        <v>1.676833152770996</v>
      </c>
      <c r="R56" s="9" t="n">
        <v>0.13756179809570312</v>
      </c>
      <c r="S56" s="9" t="n">
        <v>1.9073486328125E-6</v>
      </c>
      <c r="T56" s="9" t="n">
        <v>0.0</v>
      </c>
      <c r="U56">
        <f si="1" t="shared"/>
        <v>4.1278740806013614</v>
      </c>
    </row>
    <row r="57" spans="1:21" x14ac:dyDescent="0.25">
      <c r="A57" s="12">
        <v>0.125</v>
      </c>
      <c r="B57" s="6" t="n">
        <v>0.16627033276807784</v>
      </c>
      <c r="C57" s="6" t="n">
        <v>0.005412773512897491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0.17168310628097533</v>
      </c>
      <c r="L57" s="12">
        <v>0.125</v>
      </c>
      <c r="M57" s="9" t="n">
        <v>0.3664226531982422</v>
      </c>
      <c r="N57" s="9" t="n">
        <v>0.30106544494628906</v>
      </c>
      <c r="O57" s="9" t="n">
        <v>0.0</v>
      </c>
      <c r="P57" s="9" t="n">
        <v>0.0</v>
      </c>
      <c r="Q57" s="9" t="n">
        <v>0.35505104064941406</v>
      </c>
      <c r="R57" s="9" t="n">
        <v>0.029021263122558594</v>
      </c>
      <c r="S57" s="9" t="n">
        <v>0.0</v>
      </c>
      <c r="T57" s="9" t="n">
        <v>0.0</v>
      </c>
      <c r="U57">
        <f si="1" t="shared"/>
        <v>0.87783992096071461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Z58"/>
  <sheetViews>
    <sheetView topLeftCell="E8"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23.0</v>
      </c>
      <c r="R8" s="9" t="n">
        <v>0.0</v>
      </c>
      <c r="S8" s="9" t="n">
        <v>0.0</v>
      </c>
      <c r="T8" s="9" t="n">
        <v>0.0</v>
      </c>
      <c r="U8">
        <f>SUM(M8:T8)</f>
        <v>33.252109217104618</v>
      </c>
      <c r="W8" s="5"/>
      <c r="X8" s="16"/>
      <c r="Y8" s="16"/>
      <c r="Z8" s="5"/>
    </row>
    <row r="9" spans="1:26" x14ac:dyDescent="0.25">
      <c r="A9" s="12">
        <v>0.125</v>
      </c>
      <c r="B9" s="6" t="n">
        <v>2.206849492893219E-4</v>
      </c>
      <c r="C9" s="6" t="n">
        <v>5.215481854779769</v>
      </c>
      <c r="D9" s="6" t="n">
        <v>0.0</v>
      </c>
      <c r="E9" s="6" t="n">
        <v>2.938271424094896</v>
      </c>
      <c r="F9" s="6" t="n">
        <v>6.607984229993165</v>
      </c>
      <c r="G9" s="6" t="n">
        <v>18.83726619517803</v>
      </c>
      <c r="H9" s="6" t="n">
        <v>64.20289115011693</v>
      </c>
      <c r="I9" s="6" t="n">
        <v>7.727649299502373</v>
      </c>
      <c r="J9" s="6">
        <f ref="J9:J58" si="0" t="shared">SUM(B9:I9)</f>
        <v>105.52976483861445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18.782291412353516</v>
      </c>
      <c r="R9" s="9" t="n">
        <v>33.44220542907715</v>
      </c>
      <c r="S9" s="9" t="n">
        <v>50.14879512786865</v>
      </c>
      <c r="T9" s="9" t="n">
        <v>0.0</v>
      </c>
      <c r="U9">
        <f ref="U9:U58" si="1" t="shared">SUM(M9:T9)</f>
        <v>158.41345237207901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0.004988688117864608</v>
      </c>
      <c r="C10" s="6" t="n">
        <v>25.273676314406195</v>
      </c>
      <c r="D10" s="6" t="n">
        <v>0.0</v>
      </c>
      <c r="E10" s="6" t="n">
        <v>16.712373650615753</v>
      </c>
      <c r="F10" s="6" t="n">
        <v>13.217099402298594</v>
      </c>
      <c r="G10" s="6" t="n">
        <v>82.08876186311245</v>
      </c>
      <c r="H10" s="6" t="n">
        <v>193.82637893795967</v>
      </c>
      <c r="I10" s="6" t="n">
        <v>33.16959052658081</v>
      </c>
      <c r="J10" s="6">
        <f si="0" t="shared"/>
        <v>364.29286938309133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23.137362480163574</v>
      </c>
      <c r="R10" s="9" t="n">
        <v>101.139573097229</v>
      </c>
      <c r="S10" s="9" t="n">
        <v>188.89194011688232</v>
      </c>
      <c r="T10" s="9" t="n">
        <v>0.0</v>
      </c>
      <c r="U10">
        <f si="1" t="shared"/>
        <v>414.64091576247546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0.0540751929829378</v>
      </c>
      <c r="C11" s="6" t="n">
        <v>92.16747021746909</v>
      </c>
      <c r="D11" s="6" t="n">
        <v>0.0</v>
      </c>
      <c r="E11" s="6" t="n">
        <v>70.26159248774653</v>
      </c>
      <c r="F11" s="6" t="n">
        <v>24.436316618078457</v>
      </c>
      <c r="G11" s="6" t="n">
        <v>283.4396307502986</v>
      </c>
      <c r="H11" s="6" t="n">
        <v>602.3166194410325</v>
      </c>
      <c r="I11" s="6" t="n">
        <v>112.38307457840442</v>
      </c>
      <c r="J11" s="6">
        <f si="0" t="shared"/>
        <v>1185.0587792860124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54.83537769317627</v>
      </c>
      <c r="R11" s="9" t="n">
        <v>276.8123664855957</v>
      </c>
      <c r="S11" s="9" t="n">
        <v>621.3283376693726</v>
      </c>
      <c r="T11" s="9" t="n">
        <v>0.0</v>
      </c>
      <c r="U11">
        <f si="1" t="shared"/>
        <v>1127.8032489717348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0.37373417681274407</v>
      </c>
      <c r="C12" s="6" t="n">
        <v>266.81334749550615</v>
      </c>
      <c r="D12" s="6" t="n">
        <v>4.466760902166367E-4</v>
      </c>
      <c r="E12" s="6" t="n">
        <v>230.29693137427574</v>
      </c>
      <c r="F12" s="6" t="n">
        <v>55.97476341801372</v>
      </c>
      <c r="G12" s="6" t="n">
        <v>806.3591116720439</v>
      </c>
      <c r="H12" s="6" t="n">
        <v>1853.5763851456645</v>
      </c>
      <c r="I12" s="6" t="n">
        <v>315.01275855684275</v>
      </c>
      <c r="J12" s="6">
        <f si="0" t="shared"/>
        <v>3528.4074785152497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156.4117259979248</v>
      </c>
      <c r="R12" s="9" t="n">
        <v>705.945652961731</v>
      </c>
      <c r="S12" s="9" t="n">
        <v>1798.9031820297241</v>
      </c>
      <c r="T12" s="9" t="n">
        <v>0.0</v>
      </c>
      <c r="U12">
        <f si="1" t="shared"/>
        <v>3011.0534614547887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1.8477810221657514</v>
      </c>
      <c r="C13" s="6" t="n">
        <v>629.9564179053284</v>
      </c>
      <c r="D13" s="6" t="n">
        <v>0.008933521804332732</v>
      </c>
      <c r="E13" s="6" t="n">
        <v>606.5791248384519</v>
      </c>
      <c r="F13" s="6" t="n">
        <v>143.07936154487015</v>
      </c>
      <c r="G13" s="6" t="n">
        <v>1909.076081897855</v>
      </c>
      <c r="H13" s="6" t="n">
        <v>5030.22434512818</v>
      </c>
      <c r="I13" s="6" t="n">
        <v>743.8870796912909</v>
      </c>
      <c r="J13" s="6">
        <f si="0" t="shared"/>
        <v>9064.6591255499461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406.4049596786499</v>
      </c>
      <c r="R13" s="9" t="n">
        <v>1602.5207614898682</v>
      </c>
      <c r="S13" s="9" t="n">
        <v>4494.840982437134</v>
      </c>
      <c r="T13" s="9" t="n">
        <v>0.0</v>
      </c>
      <c r="U13">
        <f si="1" t="shared"/>
        <v>7243.9833765006351</v>
      </c>
    </row>
    <row r="14" spans="1:26" x14ac:dyDescent="0.25">
      <c r="A14" s="12">
        <v>0.22916666666666666</v>
      </c>
      <c r="B14" s="6" t="n">
        <v>6.952474874067224</v>
      </c>
      <c r="C14" s="6" t="n">
        <v>1237.537404861189</v>
      </c>
      <c r="D14" s="6" t="n">
        <v>0.08486845714116098</v>
      </c>
      <c r="E14" s="6" t="n">
        <v>1312.7595036511484</v>
      </c>
      <c r="F14" s="6" t="n">
        <v>344.3076122367273</v>
      </c>
      <c r="G14" s="6" t="n">
        <v>3788.714466329217</v>
      </c>
      <c r="H14" s="6" t="n">
        <v>11583.983437617902</v>
      </c>
      <c r="I14" s="6" t="n">
        <v>1503.4129547270534</v>
      </c>
      <c r="J14" s="6">
        <f si="0" t="shared"/>
        <v>19777.752722754445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914.7100114822388</v>
      </c>
      <c r="R14" s="9" t="n">
        <v>3168.55916595459</v>
      </c>
      <c r="S14" s="9" t="n">
        <v>9664.54070186615</v>
      </c>
      <c r="T14" s="9" t="n">
        <v>0.0</v>
      </c>
      <c r="U14">
        <f si="1" t="shared"/>
        <v>15210.909438210569</v>
      </c>
    </row>
    <row r="15" spans="1:26" x14ac:dyDescent="0.25">
      <c r="A15" s="12">
        <v>0.25</v>
      </c>
      <c r="B15" s="6" t="n">
        <v>20.687817341335016</v>
      </c>
      <c r="C15" s="6" t="n">
        <v>2056.0417550637</v>
      </c>
      <c r="D15" s="6" t="n">
        <v>0.5092107428469659</v>
      </c>
      <c r="E15" s="6" t="n">
        <v>2376.6089889027676</v>
      </c>
      <c r="F15" s="6" t="n">
        <v>725.9615433596749</v>
      </c>
      <c r="G15" s="6" t="n">
        <v>6340.717605050086</v>
      </c>
      <c r="H15" s="6" t="n">
        <v>22588.87824173272</v>
      </c>
      <c r="I15" s="6" t="n">
        <v>2639.9880187361236</v>
      </c>
      <c r="J15" s="6">
        <f si="0" t="shared"/>
        <v>36749.393180929255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1784.1060857772827</v>
      </c>
      <c r="R15" s="9" t="n">
        <v>5433.179735183716</v>
      </c>
      <c r="S15" s="9" t="n">
        <v>17966.783387184143</v>
      </c>
      <c r="T15" s="9" t="n">
        <v>0.0</v>
      </c>
      <c r="U15">
        <f si="1" t="shared"/>
        <v>27753.275754332637</v>
      </c>
    </row>
    <row r="16" spans="1:26" x14ac:dyDescent="0.25">
      <c r="A16" s="12">
        <v>0.27083333333333331</v>
      </c>
      <c r="B16" s="6" t="n">
        <v>49.98515824647369</v>
      </c>
      <c r="C16" s="6" t="n">
        <v>2932.924833951948</v>
      </c>
      <c r="D16" s="6" t="n">
        <v>2.1641456570996054</v>
      </c>
      <c r="E16" s="6" t="n">
        <v>3658.116890400351</v>
      </c>
      <c r="F16" s="6" t="n">
        <v>1318.1073788712977</v>
      </c>
      <c r="G16" s="6" t="n">
        <v>8994.090414452425</v>
      </c>
      <c r="H16" s="6" t="n">
        <v>37556.403712404855</v>
      </c>
      <c r="I16" s="6" t="n">
        <v>4086.48940213406</v>
      </c>
      <c r="J16" s="6">
        <f si="0" t="shared"/>
        <v>58598.28193611851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3040.2940492630005</v>
      </c>
      <c r="R16" s="9" t="n">
        <v>8099.088267326355</v>
      </c>
      <c r="S16" s="9" t="n">
        <v>29077.38662624359</v>
      </c>
      <c r="T16" s="9" t="n">
        <v>0.0</v>
      </c>
      <c r="U16">
        <f si="1" t="shared"/>
        <v>44185.915597944091</v>
      </c>
    </row>
    <row r="17" spans="1:21" x14ac:dyDescent="0.25">
      <c r="A17" s="12">
        <v>0.29166666666666669</v>
      </c>
      <c r="B17" s="6" t="n">
        <v>100.07455714335488</v>
      </c>
      <c r="C17" s="6" t="n">
        <v>3650.5473076499225</v>
      </c>
      <c r="D17" s="6" t="n">
        <v>6.925266102718736</v>
      </c>
      <c r="E17" s="6" t="n">
        <v>4869.8174951363735</v>
      </c>
      <c r="F17" s="6" t="n">
        <v>2062.2268488688824</v>
      </c>
      <c r="G17" s="6" t="n">
        <v>10859.2630732464</v>
      </c>
      <c r="H17" s="6" t="n">
        <v>53632.188313322076</v>
      </c>
      <c r="I17" s="6" t="n">
        <v>5646.801478309988</v>
      </c>
      <c r="J17" s="6">
        <f si="0" t="shared"/>
        <v>80827.844339779724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4566.170964241028</v>
      </c>
      <c r="R17" s="9" t="n">
        <v>10543.419507026672</v>
      </c>
      <c r="S17" s="9" t="n">
        <v>41251.84939098358</v>
      </c>
      <c r="T17" s="9" t="n">
        <v>0.0</v>
      </c>
      <c r="U17">
        <f si="1" t="shared"/>
        <v>61771.67590803506</v>
      </c>
    </row>
    <row r="18" spans="1:21" x14ac:dyDescent="0.25">
      <c r="A18" s="12">
        <v>0.3125</v>
      </c>
      <c r="B18" s="6" t="n">
        <v>169.09269774252408</v>
      </c>
      <c r="C18" s="6" t="n">
        <v>4039.216147224306</v>
      </c>
      <c r="D18" s="6" t="n">
        <v>17.31316525679684</v>
      </c>
      <c r="E18" s="6" t="n">
        <v>5722.849162926095</v>
      </c>
      <c r="F18" s="6" t="n">
        <v>2799.9886058692678</v>
      </c>
      <c r="G18" s="6" t="n">
        <v>11201.839975232382</v>
      </c>
      <c r="H18" s="6" t="n">
        <v>66155.97859023703</v>
      </c>
      <c r="I18" s="6" t="n">
        <v>7027.659152278304</v>
      </c>
      <c r="J18" s="6">
        <f si="0" t="shared"/>
        <v>97133.93749676671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6094.835301399231</v>
      </c>
      <c r="R18" s="9" t="n">
        <v>12045.968078613281</v>
      </c>
      <c r="S18" s="9" t="n">
        <v>51635.17781162262</v>
      </c>
      <c r="T18" s="9" t="n">
        <v>0.0</v>
      </c>
      <c r="U18">
        <f si="1" t="shared"/>
        <v>76321.437884541272</v>
      </c>
    </row>
    <row r="19" spans="1:21" x14ac:dyDescent="0.25">
      <c r="A19" s="12">
        <v>0.33333333333333331</v>
      </c>
      <c r="B19" s="6" t="n">
        <v>246.09683073646974</v>
      </c>
      <c r="C19" s="6" t="n">
        <v>4057.454749120635</v>
      </c>
      <c r="D19" s="6" t="n">
        <v>34.62633051359368</v>
      </c>
      <c r="E19" s="6" t="n">
        <v>6089.542597967734</v>
      </c>
      <c r="F19" s="6" t="n">
        <v>3336.512371132826</v>
      </c>
      <c r="G19" s="6" t="n">
        <v>9910.37364216074</v>
      </c>
      <c r="H19" s="6" t="n">
        <v>70731.28569909514</v>
      </c>
      <c r="I19" s="6" t="n">
        <v>7904.34646487701</v>
      </c>
      <c r="J19" s="6">
        <f si="0" t="shared"/>
        <v>102310.23868560416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7291.621144294739</v>
      </c>
      <c r="R19" s="9" t="n">
        <v>12137.074988365173</v>
      </c>
      <c r="S19" s="9" t="n">
        <v>57378.824701309204</v>
      </c>
      <c r="T19" s="9" t="n">
        <v>0.0</v>
      </c>
      <c r="U19">
        <f si="1" t="shared"/>
        <v>83882.224035712614</v>
      </c>
    </row>
    <row r="20" spans="1:21" x14ac:dyDescent="0.25">
      <c r="A20" s="12">
        <v>0.35416666666666669</v>
      </c>
      <c r="B20" s="6" t="n">
        <v>316.7542421188585</v>
      </c>
      <c r="C20" s="6" t="n">
        <v>3776.1545875545926</v>
      </c>
      <c r="D20" s="6" t="n">
        <v>56.26778708458973</v>
      </c>
      <c r="E20" s="6" t="n">
        <v>6037.091065372115</v>
      </c>
      <c r="F20" s="6" t="n">
        <v>3544.969342927291</v>
      </c>
      <c r="G20" s="6" t="n">
        <v>7561.8529492347125</v>
      </c>
      <c r="H20" s="6" t="n">
        <v>65634.01370961429</v>
      </c>
      <c r="I20" s="6" t="n">
        <v>8015.917720252991</v>
      </c>
      <c r="J20" s="6">
        <f si="0" t="shared"/>
        <v>94943.021404159445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7894.18556022644</v>
      </c>
      <c r="R20" s="9" t="n">
        <v>10835.714361190796</v>
      </c>
      <c r="S20" s="9" t="n">
        <v>56977.843925476074</v>
      </c>
      <c r="T20" s="9" t="n">
        <v>0.0</v>
      </c>
      <c r="U20">
        <f si="1" t="shared"/>
        <v>82587.170943849313</v>
      </c>
    </row>
    <row r="21" spans="1:21" x14ac:dyDescent="0.25">
      <c r="A21" s="12">
        <v>0.375</v>
      </c>
      <c r="B21" s="6" t="n">
        <v>372.85188675991816</v>
      </c>
      <c r="C21" s="6" t="n">
        <v>3304.1691043459227</v>
      </c>
      <c r="D21" s="6" t="n">
        <v>75.0237161127863</v>
      </c>
      <c r="E21" s="6" t="n">
        <v>5714.91357630683</v>
      </c>
      <c r="F21" s="6" t="n">
        <v>3430.70766347</v>
      </c>
      <c r="G21" s="6" t="n">
        <v>5034.984488178106</v>
      </c>
      <c r="H21" s="6" t="n">
        <v>52840.89395738019</v>
      </c>
      <c r="I21" s="6" t="n">
        <v>7280.2205305228235</v>
      </c>
      <c r="J21" s="6">
        <f si="0" t="shared"/>
        <v>78053.764923076582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7828.788956642151</v>
      </c>
      <c r="R21" s="9" t="n">
        <v>8616.224688529968</v>
      </c>
      <c r="S21" s="9" t="n">
        <v>50964.59972381592</v>
      </c>
      <c r="T21" s="9" t="n">
        <v>0.0</v>
      </c>
      <c r="U21">
        <f si="1" t="shared"/>
        <v>73478.875248183409</v>
      </c>
    </row>
    <row r="22" spans="1:21" x14ac:dyDescent="0.25">
      <c r="A22" s="12">
        <v>0.39583333333333331</v>
      </c>
      <c r="B22" s="6" t="n">
        <v>415.0419489654506</v>
      </c>
      <c r="C22" s="6" t="n">
        <v>2740.2629743546922</v>
      </c>
      <c r="D22" s="6" t="n">
        <v>82.52608772406494</v>
      </c>
      <c r="E22" s="6" t="n">
        <v>5227.427718234203</v>
      </c>
      <c r="F22" s="6" t="n">
        <v>3107.117463384984</v>
      </c>
      <c r="G22" s="6" t="n">
        <v>3011.0550543641484</v>
      </c>
      <c r="H22" s="6" t="n">
        <v>36877.88231901193</v>
      </c>
      <c r="I22" s="6" t="n">
        <v>5870.173214841724</v>
      </c>
      <c r="J22" s="6">
        <f si="0" t="shared"/>
        <v>57331.486780881198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7229.846361160278</v>
      </c>
      <c r="R22" s="9" t="n">
        <v>6143.172944068909</v>
      </c>
      <c r="S22" s="9" t="n">
        <v>41509.97106552124</v>
      </c>
      <c r="T22" s="9" t="n">
        <v>0.0</v>
      </c>
      <c r="U22">
        <f si="1" t="shared"/>
        <v>59799.729142740973</v>
      </c>
    </row>
    <row r="23" spans="1:21" x14ac:dyDescent="0.25">
      <c r="A23" s="12">
        <v>0.41666666666666669</v>
      </c>
      <c r="B23" s="6" t="n">
        <v>444.418356706903</v>
      </c>
      <c r="C23" s="6" t="n">
        <v>2175.3466860709977</v>
      </c>
      <c r="D23" s="6" t="n">
        <v>75.02409245512312</v>
      </c>
      <c r="E23" s="6" t="n">
        <v>4615.123492211639</v>
      </c>
      <c r="F23" s="6" t="n">
        <v>2717.779798531166</v>
      </c>
      <c r="G23" s="6" t="n">
        <v>1727.393799886553</v>
      </c>
      <c r="H23" s="6" t="n">
        <v>22353.13047079313</v>
      </c>
      <c r="I23" s="6" t="n">
        <v>4169.341176750064</v>
      </c>
      <c r="J23" s="6">
        <f si="0" t="shared"/>
        <v>38277.557873405574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6356.4694480896</v>
      </c>
      <c r="R23" s="9" t="n">
        <v>3966.5619506835938</v>
      </c>
      <c r="S23" s="9" t="n">
        <v>31265.714484214783</v>
      </c>
      <c r="T23" s="9" t="n">
        <v>0.0</v>
      </c>
      <c r="U23">
        <f si="1" t="shared"/>
        <v>45315.28675596157</v>
      </c>
    </row>
    <row r="24" spans="1:21" x14ac:dyDescent="0.25">
      <c r="A24" s="12">
        <v>0.4375</v>
      </c>
      <c r="B24" s="6" t="n">
        <v>453.2286027450916</v>
      </c>
      <c r="C24" s="6" t="n">
        <v>1696.0482297352423</v>
      </c>
      <c r="D24" s="6" t="n">
        <v>56.275313931326195</v>
      </c>
      <c r="E24" s="6" t="n">
        <v>3923.73674054636</v>
      </c>
      <c r="F24" s="6" t="n">
        <v>2374.0201041885157</v>
      </c>
      <c r="G24" s="6" t="n">
        <v>1056.8993580538813</v>
      </c>
      <c r="H24" s="6" t="n">
        <v>11935.185808068873</v>
      </c>
      <c r="I24" s="6" t="n">
        <v>2601.258539184451</v>
      </c>
      <c r="J24" s="6">
        <f si="0" t="shared"/>
        <v>24096.652696453741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5467.137084007263</v>
      </c>
      <c r="R24" s="9" t="n">
        <v>2356.238829612732</v>
      </c>
      <c r="S24" s="9" t="n">
        <v>22246.688318252563</v>
      </c>
      <c r="T24" s="9" t="n">
        <v>0.0</v>
      </c>
      <c r="U24">
        <f si="1" t="shared"/>
        <v>32787.347021049471</v>
      </c>
    </row>
    <row r="25" spans="1:21" x14ac:dyDescent="0.25">
      <c r="A25" s="12">
        <v>0.45833333333333331</v>
      </c>
      <c r="B25" s="6" t="n">
        <v>428.4283965936273</v>
      </c>
      <c r="C25" s="6" t="n">
        <v>1356.6224803450805</v>
      </c>
      <c r="D25" s="6" t="n">
        <v>34.69783555759014</v>
      </c>
      <c r="E25" s="6" t="n">
        <v>3247.736479188192</v>
      </c>
      <c r="F25" s="6" t="n">
        <v>2135.246852419613</v>
      </c>
      <c r="G25" s="6" t="n">
        <v>736.5065050689243</v>
      </c>
      <c r="H25" s="6" t="n">
        <v>5913.590644654512</v>
      </c>
      <c r="I25" s="6" t="n">
        <v>1442.609686848402</v>
      </c>
      <c r="J25" s="6">
        <f si="0" t="shared"/>
        <v>15295.438880675942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4728.059592247009</v>
      </c>
      <c r="R25" s="9" t="n">
        <v>1319.1356201171875</v>
      </c>
      <c r="S25" s="9" t="n">
        <v>15350.283975601196</v>
      </c>
      <c r="T25" s="9" t="n">
        <v>0.0</v>
      </c>
      <c r="U25">
        <f si="1" t="shared"/>
        <v>23369.294904418621</v>
      </c>
    </row>
    <row r="26" spans="1:21" x14ac:dyDescent="0.25">
      <c r="A26" s="12">
        <v>0.47916666666666669</v>
      </c>
      <c r="B26" s="6" t="n">
        <v>366.139232874788</v>
      </c>
      <c r="C26" s="6" t="n">
        <v>1150.2071724161497</v>
      </c>
      <c r="D26" s="6" t="n">
        <v>17.74219552077559</v>
      </c>
      <c r="E26" s="6" t="n">
        <v>2688.02608286446</v>
      </c>
      <c r="F26" s="6" t="n">
        <v>2010.2404085161497</v>
      </c>
      <c r="G26" s="6" t="n">
        <v>551.3467092912977</v>
      </c>
      <c r="H26" s="6" t="n">
        <v>3097.922297835827</v>
      </c>
      <c r="I26" s="6" t="n">
        <v>748.5016714819669</v>
      </c>
      <c r="J26" s="6">
        <f si="0" t="shared"/>
        <v>10630.125770801415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4192.182636260986</v>
      </c>
      <c r="R26" s="9" t="n">
        <v>719.7079629898071</v>
      </c>
      <c r="S26" s="9" t="n">
        <v>10541.939232826233</v>
      </c>
      <c r="T26" s="9" t="n">
        <v>0.0</v>
      </c>
      <c r="U26">
        <f si="1" t="shared"/>
        <v>16915.518706749746</v>
      </c>
    </row>
    <row r="27" spans="1:21" x14ac:dyDescent="0.25">
      <c r="A27" s="12">
        <v>0.5</v>
      </c>
      <c r="B27" s="6" t="n">
        <v>280.0654908576247</v>
      </c>
      <c r="C27" s="6" t="n">
        <v>1020.2217613529602</v>
      </c>
      <c r="D27" s="6" t="n">
        <v>8.74889776804497</v>
      </c>
      <c r="E27" s="6" t="n">
        <v>2276.7148462026053</v>
      </c>
      <c r="F27" s="6" t="n">
        <v>1960.6526323680037</v>
      </c>
      <c r="G27" s="6" t="n">
        <v>401.2324013437916</v>
      </c>
      <c r="H27" s="6" t="n">
        <v>2013.704252711654</v>
      </c>
      <c r="I27" s="6" t="n">
        <v>414.06455229020116</v>
      </c>
      <c r="J27" s="6">
        <f si="0" t="shared"/>
        <v>8375.4048348948854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3835.3692207336426</v>
      </c>
      <c r="R27" s="9" t="n">
        <v>398.20858573913574</v>
      </c>
      <c r="S27" s="9" t="n">
        <v>7338.0521783828735</v>
      </c>
      <c r="T27" s="9" t="n">
        <v>0.0</v>
      </c>
      <c r="U27">
        <f si="1" t="shared"/>
        <v>12681.627450743517</v>
      </c>
    </row>
    <row r="28" spans="1:21" x14ac:dyDescent="0.25">
      <c r="A28" s="12">
        <v>0.52083333333333337</v>
      </c>
      <c r="B28" s="6" t="n">
        <v>193.53188553671495</v>
      </c>
      <c r="C28" s="6" t="n">
        <v>903.3472250492</v>
      </c>
      <c r="D28" s="6" t="n">
        <v>8.004279277431955</v>
      </c>
      <c r="E28" s="6" t="n">
        <v>1958.637032974156</v>
      </c>
      <c r="F28" s="6" t="n">
        <v>1917.674850115564</v>
      </c>
      <c r="G28" s="6" t="n">
        <v>275.80864874965346</v>
      </c>
      <c r="H28" s="6" t="n">
        <v>1609.8101725263596</v>
      </c>
      <c r="I28" s="6" t="n">
        <v>289.9462806296348</v>
      </c>
      <c r="J28" s="6">
        <f si="0" t="shared"/>
        <v>7156.7603748587153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3610.0906944274902</v>
      </c>
      <c r="R28" s="9" t="n">
        <v>232.88519763946533</v>
      </c>
      <c r="S28" s="9" t="n">
        <v>5214.008937835693</v>
      </c>
      <c r="T28" s="9" t="n">
        <v>0.0</v>
      </c>
      <c r="U28">
        <f si="1" t="shared"/>
        <v>9903.8495233550293</v>
      </c>
    </row>
    <row r="29" spans="1:21" x14ac:dyDescent="0.25">
      <c r="A29" s="12">
        <v>0.54166666666666663</v>
      </c>
      <c r="B29" s="6" t="n">
        <v>124.13890047677819</v>
      </c>
      <c r="C29" s="6" t="n">
        <v>765.0395106165802</v>
      </c>
      <c r="D29" s="6" t="n">
        <v>15.149541205075645</v>
      </c>
      <c r="E29" s="6" t="n">
        <v>1652.3472905955982</v>
      </c>
      <c r="F29" s="6" t="n">
        <v>1821.9878627534372</v>
      </c>
      <c r="G29" s="6" t="n">
        <v>196.85070298013287</v>
      </c>
      <c r="H29" s="6" t="n">
        <v>1378.1855540261272</v>
      </c>
      <c r="I29" s="6" t="n">
        <v>261.3651524566412</v>
      </c>
      <c r="J29" s="6">
        <f si="0" t="shared"/>
        <v>6215.0645151103708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3481.7790956497192</v>
      </c>
      <c r="R29" s="9" t="n">
        <v>150.3732738494873</v>
      </c>
      <c r="S29" s="9" t="n">
        <v>3788.1438493728638</v>
      </c>
      <c r="T29" s="9" t="n">
        <v>0.0</v>
      </c>
      <c r="U29">
        <f si="1" t="shared"/>
        <v>8052.0465859863798</v>
      </c>
    </row>
    <row r="30" spans="1:21" x14ac:dyDescent="0.25">
      <c r="A30" s="12">
        <v>0.5625</v>
      </c>
      <c r="B30" s="6" t="n">
        <v>76.5919369363207</v>
      </c>
      <c r="C30" s="6" t="n">
        <v>607.6696378299628</v>
      </c>
      <c r="D30" s="6" t="n">
        <v>29.597016661724716</v>
      </c>
      <c r="E30" s="6" t="n">
        <v>1327.4773477587985</v>
      </c>
      <c r="F30" s="6" t="n">
        <v>1664.2654241720138</v>
      </c>
      <c r="G30" s="6" t="n">
        <v>174.31011683212597</v>
      </c>
      <c r="H30" s="6" t="n">
        <v>1174.07394754231</v>
      </c>
      <c r="I30" s="6" t="n">
        <v>265.09091368019585</v>
      </c>
      <c r="J30" s="6">
        <f si="0" t="shared"/>
        <v>5319.0763414134517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3435.4700479507446</v>
      </c>
      <c r="R30" s="9" t="n">
        <v>111.91108512878418</v>
      </c>
      <c r="S30" s="9" t="n">
        <v>2828.959282875061</v>
      </c>
      <c r="T30" s="9" t="n">
        <v>0.0</v>
      </c>
      <c r="U30">
        <f si="1" t="shared"/>
        <v>6822.8796392853737</v>
      </c>
    </row>
    <row r="31" spans="1:21" x14ac:dyDescent="0.25">
      <c r="A31" s="12">
        <v>0.58333333333333337</v>
      </c>
      <c r="B31" s="6" t="n">
        <v>47.53454079413328</v>
      </c>
      <c r="C31" s="6" t="n">
        <v>458.42542139358693</v>
      </c>
      <c r="D31" s="6" t="n">
        <v>48.94049759960382</v>
      </c>
      <c r="E31" s="6" t="n">
        <v>1023.4135350552108</v>
      </c>
      <c r="F31" s="6" t="n">
        <v>1489.2197827723714</v>
      </c>
      <c r="G31" s="6" t="n">
        <v>193.78715862127788</v>
      </c>
      <c r="H31" s="6" t="n">
        <v>1002.5214013028146</v>
      </c>
      <c r="I31" s="6" t="n">
        <v>271.5378758759499</v>
      </c>
      <c r="J31" s="6">
        <f si="0" t="shared"/>
        <v>4535.3802134149482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3463.3023023605347</v>
      </c>
      <c r="R31" s="9" t="n">
        <v>97.1448745727539</v>
      </c>
      <c r="S31" s="9" t="n">
        <v>2195.802085876465</v>
      </c>
      <c r="T31" s="9" t="n">
        <v>0.0</v>
      </c>
      <c r="U31">
        <f si="1" t="shared"/>
        <v>6036.0003905547601</v>
      </c>
    </row>
    <row r="32" spans="1:21" x14ac:dyDescent="0.25">
      <c r="A32" s="12">
        <v>0.60416666666666663</v>
      </c>
      <c r="B32" s="6" t="n">
        <v>34.212121965672836</v>
      </c>
      <c r="C32" s="6" t="n">
        <v>348.83377903755036</v>
      </c>
      <c r="D32" s="6" t="n">
        <v>68.39942005772555</v>
      </c>
      <c r="E32" s="6" t="n">
        <v>801.5597750780596</v>
      </c>
      <c r="F32" s="6" t="n">
        <v>1357.4662895193926</v>
      </c>
      <c r="G32" s="6" t="n">
        <v>227.4888426581823</v>
      </c>
      <c r="H32" s="6" t="n">
        <v>883.2728639944793</v>
      </c>
      <c r="I32" s="6" t="n">
        <v>265.1689631580114</v>
      </c>
      <c r="J32" s="6">
        <f si="0" t="shared"/>
        <v>3986.4020554690746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3553.7707166671753</v>
      </c>
      <c r="R32" s="9" t="n">
        <v>94.0136890411377</v>
      </c>
      <c r="S32" s="9" t="n">
        <v>1788.8639860153198</v>
      </c>
      <c r="T32" s="9" t="n">
        <v>0.0</v>
      </c>
      <c r="U32">
        <f si="1" t="shared"/>
        <v>5554.2728570891586</v>
      </c>
    </row>
    <row r="33" spans="1:21" x14ac:dyDescent="0.25">
      <c r="A33" s="12">
        <v>0.625</v>
      </c>
      <c r="B33" s="6" t="n">
        <v>39.088670508950756</v>
      </c>
      <c r="C33" s="6" t="n">
        <v>294.5185148460295</v>
      </c>
      <c r="D33" s="6" t="n">
        <v>83.38852155503656</v>
      </c>
      <c r="E33" s="6" t="n">
        <v>688.8191087242784</v>
      </c>
      <c r="F33" s="6" t="n">
        <v>1301.3657049718672</v>
      </c>
      <c r="G33" s="6" t="n">
        <v>251.14473365442294</v>
      </c>
      <c r="H33" s="6" t="n">
        <v>805.9940187764169</v>
      </c>
      <c r="I33" s="6" t="n">
        <v>237.42355176055432</v>
      </c>
      <c r="J33" s="6">
        <f si="0" t="shared"/>
        <v>3701.7428247975568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3695.789960861206</v>
      </c>
      <c r="R33" s="9" t="n">
        <v>94.64338874816895</v>
      </c>
      <c r="S33" s="9" t="n">
        <v>1528.8687114715576</v>
      </c>
      <c r="T33" s="9" t="n">
        <v>0.0</v>
      </c>
      <c r="U33">
        <f si="1" t="shared"/>
        <v>5263.4280757372662</v>
      </c>
    </row>
    <row r="34" spans="1:21" x14ac:dyDescent="0.25">
      <c r="A34" s="12">
        <v>0.64583333333333337</v>
      </c>
      <c r="B34" s="6" t="n">
        <v>68.97655914480956</v>
      </c>
      <c r="C34" s="6" t="n">
        <v>285.6118267831887</v>
      </c>
      <c r="D34" s="6" t="n">
        <v>92.94901941226404</v>
      </c>
      <c r="E34" s="6" t="n">
        <v>663.739285404969</v>
      </c>
      <c r="F34" s="6" t="n">
        <v>1312.3887318981347</v>
      </c>
      <c r="G34" s="6" t="n">
        <v>253.79193264006767</v>
      </c>
      <c r="H34" s="6" t="n">
        <v>744.3408027094604</v>
      </c>
      <c r="I34" s="6" t="n">
        <v>188.78905595457553</v>
      </c>
      <c r="J34" s="6">
        <f si="0" t="shared"/>
        <v>3610.5872139474691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3890.8825178146362</v>
      </c>
      <c r="R34" s="9" t="n">
        <v>94.32189846038818</v>
      </c>
      <c r="S34" s="9" t="n">
        <v>1355.0353631973267</v>
      </c>
      <c r="T34" s="9" t="n">
        <v>0.0</v>
      </c>
      <c r="U34">
        <f si="1" t="shared"/>
        <v>5084.9849807632409</v>
      </c>
    </row>
    <row r="35" spans="1:21" x14ac:dyDescent="0.25">
      <c r="A35" s="12">
        <v>0.66666666666666663</v>
      </c>
      <c r="B35" s="6" t="n">
        <v>130.27031157724733</v>
      </c>
      <c r="C35" s="6" t="n">
        <v>294.64654660470603</v>
      </c>
      <c r="D35" s="6" t="n">
        <v>99.52899308923173</v>
      </c>
      <c r="E35" s="6" t="n">
        <v>681.4085683005942</v>
      </c>
      <c r="F35" s="6" t="n">
        <v>1358.232011642498</v>
      </c>
      <c r="G35" s="6" t="n">
        <v>236.710678987145</v>
      </c>
      <c r="H35" s="6" t="n">
        <v>683.2355140714645</v>
      </c>
      <c r="I35" s="6" t="n">
        <v>129.84726829230786</v>
      </c>
      <c r="J35" s="6">
        <f si="0" t="shared"/>
        <v>3613.879892565195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4152.742276191711</v>
      </c>
      <c r="R35" s="9" t="n">
        <v>91.00842094421387</v>
      </c>
      <c r="S35" s="9" t="n">
        <v>1225.7861499786377</v>
      </c>
      <c r="T35" s="9" t="n">
        <v>0.0</v>
      </c>
      <c r="U35">
        <f si="1" t="shared"/>
        <v>4981.1067801394183</v>
      </c>
    </row>
    <row r="36" spans="1:21" x14ac:dyDescent="0.25">
      <c r="A36" s="12">
        <v>0.6875</v>
      </c>
      <c r="B36" s="6" t="n">
        <v>221.7634210127891</v>
      </c>
      <c r="C36" s="6" t="n">
        <v>294.9758660618668</v>
      </c>
      <c r="D36" s="6" t="n">
        <v>104.57379351642626</v>
      </c>
      <c r="E36" s="6" t="n">
        <v>701.4684824152494</v>
      </c>
      <c r="F36" s="6" t="n">
        <v>1399.5180839738907</v>
      </c>
      <c r="G36" s="6" t="n">
        <v>206.15111058092117</v>
      </c>
      <c r="H36" s="6" t="n">
        <v>627.1375033283234</v>
      </c>
      <c r="I36" s="6" t="n">
        <v>75.54960353660584</v>
      </c>
      <c r="J36" s="6">
        <f si="0" t="shared"/>
        <v>3631.1378644260726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4481.37627696991</v>
      </c>
      <c r="R36" s="9" t="n">
        <v>84.40337562561035</v>
      </c>
      <c r="S36" s="9" t="n">
        <v>1115.2349128723145</v>
      </c>
      <c r="T36" s="9" t="n">
        <v>0.0</v>
      </c>
      <c r="U36">
        <f si="1" t="shared"/>
        <v>4931.801792833432</v>
      </c>
    </row>
    <row r="37" spans="1:21" x14ac:dyDescent="0.25">
      <c r="A37" s="12">
        <v>0.70833333333333337</v>
      </c>
      <c r="B37" s="6" t="n">
        <v>328.04127531163743</v>
      </c>
      <c r="C37" s="6" t="n">
        <v>274.08760062534475</v>
      </c>
      <c r="D37" s="6" t="n">
        <v>105.20306953943003</v>
      </c>
      <c r="E37" s="6" t="n">
        <v>699.5680094798602</v>
      </c>
      <c r="F37" s="6" t="n">
        <v>1392.8022543712882</v>
      </c>
      <c r="G37" s="6" t="n">
        <v>167.65194721639156</v>
      </c>
      <c r="H37" s="6" t="n">
        <v>586.8534228247404</v>
      </c>
      <c r="I37" s="6" t="n">
        <v>36.42376606941223</v>
      </c>
      <c r="J37" s="6">
        <f si="0" t="shared"/>
        <v>3590.6313454381047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4827.028153419495</v>
      </c>
      <c r="R37" s="9" t="n">
        <v>74.9255313873291</v>
      </c>
      <c r="S37" s="9" t="n">
        <v>1006.8581008911133</v>
      </c>
      <c r="T37" s="9" t="n">
        <v>0.0</v>
      </c>
      <c r="U37">
        <f si="1" t="shared"/>
        <v>4898.8352195224143</v>
      </c>
    </row>
    <row r="38" spans="1:21" x14ac:dyDescent="0.25">
      <c r="A38" s="12">
        <v>0.72916666666666663</v>
      </c>
      <c r="B38" s="6" t="n">
        <v>419.37371602899435</v>
      </c>
      <c r="C38" s="6" t="n">
        <v>233.79520166628052</v>
      </c>
      <c r="D38" s="6" t="n">
        <v>96.58721003937049</v>
      </c>
      <c r="E38" s="6" t="n">
        <v>667.069335172351</v>
      </c>
      <c r="F38" s="6" t="n">
        <v>1297.7131149568177</v>
      </c>
      <c r="G38" s="6" t="n">
        <v>125.54651940917968</v>
      </c>
      <c r="H38" s="6" t="n">
        <v>562.5953470799924</v>
      </c>
      <c r="I38" s="6" t="n">
        <v>14.229017102718352</v>
      </c>
      <c r="J38" s="6">
        <f si="0" t="shared"/>
        <v>3416.9094614557043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5082.15651512146</v>
      </c>
      <c r="R38" s="9" t="n">
        <v>63.20825481414795</v>
      </c>
      <c r="S38" s="9" t="n">
        <v>889.1005840301514</v>
      </c>
      <c r="T38" s="9" t="n">
        <v>0.0</v>
      </c>
      <c r="U38">
        <f si="1" t="shared"/>
        <v>4810.1589183259648</v>
      </c>
    </row>
    <row r="39" spans="1:21" x14ac:dyDescent="0.25">
      <c r="A39" s="12">
        <v>0.75</v>
      </c>
      <c r="B39" s="6" t="n">
        <v>462.90702771430267</v>
      </c>
      <c r="C39" s="6" t="n">
        <v>182.75202046475272</v>
      </c>
      <c r="D39" s="6" t="n">
        <v>77.56400890054837</v>
      </c>
      <c r="E39" s="6" t="n">
        <v>606.4671019705492</v>
      </c>
      <c r="F39" s="6" t="n">
        <v>1100.6633607076337</v>
      </c>
      <c r="G39" s="6" t="n">
        <v>84.70410970330238</v>
      </c>
      <c r="H39" s="6" t="n">
        <v>539.184232833624</v>
      </c>
      <c r="I39" s="6" t="n">
        <v>4.3796567852497095</v>
      </c>
      <c r="J39" s="6">
        <f si="0" t="shared"/>
        <v>3058.621519079963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5127.351127624512</v>
      </c>
      <c r="R39" s="9" t="n">
        <v>50.15817737579346</v>
      </c>
      <c r="S39" s="9" t="n">
        <v>755.873779296875</v>
      </c>
      <c r="T39" s="9" t="n">
        <v>0.0</v>
      </c>
      <c r="U39">
        <f si="1" t="shared"/>
        <v>4586.7026958828155</v>
      </c>
    </row>
    <row r="40" spans="1:21" x14ac:dyDescent="0.25">
      <c r="A40" s="12">
        <v>0.77083333333333337</v>
      </c>
      <c r="B40" s="6" t="n">
        <v>441.42866941994265</v>
      </c>
      <c r="C40" s="6" t="n">
        <v>130.22351483604007</v>
      </c>
      <c r="D40" s="6" t="n">
        <v>52.94351923675183</v>
      </c>
      <c r="E40" s="6" t="n">
        <v>524.3307854923125</v>
      </c>
      <c r="F40" s="6" t="n">
        <v>833.8816713684718</v>
      </c>
      <c r="G40" s="6" t="n">
        <v>50.34244831085205</v>
      </c>
      <c r="H40" s="6" t="n">
        <v>495.46998244643225</v>
      </c>
      <c r="I40" s="6" t="n">
        <v>1.0220418049097062</v>
      </c>
      <c r="J40" s="6">
        <f si="0" t="shared"/>
        <v>2529.642632915713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4907.371581077576</v>
      </c>
      <c r="R40" s="9" t="n">
        <v>37.08123207092285</v>
      </c>
      <c r="S40" s="9" t="n">
        <v>609.9490947723389</v>
      </c>
      <c r="T40" s="9" t="n">
        <v>0.0</v>
      </c>
      <c r="U40">
        <f si="1" t="shared"/>
        <v>4195.1065312268011</v>
      </c>
    </row>
    <row r="41" spans="1:21" x14ac:dyDescent="0.25">
      <c r="A41" s="12">
        <v>0.79166666666666663</v>
      </c>
      <c r="B41" s="6" t="n">
        <v>366.03669885500364</v>
      </c>
      <c r="C41" s="6" t="n">
        <v>83.6804163248615</v>
      </c>
      <c r="D41" s="6" t="n">
        <v>30.124737605945995</v>
      </c>
      <c r="E41" s="6" t="n">
        <v>426.0958553416811</v>
      </c>
      <c r="F41" s="6" t="n">
        <v>561.8935436475193</v>
      </c>
      <c r="G41" s="6" t="n">
        <v>25.823769475817684</v>
      </c>
      <c r="H41" s="6" t="n">
        <v>419.3077339355947</v>
      </c>
      <c r="I41" s="6" t="n">
        <v>0.1919787907600403</v>
      </c>
      <c r="J41" s="6">
        <f si="0" t="shared"/>
        <v>1913.1547339771837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4472.109871864319</v>
      </c>
      <c r="R41" s="9" t="n">
        <v>25.444968223571777</v>
      </c>
      <c r="S41" s="9" t="n">
        <v>463.59859561920166</v>
      </c>
      <c r="T41" s="9" t="n">
        <v>0.0</v>
      </c>
      <c r="U41">
        <f si="1" t="shared"/>
        <v>3678.2102023509005</v>
      </c>
    </row>
    <row r="42" spans="1:21" x14ac:dyDescent="0.25">
      <c r="A42" s="12">
        <v>0.8125</v>
      </c>
      <c r="B42" s="6" t="n">
        <v>270.10121405953265</v>
      </c>
      <c r="C42" s="6" t="n">
        <v>47.86708578638478</v>
      </c>
      <c r="D42" s="6" t="n">
        <v>14.053346845149882</v>
      </c>
      <c r="E42" s="6" t="n">
        <v>317.85871667176355</v>
      </c>
      <c r="F42" s="6" t="n">
        <v>342.6066205350371</v>
      </c>
      <c r="G42" s="6" t="n">
        <v>11.211257547140121</v>
      </c>
      <c r="H42" s="6" t="n">
        <v>317.4658111827374</v>
      </c>
      <c r="I42" s="6" t="n">
        <v>0.2336232054233551</v>
      </c>
      <c r="J42" s="6">
        <f si="0" t="shared"/>
        <v>1321.3976758331689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3938.5738697052</v>
      </c>
      <c r="R42" s="9" t="n">
        <v>16.341254234313965</v>
      </c>
      <c r="S42" s="9" t="n">
        <v>333.0007953643799</v>
      </c>
      <c r="T42" s="9" t="n">
        <v>0.0</v>
      </c>
      <c r="U42">
        <f si="1" t="shared"/>
        <v>3128.1214032846005</v>
      </c>
    </row>
    <row r="43" spans="1:21" x14ac:dyDescent="0.25">
      <c r="A43" s="12">
        <v>0.83333333333333337</v>
      </c>
      <c r="B43" s="6" t="n">
        <v>187.43986804428576</v>
      </c>
      <c r="C43" s="6" t="n">
        <v>24.092838207802338</v>
      </c>
      <c r="D43" s="6" t="n">
        <v>5.275425642805715</v>
      </c>
      <c r="E43" s="6" t="n">
        <v>211.15034287575784</v>
      </c>
      <c r="F43" s="6" t="n">
        <v>198.27988925519963</v>
      </c>
      <c r="G43" s="6" t="n">
        <v>4.030072354316712</v>
      </c>
      <c r="H43" s="6" t="n">
        <v>215.2427794712782</v>
      </c>
      <c r="I43" s="6" t="n">
        <v>1.2959699016809463</v>
      </c>
      <c r="J43" s="6">
        <f si="0" t="shared"/>
        <v>846.8071857531271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3404.497995376587</v>
      </c>
      <c r="R43" s="9" t="n">
        <v>10.075393676757812</v>
      </c>
      <c r="S43" s="9" t="n">
        <v>229.564772605896</v>
      </c>
      <c r="T43" s="9" t="n">
        <v>0.0</v>
      </c>
      <c r="U43">
        <f si="1" t="shared"/>
        <v>2621.0374878606076</v>
      </c>
    </row>
    <row r="44" spans="1:21" x14ac:dyDescent="0.25">
      <c r="A44" s="12">
        <v>0.85416666666666663</v>
      </c>
      <c r="B44" s="6" t="n">
        <v>132.85005458285374</v>
      </c>
      <c r="C44" s="6" t="n">
        <v>10.5696497902308</v>
      </c>
      <c r="D44" s="6" t="n">
        <v>1.5537988533919858</v>
      </c>
      <c r="E44" s="6" t="n">
        <v>121.43584344765947</v>
      </c>
      <c r="F44" s="6" t="n">
        <v>117.22082745435142</v>
      </c>
      <c r="G44" s="6" t="n">
        <v>1.1657676637172698</v>
      </c>
      <c r="H44" s="6" t="n">
        <v>149.5066103413105</v>
      </c>
      <c r="I44" s="6" t="n">
        <v>5.5040946060419085</v>
      </c>
      <c r="J44" s="6">
        <f si="0" t="shared"/>
        <v>539.8066467395571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2892.7062215805054</v>
      </c>
      <c r="R44" s="9" t="n">
        <v>6.200492858886719</v>
      </c>
      <c r="S44" s="9" t="n">
        <v>155.0376672744751</v>
      </c>
      <c r="T44" s="9" t="n">
        <v>0.0</v>
      </c>
      <c r="U44">
        <f si="1" t="shared"/>
        <v>2172.7274651908551</v>
      </c>
    </row>
    <row r="45" spans="1:21" x14ac:dyDescent="0.25">
      <c r="A45" s="12">
        <v>0.875</v>
      </c>
      <c r="B45" s="6" t="n">
        <v>100.35295403796344</v>
      </c>
      <c r="C45" s="6" t="n">
        <v>4.00277364642504</v>
      </c>
      <c r="D45" s="6" t="n">
        <v>0.3458028040912819</v>
      </c>
      <c r="E45" s="6" t="n">
        <v>59.87661079753222</v>
      </c>
      <c r="F45" s="6" t="n">
        <v>74.70559395197267</v>
      </c>
      <c r="G45" s="6" t="n">
        <v>0.2604265022277832</v>
      </c>
      <c r="H45" s="6" t="n">
        <v>162.18780317723753</v>
      </c>
      <c r="I45" s="6" t="n">
        <v>17.61310273933411</v>
      </c>
      <c r="J45" s="6">
        <f si="0" t="shared"/>
        <v>419.34506765678412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2371.589198112488</v>
      </c>
      <c r="R45" s="9" t="n">
        <v>3.9190921783447266</v>
      </c>
      <c r="S45" s="9" t="n">
        <v>103.59870433807373</v>
      </c>
      <c r="T45" s="9" t="n">
        <v>0.0</v>
      </c>
      <c r="U45">
        <f si="1" t="shared"/>
        <v>1752.2070095077397</v>
      </c>
    </row>
    <row r="46" spans="1:21" x14ac:dyDescent="0.25">
      <c r="A46" s="12">
        <v>0.89583333333333337</v>
      </c>
      <c r="B46" s="6" t="n">
        <v>76.51373116539526</v>
      </c>
      <c r="C46" s="6" t="n">
        <v>1.2896922317096486</v>
      </c>
      <c r="D46" s="6" t="n">
        <v>0.054681627488756185</v>
      </c>
      <c r="E46" s="6" t="n">
        <v>27.364005995851443</v>
      </c>
      <c r="F46" s="6" t="n">
        <v>50.71635570428927</v>
      </c>
      <c r="G46" s="6" t="n">
        <v>0.042094305276870726</v>
      </c>
      <c r="H46" s="6" t="n">
        <v>291.4737332911492</v>
      </c>
      <c r="I46" s="6" t="n">
        <v>44.032756848335275</v>
      </c>
      <c r="J46" s="6">
        <f si="0" t="shared"/>
        <v>491.48705116949571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1819.9670486450195</v>
      </c>
      <c r="R46" s="9" t="n">
        <v>2.516084671020508</v>
      </c>
      <c r="S46" s="9" t="n">
        <v>67.64505290985107</v>
      </c>
      <c r="T46" s="9" t="n">
        <v>0.0</v>
      </c>
      <c r="U46">
        <f si="1" t="shared"/>
        <v>1332.2940994430458</v>
      </c>
    </row>
    <row r="47" spans="1:21" x14ac:dyDescent="0.25">
      <c r="A47" s="12">
        <v>0.91666666666666663</v>
      </c>
      <c r="B47" s="6" t="n">
        <v>53.6067496165241</v>
      </c>
      <c r="C47" s="6" t="n">
        <v>0.34469717807336386</v>
      </c>
      <c r="D47" s="6" t="n">
        <v>0.005476281222625733</v>
      </c>
      <c r="E47" s="6" t="n">
        <v>16.36233681777306</v>
      </c>
      <c r="F47" s="6" t="n">
        <v>34.97226996139133</v>
      </c>
      <c r="G47" s="6" t="n">
        <v>0.004371876716613769</v>
      </c>
      <c r="H47" s="6" t="n">
        <v>548.3772723946571</v>
      </c>
      <c r="I47" s="6" t="n">
        <v>88.06551369667055</v>
      </c>
      <c r="J47" s="6">
        <f si="0" t="shared"/>
        <v>741.73868782302873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1268.5096769332886</v>
      </c>
      <c r="R47" s="9" t="n">
        <v>1.5649890899658203</v>
      </c>
      <c r="S47" s="9" t="n">
        <v>41.92248725891113</v>
      </c>
      <c r="T47" s="9" t="n">
        <v>0.0</v>
      </c>
      <c r="U47">
        <f si="1" t="shared"/>
        <v>924.6098696046505</v>
      </c>
    </row>
    <row r="48" spans="1:21" x14ac:dyDescent="0.25">
      <c r="A48" s="12">
        <v>0.9375</v>
      </c>
      <c r="B48" s="6" t="n">
        <v>32.244747898325414</v>
      </c>
      <c r="C48" s="6" t="n">
        <v>0.07321814252403089</v>
      </c>
      <c r="D48" s="6" t="n">
        <v>2.6116189030361175E-4</v>
      </c>
      <c r="E48" s="6" t="n">
        <v>16.84406134000156</v>
      </c>
      <c r="F48" s="6" t="n">
        <v>23.74502328827832</v>
      </c>
      <c r="G48" s="6" t="n">
        <v>2.185938358306885E-4</v>
      </c>
      <c r="H48" s="6" t="n">
        <v>882.615024843216</v>
      </c>
      <c r="I48" s="6" t="n">
        <v>143.10645975708962</v>
      </c>
      <c r="J48" s="6">
        <f si="0" t="shared"/>
        <v>1098.6290150251612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784.3448505401611</v>
      </c>
      <c r="R48" s="9" t="n">
        <v>0.8934087753295898</v>
      </c>
      <c r="S48" s="9" t="n">
        <v>23.94302749633789</v>
      </c>
      <c r="T48" s="9" t="n">
        <v>0.0</v>
      </c>
      <c r="U48">
        <f si="1" t="shared"/>
        <v>570.97929450434901</v>
      </c>
    </row>
    <row r="49" spans="1:21" x14ac:dyDescent="0.25">
      <c r="A49" s="12">
        <v>0.95833333333333337</v>
      </c>
      <c r="B49" s="6" t="n">
        <v>16.016999221046486</v>
      </c>
      <c r="C49" s="6" t="n">
        <v>0.011518518718782426</v>
      </c>
      <c r="D49" s="6" t="n">
        <v>0.0</v>
      </c>
      <c r="E49" s="6" t="n">
        <v>20.546520010692078</v>
      </c>
      <c r="F49" s="6" t="n">
        <v>15.715802910206074</v>
      </c>
      <c r="G49" s="6" t="n">
        <v>0.0</v>
      </c>
      <c r="H49" s="6" t="n">
        <v>1175.2028288246395</v>
      </c>
      <c r="I49" s="6" t="n">
        <v>190.8086130094528</v>
      </c>
      <c r="J49" s="6">
        <f si="0" t="shared"/>
        <v>1418.3022824947557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423.5594024658203</v>
      </c>
      <c r="R49" s="9" t="n">
        <v>0.44817066192626953</v>
      </c>
      <c r="S49" s="9" t="n">
        <v>12.378639221191406</v>
      </c>
      <c r="T49" s="9" t="n">
        <v>0.0</v>
      </c>
      <c r="U49">
        <f si="1" t="shared"/>
        <v>308.63725335188138</v>
      </c>
    </row>
    <row r="50" spans="1:21" x14ac:dyDescent="0.25">
      <c r="A50" s="12">
        <v>0.97916666666666663</v>
      </c>
      <c r="B50" s="6" t="n">
        <v>6.397251487283302</v>
      </c>
      <c r="C50" s="6" t="n">
        <v>0.0011838331342144015</v>
      </c>
      <c r="D50" s="6" t="n">
        <v>0.0</v>
      </c>
      <c r="E50" s="6" t="n">
        <v>22.330237905971902</v>
      </c>
      <c r="F50" s="6" t="n">
        <v>10.022251428365708</v>
      </c>
      <c r="G50" s="6" t="n">
        <v>0.0</v>
      </c>
      <c r="H50" s="6" t="n">
        <v>1292.5003897743227</v>
      </c>
      <c r="I50" s="6" t="n">
        <v>209.88947431039813</v>
      </c>
      <c r="J50" s="6">
        <f si="0" t="shared"/>
        <v>1541.140788739476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198.4184455871582</v>
      </c>
      <c r="R50" s="9" t="n">
        <v>0.1910562515258789</v>
      </c>
      <c r="S50" s="9" t="n">
        <v>5.791455268859863</v>
      </c>
      <c r="T50" s="9" t="n">
        <v>0.0</v>
      </c>
      <c r="U50">
        <f si="1" t="shared"/>
        <v>145.0632535224299</v>
      </c>
    </row>
    <row r="51" spans="1:21" x14ac:dyDescent="0.25">
      <c r="A51" s="12">
        <v>1</v>
      </c>
      <c r="B51" s="6" t="n">
        <v>1.9987255920189144</v>
      </c>
      <c r="C51" s="6" t="n">
        <v>5.919165671072006E-5</v>
      </c>
      <c r="D51" s="6" t="n">
        <v>0.0</v>
      </c>
      <c r="E51" s="6" t="n">
        <v>20.27561060929804</v>
      </c>
      <c r="F51" s="6" t="n">
        <v>5.99294889330864</v>
      </c>
      <c r="G51" s="6" t="n">
        <v>0.0</v>
      </c>
      <c r="H51" s="6" t="n">
        <v>1174.9806510030032</v>
      </c>
      <c r="I51" s="6" t="n">
        <v>190.80861300945287</v>
      </c>
      <c r="J51" s="6">
        <f si="0" t="shared"/>
        <v>1394.0566082987384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81.11709880828857</v>
      </c>
      <c r="R51" s="9" t="n">
        <v>0.06718158721923828</v>
      </c>
      <c r="S51" s="9" t="n">
        <v>2.5018653869628906</v>
      </c>
      <c r="T51" s="9" t="n">
        <v>0.0</v>
      </c>
      <c r="U51">
        <f si="1" t="shared"/>
        <v>59.665805282425886</v>
      </c>
    </row>
    <row r="52" spans="1:21" x14ac:dyDescent="0.25">
      <c r="A52" s="12">
        <v>1.0208333333333333</v>
      </c>
      <c r="B52" s="6" t="n">
        <v>0.4702883745926857</v>
      </c>
      <c r="C52" s="6" t="n">
        <v>0.0</v>
      </c>
      <c r="D52" s="6" t="n">
        <v>0.0</v>
      </c>
      <c r="E52" s="6" t="n">
        <v>15.205633899999562</v>
      </c>
      <c r="F52" s="6" t="n">
        <v>3.2358472406864163</v>
      </c>
      <c r="G52" s="6" t="n">
        <v>0.0</v>
      </c>
      <c r="H52" s="6" t="n">
        <v>881.2346489167214</v>
      </c>
      <c r="I52" s="6" t="n">
        <v>143.10645975708962</v>
      </c>
      <c r="J52" s="6">
        <f si="0" t="shared"/>
        <v>1043.2528781890896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29.677212715148926</v>
      </c>
      <c r="R52" s="9" t="n">
        <v>0.018857955932617188</v>
      </c>
      <c r="S52" s="9" t="n">
        <v>1.0328168869018555</v>
      </c>
      <c r="T52" s="9" t="n">
        <v>0.0</v>
      </c>
      <c r="U52">
        <f si="1" t="shared"/>
        <v>22.007365009532545</v>
      </c>
    </row>
    <row r="53" spans="1:21" x14ac:dyDescent="0.25">
      <c r="A53" s="12">
        <v>4.1666666666666664E-2</v>
      </c>
      <c r="B53" s="6" t="n">
        <v>0.07838139576544761</v>
      </c>
      <c r="C53" s="6" t="n">
        <v>0.0</v>
      </c>
      <c r="D53" s="6" t="n">
        <v>0.0</v>
      </c>
      <c r="E53" s="6" t="n">
        <v>9.3573131692305</v>
      </c>
      <c r="F53" s="6" t="n">
        <v>1.5200758039951323</v>
      </c>
      <c r="G53" s="6" t="n">
        <v>0.0</v>
      </c>
      <c r="H53" s="6" t="n">
        <v>542.2982454872132</v>
      </c>
      <c r="I53" s="6" t="n">
        <v>88.06551369667054</v>
      </c>
      <c r="J53" s="6">
        <f si="0" t="shared"/>
        <v>641.31952955287488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10.141510009765625</v>
      </c>
      <c r="R53" s="9" t="n">
        <v>0.004048347473144531</v>
      </c>
      <c r="S53" s="9" t="n">
        <v>0.41619300842285156</v>
      </c>
      <c r="T53" s="9" t="n">
        <v>0.0</v>
      </c>
      <c r="U53">
        <f si="1" t="shared"/>
        <v>7.5690124003496395</v>
      </c>
    </row>
    <row r="54" spans="1:21" x14ac:dyDescent="0.25">
      <c r="A54" s="12">
        <v>6.25E-2</v>
      </c>
      <c r="B54" s="6" t="n">
        <v>0.00825067323846817</v>
      </c>
      <c r="C54" s="6" t="n">
        <v>0.0</v>
      </c>
      <c r="D54" s="6" t="n">
        <v>0.0</v>
      </c>
      <c r="E54" s="6" t="n">
        <v>4.678656584615251</v>
      </c>
      <c r="F54" s="6" t="n">
        <v>0.6016836786270141</v>
      </c>
      <c r="G54" s="6" t="n">
        <v>0.0</v>
      </c>
      <c r="H54" s="6" t="n">
        <v>271.1491227436066</v>
      </c>
      <c r="I54" s="6" t="n">
        <v>44.03275684833527</v>
      </c>
      <c r="J54" s="6">
        <f si="0" t="shared"/>
        <v>320.4704705284226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3.338224411010742</v>
      </c>
      <c r="R54" s="9" t="n">
        <v>6.227493286132812E-4</v>
      </c>
      <c r="S54" s="9" t="n">
        <v>0.15990638732910156</v>
      </c>
      <c r="T54" s="9" t="n">
        <v>0.0</v>
      </c>
      <c r="U54">
        <f si="1" t="shared"/>
        <v>2.488912572074502</v>
      </c>
    </row>
    <row r="55" spans="1:21" x14ac:dyDescent="0.25">
      <c r="A55" s="12">
        <v>8.3333333333333329E-2</v>
      </c>
      <c r="B55" s="6" t="n">
        <v>4.1253366192340853E-4</v>
      </c>
      <c r="C55" s="6" t="n">
        <v>0.0</v>
      </c>
      <c r="D55" s="6" t="n">
        <v>0.0</v>
      </c>
      <c r="E55" s="6" t="n">
        <v>1.8714626338461</v>
      </c>
      <c r="F55" s="6" t="n">
        <v>0.19495558977127075</v>
      </c>
      <c r="G55" s="6" t="n">
        <v>0.0</v>
      </c>
      <c r="H55" s="6" t="n">
        <v>108.45964909744262</v>
      </c>
      <c r="I55" s="6" t="n">
        <v>17.613102739334106</v>
      </c>
      <c r="J55" s="6">
        <f si="0" t="shared"/>
        <v>128.13958259405601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1.0326404571533203</v>
      </c>
      <c r="R55" s="9" t="n">
        <v>6.103515625E-5</v>
      </c>
      <c r="S55" s="9" t="n">
        <v>0.05501270294189453</v>
      </c>
      <c r="T55" s="9" t="n">
        <v>0.0</v>
      </c>
      <c r="U55">
        <f si="1" t="shared"/>
        <v>0.76215270274469782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0.5847113647026903</v>
      </c>
      <c r="F56" s="6" t="n">
        <v>0.05012370228767395</v>
      </c>
      <c r="G56" s="6" t="n">
        <v>0.0</v>
      </c>
      <c r="H56" s="6" t="n">
        <v>33.886644751548765</v>
      </c>
      <c r="I56" s="6" t="n">
        <v>5.502958570003509</v>
      </c>
      <c r="J56" s="6">
        <f si="0" t="shared"/>
        <v>40.024438388542634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0.2779045104980469</v>
      </c>
      <c r="R56" s="9" t="n">
        <v>2.86102294921875E-6</v>
      </c>
      <c r="S56" s="9" t="n">
        <v>0.015770912170410156</v>
      </c>
      <c r="T56" s="9" t="n">
        <v>0.0</v>
      </c>
      <c r="U56">
        <f si="1" t="shared"/>
        <v>0.20196600805683892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0.1351933791220093</v>
      </c>
      <c r="F57" s="6" t="n">
        <v>0.009699486494064331</v>
      </c>
      <c r="G57" s="6" t="n">
        <v>0.0</v>
      </c>
      <c r="H57" s="6" t="n">
        <v>7.8350623703002915</v>
      </c>
      <c r="I57" s="6" t="n">
        <v>1.2723603630065918</v>
      </c>
      <c r="J57" s="6">
        <f si="0" t="shared"/>
        <v>9.2523155989229569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0.05854320526123047</v>
      </c>
      <c r="R57" s="9" t="n">
        <v>0.0</v>
      </c>
      <c r="S57" s="9" t="n">
        <v>0.0034627914428710938</v>
      </c>
      <c r="T57" s="9" t="n">
        <v>0.0</v>
      </c>
      <c r="U57">
        <f si="1" t="shared"/>
        <v>4.1859371191226347E-2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5077.0</v>
      </c>
      <c r="N8" s="9" t="n">
        <v>875.0</v>
      </c>
      <c r="O8" s="9" t="n">
        <v>348.0</v>
      </c>
      <c r="P8" s="9" t="n">
        <v>851.0</v>
      </c>
      <c r="Q8" s="9" t="n">
        <v>803.0</v>
      </c>
      <c r="R8" s="9" t="n">
        <v>141.0</v>
      </c>
      <c r="S8" s="9" t="n">
        <v>875.0</v>
      </c>
      <c r="T8" s="9" t="n">
        <v>462.0</v>
      </c>
      <c r="U8">
        <f>SUM(M8:T8)</f>
        <v>7952.5489812731857</v>
      </c>
      <c r="W8" s="5"/>
      <c r="X8" s="16"/>
      <c r="Y8" s="16"/>
      <c r="Z8" s="5"/>
    </row>
    <row r="9" spans="1:26" x14ac:dyDescent="0.25">
      <c r="A9" s="12">
        <v>0.125</v>
      </c>
      <c r="B9" s="6" t="n">
        <v>766.0866876684747</v>
      </c>
      <c r="C9" s="6" t="n">
        <v>172.158250418381</v>
      </c>
      <c r="D9" s="6" t="n">
        <v>79.59609796582683</v>
      </c>
      <c r="E9" s="6" t="n">
        <v>321.97951758052955</v>
      </c>
      <c r="F9" s="6" t="n">
        <v>43.8035883086844</v>
      </c>
      <c r="G9" s="6" t="n">
        <v>4.877309799194336E-4</v>
      </c>
      <c r="H9" s="6" t="n">
        <v>222.94884768342973</v>
      </c>
      <c r="I9" s="6" t="n">
        <v>71.2615394706726</v>
      </c>
      <c r="J9" s="6">
        <f ref="J9:J58" si="0" t="shared">SUM(B9:I9)</f>
        <v>1677.8350168269787</v>
      </c>
      <c r="L9" s="12">
        <v>0.125</v>
      </c>
      <c r="M9" s="9" t="n">
        <v>4967.722356796265</v>
      </c>
      <c r="N9" s="9" t="n">
        <v>890.3391942977905</v>
      </c>
      <c r="O9" s="9" t="n">
        <v>610.2958984375</v>
      </c>
      <c r="P9" s="9" t="n">
        <v>967.1376905441284</v>
      </c>
      <c r="Q9" s="9" t="n">
        <v>561.7249546051025</v>
      </c>
      <c r="R9" s="9" t="n">
        <v>114.42616748809814</v>
      </c>
      <c r="S9" s="9" t="n">
        <v>829.7371788024902</v>
      </c>
      <c r="T9" s="9" t="n">
        <v>538.1158742904663</v>
      </c>
      <c r="U9">
        <f ref="U9:U58" si="1" t="shared">SUM(M9:T9)</f>
        <v>8918.0958020170492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1602.0883520287696</v>
      </c>
      <c r="C10" s="6" t="n">
        <v>322.1623445212124</v>
      </c>
      <c r="D10" s="6" t="n">
        <v>186.2050519697929</v>
      </c>
      <c r="E10" s="6" t="n">
        <v>667.6414701295136</v>
      </c>
      <c r="F10" s="6" t="n">
        <v>89.18078893177355</v>
      </c>
      <c r="G10" s="6" t="n">
        <v>0.011217751497606275</v>
      </c>
      <c r="H10" s="6" t="n">
        <v>410.8152789127827</v>
      </c>
      <c r="I10" s="6" t="n">
        <v>148.51731208622456</v>
      </c>
      <c r="J10" s="6">
        <f si="0" t="shared"/>
        <v>3426.6218163315662</v>
      </c>
      <c r="L10" s="12">
        <v>0.14583333333333334</v>
      </c>
      <c r="M10" s="9" t="n">
        <v>4863.250476837158</v>
      </c>
      <c r="N10" s="9" t="n">
        <v>914.4391765594482</v>
      </c>
      <c r="O10" s="9" t="n">
        <v>852.7114334106445</v>
      </c>
      <c r="P10" s="9" t="n">
        <v>1088.7589054107666</v>
      </c>
      <c r="Q10" s="9" t="n">
        <v>363.28600788116455</v>
      </c>
      <c r="R10" s="9" t="n">
        <v>92.16357517242432</v>
      </c>
      <c r="S10" s="9" t="n">
        <v>800.888918876648</v>
      </c>
      <c r="T10" s="9" t="n">
        <v>618.9946117401123</v>
      </c>
      <c r="U10">
        <f si="1" t="shared"/>
        <v>9583.7121753919564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2578.909242163688</v>
      </c>
      <c r="C11" s="6" t="n">
        <v>471.28968838108943</v>
      </c>
      <c r="D11" s="6" t="n">
        <v>360.1401773861351</v>
      </c>
      <c r="E11" s="6" t="n">
        <v>1081.5753075278901</v>
      </c>
      <c r="F11" s="6" t="n">
        <v>136.77925592862374</v>
      </c>
      <c r="G11" s="6" t="n">
        <v>0.12193152416904449</v>
      </c>
      <c r="H11" s="6" t="n">
        <v>531.5682743198872</v>
      </c>
      <c r="I11" s="6" t="n">
        <v>233.89970362353324</v>
      </c>
      <c r="J11" s="6">
        <f si="0" t="shared"/>
        <v>5394.2835808550162</v>
      </c>
      <c r="L11" s="12">
        <v>0.16666666666666666</v>
      </c>
      <c r="M11" s="9" t="n">
        <v>4864.300740242004</v>
      </c>
      <c r="N11" s="9" t="n">
        <v>985.1523542404175</v>
      </c>
      <c r="O11" s="9" t="n">
        <v>1112.6734819412231</v>
      </c>
      <c r="P11" s="9" t="n">
        <v>1268.638638496399</v>
      </c>
      <c r="Q11" s="9" t="n">
        <v>234.3717861175537</v>
      </c>
      <c r="R11" s="9" t="n">
        <v>77.81983184814453</v>
      </c>
      <c r="S11" s="9" t="n">
        <v>820.3865613937378</v>
      </c>
      <c r="T11" s="9" t="n">
        <v>737.7524938583374</v>
      </c>
      <c r="U11">
        <f si="1" t="shared"/>
        <v>10137.6856148723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3777.5783622664812</v>
      </c>
      <c r="C12" s="6" t="n">
        <v>700.5364726648729</v>
      </c>
      <c r="D12" s="6" t="n">
        <v>660.7614418595108</v>
      </c>
      <c r="E12" s="6" t="n">
        <v>1661.4073840060878</v>
      </c>
      <c r="F12" s="6" t="n">
        <v>188.52439447763112</v>
      </c>
      <c r="G12" s="6" t="n">
        <v>0.834175173213253</v>
      </c>
      <c r="H12" s="6" t="n">
        <v>575.9617655388117</v>
      </c>
      <c r="I12" s="6" t="n">
        <v>339.66962238037576</v>
      </c>
      <c r="J12" s="6">
        <f si="0" t="shared"/>
        <v>7905.2736183669849</v>
      </c>
      <c r="L12" s="12">
        <v>0.1875</v>
      </c>
      <c r="M12" s="9" t="n">
        <v>5185.471103668213</v>
      </c>
      <c r="N12" s="9" t="n">
        <v>1181.0683937072754</v>
      </c>
      <c r="O12" s="9" t="n">
        <v>1509.7658491134644</v>
      </c>
      <c r="P12" s="9" t="n">
        <v>1630.1581764221191</v>
      </c>
      <c r="Q12" s="9" t="n">
        <v>181.50413703918457</v>
      </c>
      <c r="R12" s="9" t="n">
        <v>73.9818058013916</v>
      </c>
      <c r="S12" s="9" t="n">
        <v>940.0731763839722</v>
      </c>
      <c r="T12" s="9" t="n">
        <v>970.669095993042</v>
      </c>
      <c r="U12">
        <f si="1" t="shared"/>
        <v>11365.636374665397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5296.249810415318</v>
      </c>
      <c r="C13" s="6" t="n">
        <v>1131.5369534384731</v>
      </c>
      <c r="D13" s="6" t="n">
        <v>1167.2187620484697</v>
      </c>
      <c r="E13" s="6" t="n">
        <v>2598.1769646998982</v>
      </c>
      <c r="F13" s="6" t="n">
        <v>253.1006578115337</v>
      </c>
      <c r="G13" s="6" t="n">
        <v>4.0343628678928</v>
      </c>
      <c r="H13" s="6" t="n">
        <v>584.3279906255008</v>
      </c>
      <c r="I13" s="6" t="n">
        <v>520.9142904980181</v>
      </c>
      <c r="J13" s="6">
        <f si="0" t="shared"/>
        <v>11555.559792405105</v>
      </c>
      <c r="L13" s="12">
        <v>0.20833333333333334</v>
      </c>
      <c r="M13" s="9" t="n">
        <v>6064.4028244018555</v>
      </c>
      <c r="N13" s="9" t="n">
        <v>1607.2142171859741</v>
      </c>
      <c r="O13" s="9" t="n">
        <v>2225.8334379196167</v>
      </c>
      <c r="P13" s="9" t="n">
        <v>2354.0907859802246</v>
      </c>
      <c r="Q13" s="9" t="n">
        <v>199.03762435913086</v>
      </c>
      <c r="R13" s="9" t="n">
        <v>81.93001651763916</v>
      </c>
      <c r="S13" s="9" t="n">
        <v>1218.2186260223389</v>
      </c>
      <c r="T13" s="9" t="n">
        <v>1430.5716876983643</v>
      </c>
      <c r="U13">
        <f si="1" t="shared"/>
        <v>14334.478906962686</v>
      </c>
    </row>
    <row r="14" spans="1:26" x14ac:dyDescent="0.25">
      <c r="A14" s="12">
        <v>0.22916666666666666</v>
      </c>
      <c r="B14" s="6" t="n">
        <v>7228.143525851221</v>
      </c>
      <c r="C14" s="6" t="n">
        <v>1884.1708862077112</v>
      </c>
      <c r="D14" s="6" t="n">
        <v>1984.1891533190405</v>
      </c>
      <c r="E14" s="6" t="n">
        <v>4197.946731938642</v>
      </c>
      <c r="F14" s="6" t="n">
        <v>349.6858883193672</v>
      </c>
      <c r="G14" s="6" t="n">
        <v>14.682833993573315</v>
      </c>
      <c r="H14" s="6" t="n">
        <v>654.4210478166342</v>
      </c>
      <c r="I14" s="6" t="n">
        <v>906.1240065203904</v>
      </c>
      <c r="J14" s="6">
        <f si="0" t="shared"/>
        <v>17219.364073966579</v>
      </c>
      <c r="L14" s="12">
        <v>0.22916666666666666</v>
      </c>
      <c r="M14" s="9" t="n">
        <v>7609.1970682144165</v>
      </c>
      <c r="N14" s="9" t="n">
        <v>2361.4293823242188</v>
      </c>
      <c r="O14" s="9" t="n">
        <v>3453.872362136841</v>
      </c>
      <c r="P14" s="9" t="n">
        <v>3635.0051860809326</v>
      </c>
      <c r="Q14" s="9" t="n">
        <v>279.08166313171387</v>
      </c>
      <c r="R14" s="9" t="n">
        <v>100.93416690826416</v>
      </c>
      <c r="S14" s="9" t="n">
        <v>1692.273959159851</v>
      </c>
      <c r="T14" s="9" t="n">
        <v>2241.0742683410645</v>
      </c>
      <c r="U14">
        <f si="1" t="shared"/>
        <v>19922.071962548376</v>
      </c>
    </row>
    <row r="15" spans="1:26" x14ac:dyDescent="0.25">
      <c r="A15" s="12">
        <v>0.25</v>
      </c>
      <c r="B15" s="6" t="n">
        <v>9595.272269661518</v>
      </c>
      <c r="C15" s="6" t="n">
        <v>3030.454002885279</v>
      </c>
      <c r="D15" s="6" t="n">
        <v>3254.6946102461484</v>
      </c>
      <c r="E15" s="6" t="n">
        <v>6834.957501485102</v>
      </c>
      <c r="F15" s="6" t="n">
        <v>502.2724895238178</v>
      </c>
      <c r="G15" s="6" t="n">
        <v>41.7890683704369</v>
      </c>
      <c r="H15" s="6" t="n">
        <v>915.8131461503505</v>
      </c>
      <c r="I15" s="6" t="n">
        <v>1693.8035764247177</v>
      </c>
      <c r="J15" s="6">
        <f si="0" t="shared"/>
        <v>25869.056664747368</v>
      </c>
      <c r="L15" s="12">
        <v>0.25</v>
      </c>
      <c r="M15" s="9" t="n">
        <v>9689.9033203125</v>
      </c>
      <c r="N15" s="9" t="n">
        <v>3500.0839443206787</v>
      </c>
      <c r="O15" s="9" t="n">
        <v>5342.672716140747</v>
      </c>
      <c r="P15" s="9" t="n">
        <v>5628.251468658447</v>
      </c>
      <c r="Q15" s="9" t="n">
        <v>415.14780616760254</v>
      </c>
      <c r="R15" s="9" t="n">
        <v>127.63876152038574</v>
      </c>
      <c r="S15" s="9" t="n">
        <v>2354.29052734375</v>
      </c>
      <c r="T15" s="9" t="n">
        <v>3503.2226333618164</v>
      </c>
      <c r="U15">
        <f si="1" t="shared"/>
        <v>28497.136707496436</v>
      </c>
    </row>
    <row r="16" spans="1:26" x14ac:dyDescent="0.25">
      <c r="A16" s="12">
        <v>0.27083333333333331</v>
      </c>
      <c r="B16" s="6" t="n">
        <v>12264.910587907389</v>
      </c>
      <c r="C16" s="6" t="n">
        <v>4560.635240849608</v>
      </c>
      <c r="D16" s="6" t="n">
        <v>5161.432064415214</v>
      </c>
      <c r="E16" s="6" t="n">
        <v>10792.949847318037</v>
      </c>
      <c r="F16" s="6" t="n">
        <v>723.0878838144185</v>
      </c>
      <c r="G16" s="6" t="n">
        <v>95.42867488060723</v>
      </c>
      <c r="H16" s="6" t="n">
        <v>1476.2581774004695</v>
      </c>
      <c r="I16" s="6" t="n">
        <v>3091.027357727646</v>
      </c>
      <c r="J16" s="6">
        <f si="0" t="shared"/>
        <v>38165.729834313388</v>
      </c>
      <c r="L16" s="12">
        <v>0.27083333333333331</v>
      </c>
      <c r="M16" s="9" t="n">
        <v>11960.721396446228</v>
      </c>
      <c r="N16" s="9" t="n">
        <v>5019.821620941162</v>
      </c>
      <c r="O16" s="9" t="n">
        <v>7956.893186569214</v>
      </c>
      <c r="P16" s="9" t="n">
        <v>8407.162648200989</v>
      </c>
      <c r="Q16" s="9" t="n">
        <v>599.676947593689</v>
      </c>
      <c r="R16" s="9" t="n">
        <v>156.64085960388184</v>
      </c>
      <c r="S16" s="9" t="n">
        <v>3146.7547483444214</v>
      </c>
      <c r="T16" s="9" t="n">
        <v>5266.868664741516</v>
      </c>
      <c r="U16">
        <f si="1" t="shared"/>
        <v>39862.188517502378</v>
      </c>
    </row>
    <row r="17" spans="1:21" x14ac:dyDescent="0.25">
      <c r="A17" s="12">
        <v>0.29166666666666669</v>
      </c>
      <c r="B17" s="6" t="n">
        <v>14913.784373250663</v>
      </c>
      <c r="C17" s="6" t="n">
        <v>6371.199885938999</v>
      </c>
      <c r="D17" s="6" t="n">
        <v>7883.265074359756</v>
      </c>
      <c r="E17" s="6" t="n">
        <v>16024.501431562592</v>
      </c>
      <c r="F17" s="6" t="n">
        <v>996.193565860231</v>
      </c>
      <c r="G17" s="6" t="n">
        <v>178.09788178068598</v>
      </c>
      <c r="H17" s="6" t="n">
        <v>2357.4344143775697</v>
      </c>
      <c r="I17" s="6" t="n">
        <v>5197.77613864243</v>
      </c>
      <c r="J17" s="6">
        <f si="0" t="shared"/>
        <v>53922.252765772922</v>
      </c>
      <c r="L17" s="12">
        <v>0.29166666666666669</v>
      </c>
      <c r="M17" s="9" t="n">
        <v>14004.005473136902</v>
      </c>
      <c r="N17" s="9" t="n">
        <v>6856.749471664429</v>
      </c>
      <c r="O17" s="9" t="n">
        <v>11252.832825660706</v>
      </c>
      <c r="P17" s="9" t="n">
        <v>11934.083930015564</v>
      </c>
      <c r="Q17" s="9" t="n">
        <v>820.2907247543335</v>
      </c>
      <c r="R17" s="9" t="n">
        <v>182.45750617980957</v>
      </c>
      <c r="S17" s="9" t="n">
        <v>3982.084882736206</v>
      </c>
      <c r="T17" s="9" t="n">
        <v>7510.568571090698</v>
      </c>
      <c r="U17">
        <f si="1" t="shared"/>
        <v>53367.905232752069</v>
      </c>
    </row>
    <row r="18" spans="1:21" x14ac:dyDescent="0.25">
      <c r="A18" s="12">
        <v>0.3125</v>
      </c>
      <c r="B18" s="6" t="n">
        <v>17099.078686117973</v>
      </c>
      <c r="C18" s="6" t="n">
        <v>8279.950555730435</v>
      </c>
      <c r="D18" s="6" t="n">
        <v>11486.897667894165</v>
      </c>
      <c r="E18" s="6" t="n">
        <v>21984.47122443952</v>
      </c>
      <c r="F18" s="6" t="n">
        <v>1277.4813606108542</v>
      </c>
      <c r="G18" s="6" t="n">
        <v>275.7583964705261</v>
      </c>
      <c r="H18" s="6" t="n">
        <v>3449.714600238561</v>
      </c>
      <c r="I18" s="6" t="n">
        <v>7886.098760015606</v>
      </c>
      <c r="J18" s="6">
        <f si="0" t="shared"/>
        <v>71739.451251517632</v>
      </c>
      <c r="L18" s="12">
        <v>0.3125</v>
      </c>
      <c r="M18" s="9" t="n">
        <v>15496.763175010681</v>
      </c>
      <c r="N18" s="9" t="n">
        <v>8891.726903915405</v>
      </c>
      <c r="O18" s="9" t="n">
        <v>15059.272307395935</v>
      </c>
      <c r="P18" s="9" t="n">
        <v>16037.236128807068</v>
      </c>
      <c r="Q18" s="9" t="n">
        <v>1058.2034521102905</v>
      </c>
      <c r="R18" s="9" t="n">
        <v>201.6379795074463</v>
      </c>
      <c r="S18" s="9" t="n">
        <v>4771.129753112793</v>
      </c>
      <c r="T18" s="9" t="n">
        <v>10126.317511558533</v>
      </c>
      <c r="U18">
        <f si="1" t="shared"/>
        <v>68036.440820035496</v>
      </c>
    </row>
    <row r="19" spans="1:21" x14ac:dyDescent="0.25">
      <c r="A19" s="12">
        <v>0.33333333333333331</v>
      </c>
      <c r="B19" s="6" t="n">
        <v>18434.714383709834</v>
      </c>
      <c r="C19" s="6" t="n">
        <v>10068.025035994171</v>
      </c>
      <c r="D19" s="6" t="n">
        <v>15787.244193347688</v>
      </c>
      <c r="E19" s="6" t="n">
        <v>27742.631260339556</v>
      </c>
      <c r="F19" s="6" t="n">
        <v>1516.03809991273</v>
      </c>
      <c r="G19" s="6" t="n">
        <v>360.0157352147763</v>
      </c>
      <c r="H19" s="6" t="n">
        <v>4525.550101212859</v>
      </c>
      <c r="I19" s="6" t="n">
        <v>10761.943898174879</v>
      </c>
      <c r="J19" s="6">
        <f si="0" t="shared"/>
        <v>89196.162707906507</v>
      </c>
      <c r="L19" s="12">
        <v>0.33333333333333331</v>
      </c>
      <c r="M19" s="9" t="n">
        <v>16297.178044319153</v>
      </c>
      <c r="N19" s="9" t="n">
        <v>10954.385995864868</v>
      </c>
      <c r="O19" s="9" t="n">
        <v>19064.652834892273</v>
      </c>
      <c r="P19" s="9" t="n">
        <v>20395.471055030823</v>
      </c>
      <c r="Q19" s="9" t="n">
        <v>1289.1627140045166</v>
      </c>
      <c r="R19" s="9" t="n">
        <v>213.56820678710938</v>
      </c>
      <c r="S19" s="9" t="n">
        <v>5442.288131713867</v>
      </c>
      <c r="T19" s="9" t="n">
        <v>12910.17610836029</v>
      </c>
      <c r="U19">
        <f si="1" t="shared"/>
        <v>82616.28367710553</v>
      </c>
    </row>
    <row r="20" spans="1:21" x14ac:dyDescent="0.25">
      <c r="A20" s="12">
        <v>0.35416666666666669</v>
      </c>
      <c r="B20" s="6" t="n">
        <v>18785.022281449757</v>
      </c>
      <c r="C20" s="6" t="n">
        <v>11538.226042793967</v>
      </c>
      <c r="D20" s="6" t="n">
        <v>20279.255339810625</v>
      </c>
      <c r="E20" s="6" t="n">
        <v>32404.41943058101</v>
      </c>
      <c r="F20" s="6" t="n">
        <v>1684.0663298390011</v>
      </c>
      <c r="G20" s="6" t="n">
        <v>406.5780716090263</v>
      </c>
      <c r="H20" s="6" t="n">
        <v>5329.0199591627115</v>
      </c>
      <c r="I20" s="6" t="n">
        <v>13277.788323826313</v>
      </c>
      <c r="J20" s="6">
        <f si="0" t="shared"/>
        <v>103704.37577907242</v>
      </c>
      <c r="L20" s="12">
        <v>0.35416666666666669</v>
      </c>
      <c r="M20" s="9" t="n">
        <v>16426.97930908203</v>
      </c>
      <c r="N20" s="9" t="n">
        <v>12834.330941200256</v>
      </c>
      <c r="O20" s="9" t="n">
        <v>22835.945348739624</v>
      </c>
      <c r="P20" s="9" t="n">
        <v>24556.367144584656</v>
      </c>
      <c r="Q20" s="9" t="n">
        <v>1486.3140420913696</v>
      </c>
      <c r="R20" s="9" t="n">
        <v>219.73144149780273</v>
      </c>
      <c r="S20" s="9" t="n">
        <v>5945.850473403931</v>
      </c>
      <c r="T20" s="9" t="n">
        <v>15573.456551551819</v>
      </c>
      <c r="U20">
        <f si="1" t="shared"/>
        <v>95644.929557201292</v>
      </c>
    </row>
    <row r="21" spans="1:21" x14ac:dyDescent="0.25">
      <c r="A21" s="12">
        <v>0.375</v>
      </c>
      <c r="B21" s="6" t="n">
        <v>18342.334876314573</v>
      </c>
      <c r="C21" s="6" t="n">
        <v>12567.070391963623</v>
      </c>
      <c r="D21" s="6" t="n">
        <v>24250.471514927125</v>
      </c>
      <c r="E21" s="6" t="n">
        <v>35554.74437241201</v>
      </c>
      <c r="F21" s="6" t="n">
        <v>1794.800233315651</v>
      </c>
      <c r="G21" s="6" t="n">
        <v>417.3703672274779</v>
      </c>
      <c r="H21" s="6" t="n">
        <v>5699.2631812558175</v>
      </c>
      <c r="I21" s="6" t="n">
        <v>14961.882990049719</v>
      </c>
      <c r="J21" s="6">
        <f si="0" t="shared"/>
        <v>113587.937927466</v>
      </c>
      <c r="L21" s="12">
        <v>0.375</v>
      </c>
      <c r="M21" s="9" t="n">
        <v>16004.031191825867</v>
      </c>
      <c r="N21" s="9" t="n">
        <v>14315.635603904724</v>
      </c>
      <c r="O21" s="9" t="n">
        <v>25899.415985107422</v>
      </c>
      <c r="P21" s="9" t="n">
        <v>28018.619987487793</v>
      </c>
      <c r="Q21" s="9" t="n">
        <v>1625.0920495986938</v>
      </c>
      <c r="R21" s="9" t="n">
        <v>222.37067127227783</v>
      </c>
      <c r="S21" s="9" t="n">
        <v>6252.779017448425</v>
      </c>
      <c r="T21" s="9" t="n">
        <v>17793.270023345947</v>
      </c>
      <c r="U21">
        <f si="1" t="shared"/>
        <v>105664.98118688328</v>
      </c>
    </row>
    <row r="22" spans="1:21" x14ac:dyDescent="0.25">
      <c r="A22" s="12">
        <v>0.39583333333333331</v>
      </c>
      <c r="B22" s="6" t="n">
        <v>17513.211296415837</v>
      </c>
      <c r="C22" s="6" t="n">
        <v>13128.645041456211</v>
      </c>
      <c r="D22" s="6" t="n">
        <v>27066.36299385121</v>
      </c>
      <c r="E22" s="6" t="n">
        <v>37344.01542218044</v>
      </c>
      <c r="F22" s="6" t="n">
        <v>1894.3871227729055</v>
      </c>
      <c r="G22" s="6" t="n">
        <v>423.8523723942923</v>
      </c>
      <c r="H22" s="6" t="n">
        <v>5643.783985367895</v>
      </c>
      <c r="I22" s="6" t="n">
        <v>15620.410640140293</v>
      </c>
      <c r="J22" s="6">
        <f si="0" t="shared"/>
        <v>118634.66887457909</v>
      </c>
      <c r="L22" s="12">
        <v>0.39583333333333331</v>
      </c>
      <c r="M22" s="9" t="n">
        <v>15192.005513191223</v>
      </c>
      <c r="N22" s="9" t="n">
        <v>15237.06570148468</v>
      </c>
      <c r="O22" s="9" t="n">
        <v>27878.68283843994</v>
      </c>
      <c r="P22" s="9" t="n">
        <v>30375.772315979004</v>
      </c>
      <c r="Q22" s="9" t="n">
        <v>1689.9942483901978</v>
      </c>
      <c r="R22" s="9" t="n">
        <v>223.5741834640503</v>
      </c>
      <c r="S22" s="9" t="n">
        <v>6358.50675868988</v>
      </c>
      <c r="T22" s="9" t="n">
        <v>19301.80987548828</v>
      </c>
      <c r="U22">
        <f si="1" t="shared"/>
        <v>111630.98204802125</v>
      </c>
    </row>
    <row r="23" spans="1:21" x14ac:dyDescent="0.25">
      <c r="A23" s="12">
        <v>0.41666666666666669</v>
      </c>
      <c r="B23" s="6" t="n">
        <v>16678.882674768076</v>
      </c>
      <c r="C23" s="6" t="n">
        <v>13287.083018046416</v>
      </c>
      <c r="D23" s="6" t="n">
        <v>28459.75736765602</v>
      </c>
      <c r="E23" s="6" t="n">
        <v>38162.280246398666</v>
      </c>
      <c r="F23" s="6" t="n">
        <v>2029.264078660622</v>
      </c>
      <c r="G23" s="6" t="n">
        <v>462.927665031296</v>
      </c>
      <c r="H23" s="6" t="n">
        <v>5312.654469921232</v>
      </c>
      <c r="I23" s="6" t="n">
        <v>15374.653948754429</v>
      </c>
      <c r="J23" s="6">
        <f si="0" t="shared"/>
        <v>119767.50346923675</v>
      </c>
      <c r="L23" s="12">
        <v>0.41666666666666669</v>
      </c>
      <c r="M23" s="9" t="n">
        <v>14187.904311180115</v>
      </c>
      <c r="N23" s="9" t="n">
        <v>15554.483492851257</v>
      </c>
      <c r="O23" s="9" t="n">
        <v>28631.962794303894</v>
      </c>
      <c r="P23" s="9" t="n">
        <v>31463.747407913208</v>
      </c>
      <c r="Q23" s="9" t="n">
        <v>1680.8979949951172</v>
      </c>
      <c r="R23" s="9" t="n">
        <v>225.16022205352783</v>
      </c>
      <c r="S23" s="9" t="n">
        <v>6291.66984462738</v>
      </c>
      <c r="T23" s="9" t="n">
        <v>19980.58548641205</v>
      </c>
      <c r="U23">
        <f si="1" t="shared"/>
        <v>113338.43987707158</v>
      </c>
    </row>
    <row r="24" spans="1:21" x14ac:dyDescent="0.25">
      <c r="A24" s="12">
        <v>0.4375</v>
      </c>
      <c r="B24" s="6" t="n">
        <v>16000.179407309732</v>
      </c>
      <c r="C24" s="6" t="n">
        <v>13172.975019193662</v>
      </c>
      <c r="D24" s="6" t="n">
        <v>28627.70319618321</v>
      </c>
      <c r="E24" s="6" t="n">
        <v>38272.91630380657</v>
      </c>
      <c r="F24" s="6" t="n">
        <v>2209.7068786790514</v>
      </c>
      <c r="G24" s="6" t="n">
        <v>543.2899021327876</v>
      </c>
      <c r="H24" s="6" t="n">
        <v>4908.775064815283</v>
      </c>
      <c r="I24" s="6" t="n">
        <v>14529.75015522146</v>
      </c>
      <c r="J24" s="6">
        <f si="0" t="shared"/>
        <v>118265.29592734177</v>
      </c>
      <c r="L24" s="12">
        <v>0.4375</v>
      </c>
      <c r="M24" s="9" t="n">
        <v>13220.51067829132</v>
      </c>
      <c r="N24" s="9" t="n">
        <v>15367.879899024963</v>
      </c>
      <c r="O24" s="9" t="n">
        <v>28308.777535438538</v>
      </c>
      <c r="P24" s="9" t="n">
        <v>31428.631854057312</v>
      </c>
      <c r="Q24" s="9" t="n">
        <v>1614.8684492111206</v>
      </c>
      <c r="R24" s="9" t="n">
        <v>229.2004518508911</v>
      </c>
      <c r="S24" s="9" t="n">
        <v>6118.58900642395</v>
      </c>
      <c r="T24" s="9" t="n">
        <v>19908.114263534546</v>
      </c>
      <c r="U24">
        <f si="1" t="shared"/>
        <v>111599.03047807585</v>
      </c>
    </row>
    <row r="25" spans="1:21" x14ac:dyDescent="0.25">
      <c r="A25" s="12">
        <v>0.45833333333333331</v>
      </c>
      <c r="B25" s="6" t="n">
        <v>15405.195686751695</v>
      </c>
      <c r="C25" s="6" t="n">
        <v>12957.540096557488</v>
      </c>
      <c r="D25" s="6" t="n">
        <v>28083.90660104161</v>
      </c>
      <c r="E25" s="6" t="n">
        <v>37782.86714115378</v>
      </c>
      <c r="F25" s="6" t="n">
        <v>2400.646519205531</v>
      </c>
      <c r="G25" s="6" t="n">
        <v>632.1292439196645</v>
      </c>
      <c r="H25" s="6" t="n">
        <v>4608.494464591504</v>
      </c>
      <c r="I25" s="6" t="n">
        <v>13400.817503190516</v>
      </c>
      <c r="J25" s="6">
        <f si="0" t="shared"/>
        <v>115271.5972564118</v>
      </c>
      <c r="L25" s="12">
        <v>0.45833333333333331</v>
      </c>
      <c r="M25" s="9" t="n">
        <v>12526.435470581055</v>
      </c>
      <c r="N25" s="9" t="n">
        <v>14889.332243919373</v>
      </c>
      <c r="O25" s="9" t="n">
        <v>27284.685767173767</v>
      </c>
      <c r="P25" s="9" t="n">
        <v>30665.0504693985</v>
      </c>
      <c r="Q25" s="9" t="n">
        <v>1521.135747909546</v>
      </c>
      <c r="R25" s="9" t="n">
        <v>238.80426406860352</v>
      </c>
      <c r="S25" s="9" t="n">
        <v>5936.0166120529175</v>
      </c>
      <c r="T25" s="9" t="n">
        <v>19327.532678604126</v>
      </c>
      <c r="U25">
        <f si="1" t="shared"/>
        <v>107993.35613137532</v>
      </c>
    </row>
    <row r="26" spans="1:21" x14ac:dyDescent="0.25">
      <c r="A26" s="12">
        <v>0.47916666666666669</v>
      </c>
      <c r="B26" s="6" t="n">
        <v>14756.33734297055</v>
      </c>
      <c r="C26" s="6" t="n">
        <v>12824.245625667292</v>
      </c>
      <c r="D26" s="6" t="n">
        <v>27372.471650103842</v>
      </c>
      <c r="E26" s="6" t="n">
        <v>36898.07820752484</v>
      </c>
      <c r="F26" s="6" t="n">
        <v>2554.132239101238</v>
      </c>
      <c r="G26" s="6" t="n">
        <v>676.9896481514205</v>
      </c>
      <c r="H26" s="6" t="n">
        <v>4524.660135098935</v>
      </c>
      <c r="I26" s="6" t="n">
        <v>12223.226438002228</v>
      </c>
      <c r="J26" s="6">
        <f si="0" t="shared"/>
        <v>111830.14128662033</v>
      </c>
      <c r="L26" s="12">
        <v>0.47916666666666669</v>
      </c>
      <c r="M26" s="9" t="n">
        <v>12299.81483078003</v>
      </c>
      <c r="N26" s="9" t="n">
        <v>14361.724924087524</v>
      </c>
      <c r="O26" s="9" t="n">
        <v>26003.778569221497</v>
      </c>
      <c r="P26" s="9" t="n">
        <v>29648.818921089172</v>
      </c>
      <c r="Q26" s="9" t="n">
        <v>1431.26340675354</v>
      </c>
      <c r="R26" s="9" t="n">
        <v>258.7403402328491</v>
      </c>
      <c r="S26" s="9" t="n">
        <v>5853.125678062439</v>
      </c>
      <c r="T26" s="9" t="n">
        <v>18544.41319656372</v>
      </c>
      <c r="U26">
        <f si="1" t="shared"/>
        <v>104280.75085513756</v>
      </c>
    </row>
    <row r="27" spans="1:21" x14ac:dyDescent="0.25">
      <c r="A27" s="12">
        <v>0.5</v>
      </c>
      <c r="B27" s="6" t="n">
        <v>14060.29235180173</v>
      </c>
      <c r="C27" s="6" t="n">
        <v>12932.523501845526</v>
      </c>
      <c r="D27" s="6" t="n">
        <v>26797.092293671627</v>
      </c>
      <c r="E27" s="6" t="n">
        <v>36082.60578699824</v>
      </c>
      <c r="F27" s="6" t="n">
        <v>2657.6264760081144</v>
      </c>
      <c r="G27" s="6" t="n">
        <v>648.1694700622297</v>
      </c>
      <c r="H27" s="6" t="n">
        <v>4692.947330554247</v>
      </c>
      <c r="I27" s="6" t="n">
        <v>11168.975265144109</v>
      </c>
      <c r="J27" s="6">
        <f si="0" t="shared"/>
        <v>109040.23247608583</v>
      </c>
      <c r="L27" s="12">
        <v>0.5</v>
      </c>
      <c r="M27" s="9" t="n">
        <v>12642.17718219757</v>
      </c>
      <c r="N27" s="9" t="n">
        <v>13967.610629081726</v>
      </c>
      <c r="O27" s="9" t="n">
        <v>24809.45945262909</v>
      </c>
      <c r="P27" s="9" t="n">
        <v>28748.72861480713</v>
      </c>
      <c r="Q27" s="9" t="n">
        <v>1369.5696105957031</v>
      </c>
      <c r="R27" s="9" t="n">
        <v>295.59405040740967</v>
      </c>
      <c r="S27" s="9" t="n">
        <v>5969.679363250732</v>
      </c>
      <c r="T27" s="9" t="n">
        <v>17805.079832077026</v>
      </c>
      <c r="U27">
        <f si="1" t="shared"/>
        <v>101756.470735711</v>
      </c>
    </row>
    <row r="28" spans="1:21" x14ac:dyDescent="0.25">
      <c r="A28" s="12">
        <v>0.52083333333333337</v>
      </c>
      <c r="B28" s="6" t="n">
        <v>13556.874224875286</v>
      </c>
      <c r="C28" s="6" t="n">
        <v>13376.230896066103</v>
      </c>
      <c r="D28" s="6" t="n">
        <v>26302.108941837876</v>
      </c>
      <c r="E28" s="6" t="n">
        <v>35876.547549491894</v>
      </c>
      <c r="F28" s="6" t="n">
        <v>2748.6030253917343</v>
      </c>
      <c r="G28" s="6" t="n">
        <v>568.6744328749145</v>
      </c>
      <c r="H28" s="6" t="n">
        <v>5071.65465206325</v>
      </c>
      <c r="I28" s="6" t="n">
        <v>10393.48257485652</v>
      </c>
      <c r="J28" s="6">
        <f si="0" t="shared"/>
        <v>107894.17629745758</v>
      </c>
      <c r="L28" s="12">
        <v>0.52083333333333337</v>
      </c>
      <c r="M28" s="9" t="n">
        <v>13545.79305267334</v>
      </c>
      <c r="N28" s="9" t="n">
        <v>13774.575428962708</v>
      </c>
      <c r="O28" s="9" t="n">
        <v>23845.38079738617</v>
      </c>
      <c r="P28" s="9" t="n">
        <v>28113.502247810364</v>
      </c>
      <c r="Q28" s="9" t="n">
        <v>1348.363395690918</v>
      </c>
      <c r="R28" s="9" t="n">
        <v>357.3942127227783</v>
      </c>
      <c r="S28" s="9" t="n">
        <v>6358.227553367615</v>
      </c>
      <c r="T28" s="9" t="n">
        <v>17217.490028381348</v>
      </c>
      <c r="U28">
        <f si="1" t="shared"/>
        <v>100888.6349906712</v>
      </c>
    </row>
    <row r="29" spans="1:21" x14ac:dyDescent="0.25">
      <c r="A29" s="12">
        <v>0.54166666666666663</v>
      </c>
      <c r="B29" s="6" t="n">
        <v>13616.802030641284</v>
      </c>
      <c r="C29" s="6" t="n">
        <v>14146.429022271555</v>
      </c>
      <c r="D29" s="6" t="n">
        <v>25585.84098511278</v>
      </c>
      <c r="E29" s="6" t="n">
        <v>36514.93201665256</v>
      </c>
      <c r="F29" s="6" t="n">
        <v>2874.309745489281</v>
      </c>
      <c r="G29" s="6" t="n">
        <v>507.40978448140044</v>
      </c>
      <c r="H29" s="6" t="n">
        <v>5578.074316455482</v>
      </c>
      <c r="I29" s="6" t="n">
        <v>10025.529484843613</v>
      </c>
      <c r="J29" s="6">
        <f si="0" t="shared"/>
        <v>108849.32738594795</v>
      </c>
      <c r="L29" s="12">
        <v>0.54166666666666663</v>
      </c>
      <c r="M29" s="9" t="n">
        <v>14927.46302986145</v>
      </c>
      <c r="N29" s="9" t="n">
        <v>13744.088251113892</v>
      </c>
      <c r="O29" s="9" t="n">
        <v>23066.990034103394</v>
      </c>
      <c r="P29" s="9" t="n">
        <v>27685.985233306885</v>
      </c>
      <c r="Q29" s="9" t="n">
        <v>1369.664225578308</v>
      </c>
      <c r="R29" s="9" t="n">
        <v>452.81665992736816</v>
      </c>
      <c r="S29" s="9" t="n">
        <v>7057.430200576782</v>
      </c>
      <c r="T29" s="9" t="n">
        <v>16753.341346740723</v>
      </c>
      <c r="U29">
        <f si="1" t="shared"/>
        <v>101415.95382533276</v>
      </c>
    </row>
    <row r="30" spans="1:21" x14ac:dyDescent="0.25">
      <c r="A30" s="12">
        <v>0.5625</v>
      </c>
      <c r="B30" s="6" t="n">
        <v>14529.529343465323</v>
      </c>
      <c r="C30" s="6" t="n">
        <v>15109.17222461587</v>
      </c>
      <c r="D30" s="6" t="n">
        <v>24380.40459525294</v>
      </c>
      <c r="E30" s="6" t="n">
        <v>37695.5285296701</v>
      </c>
      <c r="F30" s="6" t="n">
        <v>3034.2601795441806</v>
      </c>
      <c r="G30" s="6" t="n">
        <v>539.3673689615296</v>
      </c>
      <c r="H30" s="6" t="n">
        <v>6168.6980257697105</v>
      </c>
      <c r="I30" s="6" t="n">
        <v>10087.263293624523</v>
      </c>
      <c r="J30" s="6">
        <f si="0" t="shared"/>
        <v>111544.22356090417</v>
      </c>
      <c r="L30" s="12">
        <v>0.5625</v>
      </c>
      <c r="M30" s="9" t="n">
        <v>16703.1749792099</v>
      </c>
      <c r="N30" s="9" t="n">
        <v>13794.15832901001</v>
      </c>
      <c r="O30" s="9" t="n">
        <v>22343.105798721313</v>
      </c>
      <c r="P30" s="9" t="n">
        <v>27320.46751022339</v>
      </c>
      <c r="Q30" s="9" t="n">
        <v>1431.743881225586</v>
      </c>
      <c r="R30" s="9" t="n">
        <v>590.1679239273071</v>
      </c>
      <c r="S30" s="9" t="n">
        <v>8080.517601013184</v>
      </c>
      <c r="T30" s="9" t="n">
        <v>16322.011222839355</v>
      </c>
      <c r="U30">
        <f si="1" t="shared"/>
        <v>102816.74554163827</v>
      </c>
    </row>
    <row r="31" spans="1:21" x14ac:dyDescent="0.25">
      <c r="A31" s="12">
        <v>0.58333333333333337</v>
      </c>
      <c r="B31" s="6" t="n">
        <v>16357.572987822037</v>
      </c>
      <c r="C31" s="6" t="n">
        <v>16016.550213981602</v>
      </c>
      <c r="D31" s="6" t="n">
        <v>22675.914046050013</v>
      </c>
      <c r="E31" s="6" t="n">
        <v>38715.92464562438</v>
      </c>
      <c r="F31" s="6" t="n">
        <v>3166.816863873698</v>
      </c>
      <c r="G31" s="6" t="n">
        <v>699.7228314586773</v>
      </c>
      <c r="H31" s="6" t="n">
        <v>6917.249827785254</v>
      </c>
      <c r="I31" s="6" t="n">
        <v>10426.749692762733</v>
      </c>
      <c r="J31" s="6">
        <f si="0" t="shared"/>
        <v>114976.5011093584</v>
      </c>
      <c r="L31" s="12">
        <v>0.58333333333333337</v>
      </c>
      <c r="M31" s="9" t="n">
        <v>18869.481652259827</v>
      </c>
      <c r="N31" s="9" t="n">
        <v>13872.519459724426</v>
      </c>
      <c r="O31" s="9" t="n">
        <v>21576.500948905945</v>
      </c>
      <c r="P31" s="9" t="n">
        <v>26915.839826583862</v>
      </c>
      <c r="Q31" s="9" t="n">
        <v>1536.260061264038</v>
      </c>
      <c r="R31" s="9" t="n">
        <v>776.2280187606812</v>
      </c>
      <c r="S31" s="9" t="n">
        <v>9431.962843894958</v>
      </c>
      <c r="T31" s="9" t="n">
        <v>15861.71838092804</v>
      </c>
      <c r="U31">
        <f si="1" t="shared"/>
        <v>104824.32038985932</v>
      </c>
    </row>
    <row r="32" spans="1:21" x14ac:dyDescent="0.25">
      <c r="A32" s="12">
        <v>0.60416666666666663</v>
      </c>
      <c r="B32" s="6" t="n">
        <v>18987.23094104316</v>
      </c>
      <c r="C32" s="6" t="n">
        <v>16580.373466357385</v>
      </c>
      <c r="D32" s="6" t="n">
        <v>20709.697754357487</v>
      </c>
      <c r="E32" s="6" t="n">
        <v>38899.81300163425</v>
      </c>
      <c r="F32" s="6" t="n">
        <v>3198.9784667351996</v>
      </c>
      <c r="G32" s="6" t="n">
        <v>960.9819680526591</v>
      </c>
      <c r="H32" s="6" t="n">
        <v>8023.18066070354</v>
      </c>
      <c r="I32" s="6" t="n">
        <v>10768.50652409041</v>
      </c>
      <c r="J32" s="6">
        <f si="0" t="shared"/>
        <v>118128.7627829741</v>
      </c>
      <c r="L32" s="12">
        <v>0.60416666666666663</v>
      </c>
      <c r="M32" s="9" t="n">
        <v>21546.60950088501</v>
      </c>
      <c r="N32" s="9" t="n">
        <v>13990.994756698608</v>
      </c>
      <c r="O32" s="9" t="n">
        <v>20765.145592689514</v>
      </c>
      <c r="P32" s="9" t="n">
        <v>26473.74524116516</v>
      </c>
      <c r="Q32" s="9" t="n">
        <v>1691.2177000045776</v>
      </c>
      <c r="R32" s="9" t="n">
        <v>1014.3643560409546</v>
      </c>
      <c r="S32" s="9" t="n">
        <v>11110.891038894653</v>
      </c>
      <c r="T32" s="9" t="n">
        <v>15384.195810317993</v>
      </c>
      <c r="U32">
        <f si="1" t="shared"/>
        <v>107632.70339855949</v>
      </c>
    </row>
    <row r="33" spans="1:21" x14ac:dyDescent="0.25">
      <c r="A33" s="12">
        <v>0.625</v>
      </c>
      <c r="B33" s="6" t="n">
        <v>22336.78047449753</v>
      </c>
      <c r="C33" s="6" t="n">
        <v>16614.139738097754</v>
      </c>
      <c r="D33" s="6" t="n">
        <v>18779.349986702782</v>
      </c>
      <c r="E33" s="6" t="n">
        <v>38011.18627535834</v>
      </c>
      <c r="F33" s="6" t="n">
        <v>3114.9388162806613</v>
      </c>
      <c r="G33" s="6" t="n">
        <v>1247.1742697001591</v>
      </c>
      <c r="H33" s="6" t="n">
        <v>9720.795832577824</v>
      </c>
      <c r="I33" s="6" t="n">
        <v>10890.149649451017</v>
      </c>
      <c r="J33" s="6">
        <f si="0" t="shared"/>
        <v>120714.51504266608</v>
      </c>
      <c r="L33" s="12">
        <v>0.625</v>
      </c>
      <c r="M33" s="9" t="n">
        <v>24953.263951301575</v>
      </c>
      <c r="N33" s="9" t="n">
        <v>14201.987685203552</v>
      </c>
      <c r="O33" s="9" t="n">
        <v>19973.093633651733</v>
      </c>
      <c r="P33" s="9" t="n">
        <v>26054.737875938416</v>
      </c>
      <c r="Q33" s="9" t="n">
        <v>1907.6174898147583</v>
      </c>
      <c r="R33" s="9" t="n">
        <v>1300.9122905731201</v>
      </c>
      <c r="S33" s="9" t="n">
        <v>13082.458694458008</v>
      </c>
      <c r="T33" s="9" t="n">
        <v>14947.603023529053</v>
      </c>
      <c r="U33">
        <f si="1" t="shared"/>
        <v>111666.26450908883</v>
      </c>
    </row>
    <row r="34" spans="1:21" x14ac:dyDescent="0.25">
      <c r="A34" s="12">
        <v>0.64583333333333337</v>
      </c>
      <c r="B34" s="6" t="n">
        <v>26524.330755892002</v>
      </c>
      <c r="C34" s="6" t="n">
        <v>16170.688266538133</v>
      </c>
      <c r="D34" s="6" t="n">
        <v>17086.867027045933</v>
      </c>
      <c r="E34" s="6" t="n">
        <v>36375.3299962932</v>
      </c>
      <c r="F34" s="6" t="n">
        <v>2981.350612098066</v>
      </c>
      <c r="G34" s="6" t="n">
        <v>1476.8703771838764</v>
      </c>
      <c r="H34" s="6" t="n">
        <v>12123.58676344621</v>
      </c>
      <c r="I34" s="6" t="n">
        <v>10790.489957421423</v>
      </c>
      <c r="J34" s="6">
        <f si="0" t="shared"/>
        <v>123529.51375591883</v>
      </c>
      <c r="L34" s="12">
        <v>0.64583333333333337</v>
      </c>
      <c r="M34" s="9" t="n">
        <v>29319.63285255432</v>
      </c>
      <c r="N34" s="9" t="n">
        <v>14542.742756843567</v>
      </c>
      <c r="O34" s="9" t="n">
        <v>19250.001229286194</v>
      </c>
      <c r="P34" s="9" t="n">
        <v>25687.31657886505</v>
      </c>
      <c r="Q34" s="9" t="n">
        <v>2192.1384449005127</v>
      </c>
      <c r="R34" s="9" t="n">
        <v>1620.4292831420898</v>
      </c>
      <c r="S34" s="9" t="n">
        <v>15230.212601661682</v>
      </c>
      <c r="T34" s="9" t="n">
        <v>14589.960391998291</v>
      </c>
      <c r="U34">
        <f si="1" t="shared"/>
        <v>117124.25347470392</v>
      </c>
    </row>
    <row r="35" spans="1:21" x14ac:dyDescent="0.25">
      <c r="A35" s="12">
        <v>0.66666666666666663</v>
      </c>
      <c r="B35" s="6" t="n">
        <v>31796.10342077151</v>
      </c>
      <c r="C35" s="6" t="n">
        <v>15543.465031142214</v>
      </c>
      <c r="D35" s="6" t="n">
        <v>15716.199576301311</v>
      </c>
      <c r="E35" s="6" t="n">
        <v>34647.75310096839</v>
      </c>
      <c r="F35" s="6" t="n">
        <v>2907.812311702372</v>
      </c>
      <c r="G35" s="6" t="n">
        <v>1606.8673954694095</v>
      </c>
      <c r="H35" s="6" t="n">
        <v>15084.523798426746</v>
      </c>
      <c r="I35" s="6" t="n">
        <v>10680.303506165623</v>
      </c>
      <c r="J35" s="6">
        <f si="0" t="shared"/>
        <v>127983.02814094757</v>
      </c>
      <c r="L35" s="12">
        <v>0.66666666666666663</v>
      </c>
      <c r="M35" s="9" t="n">
        <v>34769.46469116211</v>
      </c>
      <c r="N35" s="9" t="n">
        <v>14992.782046318054</v>
      </c>
      <c r="O35" s="9" t="n">
        <v>18572.133019447327</v>
      </c>
      <c r="P35" s="9" t="n">
        <v>25313.773379325867</v>
      </c>
      <c r="Q35" s="9" t="n">
        <v>2540.396999359131</v>
      </c>
      <c r="R35" s="9" t="n">
        <v>1943.2945919036865</v>
      </c>
      <c r="S35" s="9" t="n">
        <v>17333.91453742981</v>
      </c>
      <c r="T35" s="9" t="n">
        <v>14282.7357711792</v>
      </c>
      <c r="U35">
        <f si="1" t="shared"/>
        <v>123661.97592998562</v>
      </c>
    </row>
    <row r="36" spans="1:21" x14ac:dyDescent="0.25">
      <c r="A36" s="12">
        <v>0.6875</v>
      </c>
      <c r="B36" s="6" t="n">
        <v>38196.928055398435</v>
      </c>
      <c r="C36" s="6" t="n">
        <v>15070.446797514634</v>
      </c>
      <c r="D36" s="6" t="n">
        <v>14670.977071639903</v>
      </c>
      <c r="E36" s="6" t="n">
        <v>33396.51473776103</v>
      </c>
      <c r="F36" s="6" t="n">
        <v>2974.287096794741</v>
      </c>
      <c r="G36" s="6" t="n">
        <v>1645.3863023482027</v>
      </c>
      <c r="H36" s="6" t="n">
        <v>18153.201239319562</v>
      </c>
      <c r="I36" s="6" t="n">
        <v>10769.881873004913</v>
      </c>
      <c r="J36" s="6">
        <f si="0" t="shared"/>
        <v>134877.62317378141</v>
      </c>
      <c r="L36" s="12">
        <v>0.6875</v>
      </c>
      <c r="M36" s="9" t="n">
        <v>41190.24138832092</v>
      </c>
      <c r="N36" s="9" t="n">
        <v>15466.969586372375</v>
      </c>
      <c r="O36" s="9" t="n">
        <v>17845.23059654236</v>
      </c>
      <c r="P36" s="9" t="n">
        <v>24807.569863319397</v>
      </c>
      <c r="Q36" s="9" t="n">
        <v>2932.858892440796</v>
      </c>
      <c r="R36" s="9" t="n">
        <v>2229.1232442855835</v>
      </c>
      <c r="S36" s="9" t="n">
        <v>19103.500762939453</v>
      </c>
      <c r="T36" s="9" t="n">
        <v>13937.219032287598</v>
      </c>
      <c r="U36">
        <f si="1" t="shared"/>
        <v>130379.3100550395</v>
      </c>
    </row>
    <row r="37" spans="1:21" x14ac:dyDescent="0.25">
      <c r="A37" s="12">
        <v>0.70833333333333337</v>
      </c>
      <c r="B37" s="6" t="n">
        <v>45190.13630214528</v>
      </c>
      <c r="C37" s="6" t="n">
        <v>14863.531412846667</v>
      </c>
      <c r="D37" s="6" t="n">
        <v>13879.107916014647</v>
      </c>
      <c r="E37" s="6" t="n">
        <v>32743.373147109844</v>
      </c>
      <c r="F37" s="6" t="n">
        <v>3177.410979230551</v>
      </c>
      <c r="G37" s="6" t="n">
        <v>1627.7846473341313</v>
      </c>
      <c r="H37" s="6" t="n">
        <v>20668.516588420032</v>
      </c>
      <c r="I37" s="6" t="n">
        <v>11026.453987664225</v>
      </c>
      <c r="J37" s="6">
        <f si="0" t="shared"/>
        <v>143176.31498076537</v>
      </c>
      <c r="L37" s="12">
        <v>0.70833333333333337</v>
      </c>
      <c r="M37" s="9" t="n">
        <v>48107.06478023529</v>
      </c>
      <c r="N37" s="9" t="n">
        <v>15831.003169059753</v>
      </c>
      <c r="O37" s="9" t="n">
        <v>16948.946767807007</v>
      </c>
      <c r="P37" s="9" t="n">
        <v>24025.32642173767</v>
      </c>
      <c r="Q37" s="9" t="n">
        <v>3332.6540060043335</v>
      </c>
      <c r="R37" s="9" t="n">
        <v>2435.447943687439</v>
      </c>
      <c r="S37" s="9" t="n">
        <v>20250.548842430115</v>
      </c>
      <c r="T37" s="9" t="n">
        <v>13445.749786376953</v>
      </c>
      <c r="U37">
        <f si="1" t="shared"/>
        <v>135988.77053199668</v>
      </c>
    </row>
    <row r="38" spans="1:21" x14ac:dyDescent="0.25">
      <c r="A38" s="12">
        <v>0.72916666666666663</v>
      </c>
      <c r="B38" s="6" t="n">
        <v>51527.195570536074</v>
      </c>
      <c r="C38" s="6" t="n">
        <v>14694.54872721195</v>
      </c>
      <c r="D38" s="6" t="n">
        <v>13172.722066318938</v>
      </c>
      <c r="E38" s="6" t="n">
        <v>32262.006023137983</v>
      </c>
      <c r="F38" s="6" t="n">
        <v>3427.9878749248746</v>
      </c>
      <c r="G38" s="6" t="n">
        <v>1581.369010949973</v>
      </c>
      <c r="H38" s="6" t="n">
        <v>21967.64574189627</v>
      </c>
      <c r="I38" s="6" t="n">
        <v>11126.41481052959</v>
      </c>
      <c r="J38" s="6">
        <f si="0" t="shared"/>
        <v>149759.88982550564</v>
      </c>
      <c r="L38" s="12">
        <v>0.72916666666666663</v>
      </c>
      <c r="M38" s="9" t="n">
        <v>54638.57327461243</v>
      </c>
      <c r="N38" s="9" t="n">
        <v>15923.697305679321</v>
      </c>
      <c r="O38" s="9" t="n">
        <v>15781.79479598999</v>
      </c>
      <c r="P38" s="9" t="n">
        <v>22845.319283485413</v>
      </c>
      <c r="Q38" s="9" t="n">
        <v>3687.1904315948486</v>
      </c>
      <c r="R38" s="9" t="n">
        <v>2528.1649074554443</v>
      </c>
      <c r="S38" s="9" t="n">
        <v>20557.78265285492</v>
      </c>
      <c r="T38" s="9" t="n">
        <v>12721.162292480469</v>
      </c>
      <c r="U38">
        <f si="1" t="shared"/>
        <v>139019.3573650906</v>
      </c>
    </row>
    <row r="39" spans="1:21" x14ac:dyDescent="0.25">
      <c r="A39" s="12">
        <v>0.75</v>
      </c>
      <c r="B39" s="6" t="n">
        <v>55556.58543633089</v>
      </c>
      <c r="C39" s="6" t="n">
        <v>14153.13090845456</v>
      </c>
      <c r="D39" s="6" t="n">
        <v>12310.039482051558</v>
      </c>
      <c r="E39" s="6" t="n">
        <v>31208.367088670864</v>
      </c>
      <c r="F39" s="6" t="n">
        <v>3595.839569384246</v>
      </c>
      <c r="G39" s="6" t="n">
        <v>1512.617041448919</v>
      </c>
      <c r="H39" s="6" t="n">
        <v>21635.747139778494</v>
      </c>
      <c r="I39" s="6" t="n">
        <v>10662.601206848145</v>
      </c>
      <c r="J39" s="6">
        <f si="0" t="shared"/>
        <v>150634.92787296767</v>
      </c>
      <c r="L39" s="12">
        <v>0.75</v>
      </c>
      <c r="M39" s="9" t="n">
        <v>59665.94582748413</v>
      </c>
      <c r="N39" s="9" t="n">
        <v>15595.778569221497</v>
      </c>
      <c r="O39" s="9" t="n">
        <v>14294.622644424438</v>
      </c>
      <c r="P39" s="9" t="n">
        <v>21194.410746574402</v>
      </c>
      <c r="Q39" s="9" t="n">
        <v>3939.4248266220093</v>
      </c>
      <c r="R39" s="9" t="n">
        <v>2491.3659467697144</v>
      </c>
      <c r="S39" s="9" t="n">
        <v>19934.138860702515</v>
      </c>
      <c r="T39" s="9" t="n">
        <v>11721.826230049133</v>
      </c>
      <c r="U39">
        <f si="1" t="shared"/>
        <v>138137.9946102284</v>
      </c>
    </row>
    <row r="40" spans="1:21" x14ac:dyDescent="0.25">
      <c r="A40" s="12">
        <v>0.77083333333333337</v>
      </c>
      <c r="B40" s="6" t="n">
        <v>55894.89807465823</v>
      </c>
      <c r="C40" s="6" t="n">
        <v>12948.8052743772</v>
      </c>
      <c r="D40" s="6" t="n">
        <v>11070.065769393252</v>
      </c>
      <c r="E40" s="6" t="n">
        <v>28966.107208804522</v>
      </c>
      <c r="F40" s="6" t="n">
        <v>3572.655351529019</v>
      </c>
      <c r="G40" s="6" t="n">
        <v>1421.4347271997965</v>
      </c>
      <c r="H40" s="6" t="n">
        <v>19679.48986983347</v>
      </c>
      <c r="I40" s="6" t="n">
        <v>9436.814319673897</v>
      </c>
      <c r="J40" s="6">
        <f si="0" t="shared"/>
        <v>142990.2705954694</v>
      </c>
      <c r="L40" s="12">
        <v>0.77083333333333337</v>
      </c>
      <c r="M40" s="9" t="n">
        <v>62226.63874435425</v>
      </c>
      <c r="N40" s="9" t="n">
        <v>14772.08773803711</v>
      </c>
      <c r="O40" s="9" t="n">
        <v>12519.641192436218</v>
      </c>
      <c r="P40" s="9" t="n">
        <v>19087.409401893616</v>
      </c>
      <c r="Q40" s="9" t="n">
        <v>4048.811436653137</v>
      </c>
      <c r="R40" s="9" t="n">
        <v>2334.570830345154</v>
      </c>
      <c r="S40" s="9" t="n">
        <v>18456.764046669006</v>
      </c>
      <c r="T40" s="9" t="n">
        <v>10469.473455429077</v>
      </c>
      <c r="U40">
        <f si="1" t="shared"/>
        <v>132656.45834913341</v>
      </c>
    </row>
    <row r="41" spans="1:21" x14ac:dyDescent="0.25">
      <c r="A41" s="12">
        <v>0.79166666666666663</v>
      </c>
      <c r="B41" s="6" t="n">
        <v>52101.956603261366</v>
      </c>
      <c r="C41" s="6" t="n">
        <v>11109.304015558948</v>
      </c>
      <c r="D41" s="6" t="n">
        <v>9380.72779192287</v>
      </c>
      <c r="E41" s="6" t="n">
        <v>25419.045703168544</v>
      </c>
      <c r="F41" s="6" t="n">
        <v>3319.5762532192375</v>
      </c>
      <c r="G41" s="6" t="n">
        <v>1318.2442568432418</v>
      </c>
      <c r="H41" s="6" t="n">
        <v>16522.813785096645</v>
      </c>
      <c r="I41" s="6" t="n">
        <v>7597.7092410274745</v>
      </c>
      <c r="J41" s="6">
        <f si="0" t="shared"/>
        <v>126769.37765009834</v>
      </c>
      <c r="L41" s="12">
        <v>0.79166666666666663</v>
      </c>
      <c r="M41" s="9" t="n">
        <v>61896.59278964996</v>
      </c>
      <c r="N41" s="9" t="n">
        <v>13499.783041000366</v>
      </c>
      <c r="O41" s="9" t="n">
        <v>10579.74916934967</v>
      </c>
      <c r="P41" s="9" t="n">
        <v>16656.492844581604</v>
      </c>
      <c r="Q41" s="9" t="n">
        <v>4008.1148958206177</v>
      </c>
      <c r="R41" s="9" t="n">
        <v>2092.1849613189697</v>
      </c>
      <c r="S41" s="9" t="n">
        <v>16370.517122268677</v>
      </c>
      <c r="T41" s="9" t="n">
        <v>9053.07797908783</v>
      </c>
      <c r="U41">
        <f si="1" t="shared"/>
        <v>122921.65318333617</v>
      </c>
    </row>
    <row r="42" spans="1:21" x14ac:dyDescent="0.25">
      <c r="A42" s="12">
        <v>0.8125</v>
      </c>
      <c r="B42" s="6" t="n">
        <v>44924.934425160835</v>
      </c>
      <c r="C42" s="6" t="n">
        <v>8941.122396900453</v>
      </c>
      <c r="D42" s="6" t="n">
        <v>7391.593331245413</v>
      </c>
      <c r="E42" s="6" t="n">
        <v>20997.111953438885</v>
      </c>
      <c r="F42" s="6" t="n">
        <v>2878.258402622934</v>
      </c>
      <c r="G42" s="6" t="n">
        <v>1223.165503049082</v>
      </c>
      <c r="H42" s="6" t="n">
        <v>12822.31931095278</v>
      </c>
      <c r="I42" s="6" t="n">
        <v>5536.1443181890245</v>
      </c>
      <c r="J42" s="6">
        <f si="0" t="shared"/>
        <v>104714.6496415594</v>
      </c>
      <c r="L42" s="12">
        <v>0.8125</v>
      </c>
      <c r="M42" s="9" t="n">
        <v>58859.11280155182</v>
      </c>
      <c r="N42" s="9" t="n">
        <v>11928.391295433044</v>
      </c>
      <c r="O42" s="9" t="n">
        <v>8649.74344921112</v>
      </c>
      <c r="P42" s="9" t="n">
        <v>14116.385972976685</v>
      </c>
      <c r="Q42" s="9" t="n">
        <v>3839.4781064987183</v>
      </c>
      <c r="R42" s="9" t="n">
        <v>1810.5882472991943</v>
      </c>
      <c r="S42" s="9" t="n">
        <v>14007.130298614502</v>
      </c>
      <c r="T42" s="9" t="n">
        <v>7599.870022773743</v>
      </c>
      <c r="U42">
        <f si="1" t="shared"/>
        <v>110145.05767391644</v>
      </c>
    </row>
    <row r="43" spans="1:21" x14ac:dyDescent="0.25">
      <c r="A43" s="12">
        <v>0.83333333333333337</v>
      </c>
      <c r="B43" s="6" t="n">
        <v>35940.75186237706</v>
      </c>
      <c r="C43" s="6" t="n">
        <v>6828.058661717669</v>
      </c>
      <c r="D43" s="6" t="n">
        <v>5415.921511493252</v>
      </c>
      <c r="E43" s="6" t="n">
        <v>16401.907057488494</v>
      </c>
      <c r="F43" s="6" t="n">
        <v>2343.3747132440885</v>
      </c>
      <c r="G43" s="6" t="n">
        <v>1150.405595922205</v>
      </c>
      <c r="H43" s="6" t="n">
        <v>9216.383301820755</v>
      </c>
      <c r="I43" s="6" t="n">
        <v>3656.646148794293</v>
      </c>
      <c r="J43" s="6">
        <f si="0" t="shared"/>
        <v>80953.448852857808</v>
      </c>
      <c r="L43" s="12">
        <v>0.83333333333333337</v>
      </c>
      <c r="M43" s="9" t="n">
        <v>53636.13239765167</v>
      </c>
      <c r="N43" s="9" t="n">
        <v>10225.814834594727</v>
      </c>
      <c r="O43" s="9" t="n">
        <v>6880.449014663696</v>
      </c>
      <c r="P43" s="9" t="n">
        <v>11667.118569374084</v>
      </c>
      <c r="Q43" s="9" t="n">
        <v>3571.3586626052856</v>
      </c>
      <c r="R43" s="9" t="n">
        <v>1528.0511541366577</v>
      </c>
      <c r="S43" s="9" t="n">
        <v>11651.862259864807</v>
      </c>
      <c r="T43" s="9" t="n">
        <v>6220.668891906738</v>
      </c>
      <c r="U43">
        <f si="1" t="shared"/>
        <v>95710.232327166799</v>
      </c>
    </row>
    <row r="44" spans="1:21" x14ac:dyDescent="0.25">
      <c r="A44" s="12">
        <v>0.85416666666666663</v>
      </c>
      <c r="B44" s="6" t="n">
        <v>26853.353950501183</v>
      </c>
      <c r="C44" s="6" t="n">
        <v>5042.5557065802695</v>
      </c>
      <c r="D44" s="6" t="n">
        <v>3761.4505756336903</v>
      </c>
      <c r="E44" s="6" t="n">
        <v>12251.767280310884</v>
      </c>
      <c r="F44" s="6" t="n">
        <v>1814.6610053526174</v>
      </c>
      <c r="G44" s="6" t="n">
        <v>1094.1255796523228</v>
      </c>
      <c r="H44" s="6" t="n">
        <v>6146.480097866535</v>
      </c>
      <c r="I44" s="6" t="n">
        <v>2204.4671253017186</v>
      </c>
      <c r="J44" s="6">
        <f si="0" t="shared"/>
        <v>59168.86132119922</v>
      </c>
      <c r="L44" s="12">
        <v>0.85416666666666663</v>
      </c>
      <c r="M44" s="9" t="n">
        <v>46783.1771068573</v>
      </c>
      <c r="N44" s="9" t="n">
        <v>8503.86881160736</v>
      </c>
      <c r="O44" s="9" t="n">
        <v>5343.010827064514</v>
      </c>
      <c r="P44" s="9" t="n">
        <v>9414.185587882996</v>
      </c>
      <c r="Q44" s="9" t="n">
        <v>3218.684316635132</v>
      </c>
      <c r="R44" s="9" t="n">
        <v>1261.8795289993286</v>
      </c>
      <c r="S44" s="9" t="n">
        <v>9453.054545402527</v>
      </c>
      <c r="T44" s="9" t="n">
        <v>4970.585404396057</v>
      </c>
      <c r="U44">
        <f si="1" t="shared"/>
        <v>80570.200426019146</v>
      </c>
    </row>
    <row r="45" spans="1:21" x14ac:dyDescent="0.25">
      <c r="A45" s="12">
        <v>0.875</v>
      </c>
      <c r="B45" s="6" t="n">
        <v>18903.825328485596</v>
      </c>
      <c r="C45" s="6" t="n">
        <v>3679.3155706695807</v>
      </c>
      <c r="D45" s="6" t="n">
        <v>2571.8926662504646</v>
      </c>
      <c r="E45" s="6" t="n">
        <v>8874.809967955838</v>
      </c>
      <c r="F45" s="6" t="n">
        <v>1357.349142092117</v>
      </c>
      <c r="G45" s="6" t="n">
        <v>1027.828651367065</v>
      </c>
      <c r="H45" s="6" t="n">
        <v>3807.5230910340542</v>
      </c>
      <c r="I45" s="6" t="n">
        <v>1229.0329103481768</v>
      </c>
      <c r="J45" s="6">
        <f si="0" t="shared"/>
        <v>41451.577328202897</v>
      </c>
      <c r="L45" s="12">
        <v>0.875</v>
      </c>
      <c r="M45" s="9" t="n">
        <v>38827.49408531189</v>
      </c>
      <c r="N45" s="9" t="n">
        <v>6815.444449424744</v>
      </c>
      <c r="O45" s="9" t="n">
        <v>4035.524320602417</v>
      </c>
      <c r="P45" s="9" t="n">
        <v>7374.290054321289</v>
      </c>
      <c r="Q45" s="9" t="n">
        <v>2785.9820442199707</v>
      </c>
      <c r="R45" s="9" t="n">
        <v>1012.3162279129028</v>
      </c>
      <c r="S45" s="9" t="n">
        <v>7439.91072177887</v>
      </c>
      <c r="T45" s="9" t="n">
        <v>3855.8400554656982</v>
      </c>
      <c r="U45">
        <f si="1" t="shared"/>
        <v>65245.055775257541</v>
      </c>
    </row>
    <row r="46" spans="1:21" x14ac:dyDescent="0.25">
      <c r="A46" s="12">
        <v>0.89583333333333337</v>
      </c>
      <c r="B46" s="6" t="n">
        <v>12665.154766188061</v>
      </c>
      <c r="C46" s="6" t="n">
        <v>2698.120082707431</v>
      </c>
      <c r="D46" s="6" t="n">
        <v>1795.5444414800227</v>
      </c>
      <c r="E46" s="6" t="n">
        <v>6302.48060940178</v>
      </c>
      <c r="F46" s="6" t="n">
        <v>991.1482045466266</v>
      </c>
      <c r="G46" s="6" t="n">
        <v>919.6634579990675</v>
      </c>
      <c r="H46" s="6" t="n">
        <v>2193.1809238991736</v>
      </c>
      <c r="I46" s="6" t="n">
        <v>646.8051655281781</v>
      </c>
      <c r="J46" s="6">
        <f si="0" t="shared"/>
        <v>28212.09765175034</v>
      </c>
      <c r="L46" s="12">
        <v>0.89583333333333337</v>
      </c>
      <c r="M46" s="9" t="n">
        <v>30399.427443504333</v>
      </c>
      <c r="N46" s="9" t="n">
        <v>5205.471188545227</v>
      </c>
      <c r="O46" s="9" t="n">
        <v>2932.5251026153564</v>
      </c>
      <c r="P46" s="9" t="n">
        <v>5544.165177345276</v>
      </c>
      <c r="Q46" s="9" t="n">
        <v>2288.2857370376587</v>
      </c>
      <c r="R46" s="9" t="n">
        <v>777.1771364212036</v>
      </c>
      <c r="S46" s="9" t="n">
        <v>5611.362812995911</v>
      </c>
      <c r="T46" s="9" t="n">
        <v>2871.4046964645386</v>
      </c>
      <c r="U46">
        <f si="1" t="shared"/>
        <v>50259.476558587281</v>
      </c>
    </row>
    <row r="47" spans="1:21" x14ac:dyDescent="0.25">
      <c r="A47" s="12">
        <v>0.91666666666666663</v>
      </c>
      <c r="B47" s="6" t="n">
        <v>8164.476867912281</v>
      </c>
      <c r="C47" s="6" t="n">
        <v>2000.8944334731032</v>
      </c>
      <c r="D47" s="6" t="n">
        <v>1280.717108338155</v>
      </c>
      <c r="E47" s="6" t="n">
        <v>4387.024899949698</v>
      </c>
      <c r="F47" s="6" t="n">
        <v>705.5487766544335</v>
      </c>
      <c r="G47" s="6" t="n">
        <v>755.4882819353272</v>
      </c>
      <c r="H47" s="6" t="n">
        <v>1176.7477712290286</v>
      </c>
      <c r="I47" s="6" t="n">
        <v>328.79528356027595</v>
      </c>
      <c r="J47" s="6">
        <f si="0" t="shared"/>
        <v>18799.6934230523</v>
      </c>
      <c r="L47" s="12">
        <v>0.91666666666666663</v>
      </c>
      <c r="M47" s="9" t="n">
        <v>22282.53279209137</v>
      </c>
      <c r="N47" s="9" t="n">
        <v>3747.1204719543457</v>
      </c>
      <c r="O47" s="9" t="n">
        <v>2023.7883567810059</v>
      </c>
      <c r="P47" s="9" t="n">
        <v>3952.6991872787476</v>
      </c>
      <c r="Q47" s="9" t="n">
        <v>1765.2944784164429</v>
      </c>
      <c r="R47" s="9" t="n">
        <v>562.3153343200684</v>
      </c>
      <c r="S47" s="9" t="n">
        <v>4002.0249042510986</v>
      </c>
      <c r="T47" s="9" t="n">
        <v>2028.1171760559082</v>
      </c>
      <c r="U47">
        <f si="1" t="shared"/>
        <v>36431.749610697254</v>
      </c>
    </row>
    <row r="48" spans="1:21" x14ac:dyDescent="0.25">
      <c r="A48" s="12">
        <v>0.9375</v>
      </c>
      <c r="B48" s="6" t="n">
        <v>5121.148106129392</v>
      </c>
      <c r="C48" s="6" t="n">
        <v>1487.9122968186177</v>
      </c>
      <c r="D48" s="6" t="n">
        <v>896.4504831786926</v>
      </c>
      <c r="E48" s="6" t="n">
        <v>2945.1367512959596</v>
      </c>
      <c r="F48" s="6" t="n">
        <v>482.73188333003253</v>
      </c>
      <c r="G48" s="6" t="n">
        <v>552.6363532114711</v>
      </c>
      <c r="H48" s="6" t="n">
        <v>588.9409239935875</v>
      </c>
      <c r="I48" s="6" t="n">
        <v>162.88913495182987</v>
      </c>
      <c r="J48" s="6">
        <f si="0" t="shared"/>
        <v>12237.845932909582</v>
      </c>
      <c r="L48" s="12">
        <v>0.9375</v>
      </c>
      <c r="M48" s="9" t="n">
        <v>15234.81976222992</v>
      </c>
      <c r="N48" s="9" t="n">
        <v>2524.9387283325195</v>
      </c>
      <c r="O48" s="9" t="n">
        <v>1314.1114702224731</v>
      </c>
      <c r="P48" s="9" t="n">
        <v>2651.317406654358</v>
      </c>
      <c r="Q48" s="9" t="n">
        <v>1272.156047821045</v>
      </c>
      <c r="R48" s="9" t="n">
        <v>379.8117380142212</v>
      </c>
      <c r="S48" s="9" t="n">
        <v>2674.762854576111</v>
      </c>
      <c r="T48" s="9" t="n">
        <v>1347.7338762283325</v>
      </c>
      <c r="U48">
        <f si="1" t="shared"/>
        <v>24684.755900008935</v>
      </c>
    </row>
    <row r="49" spans="1:21" x14ac:dyDescent="0.25">
      <c r="A49" s="12">
        <v>0.95833333333333337</v>
      </c>
      <c r="B49" s="6" t="n">
        <v>3151.085840635124</v>
      </c>
      <c r="C49" s="6" t="n">
        <v>1084.3794682588211</v>
      </c>
      <c r="D49" s="6" t="n">
        <v>586.5448473314394</v>
      </c>
      <c r="E49" s="6" t="n">
        <v>1852.977989648085</v>
      </c>
      <c r="F49" s="6" t="n">
        <v>310.995729863624</v>
      </c>
      <c r="G49" s="6" t="n">
        <v>351.4018458659742</v>
      </c>
      <c r="H49" s="6" t="n">
        <v>274.123599830389</v>
      </c>
      <c r="I49" s="6" t="n">
        <v>76.94498640120028</v>
      </c>
      <c r="J49" s="6">
        <f si="0" t="shared"/>
        <v>7688.454307834656</v>
      </c>
      <c r="L49" s="12">
        <v>0.95833333333333337</v>
      </c>
      <c r="M49" s="9" t="n">
        <v>9721.181491851807</v>
      </c>
      <c r="N49" s="9" t="n">
        <v>1590.1568908691406</v>
      </c>
      <c r="O49" s="9" t="n">
        <v>800.4980316162109</v>
      </c>
      <c r="P49" s="9" t="n">
        <v>1669.1857767105103</v>
      </c>
      <c r="Q49" s="9" t="n">
        <v>855.4199285507202</v>
      </c>
      <c r="R49" s="9" t="n">
        <v>238.97393894195557</v>
      </c>
      <c r="S49" s="9" t="n">
        <v>1670.402606010437</v>
      </c>
      <c r="T49" s="9" t="n">
        <v>840.4767198562622</v>
      </c>
      <c r="U49">
        <f si="1" t="shared"/>
        <v>15607.704568025249</v>
      </c>
    </row>
    <row r="50" spans="1:21" x14ac:dyDescent="0.25">
      <c r="A50" s="12">
        <v>0.97916666666666663</v>
      </c>
      <c r="B50" s="6" t="n">
        <v>1898.3773600805785</v>
      </c>
      <c r="C50" s="6" t="n">
        <v>749.5952823743678</v>
      </c>
      <c r="D50" s="6" t="n">
        <v>348.20448035997606</v>
      </c>
      <c r="E50" s="6" t="n">
        <v>1058.0419099430885</v>
      </c>
      <c r="F50" s="6" t="n">
        <v>185.02532915772827</v>
      </c>
      <c r="G50" s="6" t="n">
        <v>190.35427526891232</v>
      </c>
      <c r="H50" s="6" t="n">
        <v>117.1721816470623</v>
      </c>
      <c r="I50" s="6" t="n">
        <v>33.01520112693309</v>
      </c>
      <c r="J50" s="6">
        <f si="0" t="shared"/>
        <v>4579.7860199586476</v>
      </c>
      <c r="L50" s="12">
        <v>0.97916666666666663</v>
      </c>
      <c r="M50" s="9" t="n">
        <v>5797.944786071777</v>
      </c>
      <c r="N50" s="9" t="n">
        <v>936.528263092041</v>
      </c>
      <c r="O50" s="9" t="n">
        <v>457.9779682159424</v>
      </c>
      <c r="P50" s="9" t="n">
        <v>986.2775926589966</v>
      </c>
      <c r="Q50" s="9" t="n">
        <v>536.1552505493164</v>
      </c>
      <c r="R50" s="9" t="n">
        <v>140.31323146820068</v>
      </c>
      <c r="S50" s="9" t="n">
        <v>975.1823129653931</v>
      </c>
      <c r="T50" s="9" t="n">
        <v>491.9416198730469</v>
      </c>
      <c r="U50">
        <f si="1" t="shared"/>
        <v>9213.5169518384137</v>
      </c>
    </row>
    <row r="51" spans="1:21" x14ac:dyDescent="0.25">
      <c r="A51" s="12">
        <v>1</v>
      </c>
      <c r="B51" s="6" t="n">
        <v>1100.3680543500286</v>
      </c>
      <c r="C51" s="6" t="n">
        <v>474.2529065298328</v>
      </c>
      <c r="D51" s="6" t="n">
        <v>186.76024233286623</v>
      </c>
      <c r="E51" s="6" t="n">
        <v>532.8076358602639</v>
      </c>
      <c r="F51" s="6" t="n">
        <v>100.17762790064619</v>
      </c>
      <c r="G51" s="6" t="n">
        <v>86.15462887096405</v>
      </c>
      <c r="H51" s="6" t="n">
        <v>44.86420870769024</v>
      </c>
      <c r="I51" s="6" t="n">
        <v>12.15975024473667</v>
      </c>
      <c r="J51" s="6">
        <f si="0" t="shared"/>
        <v>2537.5450547970286</v>
      </c>
      <c r="L51" s="12">
        <v>1</v>
      </c>
      <c r="M51" s="9" t="n">
        <v>3221.1749658584595</v>
      </c>
      <c r="N51" s="9" t="n">
        <v>514.0628175735474</v>
      </c>
      <c r="O51" s="9" t="n">
        <v>245.7419900894165</v>
      </c>
      <c r="P51" s="9" t="n">
        <v>544.6509189605713</v>
      </c>
      <c r="Q51" s="9" t="n">
        <v>311.1658983230591</v>
      </c>
      <c r="R51" s="9" t="n">
        <v>76.77144432067871</v>
      </c>
      <c r="S51" s="9" t="n">
        <v>530.8850164413452</v>
      </c>
      <c r="T51" s="9" t="n">
        <v>269.2864828109741</v>
      </c>
      <c r="U51">
        <f si="1" t="shared"/>
        <v>5062.0168795178943</v>
      </c>
    </row>
    <row r="52" spans="1:21" x14ac:dyDescent="0.25">
      <c r="A52" s="12">
        <v>1.0208333333333333</v>
      </c>
      <c r="B52" s="6" t="n">
        <v>595.0554978047613</v>
      </c>
      <c r="C52" s="6" t="n">
        <v>265.58658266330247</v>
      </c>
      <c r="D52" s="6" t="n">
        <v>92.14034928501914</v>
      </c>
      <c r="E52" s="6" t="n">
        <v>231.23247396795932</v>
      </c>
      <c r="F52" s="6" t="n">
        <v>48.84328201838173</v>
      </c>
      <c r="G52" s="6" t="n">
        <v>31.87395443403721</v>
      </c>
      <c r="H52" s="6" t="n">
        <v>14.850387590169907</v>
      </c>
      <c r="I52" s="6" t="n">
        <v>3.641708212614059</v>
      </c>
      <c r="J52" s="6">
        <f si="0" t="shared"/>
        <v>1283.2242359762449</v>
      </c>
      <c r="L52" s="12">
        <v>1.0208333333333333</v>
      </c>
      <c r="M52" s="9" t="n">
        <v>1644.7213459014893</v>
      </c>
      <c r="N52" s="9" t="n">
        <v>259.5853052139282</v>
      </c>
      <c r="O52" s="9" t="n">
        <v>122.28871059417725</v>
      </c>
      <c r="P52" s="9" t="n">
        <v>277.1699743270874</v>
      </c>
      <c r="Q52" s="9" t="n">
        <v>164.58357048034668</v>
      </c>
      <c r="R52" s="9" t="n">
        <v>38.695494651794434</v>
      </c>
      <c r="S52" s="9" t="n">
        <v>266.3520965576172</v>
      </c>
      <c r="T52" s="9" t="n">
        <v>136.03389263153076</v>
      </c>
      <c r="U52">
        <f si="1" t="shared"/>
        <v>2556.7981447581437</v>
      </c>
    </row>
    <row r="53" spans="1:21" x14ac:dyDescent="0.25">
      <c r="A53" s="12">
        <v>4.1666666666666664E-2</v>
      </c>
      <c r="B53" s="6" t="n">
        <v>289.63937948794097</v>
      </c>
      <c r="C53" s="6" t="n">
        <v>127.80556014209488</v>
      </c>
      <c r="D53" s="6" t="n">
        <v>42.94785059433308</v>
      </c>
      <c r="E53" s="6" t="n">
        <v>84.86038590082927</v>
      </c>
      <c r="F53" s="6" t="n">
        <v>21.232505400189034</v>
      </c>
      <c r="G53" s="6" t="n">
        <v>9.371365899205207</v>
      </c>
      <c r="H53" s="6" t="n">
        <v>4.067620559096337</v>
      </c>
      <c r="I53" s="6" t="n">
        <v>0.8390510423183439</v>
      </c>
      <c r="J53" s="6">
        <f si="0" t="shared"/>
        <v>580.76371902600715</v>
      </c>
      <c r="L53" s="12">
        <v>4.1666666666666664E-2</v>
      </c>
      <c r="M53" s="9" t="n">
        <v>753.5322380065918</v>
      </c>
      <c r="N53" s="9" t="n">
        <v>117.7723970413208</v>
      </c>
      <c r="O53" s="9" t="n">
        <v>55.12172222137451</v>
      </c>
      <c r="P53" s="9" t="n">
        <v>126.80824661254883</v>
      </c>
      <c r="Q53" s="9" t="n">
        <v>77.42786407470703</v>
      </c>
      <c r="R53" s="9" t="n">
        <v>17.552233695983887</v>
      </c>
      <c r="S53" s="9" t="n">
        <v>120.36351299285889</v>
      </c>
      <c r="T53" s="9" t="n">
        <v>61.89604568481445</v>
      </c>
      <c r="U53">
        <f si="1" t="shared"/>
        <v>1160.5146278814107</v>
      </c>
    </row>
    <row r="54" spans="1:21" x14ac:dyDescent="0.25">
      <c r="A54" s="12">
        <v>6.25E-2</v>
      </c>
      <c r="B54" s="6" t="n">
        <v>122.5950199464271</v>
      </c>
      <c r="C54" s="6" t="n">
        <v>51.429702077844055</v>
      </c>
      <c r="D54" s="6" t="n">
        <v>19.079086129448687</v>
      </c>
      <c r="E54" s="6" t="n">
        <v>25.868140139010965</v>
      </c>
      <c r="F54" s="6" t="n">
        <v>8.111658431666978</v>
      </c>
      <c r="G54" s="6" t="n">
        <v>2.103479503393173</v>
      </c>
      <c r="H54" s="6" t="n">
        <v>0.873926684498787</v>
      </c>
      <c r="I54" s="6" t="n">
        <v>0.1385001935958862</v>
      </c>
      <c r="J54" s="6">
        <f si="0" t="shared"/>
        <v>230.19951310588564</v>
      </c>
      <c r="L54" s="12">
        <v>6.25E-2</v>
      </c>
      <c r="M54" s="9" t="n">
        <v>300.34646797180176</v>
      </c>
      <c r="N54" s="9" t="n">
        <v>46.542762756347656</v>
      </c>
      <c r="O54" s="9" t="n">
        <v>21.78518772125244</v>
      </c>
      <c r="P54" s="9" t="n">
        <v>50.53075313568115</v>
      </c>
      <c r="Q54" s="9" t="n">
        <v>31.457021713256836</v>
      </c>
      <c r="R54" s="9" t="n">
        <v>6.941923141479492</v>
      </c>
      <c r="S54" s="9" t="n">
        <v>47.49364757537842</v>
      </c>
      <c r="T54" s="9" t="n">
        <v>24.57332420349121</v>
      </c>
      <c r="U54">
        <f si="1" t="shared"/>
        <v>459.20787596990181</v>
      </c>
    </row>
    <row r="55" spans="1:21" x14ac:dyDescent="0.25">
      <c r="A55" s="12">
        <v>8.3333333333333329E-2</v>
      </c>
      <c r="B55" s="6" t="n">
        <v>43.71817825936854</v>
      </c>
      <c r="C55" s="6" t="n">
        <v>16.829623599851814</v>
      </c>
      <c r="D55" s="6" t="n">
        <v>7.846680818239626</v>
      </c>
      <c r="E55" s="6" t="n">
        <v>6.411574182874215</v>
      </c>
      <c r="F55" s="6" t="n">
        <v>2.6606537353978523</v>
      </c>
      <c r="G55" s="6" t="n">
        <v>0.3382453405857086</v>
      </c>
      <c r="H55" s="6" t="n">
        <v>0.13687226259708404</v>
      </c>
      <c r="I55" s="6" t="n">
        <v>0.01452797174453735</v>
      </c>
      <c r="J55" s="6">
        <f si="0" t="shared"/>
        <v>77.956356170659404</v>
      </c>
      <c r="L55" s="12">
        <v>8.3333333333333329E-2</v>
      </c>
      <c r="M55" s="9" t="n">
        <v>100.61368751525879</v>
      </c>
      <c r="N55" s="9" t="n">
        <v>15.472468376159668</v>
      </c>
      <c r="O55" s="9" t="n">
        <v>7.275531768798828</v>
      </c>
      <c r="P55" s="9" t="n">
        <v>16.931589126586914</v>
      </c>
      <c r="Q55" s="9" t="n">
        <v>10.684700012207031</v>
      </c>
      <c r="R55" s="9" t="n">
        <v>2.309878349304199</v>
      </c>
      <c r="S55" s="9" t="n">
        <v>15.794513702392578</v>
      </c>
      <c r="T55" s="9" t="n">
        <v>8.215110778808594</v>
      </c>
      <c r="U55">
        <f si="1" t="shared"/>
        <v>153.02026921588779</v>
      </c>
    </row>
    <row r="56" spans="1:21" x14ac:dyDescent="0.25">
      <c r="A56" s="12">
        <v>0.10416666666666667</v>
      </c>
      <c r="B56" s="6" t="n">
        <v>12.72665246984922</v>
      </c>
      <c r="C56" s="6" t="n">
        <v>4.333283431083786</v>
      </c>
      <c r="D56" s="6" t="n">
        <v>2.820706032506556</v>
      </c>
      <c r="E56" s="6" t="n">
        <v>1.2513255410560817</v>
      </c>
      <c r="F56" s="6" t="n">
        <v>0.7230925366720284</v>
      </c>
      <c r="G56" s="6" t="n">
        <v>0.034673759818077084</v>
      </c>
      <c r="H56" s="6" t="n">
        <v>0.0138164849281311</v>
      </c>
      <c r="I56" s="6" t="n">
        <v>7.263985872268677E-4</v>
      </c>
      <c r="J56" s="6">
        <f si="0" t="shared"/>
        <v>21.904276654501107</v>
      </c>
      <c r="L56" s="12">
        <v>0.10416666666666667</v>
      </c>
      <c r="M56" s="9" t="n">
        <v>27.257226943969727</v>
      </c>
      <c r="N56" s="9" t="n">
        <v>4.161751747131348</v>
      </c>
      <c r="O56" s="9" t="n">
        <v>1.9715461730957031</v>
      </c>
      <c r="P56" s="9" t="n">
        <v>4.588552474975586</v>
      </c>
      <c r="Q56" s="9" t="n">
        <v>2.924989700317383</v>
      </c>
      <c r="R56" s="9" t="n">
        <v>0.6216030120849609</v>
      </c>
      <c r="S56" s="9" t="n">
        <v>4.255658149719238</v>
      </c>
      <c r="T56" s="9" t="n">
        <v>2.22347354888916</v>
      </c>
      <c r="U56">
        <f si="1" t="shared"/>
        <v>41.30363562959112</v>
      </c>
    </row>
    <row r="57" spans="1:21" x14ac:dyDescent="0.25">
      <c r="A57" s="12">
        <v>0.125</v>
      </c>
      <c r="B57" s="6" t="n">
        <v>2.861245386056162</v>
      </c>
      <c r="C57" s="6" t="n">
        <v>0.8303910381096157</v>
      </c>
      <c r="D57" s="6" t="n">
        <v>0.8044239481506091</v>
      </c>
      <c r="E57" s="6" t="n">
        <v>0.18087089040321003</v>
      </c>
      <c r="F57" s="6" t="n">
        <v>0.15242300672232068</v>
      </c>
      <c r="G57" s="6" t="n">
        <v>0.0017013391256332398</v>
      </c>
      <c r="H57" s="6" t="n">
        <v>6.722594499588013E-4</v>
      </c>
      <c r="I57" s="6" t="n">
        <v>0.0</v>
      </c>
      <c r="J57" s="6">
        <f si="0" t="shared"/>
        <v>4.8317278680175102</v>
      </c>
      <c r="L57" s="12">
        <v>0.125</v>
      </c>
      <c r="M57" s="9" t="n">
        <v>5.616511344909668</v>
      </c>
      <c r="N57" s="9" t="n">
        <v>0.8517780303955078</v>
      </c>
      <c r="O57" s="9" t="n">
        <v>0.4071063995361328</v>
      </c>
      <c r="P57" s="9" t="n">
        <v>0.9457378387451172</v>
      </c>
      <c r="Q57" s="9" t="n">
        <v>0.6076745986938477</v>
      </c>
      <c r="R57" s="9" t="n">
        <v>0.1271963119506836</v>
      </c>
      <c r="S57" s="9" t="n">
        <v>0.873194694519043</v>
      </c>
      <c r="T57" s="9" t="n">
        <v>0.4579935073852539</v>
      </c>
      <c r="U57">
        <f si="1" t="shared"/>
        <v>8.4906094317696432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Z58"/>
  <sheetViews>
    <sheetView workbookViewId="0">
      <selection activeCell="J1" sqref="J1:J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13.0</v>
      </c>
      <c r="O8" s="9" t="n">
        <v>0.0</v>
      </c>
      <c r="P8" s="9" t="n">
        <v>0.0</v>
      </c>
      <c r="Q8" s="9" t="n">
        <v>29.0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1.1780282153673922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4.2118758157721343</v>
      </c>
      <c r="L9" s="12">
        <v>0.125</v>
      </c>
      <c r="M9" s="9" t="n">
        <v>39.67024517059326</v>
      </c>
      <c r="N9" s="9" t="n">
        <v>10.24960708618164</v>
      </c>
      <c r="O9" s="9" t="n">
        <v>0.0</v>
      </c>
      <c r="P9" s="9" t="n">
        <v>0.0</v>
      </c>
      <c r="Q9" s="9" t="n">
        <v>20.117382049560547</v>
      </c>
      <c r="R9" s="9" t="n">
        <v>1.8310546875E-4</v>
      </c>
      <c r="S9" s="9" t="n">
        <v>0.0367889404296875</v>
      </c>
      <c r="T9" s="9" t="n">
        <v>0.0</v>
      </c>
      <c r="U9">
        <f ref="U9:U58" si="1" t="shared">SUM(M9:T9)</f>
        <v>139.07941593642249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4.959481633257519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11.964854599680525</v>
      </c>
      <c r="L10" s="12">
        <v>0.14583333333333334</v>
      </c>
      <c r="M10" s="9" t="n">
        <v>73.64250659942627</v>
      </c>
      <c r="N10" s="9" t="n">
        <v>8.939473152160645</v>
      </c>
      <c r="O10" s="9" t="n">
        <v>0.0</v>
      </c>
      <c r="P10" s="9" t="n">
        <v>0.0</v>
      </c>
      <c r="Q10" s="9" t="n">
        <v>13.060830116271973</v>
      </c>
      <c r="R10" s="9" t="n">
        <v>0.0011501312255859375</v>
      </c>
      <c r="S10" s="9" t="n">
        <v>0.08772945404052734</v>
      </c>
      <c r="T10" s="9" t="n">
        <v>0.0</v>
      </c>
      <c r="U10">
        <f si="1" t="shared"/>
        <v>201.05697489222564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16.091203132496346</v>
      </c>
      <c r="C11" s="6" t="n">
        <v>12.258352589328707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28.349667833511681</v>
      </c>
      <c r="L11" s="12">
        <v>0.16666666666666666</v>
      </c>
      <c r="M11" s="9" t="n">
        <v>127.39641189575195</v>
      </c>
      <c r="N11" s="9" t="n">
        <v>10.258092880249023</v>
      </c>
      <c r="O11" s="9" t="n">
        <v>0.0</v>
      </c>
      <c r="P11" s="9" t="n">
        <v>0.0</v>
      </c>
      <c r="Q11" s="9" t="n">
        <v>8.95191478729248</v>
      </c>
      <c r="R11" s="9" t="n">
        <v>0.005278587341308594</v>
      </c>
      <c r="S11" s="9" t="n">
        <v>0.1581411361694336</v>
      </c>
      <c r="T11" s="9" t="n">
        <v>0.0</v>
      </c>
      <c r="U11">
        <f si="1" t="shared"/>
        <v>238.63460733911123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43.03552292448004</v>
      </c>
      <c r="C12" s="6" t="n">
        <v>18.5882914074032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61.626056565615727</v>
      </c>
      <c r="L12" s="12">
        <v>0.1875</v>
      </c>
      <c r="M12" s="9" t="n">
        <v>209.6271095275879</v>
      </c>
      <c r="N12" s="9" t="n">
        <v>15.20175838470459</v>
      </c>
      <c r="O12" s="9" t="n">
        <v>0.0</v>
      </c>
      <c r="P12" s="9" t="n">
        <v>0.0</v>
      </c>
      <c r="Q12" s="9" t="n">
        <v>8.082079887390137</v>
      </c>
      <c r="R12" s="9" t="n">
        <v>0.019136428833007812</v>
      </c>
      <c r="S12" s="9" t="n">
        <v>0.24196243286132812</v>
      </c>
      <c r="T12" s="9" t="n">
        <v>0.0</v>
      </c>
      <c r="U12">
        <f si="1" t="shared"/>
        <v>277.32289256614661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99.05452689566883</v>
      </c>
      <c r="C13" s="6" t="n">
        <v>25.880323518891625</v>
      </c>
      <c r="D13" s="6" t="n">
        <v>0.0</v>
      </c>
      <c r="E13" s="6" t="n">
        <v>0.0</v>
      </c>
      <c r="F13" s="6" t="n">
        <v>0.02193675068908529</v>
      </c>
      <c r="G13" s="6" t="n">
        <v>0.0</v>
      </c>
      <c r="H13" s="6" t="n">
        <v>0.0</v>
      </c>
      <c r="I13" s="6" t="n">
        <v>0.0</v>
      </c>
      <c r="J13" s="6">
        <f si="0" t="shared"/>
        <v>124.95678716524954</v>
      </c>
      <c r="L13" s="12">
        <v>0.20833333333333334</v>
      </c>
      <c r="M13" s="9" t="n">
        <v>330.6686191558838</v>
      </c>
      <c r="N13" s="9" t="n">
        <v>25.047557830810547</v>
      </c>
      <c r="O13" s="9" t="n">
        <v>0.0</v>
      </c>
      <c r="P13" s="9" t="n">
        <v>0.0</v>
      </c>
      <c r="Q13" s="9" t="n">
        <v>10.466055870056152</v>
      </c>
      <c r="R13" s="9" t="n">
        <v>0.05739593505859375</v>
      </c>
      <c r="S13" s="9" t="n">
        <v>0.3325157165527344</v>
      </c>
      <c r="T13" s="9" t="n">
        <v>0.0</v>
      </c>
      <c r="U13">
        <f si="1" t="shared"/>
        <v>351.87428173059914</v>
      </c>
    </row>
    <row r="14" spans="1:26" x14ac:dyDescent="0.25">
      <c r="A14" s="12">
        <v>0.22916666666666666</v>
      </c>
      <c r="B14" s="6" t="n">
        <v>204.210413995909</v>
      </c>
      <c r="C14" s="6" t="n">
        <v>34.445471891338016</v>
      </c>
      <c r="D14" s="6" t="n">
        <v>0.0</v>
      </c>
      <c r="E14" s="6" t="n">
        <v>0.0</v>
      </c>
      <c r="F14" s="6" t="n">
        <v>0.1405179273604641</v>
      </c>
      <c r="G14" s="6" t="n">
        <v>0.0</v>
      </c>
      <c r="H14" s="6" t="n">
        <v>0.0</v>
      </c>
      <c r="I14" s="6" t="n">
        <v>0.0</v>
      </c>
      <c r="J14" s="6">
        <f si="0" t="shared"/>
        <v>238.79640381460746</v>
      </c>
      <c r="L14" s="12">
        <v>0.22916666666666666</v>
      </c>
      <c r="M14" s="9" t="n">
        <v>508.766508102417</v>
      </c>
      <c r="N14" s="9" t="n">
        <v>42.07847213745117</v>
      </c>
      <c r="O14" s="9" t="n">
        <v>0.0</v>
      </c>
      <c r="P14" s="9" t="n">
        <v>0.0</v>
      </c>
      <c r="Q14" s="9" t="n">
        <v>16.713077545166016</v>
      </c>
      <c r="R14" s="9" t="n">
        <v>0.14655494689941406</v>
      </c>
      <c r="S14" s="9" t="n">
        <v>0.447113037109375</v>
      </c>
      <c r="T14" s="9" t="n">
        <v>0.0</v>
      </c>
      <c r="U14">
        <f si="1" t="shared"/>
        <v>494.27386776016755</v>
      </c>
    </row>
    <row r="15" spans="1:26" x14ac:dyDescent="0.25">
      <c r="A15" s="12">
        <v>0.25</v>
      </c>
      <c r="B15" s="6" t="n">
        <v>388.936975030472</v>
      </c>
      <c r="C15" s="6" t="n">
        <v>44.38579474292244</v>
      </c>
      <c r="D15" s="6" t="n">
        <v>0.0</v>
      </c>
      <c r="E15" s="6" t="n">
        <v>0.0</v>
      </c>
      <c r="F15" s="6" t="n">
        <v>0.6640867930182447</v>
      </c>
      <c r="G15" s="6" t="n">
        <v>0.0</v>
      </c>
      <c r="H15" s="6" t="n">
        <v>0.0</v>
      </c>
      <c r="I15" s="6" t="n">
        <v>0.0</v>
      </c>
      <c r="J15" s="6">
        <f si="0" t="shared"/>
        <v>433.98685656641271</v>
      </c>
      <c r="L15" s="12">
        <v>0.25</v>
      </c>
      <c r="M15" s="9" t="n">
        <v>778.1358804702759</v>
      </c>
      <c r="N15" s="9" t="n">
        <v>70.11781597137451</v>
      </c>
      <c r="O15" s="9" t="n">
        <v>0.0</v>
      </c>
      <c r="P15" s="9" t="n">
        <v>0.0</v>
      </c>
      <c r="Q15" s="9" t="n">
        <v>28.717876434326172</v>
      </c>
      <c r="R15" s="9" t="n">
        <v>0.32378482818603516</v>
      </c>
      <c r="S15" s="9" t="n">
        <v>0.6492500305175781</v>
      </c>
      <c r="T15" s="9" t="n">
        <v>0.0</v>
      </c>
      <c r="U15">
        <f si="1" t="shared"/>
        <v>737.07025133767604</v>
      </c>
    </row>
    <row r="16" spans="1:26" x14ac:dyDescent="0.25">
      <c r="A16" s="12">
        <v>0.27083333333333331</v>
      </c>
      <c r="B16" s="6" t="n">
        <v>694.5046074476193</v>
      </c>
      <c r="C16" s="6" t="n">
        <v>54.89165336922828</v>
      </c>
      <c r="D16" s="6" t="n">
        <v>0.0</v>
      </c>
      <c r="E16" s="6" t="n">
        <v>0.0</v>
      </c>
      <c r="F16" s="6" t="n">
        <v>2.467745328940987</v>
      </c>
      <c r="G16" s="6" t="n">
        <v>0.0</v>
      </c>
      <c r="H16" s="6" t="n">
        <v>0.0</v>
      </c>
      <c r="I16" s="6" t="n">
        <v>0.0</v>
      </c>
      <c r="J16" s="6">
        <f si="0" t="shared"/>
        <v>751.86400614578849</v>
      </c>
      <c r="L16" s="12">
        <v>0.27083333333333331</v>
      </c>
      <c r="M16" s="9" t="n">
        <v>1191.4169483184814</v>
      </c>
      <c r="N16" s="9" t="n">
        <v>114.28861236572266</v>
      </c>
      <c r="O16" s="9" t="n">
        <v>0.0</v>
      </c>
      <c r="P16" s="9" t="n">
        <v>0.0</v>
      </c>
      <c r="Q16" s="9" t="n">
        <v>49.814127922058105</v>
      </c>
      <c r="R16" s="9" t="n">
        <v>0.6251411437988281</v>
      </c>
      <c r="S16" s="9" t="n">
        <v>1.0402603149414062</v>
      </c>
      <c r="T16" s="9" t="n">
        <v>0.0</v>
      </c>
      <c r="U16">
        <f si="1" t="shared"/>
        <v>1121.3184615442203</v>
      </c>
    </row>
    <row r="17" spans="1:21" x14ac:dyDescent="0.25">
      <c r="A17" s="12">
        <v>0.29166666666666669</v>
      </c>
      <c r="B17" s="6" t="n">
        <v>1161.9312366747515</v>
      </c>
      <c r="C17" s="6" t="n">
        <v>65.15966221704095</v>
      </c>
      <c r="D17" s="6" t="n">
        <v>0.0</v>
      </c>
      <c r="E17" s="6" t="n">
        <v>0.0</v>
      </c>
      <c r="F17" s="6" t="n">
        <v>7.494818028557953</v>
      </c>
      <c r="G17" s="6" t="n">
        <v>0.0</v>
      </c>
      <c r="H17" s="6" t="n">
        <v>0.0</v>
      </c>
      <c r="I17" s="6" t="n">
        <v>0.0</v>
      </c>
      <c r="J17" s="6">
        <f si="0" t="shared"/>
        <v>1234.5857169203505</v>
      </c>
      <c r="L17" s="12">
        <v>0.29166666666666669</v>
      </c>
      <c r="M17" s="9" t="n">
        <v>1811.6894788742065</v>
      </c>
      <c r="N17" s="9" t="n">
        <v>179.95900058746338</v>
      </c>
      <c r="O17" s="9" t="n">
        <v>0.0</v>
      </c>
      <c r="P17" s="9" t="n">
        <v>0.0</v>
      </c>
      <c r="Q17" s="9" t="n">
        <v>84.45345878601074</v>
      </c>
      <c r="R17" s="9" t="n">
        <v>1.066370964050293</v>
      </c>
      <c r="S17" s="9" t="n">
        <v>1.710855484008789</v>
      </c>
      <c r="T17" s="9" t="n">
        <v>0.0</v>
      </c>
      <c r="U17">
        <f si="1" t="shared"/>
        <v>1696.4227975949532</v>
      </c>
    </row>
    <row r="18" spans="1:21" x14ac:dyDescent="0.25">
      <c r="A18" s="12">
        <v>0.3125</v>
      </c>
      <c r="B18" s="6" t="n">
        <v>1810.751638357055</v>
      </c>
      <c r="C18" s="6" t="n">
        <v>76.71828092277883</v>
      </c>
      <c r="D18" s="6" t="n">
        <v>0.0</v>
      </c>
      <c r="E18" s="6" t="n">
        <v>0.0</v>
      </c>
      <c r="F18" s="6" t="n">
        <v>19.12502663801712</v>
      </c>
      <c r="G18" s="6" t="n">
        <v>0.0</v>
      </c>
      <c r="H18" s="6" t="n">
        <v>0.0</v>
      </c>
      <c r="I18" s="6" t="n">
        <v>0.0</v>
      </c>
      <c r="J18" s="6">
        <f si="0" t="shared"/>
        <v>1906.594945917851</v>
      </c>
      <c r="L18" s="12">
        <v>0.3125</v>
      </c>
      <c r="M18" s="9" t="n">
        <v>2702.5702390670776</v>
      </c>
      <c r="N18" s="9" t="n">
        <v>271.9275493621826</v>
      </c>
      <c r="O18" s="9" t="n">
        <v>0.0</v>
      </c>
      <c r="P18" s="9" t="n">
        <v>0.0</v>
      </c>
      <c r="Q18" s="9" t="n">
        <v>137.97118091583252</v>
      </c>
      <c r="R18" s="9" t="n">
        <v>1.6374540328979492</v>
      </c>
      <c r="S18" s="9" t="n">
        <v>2.6899614334106445</v>
      </c>
      <c r="T18" s="9" t="n">
        <v>0.0</v>
      </c>
      <c r="U18">
        <f si="1" t="shared"/>
        <v>2516.7454544438824</v>
      </c>
    </row>
    <row r="19" spans="1:21" x14ac:dyDescent="0.25">
      <c r="A19" s="12">
        <v>0.33333333333333331</v>
      </c>
      <c r="B19" s="6" t="n">
        <v>2630.522818537714</v>
      </c>
      <c r="C19" s="6" t="n">
        <v>94.46050651751685</v>
      </c>
      <c r="D19" s="6" t="n">
        <v>0.0</v>
      </c>
      <c r="E19" s="6" t="n">
        <v>0.0</v>
      </c>
      <c r="F19" s="6" t="n">
        <v>42.04860502020277</v>
      </c>
      <c r="G19" s="6" t="n">
        <v>0.0</v>
      </c>
      <c r="H19" s="6" t="n">
        <v>0.0</v>
      </c>
      <c r="I19" s="6" t="n">
        <v>0.0</v>
      </c>
      <c r="J19" s="6">
        <f si="0" t="shared"/>
        <v>2767.0319300754336</v>
      </c>
      <c r="L19" s="12">
        <v>0.33333333333333331</v>
      </c>
      <c r="M19" s="9" t="n">
        <v>3928.9390230178833</v>
      </c>
      <c r="N19" s="9" t="n">
        <v>394.7346534729004</v>
      </c>
      <c r="O19" s="9" t="n">
        <v>0.0</v>
      </c>
      <c r="P19" s="9" t="n">
        <v>0.0</v>
      </c>
      <c r="Q19" s="9" t="n">
        <v>216.6788206100464</v>
      </c>
      <c r="R19" s="9" t="n">
        <v>2.3332767486572266</v>
      </c>
      <c r="S19" s="9" t="n">
        <v>3.9496936798095703</v>
      </c>
      <c r="T19" s="9" t="n">
        <v>0.0</v>
      </c>
      <c r="U19">
        <f si="1" t="shared"/>
        <v>3645.9164395133271</v>
      </c>
    </row>
    <row r="20" spans="1:21" x14ac:dyDescent="0.25">
      <c r="A20" s="12">
        <v>0.35416666666666669</v>
      </c>
      <c r="B20" s="6" t="n">
        <v>3614.862512261572</v>
      </c>
      <c r="C20" s="6" t="n">
        <v>124.53583436139019</v>
      </c>
      <c r="D20" s="6" t="n">
        <v>0.0</v>
      </c>
      <c r="E20" s="6" t="n">
        <v>0.0</v>
      </c>
      <c r="F20" s="6" t="n">
        <v>81.88333812468501</v>
      </c>
      <c r="G20" s="6" t="n">
        <v>0.0</v>
      </c>
      <c r="H20" s="6" t="n">
        <v>0.0</v>
      </c>
      <c r="I20" s="6" t="n">
        <v>0.0</v>
      </c>
      <c r="J20" s="6">
        <f si="0" t="shared"/>
        <v>3821.2816847476474</v>
      </c>
      <c r="L20" s="12">
        <v>0.35416666666666669</v>
      </c>
      <c r="M20" s="9" t="n">
        <v>5557.411078453064</v>
      </c>
      <c r="N20" s="9" t="n">
        <v>552.5913753509521</v>
      </c>
      <c r="O20" s="9" t="n">
        <v>0.0</v>
      </c>
      <c r="P20" s="9" t="n">
        <v>0.0</v>
      </c>
      <c r="Q20" s="9" t="n">
        <v>327.0960359573364</v>
      </c>
      <c r="R20" s="9" t="n">
        <v>3.204592704772949</v>
      </c>
      <c r="S20" s="9" t="n">
        <v>5.470734596252441</v>
      </c>
      <c r="T20" s="9" t="n">
        <v>0.0</v>
      </c>
      <c r="U20">
        <f si="1" t="shared"/>
        <v>5156.3113199357304</v>
      </c>
    </row>
    <row r="21" spans="1:21" x14ac:dyDescent="0.25">
      <c r="A21" s="12">
        <v>0.375</v>
      </c>
      <c r="B21" s="6" t="n">
        <v>4834.009244089642</v>
      </c>
      <c r="C21" s="6" t="n">
        <v>170.98286557424694</v>
      </c>
      <c r="D21" s="6" t="n">
        <v>0.0</v>
      </c>
      <c r="E21" s="6" t="n">
        <v>0.0</v>
      </c>
      <c r="F21" s="6" t="n">
        <v>145.41030006841038</v>
      </c>
      <c r="G21" s="6" t="n">
        <v>0.0</v>
      </c>
      <c r="H21" s="6" t="n">
        <v>0.0</v>
      </c>
      <c r="I21" s="6" t="n">
        <v>0.0</v>
      </c>
      <c r="J21" s="6">
        <f si="0" t="shared"/>
        <v>5150.4024097322999</v>
      </c>
      <c r="L21" s="12">
        <v>0.375</v>
      </c>
      <c r="M21" s="9" t="n">
        <v>7623.904449462891</v>
      </c>
      <c r="N21" s="9" t="n">
        <v>746.0387306213379</v>
      </c>
      <c r="O21" s="9" t="n">
        <v>0.0</v>
      </c>
      <c r="P21" s="9" t="n">
        <v>0.0</v>
      </c>
      <c r="Q21" s="9" t="n">
        <v>472.6767520904541</v>
      </c>
      <c r="R21" s="9" t="n">
        <v>4.369704246520996</v>
      </c>
      <c r="S21" s="9" t="n">
        <v>7.28727912902832</v>
      </c>
      <c r="T21" s="9" t="n">
        <v>0.0</v>
      </c>
      <c r="U21">
        <f si="1" t="shared"/>
        <v>7092.1054677575939</v>
      </c>
    </row>
    <row r="22" spans="1:21" x14ac:dyDescent="0.25">
      <c r="A22" s="12">
        <v>0.39583333333333331</v>
      </c>
      <c r="B22" s="6" t="n">
        <v>6478.575607291268</v>
      </c>
      <c r="C22" s="6" t="n">
        <v>234.5266631648327</v>
      </c>
      <c r="D22" s="6" t="n">
        <v>0.0</v>
      </c>
      <c r="E22" s="6" t="n">
        <v>0.0</v>
      </c>
      <c r="F22" s="6" t="n">
        <v>240.78673248969113</v>
      </c>
      <c r="G22" s="6" t="n">
        <v>0.0</v>
      </c>
      <c r="H22" s="6" t="n">
        <v>0.0</v>
      </c>
      <c r="I22" s="6" t="n">
        <v>0.0</v>
      </c>
      <c r="J22" s="6">
        <f si="0" t="shared"/>
        <v>6953.8890029457925</v>
      </c>
      <c r="L22" s="12">
        <v>0.39583333333333331</v>
      </c>
      <c r="M22" s="9" t="n">
        <v>10064.218894004822</v>
      </c>
      <c r="N22" s="9" t="n">
        <v>965.9207525253296</v>
      </c>
      <c r="O22" s="9" t="n">
        <v>0.0</v>
      </c>
      <c r="P22" s="9" t="n">
        <v>0.0</v>
      </c>
      <c r="Q22" s="9" t="n">
        <v>648.9560279846191</v>
      </c>
      <c r="R22" s="9" t="n">
        <v>5.945971488952637</v>
      </c>
      <c r="S22" s="9" t="n">
        <v>9.430304527282715</v>
      </c>
      <c r="T22" s="9" t="n">
        <v>0.0</v>
      </c>
      <c r="U22">
        <f si="1" t="shared"/>
        <v>9396.217941978126</v>
      </c>
    </row>
    <row r="23" spans="1:21" x14ac:dyDescent="0.25">
      <c r="A23" s="12">
        <v>0.41666666666666669</v>
      </c>
      <c r="B23" s="6" t="n">
        <v>8775.349848173752</v>
      </c>
      <c r="C23" s="6" t="n">
        <v>313.93054730923967</v>
      </c>
      <c r="D23" s="6" t="n">
        <v>0.0</v>
      </c>
      <c r="E23" s="6" t="n">
        <v>0.0</v>
      </c>
      <c r="F23" s="6" t="n">
        <v>373.61614151088315</v>
      </c>
      <c r="G23" s="6" t="n">
        <v>0.0</v>
      </c>
      <c r="H23" s="6" t="n">
        <v>0.0</v>
      </c>
      <c r="I23" s="6" t="n">
        <v>0.0</v>
      </c>
      <c r="J23" s="6">
        <f si="0" t="shared"/>
        <v>9462.8965369938742</v>
      </c>
      <c r="L23" s="12">
        <v>0.41666666666666669</v>
      </c>
      <c r="M23" s="9" t="n">
        <v>12660.628746032715</v>
      </c>
      <c r="N23" s="9" t="n">
        <v>1190.2041521072388</v>
      </c>
      <c r="O23" s="9" t="n">
        <v>0.0</v>
      </c>
      <c r="P23" s="9" t="n">
        <v>0.0</v>
      </c>
      <c r="Q23" s="9" t="n">
        <v>841.0430250167847</v>
      </c>
      <c r="R23" s="9" t="n">
        <v>7.93638801574707</v>
      </c>
      <c r="S23" s="9" t="n">
        <v>11.798505783081055</v>
      </c>
      <c r="T23" s="9" t="n">
        <v>0.0</v>
      </c>
      <c r="U23">
        <f si="1" t="shared"/>
        <v>11857.574883042525</v>
      </c>
    </row>
    <row r="24" spans="1:21" x14ac:dyDescent="0.25">
      <c r="A24" s="12">
        <v>0.4375</v>
      </c>
      <c r="B24" s="6" t="n">
        <v>11749.708545852529</v>
      </c>
      <c r="C24" s="6" t="n">
        <v>406.6533019989484</v>
      </c>
      <c r="D24" s="6" t="n">
        <v>0.0</v>
      </c>
      <c r="E24" s="6" t="n">
        <v>0.0</v>
      </c>
      <c r="F24" s="6" t="n">
        <v>535.7703305478886</v>
      </c>
      <c r="G24" s="6" t="n">
        <v>0.0</v>
      </c>
      <c r="H24" s="6" t="n">
        <v>0.0</v>
      </c>
      <c r="I24" s="6" t="n">
        <v>0.0</v>
      </c>
      <c r="J24" s="6">
        <f si="0" t="shared"/>
        <v>12692.132178399366</v>
      </c>
      <c r="L24" s="12">
        <v>0.4375</v>
      </c>
      <c r="M24" s="9" t="n">
        <v>15059.64113330841</v>
      </c>
      <c r="N24" s="9" t="n">
        <v>1387.8475093841553</v>
      </c>
      <c r="O24" s="9" t="n">
        <v>0.0</v>
      </c>
      <c r="P24" s="9" t="n">
        <v>0.0</v>
      </c>
      <c r="Q24" s="9" t="n">
        <v>1025.9119625091553</v>
      </c>
      <c r="R24" s="9" t="n">
        <v>10.151083946228027</v>
      </c>
      <c r="S24" s="9" t="n">
        <v>14.08261775970459</v>
      </c>
      <c r="T24" s="9" t="n">
        <v>0.0</v>
      </c>
      <c r="U24">
        <f si="1" t="shared"/>
        <v>14132.970213979444</v>
      </c>
    </row>
    <row r="25" spans="1:21" x14ac:dyDescent="0.25">
      <c r="A25" s="12">
        <v>0.45833333333333331</v>
      </c>
      <c r="B25" s="6" t="n">
        <v>14981.78570816961</v>
      </c>
      <c r="C25" s="6" t="n">
        <v>506.07825192552184</v>
      </c>
      <c r="D25" s="6" t="n">
        <v>0.0</v>
      </c>
      <c r="E25" s="6" t="n">
        <v>0.0</v>
      </c>
      <c r="F25" s="6" t="n">
        <v>694.2500931684762</v>
      </c>
      <c r="G25" s="6" t="n">
        <v>0.0</v>
      </c>
      <c r="H25" s="6" t="n">
        <v>0.0</v>
      </c>
      <c r="I25" s="6" t="n">
        <v>0.0</v>
      </c>
      <c r="J25" s="6">
        <f si="0" t="shared"/>
        <v>16182.114053263607</v>
      </c>
      <c r="L25" s="12">
        <v>0.45833333333333331</v>
      </c>
      <c r="M25" s="9" t="n">
        <v>16853.364468574524</v>
      </c>
      <c r="N25" s="9" t="n">
        <v>1527.1158151626587</v>
      </c>
      <c r="O25" s="9" t="n">
        <v>0.0</v>
      </c>
      <c r="P25" s="9" t="n">
        <v>0.0</v>
      </c>
      <c r="Q25" s="9" t="n">
        <v>1177.3947801589966</v>
      </c>
      <c r="R25" s="9" t="n">
        <v>12.218756675720215</v>
      </c>
      <c r="S25" s="9" t="n">
        <v>15.832843780517578</v>
      </c>
      <c r="T25" s="9" t="n">
        <v>0.0</v>
      </c>
      <c r="U25">
        <f si="1" t="shared"/>
        <v>15831.740897259735</v>
      </c>
    </row>
    <row r="26" spans="1:21" x14ac:dyDescent="0.25">
      <c r="A26" s="12">
        <v>0.47916666666666669</v>
      </c>
      <c r="B26" s="6" t="n">
        <v>17615.34637972101</v>
      </c>
      <c r="C26" s="6" t="n">
        <v>596.9735759615361</v>
      </c>
      <c r="D26" s="6" t="n">
        <v>0.0</v>
      </c>
      <c r="E26" s="6" t="n">
        <v>0.0</v>
      </c>
      <c r="F26" s="6" t="n">
        <v>796.5672730345989</v>
      </c>
      <c r="G26" s="6" t="n">
        <v>0.0</v>
      </c>
      <c r="H26" s="6" t="n">
        <v>0.0</v>
      </c>
      <c r="I26" s="6" t="n">
        <v>0.0</v>
      </c>
      <c r="J26" s="6">
        <f si="0" t="shared"/>
        <v>19008.887228717143</v>
      </c>
      <c r="L26" s="12">
        <v>0.47916666666666669</v>
      </c>
      <c r="M26" s="9" t="n">
        <v>17682.653223991394</v>
      </c>
      <c r="N26" s="9" t="n">
        <v>1583.367091178894</v>
      </c>
      <c r="O26" s="9" t="n">
        <v>0.0</v>
      </c>
      <c r="P26" s="9" t="n">
        <v>0.0</v>
      </c>
      <c r="Q26" s="9" t="n">
        <v>1271.2209272384644</v>
      </c>
      <c r="R26" s="9" t="n">
        <v>13.703886032104492</v>
      </c>
      <c r="S26" s="9" t="n">
        <v>16.635746955871582</v>
      </c>
      <c r="T26" s="9" t="n">
        <v>0.0</v>
      </c>
      <c r="U26">
        <f si="1" t="shared"/>
        <v>16616.594016659976</v>
      </c>
    </row>
    <row r="27" spans="1:21" x14ac:dyDescent="0.25">
      <c r="A27" s="12">
        <v>0.5</v>
      </c>
      <c r="B27" s="6" t="n">
        <v>18736.856313378274</v>
      </c>
      <c r="C27" s="6" t="n">
        <v>655.0828768956588</v>
      </c>
      <c r="D27" s="6" t="n">
        <v>0.0</v>
      </c>
      <c r="E27" s="6" t="n">
        <v>0.0</v>
      </c>
      <c r="F27" s="6" t="n">
        <v>798.8299630934825</v>
      </c>
      <c r="G27" s="6" t="n">
        <v>0.0</v>
      </c>
      <c r="H27" s="6" t="n">
        <v>0.0</v>
      </c>
      <c r="I27" s="6" t="n">
        <v>0.0</v>
      </c>
      <c r="J27" s="6">
        <f si="0" t="shared"/>
        <v>20190.769153367415</v>
      </c>
      <c r="L27" s="12">
        <v>0.5</v>
      </c>
      <c r="M27" s="9" t="n">
        <v>17347.998478889465</v>
      </c>
      <c r="N27" s="9" t="n">
        <v>1545.7762928009033</v>
      </c>
      <c r="O27" s="9" t="n">
        <v>0.0</v>
      </c>
      <c r="P27" s="9" t="n">
        <v>0.0</v>
      </c>
      <c r="Q27" s="9" t="n">
        <v>1291.20694065094</v>
      </c>
      <c r="R27" s="9" t="n">
        <v>14.307456016540527</v>
      </c>
      <c r="S27" s="9" t="n">
        <v>16.289298057556152</v>
      </c>
      <c r="T27" s="9" t="n">
        <v>0.0</v>
      </c>
      <c r="U27">
        <f si="1" t="shared"/>
        <v>16304.885419008677</v>
      </c>
    </row>
    <row r="28" spans="1:21" x14ac:dyDescent="0.25">
      <c r="A28" s="12">
        <v>0.52083333333333337</v>
      </c>
      <c r="B28" s="6" t="n">
        <v>17903.576247858877</v>
      </c>
      <c r="C28" s="6" t="n">
        <v>656.2490024161891</v>
      </c>
      <c r="D28" s="6" t="n">
        <v>0.0</v>
      </c>
      <c r="E28" s="6" t="n">
        <v>0.0</v>
      </c>
      <c r="F28" s="6" t="n">
        <v>696.9905528361173</v>
      </c>
      <c r="G28" s="6" t="n">
        <v>0.0</v>
      </c>
      <c r="H28" s="6" t="n">
        <v>0.0</v>
      </c>
      <c r="I28" s="6" t="n">
        <v>0.0</v>
      </c>
      <c r="J28" s="6">
        <f si="0" t="shared"/>
        <v>19256.815803111182</v>
      </c>
      <c r="L28" s="12">
        <v>0.52083333333333337</v>
      </c>
      <c r="M28" s="9" t="n">
        <v>15912.909979820251</v>
      </c>
      <c r="N28" s="9" t="n">
        <v>1423.654094696045</v>
      </c>
      <c r="O28" s="9" t="n">
        <v>0.0</v>
      </c>
      <c r="P28" s="9" t="n">
        <v>0.0</v>
      </c>
      <c r="Q28" s="9" t="n">
        <v>1237.1297912597656</v>
      </c>
      <c r="R28" s="9" t="n">
        <v>14.04916000366211</v>
      </c>
      <c r="S28" s="9" t="n">
        <v>14.882771492004395</v>
      </c>
      <c r="T28" s="9" t="n">
        <v>0.0</v>
      </c>
      <c r="U28">
        <f si="1" t="shared"/>
        <v>14960.612454304111</v>
      </c>
    </row>
    <row r="29" spans="1:21" x14ac:dyDescent="0.25">
      <c r="A29" s="12">
        <v>0.54166666666666663</v>
      </c>
      <c r="B29" s="6" t="n">
        <v>15411.918024954708</v>
      </c>
      <c r="C29" s="6" t="n">
        <v>592.572073319206</v>
      </c>
      <c r="D29" s="6" t="n">
        <v>0.0</v>
      </c>
      <c r="E29" s="6" t="n">
        <v>0.0</v>
      </c>
      <c r="F29" s="6" t="n">
        <v>531.8305711721983</v>
      </c>
      <c r="G29" s="6" t="n">
        <v>0.0</v>
      </c>
      <c r="H29" s="6" t="n">
        <v>0.0</v>
      </c>
      <c r="I29" s="6" t="n">
        <v>0.0</v>
      </c>
      <c r="J29" s="6">
        <f si="0" t="shared"/>
        <v>16536.320669446111</v>
      </c>
      <c r="L29" s="12">
        <v>0.54166666666666663</v>
      </c>
      <c r="M29" s="9" t="n">
        <v>13723.727249145508</v>
      </c>
      <c r="N29" s="9" t="n">
        <v>1247.2426109313965</v>
      </c>
      <c r="O29" s="9" t="n">
        <v>0.0</v>
      </c>
      <c r="P29" s="9" t="n">
        <v>0.0</v>
      </c>
      <c r="Q29" s="9" t="n">
        <v>1128.2608480453491</v>
      </c>
      <c r="R29" s="9" t="n">
        <v>13.272970199584961</v>
      </c>
      <c r="S29" s="9" t="n">
        <v>12.75190544128418</v>
      </c>
      <c r="T29" s="9" t="n">
        <v>0.0</v>
      </c>
      <c r="U29">
        <f si="1" t="shared"/>
        <v>12911.401104979921</v>
      </c>
    </row>
    <row r="30" spans="1:21" x14ac:dyDescent="0.25">
      <c r="A30" s="12">
        <v>0.5625</v>
      </c>
      <c r="B30" s="6" t="n">
        <v>12101.369981584376</v>
      </c>
      <c r="C30" s="6" t="n">
        <v>482.7781427110729</v>
      </c>
      <c r="D30" s="6" t="n">
        <v>0.0</v>
      </c>
      <c r="E30" s="6" t="n">
        <v>0.0</v>
      </c>
      <c r="F30" s="6" t="n">
        <v>361.56987297017156</v>
      </c>
      <c r="G30" s="6" t="n">
        <v>0.0</v>
      </c>
      <c r="H30" s="6" t="n">
        <v>0.0</v>
      </c>
      <c r="I30" s="6" t="n">
        <v>0.0</v>
      </c>
      <c r="J30" s="6">
        <f si="0" t="shared"/>
        <v>12945.717997265619</v>
      </c>
      <c r="L30" s="12">
        <v>0.5625</v>
      </c>
      <c r="M30" s="9" t="n">
        <v>11275.295280456543</v>
      </c>
      <c r="N30" s="9" t="n">
        <v>1056.8594617843628</v>
      </c>
      <c r="O30" s="9" t="n">
        <v>0.0</v>
      </c>
      <c r="P30" s="9" t="n">
        <v>0.0</v>
      </c>
      <c r="Q30" s="9" t="n">
        <v>995.5935249328613</v>
      </c>
      <c r="R30" s="9" t="n">
        <v>12.42763900756836</v>
      </c>
      <c r="S30" s="9" t="n">
        <v>10.340482711791992</v>
      </c>
      <c r="T30" s="9" t="n">
        <v>0.0</v>
      </c>
      <c r="U30">
        <f si="1" t="shared"/>
        <v>10624.098103597215</v>
      </c>
    </row>
    <row r="31" spans="1:21" x14ac:dyDescent="0.25">
      <c r="A31" s="12">
        <v>0.58333333333333337</v>
      </c>
      <c r="B31" s="6" t="n">
        <v>8878.24930827537</v>
      </c>
      <c r="C31" s="6" t="n">
        <v>364.2596796095437</v>
      </c>
      <c r="D31" s="6" t="n">
        <v>0.0</v>
      </c>
      <c r="E31" s="6" t="n">
        <v>0.0</v>
      </c>
      <c r="F31" s="6" t="n">
        <v>227.13735445654112</v>
      </c>
      <c r="G31" s="6" t="n">
        <v>0.0</v>
      </c>
      <c r="H31" s="6" t="n">
        <v>0.0</v>
      </c>
      <c r="I31" s="6" t="n">
        <v>0.0</v>
      </c>
      <c r="J31" s="6">
        <f si="0" t="shared"/>
        <v>9469.6463423414552</v>
      </c>
      <c r="L31" s="12">
        <v>0.58333333333333337</v>
      </c>
      <c r="M31" s="9" t="n">
        <v>8986.723679542542</v>
      </c>
      <c r="N31" s="9" t="n">
        <v>884.8886137008667</v>
      </c>
      <c r="O31" s="9" t="n">
        <v>0.0</v>
      </c>
      <c r="P31" s="9" t="n">
        <v>0.0</v>
      </c>
      <c r="Q31" s="9" t="n">
        <v>866.3296508789062</v>
      </c>
      <c r="R31" s="9" t="n">
        <v>11.790714263916016</v>
      </c>
      <c r="S31" s="9" t="n">
        <v>8.041510581970215</v>
      </c>
      <c r="T31" s="9" t="n">
        <v>0.0</v>
      </c>
      <c r="U31">
        <f si="1" t="shared"/>
        <v>8494.6752022777036</v>
      </c>
    </row>
    <row r="32" spans="1:21" x14ac:dyDescent="0.25">
      <c r="A32" s="12">
        <v>0.60416666666666663</v>
      </c>
      <c r="B32" s="6" t="n">
        <v>6316.313359143593</v>
      </c>
      <c r="C32" s="6" t="n">
        <v>270.1727724536199</v>
      </c>
      <c r="D32" s="6" t="n">
        <v>0.0</v>
      </c>
      <c r="E32" s="6" t="n">
        <v>0.0</v>
      </c>
      <c r="F32" s="6" t="n">
        <v>138.2201263153285</v>
      </c>
      <c r="G32" s="6" t="n">
        <v>0.0</v>
      </c>
      <c r="H32" s="6" t="n">
        <v>0.0</v>
      </c>
      <c r="I32" s="6" t="n">
        <v>0.0</v>
      </c>
      <c r="J32" s="6">
        <f si="0" t="shared"/>
        <v>6724.7062579125404</v>
      </c>
      <c r="L32" s="12">
        <v>0.60416666666666663</v>
      </c>
      <c r="M32" s="9" t="n">
        <v>7057.34038734436</v>
      </c>
      <c r="N32" s="9" t="n">
        <v>744.4015283584595</v>
      </c>
      <c r="O32" s="9" t="n">
        <v>0.0</v>
      </c>
      <c r="P32" s="9" t="n">
        <v>0.0</v>
      </c>
      <c r="Q32" s="9" t="n">
        <v>753.3922348022461</v>
      </c>
      <c r="R32" s="9" t="n">
        <v>11.366681098937988</v>
      </c>
      <c r="S32" s="9" t="n">
        <v>6.095993995666504</v>
      </c>
      <c r="T32" s="9" t="n">
        <v>0.0</v>
      </c>
      <c r="U32">
        <f si="1" t="shared"/>
        <v>6710.6309668389276</v>
      </c>
    </row>
    <row r="33" spans="1:21" x14ac:dyDescent="0.25">
      <c r="A33" s="12">
        <v>0.625</v>
      </c>
      <c r="B33" s="6" t="n">
        <v>4542.985292607633</v>
      </c>
      <c r="C33" s="6" t="n">
        <v>210.75602481947365</v>
      </c>
      <c r="D33" s="6" t="n">
        <v>0.0</v>
      </c>
      <c r="E33" s="6" t="n">
        <v>0.0</v>
      </c>
      <c r="F33" s="6" t="n">
        <v>83.72490818926575</v>
      </c>
      <c r="G33" s="6" t="n">
        <v>0.0</v>
      </c>
      <c r="H33" s="6" t="n">
        <v>0.0</v>
      </c>
      <c r="I33" s="6" t="n">
        <v>0.0</v>
      </c>
      <c r="J33" s="6">
        <f si="0" t="shared"/>
        <v>4837.4662256163729</v>
      </c>
      <c r="L33" s="12">
        <v>0.625</v>
      </c>
      <c r="M33" s="9" t="n">
        <v>5494.390707015991</v>
      </c>
      <c r="N33" s="9" t="n">
        <v>632.2584266662598</v>
      </c>
      <c r="O33" s="9" t="n">
        <v>0.0</v>
      </c>
      <c r="P33" s="9" t="n">
        <v>0.0</v>
      </c>
      <c r="Q33" s="9" t="n">
        <v>657.433536529541</v>
      </c>
      <c r="R33" s="9" t="n">
        <v>11.008644104003906</v>
      </c>
      <c r="S33" s="9" t="n">
        <v>4.583576202392578</v>
      </c>
      <c r="T33" s="9" t="n">
        <v>0.0</v>
      </c>
      <c r="U33">
        <f si="1" t="shared"/>
        <v>5275.6063335281042</v>
      </c>
    </row>
    <row r="34" spans="1:21" x14ac:dyDescent="0.25">
      <c r="A34" s="12">
        <v>0.64583333333333337</v>
      </c>
      <c r="B34" s="6" t="n">
        <v>3376.8972713395274</v>
      </c>
      <c r="C34" s="6" t="n">
        <v>174.20636055044088</v>
      </c>
      <c r="D34" s="6" t="n">
        <v>0.0</v>
      </c>
      <c r="E34" s="6" t="n">
        <v>0.0</v>
      </c>
      <c r="F34" s="6" t="n">
        <v>49.356315189678824</v>
      </c>
      <c r="G34" s="6" t="n">
        <v>0.0</v>
      </c>
      <c r="H34" s="6" t="n">
        <v>0.0</v>
      </c>
      <c r="I34" s="6" t="n">
        <v>0.0</v>
      </c>
      <c r="J34" s="6">
        <f si="0" t="shared"/>
        <v>3600.459947079647</v>
      </c>
      <c r="L34" s="12">
        <v>0.64583333333333337</v>
      </c>
      <c r="M34" s="9" t="n">
        <v>4235.809368133545</v>
      </c>
      <c r="N34" s="9" t="n">
        <v>540.4657344818115</v>
      </c>
      <c r="O34" s="9" t="n">
        <v>0.0</v>
      </c>
      <c r="P34" s="9" t="n">
        <v>0.0</v>
      </c>
      <c r="Q34" s="9" t="n">
        <v>575.8134164810181</v>
      </c>
      <c r="R34" s="9" t="n">
        <v>10.613489151000977</v>
      </c>
      <c r="S34" s="9" t="n">
        <v>3.4774627685546875</v>
      </c>
      <c r="T34" s="9" t="n">
        <v>0.0</v>
      </c>
      <c r="U34">
        <f si="1" t="shared"/>
        <v>4127.0362554692429</v>
      </c>
    </row>
    <row r="35" spans="1:21" x14ac:dyDescent="0.25">
      <c r="A35" s="12">
        <v>0.66666666666666663</v>
      </c>
      <c r="B35" s="6" t="n">
        <v>2554.6717320617763</v>
      </c>
      <c r="C35" s="6" t="n">
        <v>142.88252267217746</v>
      </c>
      <c r="D35" s="6" t="n">
        <v>0.0</v>
      </c>
      <c r="E35" s="6" t="n">
        <v>0.0</v>
      </c>
      <c r="F35" s="6" t="n">
        <v>26.719512681259474</v>
      </c>
      <c r="G35" s="6" t="n">
        <v>0.0</v>
      </c>
      <c r="H35" s="6" t="n">
        <v>0.0</v>
      </c>
      <c r="I35" s="6" t="n">
        <v>0.0</v>
      </c>
      <c r="J35" s="6">
        <f si="0" t="shared"/>
        <v>2724.2737674152131</v>
      </c>
      <c r="L35" s="12">
        <v>0.66666666666666663</v>
      </c>
      <c r="M35" s="9" t="n">
        <v>3236.4724702835083</v>
      </c>
      <c r="N35" s="9" t="n">
        <v>464.2989673614502</v>
      </c>
      <c r="O35" s="9" t="n">
        <v>0.0</v>
      </c>
      <c r="P35" s="9" t="n">
        <v>0.0</v>
      </c>
      <c r="Q35" s="9" t="n">
        <v>508.30732250213623</v>
      </c>
      <c r="R35" s="9" t="n">
        <v>10.22351360321045</v>
      </c>
      <c r="S35" s="9" t="n">
        <v>2.706141471862793</v>
      </c>
      <c r="T35" s="9" t="n">
        <v>0.0</v>
      </c>
      <c r="U35">
        <f si="1" t="shared"/>
        <v>3220.4857296297737</v>
      </c>
    </row>
    <row r="36" spans="1:21" x14ac:dyDescent="0.25">
      <c r="A36" s="12">
        <v>0.6875</v>
      </c>
      <c r="B36" s="6" t="n">
        <v>1896.1306434182784</v>
      </c>
      <c r="C36" s="6" t="n">
        <v>107.97793537702843</v>
      </c>
      <c r="D36" s="6" t="n">
        <v>0.0</v>
      </c>
      <c r="E36" s="6" t="n">
        <v>0.0</v>
      </c>
      <c r="F36" s="6" t="n">
        <v>12.523505570233603</v>
      </c>
      <c r="G36" s="6" t="n">
        <v>0.0</v>
      </c>
      <c r="H36" s="6" t="n">
        <v>0.0</v>
      </c>
      <c r="I36" s="6" t="n">
        <v>0.0</v>
      </c>
      <c r="J36" s="6">
        <f si="0" t="shared"/>
        <v>2016.6320843655403</v>
      </c>
      <c r="L36" s="12">
        <v>0.6875</v>
      </c>
      <c r="M36" s="9" t="n">
        <v>2472.8719329833984</v>
      </c>
      <c r="N36" s="9" t="n">
        <v>402.4869165420532</v>
      </c>
      <c r="O36" s="9" t="n">
        <v>0.0</v>
      </c>
      <c r="P36" s="9" t="n">
        <v>0.0</v>
      </c>
      <c r="Q36" s="9" t="n">
        <v>455.7569627761841</v>
      </c>
      <c r="R36" s="9" t="n">
        <v>9.974909782409668</v>
      </c>
      <c r="S36" s="9" t="n">
        <v>2.1845626831054688</v>
      </c>
      <c r="T36" s="9" t="n">
        <v>0.0</v>
      </c>
      <c r="U36">
        <f si="1" t="shared"/>
        <v>2533.9294769624371</v>
      </c>
    </row>
    <row r="37" spans="1:21" x14ac:dyDescent="0.25">
      <c r="A37" s="12">
        <v>0.70833333333333337</v>
      </c>
      <c r="B37" s="6" t="n">
        <v>1344.4614485341167</v>
      </c>
      <c r="C37" s="6" t="n">
        <v>71.88160260702648</v>
      </c>
      <c r="D37" s="6" t="n">
        <v>0.0</v>
      </c>
      <c r="E37" s="6" t="n">
        <v>0.0</v>
      </c>
      <c r="F37" s="6" t="n">
        <v>4.850600234644531</v>
      </c>
      <c r="G37" s="6" t="n">
        <v>0.0</v>
      </c>
      <c r="H37" s="6" t="n">
        <v>0.0</v>
      </c>
      <c r="I37" s="6" t="n">
        <v>0.0</v>
      </c>
      <c r="J37" s="6">
        <f si="0" t="shared"/>
        <v>1421.1936513757878</v>
      </c>
      <c r="L37" s="12">
        <v>0.70833333333333337</v>
      </c>
      <c r="M37" s="9" t="n">
        <v>1912.3865118026733</v>
      </c>
      <c r="N37" s="9" t="n">
        <v>353.1125831604004</v>
      </c>
      <c r="O37" s="9" t="n">
        <v>0.0</v>
      </c>
      <c r="P37" s="9" t="n">
        <v>0.0</v>
      </c>
      <c r="Q37" s="9" t="n">
        <v>415.62632274627686</v>
      </c>
      <c r="R37" s="9" t="n">
        <v>9.938385963439941</v>
      </c>
      <c r="S37" s="9" t="n">
        <v>1.820338249206543</v>
      </c>
      <c r="T37" s="9" t="n">
        <v>0.0</v>
      </c>
      <c r="U37">
        <f si="1" t="shared"/>
        <v>2035.43690659292</v>
      </c>
    </row>
    <row r="38" spans="1:21" x14ac:dyDescent="0.25">
      <c r="A38" s="12">
        <v>0.72916666666666663</v>
      </c>
      <c r="B38" s="6" t="n">
        <v>913.9780620917111</v>
      </c>
      <c r="C38" s="6" t="n">
        <v>41.36988106845421</v>
      </c>
      <c r="D38" s="6" t="n">
        <v>0.0</v>
      </c>
      <c r="E38" s="6" t="n">
        <v>0.0</v>
      </c>
      <c r="F38" s="6" t="n">
        <v>1.4915195474636564</v>
      </c>
      <c r="G38" s="6" t="n">
        <v>0.0</v>
      </c>
      <c r="H38" s="6" t="n">
        <v>0.0</v>
      </c>
      <c r="I38" s="6" t="n">
        <v>0.0</v>
      </c>
      <c r="J38" s="6">
        <f si="0" t="shared"/>
        <v>956.83946270762897</v>
      </c>
      <c r="L38" s="12">
        <v>0.72916666666666663</v>
      </c>
      <c r="M38" s="9" t="n">
        <v>1500.8584413528442</v>
      </c>
      <c r="N38" s="9" t="n">
        <v>311.06923389434814</v>
      </c>
      <c r="O38" s="9" t="n">
        <v>0.0</v>
      </c>
      <c r="P38" s="9" t="n">
        <v>0.0</v>
      </c>
      <c r="Q38" s="9" t="n">
        <v>380.33513259887695</v>
      </c>
      <c r="R38" s="9" t="n">
        <v>9.979911804199219</v>
      </c>
      <c r="S38" s="9" t="n">
        <v>1.5228891372680664</v>
      </c>
      <c r="T38" s="9" t="n">
        <v>0.0</v>
      </c>
      <c r="U38">
        <f si="1" t="shared"/>
        <v>1669.1297292118199</v>
      </c>
    </row>
    <row r="39" spans="1:21" x14ac:dyDescent="0.25">
      <c r="A39" s="12">
        <v>0.75</v>
      </c>
      <c r="B39" s="6" t="n">
        <v>621.5167155202605</v>
      </c>
      <c r="C39" s="6" t="n">
        <v>20.857175577117417</v>
      </c>
      <c r="D39" s="6" t="n">
        <v>0.0</v>
      </c>
      <c r="E39" s="6" t="n">
        <v>0.0</v>
      </c>
      <c r="F39" s="6" t="n">
        <v>0.34812324882757373</v>
      </c>
      <c r="G39" s="6" t="n">
        <v>0.0</v>
      </c>
      <c r="H39" s="6" t="n">
        <v>0.0</v>
      </c>
      <c r="I39" s="6" t="n">
        <v>0.0</v>
      </c>
      <c r="J39" s="6">
        <f si="0" t="shared"/>
        <v>642.72201434620558</v>
      </c>
      <c r="L39" s="12">
        <v>0.75</v>
      </c>
      <c r="M39" s="9" t="n">
        <v>1179.6400337219238</v>
      </c>
      <c r="N39" s="9" t="n">
        <v>269.87474250793457</v>
      </c>
      <c r="O39" s="9" t="n">
        <v>0.0</v>
      </c>
      <c r="P39" s="9" t="n">
        <v>0.0</v>
      </c>
      <c r="Q39" s="9" t="n">
        <v>341.0133800506592</v>
      </c>
      <c r="R39" s="9" t="n">
        <v>9.797924041748047</v>
      </c>
      <c r="S39" s="9" t="n">
        <v>1.2276544570922852</v>
      </c>
      <c r="T39" s="9" t="n">
        <v>0.0</v>
      </c>
      <c r="U39">
        <f si="1" t="shared"/>
        <v>1373.3303803770614</v>
      </c>
    </row>
    <row r="40" spans="1:21" x14ac:dyDescent="0.25">
      <c r="A40" s="12">
        <v>0.77083333333333337</v>
      </c>
      <c r="B40" s="6" t="n">
        <v>452.1348758379045</v>
      </c>
      <c r="C40" s="6" t="n">
        <v>10.660860098752035</v>
      </c>
      <c r="D40" s="6" t="n">
        <v>0.0</v>
      </c>
      <c r="E40" s="6" t="n">
        <v>0.0</v>
      </c>
      <c r="F40" s="6" t="n">
        <v>0.057799458059389866</v>
      </c>
      <c r="G40" s="6" t="n">
        <v>0.0</v>
      </c>
      <c r="H40" s="6" t="n">
        <v>0.0</v>
      </c>
      <c r="I40" s="6" t="n">
        <v>0.0</v>
      </c>
      <c r="J40" s="6">
        <f si="0" t="shared"/>
        <v>462.85353539471589</v>
      </c>
      <c r="L40" s="12">
        <v>0.77083333333333337</v>
      </c>
      <c r="M40" s="9" t="n">
        <v>911.274022102356</v>
      </c>
      <c r="N40" s="9" t="n">
        <v>226.20213413238525</v>
      </c>
      <c r="O40" s="9" t="n">
        <v>0.0</v>
      </c>
      <c r="P40" s="9" t="n">
        <v>0.0</v>
      </c>
      <c r="Q40" s="9" t="n">
        <v>294.17907524108887</v>
      </c>
      <c r="R40" s="9" t="n">
        <v>9.166744232177734</v>
      </c>
      <c r="S40" s="9" t="n">
        <v>0.9183826446533203</v>
      </c>
      <c r="T40" s="9" t="n">
        <v>0.0</v>
      </c>
      <c r="U40">
        <f si="1" t="shared"/>
        <v>1110.0343887776401</v>
      </c>
    </row>
    <row r="41" spans="1:21" x14ac:dyDescent="0.25">
      <c r="A41" s="12">
        <v>0.79166666666666663</v>
      </c>
      <c r="B41" s="6" t="n">
        <v>362.5280081933958</v>
      </c>
      <c r="C41" s="6" t="n">
        <v>8.791556459903468</v>
      </c>
      <c r="D41" s="6" t="n">
        <v>0.0</v>
      </c>
      <c r="E41" s="6" t="n">
        <v>0.0</v>
      </c>
      <c r="F41" s="6" t="n">
        <v>0.0060754566566658015</v>
      </c>
      <c r="G41" s="6" t="n">
        <v>0.0</v>
      </c>
      <c r="H41" s="6" t="n">
        <v>0.0</v>
      </c>
      <c r="I41" s="6" t="n">
        <v>0.0</v>
      </c>
      <c r="J41" s="6">
        <f si="0" t="shared"/>
        <v>371.32564010995594</v>
      </c>
      <c r="L41" s="12">
        <v>0.79166666666666663</v>
      </c>
      <c r="M41" s="9" t="n">
        <v>689.7416467666626</v>
      </c>
      <c r="N41" s="9" t="n">
        <v>182.69482135772705</v>
      </c>
      <c r="O41" s="9" t="n">
        <v>0.0</v>
      </c>
      <c r="P41" s="9" t="n">
        <v>0.0</v>
      </c>
      <c r="Q41" s="9" t="n">
        <v>245.293683052063</v>
      </c>
      <c r="R41" s="9" t="n">
        <v>8.180706024169922</v>
      </c>
      <c r="S41" s="9" t="n">
        <v>0.6246004104614258</v>
      </c>
      <c r="T41" s="9" t="n">
        <v>0.0</v>
      </c>
      <c r="U41">
        <f si="1" t="shared"/>
        <v>878.16174774783474</v>
      </c>
    </row>
    <row r="42" spans="1:21" x14ac:dyDescent="0.25">
      <c r="A42" s="12">
        <v>0.8125</v>
      </c>
      <c r="B42" s="6" t="n">
        <v>303.2074536640177</v>
      </c>
      <c r="C42" s="6" t="n">
        <v>12.71001087466346</v>
      </c>
      <c r="D42" s="6" t="n">
        <v>0.0</v>
      </c>
      <c r="E42" s="6" t="n">
        <v>0.0</v>
      </c>
      <c r="F42" s="6" t="n">
        <v>3.037728328332901E-4</v>
      </c>
      <c r="G42" s="6" t="n">
        <v>0.0</v>
      </c>
      <c r="H42" s="6" t="n">
        <v>0.0</v>
      </c>
      <c r="I42" s="6" t="n">
        <v>0.0</v>
      </c>
      <c r="J42" s="6">
        <f si="0" t="shared"/>
        <v>315.91776831151395</v>
      </c>
      <c r="L42" s="12">
        <v>0.8125</v>
      </c>
      <c r="M42" s="9" t="n">
        <v>526.9884166717529</v>
      </c>
      <c r="N42" s="9" t="n">
        <v>145.82601165771484</v>
      </c>
      <c r="O42" s="9" t="n">
        <v>0.0</v>
      </c>
      <c r="P42" s="9" t="n">
        <v>0.0</v>
      </c>
      <c r="Q42" s="9" t="n">
        <v>204.88005828857422</v>
      </c>
      <c r="R42" s="9" t="n">
        <v>7.221960067749023</v>
      </c>
      <c r="S42" s="9" t="n">
        <v>0.3927898406982422</v>
      </c>
      <c r="T42" s="9" t="n">
        <v>0.0</v>
      </c>
      <c r="U42">
        <f si="1" t="shared"/>
        <v>698.76361067457071</v>
      </c>
    </row>
    <row r="43" spans="1:21" x14ac:dyDescent="0.25">
      <c r="A43" s="12">
        <v>0.83333333333333337</v>
      </c>
      <c r="B43" s="6" t="n">
        <v>241.2018984260543</v>
      </c>
      <c r="C43" s="6" t="n">
        <v>19.548662653784177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260.75056107983846</v>
      </c>
      <c r="L43" s="12">
        <v>0.83333333333333337</v>
      </c>
      <c r="M43" s="9" t="n">
        <v>427.86775970458984</v>
      </c>
      <c r="N43" s="9" t="n">
        <v>120.2349796295166</v>
      </c>
      <c r="O43" s="9" t="n">
        <v>0.0</v>
      </c>
      <c r="P43" s="9" t="n">
        <v>0.0</v>
      </c>
      <c r="Q43" s="9" t="n">
        <v>179.65477085113525</v>
      </c>
      <c r="R43" s="9" t="n">
        <v>6.63004207611084</v>
      </c>
      <c r="S43" s="9" t="n">
        <v>0.2517824172973633</v>
      </c>
      <c r="T43" s="9" t="n">
        <v>0.0</v>
      </c>
      <c r="U43">
        <f si="1" t="shared"/>
        <v>584.64535561869741</v>
      </c>
    </row>
    <row r="44" spans="1:21" x14ac:dyDescent="0.25">
      <c r="A44" s="12">
        <v>0.85416666666666663</v>
      </c>
      <c r="B44" s="6" t="n">
        <v>169.9707215583477</v>
      </c>
      <c r="C44" s="6" t="n">
        <v>25.86525029502161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195.8359718533693</v>
      </c>
      <c r="L44" s="12">
        <v>0.85416666666666663</v>
      </c>
      <c r="M44" s="9" t="n">
        <v>375.2442569732666</v>
      </c>
      <c r="N44" s="9" t="n">
        <v>104.62792682647705</v>
      </c>
      <c r="O44" s="9" t="n">
        <v>0.0</v>
      </c>
      <c r="P44" s="9" t="n">
        <v>0.0</v>
      </c>
      <c r="Q44" s="9" t="n">
        <v>166.502347946167</v>
      </c>
      <c r="R44" s="9" t="n">
        <v>6.385463714599609</v>
      </c>
      <c r="S44" s="9" t="n">
        <v>0.19475650787353516</v>
      </c>
      <c r="T44" s="9" t="n">
        <v>0.0</v>
      </c>
      <c r="U44">
        <f si="1" t="shared"/>
        <v>520.61200473380393</v>
      </c>
    </row>
    <row r="45" spans="1:21" x14ac:dyDescent="0.25">
      <c r="A45" s="12">
        <v>0.875</v>
      </c>
      <c r="B45" s="6" t="n">
        <v>101.64812287984077</v>
      </c>
      <c r="C45" s="6" t="n">
        <v>28.424917889249414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130.0730407690902</v>
      </c>
      <c r="L45" s="12">
        <v>0.875</v>
      </c>
      <c r="M45" s="9" t="n">
        <v>337.07571601867676</v>
      </c>
      <c r="N45" s="9" t="n">
        <v>92.90037250518799</v>
      </c>
      <c r="O45" s="9" t="n">
        <v>0.0</v>
      </c>
      <c r="P45" s="9" t="n">
        <v>0.0</v>
      </c>
      <c r="Q45" s="9" t="n">
        <v>154.88947010040283</v>
      </c>
      <c r="R45" s="9" t="n">
        <v>6.129459381103516</v>
      </c>
      <c r="S45" s="9" t="n">
        <v>0.18585681915283203</v>
      </c>
      <c r="T45" s="9" t="n">
        <v>0.0</v>
      </c>
      <c r="U45">
        <f si="1" t="shared"/>
        <v>470.5928092331983</v>
      </c>
    </row>
    <row r="46" spans="1:21" x14ac:dyDescent="0.25">
      <c r="A46" s="12">
        <v>0.89583333333333337</v>
      </c>
      <c r="B46" s="6" t="n">
        <v>50.17436933259909</v>
      </c>
      <c r="C46" s="6" t="n">
        <v>25.838452195463887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76.012821528062972</v>
      </c>
      <c r="L46" s="12">
        <v>0.89583333333333337</v>
      </c>
      <c r="M46" s="9" t="n">
        <v>287.0077476501465</v>
      </c>
      <c r="N46" s="9" t="n">
        <v>79.08359813690186</v>
      </c>
      <c r="O46" s="9" t="n">
        <v>0.0</v>
      </c>
      <c r="P46" s="9" t="n">
        <v>0.0</v>
      </c>
      <c r="Q46" s="9" t="n">
        <v>135.35204982757568</v>
      </c>
      <c r="R46" s="9" t="n">
        <v>5.49354362487793</v>
      </c>
      <c r="S46" s="9" t="n">
        <v>0.18323135375976562</v>
      </c>
      <c r="T46" s="9" t="n">
        <v>0.0</v>
      </c>
      <c r="U46">
        <f si="1" t="shared"/>
        <v>403.08587895892924</v>
      </c>
    </row>
    <row r="47" spans="1:21" x14ac:dyDescent="0.25">
      <c r="A47" s="12">
        <v>0.91666666666666663</v>
      </c>
      <c r="B47" s="6" t="n">
        <v>19.958440465880113</v>
      </c>
      <c r="C47" s="6" t="n">
        <v>19.378735159524933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39.337175625405045</v>
      </c>
      <c r="L47" s="12">
        <v>0.91666666666666663</v>
      </c>
      <c r="M47" s="9" t="n">
        <v>219.17098331451416</v>
      </c>
      <c r="N47" s="9" t="n">
        <v>61.42853832244873</v>
      </c>
      <c r="O47" s="9" t="n">
        <v>0.0</v>
      </c>
      <c r="P47" s="9" t="n">
        <v>0.0</v>
      </c>
      <c r="Q47" s="9" t="n">
        <v>106.26187419891357</v>
      </c>
      <c r="R47" s="9" t="n">
        <v>4.4051408767700195</v>
      </c>
      <c r="S47" s="9" t="n">
        <v>0.1616506576538086</v>
      </c>
      <c r="T47" s="9" t="n">
        <v>0.0</v>
      </c>
      <c r="U47">
        <f si="1" t="shared"/>
        <v>311.06575635338379</v>
      </c>
    </row>
    <row r="48" spans="1:21" x14ac:dyDescent="0.25">
      <c r="A48" s="12">
        <v>0.9375</v>
      </c>
      <c r="B48" s="6" t="n">
        <v>6.223153183015394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18.148528665799969</v>
      </c>
      <c r="L48" s="12">
        <v>0.9375</v>
      </c>
      <c r="M48" s="9" t="n">
        <v>145.89993858337402</v>
      </c>
      <c r="N48" s="9" t="n">
        <v>42.47120761871338</v>
      </c>
      <c r="O48" s="9" t="n">
        <v>0.0</v>
      </c>
      <c r="P48" s="9" t="n">
        <v>0.0</v>
      </c>
      <c r="Q48" s="9" t="n">
        <v>73.51148128509521</v>
      </c>
      <c r="R48" s="9" t="n">
        <v>3.102963447570801</v>
      </c>
      <c r="S48" s="9" t="n">
        <v>0.12035465240478516</v>
      </c>
      <c r="T48" s="9" t="n">
        <v>0.0</v>
      </c>
      <c r="U48">
        <f si="1" t="shared"/>
        <v>210.69948835852603</v>
      </c>
    </row>
    <row r="49" spans="1:21" x14ac:dyDescent="0.25">
      <c r="A49" s="12">
        <v>0.95833333333333337</v>
      </c>
      <c r="B49" s="6" t="n">
        <v>1.4631555881433156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7.4258433295356037</v>
      </c>
      <c r="L49" s="12">
        <v>0.95833333333333337</v>
      </c>
      <c r="M49" s="9" t="n">
        <v>83.77674674987793</v>
      </c>
      <c r="N49" s="9" t="n">
        <v>26.018949508666992</v>
      </c>
      <c r="O49" s="9" t="n">
        <v>0.0</v>
      </c>
      <c r="P49" s="9" t="n">
        <v>0.0</v>
      </c>
      <c r="Q49" s="9" t="n">
        <v>44.816853523254395</v>
      </c>
      <c r="R49" s="9" t="n">
        <v>1.9143552780151367</v>
      </c>
      <c r="S49" s="9" t="n">
        <v>0.07394981384277344</v>
      </c>
      <c r="T49" s="9" t="n">
        <v>0.0</v>
      </c>
      <c r="U49">
        <f si="1" t="shared"/>
        <v>124.20777644061771</v>
      </c>
    </row>
    <row r="50" spans="1:21" x14ac:dyDescent="0.25">
      <c r="A50" s="12">
        <v>0.97916666666666663</v>
      </c>
      <c r="B50" s="6" t="n">
        <v>0.24381553680534362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2.6288906333622588</v>
      </c>
      <c r="L50" s="12">
        <v>0.97916666666666663</v>
      </c>
      <c r="M50" s="9" t="n">
        <v>41.61279582977295</v>
      </c>
      <c r="N50" s="9" t="n">
        <v>14.278236389160156</v>
      </c>
      <c r="O50" s="9" t="n">
        <v>0.0</v>
      </c>
      <c r="P50" s="9" t="n">
        <v>0.0</v>
      </c>
      <c r="Q50" s="9" t="n">
        <v>24.478869438171387</v>
      </c>
      <c r="R50" s="9" t="n">
        <v>1.0399198532104492</v>
      </c>
      <c r="S50" s="9" t="n">
        <v>0.036965370178222656</v>
      </c>
      <c r="T50" s="9" t="n">
        <v>0.0</v>
      </c>
      <c r="U50">
        <f si="1" t="shared"/>
        <v>64.063181542609044</v>
      </c>
    </row>
    <row r="51" spans="1:21" x14ac:dyDescent="0.25">
      <c r="A51" s="12">
        <v>1</v>
      </c>
      <c r="B51" s="6" t="n">
        <v>0.02566479334793091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0.7710007610219668</v>
      </c>
      <c r="L51" s="12">
        <v>1</v>
      </c>
      <c r="M51" s="9" t="n">
        <v>18.204492568969727</v>
      </c>
      <c r="N51" s="9" t="n">
        <v>7.167618751525879</v>
      </c>
      <c r="O51" s="9" t="n">
        <v>0.0</v>
      </c>
      <c r="P51" s="9" t="n">
        <v>0.0</v>
      </c>
      <c r="Q51" s="9" t="n">
        <v>12.32674503326416</v>
      </c>
      <c r="R51" s="9" t="n">
        <v>0.5011796951293945</v>
      </c>
      <c r="S51" s="9" t="n">
        <v>0.0147857666015625</v>
      </c>
      <c r="T51" s="9" t="n">
        <v>0.0</v>
      </c>
      <c r="U51">
        <f si="1" t="shared"/>
        <v>29.457857516457846</v>
      </c>
    </row>
    <row r="52" spans="1:21" x14ac:dyDescent="0.25">
      <c r="A52" s="12">
        <v>1.0208333333333333</v>
      </c>
      <c r="B52" s="6" t="n">
        <v>0.0012832396673965454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0.17665640853187559</v>
      </c>
      <c r="L52" s="12">
        <v>1.0208333333333333</v>
      </c>
      <c r="M52" s="9" t="n">
        <v>7.2613420486450195</v>
      </c>
      <c r="N52" s="9" t="n">
        <v>3.3550243377685547</v>
      </c>
      <c r="O52" s="9" t="n">
        <v>0.0</v>
      </c>
      <c r="P52" s="9" t="n">
        <v>0.0</v>
      </c>
      <c r="Q52" s="9" t="n">
        <v>5.870935440063477</v>
      </c>
      <c r="R52" s="9" t="n">
        <v>0.21485137939453125</v>
      </c>
      <c r="S52" s="9" t="n">
        <v>0.004620552062988281</v>
      </c>
      <c r="T52" s="9" t="n">
        <v>0.0</v>
      </c>
      <c r="U52">
        <f si="1" t="shared"/>
        <v>12.426462408526335</v>
      </c>
    </row>
    <row r="53" spans="1:21" x14ac:dyDescent="0.25">
      <c r="A53" s="12">
        <v>4.1666666666666664E-2</v>
      </c>
      <c r="B53" s="6" t="n">
        <v>0.0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2.9228861477413173E-2</v>
      </c>
      <c r="L53" s="12">
        <v>4.1666666666666664E-2</v>
      </c>
      <c r="M53" s="9" t="n">
        <v>2.741909980773926</v>
      </c>
      <c r="N53" s="9" t="n">
        <v>1.4632205963134766</v>
      </c>
      <c r="O53" s="9" t="n">
        <v>0.0</v>
      </c>
      <c r="P53" s="9" t="n">
        <v>0.0</v>
      </c>
      <c r="Q53" s="9" t="n">
        <v>2.6400156021118164</v>
      </c>
      <c r="R53" s="9" t="n">
        <v>0.08112907409667969</v>
      </c>
      <c r="S53" s="9" t="n">
        <v>0.001087188720703125</v>
      </c>
      <c r="T53" s="9" t="n">
        <v>0.0</v>
      </c>
      <c r="U53">
        <f si="1" t="shared"/>
        <v>4.9148290049495014</v>
      </c>
    </row>
    <row r="54" spans="1:21" x14ac:dyDescent="0.25">
      <c r="A54" s="12">
        <v>6.25E-2</v>
      </c>
      <c r="B54" s="6" t="n">
        <v>0.0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3.0767222607803349E-3</v>
      </c>
      <c r="L54" s="12">
        <v>6.25E-2</v>
      </c>
      <c r="M54" s="9" t="n">
        <v>0.9858465194702148</v>
      </c>
      <c r="N54" s="9" t="n">
        <v>0.5775671005249023</v>
      </c>
      <c r="O54" s="9" t="n">
        <v>0.0</v>
      </c>
      <c r="P54" s="9" t="n">
        <v>0.0</v>
      </c>
      <c r="Q54" s="9" t="n">
        <v>1.0799407958984375</v>
      </c>
      <c r="R54" s="9" t="n">
        <v>0.026291847229003906</v>
      </c>
      <c r="S54" s="9" t="n">
        <v>1.811981201171875E-4</v>
      </c>
      <c r="T54" s="9" t="n">
        <v>0.0</v>
      </c>
      <c r="U54">
        <f si="1" t="shared"/>
        <v>1.8060201274129266</v>
      </c>
    </row>
    <row r="55" spans="1:21" x14ac:dyDescent="0.25">
      <c r="A55" s="12">
        <v>8.3333333333333329E-2</v>
      </c>
      <c r="B55" s="6" t="n">
        <v>0.0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1.5383611303901673E-4</v>
      </c>
      <c r="L55" s="12">
        <v>8.3333333333333329E-2</v>
      </c>
      <c r="M55" s="9" t="n">
        <v>0.32256603240966797</v>
      </c>
      <c r="N55" s="9" t="n">
        <v>0.19673633575439453</v>
      </c>
      <c r="O55" s="9" t="n">
        <v>0.0</v>
      </c>
      <c r="P55" s="9" t="n">
        <v>0.0</v>
      </c>
      <c r="Q55" s="9" t="n">
        <v>0.3802175521850586</v>
      </c>
      <c r="R55" s="9" t="n">
        <v>0.007018089294433594</v>
      </c>
      <c r="S55" s="9" t="n">
        <v>1.9073486328125E-5</v>
      </c>
      <c r="T55" s="9" t="n">
        <v>0.0</v>
      </c>
      <c r="U55">
        <f si="1" t="shared"/>
        <v>0.58938320187026172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0.08920955657958984</v>
      </c>
      <c r="N56" s="9" t="n">
        <v>0.05482959747314453</v>
      </c>
      <c r="O56" s="9" t="n">
        <v>0.0</v>
      </c>
      <c r="P56" s="9" t="n">
        <v>0.0</v>
      </c>
      <c r="Q56" s="9" t="n">
        <v>0.10888099670410156</v>
      </c>
      <c r="R56" s="9" t="n">
        <v>0.0014600753784179688</v>
      </c>
      <c r="S56" s="9" t="n">
        <v>9.5367431640625E-7</v>
      </c>
      <c r="T56" s="9" t="n">
        <v>0.0</v>
      </c>
      <c r="U56">
        <f si="1" t="shared"/>
        <v>0.16037926105422778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0.019026756286621094</v>
      </c>
      <c r="N57" s="9" t="n">
        <v>0.011636734008789062</v>
      </c>
      <c r="O57" s="9" t="n">
        <v>0.0</v>
      </c>
      <c r="P57" s="9" t="n">
        <v>0.0</v>
      </c>
      <c r="Q57" s="9" t="n">
        <v>0.02359485626220703</v>
      </c>
      <c r="R57" s="9" t="n">
        <v>2.1839141845703125E-4</v>
      </c>
      <c r="S57" s="9" t="n">
        <v>0.0</v>
      </c>
      <c r="T57" s="9" t="n">
        <v>0.0</v>
      </c>
      <c r="U57">
        <f si="1" t="shared"/>
        <v>3.3533087107054785E-2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7924.0</v>
      </c>
      <c r="N8" s="9" t="n">
        <v>2796.0</v>
      </c>
      <c r="O8" s="9" t="n">
        <v>0.0</v>
      </c>
      <c r="P8" s="9" t="n">
        <v>0.0</v>
      </c>
      <c r="Q8" s="9" t="n">
        <v>4542.0</v>
      </c>
      <c r="R8" s="9" t="n">
        <v>262.0</v>
      </c>
      <c r="S8" s="9" t="n">
        <v>18.0</v>
      </c>
      <c r="T8" s="9" t="n">
        <v>0.0</v>
      </c>
      <c r="U8">
        <f>SUM(M8:T8)</f>
        <v>12499.496154576724</v>
      </c>
      <c r="W8" s="5"/>
      <c r="X8" s="16"/>
      <c r="Y8" s="16"/>
      <c r="Z8" s="5"/>
    </row>
    <row r="9" spans="1:26" x14ac:dyDescent="0.25">
      <c r="A9" s="12">
        <v>0.125</v>
      </c>
      <c r="B9" s="6" t="n">
        <v>0.5004121641004206</v>
      </c>
      <c r="C9" s="6" t="n">
        <v>6.587063103991141</v>
      </c>
      <c r="D9" s="6" t="n">
        <v>0.0</v>
      </c>
      <c r="E9" s="6" t="n">
        <v>9.676791566053595</v>
      </c>
      <c r="F9" s="6" t="n">
        <v>0.3472377374493919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17.111504571594544</v>
      </c>
      <c r="L9" s="12">
        <v>0.125</v>
      </c>
      <c r="M9" s="9" t="n">
        <v>5293.491827011108</v>
      </c>
      <c r="N9" s="9" t="n">
        <v>1861.9741258621216</v>
      </c>
      <c r="O9" s="9" t="n">
        <v>0.0</v>
      </c>
      <c r="P9" s="9" t="n">
        <v>0.0</v>
      </c>
      <c r="Q9" s="9" t="n">
        <v>3015.626247406006</v>
      </c>
      <c r="R9" s="9" t="n">
        <v>173.86961936950684</v>
      </c>
      <c r="S9" s="9" t="n">
        <v>11.950715065002441</v>
      </c>
      <c r="T9" s="9" t="n">
        <v>0.0</v>
      </c>
      <c r="U9">
        <f ref="U9:U58" si="1" t="shared">SUM(M9:T9)</f>
        <v>8356.9091720781671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2.406016310030728</v>
      </c>
      <c r="C10" s="6" t="n">
        <v>12.975267976454933</v>
      </c>
      <c r="D10" s="6" t="n">
        <v>0.0</v>
      </c>
      <c r="E10" s="6" t="n">
        <v>18.916599280163332</v>
      </c>
      <c r="F10" s="6" t="n">
        <v>0.9471732390218125</v>
      </c>
      <c r="G10" s="6" t="n">
        <v>0.0</v>
      </c>
      <c r="H10" s="6" t="n">
        <v>0.0</v>
      </c>
      <c r="I10" s="6" t="n">
        <v>0.0</v>
      </c>
      <c r="J10" s="6">
        <f si="0" t="shared"/>
        <v>35.245056805670806</v>
      </c>
      <c r="L10" s="12">
        <v>0.14583333333333334</v>
      </c>
      <c r="M10" s="9" t="n">
        <v>3114.3921575546265</v>
      </c>
      <c r="N10" s="9" t="n">
        <v>1086.1722774505615</v>
      </c>
      <c r="O10" s="9" t="n">
        <v>0.0</v>
      </c>
      <c r="P10" s="9" t="n">
        <v>0.0</v>
      </c>
      <c r="Q10" s="9" t="n">
        <v>1744.295048713684</v>
      </c>
      <c r="R10" s="9" t="n">
        <v>100.42841148376465</v>
      </c>
      <c r="S10" s="9" t="n">
        <v>6.921314239501953</v>
      </c>
      <c r="T10" s="9" t="n">
        <v>0.0</v>
      </c>
      <c r="U10">
        <f si="1" t="shared"/>
        <v>4908.4301371760948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8.944642264792968</v>
      </c>
      <c r="C11" s="6" t="n">
        <v>18.581991732993217</v>
      </c>
      <c r="D11" s="6" t="n">
        <v>0.0</v>
      </c>
      <c r="E11" s="6" t="n">
        <v>26.20255126938043</v>
      </c>
      <c r="F11" s="6" t="n">
        <v>2.832540224998381</v>
      </c>
      <c r="G11" s="6" t="n">
        <v>0.0</v>
      </c>
      <c r="H11" s="6" t="n">
        <v>0.0</v>
      </c>
      <c r="I11" s="6" t="n">
        <v>0.0</v>
      </c>
      <c r="J11" s="6">
        <f si="0" t="shared"/>
        <v>56.561725492164996</v>
      </c>
      <c r="L11" s="12">
        <v>0.16666666666666666</v>
      </c>
      <c r="M11" s="9" t="n">
        <v>1638.1223402023315</v>
      </c>
      <c r="N11" s="9" t="n">
        <v>555.7985143661499</v>
      </c>
      <c r="O11" s="9" t="n">
        <v>0.0</v>
      </c>
      <c r="P11" s="9" t="n">
        <v>0.0</v>
      </c>
      <c r="Q11" s="9" t="n">
        <v>865.8304538726807</v>
      </c>
      <c r="R11" s="9" t="n">
        <v>49.5875940322876</v>
      </c>
      <c r="S11" s="9" t="n">
        <v>3.476687431335449</v>
      </c>
      <c r="T11" s="9" t="n">
        <v>0.0</v>
      </c>
      <c r="U11">
        <f si="1" t="shared"/>
        <v>2539.5541984756451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27.304755565799475</v>
      </c>
      <c r="C12" s="6" t="n">
        <v>23.840458066176165</v>
      </c>
      <c r="D12" s="6" t="n">
        <v>0.0</v>
      </c>
      <c r="E12" s="6" t="n">
        <v>29.84624134415482</v>
      </c>
      <c r="F12" s="6" t="n">
        <v>9.32538916316102</v>
      </c>
      <c r="G12" s="6" t="n">
        <v>0.0</v>
      </c>
      <c r="H12" s="6" t="n">
        <v>0.0</v>
      </c>
      <c r="I12" s="6" t="n">
        <v>0.0</v>
      </c>
      <c r="J12" s="6">
        <f si="0" t="shared"/>
        <v>90.316844139291476</v>
      </c>
      <c r="L12" s="12">
        <v>0.1875</v>
      </c>
      <c r="M12" s="9" t="n">
        <v>864.2083625793457</v>
      </c>
      <c r="N12" s="9" t="n">
        <v>267.93510150909424</v>
      </c>
      <c r="O12" s="9" t="n">
        <v>0.0</v>
      </c>
      <c r="P12" s="9" t="n">
        <v>0.0</v>
      </c>
      <c r="Q12" s="9" t="n">
        <v>367.6730308532715</v>
      </c>
      <c r="R12" s="9" t="n">
        <v>20.545074462890625</v>
      </c>
      <c r="S12" s="9" t="n">
        <v>1.6068572998046875</v>
      </c>
      <c r="T12" s="9" t="n">
        <v>0.0</v>
      </c>
      <c r="U12">
        <f si="1" t="shared"/>
        <v>1242.0661723033957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70.77650495346667</v>
      </c>
      <c r="C13" s="6" t="n">
        <v>33.360674911864365</v>
      </c>
      <c r="D13" s="6" t="n">
        <v>0.001603926628627777</v>
      </c>
      <c r="E13" s="6" t="n">
        <v>30.66992022581313</v>
      </c>
      <c r="F13" s="6" t="n">
        <v>27.75024978911297</v>
      </c>
      <c r="G13" s="6" t="n">
        <v>0.0</v>
      </c>
      <c r="H13" s="6" t="n">
        <v>0.0</v>
      </c>
      <c r="I13" s="6" t="n">
        <v>0.0</v>
      </c>
      <c r="J13" s="6">
        <f si="0" t="shared"/>
        <v>162.55895380688577</v>
      </c>
      <c r="L13" s="12">
        <v>0.20833333333333334</v>
      </c>
      <c r="M13" s="9" t="n">
        <v>643.5875272750854</v>
      </c>
      <c r="N13" s="9" t="n">
        <v>165.24412155151367</v>
      </c>
      <c r="O13" s="9" t="n">
        <v>0.0</v>
      </c>
      <c r="P13" s="9" t="n">
        <v>0.0</v>
      </c>
      <c r="Q13" s="9" t="n">
        <v>143.22386741638184</v>
      </c>
      <c r="R13" s="9" t="n">
        <v>7.015193939208984</v>
      </c>
      <c r="S13" s="9" t="n">
        <v>0.9617214202880859</v>
      </c>
      <c r="T13" s="9" t="n">
        <v>0.0</v>
      </c>
      <c r="U13">
        <f si="1" t="shared"/>
        <v>766.92134299658767</v>
      </c>
    </row>
    <row r="14" spans="1:26" x14ac:dyDescent="0.25">
      <c r="A14" s="12">
        <v>0.22916666666666666</v>
      </c>
      <c r="B14" s="6" t="n">
        <v>160.16282649841892</v>
      </c>
      <c r="C14" s="6" t="n">
        <v>58.447202705211645</v>
      </c>
      <c r="D14" s="6" t="n">
        <v>0.032596588541657444</v>
      </c>
      <c r="E14" s="6" t="n">
        <v>34.0103994610231</v>
      </c>
      <c r="F14" s="6" t="n">
        <v>68.61676153093171</v>
      </c>
      <c r="G14" s="6" t="n">
        <v>0.0</v>
      </c>
      <c r="H14" s="6" t="n">
        <v>0.0</v>
      </c>
      <c r="I14" s="6" t="n">
        <v>1.0420465469360351E-4</v>
      </c>
      <c r="J14" s="6">
        <f si="0" t="shared"/>
        <v>321.26989098878175</v>
      </c>
      <c r="L14" s="12">
        <v>0.22916666666666666</v>
      </c>
      <c r="M14" s="9" t="n">
        <v>819.8332605361938</v>
      </c>
      <c r="N14" s="9" t="n">
        <v>186.1933250427246</v>
      </c>
      <c r="O14" s="9" t="n">
        <v>0.0</v>
      </c>
      <c r="P14" s="9" t="n">
        <v>0.0</v>
      </c>
      <c r="Q14" s="9" t="n">
        <v>74.35841655731201</v>
      </c>
      <c r="R14" s="9" t="n">
        <v>1.992177963256836</v>
      </c>
      <c r="S14" s="9" t="n">
        <v>1.1792593002319336</v>
      </c>
      <c r="T14" s="9" t="n">
        <v>0.0</v>
      </c>
      <c r="U14">
        <f si="1" t="shared"/>
        <v>843.46871817963358</v>
      </c>
    </row>
    <row r="15" spans="1:26" x14ac:dyDescent="0.25">
      <c r="A15" s="12">
        <v>0.25</v>
      </c>
      <c r="B15" s="6" t="n">
        <v>324.23921069585043</v>
      </c>
      <c r="C15" s="6" t="n">
        <v>115.57793137236904</v>
      </c>
      <c r="D15" s="6" t="n">
        <v>0.3151071788213158</v>
      </c>
      <c r="E15" s="6" t="n">
        <v>48.3933345202863</v>
      </c>
      <c r="F15" s="6" t="n">
        <v>139.25295867041874</v>
      </c>
      <c r="G15" s="6" t="n">
        <v>0.0</v>
      </c>
      <c r="H15" s="6" t="n">
        <v>0.0</v>
      </c>
      <c r="I15" s="6" t="n">
        <v>0.00208409309387207</v>
      </c>
      <c r="J15" s="6">
        <f si="0" t="shared"/>
        <v>627.78062653083975</v>
      </c>
      <c r="L15" s="12">
        <v>0.25</v>
      </c>
      <c r="M15" s="9" t="n">
        <v>1299.9540910720825</v>
      </c>
      <c r="N15" s="9" t="n">
        <v>292.15492057800293</v>
      </c>
      <c r="O15" s="9" t="n">
        <v>0.0</v>
      </c>
      <c r="P15" s="9" t="n">
        <v>0.0</v>
      </c>
      <c r="Q15" s="9" t="n">
        <v>80.43506336212158</v>
      </c>
      <c r="R15" s="9" t="n">
        <v>0.6187143325805664</v>
      </c>
      <c r="S15" s="9" t="n">
        <v>2.0582523345947266</v>
      </c>
      <c r="T15" s="9" t="n">
        <v>0.0</v>
      </c>
      <c r="U15">
        <f si="1" t="shared"/>
        <v>1301.1136870707446</v>
      </c>
    </row>
    <row r="16" spans="1:26" x14ac:dyDescent="0.25">
      <c r="A16" s="12">
        <v>0.27083333333333331</v>
      </c>
      <c r="B16" s="6" t="n">
        <v>599.3013825068392</v>
      </c>
      <c r="C16" s="6" t="n">
        <v>219.88322089075376</v>
      </c>
      <c r="D16" s="6" t="n">
        <v>1.9272183570805956</v>
      </c>
      <c r="E16" s="6" t="n">
        <v>80.61724617011453</v>
      </c>
      <c r="F16" s="6" t="n">
        <v>234.4104595486029</v>
      </c>
      <c r="G16" s="6" t="n">
        <v>0.0</v>
      </c>
      <c r="H16" s="6" t="n">
        <v>0.0</v>
      </c>
      <c r="I16" s="6" t="n">
        <v>0.019798884391784666</v>
      </c>
      <c r="J16" s="6">
        <f si="0" t="shared"/>
        <v>1136.1593263577829</v>
      </c>
      <c r="L16" s="12">
        <v>0.27083333333333331</v>
      </c>
      <c r="M16" s="9" t="n">
        <v>2047.162115097046</v>
      </c>
      <c r="N16" s="9" t="n">
        <v>466.73190689086914</v>
      </c>
      <c r="O16" s="9" t="n">
        <v>0.0</v>
      </c>
      <c r="P16" s="9" t="n">
        <v>0.0</v>
      </c>
      <c r="Q16" s="9" t="n">
        <v>123.37745952606201</v>
      </c>
      <c r="R16" s="9" t="n">
        <v>0.5255718231201172</v>
      </c>
      <c r="S16" s="9" t="n">
        <v>3.5419301986694336</v>
      </c>
      <c r="T16" s="9" t="n">
        <v>0.0</v>
      </c>
      <c r="U16">
        <f si="1" t="shared"/>
        <v>2069.8284927235613</v>
      </c>
    </row>
    <row r="17" spans="1:21" x14ac:dyDescent="0.25">
      <c r="A17" s="12">
        <v>0.29166666666666669</v>
      </c>
      <c r="B17" s="6" t="n">
        <v>1025.7395568363927</v>
      </c>
      <c r="C17" s="6" t="n">
        <v>378.2673569149681</v>
      </c>
      <c r="D17" s="6" t="n">
        <v>8.369324354447832</v>
      </c>
      <c r="E17" s="6" t="n">
        <v>130.89232385246666</v>
      </c>
      <c r="F17" s="6" t="n">
        <v>334.5549928512412</v>
      </c>
      <c r="G17" s="6" t="n">
        <v>0.0</v>
      </c>
      <c r="H17" s="6" t="n">
        <v>0.0</v>
      </c>
      <c r="I17" s="6" t="n">
        <v>0.11879330635070799</v>
      </c>
      <c r="J17" s="6">
        <f si="0" t="shared"/>
        <v>1877.9423481158672</v>
      </c>
      <c r="L17" s="12">
        <v>0.29166666666666669</v>
      </c>
      <c r="M17" s="9" t="n">
        <v>3064.6298151016235</v>
      </c>
      <c r="N17" s="9" t="n">
        <v>707.146315574646</v>
      </c>
      <c r="O17" s="9" t="n">
        <v>0.0</v>
      </c>
      <c r="P17" s="9" t="n">
        <v>0.0</v>
      </c>
      <c r="Q17" s="9" t="n">
        <v>192.93313694000244</v>
      </c>
      <c r="R17" s="9" t="n">
        <v>0.9440040588378906</v>
      </c>
      <c r="S17" s="9" t="n">
        <v>5.653408050537109</v>
      </c>
      <c r="T17" s="9" t="n">
        <v>0.0</v>
      </c>
      <c r="U17">
        <f si="1" t="shared"/>
        <v>3145.2988251760448</v>
      </c>
    </row>
    <row r="18" spans="1:21" x14ac:dyDescent="0.25">
      <c r="A18" s="12">
        <v>0.3125</v>
      </c>
      <c r="B18" s="6" t="n">
        <v>1638.465765840053</v>
      </c>
      <c r="C18" s="6" t="n">
        <v>589.9148446475826</v>
      </c>
      <c r="D18" s="6" t="n">
        <v>27.466845359323457</v>
      </c>
      <c r="E18" s="6" t="n">
        <v>193.540471179171</v>
      </c>
      <c r="F18" s="6" t="n">
        <v>420.5592489800579</v>
      </c>
      <c r="G18" s="6" t="n">
        <v>0.0</v>
      </c>
      <c r="H18" s="6" t="n">
        <v>0.0</v>
      </c>
      <c r="I18" s="6" t="n">
        <v>0.5048715519905089</v>
      </c>
      <c r="J18" s="6">
        <f si="0" t="shared"/>
        <v>2870.4520475581789</v>
      </c>
      <c r="L18" s="12">
        <v>0.3125</v>
      </c>
      <c r="M18" s="9" t="n">
        <v>4427.103392601013</v>
      </c>
      <c r="N18" s="9" t="n">
        <v>1025.2532835006714</v>
      </c>
      <c r="O18" s="9" t="n">
        <v>0.0</v>
      </c>
      <c r="P18" s="9" t="n">
        <v>0.0</v>
      </c>
      <c r="Q18" s="9" t="n">
        <v>294.85571575164795</v>
      </c>
      <c r="R18" s="9" t="n">
        <v>1.8372173309326172</v>
      </c>
      <c r="S18" s="9" t="n">
        <v>8.52274227142334</v>
      </c>
      <c r="T18" s="9" t="n">
        <v>0.0</v>
      </c>
      <c r="U18">
        <f si="1" t="shared"/>
        <v>4599.7294293425466</v>
      </c>
    </row>
    <row r="19" spans="1:21" x14ac:dyDescent="0.25">
      <c r="A19" s="12">
        <v>0.33333333333333331</v>
      </c>
      <c r="B19" s="6" t="n">
        <v>2457.0354661674414</v>
      </c>
      <c r="C19" s="6" t="n">
        <v>855.7106447410895</v>
      </c>
      <c r="D19" s="6" t="n">
        <v>70.85362107110495</v>
      </c>
      <c r="E19" s="6" t="n">
        <v>264.1336165264362</v>
      </c>
      <c r="F19" s="6" t="n">
        <v>495.3557140615936</v>
      </c>
      <c r="G19" s="6" t="n">
        <v>0.0</v>
      </c>
      <c r="H19" s="6" t="n">
        <v>0.0</v>
      </c>
      <c r="I19" s="6" t="n">
        <v>1.6156259809732434</v>
      </c>
      <c r="J19" s="6">
        <f si="0" t="shared"/>
        <v>4144.7046885486388</v>
      </c>
      <c r="L19" s="12">
        <v>0.33333333333333331</v>
      </c>
      <c r="M19" s="9" t="n">
        <v>6334.520785331726</v>
      </c>
      <c r="N19" s="9" t="n">
        <v>1455.300392150879</v>
      </c>
      <c r="O19" s="9" t="n">
        <v>0.0</v>
      </c>
      <c r="P19" s="9" t="n">
        <v>0.0</v>
      </c>
      <c r="Q19" s="9" t="n">
        <v>446.5782346725464</v>
      </c>
      <c r="R19" s="9" t="n">
        <v>3.4207935333251953</v>
      </c>
      <c r="S19" s="9" t="n">
        <v>12.494497299194336</v>
      </c>
      <c r="T19" s="9" t="n">
        <v>0.0</v>
      </c>
      <c r="U19">
        <f si="1" t="shared"/>
        <v>6627.3984496576104</v>
      </c>
    </row>
    <row r="20" spans="1:21" x14ac:dyDescent="0.25">
      <c r="A20" s="12">
        <v>0.35416666666666669</v>
      </c>
      <c r="B20" s="6" t="n">
        <v>3496.3247122461676</v>
      </c>
      <c r="C20" s="6" t="n">
        <v>1187.302900422265</v>
      </c>
      <c r="D20" s="6" t="n">
        <v>147.7991627266317</v>
      </c>
      <c r="E20" s="6" t="n">
        <v>345.32413031618654</v>
      </c>
      <c r="F20" s="6" t="n">
        <v>587.7468690413074</v>
      </c>
      <c r="G20" s="6" t="n">
        <v>0.0</v>
      </c>
      <c r="H20" s="6" t="n">
        <v>0.0</v>
      </c>
      <c r="I20" s="6" t="n">
        <v>4.039712707996368</v>
      </c>
      <c r="J20" s="6">
        <f si="0" t="shared"/>
        <v>5768.5374874605541</v>
      </c>
      <c r="L20" s="12">
        <v>0.35416666666666669</v>
      </c>
      <c r="M20" s="9" t="n">
        <v>9086.955094337463</v>
      </c>
      <c r="N20" s="9" t="n">
        <v>2047.8256940841675</v>
      </c>
      <c r="O20" s="9" t="n">
        <v>0.0</v>
      </c>
      <c r="P20" s="9" t="n">
        <v>0.0</v>
      </c>
      <c r="Q20" s="9" t="n">
        <v>672.1198902130127</v>
      </c>
      <c r="R20" s="9" t="n">
        <v>5.918614387512207</v>
      </c>
      <c r="S20" s="9" t="n">
        <v>18.141873359680176</v>
      </c>
      <c r="T20" s="9" t="n">
        <v>0.0</v>
      </c>
      <c r="U20">
        <f si="1" t="shared"/>
        <v>9524.0829930039145</v>
      </c>
    </row>
    <row r="21" spans="1:21" x14ac:dyDescent="0.25">
      <c r="A21" s="12">
        <v>0.375</v>
      </c>
      <c r="B21" s="6" t="n">
        <v>4809.76590996888</v>
      </c>
      <c r="C21" s="6" t="n">
        <v>1606.9860242207205</v>
      </c>
      <c r="D21" s="6" t="n">
        <v>255.50424995901122</v>
      </c>
      <c r="E21" s="6" t="n">
        <v>442.73724981940546</v>
      </c>
      <c r="F21" s="6" t="n">
        <v>727.3760794792237</v>
      </c>
      <c r="G21" s="6" t="n">
        <v>0.0</v>
      </c>
      <c r="H21" s="6" t="n">
        <v>0.0</v>
      </c>
      <c r="I21" s="6" t="n">
        <v>8.084977606534956</v>
      </c>
      <c r="J21" s="6">
        <f si="0" t="shared"/>
        <v>7850.4544910537752</v>
      </c>
      <c r="L21" s="12">
        <v>0.375</v>
      </c>
      <c r="M21" s="9" t="n">
        <v>12911.077520370483</v>
      </c>
      <c r="N21" s="9" t="n">
        <v>2835.0161085128784</v>
      </c>
      <c r="O21" s="9" t="n">
        <v>0.0</v>
      </c>
      <c r="P21" s="9" t="n">
        <v>0.0</v>
      </c>
      <c r="Q21" s="9" t="n">
        <v>988.846113204956</v>
      </c>
      <c r="R21" s="9" t="n">
        <v>9.393779754638672</v>
      </c>
      <c r="S21" s="9" t="n">
        <v>26.023263931274414</v>
      </c>
      <c r="T21" s="9" t="n">
        <v>0.0</v>
      </c>
      <c r="U21">
        <f si="1" t="shared"/>
        <v>13518.301338936635</v>
      </c>
    </row>
    <row r="22" spans="1:21" x14ac:dyDescent="0.25">
      <c r="A22" s="12">
        <v>0.39583333333333331</v>
      </c>
      <c r="B22" s="6" t="n">
        <v>6527.833287282372</v>
      </c>
      <c r="C22" s="6" t="n">
        <v>2143.0288989337782</v>
      </c>
      <c r="D22" s="6" t="n">
        <v>376.10576217867236</v>
      </c>
      <c r="E22" s="6" t="n">
        <v>554.2619860341606</v>
      </c>
      <c r="F22" s="6" t="n">
        <v>914.2658466557891</v>
      </c>
      <c r="G22" s="6" t="n">
        <v>0.0</v>
      </c>
      <c r="H22" s="6" t="n">
        <v>0.0</v>
      </c>
      <c r="I22" s="6" t="n">
        <v>13.168856999874112</v>
      </c>
      <c r="J22" s="6">
        <f si="0" t="shared"/>
        <v>10528.664638084647</v>
      </c>
      <c r="L22" s="12">
        <v>0.39583333333333331</v>
      </c>
      <c r="M22" s="9" t="n">
        <v>17723.68812561035</v>
      </c>
      <c r="N22" s="9" t="n">
        <v>3784.9843549728394</v>
      </c>
      <c r="O22" s="9" t="n">
        <v>0.0</v>
      </c>
      <c r="P22" s="9" t="n">
        <v>0.0</v>
      </c>
      <c r="Q22" s="9" t="n">
        <v>1390.444764137268</v>
      </c>
      <c r="R22" s="9" t="n">
        <v>13.658853530883789</v>
      </c>
      <c r="S22" s="9" t="n">
        <v>36.260108947753906</v>
      </c>
      <c r="T22" s="9" t="n">
        <v>0.0</v>
      </c>
      <c r="U22">
        <f si="1" t="shared"/>
        <v>18528.997178016434</v>
      </c>
    </row>
    <row r="23" spans="1:21" x14ac:dyDescent="0.25">
      <c r="A23" s="12">
        <v>0.41666666666666669</v>
      </c>
      <c r="B23" s="6" t="n">
        <v>8816.537905768822</v>
      </c>
      <c r="C23" s="6" t="n">
        <v>2828.5796717319054</v>
      </c>
      <c r="D23" s="6" t="n">
        <v>488.94863375392254</v>
      </c>
      <c r="E23" s="6" t="n">
        <v>666.3335574620726</v>
      </c>
      <c r="F23" s="6" t="n">
        <v>1117.3777707034687</v>
      </c>
      <c r="G23" s="6" t="n">
        <v>0.0</v>
      </c>
      <c r="H23" s="6" t="n">
        <v>0.0</v>
      </c>
      <c r="I23" s="6" t="n">
        <v>17.681549556851383</v>
      </c>
      <c r="J23" s="6">
        <f si="0" t="shared"/>
        <v>13935.459088977044</v>
      </c>
      <c r="L23" s="12">
        <v>0.41666666666666669</v>
      </c>
      <c r="M23" s="9" t="n">
        <v>23052.23048400879</v>
      </c>
      <c r="N23" s="9" t="n">
        <v>4789.272479057312</v>
      </c>
      <c r="O23" s="9" t="n">
        <v>0.0</v>
      </c>
      <c r="P23" s="9" t="n">
        <v>0.0</v>
      </c>
      <c r="Q23" s="9" t="n">
        <v>1841.1268901824951</v>
      </c>
      <c r="R23" s="9" t="n">
        <v>18.333853721618652</v>
      </c>
      <c r="S23" s="9" t="n">
        <v>48.27486705780029</v>
      </c>
      <c r="T23" s="9" t="n">
        <v>0.0</v>
      </c>
      <c r="U23">
        <f si="1" t="shared"/>
        <v>24073.03524826084</v>
      </c>
    </row>
    <row r="24" spans="1:21" x14ac:dyDescent="0.25">
      <c r="A24" s="12">
        <v>0.4375</v>
      </c>
      <c r="B24" s="6" t="n">
        <v>11736.88133007877</v>
      </c>
      <c r="C24" s="6" t="n">
        <v>3695.9579160793755</v>
      </c>
      <c r="D24" s="6" t="n">
        <v>589.9458535231672</v>
      </c>
      <c r="E24" s="6" t="n">
        <v>763.7430726248874</v>
      </c>
      <c r="F24" s="6" t="n">
        <v>1304.3787704590334</v>
      </c>
      <c r="G24" s="6" t="n">
        <v>0.0</v>
      </c>
      <c r="H24" s="6" t="n">
        <v>0.0</v>
      </c>
      <c r="I24" s="6" t="n">
        <v>19.826309597015378</v>
      </c>
      <c r="J24" s="6">
        <f si="0" t="shared"/>
        <v>18110.733252362246</v>
      </c>
      <c r="L24" s="12">
        <v>0.4375</v>
      </c>
      <c r="M24" s="9" t="n">
        <v>28251.412260055542</v>
      </c>
      <c r="N24" s="9" t="n">
        <v>5709.580445289612</v>
      </c>
      <c r="O24" s="9" t="n">
        <v>0.0</v>
      </c>
      <c r="P24" s="9" t="n">
        <v>0.0</v>
      </c>
      <c r="Q24" s="9" t="n">
        <v>2291.475567817688</v>
      </c>
      <c r="R24" s="9" t="n">
        <v>23.03480815887451</v>
      </c>
      <c r="S24" s="9" t="n">
        <v>60.98379611968994</v>
      </c>
      <c r="T24" s="9" t="n">
        <v>0.0</v>
      </c>
      <c r="U24">
        <f si="1" t="shared"/>
        <v>29475.980507326578</v>
      </c>
    </row>
    <row r="25" spans="1:21" x14ac:dyDescent="0.25">
      <c r="A25" s="12">
        <v>0.45833333333333331</v>
      </c>
      <c r="B25" s="6" t="n">
        <v>15122.07656986852</v>
      </c>
      <c r="C25" s="6" t="n">
        <v>4753.074633967128</v>
      </c>
      <c r="D25" s="6" t="n">
        <v>696.0574858755188</v>
      </c>
      <c r="E25" s="6" t="n">
        <v>844.2405059217442</v>
      </c>
      <c r="F25" s="6" t="n">
        <v>1468.6599775998102</v>
      </c>
      <c r="G25" s="6" t="n">
        <v>0.0</v>
      </c>
      <c r="H25" s="6" t="n">
        <v>0.0</v>
      </c>
      <c r="I25" s="6" t="n">
        <v>18.936899838447566</v>
      </c>
      <c r="J25" s="6">
        <f si="0" t="shared"/>
        <v>22903.046073071171</v>
      </c>
      <c r="L25" s="12">
        <v>0.45833333333333331</v>
      </c>
      <c r="M25" s="9" t="n">
        <v>32884.64194393158</v>
      </c>
      <c r="N25" s="9" t="n">
        <v>6454.13996887207</v>
      </c>
      <c r="O25" s="9" t="n">
        <v>0.0</v>
      </c>
      <c r="P25" s="9" t="n">
        <v>0.0</v>
      </c>
      <c r="Q25" s="9" t="n">
        <v>2707.1874074935913</v>
      </c>
      <c r="R25" s="9" t="n">
        <v>27.56793975830078</v>
      </c>
      <c r="S25" s="9" t="n">
        <v>73.3716516494751</v>
      </c>
      <c r="T25" s="9" t="n">
        <v>0.0</v>
      </c>
      <c r="U25">
        <f si="1" t="shared"/>
        <v>34263.094811177754</v>
      </c>
    </row>
    <row r="26" spans="1:21" x14ac:dyDescent="0.25">
      <c r="A26" s="12">
        <v>0.47916666666666669</v>
      </c>
      <c r="B26" s="6" t="n">
        <v>18653.824034914753</v>
      </c>
      <c r="C26" s="6" t="n">
        <v>5957.460398268867</v>
      </c>
      <c r="D26" s="6" t="n">
        <v>824.932054652675</v>
      </c>
      <c r="E26" s="6" t="n">
        <v>925.9604639709529</v>
      </c>
      <c r="F26" s="6" t="n">
        <v>1627.255180748432</v>
      </c>
      <c r="G26" s="6" t="n">
        <v>0.0</v>
      </c>
      <c r="H26" s="6" t="n">
        <v>0.0</v>
      </c>
      <c r="I26" s="6" t="n">
        <v>15.996032423973082</v>
      </c>
      <c r="J26" s="6">
        <f si="0" t="shared"/>
        <v>28005.428164979654</v>
      </c>
      <c r="L26" s="12">
        <v>0.47916666666666669</v>
      </c>
      <c r="M26" s="9" t="n">
        <v>36968.776582717896</v>
      </c>
      <c r="N26" s="9" t="n">
        <v>7022.298319816589</v>
      </c>
      <c r="O26" s="9" t="n">
        <v>0.0</v>
      </c>
      <c r="P26" s="9" t="n">
        <v>0.0</v>
      </c>
      <c r="Q26" s="9" t="n">
        <v>3088.4760665893555</v>
      </c>
      <c r="R26" s="9" t="n">
        <v>32.0231351852417</v>
      </c>
      <c r="S26" s="9" t="n">
        <v>85.05854034423828</v>
      </c>
      <c r="T26" s="9" t="n">
        <v>0.0</v>
      </c>
      <c r="U26">
        <f si="1" t="shared"/>
        <v>38421.79494202949</v>
      </c>
    </row>
    <row r="27" spans="1:21" x14ac:dyDescent="0.25">
      <c r="A27" s="12">
        <v>0.5</v>
      </c>
      <c r="B27" s="6" t="n">
        <v>22187.369037017463</v>
      </c>
      <c r="C27" s="6" t="n">
        <v>7225.87054375077</v>
      </c>
      <c r="D27" s="6" t="n">
        <v>969.1029853707777</v>
      </c>
      <c r="E27" s="6" t="n">
        <v>1043.6323411829896</v>
      </c>
      <c r="F27" s="6" t="n">
        <v>1802.8855509234977</v>
      </c>
      <c r="G27" s="6" t="n">
        <v>0.0</v>
      </c>
      <c r="H27" s="6" t="n">
        <v>0.0</v>
      </c>
      <c r="I27" s="6" t="n">
        <v>12.740674449205397</v>
      </c>
      <c r="J27" s="6">
        <f si="0" t="shared"/>
        <v>33241.601132694705</v>
      </c>
      <c r="L27" s="12">
        <v>0.5</v>
      </c>
      <c r="M27" s="9" t="n">
        <v>40927.064661026</v>
      </c>
      <c r="N27" s="9" t="n">
        <v>7488.408579826355</v>
      </c>
      <c r="O27" s="9" t="n">
        <v>0.0</v>
      </c>
      <c r="P27" s="9" t="n">
        <v>0.0</v>
      </c>
      <c r="Q27" s="9" t="n">
        <v>3467.539803504944</v>
      </c>
      <c r="R27" s="9" t="n">
        <v>36.78983497619629</v>
      </c>
      <c r="S27" s="9" t="n">
        <v>96.53920078277588</v>
      </c>
      <c r="T27" s="9" t="n">
        <v>0.0</v>
      </c>
      <c r="U27">
        <f si="1" t="shared"/>
        <v>42366.17903956028</v>
      </c>
    </row>
    <row r="28" spans="1:21" x14ac:dyDescent="0.25">
      <c r="A28" s="12">
        <v>0.52083333333333337</v>
      </c>
      <c r="B28" s="6" t="n">
        <v>26136.07278160979</v>
      </c>
      <c r="C28" s="6" t="n">
        <v>8484.35465453721</v>
      </c>
      <c r="D28" s="6" t="n">
        <v>1094.3643415730076</v>
      </c>
      <c r="E28" s="6" t="n">
        <v>1233.2349767125006</v>
      </c>
      <c r="F28" s="6" t="n">
        <v>2020.4508343664393</v>
      </c>
      <c r="G28" s="6" t="n">
        <v>0.0</v>
      </c>
      <c r="H28" s="6" t="n">
        <v>0.0</v>
      </c>
      <c r="I28" s="6" t="n">
        <v>10.255945239067076</v>
      </c>
      <c r="J28" s="6">
        <f si="0" t="shared"/>
        <v>38978.733534038016</v>
      </c>
      <c r="L28" s="12">
        <v>0.52083333333333337</v>
      </c>
      <c r="M28" s="9" t="n">
        <v>45397.816699028015</v>
      </c>
      <c r="N28" s="9" t="n">
        <v>7956.355242729187</v>
      </c>
      <c r="O28" s="9" t="n">
        <v>0.0</v>
      </c>
      <c r="P28" s="9" t="n">
        <v>0.0</v>
      </c>
      <c r="Q28" s="9" t="n">
        <v>3894.484101295471</v>
      </c>
      <c r="R28" s="9" t="n">
        <v>42.591121673583984</v>
      </c>
      <c r="S28" s="9" t="n">
        <v>109.11265182495117</v>
      </c>
      <c r="T28" s="9" t="n">
        <v>0.0</v>
      </c>
      <c r="U28">
        <f si="1" t="shared"/>
        <v>46743.164341432057</v>
      </c>
    </row>
    <row r="29" spans="1:21" x14ac:dyDescent="0.25">
      <c r="A29" s="12">
        <v>0.54166666666666663</v>
      </c>
      <c r="B29" s="6" t="n">
        <v>31614.619295027274</v>
      </c>
      <c r="C29" s="6" t="n">
        <v>9706.268604368714</v>
      </c>
      <c r="D29" s="6" t="n">
        <v>1166.412397305077</v>
      </c>
      <c r="E29" s="6" t="n">
        <v>1505.8625633869576</v>
      </c>
      <c r="F29" s="6" t="n">
        <v>2320.648427887134</v>
      </c>
      <c r="G29" s="6" t="n">
        <v>6.557626724243164E-4</v>
      </c>
      <c r="H29" s="6" t="n">
        <v>0.0</v>
      </c>
      <c r="I29" s="6" t="n">
        <v>8.454259071826932</v>
      </c>
      <c r="J29" s="6">
        <f si="0" t="shared"/>
        <v>46322.266202809653</v>
      </c>
      <c r="L29" s="12">
        <v>0.54166666666666663</v>
      </c>
      <c r="M29" s="9" t="n">
        <v>51138.30569076538</v>
      </c>
      <c r="N29" s="9" t="n">
        <v>8533.338537216187</v>
      </c>
      <c r="O29" s="9" t="n">
        <v>0.0</v>
      </c>
      <c r="P29" s="9" t="n">
        <v>0.0</v>
      </c>
      <c r="Q29" s="9" t="n">
        <v>4430.419366836548</v>
      </c>
      <c r="R29" s="9" t="n">
        <v>50.54452133178711</v>
      </c>
      <c r="S29" s="9" t="n">
        <v>124.69835186004639</v>
      </c>
      <c r="T29" s="9" t="n">
        <v>0.0</v>
      </c>
      <c r="U29">
        <f si="1" t="shared"/>
        <v>52321.904011248698</v>
      </c>
    </row>
    <row r="30" spans="1:21" x14ac:dyDescent="0.25">
      <c r="A30" s="12">
        <v>0.5625</v>
      </c>
      <c r="B30" s="6" t="n">
        <v>40162.89630038561</v>
      </c>
      <c r="C30" s="6" t="n">
        <v>10884.831291053231</v>
      </c>
      <c r="D30" s="6" t="n">
        <v>1177.6396022871927</v>
      </c>
      <c r="E30" s="6" t="n">
        <v>1823.5573783964246</v>
      </c>
      <c r="F30" s="6" t="n">
        <v>2758.5811787369507</v>
      </c>
      <c r="G30" s="6" t="n">
        <v>0.01311525344848633</v>
      </c>
      <c r="H30" s="6" t="n">
        <v>0.0</v>
      </c>
      <c r="I30" s="6" t="n">
        <v>6.721844375133513</v>
      </c>
      <c r="J30" s="6">
        <f si="0" t="shared"/>
        <v>56814.240710487989</v>
      </c>
      <c r="L30" s="12">
        <v>0.5625</v>
      </c>
      <c r="M30" s="9" t="n">
        <v>59027.45443248749</v>
      </c>
      <c r="N30" s="9" t="n">
        <v>9329.198501586914</v>
      </c>
      <c r="O30" s="9" t="n">
        <v>0.0</v>
      </c>
      <c r="P30" s="9" t="n">
        <v>0.0</v>
      </c>
      <c r="Q30" s="9" t="n">
        <v>5148.577800750732</v>
      </c>
      <c r="R30" s="9" t="n">
        <v>62.10361099243164</v>
      </c>
      <c r="S30" s="9" t="n">
        <v>145.54597568511963</v>
      </c>
      <c r="T30" s="9" t="n">
        <v>0.0</v>
      </c>
      <c r="U30">
        <f si="1" t="shared"/>
        <v>59979.025862592825</v>
      </c>
    </row>
    <row r="31" spans="1:21" x14ac:dyDescent="0.25">
      <c r="A31" s="12">
        <v>0.58333333333333337</v>
      </c>
      <c r="B31" s="6" t="n">
        <v>53099.3010732885</v>
      </c>
      <c r="C31" s="6" t="n">
        <v>11957.11342268517</v>
      </c>
      <c r="D31" s="6" t="n">
        <v>1146.5913306535817</v>
      </c>
      <c r="E31" s="6" t="n">
        <v>2103.522947206423</v>
      </c>
      <c r="F31" s="6" t="n">
        <v>3361.5185967011903</v>
      </c>
      <c r="G31" s="6" t="n">
        <v>0.12459490776062011</v>
      </c>
      <c r="H31" s="6" t="n">
        <v>0.0</v>
      </c>
      <c r="I31" s="6" t="n">
        <v>4.7815229237079615</v>
      </c>
      <c r="J31" s="6">
        <f si="0" t="shared"/>
        <v>71672.953488366329</v>
      </c>
      <c r="L31" s="12">
        <v>0.58333333333333337</v>
      </c>
      <c r="M31" s="9" t="n">
        <v>69906.66867542267</v>
      </c>
      <c r="N31" s="9" t="n">
        <v>10441.912139892578</v>
      </c>
      <c r="O31" s="9" t="n">
        <v>0.0</v>
      </c>
      <c r="P31" s="9" t="n">
        <v>0.0</v>
      </c>
      <c r="Q31" s="9" t="n">
        <v>6122.4598388671875</v>
      </c>
      <c r="R31" s="9" t="n">
        <v>78.69441032409668</v>
      </c>
      <c r="S31" s="9" t="n">
        <v>173.56481552124023</v>
      </c>
      <c r="T31" s="9" t="n">
        <v>0.0</v>
      </c>
      <c r="U31">
        <f si="1" t="shared"/>
        <v>70531.911857762621</v>
      </c>
    </row>
    <row r="32" spans="1:21" x14ac:dyDescent="0.25">
      <c r="A32" s="12">
        <v>0.60416666666666663</v>
      </c>
      <c r="B32" s="6" t="n">
        <v>70713.52980871359</v>
      </c>
      <c r="C32" s="6" t="n">
        <v>12759.855937439343</v>
      </c>
      <c r="D32" s="6" t="n">
        <v>1094.9342736674407</v>
      </c>
      <c r="E32" s="6" t="n">
        <v>2263.552720763697</v>
      </c>
      <c r="F32" s="6" t="n">
        <v>4068.244045022655</v>
      </c>
      <c r="G32" s="6" t="n">
        <v>0.7486111536026001</v>
      </c>
      <c r="H32" s="6" t="n">
        <v>3.524458408355713E-4</v>
      </c>
      <c r="I32" s="6" t="n">
        <v>2.889170956611633</v>
      </c>
      <c r="J32" s="6">
        <f si="0" t="shared"/>
        <v>90903.75492016277</v>
      </c>
      <c r="L32" s="12">
        <v>0.60416666666666663</v>
      </c>
      <c r="M32" s="9" t="n">
        <v>84070.25658035278</v>
      </c>
      <c r="N32" s="9" t="n">
        <v>11900.095660209656</v>
      </c>
      <c r="O32" s="9" t="n">
        <v>0.0</v>
      </c>
      <c r="P32" s="9" t="n">
        <v>0.0</v>
      </c>
      <c r="Q32" s="9" t="n">
        <v>7384.811366081238</v>
      </c>
      <c r="R32" s="9" t="n">
        <v>101.0207462310791</v>
      </c>
      <c r="S32" s="9" t="n">
        <v>209.07492351531982</v>
      </c>
      <c r="T32" s="9" t="n">
        <v>0.0</v>
      </c>
      <c r="U32">
        <f si="1" t="shared"/>
        <v>84243.659253005288</v>
      </c>
    </row>
    <row r="33" spans="1:21" x14ac:dyDescent="0.25">
      <c r="A33" s="12">
        <v>0.625</v>
      </c>
      <c r="B33" s="6" t="n">
        <v>91588.33106040009</v>
      </c>
      <c r="C33" s="6" t="n">
        <v>13079.200588041662</v>
      </c>
      <c r="D33" s="6" t="n">
        <v>1030.1865072552303</v>
      </c>
      <c r="E33" s="6" t="n">
        <v>2279.4862017001387</v>
      </c>
      <c r="F33" s="6" t="n">
        <v>4711.560207849053</v>
      </c>
      <c r="G33" s="6" t="n">
        <v>3.1982663058042524</v>
      </c>
      <c r="H33" s="6" t="n">
        <v>0.007048916816711425</v>
      </c>
      <c r="I33" s="6" t="n">
        <v>1.4367701292037962</v>
      </c>
      <c r="J33" s="6">
        <f si="0" t="shared"/>
        <v>112693.40665059799</v>
      </c>
      <c r="L33" s="12">
        <v>0.625</v>
      </c>
      <c r="M33" s="9" t="n">
        <v>100597.79865074158</v>
      </c>
      <c r="N33" s="9" t="n">
        <v>13589.225869178772</v>
      </c>
      <c r="O33" s="9" t="n">
        <v>0.0</v>
      </c>
      <c r="P33" s="9" t="n">
        <v>0.0</v>
      </c>
      <c r="Q33" s="9" t="n">
        <v>8872.107459068298</v>
      </c>
      <c r="R33" s="9" t="n">
        <v>128.28586864471436</v>
      </c>
      <c r="S33" s="9" t="n">
        <v>249.3177375793457</v>
      </c>
      <c r="T33" s="9" t="n">
        <v>0.0</v>
      </c>
      <c r="U33">
        <f si="1" t="shared"/>
        <v>100193.50200984099</v>
      </c>
    </row>
    <row r="34" spans="1:21" x14ac:dyDescent="0.25">
      <c r="A34" s="12">
        <v>0.64583333333333337</v>
      </c>
      <c r="B34" s="6" t="n">
        <v>112395.49317445367</v>
      </c>
      <c r="C34" s="6" t="n">
        <v>12770.774675243778</v>
      </c>
      <c r="D34" s="6" t="n">
        <v>949.9586734317138</v>
      </c>
      <c r="E34" s="6" t="n">
        <v>2200.611840415284</v>
      </c>
      <c r="F34" s="6" t="n">
        <v>5083.522416595777</v>
      </c>
      <c r="G34" s="6" t="n">
        <v>10.37010915327072</v>
      </c>
      <c r="H34" s="6" t="n">
        <v>0.06806702589988708</v>
      </c>
      <c r="I34" s="6" t="n">
        <v>0.5742863615751266</v>
      </c>
      <c r="J34" s="6">
        <f si="0" t="shared"/>
        <v>133411.37324268094</v>
      </c>
      <c r="L34" s="12">
        <v>0.64583333333333337</v>
      </c>
      <c r="M34" s="9" t="n">
        <v>117014.91876602173</v>
      </c>
      <c r="N34" s="9" t="n">
        <v>15224.600476264954</v>
      </c>
      <c r="O34" s="9" t="n">
        <v>0.0</v>
      </c>
      <c r="P34" s="9" t="n">
        <v>0.0</v>
      </c>
      <c r="Q34" s="9" t="n">
        <v>10393.611216545105</v>
      </c>
      <c r="R34" s="9" t="n">
        <v>157.76521968841553</v>
      </c>
      <c r="S34" s="9" t="n">
        <v>287.6724376678467</v>
      </c>
      <c r="T34" s="9" t="n">
        <v>0.0</v>
      </c>
      <c r="U34">
        <f si="1" t="shared"/>
        <v>115980.69417258899</v>
      </c>
    </row>
    <row r="35" spans="1:21" x14ac:dyDescent="0.25">
      <c r="A35" s="12">
        <v>0.66666666666666663</v>
      </c>
      <c r="B35" s="6" t="n">
        <v>128497.69191095384</v>
      </c>
      <c r="C35" s="6" t="n">
        <v>11859.550656223553</v>
      </c>
      <c r="D35" s="6" t="n">
        <v>855.8930398599806</v>
      </c>
      <c r="E35" s="6" t="n">
        <v>2101.879883043068</v>
      </c>
      <c r="F35" s="6" t="n">
        <v>5048.1265972316</v>
      </c>
      <c r="G35" s="6" t="n">
        <v>26.654690462350846</v>
      </c>
      <c r="H35" s="6" t="n">
        <v>0.4238345813751221</v>
      </c>
      <c r="I35" s="6" t="n">
        <v>0.18549060404300688</v>
      </c>
      <c r="J35" s="6">
        <f si="0" t="shared"/>
        <v>148390.40610295979</v>
      </c>
      <c r="L35" s="12">
        <v>0.66666666666666663</v>
      </c>
      <c r="M35" s="9" t="n">
        <v>129685.40067958832</v>
      </c>
      <c r="N35" s="9" t="n">
        <v>16411.67139148712</v>
      </c>
      <c r="O35" s="9" t="n">
        <v>0.0</v>
      </c>
      <c r="P35" s="9" t="n">
        <v>0.0</v>
      </c>
      <c r="Q35" s="9" t="n">
        <v>11657.651794433594</v>
      </c>
      <c r="R35" s="9" t="n">
        <v>185.1127405166626</v>
      </c>
      <c r="S35" s="9" t="n">
        <v>314.65362644195557</v>
      </c>
      <c r="T35" s="9" t="n">
        <v>0.0</v>
      </c>
      <c r="U35">
        <f si="1" t="shared"/>
        <v>128130.45367303333</v>
      </c>
    </row>
    <row r="36" spans="1:21" x14ac:dyDescent="0.25">
      <c r="A36" s="12">
        <v>0.6875</v>
      </c>
      <c r="B36" s="6" t="n">
        <v>135438.1893248763</v>
      </c>
      <c r="C36" s="6" t="n">
        <v>10544.560958986605</v>
      </c>
      <c r="D36" s="6" t="n">
        <v>758.6475631752642</v>
      </c>
      <c r="E36" s="6" t="n">
        <v>2016.4144200072647</v>
      </c>
      <c r="F36" s="6" t="n">
        <v>4613.637783724435</v>
      </c>
      <c r="G36" s="6" t="n">
        <v>56.18049249887466</v>
      </c>
      <c r="H36" s="6" t="n">
        <v>1.9170401656627656</v>
      </c>
      <c r="I36" s="6" t="n">
        <v>0.10066771864891051</v>
      </c>
      <c r="J36" s="6">
        <f si="0" t="shared"/>
        <v>153429.64825115306</v>
      </c>
      <c r="L36" s="12">
        <v>0.6875</v>
      </c>
      <c r="M36" s="9" t="n">
        <v>134957.89107704163</v>
      </c>
      <c r="N36" s="9" t="n">
        <v>16779.655371665955</v>
      </c>
      <c r="O36" s="9" t="n">
        <v>0.0</v>
      </c>
      <c r="P36" s="9" t="n">
        <v>0.0</v>
      </c>
      <c r="Q36" s="9" t="n">
        <v>12358.431588172913</v>
      </c>
      <c r="R36" s="9" t="n">
        <v>205.49851512908936</v>
      </c>
      <c r="S36" s="9" t="n">
        <v>321.0621585845947</v>
      </c>
      <c r="T36" s="9" t="n">
        <v>0.0</v>
      </c>
      <c r="U36">
        <f si="1" t="shared"/>
        <v>133196.32736857553</v>
      </c>
    </row>
    <row r="37" spans="1:21" x14ac:dyDescent="0.25">
      <c r="A37" s="12">
        <v>0.70833333333333337</v>
      </c>
      <c r="B37" s="6" t="n">
        <v>130839.65111679204</v>
      </c>
      <c r="C37" s="6" t="n">
        <v>9110.140508342633</v>
      </c>
      <c r="D37" s="6" t="n">
        <v>670.6874912112231</v>
      </c>
      <c r="E37" s="6" t="n">
        <v>1914.5476135231947</v>
      </c>
      <c r="F37" s="6" t="n">
        <v>3910.6981129976093</v>
      </c>
      <c r="G37" s="6" t="n">
        <v>100.02652277505399</v>
      </c>
      <c r="H37" s="6" t="n">
        <v>6.720960717201234</v>
      </c>
      <c r="I37" s="6" t="n">
        <v>0.3578591978549957</v>
      </c>
      <c r="J37" s="6">
        <f si="0" t="shared"/>
        <v>146552.83018555684</v>
      </c>
      <c r="L37" s="12">
        <v>0.70833333333333337</v>
      </c>
      <c r="M37" s="9" t="n">
        <v>130650.70285129547</v>
      </c>
      <c r="N37" s="9" t="n">
        <v>16131.966398239136</v>
      </c>
      <c r="O37" s="9" t="n">
        <v>0.0</v>
      </c>
      <c r="P37" s="9" t="n">
        <v>0.0</v>
      </c>
      <c r="Q37" s="9" t="n">
        <v>12294.083023071289</v>
      </c>
      <c r="R37" s="9" t="n">
        <v>215.27923011779785</v>
      </c>
      <c r="S37" s="9" t="n">
        <v>302.22375869750977</v>
      </c>
      <c r="T37" s="9" t="n">
        <v>0.0</v>
      </c>
      <c r="U37">
        <f si="1" t="shared"/>
        <v>129148.31303228319</v>
      </c>
    </row>
    <row r="38" spans="1:21" x14ac:dyDescent="0.25">
      <c r="A38" s="12">
        <v>0.72916666666666663</v>
      </c>
      <c r="B38" s="6" t="n">
        <v>115677.17361003508</v>
      </c>
      <c r="C38" s="6" t="n">
        <v>7808.825771601688</v>
      </c>
      <c r="D38" s="6" t="n">
        <v>596.3153794843222</v>
      </c>
      <c r="E38" s="6" t="n">
        <v>1746.3240607617267</v>
      </c>
      <c r="F38" s="6" t="n">
        <v>3109.8124491584344</v>
      </c>
      <c r="G38" s="6" t="n">
        <v>154.58077688407897</v>
      </c>
      <c r="H38" s="6" t="n">
        <v>19.00152249455452</v>
      </c>
      <c r="I38" s="6" t="n">
        <v>1.491752590537071</v>
      </c>
      <c r="J38" s="6">
        <f si="0" t="shared"/>
        <v>129113.52532301041</v>
      </c>
      <c r="L38" s="12">
        <v>0.72916666666666663</v>
      </c>
      <c r="M38" s="9" t="n">
        <v>117145.391746521</v>
      </c>
      <c r="N38" s="9" t="n">
        <v>14542.204862594604</v>
      </c>
      <c r="O38" s="9" t="n">
        <v>0.0</v>
      </c>
      <c r="P38" s="9" t="n">
        <v>0.0</v>
      </c>
      <c r="Q38" s="9" t="n">
        <v>11461.984155654907</v>
      </c>
      <c r="R38" s="9" t="n">
        <v>213.51619625091553</v>
      </c>
      <c r="S38" s="9" t="n">
        <v>260.92194271087646</v>
      </c>
      <c r="T38" s="9" t="n">
        <v>0.0</v>
      </c>
      <c r="U38">
        <f si="1" t="shared"/>
        <v>116370.63047343239</v>
      </c>
    </row>
    <row r="39" spans="1:21" x14ac:dyDescent="0.25">
      <c r="A39" s="12">
        <v>0.75</v>
      </c>
      <c r="B39" s="6" t="n">
        <v>93979.4272699139</v>
      </c>
      <c r="C39" s="6" t="n">
        <v>6784.341324016051</v>
      </c>
      <c r="D39" s="6" t="n">
        <v>527.8190708987629</v>
      </c>
      <c r="E39" s="6" t="n">
        <v>1499.4696998885297</v>
      </c>
      <c r="F39" s="6" t="n">
        <v>2352.832317378935</v>
      </c>
      <c r="G39" s="6" t="n">
        <v>212.06500195217131</v>
      </c>
      <c r="H39" s="6" t="n">
        <v>44.411911033630375</v>
      </c>
      <c r="I39" s="6" t="n">
        <v>4.771276369690894</v>
      </c>
      <c r="J39" s="6">
        <f si="0" t="shared"/>
        <v>105405.13787145168</v>
      </c>
      <c r="L39" s="12">
        <v>0.75</v>
      </c>
      <c r="M39" s="9" t="n">
        <v>97395.30319213867</v>
      </c>
      <c r="N39" s="9" t="n">
        <v>12338.990516662598</v>
      </c>
      <c r="O39" s="9" t="n">
        <v>0.0</v>
      </c>
      <c r="P39" s="9" t="n">
        <v>0.0</v>
      </c>
      <c r="Q39" s="9" t="n">
        <v>10073.962790489197</v>
      </c>
      <c r="R39" s="9" t="n">
        <v>202.46803951263428</v>
      </c>
      <c r="S39" s="9" t="n">
        <v>206.7852430343628</v>
      </c>
      <c r="T39" s="9" t="n">
        <v>0.0</v>
      </c>
      <c r="U39">
        <f si="1" t="shared"/>
        <v>97646.805244077259</v>
      </c>
    </row>
    <row r="40" spans="1:21" x14ac:dyDescent="0.25">
      <c r="A40" s="12">
        <v>0.77083333333333337</v>
      </c>
      <c r="B40" s="6" t="n">
        <v>70991.00793048574</v>
      </c>
      <c r="C40" s="6" t="n">
        <v>6058.505664797328</v>
      </c>
      <c r="D40" s="6" t="n">
        <v>451.20450421790025</v>
      </c>
      <c r="E40" s="6" t="n">
        <v>1216.6120005306425</v>
      </c>
      <c r="F40" s="6" t="n">
        <v>1730.0851389484853</v>
      </c>
      <c r="G40" s="6" t="n">
        <v>261.6773021316528</v>
      </c>
      <c r="H40" s="6" t="n">
        <v>87.12337620019912</v>
      </c>
      <c r="I40" s="6" t="n">
        <v>11.9280983877182</v>
      </c>
      <c r="J40" s="6">
        <f si="0" t="shared"/>
        <v>80808.144015699654</v>
      </c>
      <c r="L40" s="12">
        <v>0.77083333333333337</v>
      </c>
      <c r="M40" s="9" t="n">
        <v>75708.93744277954</v>
      </c>
      <c r="N40" s="9" t="n">
        <v>9974.487607002258</v>
      </c>
      <c r="O40" s="9" t="n">
        <v>0.0</v>
      </c>
      <c r="P40" s="9" t="n">
        <v>0.0</v>
      </c>
      <c r="Q40" s="9" t="n">
        <v>8469.653000831604</v>
      </c>
      <c r="R40" s="9" t="n">
        <v>186.5253620147705</v>
      </c>
      <c r="S40" s="9" t="n">
        <v>152.06264114379883</v>
      </c>
      <c r="T40" s="9" t="n">
        <v>0.0</v>
      </c>
      <c r="U40">
        <f si="1" t="shared"/>
        <v>77020.367641795878</v>
      </c>
    </row>
    <row r="41" spans="1:21" x14ac:dyDescent="0.25">
      <c r="A41" s="12">
        <v>0.79166666666666663</v>
      </c>
      <c r="B41" s="6" t="n">
        <v>50958.134356862334</v>
      </c>
      <c r="C41" s="6" t="n">
        <v>5560.18731811867</v>
      </c>
      <c r="D41" s="6" t="n">
        <v>358.67822221951377</v>
      </c>
      <c r="E41" s="6" t="n">
        <v>963.7886350550655</v>
      </c>
      <c r="F41" s="6" t="n">
        <v>1279.5543624540642</v>
      </c>
      <c r="G41" s="6" t="n">
        <v>290.5778360688686</v>
      </c>
      <c r="H41" s="6" t="n">
        <v>144.64835068702698</v>
      </c>
      <c r="I41" s="6" t="n">
        <v>23.856196775436395</v>
      </c>
      <c r="J41" s="6">
        <f si="0" t="shared"/>
        <v>59579.425278240982</v>
      </c>
      <c r="L41" s="12">
        <v>0.79166666666666663</v>
      </c>
      <c r="M41" s="9" t="n">
        <v>55973.79564857483</v>
      </c>
      <c r="N41" s="9" t="n">
        <v>7843.290225028992</v>
      </c>
      <c r="O41" s="9" t="n">
        <v>0.0</v>
      </c>
      <c r="P41" s="9" t="n">
        <v>0.0</v>
      </c>
      <c r="Q41" s="9" t="n">
        <v>6971.074845314026</v>
      </c>
      <c r="R41" s="9" t="n">
        <v>170.02646255493164</v>
      </c>
      <c r="S41" s="9" t="n">
        <v>106.37835502624512</v>
      </c>
      <c r="T41" s="9" t="n">
        <v>0.0</v>
      </c>
      <c r="U41">
        <f si="1" t="shared"/>
        <v>58146.818679963719</v>
      </c>
    </row>
    <row r="42" spans="1:21" x14ac:dyDescent="0.25">
      <c r="A42" s="12">
        <v>0.8125</v>
      </c>
      <c r="B42" s="6" t="n">
        <v>35887.64753658904</v>
      </c>
      <c r="C42" s="6" t="n">
        <v>5166.182187045459</v>
      </c>
      <c r="D42" s="6" t="n">
        <v>257.9954231929063</v>
      </c>
      <c r="E42" s="6" t="n">
        <v>786.3309473074787</v>
      </c>
      <c r="F42" s="6" t="n">
        <v>987.3575061106071</v>
      </c>
      <c r="G42" s="6" t="n">
        <v>287.30474533939355</v>
      </c>
      <c r="H42" s="6" t="n">
        <v>203.97524806737903</v>
      </c>
      <c r="I42" s="6" t="n">
        <v>38.766319760084144</v>
      </c>
      <c r="J42" s="6">
        <f si="0" t="shared"/>
        <v>43615.559913412348</v>
      </c>
      <c r="L42" s="12">
        <v>0.8125</v>
      </c>
      <c r="M42" s="9" t="n">
        <v>40369.16624355316</v>
      </c>
      <c r="N42" s="9" t="n">
        <v>6154.550333023071</v>
      </c>
      <c r="O42" s="9" t="n">
        <v>0.0</v>
      </c>
      <c r="P42" s="9" t="n">
        <v>0.0</v>
      </c>
      <c r="Q42" s="9" t="n">
        <v>5765.344325065613</v>
      </c>
      <c r="R42" s="9" t="n">
        <v>155.36719703674316</v>
      </c>
      <c r="S42" s="9" t="n">
        <v>73.71839904785156</v>
      </c>
      <c r="T42" s="9" t="n">
        <v>0.0</v>
      </c>
      <c r="U42">
        <f si="1" t="shared"/>
        <v>43095.800349646102</v>
      </c>
    </row>
    <row r="43" spans="1:21" x14ac:dyDescent="0.25">
      <c r="A43" s="12">
        <v>0.83333333333333337</v>
      </c>
      <c r="B43" s="6" t="n">
        <v>25723.594740456356</v>
      </c>
      <c r="C43" s="6" t="n">
        <v>4746.494216391766</v>
      </c>
      <c r="D43" s="6" t="n">
        <v>169.02837067204996</v>
      </c>
      <c r="E43" s="6" t="n">
        <v>688.4010329017015</v>
      </c>
      <c r="F43" s="6" t="n">
        <v>801.2319531758711</v>
      </c>
      <c r="G43" s="6" t="n">
        <v>248.79171246099466</v>
      </c>
      <c r="H43" s="6" t="n">
        <v>244.34182249069215</v>
      </c>
      <c r="I43" s="6" t="n">
        <v>51.68842634677886</v>
      </c>
      <c r="J43" s="6">
        <f si="0" t="shared"/>
        <v>32673.572274896211</v>
      </c>
      <c r="L43" s="12">
        <v>0.83333333333333337</v>
      </c>
      <c r="M43" s="9" t="n">
        <v>29191.90411376953</v>
      </c>
      <c r="N43" s="9" t="n">
        <v>4920.6481828689575</v>
      </c>
      <c r="O43" s="9" t="n">
        <v>0.0</v>
      </c>
      <c r="P43" s="9" t="n">
        <v>0.0</v>
      </c>
      <c r="Q43" s="9" t="n">
        <v>4880.775111198425</v>
      </c>
      <c r="R43" s="9" t="n">
        <v>142.74894523620605</v>
      </c>
      <c r="S43" s="9" t="n">
        <v>52.926114082336426</v>
      </c>
      <c r="T43" s="9" t="n">
        <v>0.0</v>
      </c>
      <c r="U43">
        <f si="1" t="shared"/>
        <v>32179.070767359171</v>
      </c>
    </row>
    <row r="44" spans="1:21" x14ac:dyDescent="0.25">
      <c r="A44" s="12">
        <v>0.85416666666666663</v>
      </c>
      <c r="B44" s="6" t="n">
        <v>19344.35855760297</v>
      </c>
      <c r="C44" s="6" t="n">
        <v>4216.012799823109</v>
      </c>
      <c r="D44" s="6" t="n">
        <v>109.50198349423745</v>
      </c>
      <c r="E44" s="6" t="n">
        <v>643.4290565667143</v>
      </c>
      <c r="F44" s="6" t="n">
        <v>665.6090228704871</v>
      </c>
      <c r="G44" s="6" t="n">
        <v>185.39917745876306</v>
      </c>
      <c r="H44" s="6" t="n">
        <v>248.05712354040148</v>
      </c>
      <c r="I44" s="6" t="n">
        <v>56.85726898145675</v>
      </c>
      <c r="J44" s="6">
        <f si="0" t="shared"/>
        <v>25469.224990338138</v>
      </c>
      <c r="L44" s="12">
        <v>0.85416666666666663</v>
      </c>
      <c r="M44" s="9" t="n">
        <v>21580.8432598114</v>
      </c>
      <c r="N44" s="9" t="n">
        <v>4040.305142402649</v>
      </c>
      <c r="O44" s="9" t="n">
        <v>0.0</v>
      </c>
      <c r="P44" s="9" t="n">
        <v>0.0</v>
      </c>
      <c r="Q44" s="9" t="n">
        <v>4248.834232330322</v>
      </c>
      <c r="R44" s="9" t="n">
        <v>131.53541660308838</v>
      </c>
      <c r="S44" s="9" t="n">
        <v>40.37072563171387</v>
      </c>
      <c r="T44" s="9" t="n">
        <v>0.0</v>
      </c>
      <c r="U44">
        <f si="1" t="shared"/>
        <v>24616.923331486152</v>
      </c>
    </row>
    <row r="45" spans="1:21" x14ac:dyDescent="0.25">
      <c r="A45" s="12">
        <v>0.875</v>
      </c>
      <c r="B45" s="6" t="n">
        <v>15496.634415688372</v>
      </c>
      <c r="C45" s="6" t="n">
        <v>3572.7494664759292</v>
      </c>
      <c r="D45" s="6" t="n">
        <v>82.60350974207363</v>
      </c>
      <c r="E45" s="6" t="n">
        <v>617.7830821976802</v>
      </c>
      <c r="F45" s="6" t="n">
        <v>553.7598689659053</v>
      </c>
      <c r="G45" s="6" t="n">
        <v>116.93659777522083</v>
      </c>
      <c r="H45" s="6" t="n">
        <v>212.4666206455231</v>
      </c>
      <c r="I45" s="6" t="n">
        <v>51.68842634677886</v>
      </c>
      <c r="J45" s="6">
        <f si="0" t="shared"/>
        <v>20704.621987837483</v>
      </c>
      <c r="L45" s="12">
        <v>0.875</v>
      </c>
      <c r="M45" s="9" t="n">
        <v>16418.25161933899</v>
      </c>
      <c r="N45" s="9" t="n">
        <v>3396.683735847473</v>
      </c>
      <c r="O45" s="9" t="n">
        <v>0.0</v>
      </c>
      <c r="P45" s="9" t="n">
        <v>0.0</v>
      </c>
      <c r="Q45" s="9" t="n">
        <v>3784.731650352478</v>
      </c>
      <c r="R45" s="9" t="n">
        <v>121.68949508666992</v>
      </c>
      <c r="S45" s="9" t="n">
        <v>32.499918937683105</v>
      </c>
      <c r="T45" s="9" t="n">
        <v>0.0</v>
      </c>
      <c r="U45">
        <f si="1" t="shared"/>
        <v>19379.43655077531</v>
      </c>
    </row>
    <row r="46" spans="1:21" x14ac:dyDescent="0.25">
      <c r="A46" s="12">
        <v>0.89583333333333337</v>
      </c>
      <c r="B46" s="6" t="n">
        <v>13208.38310628755</v>
      </c>
      <c r="C46" s="6" t="n">
        <v>2889.2911893471555</v>
      </c>
      <c r="D46" s="6" t="n">
        <v>76.53524557948933</v>
      </c>
      <c r="E46" s="6" t="n">
        <v>586.5522853599255</v>
      </c>
      <c r="F46" s="6" t="n">
        <v>467.4581258343311</v>
      </c>
      <c r="G46" s="6" t="n">
        <v>61.43570225715636</v>
      </c>
      <c r="H46" s="6" t="n">
        <v>152.51956508874895</v>
      </c>
      <c r="I46" s="6" t="n">
        <v>38.76631976008415</v>
      </c>
      <c r="J46" s="6">
        <f si="0" t="shared"/>
        <v>17480.941539514442</v>
      </c>
      <c r="L46" s="12">
        <v>0.89583333333333337</v>
      </c>
      <c r="M46" s="9" t="n">
        <v>12835.974719047546</v>
      </c>
      <c r="N46" s="9" t="n">
        <v>2904.937132835388</v>
      </c>
      <c r="O46" s="9" t="n">
        <v>0.0</v>
      </c>
      <c r="P46" s="9" t="n">
        <v>0.0</v>
      </c>
      <c r="Q46" s="9" t="n">
        <v>3424.034656524658</v>
      </c>
      <c r="R46" s="9" t="n">
        <v>113.73190116882324</v>
      </c>
      <c r="S46" s="9" t="n">
        <v>26.966630935668945</v>
      </c>
      <c r="T46" s="9" t="n">
        <v>0.0</v>
      </c>
      <c r="U46">
        <f si="1" t="shared"/>
        <v>15659.259431112076</v>
      </c>
    </row>
    <row r="47" spans="1:21" x14ac:dyDescent="0.25">
      <c r="A47" s="12">
        <v>0.91666666666666663</v>
      </c>
      <c r="B47" s="6" t="n">
        <v>11764.01161861041</v>
      </c>
      <c r="C47" s="6" t="n">
        <v>2255.923552219664</v>
      </c>
      <c r="D47" s="6" t="n">
        <v>74.44877756025635</v>
      </c>
      <c r="E47" s="6" t="n">
        <v>535.2622004552484</v>
      </c>
      <c r="F47" s="6" t="n">
        <v>410.41194372435314</v>
      </c>
      <c r="G47" s="6" t="n">
        <v>26.431004830360408</v>
      </c>
      <c r="H47" s="6" t="n">
        <v>90.91586757659913</v>
      </c>
      <c r="I47" s="6" t="n">
        <v>23.856196775436402</v>
      </c>
      <c r="J47" s="6">
        <f si="0" t="shared"/>
        <v>15181.261161752327</v>
      </c>
      <c r="L47" s="12">
        <v>0.91666666666666663</v>
      </c>
      <c r="M47" s="9" t="n">
        <v>10257.161534309387</v>
      </c>
      <c r="N47" s="9" t="n">
        <v>2504.5715284347534</v>
      </c>
      <c r="O47" s="9" t="n">
        <v>0.0</v>
      </c>
      <c r="P47" s="9" t="n">
        <v>0.0</v>
      </c>
      <c r="Q47" s="9" t="n">
        <v>3110.053045272827</v>
      </c>
      <c r="R47" s="9" t="n">
        <v>107.32114124298096</v>
      </c>
      <c r="S47" s="9" t="n">
        <v>22.50699806213379</v>
      </c>
      <c r="T47" s="9" t="n">
        <v>0.0</v>
      </c>
      <c r="U47">
        <f si="1" t="shared"/>
        <v>12900.911783778631</v>
      </c>
    </row>
    <row r="48" spans="1:21" x14ac:dyDescent="0.25">
      <c r="A48" s="12">
        <v>0.9375</v>
      </c>
      <c r="B48" s="6" t="n">
        <v>10571.569373080943</v>
      </c>
      <c r="C48" s="6" t="n">
        <v>1721.3216292728084</v>
      </c>
      <c r="D48" s="6" t="n">
        <v>65.4306564009185</v>
      </c>
      <c r="E48" s="6" t="n">
        <v>457.13986165326526</v>
      </c>
      <c r="F48" s="6" t="n">
        <v>369.3317057327791</v>
      </c>
      <c r="G48" s="6" t="n">
        <v>9.122499453544615</v>
      </c>
      <c r="H48" s="6" t="n">
        <v>44.43337372899056</v>
      </c>
      <c r="I48" s="6" t="n">
        <v>11.9280983877182</v>
      </c>
      <c r="J48" s="6">
        <f si="0" t="shared"/>
        <v>13250.277197710968</v>
      </c>
      <c r="L48" s="12">
        <v>0.9375</v>
      </c>
      <c r="M48" s="9" t="n">
        <v>8257.72995185852</v>
      </c>
      <c r="N48" s="9" t="n">
        <v>2138.8556776046753</v>
      </c>
      <c r="O48" s="9" t="n">
        <v>0.0</v>
      </c>
      <c r="P48" s="9" t="n">
        <v>0.0</v>
      </c>
      <c r="Q48" s="9" t="n">
        <v>2776.2282676696777</v>
      </c>
      <c r="R48" s="9" t="n">
        <v>100.23978805541992</v>
      </c>
      <c r="S48" s="9" t="n">
        <v>18.444875717163086</v>
      </c>
      <c r="T48" s="9" t="n">
        <v>0.0</v>
      </c>
      <c r="U48">
        <f si="1" t="shared"/>
        <v>10664.202391835584</v>
      </c>
    </row>
    <row r="49" spans="1:21" x14ac:dyDescent="0.25">
      <c r="A49" s="12">
        <v>0.95833333333333337</v>
      </c>
      <c r="B49" s="6" t="n">
        <v>9167.923369177406</v>
      </c>
      <c r="C49" s="6" t="n">
        <v>1279.6741156142589</v>
      </c>
      <c r="D49" s="6" t="n">
        <v>48.67580694708941</v>
      </c>
      <c r="E49" s="6" t="n">
        <v>354.95320027376397</v>
      </c>
      <c r="F49" s="6" t="n">
        <v>321.5483282296833</v>
      </c>
      <c r="G49" s="6" t="n">
        <v>2.457674785971641</v>
      </c>
      <c r="H49" s="6" t="n">
        <v>17.492097710609436</v>
      </c>
      <c r="I49" s="6" t="n">
        <v>4.771239355087279</v>
      </c>
      <c r="J49" s="6">
        <f si="0" t="shared"/>
        <v>11197.495832093869</v>
      </c>
      <c r="L49" s="12">
        <v>0.95833333333333337</v>
      </c>
      <c r="M49" s="9" t="n">
        <v>6511.314693450928</v>
      </c>
      <c r="N49" s="9" t="n">
        <v>1758.467785835266</v>
      </c>
      <c r="O49" s="9" t="n">
        <v>0.0</v>
      </c>
      <c r="P49" s="9" t="n">
        <v>0.0</v>
      </c>
      <c r="Q49" s="9" t="n">
        <v>2362.105139732361</v>
      </c>
      <c r="R49" s="9" t="n">
        <v>89.36875629425049</v>
      </c>
      <c r="S49" s="9" t="n">
        <v>14.43667984008789</v>
      </c>
      <c r="T49" s="9" t="n">
        <v>0.0</v>
      </c>
      <c r="U49">
        <f si="1" t="shared"/>
        <v>8591.7554687130159</v>
      </c>
    </row>
    <row r="50" spans="1:21" x14ac:dyDescent="0.25">
      <c r="A50" s="12">
        <v>0.97916666666666663</v>
      </c>
      <c r="B50" s="6" t="n">
        <v>7355.764548893037</v>
      </c>
      <c r="C50" s="6" t="n">
        <v>904.5440910061423</v>
      </c>
      <c r="D50" s="6" t="n">
        <v>29.904126588037116</v>
      </c>
      <c r="E50" s="6" t="n">
        <v>243.43838637203527</v>
      </c>
      <c r="F50" s="6" t="n">
        <v>255.0847777447683</v>
      </c>
      <c r="G50" s="6" t="n">
        <v>0.4966238665580748</v>
      </c>
      <c r="H50" s="6" t="n">
        <v>5.407686413526535</v>
      </c>
      <c r="I50" s="6" t="n">
        <v>1.491012298464775</v>
      </c>
      <c r="J50" s="6">
        <f si="0" t="shared"/>
        <v>8796.1312531825697</v>
      </c>
      <c r="L50" s="12">
        <v>0.97916666666666663</v>
      </c>
      <c r="M50" s="9" t="n">
        <v>4846.442111968994</v>
      </c>
      <c r="N50" s="9" t="n">
        <v>1346.027190208435</v>
      </c>
      <c r="O50" s="9" t="n">
        <v>0.0</v>
      </c>
      <c r="P50" s="9" t="n">
        <v>0.0</v>
      </c>
      <c r="Q50" s="9" t="n">
        <v>1853.4236040115356</v>
      </c>
      <c r="R50" s="9" t="n">
        <v>73.14163494110107</v>
      </c>
      <c r="S50" s="9" t="n">
        <v>10.471707344055176</v>
      </c>
      <c r="T50" s="9" t="n">
        <v>0.0</v>
      </c>
      <c r="U50">
        <f si="1" t="shared"/>
        <v>6505.2295992502504</v>
      </c>
    </row>
    <row r="51" spans="1:21" x14ac:dyDescent="0.25">
      <c r="A51" s="12">
        <v>1</v>
      </c>
      <c r="B51" s="6" t="n">
        <v>5280.945080406052</v>
      </c>
      <c r="C51" s="6" t="n">
        <v>586.0090601930551</v>
      </c>
      <c r="D51" s="6" t="n">
        <v>14.948019953195441</v>
      </c>
      <c r="E51" s="6" t="n">
        <v>143.69814152250416</v>
      </c>
      <c r="F51" s="6" t="n">
        <v>177.21559740025498</v>
      </c>
      <c r="G51" s="6" t="n">
        <v>0.07061739563941953</v>
      </c>
      <c r="H51" s="6" t="n">
        <v>1.263689317703247</v>
      </c>
      <c r="I51" s="6" t="n">
        <v>0.35082642316818236</v>
      </c>
      <c r="J51" s="6">
        <f si="0" t="shared"/>
        <v>6204.5010326115726</v>
      </c>
      <c r="L51" s="12">
        <v>1</v>
      </c>
      <c r="M51" s="9" t="n">
        <v>3284.3263425827026</v>
      </c>
      <c r="N51" s="9" t="n">
        <v>929.5086421966553</v>
      </c>
      <c r="O51" s="9" t="n">
        <v>0.0</v>
      </c>
      <c r="P51" s="9" t="n">
        <v>0.0</v>
      </c>
      <c r="Q51" s="9" t="n">
        <v>1302.222454071045</v>
      </c>
      <c r="R51" s="9" t="n">
        <v>53.194085121154785</v>
      </c>
      <c r="S51" s="9" t="n">
        <v>6.840645790100098</v>
      </c>
      <c r="T51" s="9" t="n">
        <v>0.0</v>
      </c>
      <c r="U51">
        <f si="1" t="shared"/>
        <v>4469.5085684740916</v>
      </c>
    </row>
    <row r="52" spans="1:21" x14ac:dyDescent="0.25">
      <c r="A52" s="12">
        <v>1.0208333333333333</v>
      </c>
      <c r="B52" s="6" t="n">
        <v>3309.1192634870013</v>
      </c>
      <c r="C52" s="6" t="n">
        <v>335.5164441436301</v>
      </c>
      <c r="D52" s="6" t="n">
        <v>5.9790523863266145</v>
      </c>
      <c r="E52" s="6" t="n">
        <v>71.35877860339087</v>
      </c>
      <c r="F52" s="6" t="n">
        <v>105.3694102681028</v>
      </c>
      <c r="G52" s="6" t="n">
        <v>0.006282049655914304</v>
      </c>
      <c r="H52" s="6" t="n">
        <v>0.2097925126552582</v>
      </c>
      <c r="I52" s="6" t="n">
        <v>0.05847107052803039</v>
      </c>
      <c r="J52" s="6">
        <f si="0" t="shared"/>
        <v>3827.6174945212911</v>
      </c>
      <c r="L52" s="12">
        <v>1.0208333333333333</v>
      </c>
      <c r="M52" s="9" t="n">
        <v>1965.7811441421509</v>
      </c>
      <c r="N52" s="9" t="n">
        <v>563.7805452346802</v>
      </c>
      <c r="O52" s="9" t="n">
        <v>0.0</v>
      </c>
      <c r="P52" s="9" t="n">
        <v>0.0</v>
      </c>
      <c r="Q52" s="9" t="n">
        <v>799.3886651992798</v>
      </c>
      <c r="R52" s="9" t="n">
        <v>33.530765533447266</v>
      </c>
      <c r="S52" s="9" t="n">
        <v>3.924504280090332</v>
      </c>
      <c r="T52" s="9" t="n">
        <v>0.0</v>
      </c>
      <c r="U52">
        <f si="1" t="shared"/>
        <v>2705.7011704840347</v>
      </c>
    </row>
    <row r="53" spans="1:21" x14ac:dyDescent="0.25">
      <c r="A53" s="12">
        <v>4.1666666666666664E-2</v>
      </c>
      <c r="B53" s="6" t="n">
        <v>1774.5251565949534</v>
      </c>
      <c r="C53" s="6" t="n">
        <v>164.6295605637818</v>
      </c>
      <c r="D53" s="6" t="n">
        <v>1.868453870727067</v>
      </c>
      <c r="E53" s="6" t="n">
        <v>29.16790799242731</v>
      </c>
      <c r="F53" s="6" t="n">
        <v>52.79593899598394</v>
      </c>
      <c r="G53" s="6" t="n">
        <v>2.620171308517456E-4</v>
      </c>
      <c r="H53" s="6" t="n">
        <v>0.0220463228225708</v>
      </c>
      <c r="I53" s="6" t="n">
        <v>0.006154849529266356</v>
      </c>
      <c r="J53" s="6">
        <f si="0" t="shared"/>
        <v>2023.0154812073561</v>
      </c>
      <c r="L53" s="12">
        <v>4.1666666666666664E-2</v>
      </c>
      <c r="M53" s="9" t="n">
        <v>1013.2384567260742</v>
      </c>
      <c r="N53" s="9" t="n">
        <v>293.5101013183594</v>
      </c>
      <c r="O53" s="9" t="n">
        <v>0.0</v>
      </c>
      <c r="P53" s="9" t="n">
        <v>0.0</v>
      </c>
      <c r="Q53" s="9" t="n">
        <v>419.69102478027344</v>
      </c>
      <c r="R53" s="9" t="n">
        <v>17.9492244720459</v>
      </c>
      <c r="S53" s="9" t="n">
        <v>1.9335756301879883</v>
      </c>
      <c r="T53" s="9" t="n">
        <v>0.0</v>
      </c>
      <c r="U53">
        <f si="1" t="shared"/>
        <v>1408.0365327420332</v>
      </c>
    </row>
    <row r="54" spans="1:21" x14ac:dyDescent="0.25">
      <c r="A54" s="12">
        <v>6.25E-2</v>
      </c>
      <c r="B54" s="6" t="n">
        <v>799.8401184395725</v>
      </c>
      <c r="C54" s="6" t="n">
        <v>67.42556722302183</v>
      </c>
      <c r="D54" s="6" t="n">
        <v>0.4396362048769569</v>
      </c>
      <c r="E54" s="6" t="n">
        <v>9.581141235177181</v>
      </c>
      <c r="F54" s="6" t="n">
        <v>21.969555639691116</v>
      </c>
      <c r="G54" s="6" t="n">
        <v>0.0</v>
      </c>
      <c r="H54" s="6" t="n">
        <v>0.00110231614112854</v>
      </c>
      <c r="I54" s="6" t="n">
        <v>3.0774247646331787E-4</v>
      </c>
      <c r="J54" s="6">
        <f si="0" t="shared"/>
        <v>899.25742880095709</v>
      </c>
      <c r="L54" s="12">
        <v>6.25E-2</v>
      </c>
      <c r="M54" s="9" t="n">
        <v>439.46856117248535</v>
      </c>
      <c r="N54" s="9" t="n">
        <v>128.3165693283081</v>
      </c>
      <c r="O54" s="9" t="n">
        <v>0.0</v>
      </c>
      <c r="P54" s="9" t="n">
        <v>0.0</v>
      </c>
      <c r="Q54" s="9" t="n">
        <v>184.58356094360352</v>
      </c>
      <c r="R54" s="9" t="n">
        <v>8.002663612365723</v>
      </c>
      <c r="S54" s="9" t="n">
        <v>0.8005075454711914</v>
      </c>
      <c r="T54" s="9" t="n">
        <v>0.0</v>
      </c>
      <c r="U54">
        <f si="1" t="shared"/>
        <v>615.7161813436835</v>
      </c>
    </row>
    <row r="55" spans="1:21" x14ac:dyDescent="0.25">
      <c r="A55" s="12">
        <v>8.3333333333333329E-2</v>
      </c>
      <c r="B55" s="6" t="n">
        <v>297.19207402102666</v>
      </c>
      <c r="C55" s="6" t="n">
        <v>22.458308119252834</v>
      </c>
      <c r="D55" s="6" t="n">
        <v>0.07327270081282616</v>
      </c>
      <c r="E55" s="6" t="n">
        <v>2.4538979658029083</v>
      </c>
      <c r="F55" s="6" t="n">
        <v>7.456574468226233</v>
      </c>
      <c r="G55" s="6" t="n">
        <v>0.0</v>
      </c>
      <c r="H55" s="6" t="n">
        <v>0.0</v>
      </c>
      <c r="I55" s="6" t="n">
        <v>0.0</v>
      </c>
      <c r="J55" s="6">
        <f si="0" t="shared"/>
        <v>329.63412727512144</v>
      </c>
      <c r="L55" s="12">
        <v>8.3333333333333329E-2</v>
      </c>
      <c r="M55" s="9" t="n">
        <v>156.50580978393555</v>
      </c>
      <c r="N55" s="9" t="n">
        <v>45.99675464630127</v>
      </c>
      <c r="O55" s="9" t="n">
        <v>0.0</v>
      </c>
      <c r="P55" s="9" t="n">
        <v>0.0</v>
      </c>
      <c r="Q55" s="9" t="n">
        <v>66.4527940750122</v>
      </c>
      <c r="R55" s="9" t="n">
        <v>2.90755558013916</v>
      </c>
      <c r="S55" s="9" t="n">
        <v>0.27187633514404297</v>
      </c>
      <c r="T55" s="9" t="n">
        <v>0.0</v>
      </c>
      <c r="U55">
        <f si="1" t="shared"/>
        <v>220.82068146967279</v>
      </c>
    </row>
    <row r="56" spans="1:21" x14ac:dyDescent="0.25">
      <c r="A56" s="12">
        <v>0.10416666666666667</v>
      </c>
      <c r="B56" s="6" t="n">
        <v>88.84807314199568</v>
      </c>
      <c r="C56" s="6" t="n">
        <v>5.900676828284037</v>
      </c>
      <c r="D56" s="6" t="n">
        <v>0.007712915875034333</v>
      </c>
      <c r="E56" s="6" t="n">
        <v>0.4695267639362831</v>
      </c>
      <c r="F56" s="6" t="n">
        <v>2.012237164474615</v>
      </c>
      <c r="G56" s="6" t="n">
        <v>0.0</v>
      </c>
      <c r="H56" s="6" t="n">
        <v>0.0</v>
      </c>
      <c r="I56" s="6" t="n">
        <v>0.0</v>
      </c>
      <c r="J56" s="6">
        <f si="0" t="shared"/>
        <v>97.23822681456565</v>
      </c>
      <c r="L56" s="12">
        <v>0.10416666666666667</v>
      </c>
      <c r="M56" s="9" t="n">
        <v>44.40477466583252</v>
      </c>
      <c r="N56" s="9" t="n">
        <v>13.122971534729004</v>
      </c>
      <c r="O56" s="9" t="n">
        <v>0.0</v>
      </c>
      <c r="P56" s="9" t="n">
        <v>0.0</v>
      </c>
      <c r="Q56" s="9" t="n">
        <v>19.018598556518555</v>
      </c>
      <c r="R56" s="9" t="n">
        <v>0.8369178771972656</v>
      </c>
      <c r="S56" s="9" t="n">
        <v>0.07351112365722656</v>
      </c>
      <c r="T56" s="9" t="n">
        <v>0.0</v>
      </c>
      <c r="U56">
        <f si="1" t="shared"/>
        <v>63.035928500204918</v>
      </c>
    </row>
    <row r="57" spans="1:21" x14ac:dyDescent="0.25">
      <c r="A57" s="12">
        <v>0.125</v>
      </c>
      <c r="B57" s="6" t="n">
        <v>20.2839490274429</v>
      </c>
      <c r="C57" s="6" t="n">
        <v>1.158909145774129</v>
      </c>
      <c r="D57" s="6" t="n">
        <v>3.856457937517166E-4</v>
      </c>
      <c r="E57" s="6" t="n">
        <v>0.06254610788137817</v>
      </c>
      <c r="F57" s="6" t="n">
        <v>0.4098514908867798</v>
      </c>
      <c r="G57" s="6" t="n">
        <v>0.0</v>
      </c>
      <c r="H57" s="6" t="n">
        <v>0.0</v>
      </c>
      <c r="I57" s="6" t="n">
        <v>0.0</v>
      </c>
      <c r="J57" s="6">
        <f si="0" t="shared"/>
        <v>21.915641417778939</v>
      </c>
      <c r="L57" s="12">
        <v>0.125</v>
      </c>
      <c r="M57" s="9" t="n">
        <v>9.486620903015137</v>
      </c>
      <c r="N57" s="9" t="n">
        <v>2.8166866302490234</v>
      </c>
      <c r="O57" s="9" t="n">
        <v>0.0</v>
      </c>
      <c r="P57" s="9" t="n">
        <v>0.0</v>
      </c>
      <c r="Q57" s="9" t="n">
        <v>4.091218948364258</v>
      </c>
      <c r="R57" s="9" t="n">
        <v>0.1806049346923828</v>
      </c>
      <c r="S57" s="9" t="n">
        <v>0.014975547790527344</v>
      </c>
      <c r="T57" s="9" t="n">
        <v>0.0</v>
      </c>
      <c r="U57">
        <f si="1" t="shared"/>
        <v>13.537186437052412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topLeftCell="H4" workbookViewId="0">
      <selection activeCell="U33" sqref="U33:U3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70.0</v>
      </c>
      <c r="R8" s="9" t="n">
        <v>2.0</v>
      </c>
      <c r="S8" s="9" t="n">
        <v>12.0</v>
      </c>
      <c r="T8" s="9" t="n">
        <v>0.0</v>
      </c>
      <c r="U8">
        <f>SUM(M8:T8)</f>
        <v>99.052388544717346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</v>
      </c>
      <c r="D9" s="6" t="n">
        <v>0.0</v>
      </c>
      <c r="E9" s="6" t="n">
        <v>0.0</v>
      </c>
      <c r="F9" s="6" t="n">
        <v>3.8800589823722853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3.8800589823722853</v>
      </c>
      <c r="L9" s="12">
        <v>0.125</v>
      </c>
      <c r="M9" s="9" t="n">
        <v>0.0</v>
      </c>
      <c r="N9" s="9" t="n">
        <v>0.0</v>
      </c>
      <c r="O9" s="9" t="n">
        <v>0.0</v>
      </c>
      <c r="P9" s="9" t="n">
        <v>0.0</v>
      </c>
      <c r="Q9" s="9" t="n">
        <v>46.70130157470703</v>
      </c>
      <c r="R9" s="9" t="n">
        <v>1.488433837890625</v>
      </c>
      <c r="S9" s="9" t="n">
        <v>8.012788772583008</v>
      </c>
      <c r="T9" s="9" t="n">
        <v>0.0</v>
      </c>
      <c r="U9">
        <f ref="U9:U58" si="1" t="shared">SUM(M9:T9)</f>
        <v>100.27904348079321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7.112833834877014E-5</v>
      </c>
      <c r="D10" s="6" t="n">
        <v>0.0</v>
      </c>
      <c r="E10" s="6" t="n">
        <v>0.0</v>
      </c>
      <c r="F10" s="6" t="n">
        <v>6.582916408777239</v>
      </c>
      <c r="G10" s="6" t="n">
        <v>0.0</v>
      </c>
      <c r="H10" s="6" t="n">
        <v>7.856837511062622E-4</v>
      </c>
      <c r="I10" s="6" t="n">
        <v>3.826677799224854E-4</v>
      </c>
      <c r="J10" s="6">
        <f si="0" t="shared"/>
        <v>6.5841558886466158</v>
      </c>
      <c r="L10" s="12">
        <v>0.14583333333333334</v>
      </c>
      <c r="M10" s="9" t="n">
        <v>0.0</v>
      </c>
      <c r="N10" s="9" t="n">
        <v>0.0</v>
      </c>
      <c r="O10" s="9" t="n">
        <v>0.0</v>
      </c>
      <c r="P10" s="9" t="n">
        <v>0.0</v>
      </c>
      <c r="Q10" s="9" t="n">
        <v>27.852246284484863</v>
      </c>
      <c r="R10" s="9" t="n">
        <v>1.340409278869629</v>
      </c>
      <c r="S10" s="9" t="n">
        <v>4.926142692565918</v>
      </c>
      <c r="T10" s="9" t="n">
        <v>0.0</v>
      </c>
      <c r="U10">
        <f si="1" t="shared"/>
        <v>91.835550490404898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0.0014225667669754032</v>
      </c>
      <c r="D11" s="6" t="n">
        <v>0.0</v>
      </c>
      <c r="E11" s="6" t="n">
        <v>1.9871633070087433E-4</v>
      </c>
      <c r="F11" s="6" t="n">
        <v>7.5482032549381275</v>
      </c>
      <c r="G11" s="6" t="n">
        <v>7.44621753692627E-4</v>
      </c>
      <c r="H11" s="6" t="n">
        <v>0.016385934472084043</v>
      </c>
      <c r="I11" s="6" t="n">
        <v>0.007653355598449706</v>
      </c>
      <c r="J11" s="6">
        <f si="0" t="shared"/>
        <v>7.5746084498600306</v>
      </c>
      <c r="L11" s="12">
        <v>0.16666666666666666</v>
      </c>
      <c r="M11" s="9" t="n">
        <v>0.0</v>
      </c>
      <c r="N11" s="9" t="n">
        <v>0.0</v>
      </c>
      <c r="O11" s="9" t="n">
        <v>0.0</v>
      </c>
      <c r="P11" s="9" t="n">
        <v>0.0</v>
      </c>
      <c r="Q11" s="9" t="n">
        <v>17.144606590270996</v>
      </c>
      <c r="R11" s="9" t="n">
        <v>2.3435869216918945</v>
      </c>
      <c r="S11" s="9" t="n">
        <v>3.8196496963500977</v>
      </c>
      <c r="T11" s="9" t="n">
        <v>0.0</v>
      </c>
      <c r="U11">
        <f si="1" t="shared"/>
        <v>74.147854357858094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0.01626221396177292</v>
      </c>
      <c r="D12" s="6" t="n">
        <v>0.0</v>
      </c>
      <c r="E12" s="6" t="n">
        <v>0.005239940028984643</v>
      </c>
      <c r="F12" s="6" t="n">
        <v>6.999818739027722</v>
      </c>
      <c r="G12" s="6" t="n">
        <v>0.016028228878974912</v>
      </c>
      <c r="H12" s="6" t="n">
        <v>0.16272510170936583</v>
      </c>
      <c r="I12" s="6" t="n">
        <v>0.07270687818527222</v>
      </c>
      <c r="J12" s="6">
        <f si="0" t="shared"/>
        <v>7.2727811017920931</v>
      </c>
      <c r="L12" s="12">
        <v>0.1875</v>
      </c>
      <c r="M12" s="9" t="n">
        <v>0.0</v>
      </c>
      <c r="N12" s="9" t="n">
        <v>0.0</v>
      </c>
      <c r="O12" s="9" t="n">
        <v>0.0</v>
      </c>
      <c r="P12" s="9" t="n">
        <v>0.0</v>
      </c>
      <c r="Q12" s="9" t="n">
        <v>18.461183547973633</v>
      </c>
      <c r="R12" s="9" t="n">
        <v>6.220561981201172</v>
      </c>
      <c r="S12" s="9" t="n">
        <v>6.585445404052734</v>
      </c>
      <c r="T12" s="9" t="n">
        <v>0.0</v>
      </c>
      <c r="U12">
        <f si="1" t="shared"/>
        <v>59.674714171496582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0.13633613395673946</v>
      </c>
      <c r="D13" s="6" t="n">
        <v>0.0</v>
      </c>
      <c r="E13" s="6" t="n">
        <v>0.06441685992053889</v>
      </c>
      <c r="F13" s="6" t="n">
        <v>5.825782233862825</v>
      </c>
      <c r="G13" s="6" t="n">
        <v>0.16419400930404662</v>
      </c>
      <c r="H13" s="6" t="n">
        <v>1.0234087717533111</v>
      </c>
      <c r="I13" s="6" t="n">
        <v>0.43624126911163325</v>
      </c>
      <c r="J13" s="6">
        <f si="0" t="shared"/>
        <v>7.6503792779090949</v>
      </c>
      <c r="L13" s="12">
        <v>0.20833333333333334</v>
      </c>
      <c r="M13" s="9" t="n">
        <v>0.0</v>
      </c>
      <c r="N13" s="9" t="n">
        <v>0.0</v>
      </c>
      <c r="O13" s="9" t="n">
        <v>0.0</v>
      </c>
      <c r="P13" s="9" t="n">
        <v>0.0</v>
      </c>
      <c r="Q13" s="9" t="n">
        <v>38.05069637298584</v>
      </c>
      <c r="R13" s="9" t="n">
        <v>15.824645042419434</v>
      </c>
      <c r="S13" s="9" t="n">
        <v>16.811598777770996</v>
      </c>
      <c r="T13" s="9" t="n">
        <v>0.0</v>
      </c>
      <c r="U13">
        <f si="1" t="shared"/>
        <v>67.464817525127458</v>
      </c>
    </row>
    <row r="14" spans="1:26" x14ac:dyDescent="0.25">
      <c r="A14" s="12">
        <v>0.22916666666666666</v>
      </c>
      <c r="B14" s="6" t="n">
        <v>2.1136314554595948E-4</v>
      </c>
      <c r="C14" s="6" t="n">
        <v>0.8740878546806737</v>
      </c>
      <c r="D14" s="6" t="n">
        <v>0.0</v>
      </c>
      <c r="E14" s="6" t="n">
        <v>0.4946852214350939</v>
      </c>
      <c r="F14" s="6" t="n">
        <v>6.107607342101986</v>
      </c>
      <c r="G14" s="6" t="n">
        <v>1.064669622182846</v>
      </c>
      <c r="H14" s="6" t="n">
        <v>4.575872631907463</v>
      </c>
      <c r="I14" s="6" t="n">
        <v>1.8546958636045456</v>
      </c>
      <c r="J14" s="6">
        <f si="0" t="shared"/>
        <v>14.971829899058152</v>
      </c>
      <c r="L14" s="12">
        <v>0.22916666666666666</v>
      </c>
      <c r="M14" s="9" t="n">
        <v>0.0</v>
      </c>
      <c r="N14" s="9" t="n">
        <v>0.0</v>
      </c>
      <c r="O14" s="9" t="n">
        <v>0.0</v>
      </c>
      <c r="P14" s="9" t="n">
        <v>0.0</v>
      </c>
      <c r="Q14" s="9" t="n">
        <v>85.17196464538574</v>
      </c>
      <c r="R14" s="9" t="n">
        <v>34.20402431488037</v>
      </c>
      <c r="S14" s="9" t="n">
        <v>39.93204593658447</v>
      </c>
      <c r="T14" s="9" t="n">
        <v>0.0</v>
      </c>
      <c r="U14">
        <f si="1" t="shared"/>
        <v>116.33643949718972</v>
      </c>
    </row>
    <row r="15" spans="1:26" x14ac:dyDescent="0.25">
      <c r="A15" s="12">
        <v>0.25</v>
      </c>
      <c r="B15" s="6" t="n">
        <v>0.004227262910919189</v>
      </c>
      <c r="C15" s="6" t="n">
        <v>4.322094801072091</v>
      </c>
      <c r="D15" s="6" t="n">
        <v>0.0</v>
      </c>
      <c r="E15" s="6" t="n">
        <v>2.6797119350080427</v>
      </c>
      <c r="F15" s="6" t="n">
        <v>14.055272460673283</v>
      </c>
      <c r="G15" s="6" t="n">
        <v>4.903136854410171</v>
      </c>
      <c r="H15" s="6" t="n">
        <v>15.500224427342413</v>
      </c>
      <c r="I15" s="6" t="n">
        <v>5.948480041503906</v>
      </c>
      <c r="J15" s="6">
        <f si="0" t="shared"/>
        <v>47.413147782920824</v>
      </c>
      <c r="L15" s="12">
        <v>0.25</v>
      </c>
      <c r="M15" s="9" t="n">
        <v>0.0</v>
      </c>
      <c r="N15" s="9" t="n">
        <v>0.0</v>
      </c>
      <c r="O15" s="9" t="n">
        <v>0.0</v>
      </c>
      <c r="P15" s="9" t="n">
        <v>0.0</v>
      </c>
      <c r="Q15" s="9" t="n">
        <v>168.85805225372314</v>
      </c>
      <c r="R15" s="9" t="n">
        <v>62.32625102996826</v>
      </c>
      <c r="S15" s="9" t="n">
        <v>81.83016395568848</v>
      </c>
      <c r="T15" s="9" t="n">
        <v>0.0</v>
      </c>
      <c r="U15">
        <f si="1" t="shared"/>
        <v>219.47927841350682</v>
      </c>
    </row>
    <row r="16" spans="1:26" x14ac:dyDescent="0.25">
      <c r="A16" s="12">
        <v>0.27083333333333331</v>
      </c>
      <c r="B16" s="6" t="n">
        <v>0.04043639614861049</v>
      </c>
      <c r="C16" s="6" t="n">
        <v>16.71163758217532</v>
      </c>
      <c r="D16" s="6" t="n">
        <v>0.0</v>
      </c>
      <c r="E16" s="6" t="n">
        <v>10.962138490197503</v>
      </c>
      <c r="F16" s="6" t="n">
        <v>47.16426060103628</v>
      </c>
      <c r="G16" s="6" t="n">
        <v>17.061246358036993</v>
      </c>
      <c r="H16" s="6" t="n">
        <v>41.52130581712723</v>
      </c>
      <c r="I16" s="6" t="n">
        <v>15.00656043612957</v>
      </c>
      <c r="J16" s="6">
        <f si="0" t="shared"/>
        <v>148.46758568085153</v>
      </c>
      <c r="L16" s="12">
        <v>0.27083333333333331</v>
      </c>
      <c r="M16" s="9" t="n">
        <v>0.0</v>
      </c>
      <c r="N16" s="9" t="n">
        <v>0.0</v>
      </c>
      <c r="O16" s="9" t="n">
        <v>0.0</v>
      </c>
      <c r="P16" s="9" t="n">
        <v>0.0</v>
      </c>
      <c r="Q16" s="9" t="n">
        <v>292.45056915283203</v>
      </c>
      <c r="R16" s="9" t="n">
        <v>97.02778625488281</v>
      </c>
      <c r="S16" s="9" t="n">
        <v>146.97257328033447</v>
      </c>
      <c r="T16" s="9" t="n">
        <v>0.0</v>
      </c>
      <c r="U16">
        <f si="1" t="shared"/>
        <v>381.04016846320781</v>
      </c>
    </row>
    <row r="17" spans="1:21" x14ac:dyDescent="0.25">
      <c r="A17" s="12">
        <v>0.29166666666666669</v>
      </c>
      <c r="B17" s="6" t="n">
        <v>0.24677708424075512</v>
      </c>
      <c r="C17" s="6" t="n">
        <v>51.49294828108714</v>
      </c>
      <c r="D17" s="6" t="n">
        <v>4.466760902166367E-4</v>
      </c>
      <c r="E17" s="6" t="n">
        <v>35.43526318533084</v>
      </c>
      <c r="F17" s="6" t="n">
        <v>143.4845732987696</v>
      </c>
      <c r="G17" s="6" t="n">
        <v>46.61187982952594</v>
      </c>
      <c r="H17" s="6" t="n">
        <v>91.28577776873111</v>
      </c>
      <c r="I17" s="6" t="n">
        <v>30.9130445458889</v>
      </c>
      <c r="J17" s="6">
        <f si="0" t="shared"/>
        <v>399.47071066966453</v>
      </c>
      <c r="L17" s="12">
        <v>0.29166666666666669</v>
      </c>
      <c r="M17" s="9" t="n">
        <v>0.0</v>
      </c>
      <c r="N17" s="9" t="n">
        <v>0.0</v>
      </c>
      <c r="O17" s="9" t="n">
        <v>0.0</v>
      </c>
      <c r="P17" s="9" t="n">
        <v>0.0</v>
      </c>
      <c r="Q17" s="9" t="n">
        <v>451.9709196090698</v>
      </c>
      <c r="R17" s="9" t="n">
        <v>131.89341831207275</v>
      </c>
      <c r="S17" s="9" t="n">
        <v>239.5729742050171</v>
      </c>
      <c r="T17" s="9" t="n">
        <v>0.0</v>
      </c>
      <c r="U17">
        <f si="1" t="shared"/>
        <v>599.62984436473175</v>
      </c>
    </row>
    <row r="18" spans="1:21" x14ac:dyDescent="0.25">
      <c r="A18" s="12">
        <v>0.3125</v>
      </c>
      <c r="B18" s="6" t="n">
        <v>1.082421501023038</v>
      </c>
      <c r="C18" s="6" t="n">
        <v>129.0418444828175</v>
      </c>
      <c r="D18" s="6" t="n">
        <v>0.008933521804332732</v>
      </c>
      <c r="E18" s="6" t="n">
        <v>93.67268534330782</v>
      </c>
      <c r="F18" s="6" t="n">
        <v>361.37020835888114</v>
      </c>
      <c r="G18" s="6" t="n">
        <v>102.67459289896487</v>
      </c>
      <c r="H18" s="6" t="n">
        <v>171.98038227164744</v>
      </c>
      <c r="I18" s="6" t="n">
        <v>54.64940935683251</v>
      </c>
      <c r="J18" s="6">
        <f si="0" t="shared"/>
        <v>914.48047773527867</v>
      </c>
      <c r="L18" s="12">
        <v>0.3125</v>
      </c>
      <c r="M18" s="9" t="n">
        <v>0.0</v>
      </c>
      <c r="N18" s="9" t="n">
        <v>0.0</v>
      </c>
      <c r="O18" s="9" t="n">
        <v>0.0</v>
      </c>
      <c r="P18" s="9" t="n">
        <v>0.0</v>
      </c>
      <c r="Q18" s="9" t="n">
        <v>643.1609048843384</v>
      </c>
      <c r="R18" s="9" t="n">
        <v>162.03609561920166</v>
      </c>
      <c r="S18" s="9" t="n">
        <v>370.6691722869873</v>
      </c>
      <c r="T18" s="9" t="n">
        <v>0.0</v>
      </c>
      <c r="U18">
        <f si="1" t="shared"/>
        <v>884.78650429384356</v>
      </c>
    </row>
    <row r="19" spans="1:21" x14ac:dyDescent="0.25">
      <c r="A19" s="12">
        <v>0.33333333333333331</v>
      </c>
      <c r="B19" s="6" t="n">
        <v>3.649137839976707</v>
      </c>
      <c r="C19" s="6" t="n">
        <v>268.551045324368</v>
      </c>
      <c r="D19" s="6" t="n">
        <v>0.08486845714116098</v>
      </c>
      <c r="E19" s="6" t="n">
        <v>208.4419672823214</v>
      </c>
      <c r="F19" s="6" t="n">
        <v>752.9864175378092</v>
      </c>
      <c r="G19" s="6" t="n">
        <v>186.25368290412385</v>
      </c>
      <c r="H19" s="6" t="n">
        <v>294.327971219182</v>
      </c>
      <c r="I19" s="6" t="n">
        <v>89.83575602436066</v>
      </c>
      <c r="J19" s="6">
        <f si="0" t="shared"/>
        <v>1804.1308465892832</v>
      </c>
      <c r="L19" s="12">
        <v>0.33333333333333331</v>
      </c>
      <c r="M19" s="9" t="n">
        <v>0.0</v>
      </c>
      <c r="N19" s="9" t="n">
        <v>0.0</v>
      </c>
      <c r="O19" s="9" t="n">
        <v>0.0</v>
      </c>
      <c r="P19" s="9" t="n">
        <v>0.0</v>
      </c>
      <c r="Q19" s="9" t="n">
        <v>872.6426048278809</v>
      </c>
      <c r="R19" s="9" t="n">
        <v>189.79694843292236</v>
      </c>
      <c r="S19" s="9" t="n">
        <v>567.7775087356567</v>
      </c>
      <c r="T19" s="9" t="n">
        <v>0.0</v>
      </c>
      <c r="U19">
        <f si="1" t="shared"/>
        <v>1279.1902657630646</v>
      </c>
    </row>
    <row r="20" spans="1:21" x14ac:dyDescent="0.25">
      <c r="A20" s="12">
        <v>0.35416666666666669</v>
      </c>
      <c r="B20" s="6" t="n">
        <v>9.889833109032852</v>
      </c>
      <c r="C20" s="6" t="n">
        <v>474.58278083048464</v>
      </c>
      <c r="D20" s="6" t="n">
        <v>0.5092107428469659</v>
      </c>
      <c r="E20" s="6" t="n">
        <v>400.7337170849894</v>
      </c>
      <c r="F20" s="6" t="n">
        <v>1312.8812079041254</v>
      </c>
      <c r="G20" s="6" t="n">
        <v>284.2860524843851</v>
      </c>
      <c r="H20" s="6" t="n">
        <v>489.23397829067704</v>
      </c>
      <c r="I20" s="6" t="n">
        <v>151.79989288222788</v>
      </c>
      <c r="J20" s="6">
        <f si="0" t="shared"/>
        <v>3123.9166733287693</v>
      </c>
      <c r="L20" s="12">
        <v>0.35416666666666669</v>
      </c>
      <c r="M20" s="9" t="n">
        <v>0.0</v>
      </c>
      <c r="N20" s="9" t="n">
        <v>0.0</v>
      </c>
      <c r="O20" s="9" t="n">
        <v>0.0</v>
      </c>
      <c r="P20" s="9" t="n">
        <v>0.0</v>
      </c>
      <c r="Q20" s="9" t="n">
        <v>1159.093029975891</v>
      </c>
      <c r="R20" s="9" t="n">
        <v>226.27831363677979</v>
      </c>
      <c r="S20" s="9" t="n">
        <v>876.3913526535034</v>
      </c>
      <c r="T20" s="9" t="n">
        <v>0.0</v>
      </c>
      <c r="U20">
        <f si="1" t="shared"/>
        <v>1862.0107981304752</v>
      </c>
    </row>
    <row r="21" spans="1:21" x14ac:dyDescent="0.25">
      <c r="A21" s="12">
        <v>0.375</v>
      </c>
      <c r="B21" s="6" t="n">
        <v>22.290743926025065</v>
      </c>
      <c r="C21" s="6" t="n">
        <v>730.3340488491081</v>
      </c>
      <c r="D21" s="6" t="n">
        <v>2.1641456570996054</v>
      </c>
      <c r="E21" s="6" t="n">
        <v>681.4331635535302</v>
      </c>
      <c r="F21" s="6" t="n">
        <v>1940.8946979655718</v>
      </c>
      <c r="G21" s="6" t="n">
        <v>376.07783302990924</v>
      </c>
      <c r="H21" s="6" t="n">
        <v>822.0681840676069</v>
      </c>
      <c r="I21" s="6" t="n">
        <v>275.65879535531997</v>
      </c>
      <c r="J21" s="6">
        <f si="0" t="shared"/>
        <v>4850.9216124041704</v>
      </c>
      <c r="L21" s="12">
        <v>0.375</v>
      </c>
      <c r="M21" s="9" t="n">
        <v>0.0</v>
      </c>
      <c r="N21" s="9" t="n">
        <v>0.0</v>
      </c>
      <c r="O21" s="9" t="n">
        <v>0.0</v>
      </c>
      <c r="P21" s="9" t="n">
        <v>0.0</v>
      </c>
      <c r="Q21" s="9" t="n">
        <v>1515.2221050262451</v>
      </c>
      <c r="R21" s="9" t="n">
        <v>286.7268543243408</v>
      </c>
      <c r="S21" s="9" t="n">
        <v>1345.983468055725</v>
      </c>
      <c r="T21" s="9" t="n">
        <v>0.0</v>
      </c>
      <c r="U21">
        <f si="1" t="shared"/>
        <v>2716.4287602776822</v>
      </c>
    </row>
    <row r="22" spans="1:21" x14ac:dyDescent="0.25">
      <c r="A22" s="12">
        <v>0.39583333333333331</v>
      </c>
      <c r="B22" s="6" t="n">
        <v>42.95878127358935</v>
      </c>
      <c r="C22" s="6" t="n">
        <v>1007.0513648738287</v>
      </c>
      <c r="D22" s="6" t="n">
        <v>6.925266102718736</v>
      </c>
      <c r="E22" s="6" t="n">
        <v>1045.6040342363501</v>
      </c>
      <c r="F22" s="6" t="n">
        <v>2471.1695733953484</v>
      </c>
      <c r="G22" s="6" t="n">
        <v>452.9717726361953</v>
      </c>
      <c r="H22" s="6" t="n">
        <v>1375.6180069544314</v>
      </c>
      <c r="I22" s="6" t="n">
        <v>509.3885809223651</v>
      </c>
      <c r="J22" s="6">
        <f si="0" t="shared"/>
        <v>6911.6873803948265</v>
      </c>
      <c r="L22" s="12">
        <v>0.39583333333333331</v>
      </c>
      <c r="M22" s="9" t="n">
        <v>0.0</v>
      </c>
      <c r="N22" s="9" t="n">
        <v>0.0</v>
      </c>
      <c r="O22" s="9" t="n">
        <v>0.0</v>
      </c>
      <c r="P22" s="9" t="n">
        <v>0.0</v>
      </c>
      <c r="Q22" s="9" t="n">
        <v>1923.609341621399</v>
      </c>
      <c r="R22" s="9" t="n">
        <v>384.56617164611816</v>
      </c>
      <c r="S22" s="9" t="n">
        <v>2014.1635217666626</v>
      </c>
      <c r="T22" s="9" t="n">
        <v>0.0</v>
      </c>
      <c r="U22">
        <f si="1" t="shared"/>
        <v>3889.5245525498699</v>
      </c>
    </row>
    <row r="23" spans="1:21" x14ac:dyDescent="0.25">
      <c r="A23" s="12">
        <v>0.41666666666666669</v>
      </c>
      <c r="B23" s="6" t="n">
        <v>72.45532746676909</v>
      </c>
      <c r="C23" s="6" t="n">
        <v>1281.7142566042237</v>
      </c>
      <c r="D23" s="6" t="n">
        <v>17.31316525679684</v>
      </c>
      <c r="E23" s="6" t="n">
        <v>1471.1852455893813</v>
      </c>
      <c r="F23" s="6" t="n">
        <v>2766.6978114217964</v>
      </c>
      <c r="G23" s="6" t="n">
        <v>536.9600750453138</v>
      </c>
      <c r="H23" s="6" t="n">
        <v>2195.2734855275157</v>
      </c>
      <c r="I23" s="6" t="n">
        <v>883.0228460158108</v>
      </c>
      <c r="J23" s="6">
        <f si="0" t="shared"/>
        <v>9224.6222129276066</v>
      </c>
      <c r="L23" s="12">
        <v>0.41666666666666669</v>
      </c>
      <c r="M23" s="9" t="n">
        <v>0.0</v>
      </c>
      <c r="N23" s="9" t="n">
        <v>0.0</v>
      </c>
      <c r="O23" s="9" t="n">
        <v>0.0</v>
      </c>
      <c r="P23" s="9" t="n">
        <v>0.0</v>
      </c>
      <c r="Q23" s="9" t="n">
        <v>2337.00563621521</v>
      </c>
      <c r="R23" s="9" t="n">
        <v>533.1391096115112</v>
      </c>
      <c r="S23" s="9" t="n">
        <v>2924.8134927749634</v>
      </c>
      <c r="T23" s="9" t="n">
        <v>0.0</v>
      </c>
      <c r="U23">
        <f si="1" t="shared"/>
        <v>5416.0173303215352</v>
      </c>
    </row>
    <row r="24" spans="1:21" x14ac:dyDescent="0.25">
      <c r="A24" s="12">
        <v>0.4375</v>
      </c>
      <c r="B24" s="6" t="n">
        <v>108.95326895524407</v>
      </c>
      <c r="C24" s="6" t="n">
        <v>1545.388316603107</v>
      </c>
      <c r="D24" s="6" t="n">
        <v>34.62633051359368</v>
      </c>
      <c r="E24" s="6" t="n">
        <v>1925.4688452867858</v>
      </c>
      <c r="F24" s="6" t="n">
        <v>2803.82456569575</v>
      </c>
      <c r="G24" s="6" t="n">
        <v>684.210991256345</v>
      </c>
      <c r="H24" s="6" t="n">
        <v>3253.5998574002983</v>
      </c>
      <c r="I24" s="6" t="n">
        <v>1366.7238196648357</v>
      </c>
      <c r="J24" s="6">
        <f si="0" t="shared"/>
        <v>11722.79599537596</v>
      </c>
      <c r="L24" s="12">
        <v>0.4375</v>
      </c>
      <c r="M24" s="9" t="n">
        <v>0.0</v>
      </c>
      <c r="N24" s="9" t="n">
        <v>0.0</v>
      </c>
      <c r="O24" s="9" t="n">
        <v>0.0</v>
      </c>
      <c r="P24" s="9" t="n">
        <v>0.0</v>
      </c>
      <c r="Q24" s="9" t="n">
        <v>2718.2605991363525</v>
      </c>
      <c r="R24" s="9" t="n">
        <v>759.5576515197754</v>
      </c>
      <c r="S24" s="9" t="n">
        <v>4202.549380302429</v>
      </c>
      <c r="T24" s="9" t="n">
        <v>0.0</v>
      </c>
      <c r="U24">
        <f si="1" t="shared"/>
        <v>7447.9908988141287</v>
      </c>
    </row>
    <row r="25" spans="1:21" x14ac:dyDescent="0.25">
      <c r="A25" s="12">
        <v>0.45833333333333331</v>
      </c>
      <c r="B25" s="6" t="n">
        <v>148.03986303188813</v>
      </c>
      <c r="C25" s="6" t="n">
        <v>1798.540943260868</v>
      </c>
      <c r="D25" s="6" t="n">
        <v>56.26778708458973</v>
      </c>
      <c r="E25" s="6" t="n">
        <v>2384.4967502613526</v>
      </c>
      <c r="F25" s="6" t="n">
        <v>2668.8598844510257</v>
      </c>
      <c r="G25" s="6" t="n">
        <v>979.8811754114347</v>
      </c>
      <c r="H25" s="6" t="n">
        <v>4536.9845650759935</v>
      </c>
      <c r="I25" s="6" t="n">
        <v>1852.8248067280053</v>
      </c>
      <c r="J25" s="6">
        <f si="0" t="shared"/>
        <v>14425.895775305158</v>
      </c>
      <c r="L25" s="12">
        <v>0.45833333333333331</v>
      </c>
      <c r="M25" s="9" t="n">
        <v>0.0</v>
      </c>
      <c r="N25" s="9" t="n">
        <v>0.0</v>
      </c>
      <c r="O25" s="9" t="n">
        <v>0.0</v>
      </c>
      <c r="P25" s="9" t="n">
        <v>0.0</v>
      </c>
      <c r="Q25" s="9" t="n">
        <v>3091.63254737854</v>
      </c>
      <c r="R25" s="9" t="n">
        <v>1121.3908004760742</v>
      </c>
      <c r="S25" s="9" t="n">
        <v>6140.404818534851</v>
      </c>
      <c r="T25" s="9" t="n">
        <v>0.0</v>
      </c>
      <c r="U25">
        <f si="1" t="shared"/>
        <v>10412.258592248443</v>
      </c>
    </row>
    <row r="26" spans="1:21" x14ac:dyDescent="0.25">
      <c r="A26" s="12">
        <v>0.47916666666666669</v>
      </c>
      <c r="B26" s="6" t="n">
        <v>183.60544663520992</v>
      </c>
      <c r="C26" s="6" t="n">
        <v>2045.990853428204</v>
      </c>
      <c r="D26" s="6" t="n">
        <v>75.0237161127863</v>
      </c>
      <c r="E26" s="6" t="n">
        <v>2857.9131898177006</v>
      </c>
      <c r="F26" s="6" t="n">
        <v>2476.6361776372</v>
      </c>
      <c r="G26" s="6" t="n">
        <v>1541.0064232429902</v>
      </c>
      <c r="H26" s="6" t="n">
        <v>6298.662214742899</v>
      </c>
      <c r="I26" s="6" t="n">
        <v>2193.3708736807107</v>
      </c>
      <c r="J26" s="6">
        <f si="0" t="shared"/>
        <v>17672.208895297699</v>
      </c>
      <c r="L26" s="12">
        <v>0.47916666666666669</v>
      </c>
      <c r="M26" s="9" t="n">
        <v>0.0</v>
      </c>
      <c r="N26" s="9" t="n">
        <v>0.0</v>
      </c>
      <c r="O26" s="9" t="n">
        <v>0.0</v>
      </c>
      <c r="P26" s="9" t="n">
        <v>0.0</v>
      </c>
      <c r="Q26" s="9" t="n">
        <v>3551.5568656921387</v>
      </c>
      <c r="R26" s="9" t="n">
        <v>1705.4644937515259</v>
      </c>
      <c r="S26" s="9" t="n">
        <v>9192.86376285553</v>
      </c>
      <c r="T26" s="9" t="n">
        <v>0.0</v>
      </c>
      <c r="U26">
        <f si="1" t="shared"/>
        <v>15008.320344077774</v>
      </c>
    </row>
    <row r="27" spans="1:21" x14ac:dyDescent="0.25">
      <c r="A27" s="12">
        <v>0.5</v>
      </c>
      <c r="B27" s="6" t="n">
        <v>210.82530964533697</v>
      </c>
      <c r="C27" s="6" t="n">
        <v>2296.436886378877</v>
      </c>
      <c r="D27" s="6" t="n">
        <v>82.52608772406494</v>
      </c>
      <c r="E27" s="6" t="n">
        <v>3390.0999936823873</v>
      </c>
      <c r="F27" s="6" t="n">
        <v>2295.753803661082</v>
      </c>
      <c r="G27" s="6" t="n">
        <v>2514.3655729914594</v>
      </c>
      <c r="H27" s="6" t="n">
        <v>9336.070965268373</v>
      </c>
      <c r="I27" s="6" t="n">
        <v>2285.1223198662997</v>
      </c>
      <c r="J27" s="6">
        <f si="0" t="shared"/>
        <v>22411.200939217881</v>
      </c>
      <c r="L27" s="12">
        <v>0.5</v>
      </c>
      <c r="M27" s="9" t="n">
        <v>0.0</v>
      </c>
      <c r="N27" s="9" t="n">
        <v>0.0</v>
      </c>
      <c r="O27" s="9" t="n">
        <v>0.0</v>
      </c>
      <c r="P27" s="9" t="n">
        <v>0.0</v>
      </c>
      <c r="Q27" s="9" t="n">
        <v>4205.210350036621</v>
      </c>
      <c r="R27" s="9" t="n">
        <v>2595.463653564453</v>
      </c>
      <c r="S27" s="9" t="n">
        <v>13800.285021781921</v>
      </c>
      <c r="T27" s="9" t="n">
        <v>0.0</v>
      </c>
      <c r="U27">
        <f si="1" t="shared"/>
        <v>21924.297094332556</v>
      </c>
    </row>
    <row r="28" spans="1:21" x14ac:dyDescent="0.25">
      <c r="A28" s="12">
        <v>0.52083333333333337</v>
      </c>
      <c r="B28" s="6" t="n">
        <v>231.21032484694837</v>
      </c>
      <c r="C28" s="6" t="n">
        <v>2555.10410847021</v>
      </c>
      <c r="D28" s="6" t="n">
        <v>75.0237161127863</v>
      </c>
      <c r="E28" s="6" t="n">
        <v>4013.180264311682</v>
      </c>
      <c r="F28" s="6" t="n">
        <v>2139.925807162217</v>
      </c>
      <c r="G28" s="6" t="n">
        <v>4014.695791119416</v>
      </c>
      <c r="H28" s="6" t="n">
        <v>14950.219703808665</v>
      </c>
      <c r="I28" s="6" t="n">
        <v>2146.5037482851744</v>
      </c>
      <c r="J28" s="6">
        <f si="0" t="shared"/>
        <v>30125.863464117097</v>
      </c>
      <c r="L28" s="12">
        <v>0.52083333333333337</v>
      </c>
      <c r="M28" s="9" t="n">
        <v>0.0</v>
      </c>
      <c r="N28" s="9" t="n">
        <v>0.0</v>
      </c>
      <c r="O28" s="9" t="n">
        <v>0.0</v>
      </c>
      <c r="P28" s="9" t="n">
        <v>0.0</v>
      </c>
      <c r="Q28" s="9" t="n">
        <v>5089.664471626282</v>
      </c>
      <c r="R28" s="9" t="n">
        <v>3821.9292488098145</v>
      </c>
      <c r="S28" s="9" t="n">
        <v>20117.777512550354</v>
      </c>
      <c r="T28" s="9" t="n">
        <v>0.0</v>
      </c>
      <c r="U28">
        <f si="1" t="shared"/>
        <v>31396.386984485856</v>
      </c>
    </row>
    <row r="29" spans="1:21" x14ac:dyDescent="0.25">
      <c r="A29" s="12">
        <v>0.54166666666666663</v>
      </c>
      <c r="B29" s="6" t="n">
        <v>255.66507441462196</v>
      </c>
      <c r="C29" s="6" t="n">
        <v>2805.589071649401</v>
      </c>
      <c r="D29" s="6" t="n">
        <v>56.26778708458973</v>
      </c>
      <c r="E29" s="6" t="n">
        <v>4675.894146588061</v>
      </c>
      <c r="F29" s="6" t="n">
        <v>2004.089627845595</v>
      </c>
      <c r="G29" s="6" t="n">
        <v>5977.7483725054535</v>
      </c>
      <c r="H29" s="6" t="n">
        <v>24272.27305077684</v>
      </c>
      <c r="I29" s="6" t="n">
        <v>1924.5497745683194</v>
      </c>
      <c r="J29" s="6">
        <f si="0" t="shared"/>
        <v>41972.076905432878</v>
      </c>
      <c r="L29" s="12">
        <v>0.54166666666666663</v>
      </c>
      <c r="M29" s="9" t="n">
        <v>0.0</v>
      </c>
      <c r="N29" s="9" t="n">
        <v>0.0</v>
      </c>
      <c r="O29" s="9" t="n">
        <v>0.0</v>
      </c>
      <c r="P29" s="9" t="n">
        <v>0.0</v>
      </c>
      <c r="Q29" s="9" t="n">
        <v>6133.613545417786</v>
      </c>
      <c r="R29" s="9" t="n">
        <v>5326.376553535461</v>
      </c>
      <c r="S29" s="9" t="n">
        <v>27827.920895576477</v>
      </c>
      <c r="T29" s="9" t="n">
        <v>0.0</v>
      </c>
      <c r="U29">
        <f si="1" t="shared"/>
        <v>42913.731173421591</v>
      </c>
    </row>
    <row r="30" spans="1:21" x14ac:dyDescent="0.25">
      <c r="A30" s="12">
        <v>0.5625</v>
      </c>
      <c r="B30" s="6" t="n">
        <v>298.81517282097013</v>
      </c>
      <c r="C30" s="6" t="n">
        <v>3000.277266818066</v>
      </c>
      <c r="D30" s="6" t="n">
        <v>34.62633051359368</v>
      </c>
      <c r="E30" s="6" t="n">
        <v>5219.500699653124</v>
      </c>
      <c r="F30" s="6" t="n">
        <v>1890.4094564789514</v>
      </c>
      <c r="G30" s="6" t="n">
        <v>8025.38873008569</v>
      </c>
      <c r="H30" s="6" t="n">
        <v>37086.31477445316</v>
      </c>
      <c r="I30" s="6" t="n">
        <v>1821.7593863644602</v>
      </c>
      <c r="J30" s="6">
        <f si="0" t="shared"/>
        <v>57377.091817188018</v>
      </c>
      <c r="L30" s="12">
        <v>0.5625</v>
      </c>
      <c r="M30" s="9" t="n">
        <v>0.0</v>
      </c>
      <c r="N30" s="9" t="n">
        <v>0.0</v>
      </c>
      <c r="O30" s="9" t="n">
        <v>0.0</v>
      </c>
      <c r="P30" s="9" t="n">
        <v>0.0</v>
      </c>
      <c r="Q30" s="9" t="n">
        <v>7189.055892944336</v>
      </c>
      <c r="R30" s="9" t="n">
        <v>6954.822543144226</v>
      </c>
      <c r="S30" s="9" t="n">
        <v>36128.934200286865</v>
      </c>
      <c r="T30" s="9" t="n">
        <v>0.0</v>
      </c>
      <c r="U30">
        <f si="1" t="shared"/>
        <v>55227.072945094471</v>
      </c>
    </row>
    <row r="31" spans="1:21" x14ac:dyDescent="0.25">
      <c r="A31" s="12">
        <v>0.58333333333333337</v>
      </c>
      <c r="B31" s="6" t="n">
        <v>364.1641264074792</v>
      </c>
      <c r="C31" s="6" t="n">
        <v>3079.3944047052896</v>
      </c>
      <c r="D31" s="6" t="n">
        <v>17.313165256796836</v>
      </c>
      <c r="E31" s="6" t="n">
        <v>5450.641058609954</v>
      </c>
      <c r="F31" s="6" t="n">
        <v>1804.3098836298273</v>
      </c>
      <c r="G31" s="6" t="n">
        <v>9524.120921253412</v>
      </c>
      <c r="H31" s="6" t="n">
        <v>50949.82717714631</v>
      </c>
      <c r="I31" s="6" t="n">
        <v>1997.834160978794</v>
      </c>
      <c r="J31" s="6">
        <f si="0" t="shared"/>
        <v>73187.604897987854</v>
      </c>
      <c r="L31" s="12">
        <v>0.58333333333333337</v>
      </c>
      <c r="M31" s="9" t="n">
        <v>0.0</v>
      </c>
      <c r="N31" s="9" t="n">
        <v>0.0</v>
      </c>
      <c r="O31" s="9" t="n">
        <v>0.0</v>
      </c>
      <c r="P31" s="9" t="n">
        <v>0.0</v>
      </c>
      <c r="Q31" s="9" t="n">
        <v>8089.945622444153</v>
      </c>
      <c r="R31" s="9" t="n">
        <v>8468.417221069336</v>
      </c>
      <c r="S31" s="9" t="n">
        <v>43822.645297050476</v>
      </c>
      <c r="T31" s="9" t="n">
        <v>0.0</v>
      </c>
      <c r="U31">
        <f si="1" t="shared"/>
        <v>66532.694738195263</v>
      </c>
    </row>
    <row r="32" spans="1:21" x14ac:dyDescent="0.25">
      <c r="A32" s="12">
        <v>0.60416666666666663</v>
      </c>
      <c r="B32" s="6" t="n">
        <v>432.679084082832</v>
      </c>
      <c r="C32" s="6" t="n">
        <v>3008.755329562914</v>
      </c>
      <c r="D32" s="6" t="n">
        <v>6.925266102718735</v>
      </c>
      <c r="E32" s="6" t="n">
        <v>5270.727580997275</v>
      </c>
      <c r="F32" s="6" t="n">
        <v>1741.7100580482947</v>
      </c>
      <c r="G32" s="6" t="n">
        <v>9897.722960594958</v>
      </c>
      <c r="H32" s="6" t="n">
        <v>61644.37208861088</v>
      </c>
      <c r="I32" s="6" t="n">
        <v>2512.88779292357</v>
      </c>
      <c r="J32" s="6">
        <f si="0" t="shared"/>
        <v>84515.780160923445</v>
      </c>
      <c r="L32" s="12">
        <v>0.60416666666666663</v>
      </c>
      <c r="M32" s="9" t="n">
        <v>0.0</v>
      </c>
      <c r="N32" s="9" t="n">
        <v>0.0</v>
      </c>
      <c r="O32" s="9" t="n">
        <v>0.0</v>
      </c>
      <c r="P32" s="9" t="n">
        <v>0.0</v>
      </c>
      <c r="Q32" s="9" t="n">
        <v>8687.294235229492</v>
      </c>
      <c r="R32" s="9" t="n">
        <v>9568.008568763733</v>
      </c>
      <c r="S32" s="9" t="n">
        <v>49449.659722328186</v>
      </c>
      <c r="T32" s="9" t="n">
        <v>0.0</v>
      </c>
      <c r="U32">
        <f si="1" t="shared"/>
        <v>74707.401528163347</v>
      </c>
    </row>
    <row r="33" spans="1:21" x14ac:dyDescent="0.25">
      <c r="A33" s="12">
        <v>0.625</v>
      </c>
      <c r="B33" s="6" t="n">
        <v>470.41045059759807</v>
      </c>
      <c r="C33" s="6" t="n">
        <v>2801.5523629513286</v>
      </c>
      <c r="D33" s="6" t="n">
        <v>2.164521999436428</v>
      </c>
      <c r="E33" s="6" t="n">
        <v>4751.776228254081</v>
      </c>
      <c r="F33" s="6" t="n">
        <v>1689.532068170743</v>
      </c>
      <c r="G33" s="6" t="n">
        <v>8991.78244322476</v>
      </c>
      <c r="H33" s="6" t="n">
        <v>65184.37278943716</v>
      </c>
      <c r="I33" s="6" t="n">
        <v>3325.5424609667066</v>
      </c>
      <c r="J33" s="6">
        <f si="0" t="shared"/>
        <v>87217.133325601812</v>
      </c>
      <c r="L33" s="12">
        <v>0.625</v>
      </c>
      <c r="M33" s="9" t="n">
        <v>0.0</v>
      </c>
      <c r="N33" s="9" t="n">
        <v>0.0</v>
      </c>
      <c r="O33" s="9" t="n">
        <v>0.0</v>
      </c>
      <c r="P33" s="9" t="n">
        <v>0.0</v>
      </c>
      <c r="Q33" s="9" t="n">
        <v>8865.812628746033</v>
      </c>
      <c r="R33" s="9" t="n">
        <v>9961.797694206238</v>
      </c>
      <c r="S33" s="9" t="n">
        <v>51595.852937698364</v>
      </c>
      <c r="T33" s="9" t="n">
        <v>0.0</v>
      </c>
      <c r="U33">
        <f si="1" t="shared"/>
        <v>77744.585856346763</v>
      </c>
    </row>
    <row r="34" spans="1:21" x14ac:dyDescent="0.25">
      <c r="A34" s="12">
        <v>0.64583333333333337</v>
      </c>
      <c r="B34" s="6" t="n">
        <v>453.2512437290443</v>
      </c>
      <c r="C34" s="6" t="n">
        <v>2503.2530617346943</v>
      </c>
      <c r="D34" s="6" t="n">
        <v>0.5172517948902922</v>
      </c>
      <c r="E34" s="6" t="n">
        <v>4087.8496509749216</v>
      </c>
      <c r="F34" s="6" t="n">
        <v>1637.4529576849832</v>
      </c>
      <c r="G34" s="6" t="n">
        <v>7181.046765993942</v>
      </c>
      <c r="H34" s="6" t="n">
        <v>60178.15294293272</v>
      </c>
      <c r="I34" s="6" t="n">
        <v>4306.094558490872</v>
      </c>
      <c r="J34" s="6">
        <f si="0" t="shared"/>
        <v>80347.618433336072</v>
      </c>
      <c r="L34" s="12">
        <v>0.64583333333333337</v>
      </c>
      <c r="M34" s="9" t="n">
        <v>0.0</v>
      </c>
      <c r="N34" s="9" t="n">
        <v>0.0</v>
      </c>
      <c r="O34" s="9" t="n">
        <v>0.0</v>
      </c>
      <c r="P34" s="9" t="n">
        <v>0.0</v>
      </c>
      <c r="Q34" s="9" t="n">
        <v>8577.156618118286</v>
      </c>
      <c r="R34" s="9" t="n">
        <v>9487.02324962616</v>
      </c>
      <c r="S34" s="9" t="n">
        <v>49448.10786819458</v>
      </c>
      <c r="T34" s="9" t="n">
        <v>0.0</v>
      </c>
      <c r="U34">
        <f si="1" t="shared"/>
        <v>74519.993668610012</v>
      </c>
    </row>
    <row r="35" spans="1:21" x14ac:dyDescent="0.25">
      <c r="A35" s="12">
        <v>0.66666666666666663</v>
      </c>
      <c r="B35" s="6" t="n">
        <v>386.34845058787806</v>
      </c>
      <c r="C35" s="6" t="n">
        <v>2158.011126994538</v>
      </c>
      <c r="D35" s="6" t="n">
        <v>0.1666576072747612</v>
      </c>
      <c r="E35" s="6" t="n">
        <v>3468.963413290011</v>
      </c>
      <c r="F35" s="6" t="n">
        <v>1585.1659319939126</v>
      </c>
      <c r="G35" s="6" t="n">
        <v>5123.086493394699</v>
      </c>
      <c r="H35" s="6" t="n">
        <v>48697.940926023366</v>
      </c>
      <c r="I35" s="6" t="n">
        <v>5238.899182550669</v>
      </c>
      <c r="J35" s="6">
        <f si="0" t="shared"/>
        <v>66658.582182442347</v>
      </c>
      <c r="L35" s="12">
        <v>0.66666666666666663</v>
      </c>
      <c r="M35" s="9" t="n">
        <v>0.0</v>
      </c>
      <c r="N35" s="9" t="n">
        <v>0.0</v>
      </c>
      <c r="O35" s="9" t="n">
        <v>0.0</v>
      </c>
      <c r="P35" s="9" t="n">
        <v>0.0</v>
      </c>
      <c r="Q35" s="9" t="n">
        <v>7882.606436729431</v>
      </c>
      <c r="R35" s="9" t="n">
        <v>8218.952117919922</v>
      </c>
      <c r="S35" s="9" t="n">
        <v>43317.34955787659</v>
      </c>
      <c r="T35" s="9" t="n">
        <v>0.0</v>
      </c>
      <c r="U35">
        <f si="1" t="shared"/>
        <v>65518.048820894313</v>
      </c>
    </row>
    <row r="36" spans="1:21" x14ac:dyDescent="0.25">
      <c r="A36" s="12">
        <v>0.6875</v>
      </c>
      <c r="B36" s="6" t="n">
        <v>299.3364484025866</v>
      </c>
      <c r="C36" s="6" t="n">
        <v>1792.6429195588034</v>
      </c>
      <c r="D36" s="6" t="n">
        <v>0.5356627940859318</v>
      </c>
      <c r="E36" s="6" t="n">
        <v>2990.2613160556702</v>
      </c>
      <c r="F36" s="6" t="n">
        <v>1537.676633399763</v>
      </c>
      <c r="G36" s="6" t="n">
        <v>3374.1950324162444</v>
      </c>
      <c r="H36" s="6" t="n">
        <v>34915.96701809335</v>
      </c>
      <c r="I36" s="6" t="n">
        <v>5848.150242543817</v>
      </c>
      <c r="J36" s="6">
        <f si="0" t="shared"/>
        <v>50758.765273264326</v>
      </c>
      <c r="L36" s="12">
        <v>0.6875</v>
      </c>
      <c r="M36" s="9" t="n">
        <v>0.0</v>
      </c>
      <c r="N36" s="9" t="n">
        <v>0.0</v>
      </c>
      <c r="O36" s="9" t="n">
        <v>0.0</v>
      </c>
      <c r="P36" s="9" t="n">
        <v>0.0</v>
      </c>
      <c r="Q36" s="9" t="n">
        <v>6953.097615242004</v>
      </c>
      <c r="R36" s="9" t="n">
        <v>6466.635893821716</v>
      </c>
      <c r="S36" s="9" t="n">
        <v>34653.607524871826</v>
      </c>
      <c r="T36" s="9" t="n">
        <v>0.0</v>
      </c>
      <c r="U36">
        <f si="1" t="shared"/>
        <v>52851.609239625002</v>
      </c>
    </row>
    <row r="37" spans="1:21" x14ac:dyDescent="0.25">
      <c r="A37" s="12">
        <v>0.70833333333333337</v>
      </c>
      <c r="B37" s="6" t="n">
        <v>224.19626971410048</v>
      </c>
      <c r="C37" s="6" t="n">
        <v>1427.8219046897193</v>
      </c>
      <c r="D37" s="6" t="n">
        <v>2.410019347817001</v>
      </c>
      <c r="E37" s="6" t="n">
        <v>2653.3989519694715</v>
      </c>
      <c r="F37" s="6" t="n">
        <v>1496.6338080202793</v>
      </c>
      <c r="G37" s="6" t="n">
        <v>2162.67705777256</v>
      </c>
      <c r="H37" s="6" t="n">
        <v>22662.93533995474</v>
      </c>
      <c r="I37" s="6" t="n">
        <v>5892.404363363266</v>
      </c>
      <c r="J37" s="6">
        <f si="0" t="shared"/>
        <v>36522.477714831955</v>
      </c>
      <c r="L37" s="12">
        <v>0.70833333333333337</v>
      </c>
      <c r="M37" s="9" t="n">
        <v>0.0</v>
      </c>
      <c r="N37" s="9" t="n">
        <v>0.0</v>
      </c>
      <c r="O37" s="9" t="n">
        <v>0.0</v>
      </c>
      <c r="P37" s="9" t="n">
        <v>0.0</v>
      </c>
      <c r="Q37" s="9" t="n">
        <v>6003.20366191864</v>
      </c>
      <c r="R37" s="9" t="n">
        <v>4636.08877658844</v>
      </c>
      <c r="S37" s="9" t="n">
        <v>25427.50752067566</v>
      </c>
      <c r="T37" s="9" t="n">
        <v>0.0</v>
      </c>
      <c r="U37">
        <f si="1" t="shared"/>
        <v>39382.147677882022</v>
      </c>
    </row>
    <row r="38" spans="1:21" x14ac:dyDescent="0.25">
      <c r="A38" s="12">
        <v>0.72916666666666663</v>
      </c>
      <c r="B38" s="6" t="n">
        <v>178.4907038849036</v>
      </c>
      <c r="C38" s="6" t="n">
        <v>1091.7530237868264</v>
      </c>
      <c r="D38" s="6" t="n">
        <v>8.32613630183367</v>
      </c>
      <c r="E38" s="6" t="n">
        <v>2418.7880378275922</v>
      </c>
      <c r="F38" s="6" t="n">
        <v>1459.4032880862558</v>
      </c>
      <c r="G38" s="6" t="n">
        <v>1422.4755824589647</v>
      </c>
      <c r="H38" s="6" t="n">
        <v>13804.865917348268</v>
      </c>
      <c r="I38" s="6" t="n">
        <v>5296.055827759505</v>
      </c>
      <c r="J38" s="6">
        <f si="0" t="shared"/>
        <v>25680.158517454151</v>
      </c>
      <c r="L38" s="12">
        <v>0.72916666666666663</v>
      </c>
      <c r="M38" s="9" t="n">
        <v>0.0</v>
      </c>
      <c r="N38" s="9" t="n">
        <v>0.0</v>
      </c>
      <c r="O38" s="9" t="n">
        <v>0.0</v>
      </c>
      <c r="P38" s="9" t="n">
        <v>0.0</v>
      </c>
      <c r="Q38" s="9" t="n">
        <v>5203.252402305603</v>
      </c>
      <c r="R38" s="9" t="n">
        <v>3056.311816215515</v>
      </c>
      <c r="S38" s="9" t="n">
        <v>17298.48851776123</v>
      </c>
      <c r="T38" s="9" t="n">
        <v>0.0</v>
      </c>
      <c r="U38">
        <f si="1" t="shared"/>
        <v>27526.001576457857</v>
      </c>
    </row>
    <row r="39" spans="1:21" x14ac:dyDescent="0.25">
      <c r="A39" s="12">
        <v>0.75</v>
      </c>
      <c r="B39" s="6" t="n">
        <v>165.5873897309861</v>
      </c>
      <c r="C39" s="6" t="n">
        <v>814.4315591890738</v>
      </c>
      <c r="D39" s="6" t="n">
        <v>22.55926805279006</v>
      </c>
      <c r="E39" s="6" t="n">
        <v>2242.536324231677</v>
      </c>
      <c r="F39" s="6" t="n">
        <v>1426.6356516871683</v>
      </c>
      <c r="G39" s="6" t="n">
        <v>970.3299559249872</v>
      </c>
      <c r="H39" s="6" t="n">
        <v>8274.473838224174</v>
      </c>
      <c r="I39" s="6" t="n">
        <v>4211.894708207965</v>
      </c>
      <c r="J39" s="6">
        <f si="0" t="shared"/>
        <v>18128.448695248822</v>
      </c>
      <c r="L39" s="12">
        <v>0.75</v>
      </c>
      <c r="M39" s="9" t="n">
        <v>0.0</v>
      </c>
      <c r="N39" s="9" t="n">
        <v>0.0</v>
      </c>
      <c r="O39" s="9" t="n">
        <v>0.0</v>
      </c>
      <c r="P39" s="9" t="n">
        <v>0.0</v>
      </c>
      <c r="Q39" s="9" t="n">
        <v>4631.645959854126</v>
      </c>
      <c r="R39" s="9" t="n">
        <v>1882.9962968826294</v>
      </c>
      <c r="S39" s="9" t="n">
        <v>11116.560000419617</v>
      </c>
      <c r="T39" s="9" t="n">
        <v>0.0</v>
      </c>
      <c r="U39">
        <f si="1" t="shared"/>
        <v>18528.842018656407</v>
      </c>
    </row>
    <row r="40" spans="1:21" x14ac:dyDescent="0.25">
      <c r="A40" s="12">
        <v>0.77083333333333337</v>
      </c>
      <c r="B40" s="6" t="n">
        <v>183.44316492018046</v>
      </c>
      <c r="C40" s="6" t="n">
        <v>610.7292165837697</v>
      </c>
      <c r="D40" s="6" t="n">
        <v>49.104655644336425</v>
      </c>
      <c r="E40" s="6" t="n">
        <v>2082.9893550007437</v>
      </c>
      <c r="F40" s="6" t="n">
        <v>1407.5613024123454</v>
      </c>
      <c r="G40" s="6" t="n">
        <v>657.4998713331222</v>
      </c>
      <c r="H40" s="6" t="n">
        <v>5092.0910436681515</v>
      </c>
      <c r="I40" s="6" t="n">
        <v>2947.251144326091</v>
      </c>
      <c r="J40" s="6">
        <f si="0" t="shared"/>
        <v>13030.669753888742</v>
      </c>
      <c r="L40" s="12">
        <v>0.77083333333333337</v>
      </c>
      <c r="M40" s="9" t="n">
        <v>0.0</v>
      </c>
      <c r="N40" s="9" t="n">
        <v>0.0</v>
      </c>
      <c r="O40" s="9" t="n">
        <v>0.0</v>
      </c>
      <c r="P40" s="9" t="n">
        <v>0.0</v>
      </c>
      <c r="Q40" s="9" t="n">
        <v>4282.771339416504</v>
      </c>
      <c r="R40" s="9" t="n">
        <v>1112.184142112732</v>
      </c>
      <c r="S40" s="9" t="n">
        <v>6941.887850761414</v>
      </c>
      <c r="T40" s="9" t="n">
        <v>0.0</v>
      </c>
      <c r="U40">
        <f si="1" t="shared"/>
        <v>12482.736462003953</v>
      </c>
    </row>
    <row r="41" spans="1:21" x14ac:dyDescent="0.25">
      <c r="A41" s="12">
        <v>0.79166666666666663</v>
      </c>
      <c r="B41" s="6" t="n">
        <v>228.84989485239484</v>
      </c>
      <c r="C41" s="6" t="n">
        <v>473.5961907026447</v>
      </c>
      <c r="D41" s="6" t="n">
        <v>87.26903955721477</v>
      </c>
      <c r="E41" s="6" t="n">
        <v>1902.0322145526266</v>
      </c>
      <c r="F41" s="6" t="n">
        <v>1413.218925688883</v>
      </c>
      <c r="G41" s="6" t="n">
        <v>418.52112176394456</v>
      </c>
      <c r="H41" s="6" t="n">
        <v>3280.3993713468317</v>
      </c>
      <c r="I41" s="6" t="n">
        <v>1805.9797000368835</v>
      </c>
      <c r="J41" s="6">
        <f si="0" t="shared"/>
        <v>9609.866458501423</v>
      </c>
      <c r="L41" s="12">
        <v>0.79166666666666663</v>
      </c>
      <c r="M41" s="9" t="n">
        <v>0.0</v>
      </c>
      <c r="N41" s="9" t="n">
        <v>0.0</v>
      </c>
      <c r="O41" s="9" t="n">
        <v>0.0</v>
      </c>
      <c r="P41" s="9" t="n">
        <v>0.0</v>
      </c>
      <c r="Q41" s="9" t="n">
        <v>4099.703339576721</v>
      </c>
      <c r="R41" s="9" t="n">
        <v>653.7239046096802</v>
      </c>
      <c r="S41" s="9" t="n">
        <v>4372.754476547241</v>
      </c>
      <c r="T41" s="9" t="n">
        <v>0.0</v>
      </c>
      <c r="U41">
        <f si="1" t="shared"/>
        <v>8793.6120893712068</v>
      </c>
    </row>
    <row r="42" spans="1:21" x14ac:dyDescent="0.25">
      <c r="A42" s="12">
        <v>0.8125</v>
      </c>
      <c r="B42" s="6" t="n">
        <v>294.2897883023013</v>
      </c>
      <c r="C42" s="6" t="n">
        <v>382.8966149740986</v>
      </c>
      <c r="D42" s="6" t="n">
        <v>127.98490139765894</v>
      </c>
      <c r="E42" s="6" t="n">
        <v>1674.8133377736922</v>
      </c>
      <c r="F42" s="6" t="n">
        <v>1439.745176507514</v>
      </c>
      <c r="G42" s="6" t="n">
        <v>243.14020232248302</v>
      </c>
      <c r="H42" s="6" t="n">
        <v>2201.8898696273563</v>
      </c>
      <c r="I42" s="6" t="n">
        <v>964.0206528321505</v>
      </c>
      <c r="J42" s="6">
        <f si="0" t="shared"/>
        <v>7328.7805437372544</v>
      </c>
      <c r="L42" s="12">
        <v>0.8125</v>
      </c>
      <c r="M42" s="9" t="n">
        <v>0.0</v>
      </c>
      <c r="N42" s="9" t="n">
        <v>0.0</v>
      </c>
      <c r="O42" s="9" t="n">
        <v>0.0</v>
      </c>
      <c r="P42" s="9" t="n">
        <v>0.0</v>
      </c>
      <c r="Q42" s="9" t="n">
        <v>4002.9547595977783</v>
      </c>
      <c r="R42" s="9" t="n">
        <v>401.11685371398926</v>
      </c>
      <c r="S42" s="9" t="n">
        <v>2885.874234199524</v>
      </c>
      <c r="T42" s="9" t="n">
        <v>0.0</v>
      </c>
      <c r="U42">
        <f si="1" t="shared"/>
        <v>6675.5364063694187</v>
      </c>
    </row>
    <row r="43" spans="1:21" x14ac:dyDescent="0.25">
      <c r="A43" s="12">
        <v>0.83333333333333337</v>
      </c>
      <c r="B43" s="6" t="n">
        <v>363.6088153082942</v>
      </c>
      <c r="C43" s="6" t="n">
        <v>318.41959274357737</v>
      </c>
      <c r="D43" s="6" t="n">
        <v>155.89742812187583</v>
      </c>
      <c r="E43" s="6" t="n">
        <v>1398.5051707491448</v>
      </c>
      <c r="F43" s="6" t="n">
        <v>1455.9942354814439</v>
      </c>
      <c r="G43" s="6" t="n">
        <v>132.77230313706394</v>
      </c>
      <c r="H43" s="6" t="n">
        <v>1510.946476128936</v>
      </c>
      <c r="I43" s="6" t="n">
        <v>447.08166466963297</v>
      </c>
      <c r="J43" s="6">
        <f si="0" t="shared"/>
        <v>5783.2256863399689</v>
      </c>
      <c r="L43" s="12">
        <v>0.83333333333333337</v>
      </c>
      <c r="M43" s="9" t="n">
        <v>0.0</v>
      </c>
      <c r="N43" s="9" t="n">
        <v>0.0</v>
      </c>
      <c r="O43" s="9" t="n">
        <v>0.0</v>
      </c>
      <c r="P43" s="9" t="n">
        <v>0.0</v>
      </c>
      <c r="Q43" s="9" t="n">
        <v>3914.8256120681763</v>
      </c>
      <c r="R43" s="9" t="n">
        <v>269.1192789077759</v>
      </c>
      <c r="S43" s="9" t="n">
        <v>2039.4610710144043</v>
      </c>
      <c r="T43" s="9" t="n">
        <v>0.0</v>
      </c>
      <c r="U43">
        <f si="1" t="shared"/>
        <v>5455.9266095939229</v>
      </c>
    </row>
    <row r="44" spans="1:21" x14ac:dyDescent="0.25">
      <c r="A44" s="12">
        <v>0.85416666666666663</v>
      </c>
      <c r="B44" s="6" t="n">
        <v>413.10391332486785</v>
      </c>
      <c r="C44" s="6" t="n">
        <v>266.51799541082687</v>
      </c>
      <c r="D44" s="6" t="n">
        <v>158.21297456656094</v>
      </c>
      <c r="E44" s="6" t="n">
        <v>1091.89589730628</v>
      </c>
      <c r="F44" s="6" t="n">
        <v>1411.6757833671024</v>
      </c>
      <c r="G44" s="6" t="n">
        <v>78.64227748954296</v>
      </c>
      <c r="H44" s="6" t="n">
        <v>1036.3093868895771</v>
      </c>
      <c r="I44" s="6" t="n">
        <v>188.52547125756743</v>
      </c>
      <c r="J44" s="6">
        <f si="0" t="shared"/>
        <v>4644.8836996123255</v>
      </c>
      <c r="L44" s="12">
        <v>0.85416666666666663</v>
      </c>
      <c r="M44" s="9" t="n">
        <v>0.0</v>
      </c>
      <c r="N44" s="9" t="n">
        <v>0.0</v>
      </c>
      <c r="O44" s="9" t="n">
        <v>0.0</v>
      </c>
      <c r="P44" s="9" t="n">
        <v>0.0</v>
      </c>
      <c r="Q44" s="9" t="n">
        <v>3785.969925880432</v>
      </c>
      <c r="R44" s="9" t="n">
        <v>202.83716678619385</v>
      </c>
      <c r="S44" s="9" t="n">
        <v>1540.2249870300293</v>
      </c>
      <c r="T44" s="9" t="n">
        <v>0.0</v>
      </c>
      <c r="U44">
        <f si="1" t="shared"/>
        <v>4689.8600763029654</v>
      </c>
    </row>
    <row r="45" spans="1:21" x14ac:dyDescent="0.25">
      <c r="A45" s="12">
        <v>0.875</v>
      </c>
      <c r="B45" s="6" t="n">
        <v>420.11628149975536</v>
      </c>
      <c r="C45" s="6" t="n">
        <v>219.838724261549</v>
      </c>
      <c r="D45" s="6" t="n">
        <v>133.7737675093717</v>
      </c>
      <c r="E45" s="6" t="n">
        <v>788.0256317796049</v>
      </c>
      <c r="F45" s="6" t="n">
        <v>1267.901333302543</v>
      </c>
      <c r="G45" s="6" t="n">
        <v>63.1155849584341</v>
      </c>
      <c r="H45" s="6" t="n">
        <v>712.8579360259772</v>
      </c>
      <c r="I45" s="6" t="n">
        <v>103.48054502749444</v>
      </c>
      <c r="J45" s="6">
        <f si="0" t="shared"/>
        <v>3709.1098043647303</v>
      </c>
      <c r="L45" s="12">
        <v>0.875</v>
      </c>
      <c r="M45" s="9" t="n">
        <v>0.0</v>
      </c>
      <c r="N45" s="9" t="n">
        <v>0.0</v>
      </c>
      <c r="O45" s="9" t="n">
        <v>0.0</v>
      </c>
      <c r="P45" s="9" t="n">
        <v>0.0</v>
      </c>
      <c r="Q45" s="9" t="n">
        <v>3610.683846473694</v>
      </c>
      <c r="R45" s="9" t="n">
        <v>172.01558303833008</v>
      </c>
      <c r="S45" s="9" t="n">
        <v>1228.9628467559814</v>
      </c>
      <c r="T45" s="9" t="n">
        <v>0.0</v>
      </c>
      <c r="U45">
        <f si="1" t="shared"/>
        <v>4150.058466518446</v>
      </c>
    </row>
    <row r="46" spans="1:21" x14ac:dyDescent="0.25">
      <c r="A46" s="12">
        <v>0.89583333333333337</v>
      </c>
      <c r="B46" s="6" t="n">
        <v>375.3568045103373</v>
      </c>
      <c r="C46" s="6" t="n">
        <v>174.90431880427053</v>
      </c>
      <c r="D46" s="6" t="n">
        <v>93.94850045534491</v>
      </c>
      <c r="E46" s="6" t="n">
        <v>522.6475665021803</v>
      </c>
      <c r="F46" s="6" t="n">
        <v>1028.834349794693</v>
      </c>
      <c r="G46" s="6" t="n">
        <v>69.25014922726153</v>
      </c>
      <c r="H46" s="6" t="n">
        <v>536.7846771386862</v>
      </c>
      <c r="I46" s="6" t="n">
        <v>131.4599307075739</v>
      </c>
      <c r="J46" s="6">
        <f si="0" t="shared"/>
        <v>2933.1862971403471</v>
      </c>
      <c r="L46" s="12">
        <v>0.89583333333333337</v>
      </c>
      <c r="M46" s="9" t="n">
        <v>0.0</v>
      </c>
      <c r="N46" s="9" t="n">
        <v>0.0</v>
      </c>
      <c r="O46" s="9" t="n">
        <v>0.0</v>
      </c>
      <c r="P46" s="9" t="n">
        <v>0.0</v>
      </c>
      <c r="Q46" s="9" t="n">
        <v>3409.6769886016846</v>
      </c>
      <c r="R46" s="9" t="n">
        <v>160.83195686340332</v>
      </c>
      <c r="S46" s="9" t="n">
        <v>1031.264235496521</v>
      </c>
      <c r="T46" s="9" t="n">
        <v>0.0</v>
      </c>
      <c r="U46">
        <f si="1" t="shared"/>
        <v>3745.7462145422046</v>
      </c>
    </row>
    <row r="47" spans="1:21" x14ac:dyDescent="0.25">
      <c r="A47" s="12">
        <v>0.91666666666666663</v>
      </c>
      <c r="B47" s="6" t="n">
        <v>290.17360756011055</v>
      </c>
      <c r="C47" s="6" t="n">
        <v>130.9004675371226</v>
      </c>
      <c r="D47" s="6" t="n">
        <v>54.448224362840534</v>
      </c>
      <c r="E47" s="6" t="n">
        <v>320.54791902865304</v>
      </c>
      <c r="F47" s="6" t="n">
        <v>745.2348340746968</v>
      </c>
      <c r="G47" s="6" t="n">
        <v>86.02299738204479</v>
      </c>
      <c r="H47" s="6" t="n">
        <v>512.7779413883686</v>
      </c>
      <c r="I47" s="6" t="n">
        <v>235.8318587682247</v>
      </c>
      <c r="J47" s="6">
        <f si="0" t="shared"/>
        <v>2375.9378501020615</v>
      </c>
      <c r="L47" s="12">
        <v>0.91666666666666663</v>
      </c>
      <c r="M47" s="9" t="n">
        <v>0.0</v>
      </c>
      <c r="N47" s="9" t="n">
        <v>0.0</v>
      </c>
      <c r="O47" s="9" t="n">
        <v>0.0</v>
      </c>
      <c r="P47" s="9" t="n">
        <v>0.0</v>
      </c>
      <c r="Q47" s="9" t="n">
        <v>3188.0151109695435</v>
      </c>
      <c r="R47" s="9" t="n">
        <v>158.89861297607422</v>
      </c>
      <c r="S47" s="9" t="n">
        <v>905.3557252883911</v>
      </c>
      <c r="T47" s="9" t="n">
        <v>0.0</v>
      </c>
      <c r="U47">
        <f si="1" t="shared"/>
        <v>3421.4723825919391</v>
      </c>
    </row>
    <row r="48" spans="1:21" x14ac:dyDescent="0.25">
      <c r="A48" s="12">
        <v>0.9375</v>
      </c>
      <c r="B48" s="6" t="n">
        <v>191.36864627124652</v>
      </c>
      <c r="C48" s="6" t="n">
        <v>89.5761202212613</v>
      </c>
      <c r="D48" s="6" t="n">
        <v>25.765409283892524</v>
      </c>
      <c r="E48" s="6" t="n">
        <v>186.55105733845397</v>
      </c>
      <c r="F48" s="6" t="n">
        <v>483.7133342337204</v>
      </c>
      <c r="G48" s="6" t="n">
        <v>106.13915574574472</v>
      </c>
      <c r="H48" s="6" t="n">
        <v>605.132729232788</v>
      </c>
      <c r="I48" s="6" t="n">
        <v>378.6421008439064</v>
      </c>
      <c r="J48" s="6">
        <f si="0" t="shared"/>
        <v>2066.8885531710139</v>
      </c>
      <c r="L48" s="12">
        <v>0.9375</v>
      </c>
      <c r="M48" s="9" t="n">
        <v>0.0</v>
      </c>
      <c r="N48" s="9" t="n">
        <v>0.0</v>
      </c>
      <c r="O48" s="9" t="n">
        <v>0.0</v>
      </c>
      <c r="P48" s="9" t="n">
        <v>0.0</v>
      </c>
      <c r="Q48" s="9" t="n">
        <v>2909.8197174072266</v>
      </c>
      <c r="R48" s="9" t="n">
        <v>156.65611934661865</v>
      </c>
      <c r="S48" s="9" t="n">
        <v>810.8276386260986</v>
      </c>
      <c r="T48" s="9" t="n">
        <v>0.0</v>
      </c>
      <c r="U48">
        <f si="1" t="shared"/>
        <v>3097.1520180234706</v>
      </c>
    </row>
    <row r="49" spans="1:21" x14ac:dyDescent="0.25">
      <c r="A49" s="12">
        <v>0.95833333333333337</v>
      </c>
      <c r="B49" s="6" t="n">
        <v>106.11503614980344</v>
      </c>
      <c r="C49" s="6" t="n">
        <v>54.43921530521031</v>
      </c>
      <c r="D49" s="6" t="n">
        <v>9.7956176994223</v>
      </c>
      <c r="E49" s="6" t="n">
        <v>107.73163515370679</v>
      </c>
      <c r="F49" s="6" t="n">
        <v>288.12344159304575</v>
      </c>
      <c r="G49" s="6" t="n">
        <v>121.5445873451233</v>
      </c>
      <c r="H49" s="6" t="n">
        <v>725.8582779035569</v>
      </c>
      <c r="I49" s="6" t="n">
        <v>504.28213766014574</v>
      </c>
      <c r="J49" s="6">
        <f si="0" t="shared"/>
        <v>1917.8899488100144</v>
      </c>
      <c r="L49" s="12">
        <v>0.95833333333333337</v>
      </c>
      <c r="M49" s="9" t="n">
        <v>0.0</v>
      </c>
      <c r="N49" s="9" t="n">
        <v>0.0</v>
      </c>
      <c r="O49" s="9" t="n">
        <v>0.0</v>
      </c>
      <c r="P49" s="9" t="n">
        <v>0.0</v>
      </c>
      <c r="Q49" s="9" t="n">
        <v>2522.169358253479</v>
      </c>
      <c r="R49" s="9" t="n">
        <v>145.92117595672607</v>
      </c>
      <c r="S49" s="9" t="n">
        <v>707.6307649612427</v>
      </c>
      <c r="T49" s="9" t="n">
        <v>0.0</v>
      </c>
      <c r="U49">
        <f si="1" t="shared"/>
        <v>2683.6879446283288</v>
      </c>
    </row>
    <row r="50" spans="1:21" x14ac:dyDescent="0.25">
      <c r="A50" s="12">
        <v>0.97916666666666663</v>
      </c>
      <c r="B50" s="6" t="n">
        <v>48.66862669556844</v>
      </c>
      <c r="C50" s="6" t="n">
        <v>28.578516623241544</v>
      </c>
      <c r="D50" s="6" t="n">
        <v>2.920354975701442</v>
      </c>
      <c r="E50" s="6" t="n">
        <v>64.16382661335363</v>
      </c>
      <c r="F50" s="6" t="n">
        <v>164.385038679429</v>
      </c>
      <c r="G50" s="6" t="n">
        <v>123.51373622155191</v>
      </c>
      <c r="H50" s="6" t="n">
        <v>774.1601115891933</v>
      </c>
      <c r="I50" s="6" t="n">
        <v>554.6633792473077</v>
      </c>
      <c r="J50" s="6">
        <f si="0" t="shared"/>
        <v>1761.053590645347</v>
      </c>
      <c r="L50" s="12">
        <v>0.97916666666666663</v>
      </c>
      <c r="M50" s="9" t="n">
        <v>0.0</v>
      </c>
      <c r="N50" s="9" t="n">
        <v>0.0</v>
      </c>
      <c r="O50" s="9" t="n">
        <v>0.0</v>
      </c>
      <c r="P50" s="9" t="n">
        <v>0.0</v>
      </c>
      <c r="Q50" s="9" t="n">
        <v>2010.5593042373657</v>
      </c>
      <c r="R50" s="9" t="n">
        <v>123.2080192565918</v>
      </c>
      <c r="S50" s="9" t="n">
        <v>573.3854160308838</v>
      </c>
      <c r="T50" s="9" t="n">
        <v>0.0</v>
      </c>
      <c r="U50">
        <f si="1" t="shared"/>
        <v>2144.1068350418932</v>
      </c>
    </row>
    <row r="51" spans="1:21" x14ac:dyDescent="0.25">
      <c r="A51" s="12">
        <v>1</v>
      </c>
      <c r="B51" s="6" t="n">
        <v>18.091796633769096</v>
      </c>
      <c r="C51" s="6" t="n">
        <v>12.620243681118362</v>
      </c>
      <c r="D51" s="6" t="n">
        <v>0.6576990938135624</v>
      </c>
      <c r="E51" s="6" t="n">
        <v>39.15839820431839</v>
      </c>
      <c r="F51" s="6" t="n">
        <v>93.49590427726096</v>
      </c>
      <c r="G51" s="6" t="n">
        <v>107.97105929279329</v>
      </c>
      <c r="H51" s="6" t="n">
        <v>697.8477065303325</v>
      </c>
      <c r="I51" s="6" t="n">
        <v>504.23755988121025</v>
      </c>
      <c r="J51" s="6">
        <f si="0" t="shared"/>
        <v>1474.0803675946163</v>
      </c>
      <c r="L51" s="12">
        <v>1</v>
      </c>
      <c r="M51" s="9" t="n">
        <v>0.0</v>
      </c>
      <c r="N51" s="9" t="n">
        <v>0.0</v>
      </c>
      <c r="O51" s="9" t="n">
        <v>0.0</v>
      </c>
      <c r="P51" s="9" t="n">
        <v>0.0</v>
      </c>
      <c r="Q51" s="9" t="n">
        <v>1431.6800136566162</v>
      </c>
      <c r="R51" s="9" t="n">
        <v>91.62536144256592</v>
      </c>
      <c r="S51" s="9" t="n">
        <v>415.1579923629761</v>
      </c>
      <c r="T51" s="9" t="n">
        <v>0.0</v>
      </c>
      <c r="U51">
        <f si="1" t="shared"/>
        <v>1529.8566043535336</v>
      </c>
    </row>
    <row r="52" spans="1:21" x14ac:dyDescent="0.25">
      <c r="A52" s="12">
        <v>1.0208333333333333</v>
      </c>
      <c r="B52" s="6" t="n">
        <v>5.304929664498954</v>
      </c>
      <c r="C52" s="6" t="n">
        <v>4.562030816049909</v>
      </c>
      <c r="D52" s="6" t="n">
        <v>0.10522585503931997</v>
      </c>
      <c r="E52" s="6" t="n">
        <v>23.212795462538153</v>
      </c>
      <c r="F52" s="6" t="n">
        <v>53.00855783966119</v>
      </c>
      <c r="G52" s="6" t="n">
        <v>79.4955724811554</v>
      </c>
      <c r="H52" s="6" t="n">
        <v>522.2570370901823</v>
      </c>
      <c r="I52" s="6" t="n">
        <v>378.17816991090774</v>
      </c>
      <c r="J52" s="6">
        <f si="0" t="shared"/>
        <v>1066.1243191200329</v>
      </c>
      <c r="L52" s="12">
        <v>1.0208333333333333</v>
      </c>
      <c r="M52" s="9" t="n">
        <v>0.0</v>
      </c>
      <c r="N52" s="9" t="n">
        <v>0.0</v>
      </c>
      <c r="O52" s="9" t="n">
        <v>0.0</v>
      </c>
      <c r="P52" s="9" t="n">
        <v>0.0</v>
      </c>
      <c r="Q52" s="9" t="n">
        <v>888.8483562469482</v>
      </c>
      <c r="R52" s="9" t="n">
        <v>58.76628112792969</v>
      </c>
      <c r="S52" s="9" t="n">
        <v>261.2733850479126</v>
      </c>
      <c r="T52" s="9" t="n">
        <v>0.0</v>
      </c>
      <c r="U52">
        <f si="1" t="shared"/>
        <v>950.68539543432144</v>
      </c>
    </row>
    <row r="53" spans="1:21" x14ac:dyDescent="0.25">
      <c r="A53" s="12">
        <v>4.1666666666666664E-2</v>
      </c>
      <c r="B53" s="6" t="n">
        <v>1.1795950693956196</v>
      </c>
      <c r="C53" s="6" t="n">
        <v>1.3078006881305169</v>
      </c>
      <c r="D53" s="6" t="n">
        <v>0.010660448473965646</v>
      </c>
      <c r="E53" s="6" t="n">
        <v>12.527513478789523</v>
      </c>
      <c r="F53" s="6" t="n">
        <v>28.62287590604238</v>
      </c>
      <c r="G53" s="6" t="n">
        <v>48.5178033399582</v>
      </c>
      <c r="H53" s="6" t="n">
        <v>321.23281790041926</v>
      </c>
      <c r="I53" s="6" t="n">
        <v>232.72502763748167</v>
      </c>
      <c r="J53" s="6">
        <f si="0" t="shared"/>
        <v>646.12409446869106</v>
      </c>
      <c r="L53" s="12">
        <v>4.1666666666666664E-2</v>
      </c>
      <c r="M53" s="9" t="n">
        <v>0.0</v>
      </c>
      <c r="N53" s="9" t="n">
        <v>0.0</v>
      </c>
      <c r="O53" s="9" t="n">
        <v>0.0</v>
      </c>
      <c r="P53" s="9" t="n">
        <v>0.0</v>
      </c>
      <c r="Q53" s="9" t="n">
        <v>471.1367311477661</v>
      </c>
      <c r="R53" s="9" t="n">
        <v>31.9329891204834</v>
      </c>
      <c r="S53" s="9" t="n">
        <v>139.88256359100342</v>
      </c>
      <c r="T53" s="9" t="n">
        <v>0.0</v>
      </c>
      <c r="U53">
        <f si="1" t="shared"/>
        <v>503.85948146679004</v>
      </c>
    </row>
    <row r="54" spans="1:21" x14ac:dyDescent="0.25">
      <c r="A54" s="12">
        <v>6.25E-2</v>
      </c>
      <c r="B54" s="6" t="n">
        <v>0.1867809039244986</v>
      </c>
      <c r="C54" s="6" t="n">
        <v>0.28501933404251223</v>
      </c>
      <c r="D54" s="6" t="n">
        <v>5.142053068571091E-4</v>
      </c>
      <c r="E54" s="6" t="n">
        <v>5.836717427879977</v>
      </c>
      <c r="F54" s="6" t="n">
        <v>13.887187057571435</v>
      </c>
      <c r="G54" s="6" t="n">
        <v>24.17583601236344</v>
      </c>
      <c r="H54" s="6" t="n">
        <v>160.60248215019703</v>
      </c>
      <c r="I54" s="6" t="n">
        <v>116.36251381874084</v>
      </c>
      <c r="J54" s="6">
        <f si="0" t="shared"/>
        <v>321.33705091002662</v>
      </c>
      <c r="L54" s="12">
        <v>6.25E-2</v>
      </c>
      <c r="M54" s="9" t="n">
        <v>0.0</v>
      </c>
      <c r="N54" s="9" t="n">
        <v>0.0</v>
      </c>
      <c r="O54" s="9" t="n">
        <v>0.0</v>
      </c>
      <c r="P54" s="9" t="n">
        <v>0.0</v>
      </c>
      <c r="Q54" s="9" t="n">
        <v>208.89692878723145</v>
      </c>
      <c r="R54" s="9" t="n">
        <v>14.437925338745117</v>
      </c>
      <c r="S54" s="9" t="n">
        <v>62.45786952972412</v>
      </c>
      <c r="T54" s="9" t="n">
        <v>0.0</v>
      </c>
      <c r="U54">
        <f si="1" t="shared"/>
        <v>223.22117805625226</v>
      </c>
    </row>
    <row r="55" spans="1:21" x14ac:dyDescent="0.25">
      <c r="A55" s="12">
        <v>8.3333333333333329E-2</v>
      </c>
      <c r="B55" s="6" t="n">
        <v>0.01875393531549235</v>
      </c>
      <c r="C55" s="6" t="n">
        <v>0.04426921522078515</v>
      </c>
      <c r="D55" s="6" t="n">
        <v>0.0</v>
      </c>
      <c r="E55" s="6" t="n">
        <v>2.251556658481891</v>
      </c>
      <c r="F55" s="6" t="n">
        <v>5.774918319669421</v>
      </c>
      <c r="G55" s="6" t="n">
        <v>9.658093150138857</v>
      </c>
      <c r="H55" s="6" t="n">
        <v>64.24039290618897</v>
      </c>
      <c r="I55" s="6" t="n">
        <v>46.54500552749633</v>
      </c>
      <c r="J55" s="6">
        <f si="0" t="shared"/>
        <v>128.53298971251175</v>
      </c>
      <c r="L55" s="12">
        <v>8.3333333333333329E-2</v>
      </c>
      <c r="M55" s="9" t="n">
        <v>0.0</v>
      </c>
      <c r="N55" s="9" t="n">
        <v>0.0</v>
      </c>
      <c r="O55" s="9" t="n">
        <v>0.0</v>
      </c>
      <c r="P55" s="9" t="n">
        <v>0.0</v>
      </c>
      <c r="Q55" s="9" t="n">
        <v>75.7285795211792</v>
      </c>
      <c r="R55" s="9" t="n">
        <v>5.3174333572387695</v>
      </c>
      <c r="S55" s="9" t="n">
        <v>22.74941921234131</v>
      </c>
      <c r="T55" s="9" t="n">
        <v>0.0</v>
      </c>
      <c r="U55">
        <f si="1" t="shared"/>
        <v>80.822014568216488</v>
      </c>
    </row>
    <row r="56" spans="1:21" x14ac:dyDescent="0.25">
      <c r="A56" s="12">
        <v>0.10416666666666667</v>
      </c>
      <c r="B56" s="6" t="n">
        <v>8.971250463158608E-4</v>
      </c>
      <c r="C56" s="6" t="n">
        <v>0.004359170927521706</v>
      </c>
      <c r="D56" s="6" t="n">
        <v>0.0</v>
      </c>
      <c r="E56" s="6" t="n">
        <v>0.6915265548201048</v>
      </c>
      <c r="F56" s="6" t="n">
        <v>1.983423547408829</v>
      </c>
      <c r="G56" s="6" t="n">
        <v>3.0163838317394265</v>
      </c>
      <c r="H56" s="6" t="n">
        <v>20.07097931098938</v>
      </c>
      <c r="I56" s="6" t="n">
        <v>14.54231209850311</v>
      </c>
      <c r="J56" s="6">
        <f si="0" t="shared"/>
        <v>40.309881639434685</v>
      </c>
      <c r="L56" s="12">
        <v>0.10416666666666667</v>
      </c>
      <c r="M56" s="9" t="n">
        <v>0.0</v>
      </c>
      <c r="N56" s="9" t="n">
        <v>0.0</v>
      </c>
      <c r="O56" s="9" t="n">
        <v>0.0</v>
      </c>
      <c r="P56" s="9" t="n">
        <v>0.0</v>
      </c>
      <c r="Q56" s="9" t="n">
        <v>21.802465438842773</v>
      </c>
      <c r="R56" s="9" t="n">
        <v>1.5512142181396484</v>
      </c>
      <c r="S56" s="9" t="n">
        <v>6.570141792297363</v>
      </c>
      <c r="T56" s="9" t="n">
        <v>0.0</v>
      </c>
      <c r="U56">
        <f si="1" t="shared"/>
        <v>23.236472285531885</v>
      </c>
    </row>
    <row r="57" spans="1:21" x14ac:dyDescent="0.25">
      <c r="A57" s="12">
        <v>0.125</v>
      </c>
      <c r="B57" s="6" t="n">
        <v>0.0</v>
      </c>
      <c r="C57" s="6" t="n">
        <v>2.0435334918880463E-4</v>
      </c>
      <c r="D57" s="6" t="n">
        <v>0.0</v>
      </c>
      <c r="E57" s="6" t="n">
        <v>0.1588026600760261</v>
      </c>
      <c r="F57" s="6" t="n">
        <v>0.5277030873298646</v>
      </c>
      <c r="G57" s="6" t="n">
        <v>0.6973792457580568</v>
      </c>
      <c r="H57" s="6" t="n">
        <v>4.6406888580322265</v>
      </c>
      <c r="I57" s="6" t="n">
        <v>3.362384300231934</v>
      </c>
      <c r="J57" s="6">
        <f si="0" t="shared"/>
        <v>9.3871625047772973</v>
      </c>
      <c r="L57" s="12">
        <v>0.125</v>
      </c>
      <c r="M57" s="9" t="n">
        <v>0.0</v>
      </c>
      <c r="N57" s="9" t="n">
        <v>0.0</v>
      </c>
      <c r="O57" s="9" t="n">
        <v>0.0</v>
      </c>
      <c r="P57" s="9" t="n">
        <v>0.0</v>
      </c>
      <c r="Q57" s="9" t="n">
        <v>4.713567733764648</v>
      </c>
      <c r="R57" s="9" t="n">
        <v>0.3390665054321289</v>
      </c>
      <c r="S57" s="9" t="n">
        <v>1.4232616424560547</v>
      </c>
      <c r="T57" s="9" t="n">
        <v>0.0</v>
      </c>
      <c r="U57">
        <f si="1" t="shared"/>
        <v>5.0167104373071876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9955.0</v>
      </c>
      <c r="N8" s="9" t="n">
        <v>1816.0</v>
      </c>
      <c r="O8" s="9" t="n">
        <v>927.0</v>
      </c>
      <c r="P8" s="9" t="n">
        <v>1773.0</v>
      </c>
      <c r="Q8" s="9" t="n">
        <v>1597.0</v>
      </c>
      <c r="R8" s="9" t="n">
        <v>372.0</v>
      </c>
      <c r="S8" s="9" t="n">
        <v>2014.0</v>
      </c>
      <c r="T8" s="9" t="n">
        <v>1460.0</v>
      </c>
      <c r="U8">
        <f>SUM(M8:T8)</f>
        <v>17444.952287918524</v>
      </c>
      <c r="W8" s="5"/>
      <c r="X8" s="16"/>
      <c r="Y8" s="16"/>
      <c r="Z8" s="5"/>
    </row>
    <row r="9" spans="1:26" x14ac:dyDescent="0.25">
      <c r="A9" s="12">
        <v>0.125</v>
      </c>
      <c r="B9" s="6" t="n">
        <v>435.1926364188754</v>
      </c>
      <c r="C9" s="6" t="n">
        <v>79.65022134983923</v>
      </c>
      <c r="D9" s="6" t="n">
        <v>5.364556403967057</v>
      </c>
      <c r="E9" s="6" t="n">
        <v>177.47680199564843</v>
      </c>
      <c r="F9" s="6" t="n">
        <v>30.446986498524026</v>
      </c>
      <c r="G9" s="6" t="n">
        <v>0.0</v>
      </c>
      <c r="H9" s="6" t="n">
        <v>200.80318999695777</v>
      </c>
      <c r="I9" s="6" t="n">
        <v>69.71268826055527</v>
      </c>
      <c r="J9" s="6">
        <f ref="J9:J58" si="0" t="shared">SUM(B9:I9)</f>
        <v>998.64708092436717</v>
      </c>
      <c r="L9" s="12">
        <v>0.125</v>
      </c>
      <c r="M9" s="9" t="n">
        <v>7819.701142311096</v>
      </c>
      <c r="N9" s="9" t="n">
        <v>1423.7667865753174</v>
      </c>
      <c r="O9" s="9" t="n">
        <v>850.2922315597534</v>
      </c>
      <c r="P9" s="9" t="n">
        <v>1462.7703094482422</v>
      </c>
      <c r="Q9" s="9" t="n">
        <v>1076.2368535995483</v>
      </c>
      <c r="R9" s="9" t="n">
        <v>261.1322422027588</v>
      </c>
      <c r="S9" s="9" t="n">
        <v>1502.8960447311401</v>
      </c>
      <c r="T9" s="9" t="n">
        <v>1101.65860080719</v>
      </c>
      <c r="U9">
        <f ref="U9:U58" si="1" t="shared">SUM(M9:T9)</f>
        <v>14359.622612905539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946.2762634704903</v>
      </c>
      <c r="C10" s="6" t="n">
        <v>165.60395984830737</v>
      </c>
      <c r="D10" s="6" t="n">
        <v>21.20775657125814</v>
      </c>
      <c r="E10" s="6" t="n">
        <v>374.7805321118069</v>
      </c>
      <c r="F10" s="6" t="n">
        <v>60.3541586001683</v>
      </c>
      <c r="G10" s="6" t="n">
        <v>4.877309799194336E-4</v>
      </c>
      <c r="H10" s="6" t="n">
        <v>382.8511730870008</v>
      </c>
      <c r="I10" s="6" t="n">
        <v>141.30897556304933</v>
      </c>
      <c r="J10" s="6">
        <f si="0" t="shared"/>
        <v>2092.3833069830616</v>
      </c>
      <c r="L10" s="12">
        <v>0.14583333333333334</v>
      </c>
      <c r="M10" s="9" t="n">
        <v>6112.150301933289</v>
      </c>
      <c r="N10" s="9" t="n">
        <v>1114.2286205291748</v>
      </c>
      <c r="O10" s="9" t="n">
        <v>810.7324867248535</v>
      </c>
      <c r="P10" s="9" t="n">
        <v>1227.25972366333</v>
      </c>
      <c r="Q10" s="9" t="n">
        <v>644.6241483688354</v>
      </c>
      <c r="R10" s="9" t="n">
        <v>170.1541862487793</v>
      </c>
      <c r="S10" s="9" t="n">
        <v>1094.0127935409546</v>
      </c>
      <c r="T10" s="9" t="n">
        <v>818.4176645278931</v>
      </c>
      <c r="U10">
        <f si="1" t="shared"/>
        <v>11738.193028296799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1633.3089398820441</v>
      </c>
      <c r="C11" s="6" t="n">
        <v>278.27523209119863</v>
      </c>
      <c r="D11" s="6" t="n">
        <v>67.54651703091969</v>
      </c>
      <c r="E11" s="6" t="n">
        <v>619.6257428881601</v>
      </c>
      <c r="F11" s="6" t="n">
        <v>90.58556932842745</v>
      </c>
      <c r="G11" s="6" t="n">
        <v>0.010791682884178158</v>
      </c>
      <c r="H11" s="6" t="n">
        <v>517.4362611621618</v>
      </c>
      <c r="I11" s="6" t="n">
        <v>206.86514761638642</v>
      </c>
      <c r="J11" s="6">
        <f si="0" t="shared"/>
        <v>3413.6542016821822</v>
      </c>
      <c r="L11" s="12">
        <v>0.16666666666666666</v>
      </c>
      <c r="M11" s="9" t="n">
        <v>5094.675868988037</v>
      </c>
      <c r="N11" s="9" t="n">
        <v>944.0754814147949</v>
      </c>
      <c r="O11" s="9" t="n">
        <v>842.0512857437134</v>
      </c>
      <c r="P11" s="9" t="n">
        <v>1125.5624914169312</v>
      </c>
      <c r="Q11" s="9" t="n">
        <v>351.6045265197754</v>
      </c>
      <c r="R11" s="9" t="n">
        <v>110.06084728240967</v>
      </c>
      <c r="S11" s="9" t="n">
        <v>850.4871168136597</v>
      </c>
      <c r="T11" s="9" t="n">
        <v>659.8766632080078</v>
      </c>
      <c r="U11">
        <f si="1" t="shared"/>
        <v>9998.9475189580608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2622.191567126386</v>
      </c>
      <c r="C12" s="6" t="n">
        <v>458.8195877137356</v>
      </c>
      <c r="D12" s="6" t="n">
        <v>181.46832117534453</v>
      </c>
      <c r="E12" s="6" t="n">
        <v>969.1991645726625</v>
      </c>
      <c r="F12" s="6" t="n">
        <v>125.05607020860549</v>
      </c>
      <c r="G12" s="6" t="n">
        <v>0.11357694715423582</v>
      </c>
      <c r="H12" s="6" t="n">
        <v>580.3377960374355</v>
      </c>
      <c r="I12" s="6" t="n">
        <v>254.28148072361944</v>
      </c>
      <c r="J12" s="6">
        <f si="0" t="shared"/>
        <v>5191.4675645049429</v>
      </c>
      <c r="L12" s="12">
        <v>0.1875</v>
      </c>
      <c r="M12" s="9" t="n">
        <v>4836.683871269226</v>
      </c>
      <c r="N12" s="9" t="n">
        <v>943.9335803985596</v>
      </c>
      <c r="O12" s="9" t="n">
        <v>984.8569288253784</v>
      </c>
      <c r="P12" s="9" t="n">
        <v>1209.5532608032227</v>
      </c>
      <c r="Q12" s="9" t="n">
        <v>196.40638160705566</v>
      </c>
      <c r="R12" s="9" t="n">
        <v>80.69658470153809</v>
      </c>
      <c r="S12" s="9" t="n">
        <v>790.1545524597168</v>
      </c>
      <c r="T12" s="9" t="n">
        <v>649.5176420211792</v>
      </c>
      <c r="U12">
        <f si="1" t="shared"/>
        <v>9511.6121078978449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4033.8960760522286</v>
      </c>
      <c r="C13" s="6" t="n">
        <v>770.0242888694856</v>
      </c>
      <c r="D13" s="6" t="n">
        <v>417.8332323487666</v>
      </c>
      <c r="E13" s="6" t="n">
        <v>1543.688804418968</v>
      </c>
      <c r="F13" s="6" t="n">
        <v>172.28128814100992</v>
      </c>
      <c r="G13" s="6" t="n">
        <v>0.7567890310237827</v>
      </c>
      <c r="H13" s="6" t="n">
        <v>582.1462666983604</v>
      </c>
      <c r="I13" s="6" t="n">
        <v>289.9280509605407</v>
      </c>
      <c r="J13" s="6">
        <f si="0" t="shared"/>
        <v>7810.5547965203841</v>
      </c>
      <c r="L13" s="12">
        <v>0.20833333333333334</v>
      </c>
      <c r="M13" s="9" t="n">
        <v>5305.301159858704</v>
      </c>
      <c r="N13" s="9" t="n">
        <v>1140.3116130828857</v>
      </c>
      <c r="O13" s="9" t="n">
        <v>1305.8050413131714</v>
      </c>
      <c r="P13" s="9" t="n">
        <v>1550.0153713226318</v>
      </c>
      <c r="Q13" s="9" t="n">
        <v>148.07702732086182</v>
      </c>
      <c r="R13" s="9" t="n">
        <v>75.20270156860352</v>
      </c>
      <c r="S13" s="9" t="n">
        <v>909.3398036956787</v>
      </c>
      <c r="T13" s="9" t="n">
        <v>807.4463539123535</v>
      </c>
      <c r="U13">
        <f si="1" t="shared"/>
        <v>10630.396198079352</v>
      </c>
    </row>
    <row r="14" spans="1:26" x14ac:dyDescent="0.25">
      <c r="A14" s="12">
        <v>0.22916666666666666</v>
      </c>
      <c r="B14" s="6" t="n">
        <v>5926.829087099945</v>
      </c>
      <c r="C14" s="6" t="n">
        <v>1292.2914354767677</v>
      </c>
      <c r="D14" s="6" t="n">
        <v>841.0131283782031</v>
      </c>
      <c r="E14" s="6" t="n">
        <v>2547.6164942627956</v>
      </c>
      <c r="F14" s="6" t="n">
        <v>245.77619608031065</v>
      </c>
      <c r="G14" s="6" t="n">
        <v>3.5854432635138314</v>
      </c>
      <c r="H14" s="6" t="n">
        <v>581.8477720614671</v>
      </c>
      <c r="I14" s="6" t="n">
        <v>363.25245550632474</v>
      </c>
      <c r="J14" s="6">
        <f si="0" t="shared"/>
        <v>11802.212012129328</v>
      </c>
      <c r="L14" s="12">
        <v>0.22916666666666666</v>
      </c>
      <c r="M14" s="9" t="n">
        <v>6438.747940063477</v>
      </c>
      <c r="N14" s="9" t="n">
        <v>1572.2928924560547</v>
      </c>
      <c r="O14" s="9" t="n">
        <v>1905.7545204162598</v>
      </c>
      <c r="P14" s="9" t="n">
        <v>2250.951889038086</v>
      </c>
      <c r="Q14" s="9" t="n">
        <v>173.21288299560547</v>
      </c>
      <c r="R14" s="9" t="n">
        <v>85.71976852416992</v>
      </c>
      <c r="S14" s="9" t="n">
        <v>1204.8701581954956</v>
      </c>
      <c r="T14" s="9" t="n">
        <v>1172.3439245224</v>
      </c>
      <c r="U14">
        <f si="1" t="shared"/>
        <v>13698.894956228902</v>
      </c>
    </row>
    <row r="15" spans="1:26" x14ac:dyDescent="0.25">
      <c r="A15" s="12">
        <v>0.25</v>
      </c>
      <c r="B15" s="6" t="n">
        <v>8231.01410845352</v>
      </c>
      <c r="C15" s="6" t="n">
        <v>2103.877085490319</v>
      </c>
      <c r="D15" s="6" t="n">
        <v>1516.8477813253126</v>
      </c>
      <c r="E15" s="6" t="n">
        <v>4241.24318983864</v>
      </c>
      <c r="F15" s="6" t="n">
        <v>360.98736504474107</v>
      </c>
      <c r="G15" s="6" t="n">
        <v>12.861833003903445</v>
      </c>
      <c r="H15" s="6" t="n">
        <v>665.044342826128</v>
      </c>
      <c r="I15" s="6" t="n">
        <v>570.9872804076672</v>
      </c>
      <c r="J15" s="6">
        <f si="0" t="shared"/>
        <v>17702.862986390232</v>
      </c>
      <c r="L15" s="12">
        <v>0.25</v>
      </c>
      <c r="M15" s="9" t="n">
        <v>8123.201699256897</v>
      </c>
      <c r="N15" s="9" t="n">
        <v>2284.0588216781616</v>
      </c>
      <c r="O15" s="9" t="n">
        <v>2902.566698074341</v>
      </c>
      <c r="P15" s="9" t="n">
        <v>3432.174966812134</v>
      </c>
      <c r="Q15" s="9" t="n">
        <v>250.42082023620605</v>
      </c>
      <c r="R15" s="9" t="n">
        <v>105.81744194030762</v>
      </c>
      <c r="S15" s="9" t="n">
        <v>1671.0312881469727</v>
      </c>
      <c r="T15" s="9" t="n">
        <v>1802.0293312072754</v>
      </c>
      <c r="U15">
        <f si="1" t="shared"/>
        <v>18968.213731337644</v>
      </c>
    </row>
    <row r="16" spans="1:26" x14ac:dyDescent="0.25">
      <c r="A16" s="12">
        <v>0.27083333333333331</v>
      </c>
      <c r="B16" s="6" t="n">
        <v>10705.324683674922</v>
      </c>
      <c r="C16" s="6" t="n">
        <v>3237.40890999942</v>
      </c>
      <c r="D16" s="6" t="n">
        <v>2518.236422291086</v>
      </c>
      <c r="E16" s="6" t="n">
        <v>6836.510639508951</v>
      </c>
      <c r="F16" s="6" t="n">
        <v>526.448010522103</v>
      </c>
      <c r="G16" s="6" t="n">
        <v>36.337348231408114</v>
      </c>
      <c r="H16" s="6" t="n">
        <v>901.423254617691</v>
      </c>
      <c r="I16" s="6" t="n">
        <v>1026.3432522903681</v>
      </c>
      <c r="J16" s="6">
        <f si="0" t="shared"/>
        <v>25788.032521135949</v>
      </c>
      <c r="L16" s="12">
        <v>0.27083333333333331</v>
      </c>
      <c r="M16" s="9" t="n">
        <v>10130.689595222473</v>
      </c>
      <c r="N16" s="9" t="n">
        <v>3300.36048412323</v>
      </c>
      <c r="O16" s="9" t="n">
        <v>4394.358768463135</v>
      </c>
      <c r="P16" s="9" t="n">
        <v>5188.620272636414</v>
      </c>
      <c r="Q16" s="9" t="n">
        <v>368.7816572189331</v>
      </c>
      <c r="R16" s="9" t="n">
        <v>129.85470485687256</v>
      </c>
      <c r="S16" s="9" t="n">
        <v>2279.457832336426</v>
      </c>
      <c r="T16" s="9" t="n">
        <v>2753.160984992981</v>
      </c>
      <c r="U16">
        <f si="1" t="shared"/>
        <v>26458.315914272782</v>
      </c>
    </row>
    <row r="17" spans="1:21" x14ac:dyDescent="0.25">
      <c r="A17" s="12">
        <v>0.29166666666666669</v>
      </c>
      <c r="B17" s="6" t="n">
        <v>12958.756639082603</v>
      </c>
      <c r="C17" s="6" t="n">
        <v>4631.6638550017515</v>
      </c>
      <c r="D17" s="6" t="n">
        <v>3936.3195338529745</v>
      </c>
      <c r="E17" s="6" t="n">
        <v>10340.08283631464</v>
      </c>
      <c r="F17" s="6" t="n">
        <v>732.5398703947317</v>
      </c>
      <c r="G17" s="6" t="n">
        <v>83.07475155083517</v>
      </c>
      <c r="H17" s="6" t="n">
        <v>1310.4108616449832</v>
      </c>
      <c r="I17" s="6" t="n">
        <v>1802.1356891185048</v>
      </c>
      <c r="J17" s="6">
        <f si="0" t="shared"/>
        <v>35794.984036961025</v>
      </c>
      <c r="L17" s="12">
        <v>0.29166666666666669</v>
      </c>
      <c r="M17" s="9" t="n">
        <v>12125.617414474487</v>
      </c>
      <c r="N17" s="9" t="n">
        <v>4606.2733697891235</v>
      </c>
      <c r="O17" s="9" t="n">
        <v>6423.955094337463</v>
      </c>
      <c r="P17" s="9" t="n">
        <v>7551.528179168701</v>
      </c>
      <c r="Q17" s="9" t="n">
        <v>520.2331686019897</v>
      </c>
      <c r="R17" s="9" t="n">
        <v>152.2313470840454</v>
      </c>
      <c r="S17" s="9" t="n">
        <v>2968.3026847839355</v>
      </c>
      <c r="T17" s="9" t="n">
        <v>4056.0572080612183</v>
      </c>
      <c r="U17">
        <f si="1" t="shared"/>
        <v>35874.829638275281</v>
      </c>
    </row>
    <row r="18" spans="1:21" x14ac:dyDescent="0.25">
      <c r="A18" s="12">
        <v>0.3125</v>
      </c>
      <c r="B18" s="6" t="n">
        <v>14566.869058718887</v>
      </c>
      <c r="C18" s="6" t="n">
        <v>6119.922117363792</v>
      </c>
      <c r="D18" s="6" t="n">
        <v>5861.625803548342</v>
      </c>
      <c r="E18" s="6" t="n">
        <v>14437.54141469132</v>
      </c>
      <c r="F18" s="6" t="n">
        <v>949.4917802941409</v>
      </c>
      <c r="G18" s="6" t="n">
        <v>156.82954632948474</v>
      </c>
      <c r="H18" s="6" t="n">
        <v>1851.286742936492</v>
      </c>
      <c r="I18" s="6" t="n">
        <v>2886.643905478836</v>
      </c>
      <c r="J18" s="6">
        <f si="0" t="shared"/>
        <v>46830.210369361295</v>
      </c>
      <c r="L18" s="12">
        <v>0.3125</v>
      </c>
      <c r="M18" s="9" t="n">
        <v>13769.80006980896</v>
      </c>
      <c r="N18" s="9" t="n">
        <v>6144.3302392959595</v>
      </c>
      <c r="O18" s="9" t="n">
        <v>8961.519513130188</v>
      </c>
      <c r="P18" s="9" t="n">
        <v>10469.365781784058</v>
      </c>
      <c r="Q18" s="9" t="n">
        <v>694.8651628494263</v>
      </c>
      <c r="R18" s="9" t="n">
        <v>168.3114423751831</v>
      </c>
      <c r="S18" s="9" t="n">
        <v>3656.3123683929443</v>
      </c>
      <c r="T18" s="9" t="n">
        <v>5698.683663368225</v>
      </c>
      <c r="U18">
        <f si="1" t="shared"/>
        <v>46661.213926076336</v>
      </c>
    </row>
    <row r="19" spans="1:21" x14ac:dyDescent="0.25">
      <c r="A19" s="12">
        <v>0.33333333333333331</v>
      </c>
      <c r="B19" s="6" t="n">
        <v>15261.998706121623</v>
      </c>
      <c r="C19" s="6" t="n">
        <v>7483.168791437475</v>
      </c>
      <c r="D19" s="6" t="n">
        <v>8318.9266755845</v>
      </c>
      <c r="E19" s="6" t="n">
        <v>18548.350362398283</v>
      </c>
      <c r="F19" s="6" t="n">
        <v>1143.1405831019572</v>
      </c>
      <c r="G19" s="6" t="n">
        <v>248.50076996783508</v>
      </c>
      <c r="H19" s="6" t="n">
        <v>2437.5129713600872</v>
      </c>
      <c r="I19" s="6" t="n">
        <v>4196.795464051128</v>
      </c>
      <c r="J19" s="6">
        <f si="0" t="shared"/>
        <v>57638.394324022884</v>
      </c>
      <c r="L19" s="12">
        <v>0.33333333333333331</v>
      </c>
      <c r="M19" s="9" t="n">
        <v>14850.775805473328</v>
      </c>
      <c r="N19" s="9" t="n">
        <v>7824.444432258606</v>
      </c>
      <c r="O19" s="9" t="n">
        <v>11904.265517234802</v>
      </c>
      <c r="P19" s="9" t="n">
        <v>13806.92827796936</v>
      </c>
      <c r="Q19" s="9" t="n">
        <v>880.7654819488525</v>
      </c>
      <c r="R19" s="9" t="n">
        <v>176.18216037750244</v>
      </c>
      <c r="S19" s="9" t="n">
        <v>4272.091015815735</v>
      </c>
      <c r="T19" s="9" t="n">
        <v>7621.165977478027</v>
      </c>
      <c r="U19">
        <f si="1" t="shared"/>
        <v>58137.644337893384</v>
      </c>
    </row>
    <row r="20" spans="1:21" x14ac:dyDescent="0.25">
      <c r="A20" s="12">
        <v>0.35416666666666669</v>
      </c>
      <c r="B20" s="6" t="n">
        <v>15093.19585019439</v>
      </c>
      <c r="C20" s="6" t="n">
        <v>8553.46530276871</v>
      </c>
      <c r="D20" s="6" t="n">
        <v>11208.366578393503</v>
      </c>
      <c r="E20" s="6" t="n">
        <v>22097.78297977579</v>
      </c>
      <c r="F20" s="6" t="n">
        <v>1298.5444132577236</v>
      </c>
      <c r="G20" s="6" t="n">
        <v>335.3598220592828</v>
      </c>
      <c r="H20" s="6" t="n">
        <v>2969.969226575017</v>
      </c>
      <c r="I20" s="6" t="n">
        <v>5648.274971388459</v>
      </c>
      <c r="J20" s="6">
        <f si="0" t="shared"/>
        <v>67204.959144412875</v>
      </c>
      <c r="L20" s="12">
        <v>0.35416666666666669</v>
      </c>
      <c r="M20" s="9" t="n">
        <v>15335.290727615356</v>
      </c>
      <c r="N20" s="9" t="n">
        <v>9533.398561477661</v>
      </c>
      <c r="O20" s="9" t="n">
        <v>15078.864778518677</v>
      </c>
      <c r="P20" s="9" t="n">
        <v>17350.04031944275</v>
      </c>
      <c r="Q20" s="9" t="n">
        <v>1065.1991128921509</v>
      </c>
      <c r="R20" s="9" t="n">
        <v>177.34095859527588</v>
      </c>
      <c r="S20" s="9" t="n">
        <v>4774.8890018463135</v>
      </c>
      <c r="T20" s="9" t="n">
        <v>9713.670107841492</v>
      </c>
      <c r="U20">
        <f si="1" t="shared"/>
        <v>69594.13281727671</v>
      </c>
    </row>
    <row r="21" spans="1:21" x14ac:dyDescent="0.25">
      <c r="A21" s="12">
        <v>0.375</v>
      </c>
      <c r="B21" s="6" t="n">
        <v>14421.375759717132</v>
      </c>
      <c r="C21" s="6" t="n">
        <v>9309.870690743215</v>
      </c>
      <c r="D21" s="6" t="n">
        <v>14330.726674102416</v>
      </c>
      <c r="E21" s="6" t="n">
        <v>24856.69142987531</v>
      </c>
      <c r="F21" s="6" t="n">
        <v>1428.9521714752532</v>
      </c>
      <c r="G21" s="6" t="n">
        <v>391.3328387571469</v>
      </c>
      <c r="H21" s="6" t="n">
        <v>3380.6632864714866</v>
      </c>
      <c r="I21" s="6" t="n">
        <v>7216.215651114822</v>
      </c>
      <c r="J21" s="6">
        <f si="0" t="shared"/>
        <v>75335.828502256787</v>
      </c>
      <c r="L21" s="12">
        <v>0.375</v>
      </c>
      <c r="M21" s="9" t="n">
        <v>15320.650859832764</v>
      </c>
      <c r="N21" s="9" t="n">
        <v>11138.544804573059</v>
      </c>
      <c r="O21" s="9" t="n">
        <v>18240.788187026978</v>
      </c>
      <c r="P21" s="9" t="n">
        <v>20812.81787109375</v>
      </c>
      <c r="Q21" s="9" t="n">
        <v>1234.538598060608</v>
      </c>
      <c r="R21" s="9" t="n">
        <v>175.47340488433838</v>
      </c>
      <c r="S21" s="9" t="n">
        <v>5153.03892993927</v>
      </c>
      <c r="T21" s="9" t="n">
        <v>11815.873300552368</v>
      </c>
      <c r="U21">
        <f si="1" t="shared"/>
        <v>80272.672288075308</v>
      </c>
    </row>
    <row r="22" spans="1:21" x14ac:dyDescent="0.25">
      <c r="A22" s="12">
        <v>0.39583333333333331</v>
      </c>
      <c r="B22" s="6" t="n">
        <v>13718.238275876995</v>
      </c>
      <c r="C22" s="6" t="n">
        <v>9895.291007810632</v>
      </c>
      <c r="D22" s="6" t="n">
        <v>17485.755969831756</v>
      </c>
      <c r="E22" s="6" t="n">
        <v>27066.687298289486</v>
      </c>
      <c r="F22" s="6" t="n">
        <v>1560.9045497257812</v>
      </c>
      <c r="G22" s="6" t="n">
        <v>402.7296763280134</v>
      </c>
      <c r="H22" s="6" t="n">
        <v>3666.7549457559585</v>
      </c>
      <c r="I22" s="6" t="n">
        <v>8910.670000528931</v>
      </c>
      <c r="J22" s="6">
        <f si="0" t="shared"/>
        <v>82707.031724147557</v>
      </c>
      <c r="L22" s="12">
        <v>0.39583333333333331</v>
      </c>
      <c r="M22" s="9" t="n">
        <v>14942.792429924011</v>
      </c>
      <c r="N22" s="9" t="n">
        <v>12496.088946342468</v>
      </c>
      <c r="O22" s="9" t="n">
        <v>21089.257358551025</v>
      </c>
      <c r="P22" s="9" t="n">
        <v>23865.652069091797</v>
      </c>
      <c r="Q22" s="9" t="n">
        <v>1373.9206237792969</v>
      </c>
      <c r="R22" s="9" t="n">
        <v>174.2156581878662</v>
      </c>
      <c r="S22" s="9" t="n">
        <v>5408.067113876343</v>
      </c>
      <c r="T22" s="9" t="n">
        <v>13730.080001831055</v>
      </c>
      <c r="U22">
        <f si="1" t="shared"/>
        <v>89334.895562084697</v>
      </c>
    </row>
    <row r="23" spans="1:21" x14ac:dyDescent="0.25">
      <c r="A23" s="12">
        <v>0.41666666666666669</v>
      </c>
      <c r="B23" s="6" t="n">
        <v>13311.699683190982</v>
      </c>
      <c r="C23" s="6" t="n">
        <v>10520.205168154791</v>
      </c>
      <c r="D23" s="6" t="n">
        <v>20527.009358789088</v>
      </c>
      <c r="E23" s="6" t="n">
        <v>29192.165159793913</v>
      </c>
      <c r="F23" s="6" t="n">
        <v>1710.6758500842514</v>
      </c>
      <c r="G23" s="6" t="n">
        <v>377.9004152075311</v>
      </c>
      <c r="H23" s="6" t="n">
        <v>3887.242222873926</v>
      </c>
      <c r="I23" s="6" t="n">
        <v>10669.821744998932</v>
      </c>
      <c r="J23" s="6">
        <f si="0" t="shared"/>
        <v>90196.719603093428</v>
      </c>
      <c r="L23" s="12">
        <v>0.41666666666666669</v>
      </c>
      <c r="M23" s="9" t="n">
        <v>14321.006750106812</v>
      </c>
      <c r="N23" s="9" t="n">
        <v>13479.307125091553</v>
      </c>
      <c r="O23" s="9" t="n">
        <v>23325.552671432495</v>
      </c>
      <c r="P23" s="9" t="n">
        <v>26206.430594444275</v>
      </c>
      <c r="Q23" s="9" t="n">
        <v>1469.4084539413452</v>
      </c>
      <c r="R23" s="9" t="n">
        <v>175.5541524887085</v>
      </c>
      <c r="S23" s="9" t="n">
        <v>5544.006962776184</v>
      </c>
      <c r="T23" s="9" t="n">
        <v>15263.258473396301</v>
      </c>
      <c r="U23">
        <f si="1" t="shared"/>
        <v>95985.524460479865</v>
      </c>
    </row>
    <row r="24" spans="1:21" x14ac:dyDescent="0.25">
      <c r="A24" s="12">
        <v>0.4375</v>
      </c>
      <c r="B24" s="6" t="n">
        <v>13274.105920402802</v>
      </c>
      <c r="C24" s="6" t="n">
        <v>11303.44859350143</v>
      </c>
      <c r="D24" s="6" t="n">
        <v>23304.2660813099</v>
      </c>
      <c r="E24" s="6" t="n">
        <v>31475.1977136359</v>
      </c>
      <c r="F24" s="6" t="n">
        <v>1872.438619899319</v>
      </c>
      <c r="G24" s="6" t="n">
        <v>343.4872157578569</v>
      </c>
      <c r="H24" s="6" t="n">
        <v>4114.87209176302</v>
      </c>
      <c r="I24" s="6" t="n">
        <v>12271.815841599702</v>
      </c>
      <c r="J24" s="6">
        <f si="0" t="shared"/>
        <v>97959.632077869916</v>
      </c>
      <c r="L24" s="12">
        <v>0.4375</v>
      </c>
      <c r="M24" s="9" t="n">
        <v>13566.870265007019</v>
      </c>
      <c r="N24" s="9" t="n">
        <v>14025.00481891632</v>
      </c>
      <c r="O24" s="9" t="n">
        <v>24751.670751571655</v>
      </c>
      <c r="P24" s="9" t="n">
        <v>27664.716473579407</v>
      </c>
      <c r="Q24" s="9" t="n">
        <v>1513.2035417556763</v>
      </c>
      <c r="R24" s="9" t="n">
        <v>179.8633165359497</v>
      </c>
      <c r="S24" s="9" t="n">
        <v>5572.452188491821</v>
      </c>
      <c r="T24" s="9" t="n">
        <v>16292.521958351135</v>
      </c>
      <c r="U24">
        <f si="1" t="shared"/>
        <v>99786.498403413891</v>
      </c>
    </row>
    <row r="25" spans="1:21" x14ac:dyDescent="0.25">
      <c r="A25" s="12">
        <v>0.45833333333333331</v>
      </c>
      <c r="B25" s="6" t="n">
        <v>13501.674293436059</v>
      </c>
      <c r="C25" s="6" t="n">
        <v>12168.624440992378</v>
      </c>
      <c r="D25" s="6" t="n">
        <v>25594.721410898335</v>
      </c>
      <c r="E25" s="6" t="n">
        <v>33696.93513558776</v>
      </c>
      <c r="F25" s="6" t="n">
        <v>2022.9680284324897</v>
      </c>
      <c r="G25" s="6" t="n">
        <v>328.9835530122773</v>
      </c>
      <c r="H25" s="6" t="n">
        <v>4378.137634784698</v>
      </c>
      <c r="I25" s="6" t="n">
        <v>13378.72594155693</v>
      </c>
      <c r="J25" s="6">
        <f si="0" t="shared"/>
        <v>105070.77043870091</v>
      </c>
      <c r="L25" s="12">
        <v>0.45833333333333331</v>
      </c>
      <c r="M25" s="9" t="n">
        <v>12819.01182937622</v>
      </c>
      <c r="N25" s="9" t="n">
        <v>14170.34521484375</v>
      </c>
      <c r="O25" s="9" t="n">
        <v>25356.14254951477</v>
      </c>
      <c r="P25" s="9" t="n">
        <v>28280.77750968933</v>
      </c>
      <c r="Q25" s="9" t="n">
        <v>1508.6404418945312</v>
      </c>
      <c r="R25" s="9" t="n">
        <v>187.26959991455078</v>
      </c>
      <c r="S25" s="9" t="n">
        <v>5525.835201263428</v>
      </c>
      <c r="T25" s="9" t="n">
        <v>16818.019694328308</v>
      </c>
      <c r="U25">
        <f si="1" t="shared"/>
        <v>100957.90136620219</v>
      </c>
    </row>
    <row r="26" spans="1:21" x14ac:dyDescent="0.25">
      <c r="A26" s="12">
        <v>0.47916666666666669</v>
      </c>
      <c r="B26" s="6" t="n">
        <v>13856.576849517332</v>
      </c>
      <c r="C26" s="6" t="n">
        <v>12890.530684229887</v>
      </c>
      <c r="D26" s="6" t="n">
        <v>27170.040215070054</v>
      </c>
      <c r="E26" s="6" t="n">
        <v>35394.40500498982</v>
      </c>
      <c r="F26" s="6" t="n">
        <v>2135.6215641363133</v>
      </c>
      <c r="G26" s="6" t="n">
        <v>348.71232618510476</v>
      </c>
      <c r="H26" s="6" t="n">
        <v>4647.239494300723</v>
      </c>
      <c r="I26" s="6" t="n">
        <v>13722.204821148156</v>
      </c>
      <c r="J26" s="6">
        <f si="0" t="shared"/>
        <v>110165.3309595774</v>
      </c>
      <c r="L26" s="12">
        <v>0.47916666666666669</v>
      </c>
      <c r="M26" s="9" t="n">
        <v>12248.865572929382</v>
      </c>
      <c r="N26" s="9" t="n">
        <v>14046.635390281677</v>
      </c>
      <c r="O26" s="9" t="n">
        <v>25320.147530555725</v>
      </c>
      <c r="P26" s="9" t="n">
        <v>28293.576442718506</v>
      </c>
      <c r="Q26" s="9" t="n">
        <v>1470.7060441970825</v>
      </c>
      <c r="R26" s="9" t="n">
        <v>199.16353511810303</v>
      </c>
      <c r="S26" s="9" t="n">
        <v>5463.429571151733</v>
      </c>
      <c r="T26" s="9" t="n">
        <v>16961.551619529724</v>
      </c>
      <c r="U26">
        <f si="1" t="shared"/>
        <v>100384.20925620485</v>
      </c>
    </row>
    <row r="27" spans="1:21" x14ac:dyDescent="0.25">
      <c r="A27" s="12">
        <v>0.5</v>
      </c>
      <c r="B27" s="6" t="n">
        <v>14243.996364930563</v>
      </c>
      <c r="C27" s="6" t="n">
        <v>13273.968315493086</v>
      </c>
      <c r="D27" s="6" t="n">
        <v>27964.360756686863</v>
      </c>
      <c r="E27" s="6" t="n">
        <v>36345.01303815795</v>
      </c>
      <c r="F27" s="6" t="n">
        <v>2197.5509620328958</v>
      </c>
      <c r="G27" s="6" t="n">
        <v>394.22137233412764</v>
      </c>
      <c r="H27" s="6" t="n">
        <v>4880.607013815761</v>
      </c>
      <c r="I27" s="6" t="n">
        <v>13303.586542415738</v>
      </c>
      <c r="J27" s="6">
        <f si="0" t="shared"/>
        <v>112603.30436586699</v>
      </c>
      <c r="L27" s="12">
        <v>0.5</v>
      </c>
      <c r="M27" s="9" t="n">
        <v>12023.175848007202</v>
      </c>
      <c r="N27" s="9" t="n">
        <v>13825.605900764465</v>
      </c>
      <c r="O27" s="9" t="n">
        <v>24929.039353370667</v>
      </c>
      <c r="P27" s="9" t="n">
        <v>28030.758049964905</v>
      </c>
      <c r="Q27" s="9" t="n">
        <v>1421.0057706832886</v>
      </c>
      <c r="R27" s="9" t="n">
        <v>218.89670372009277</v>
      </c>
      <c r="S27" s="9" t="n">
        <v>5463.365870475769</v>
      </c>
      <c r="T27" s="9" t="n">
        <v>16904.907320022583</v>
      </c>
      <c r="U27">
        <f si="1" t="shared"/>
        <v>99259.498695727685</v>
      </c>
    </row>
    <row r="28" spans="1:21" x14ac:dyDescent="0.25">
      <c r="A28" s="12">
        <v>0.52083333333333337</v>
      </c>
      <c r="B28" s="6" t="n">
        <v>14630.824670588534</v>
      </c>
      <c r="C28" s="6" t="n">
        <v>13339.532163662629</v>
      </c>
      <c r="D28" s="6" t="n">
        <v>28140.906752122377</v>
      </c>
      <c r="E28" s="6" t="n">
        <v>36845.30021376538</v>
      </c>
      <c r="F28" s="6" t="n">
        <v>2225.9146156037204</v>
      </c>
      <c r="G28" s="6" t="n">
        <v>445.866740526806</v>
      </c>
      <c r="H28" s="6" t="n">
        <v>5087.858042545915</v>
      </c>
      <c r="I28" s="6" t="n">
        <v>12445.261292679788</v>
      </c>
      <c r="J28" s="6">
        <f si="0" t="shared"/>
        <v>113161.46449149514</v>
      </c>
      <c r="L28" s="12">
        <v>0.52083333333333337</v>
      </c>
      <c r="M28" s="9" t="n">
        <v>12258.531274795532</v>
      </c>
      <c r="N28" s="9" t="n">
        <v>13652.883250236511</v>
      </c>
      <c r="O28" s="9" t="n">
        <v>24449.01354122162</v>
      </c>
      <c r="P28" s="9" t="n">
        <v>27772.260298728943</v>
      </c>
      <c r="Q28" s="9" t="n">
        <v>1380.477087020874</v>
      </c>
      <c r="R28" s="9" t="n">
        <v>251.65412616729736</v>
      </c>
      <c r="S28" s="9" t="n">
        <v>5607.9638023376465</v>
      </c>
      <c r="T28" s="9" t="n">
        <v>16809.811950683594</v>
      </c>
      <c r="U28">
        <f si="1" t="shared"/>
        <v>98619.284052541727</v>
      </c>
    </row>
    <row r="29" spans="1:21" x14ac:dyDescent="0.25">
      <c r="A29" s="12">
        <v>0.54166666666666663</v>
      </c>
      <c r="B29" s="6" t="n">
        <v>15067.76966354535</v>
      </c>
      <c r="C29" s="6" t="n">
        <v>13369.181096392655</v>
      </c>
      <c r="D29" s="6" t="n">
        <v>27953.456444139018</v>
      </c>
      <c r="E29" s="6" t="n">
        <v>37496.25532512234</v>
      </c>
      <c r="F29" s="6" t="n">
        <v>2272.8693528649646</v>
      </c>
      <c r="G29" s="6" t="n">
        <v>496.1429795326403</v>
      </c>
      <c r="H29" s="6" t="n">
        <v>5347.470065065503</v>
      </c>
      <c r="I29" s="6" t="n">
        <v>11641.056246126293</v>
      </c>
      <c r="J29" s="6">
        <f si="0" t="shared"/>
        <v>113644.20117278876</v>
      </c>
      <c r="L29" s="12">
        <v>0.54166666666666663</v>
      </c>
      <c r="M29" s="9" t="n">
        <v>13008.540244102478</v>
      </c>
      <c r="N29" s="9" t="n">
        <v>13611.288243293762</v>
      </c>
      <c r="O29" s="9" t="n">
        <v>24048.055835723877</v>
      </c>
      <c r="P29" s="9" t="n">
        <v>27674.649766921997</v>
      </c>
      <c r="Q29" s="9" t="n">
        <v>1364.4845972061157</v>
      </c>
      <c r="R29" s="9" t="n">
        <v>304.0396308898926</v>
      </c>
      <c r="S29" s="9" t="n">
        <v>5972.212166786194</v>
      </c>
      <c r="T29" s="9" t="n">
        <v>16771.283617019653</v>
      </c>
      <c r="U29">
        <f si="1" t="shared"/>
        <v>99079.683891573179</v>
      </c>
    </row>
    <row r="30" spans="1:21" x14ac:dyDescent="0.25">
      <c r="A30" s="12">
        <v>0.5625</v>
      </c>
      <c r="B30" s="6" t="n">
        <v>15699.27409484289</v>
      </c>
      <c r="C30" s="6" t="n">
        <v>13743.32827809848</v>
      </c>
      <c r="D30" s="6" t="n">
        <v>27537.31560685163</v>
      </c>
      <c r="E30" s="6" t="n">
        <v>38688.191042029095</v>
      </c>
      <c r="F30" s="6" t="n">
        <v>2404.857613547045</v>
      </c>
      <c r="G30" s="6" t="n">
        <v>561.8705456360408</v>
      </c>
      <c r="H30" s="6" t="n">
        <v>5760.241475610376</v>
      </c>
      <c r="I30" s="6" t="n">
        <v>11305.372207888482</v>
      </c>
      <c r="J30" s="6">
        <f si="0" t="shared"/>
        <v>115700.45086450406</v>
      </c>
      <c r="L30" s="12">
        <v>0.5625</v>
      </c>
      <c r="M30" s="9" t="n">
        <v>14282.770853996277</v>
      </c>
      <c r="N30" s="9" t="n">
        <v>13722.612657546997</v>
      </c>
      <c r="O30" s="9" t="n">
        <v>23783.162141799927</v>
      </c>
      <c r="P30" s="9" t="n">
        <v>27773.530037879944</v>
      </c>
      <c r="Q30" s="9" t="n">
        <v>1381.926986694336</v>
      </c>
      <c r="R30" s="9" t="n">
        <v>383.3677215576172</v>
      </c>
      <c r="S30" s="9" t="n">
        <v>6614.134666442871</v>
      </c>
      <c r="T30" s="9" t="n">
        <v>16815.56395339966</v>
      </c>
      <c r="U30">
        <f si="1" t="shared"/>
        <v>100848.69807275181</v>
      </c>
    </row>
    <row r="31" spans="1:21" x14ac:dyDescent="0.25">
      <c r="A31" s="12">
        <v>0.58333333333333337</v>
      </c>
      <c r="B31" s="6" t="n">
        <v>16701.984977386062</v>
      </c>
      <c r="C31" s="6" t="n">
        <v>14648.142566549603</v>
      </c>
      <c r="D31" s="6" t="n">
        <v>26828.591125882485</v>
      </c>
      <c r="E31" s="6" t="n">
        <v>40251.825106015414</v>
      </c>
      <c r="F31" s="6" t="n">
        <v>2654.7216813307814</v>
      </c>
      <c r="G31" s="6" t="n">
        <v>669.2606766704548</v>
      </c>
      <c r="H31" s="6" t="n">
        <v>6375.448635905029</v>
      </c>
      <c r="I31" s="6" t="n">
        <v>11577.164088968038</v>
      </c>
      <c r="J31" s="6">
        <f si="0" t="shared"/>
        <v>119707.13885870787</v>
      </c>
      <c r="L31" s="12">
        <v>0.58333333333333337</v>
      </c>
      <c r="M31" s="9" t="n">
        <v>16062.033752441406</v>
      </c>
      <c r="N31" s="9" t="n">
        <v>13960.536460876465</v>
      </c>
      <c r="O31" s="9" t="n">
        <v>23613.62505531311</v>
      </c>
      <c r="P31" s="9" t="n">
        <v>28008.019382476807</v>
      </c>
      <c r="Q31" s="9" t="n">
        <v>1436.1242170333862</v>
      </c>
      <c r="R31" s="9" t="n">
        <v>495.97130393981934</v>
      </c>
      <c r="S31" s="9" t="n">
        <v>7558.450643539429</v>
      </c>
      <c r="T31" s="9" t="n">
        <v>16911.502185821533</v>
      </c>
      <c r="U31">
        <f si="1" t="shared"/>
        <v>103803.65302112007</v>
      </c>
    </row>
    <row r="32" spans="1:21" x14ac:dyDescent="0.25">
      <c r="A32" s="12">
        <v>0.60416666666666663</v>
      </c>
      <c r="B32" s="6" t="n">
        <v>18179.597859450678</v>
      </c>
      <c r="C32" s="6" t="n">
        <v>15864.41469797654</v>
      </c>
      <c r="D32" s="6" t="n">
        <v>25655.655525496884</v>
      </c>
      <c r="E32" s="6" t="n">
        <v>41554.18818232308</v>
      </c>
      <c r="F32" s="6" t="n">
        <v>2975.8213864911263</v>
      </c>
      <c r="G32" s="6" t="n">
        <v>823.5920816230936</v>
      </c>
      <c r="H32" s="6" t="n">
        <v>7147.806251019717</v>
      </c>
      <c r="I32" s="6" t="n">
        <v>12279.552158199906</v>
      </c>
      <c r="J32" s="6">
        <f si="0" t="shared"/>
        <v>124480.62814258103</v>
      </c>
      <c r="L32" s="12">
        <v>0.60416666666666663</v>
      </c>
      <c r="M32" s="9" t="n">
        <v>18294.675317764282</v>
      </c>
      <c r="N32" s="9" t="n">
        <v>14254.808948516846</v>
      </c>
      <c r="O32" s="9" t="n">
        <v>23411.566460609436</v>
      </c>
      <c r="P32" s="9" t="n">
        <v>28227.561101913452</v>
      </c>
      <c r="Q32" s="9" t="n">
        <v>1525.2490587234497</v>
      </c>
      <c r="R32" s="9" t="n">
        <v>644.498613357544</v>
      </c>
      <c r="S32" s="9" t="n">
        <v>8776.385927200317</v>
      </c>
      <c r="T32" s="9" t="n">
        <v>16974.232858657837</v>
      </c>
      <c r="U32">
        <f si="1" t="shared"/>
        <v>107492.22455166584</v>
      </c>
    </row>
    <row r="33" spans="1:21" x14ac:dyDescent="0.25">
      <c r="A33" s="12">
        <v>0.625</v>
      </c>
      <c r="B33" s="6" t="n">
        <v>20125.103483014555</v>
      </c>
      <c r="C33" s="6" t="n">
        <v>16839.541412665014</v>
      </c>
      <c r="D33" s="6" t="n">
        <v>23900.112544792173</v>
      </c>
      <c r="E33" s="6" t="n">
        <v>41917.0779923316</v>
      </c>
      <c r="F33" s="6" t="n">
        <v>3246.313789779517</v>
      </c>
      <c r="G33" s="6" t="n">
        <v>993.7628449222864</v>
      </c>
      <c r="H33" s="6" t="n">
        <v>7964.072207296014</v>
      </c>
      <c r="I33" s="6" t="n">
        <v>13042.674274996876</v>
      </c>
      <c r="J33" s="6">
        <f si="0" t="shared"/>
        <v>128028.65854979804</v>
      </c>
      <c r="L33" s="12">
        <v>0.625</v>
      </c>
      <c r="M33" s="9" t="n">
        <v>20906.169721603394</v>
      </c>
      <c r="N33" s="9" t="n">
        <v>14503.981928825378</v>
      </c>
      <c r="O33" s="9" t="n">
        <v>22997.90345287323</v>
      </c>
      <c r="P33" s="9" t="n">
        <v>28217.643708229065</v>
      </c>
      <c r="Q33" s="9" t="n">
        <v>1643.4487733840942</v>
      </c>
      <c r="R33" s="9" t="n">
        <v>825.7629995346069</v>
      </c>
      <c r="S33" s="9" t="n">
        <v>10181.84418296814</v>
      </c>
      <c r="T33" s="9" t="n">
        <v>16882.942449569702</v>
      </c>
      <c r="U33">
        <f si="1" t="shared"/>
        <v>111199.33937386407</v>
      </c>
    </row>
    <row r="34" spans="1:21" x14ac:dyDescent="0.25">
      <c r="A34" s="12">
        <v>0.64583333333333337</v>
      </c>
      <c r="B34" s="6" t="n">
        <v>22496.41742874228</v>
      </c>
      <c r="C34" s="6" t="n">
        <v>17037.70598832578</v>
      </c>
      <c r="D34" s="6" t="n">
        <v>21616.702376517773</v>
      </c>
      <c r="E34" s="6" t="n">
        <v>41021.30585739559</v>
      </c>
      <c r="F34" s="6" t="n">
        <v>3341.932847232296</v>
      </c>
      <c r="G34" s="6" t="n">
        <v>1129.2065129576958</v>
      </c>
      <c r="H34" s="6" t="n">
        <v>8735.40970937264</v>
      </c>
      <c r="I34" s="6" t="n">
        <v>13514.985854281305</v>
      </c>
      <c r="J34" s="6">
        <f si="0" t="shared"/>
        <v>128893.66657482536</v>
      </c>
      <c r="L34" s="12">
        <v>0.64583333333333337</v>
      </c>
      <c r="M34" s="9" t="n">
        <v>23855.205485343933</v>
      </c>
      <c r="N34" s="9" t="n">
        <v>14620.379031181335</v>
      </c>
      <c r="O34" s="9" t="n">
        <v>22232.34973716736</v>
      </c>
      <c r="P34" s="9" t="n">
        <v>27792.468046188354</v>
      </c>
      <c r="Q34" s="9" t="n">
        <v>1784.9645624160767</v>
      </c>
      <c r="R34" s="9" t="n">
        <v>1031.0890378952026</v>
      </c>
      <c r="S34" s="9" t="n">
        <v>11659.319385528564</v>
      </c>
      <c r="T34" s="9" t="n">
        <v>16538.011940956116</v>
      </c>
      <c r="U34">
        <f si="1" t="shared"/>
        <v>114267.45326579484</v>
      </c>
    </row>
    <row r="35" spans="1:21" x14ac:dyDescent="0.25">
      <c r="A35" s="12">
        <v>0.66666666666666663</v>
      </c>
      <c r="B35" s="6" t="n">
        <v>25318.670095291134</v>
      </c>
      <c r="C35" s="6" t="n">
        <v>16311.125080044249</v>
      </c>
      <c r="D35" s="6" t="n">
        <v>19056.50322956247</v>
      </c>
      <c r="E35" s="6" t="n">
        <v>39048.57186300229</v>
      </c>
      <c r="F35" s="6" t="n">
        <v>3228.7622411659104</v>
      </c>
      <c r="G35" s="6" t="n">
        <v>1195.3481566345467</v>
      </c>
      <c r="H35" s="6" t="n">
        <v>9505.36368101895</v>
      </c>
      <c r="I35" s="6" t="n">
        <v>13540.805296680688</v>
      </c>
      <c r="J35" s="6">
        <f si="0" t="shared"/>
        <v>127205.14964340023</v>
      </c>
      <c r="L35" s="12">
        <v>0.66666666666666663</v>
      </c>
      <c r="M35" s="9" t="n">
        <v>27208.67684364319</v>
      </c>
      <c r="N35" s="9" t="n">
        <v>14588.926255226135</v>
      </c>
      <c r="O35" s="9" t="n">
        <v>21111.80447101593</v>
      </c>
      <c r="P35" s="9" t="n">
        <v>26915.078994750977</v>
      </c>
      <c r="Q35" s="9" t="n">
        <v>1950.0782136917114</v>
      </c>
      <c r="R35" s="9" t="n">
        <v>1249.4396018981934</v>
      </c>
      <c r="S35" s="9" t="n">
        <v>13110.448397636414</v>
      </c>
      <c r="T35" s="9" t="n">
        <v>15930.932318687439</v>
      </c>
      <c r="U35">
        <f si="1" t="shared"/>
        <v>116535.90917370765</v>
      </c>
    </row>
    <row r="36" spans="1:21" x14ac:dyDescent="0.25">
      <c r="A36" s="12">
        <v>0.6875</v>
      </c>
      <c r="B36" s="6" t="n">
        <v>28699.370951492172</v>
      </c>
      <c r="C36" s="6" t="n">
        <v>14992.879404678646</v>
      </c>
      <c r="D36" s="6" t="n">
        <v>16583.73638318236</v>
      </c>
      <c r="E36" s="6" t="n">
        <v>36534.676738441085</v>
      </c>
      <c r="F36" s="6" t="n">
        <v>2995.564170506841</v>
      </c>
      <c r="G36" s="6" t="n">
        <v>1195.7917744495396</v>
      </c>
      <c r="H36" s="6" t="n">
        <v>10497.194127183913</v>
      </c>
      <c r="I36" s="6" t="n">
        <v>13204.806681162954</v>
      </c>
      <c r="J36" s="6">
        <f si="0" t="shared"/>
        <v>124704.02023109751</v>
      </c>
      <c r="L36" s="12">
        <v>0.6875</v>
      </c>
      <c r="M36" s="9" t="n">
        <v>31158.3316822052</v>
      </c>
      <c r="N36" s="9" t="n">
        <v>14488.275082588196</v>
      </c>
      <c r="O36" s="9" t="n">
        <v>19789.078212738037</v>
      </c>
      <c r="P36" s="9" t="n">
        <v>25739.659876823425</v>
      </c>
      <c r="Q36" s="9" t="n">
        <v>2148.182858467102</v>
      </c>
      <c r="R36" s="9" t="n">
        <v>1471.4074506759644</v>
      </c>
      <c r="S36" s="9" t="n">
        <v>14485.797185897827</v>
      </c>
      <c r="T36" s="9" t="n">
        <v>15165.643356323242</v>
      </c>
      <c r="U36">
        <f si="1" t="shared"/>
        <v>118511.87750069973</v>
      </c>
    </row>
    <row r="37" spans="1:21" x14ac:dyDescent="0.25">
      <c r="A37" s="12">
        <v>0.70833333333333337</v>
      </c>
      <c r="B37" s="6" t="n">
        <v>32729.550267583076</v>
      </c>
      <c r="C37" s="6" t="n">
        <v>13648.702497763436</v>
      </c>
      <c r="D37" s="6" t="n">
        <v>14528.897454024283</v>
      </c>
      <c r="E37" s="6" t="n">
        <v>34072.42697020857</v>
      </c>
      <c r="F37" s="6" t="n">
        <v>2795.7976263760747</v>
      </c>
      <c r="G37" s="6" t="n">
        <v>1163.0937162331597</v>
      </c>
      <c r="H37" s="6" t="n">
        <v>12036.030333825467</v>
      </c>
      <c r="I37" s="6" t="n">
        <v>12731.191603193285</v>
      </c>
      <c r="J37" s="6">
        <f si="0" t="shared"/>
        <v>123705.69046920736</v>
      </c>
      <c r="L37" s="12">
        <v>0.70833333333333337</v>
      </c>
      <c r="M37" s="9" t="n">
        <v>35924.334257125854</v>
      </c>
      <c r="N37" s="9" t="n">
        <v>14446.693284988403</v>
      </c>
      <c r="O37" s="9" t="n">
        <v>18485.064067840576</v>
      </c>
      <c r="P37" s="9" t="n">
        <v>24525.344570159912</v>
      </c>
      <c r="Q37" s="9" t="n">
        <v>2394.1194791793823</v>
      </c>
      <c r="R37" s="9" t="n">
        <v>1691.0395727157593</v>
      </c>
      <c r="S37" s="9" t="n">
        <v>15777.840023040771</v>
      </c>
      <c r="T37" s="9" t="n">
        <v>14405.520943641663</v>
      </c>
      <c r="U37">
        <f si="1" t="shared"/>
        <v>121059.1584787161</v>
      </c>
    </row>
    <row r="38" spans="1:21" x14ac:dyDescent="0.25">
      <c r="A38" s="12">
        <v>0.72916666666666663</v>
      </c>
      <c r="B38" s="6" t="n">
        <v>37326.48464826516</v>
      </c>
      <c r="C38" s="6" t="n">
        <v>12710.334143710803</v>
      </c>
      <c r="D38" s="6" t="n">
        <v>13066.496890732573</v>
      </c>
      <c r="E38" s="6" t="n">
        <v>32043.311287215874</v>
      </c>
      <c r="F38" s="6" t="n">
        <v>2750.8069376943195</v>
      </c>
      <c r="G38" s="6" t="n">
        <v>1132.6828257056704</v>
      </c>
      <c r="H38" s="6" t="n">
        <v>14335.474673365354</v>
      </c>
      <c r="I38" s="6" t="n">
        <v>12309.022548481465</v>
      </c>
      <c r="J38" s="6">
        <f si="0" t="shared"/>
        <v>125674.61395517123</v>
      </c>
      <c r="L38" s="12">
        <v>0.72916666666666663</v>
      </c>
      <c r="M38" s="9" t="n">
        <v>41563.30160522461</v>
      </c>
      <c r="N38" s="9" t="n">
        <v>14557.876970291138</v>
      </c>
      <c r="O38" s="9" t="n">
        <v>17360.425457954407</v>
      </c>
      <c r="P38" s="9" t="n">
        <v>23481.115421295166</v>
      </c>
      <c r="Q38" s="9" t="n">
        <v>2697.7256927490234</v>
      </c>
      <c r="R38" s="9" t="n">
        <v>1903.1372623443604</v>
      </c>
      <c r="S38" s="9" t="n">
        <v>16976.82072162628</v>
      </c>
      <c r="T38" s="9" t="n">
        <v>13782.615789413452</v>
      </c>
      <c r="U38">
        <f si="1" t="shared"/>
        <v>124775.03176256128</v>
      </c>
    </row>
    <row r="39" spans="1:21" x14ac:dyDescent="0.25">
      <c r="A39" s="12">
        <v>0.75</v>
      </c>
      <c r="B39" s="6" t="n">
        <v>42107.193995077</v>
      </c>
      <c r="C39" s="6" t="n">
        <v>12268.070796394453</v>
      </c>
      <c r="D39" s="6" t="n">
        <v>12185.138012760739</v>
      </c>
      <c r="E39" s="6" t="n">
        <v>30498.130321855264</v>
      </c>
      <c r="F39" s="6" t="n">
        <v>2887.5606294083923</v>
      </c>
      <c r="G39" s="6" t="n">
        <v>1130.6864709849056</v>
      </c>
      <c r="H39" s="6" t="n">
        <v>17233.697665012</v>
      </c>
      <c r="I39" s="6" t="n">
        <v>11948.643463572384</v>
      </c>
      <c r="J39" s="6">
        <f si="0" t="shared"/>
        <v>130259.12135506514</v>
      </c>
      <c r="L39" s="12">
        <v>0.75</v>
      </c>
      <c r="M39" s="9" t="n">
        <v>47765.44891452789</v>
      </c>
      <c r="N39" s="9" t="n">
        <v>14807.691398620605</v>
      </c>
      <c r="O39" s="9" t="n">
        <v>16433.517283439636</v>
      </c>
      <c r="P39" s="9" t="n">
        <v>22645.454206466675</v>
      </c>
      <c r="Q39" s="9" t="n">
        <v>3050.3315353393555</v>
      </c>
      <c r="R39" s="9" t="n">
        <v>2096.6625537872314</v>
      </c>
      <c r="S39" s="9" t="n">
        <v>18013.35224533081</v>
      </c>
      <c r="T39" s="9" t="n">
        <v>13326.343991279602</v>
      </c>
      <c r="U39">
        <f si="1" t="shared"/>
        <v>129418.10062873526</v>
      </c>
    </row>
    <row r="40" spans="1:21" x14ac:dyDescent="0.25">
      <c r="A40" s="12">
        <v>0.77083333333333337</v>
      </c>
      <c r="B40" s="6" t="n">
        <v>46382.972163628954</v>
      </c>
      <c r="C40" s="6" t="n">
        <v>12113.71338388482</v>
      </c>
      <c r="D40" s="6" t="n">
        <v>11737.342398286484</v>
      </c>
      <c r="E40" s="6" t="n">
        <v>29207.404011497645</v>
      </c>
      <c r="F40" s="6" t="n">
        <v>3137.403941890786</v>
      </c>
      <c r="G40" s="6" t="n">
        <v>1183.6076015360618</v>
      </c>
      <c r="H40" s="6" t="n">
        <v>20063.728986868977</v>
      </c>
      <c r="I40" s="6" t="n">
        <v>11460.083505708815</v>
      </c>
      <c r="J40" s="6">
        <f si="0" t="shared"/>
        <v>135286.25599330253</v>
      </c>
      <c r="L40" s="12">
        <v>0.77083333333333337</v>
      </c>
      <c r="M40" s="9" t="n">
        <v>53759.50095844269</v>
      </c>
      <c r="N40" s="9" t="n">
        <v>15051.926489830017</v>
      </c>
      <c r="O40" s="9" t="n">
        <v>15581.06038761139</v>
      </c>
      <c r="P40" s="9" t="n">
        <v>21863.92831993103</v>
      </c>
      <c r="Q40" s="9" t="n">
        <v>3415.183705329895</v>
      </c>
      <c r="R40" s="9" t="n">
        <v>2249.255772590637</v>
      </c>
      <c r="S40" s="9" t="n">
        <v>18725.57459640503</v>
      </c>
      <c r="T40" s="9" t="n">
        <v>12945.189660072327</v>
      </c>
      <c r="U40">
        <f si="1" t="shared"/>
        <v>133695.248095116</v>
      </c>
    </row>
    <row r="41" spans="1:21" x14ac:dyDescent="0.25">
      <c r="A41" s="12">
        <v>0.79166666666666663</v>
      </c>
      <c r="B41" s="6" t="n">
        <v>49305.30733934415</v>
      </c>
      <c r="C41" s="6" t="n">
        <v>11926.847136344868</v>
      </c>
      <c r="D41" s="6" t="n">
        <v>11503.181124531027</v>
      </c>
      <c r="E41" s="6" t="n">
        <v>27823.659445959143</v>
      </c>
      <c r="F41" s="6" t="n">
        <v>3375.974049303918</v>
      </c>
      <c r="G41" s="6" t="n">
        <v>1321.8840319789347</v>
      </c>
      <c r="H41" s="6" t="n">
        <v>21836.591433235284</v>
      </c>
      <c r="I41" s="6" t="n">
        <v>10581.025663110377</v>
      </c>
      <c r="J41" s="6">
        <f si="0" t="shared"/>
        <v>137674.4702238077</v>
      </c>
      <c r="L41" s="12">
        <v>0.79166666666666663</v>
      </c>
      <c r="M41" s="9" t="n">
        <v>58428.734793663025</v>
      </c>
      <c r="N41" s="9" t="n">
        <v>15060.222996711731</v>
      </c>
      <c r="O41" s="9" t="n">
        <v>14606.924962997437</v>
      </c>
      <c r="P41" s="9" t="n">
        <v>20866.97669506073</v>
      </c>
      <c r="Q41" s="9" t="n">
        <v>3730.1086797714233</v>
      </c>
      <c r="R41" s="9" t="n">
        <v>2329.608145713806</v>
      </c>
      <c r="S41" s="9" t="n">
        <v>18887.6481590271</v>
      </c>
      <c r="T41" s="9" t="n">
        <v>12466.332851409912</v>
      </c>
      <c r="U41">
        <f si="1" t="shared"/>
        <v>135571.83937940377</v>
      </c>
    </row>
    <row r="42" spans="1:21" x14ac:dyDescent="0.25">
      <c r="A42" s="12">
        <v>0.8125</v>
      </c>
      <c r="B42" s="6" t="n">
        <v>50091.038461378936</v>
      </c>
      <c r="C42" s="6" t="n">
        <v>11455.451720870155</v>
      </c>
      <c r="D42" s="6" t="n">
        <v>11229.559500502044</v>
      </c>
      <c r="E42" s="6" t="n">
        <v>26064.737528548627</v>
      </c>
      <c r="F42" s="6" t="n">
        <v>3478.2497003372077</v>
      </c>
      <c r="G42" s="6" t="n">
        <v>1551.8462203785411</v>
      </c>
      <c r="H42" s="6" t="n">
        <v>21718.338517748474</v>
      </c>
      <c r="I42" s="6" t="n">
        <v>9176.135659813286</v>
      </c>
      <c r="J42" s="6">
        <f si="0" t="shared"/>
        <v>134765.35730957729</v>
      </c>
      <c r="L42" s="12">
        <v>0.8125</v>
      </c>
      <c r="M42" s="9" t="n">
        <v>60656.58817100525</v>
      </c>
      <c r="N42" s="9" t="n">
        <v>14612.9089345932</v>
      </c>
      <c r="O42" s="9" t="n">
        <v>13342.854187965393</v>
      </c>
      <c r="P42" s="9" t="n">
        <v>19407.85884475708</v>
      </c>
      <c r="Q42" s="9" t="n">
        <v>3926.425168991089</v>
      </c>
      <c r="R42" s="9" t="n">
        <v>2309.847864151001</v>
      </c>
      <c r="S42" s="9" t="n">
        <v>18305.579224586487</v>
      </c>
      <c r="T42" s="9" t="n">
        <v>11718.217135429382</v>
      </c>
      <c r="U42">
        <f si="1" t="shared"/>
        <v>133065.57894154475</v>
      </c>
    </row>
    <row r="43" spans="1:21" x14ac:dyDescent="0.25">
      <c r="A43" s="12">
        <v>0.83333333333333337</v>
      </c>
      <c r="B43" s="6" t="n">
        <v>48233.81795542179</v>
      </c>
      <c r="C43" s="6" t="n">
        <v>10611.024292922217</v>
      </c>
      <c r="D43" s="6" t="n">
        <v>10669.225421731835</v>
      </c>
      <c r="E43" s="6" t="n">
        <v>23826.575379759845</v>
      </c>
      <c r="F43" s="6" t="n">
        <v>3370.096891403262</v>
      </c>
      <c r="G43" s="6" t="n">
        <v>1817.1618686110035</v>
      </c>
      <c r="H43" s="6" t="n">
        <v>19510.47089156878</v>
      </c>
      <c r="I43" s="6" t="n">
        <v>7358.208190966249</v>
      </c>
      <c r="J43" s="6">
        <f si="0" t="shared"/>
        <v>125396.58089238498</v>
      </c>
      <c r="L43" s="12">
        <v>0.83333333333333337</v>
      </c>
      <c r="M43" s="9" t="n">
        <v>59777.87821674347</v>
      </c>
      <c r="N43" s="9" t="n">
        <v>13607.086572647095</v>
      </c>
      <c r="O43" s="9" t="n">
        <v>11736.936831474304</v>
      </c>
      <c r="P43" s="9" t="n">
        <v>17394.841994285583</v>
      </c>
      <c r="Q43" s="9" t="n">
        <v>3957.593020439148</v>
      </c>
      <c r="R43" s="9" t="n">
        <v>2181.5102109909058</v>
      </c>
      <c r="S43" s="9" t="n">
        <v>16933.495183944702</v>
      </c>
      <c r="T43" s="9" t="n">
        <v>10620.324390411377</v>
      </c>
      <c r="U43">
        <f si="1" t="shared"/>
        <v>125194.84202674939</v>
      </c>
    </row>
    <row r="44" spans="1:21" x14ac:dyDescent="0.25">
      <c r="A44" s="12">
        <v>0.85416666666666663</v>
      </c>
      <c r="B44" s="6" t="n">
        <v>43683.70699822178</v>
      </c>
      <c r="C44" s="6" t="n">
        <v>9466.060229091543</v>
      </c>
      <c r="D44" s="6" t="n">
        <v>9653.572962881626</v>
      </c>
      <c r="E44" s="6" t="n">
        <v>21167.952950741732</v>
      </c>
      <c r="F44" s="6" t="n">
        <v>3055.7339719855454</v>
      </c>
      <c r="G44" s="6" t="n">
        <v>2001.784565487695</v>
      </c>
      <c r="H44" s="6" t="n">
        <v>15777.022932721855</v>
      </c>
      <c r="I44" s="6" t="n">
        <v>5434.179674382925</v>
      </c>
      <c r="J44" s="6">
        <f si="0" t="shared"/>
        <v>110240.01428551471</v>
      </c>
      <c r="L44" s="12">
        <v>0.85416666666666663</v>
      </c>
      <c r="M44" s="9" t="n">
        <v>55890.951541900635</v>
      </c>
      <c r="N44" s="9" t="n">
        <v>12112.24691581726</v>
      </c>
      <c r="O44" s="9" t="n">
        <v>9885.46356678009</v>
      </c>
      <c r="P44" s="9" t="n">
        <v>14947.039960861206</v>
      </c>
      <c r="Q44" s="9" t="n">
        <v>3820.8505487442017</v>
      </c>
      <c r="R44" s="9" t="n">
        <v>1963.6802606582642</v>
      </c>
      <c r="S44" s="9" t="n">
        <v>14931.050721168518</v>
      </c>
      <c r="T44" s="9" t="n">
        <v>9230.21357345581</v>
      </c>
      <c r="U44">
        <f si="1" t="shared"/>
        <v>112536.33177627673</v>
      </c>
    </row>
    <row r="45" spans="1:21" x14ac:dyDescent="0.25">
      <c r="A45" s="12">
        <v>0.875</v>
      </c>
      <c r="B45" s="6" t="n">
        <v>36974.130077609494</v>
      </c>
      <c r="C45" s="6" t="n">
        <v>8179.631337445538</v>
      </c>
      <c r="D45" s="6" t="n">
        <v>8174.643154372163</v>
      </c>
      <c r="E45" s="6" t="n">
        <v>18199.60287901928</v>
      </c>
      <c r="F45" s="6" t="n">
        <v>2605.6532973693265</v>
      </c>
      <c r="G45" s="6" t="n">
        <v>1992.6360812843814</v>
      </c>
      <c r="H45" s="6" t="n">
        <v>11520.989925185444</v>
      </c>
      <c r="I45" s="6" t="n">
        <v>3725.740073922634</v>
      </c>
      <c r="J45" s="6">
        <f si="0" t="shared"/>
        <v>91373.026826208239</v>
      </c>
      <c r="L45" s="12">
        <v>0.875</v>
      </c>
      <c r="M45" s="9" t="n">
        <v>49807.60824584961</v>
      </c>
      <c r="N45" s="9" t="n">
        <v>10336.583135604858</v>
      </c>
      <c r="O45" s="9" t="n">
        <v>7986.801985740662</v>
      </c>
      <c r="P45" s="9" t="n">
        <v>12337.850812911987</v>
      </c>
      <c r="Q45" s="9" t="n">
        <v>3555.1786499023438</v>
      </c>
      <c r="R45" s="9" t="n">
        <v>1695.992714881897</v>
      </c>
      <c r="S45" s="9" t="n">
        <v>12610.094723701477</v>
      </c>
      <c r="T45" s="9" t="n">
        <v>7714.042235374451</v>
      </c>
      <c r="U45">
        <f si="1" t="shared"/>
        <v>96975.028200618704</v>
      </c>
    </row>
    <row r="46" spans="1:21" x14ac:dyDescent="0.25">
      <c r="A46" s="12">
        <v>0.89583333333333337</v>
      </c>
      <c r="B46" s="6" t="n">
        <v>29165.898961070212</v>
      </c>
      <c r="C46" s="6" t="n">
        <v>6901.560514649029</v>
      </c>
      <c r="D46" s="6" t="n">
        <v>6404.213688506921</v>
      </c>
      <c r="E46" s="6" t="n">
        <v>15002.088836286965</v>
      </c>
      <c r="F46" s="6" t="n">
        <v>2113.0716231737224</v>
      </c>
      <c r="G46" s="6" t="n">
        <v>1755.050206303481</v>
      </c>
      <c r="H46" s="6" t="n">
        <v>7666.652372941256</v>
      </c>
      <c r="I46" s="6" t="n">
        <v>2412.308691026926</v>
      </c>
      <c r="J46" s="6">
        <f si="0" t="shared"/>
        <v>71420.844893958507</v>
      </c>
      <c r="L46" s="12">
        <v>0.89583333333333337</v>
      </c>
      <c r="M46" s="9" t="n">
        <v>42635.82545375824</v>
      </c>
      <c r="N46" s="9" t="n">
        <v>8521.345846176147</v>
      </c>
      <c r="O46" s="9" t="n">
        <v>6242.389267921448</v>
      </c>
      <c r="P46" s="9" t="n">
        <v>9858.203213691711</v>
      </c>
      <c r="Q46" s="9" t="n">
        <v>3214.0031785964966</v>
      </c>
      <c r="R46" s="9" t="n">
        <v>1420.03795337677</v>
      </c>
      <c r="S46" s="9" t="n">
        <v>10296.099250793457</v>
      </c>
      <c r="T46" s="9" t="n">
        <v>6256.104795455933</v>
      </c>
      <c r="U46">
        <f si="1" t="shared"/>
        <v>80747.419194449496</v>
      </c>
    </row>
    <row r="47" spans="1:21" x14ac:dyDescent="0.25">
      <c r="A47" s="12">
        <v>0.91666666666666663</v>
      </c>
      <c r="B47" s="6" t="n">
        <v>21505.559506274654</v>
      </c>
      <c r="C47" s="6" t="n">
        <v>5708.403803528128</v>
      </c>
      <c r="D47" s="6" t="n">
        <v>4615.053025935285</v>
      </c>
      <c r="E47" s="6" t="n">
        <v>11665.611825241791</v>
      </c>
      <c r="F47" s="6" t="n">
        <v>1648.7542123061085</v>
      </c>
      <c r="G47" s="6" t="n">
        <v>1355.2252582940187</v>
      </c>
      <c r="H47" s="6" t="n">
        <v>4712.178245148301</v>
      </c>
      <c r="I47" s="6" t="n">
        <v>1500.3951578631402</v>
      </c>
      <c r="J47" s="6">
        <f si="0" t="shared"/>
        <v>52711.181034591427</v>
      </c>
      <c r="L47" s="12">
        <v>0.91666666666666663</v>
      </c>
      <c r="M47" s="9" t="n">
        <v>35271.48959541321</v>
      </c>
      <c r="N47" s="9" t="n">
        <v>6833.2790241241455</v>
      </c>
      <c r="O47" s="9" t="n">
        <v>4767.891899108887</v>
      </c>
      <c r="P47" s="9" t="n">
        <v>7688.2362632751465</v>
      </c>
      <c r="Q47" s="9" t="n">
        <v>2832.1351747512817</v>
      </c>
      <c r="R47" s="9" t="n">
        <v>1161.75883102417</v>
      </c>
      <c r="S47" s="9" t="n">
        <v>8196.362707138062</v>
      </c>
      <c r="T47" s="9" t="n">
        <v>4969.312613487244</v>
      </c>
      <c r="U47">
        <f si="1" t="shared"/>
        <v>65421.685672652864</v>
      </c>
    </row>
    <row r="48" spans="1:21" x14ac:dyDescent="0.25">
      <c r="A48" s="12">
        <v>0.9375</v>
      </c>
      <c r="B48" s="6" t="n">
        <v>14951.366366612154</v>
      </c>
      <c r="C48" s="6" t="n">
        <v>4598.867889124086</v>
      </c>
      <c r="D48" s="6" t="n">
        <v>3055.0305264332446</v>
      </c>
      <c r="E48" s="6" t="n">
        <v>8387.351906856136</v>
      </c>
      <c r="F48" s="6" t="n">
        <v>1242.1707006958277</v>
      </c>
      <c r="G48" s="6" t="n">
        <v>914.1080287738505</v>
      </c>
      <c r="H48" s="6" t="n">
        <v>2711.248367669344</v>
      </c>
      <c r="I48" s="6" t="n">
        <v>899.2248760471344</v>
      </c>
      <c r="J48" s="6">
        <f si="0" t="shared"/>
        <v>36759.368662211775</v>
      </c>
      <c r="L48" s="12">
        <v>0.9375</v>
      </c>
      <c r="M48" s="9" t="n">
        <v>28155.874789237976</v>
      </c>
      <c r="N48" s="9" t="n">
        <v>5326.1622495651245</v>
      </c>
      <c r="O48" s="9" t="n">
        <v>3570.0967226028442</v>
      </c>
      <c r="P48" s="9" t="n">
        <v>5858.84459400177</v>
      </c>
      <c r="Q48" s="9" t="n">
        <v>2413.9773712158203</v>
      </c>
      <c r="R48" s="9" t="n">
        <v>926.7294855117798</v>
      </c>
      <c r="S48" s="9" t="n">
        <v>6361.8945388793945</v>
      </c>
      <c r="T48" s="9" t="n">
        <v>3867.517924308777</v>
      </c>
      <c r="U48">
        <f si="1" t="shared"/>
        <v>51514.813054933038</v>
      </c>
    </row>
    <row r="49" spans="1:21" x14ac:dyDescent="0.25">
      <c r="A49" s="12">
        <v>0.95833333333333337</v>
      </c>
      <c r="B49" s="6" t="n">
        <v>9896.572959786088</v>
      </c>
      <c r="C49" s="6" t="n">
        <v>3541.214485926834</v>
      </c>
      <c r="D49" s="6" t="n">
        <v>1859.6207926199654</v>
      </c>
      <c r="E49" s="6" t="n">
        <v>5472.480308320097</v>
      </c>
      <c r="F49" s="6" t="n">
        <v>893.8547048907938</v>
      </c>
      <c r="G49" s="6" t="n">
        <v>537.345276171896</v>
      </c>
      <c r="H49" s="6" t="n">
        <v>1468.819198110819</v>
      </c>
      <c r="I49" s="6" t="n">
        <v>509.92970970773695</v>
      </c>
      <c r="J49" s="6">
        <f si="0" t="shared"/>
        <v>24179.837435534224</v>
      </c>
      <c r="L49" s="12">
        <v>0.95833333333333337</v>
      </c>
      <c r="M49" s="9" t="n">
        <v>21421.345797538757</v>
      </c>
      <c r="N49" s="9" t="n">
        <v>3984.680640220642</v>
      </c>
      <c r="O49" s="9" t="n">
        <v>2592.890073776245</v>
      </c>
      <c r="P49" s="9" t="n">
        <v>4312.340592384338</v>
      </c>
      <c r="Q49" s="9" t="n">
        <v>1952.7285480499268</v>
      </c>
      <c r="R49" s="9" t="n">
        <v>709.7792892456055</v>
      </c>
      <c r="S49" s="9" t="n">
        <v>4753.15690612793</v>
      </c>
      <c r="T49" s="9" t="n">
        <v>2908.5604095458984</v>
      </c>
      <c r="U49">
        <f si="1" t="shared"/>
        <v>38904.686692252064</v>
      </c>
    </row>
    <row r="50" spans="1:21" x14ac:dyDescent="0.25">
      <c r="A50" s="12">
        <v>0.97916666666666663</v>
      </c>
      <c r="B50" s="6" t="n">
        <v>6251.327755456365</v>
      </c>
      <c r="C50" s="6" t="n">
        <v>2534.9830238317654</v>
      </c>
      <c r="D50" s="6" t="n">
        <v>1042.1513420036006</v>
      </c>
      <c r="E50" s="6" t="n">
        <v>3197.213899851988</v>
      </c>
      <c r="F50" s="6" t="n">
        <v>599.8787686801243</v>
      </c>
      <c r="G50" s="6" t="n">
        <v>274.23756482018354</v>
      </c>
      <c r="H50" s="6" t="n">
        <v>743.2445598378181</v>
      </c>
      <c r="I50" s="6" t="n">
        <v>264.8476111963987</v>
      </c>
      <c r="J50" s="6">
        <f si="0" t="shared"/>
        <v>14907.884525678244</v>
      </c>
      <c r="L50" s="12">
        <v>0.97916666666666663</v>
      </c>
      <c r="M50" s="9" t="n">
        <v>15209.109637260437</v>
      </c>
      <c r="N50" s="9" t="n">
        <v>2797.8938484191895</v>
      </c>
      <c r="O50" s="9" t="n">
        <v>1784.086347579956</v>
      </c>
      <c r="P50" s="9" t="n">
        <v>2996.065097808838</v>
      </c>
      <c r="Q50" s="9" t="n">
        <v>1461.6139764785767</v>
      </c>
      <c r="R50" s="9" t="n">
        <v>509.0818738937378</v>
      </c>
      <c r="S50" s="9" t="n">
        <v>3339.101185798645</v>
      </c>
      <c r="T50" s="9" t="n">
        <v>2060.784670829773</v>
      </c>
      <c r="U50">
        <f si="1" t="shared"/>
        <v>27540.111912154691</v>
      </c>
    </row>
    <row r="51" spans="1:21" x14ac:dyDescent="0.25">
      <c r="A51" s="12">
        <v>1</v>
      </c>
      <c r="B51" s="6" t="n">
        <v>3724.5291025365686</v>
      </c>
      <c r="C51" s="6" t="n">
        <v>1636.6366043741828</v>
      </c>
      <c r="D51" s="6" t="n">
        <v>537.4737257681523</v>
      </c>
      <c r="E51" s="6" t="n">
        <v>1661.8308237906444</v>
      </c>
      <c r="F51" s="6" t="n">
        <v>364.6404241187777</v>
      </c>
      <c r="G51" s="6" t="n">
        <v>120.58047850286627</v>
      </c>
      <c r="H51" s="6" t="n">
        <v>344.01226429641247</v>
      </c>
      <c r="I51" s="6" t="n">
        <v>121.68607252192497</v>
      </c>
      <c r="J51" s="6">
        <f si="0" t="shared"/>
        <v>8511.3894959095287</v>
      </c>
      <c r="L51" s="12">
        <v>1</v>
      </c>
      <c r="M51" s="9" t="n">
        <v>9829.818945884705</v>
      </c>
      <c r="N51" s="9" t="n">
        <v>1795.552170753479</v>
      </c>
      <c r="O51" s="9" t="n">
        <v>1129.3801536560059</v>
      </c>
      <c r="P51" s="9" t="n">
        <v>1910.436134338379</v>
      </c>
      <c r="Q51" s="9" t="n">
        <v>986.2973928451538</v>
      </c>
      <c r="R51" s="9" t="n">
        <v>332.5477485656738</v>
      </c>
      <c r="S51" s="9" t="n">
        <v>2145.4866886138916</v>
      </c>
      <c r="T51" s="9" t="n">
        <v>1335.888874053955</v>
      </c>
      <c r="U51">
        <f si="1" t="shared"/>
        <v>17791.164479866216</v>
      </c>
    </row>
    <row r="52" spans="1:21" x14ac:dyDescent="0.25">
      <c r="A52" s="12">
        <v>1.0208333333333333</v>
      </c>
      <c r="B52" s="6" t="n">
        <v>2042.0906451711191</v>
      </c>
      <c r="C52" s="6" t="n">
        <v>926.217792994749</v>
      </c>
      <c r="D52" s="6" t="n">
        <v>254.23705484150938</v>
      </c>
      <c r="E52" s="6" t="n">
        <v>768.3847033683833</v>
      </c>
      <c r="F52" s="6" t="n">
        <v>195.20573993049942</v>
      </c>
      <c r="G52" s="6" t="n">
        <v>45.06001695592886</v>
      </c>
      <c r="H52" s="6" t="n">
        <v>141.82523327100276</v>
      </c>
      <c r="I52" s="6" t="n">
        <v>47.954711225271225</v>
      </c>
      <c r="J52" s="6">
        <f si="0" t="shared"/>
        <v>4420.9758977584634</v>
      </c>
      <c r="L52" s="12">
        <v>1.0208333333333333</v>
      </c>
      <c r="M52" s="9" t="n">
        <v>5641.54016494751</v>
      </c>
      <c r="N52" s="9" t="n">
        <v>1025.9198923110962</v>
      </c>
      <c r="O52" s="9" t="n">
        <v>639.0645360946655</v>
      </c>
      <c r="P52" s="9" t="n">
        <v>1087.397029876709</v>
      </c>
      <c r="Q52" s="9" t="n">
        <v>585.8237504959106</v>
      </c>
      <c r="R52" s="9" t="n">
        <v>192.69458866119385</v>
      </c>
      <c r="S52" s="9" t="n">
        <v>1227.3593168258667</v>
      </c>
      <c r="T52" s="9" t="n">
        <v>770.5271739959717</v>
      </c>
      <c r="U52">
        <f si="1" t="shared"/>
        <v>10217.89344893307</v>
      </c>
    </row>
    <row r="53" spans="1:21" x14ac:dyDescent="0.25">
      <c r="A53" s="12">
        <v>4.1666666666666664E-2</v>
      </c>
      <c r="B53" s="6" t="n">
        <v>998.882242222288</v>
      </c>
      <c r="C53" s="6" t="n">
        <v>447.8492607182626</v>
      </c>
      <c r="D53" s="6" t="n">
        <v>109.4765410207309</v>
      </c>
      <c r="E53" s="6" t="n">
        <v>316.9607748101119</v>
      </c>
      <c r="F53" s="6" t="n">
        <v>89.79714874028606</v>
      </c>
      <c r="G53" s="6" t="n">
        <v>14.008931676857483</v>
      </c>
      <c r="H53" s="6" t="n">
        <v>50.80385481727123</v>
      </c>
      <c r="I53" s="6" t="n">
        <v>15.758797005295756</v>
      </c>
      <c r="J53" s="6">
        <f si="0" t="shared"/>
        <v>2043.5375510111037</v>
      </c>
      <c r="L53" s="12">
        <v>4.1666666666666664E-2</v>
      </c>
      <c r="M53" s="9" t="n">
        <v>2807.9566287994385</v>
      </c>
      <c r="N53" s="9" t="n">
        <v>509.2230978012085</v>
      </c>
      <c r="O53" s="9" t="n">
        <v>314.8676519393921</v>
      </c>
      <c r="P53" s="9" t="n">
        <v>538.4430274963379</v>
      </c>
      <c r="Q53" s="9" t="n">
        <v>299.5969877243042</v>
      </c>
      <c r="R53" s="9" t="n">
        <v>96.6832685470581</v>
      </c>
      <c r="S53" s="9" t="n">
        <v>609.7489376068115</v>
      </c>
      <c r="T53" s="9" t="n">
        <v>385.5926704406738</v>
      </c>
      <c r="U53">
        <f si="1" t="shared"/>
        <v>5091.4843808878031</v>
      </c>
    </row>
    <row r="54" spans="1:21" x14ac:dyDescent="0.25">
      <c r="A54" s="12">
        <v>6.25E-2</v>
      </c>
      <c r="B54" s="6" t="n">
        <v>422.19622128412425</v>
      </c>
      <c r="C54" s="6" t="n">
        <v>180.5919343759885</v>
      </c>
      <c r="D54" s="6" t="n">
        <v>42.36590543455135</v>
      </c>
      <c r="E54" s="6" t="n">
        <v>116.562685540694</v>
      </c>
      <c r="F54" s="6" t="n">
        <v>34.711972346584</v>
      </c>
      <c r="G54" s="6" t="n">
        <v>3.512037698813992</v>
      </c>
      <c r="H54" s="6" t="n">
        <v>15.516236245393753</v>
      </c>
      <c r="I54" s="6" t="n">
        <v>4.188655927538873</v>
      </c>
      <c r="J54" s="6">
        <f si="0" t="shared"/>
        <v>819.64564885368884</v>
      </c>
      <c r="L54" s="12">
        <v>6.25E-2</v>
      </c>
      <c r="M54" s="9" t="n">
        <v>1183.9285526275635</v>
      </c>
      <c r="N54" s="9" t="n">
        <v>214.36143493652344</v>
      </c>
      <c r="O54" s="9" t="n">
        <v>131.7582492828369</v>
      </c>
      <c r="P54" s="9" t="n">
        <v>226.27547073364258</v>
      </c>
      <c r="Q54" s="9" t="n">
        <v>129.06934452056885</v>
      </c>
      <c r="R54" s="9" t="n">
        <v>41.03284740447998</v>
      </c>
      <c r="S54" s="9" t="n">
        <v>256.80090618133545</v>
      </c>
      <c r="T54" s="9" t="n">
        <v>163.42642211914062</v>
      </c>
      <c r="U54">
        <f si="1" t="shared"/>
        <v>2149.3518551402876</v>
      </c>
    </row>
    <row r="55" spans="1:21" x14ac:dyDescent="0.25">
      <c r="A55" s="12">
        <v>8.3333333333333329E-2</v>
      </c>
      <c r="B55" s="6" t="n">
        <v>149.35334806306622</v>
      </c>
      <c r="C55" s="6" t="n">
        <v>59.197278716561314</v>
      </c>
      <c r="D55" s="6" t="n">
        <v>14.45091995805969</v>
      </c>
      <c r="E55" s="6" t="n">
        <v>37.74563325594853</v>
      </c>
      <c r="F55" s="6" t="n">
        <v>11.022352570658775</v>
      </c>
      <c r="G55" s="6" t="n">
        <v>0.6785502932165424</v>
      </c>
      <c r="H55" s="6" t="n">
        <v>3.992462234616279</v>
      </c>
      <c r="I55" s="6" t="n">
        <v>0.864906876087189</v>
      </c>
      <c r="J55" s="6">
        <f si="0" t="shared"/>
        <v>277.30545196821447</v>
      </c>
      <c r="L55" s="12">
        <v>8.3333333333333329E-2</v>
      </c>
      <c r="M55" s="9" t="n">
        <v>412.1870918273926</v>
      </c>
      <c r="N55" s="9" t="n">
        <v>74.57281303405762</v>
      </c>
      <c r="O55" s="9" t="n">
        <v>45.611976623535156</v>
      </c>
      <c r="P55" s="9" t="n">
        <v>78.60634326934814</v>
      </c>
      <c r="Q55" s="9" t="n">
        <v>45.719858169555664</v>
      </c>
      <c r="R55" s="9" t="n">
        <v>14.362259864807129</v>
      </c>
      <c r="S55" s="9" t="n">
        <v>89.34797763824463</v>
      </c>
      <c r="T55" s="9" t="n">
        <v>57.17292404174805</v>
      </c>
      <c r="U55">
        <f si="1" t="shared"/>
        <v>749.17922347477293</v>
      </c>
    </row>
    <row r="56" spans="1:21" x14ac:dyDescent="0.25">
      <c r="A56" s="12">
        <v>0.10416666666666667</v>
      </c>
      <c r="B56" s="6" t="n">
        <v>42.705295873330144</v>
      </c>
      <c r="C56" s="6" t="n">
        <v>15.292783422225174</v>
      </c>
      <c r="D56" s="6" t="n">
        <v>4.227448420619014</v>
      </c>
      <c r="E56" s="6" t="n">
        <v>10.452574442187434</v>
      </c>
      <c r="F56" s="6" t="n">
        <v>2.799376180727294</v>
      </c>
      <c r="G56" s="6" t="n">
        <v>0.09424293410778048</v>
      </c>
      <c r="H56" s="6" t="n">
        <v>0.8589751352071762</v>
      </c>
      <c r="I56" s="6" t="n">
        <v>0.1302623763084412</v>
      </c>
      <c r="J56" s="6">
        <f si="0" t="shared"/>
        <v>76.56095878471244</v>
      </c>
      <c r="L56" s="12">
        <v>0.10416666666666667</v>
      </c>
      <c r="M56" s="9" t="n">
        <v>114.84582233428955</v>
      </c>
      <c r="N56" s="9" t="n">
        <v>20.774889945983887</v>
      </c>
      <c r="O56" s="9" t="n">
        <v>12.655862808227539</v>
      </c>
      <c r="P56" s="9" t="n">
        <v>21.8695011138916</v>
      </c>
      <c r="Q56" s="9" t="n">
        <v>12.919855117797852</v>
      </c>
      <c r="R56" s="9" t="n">
        <v>4.019534111022949</v>
      </c>
      <c r="S56" s="9" t="n">
        <v>24.88798236846924</v>
      </c>
      <c r="T56" s="9" t="n">
        <v>16.00143814086914</v>
      </c>
      <c r="U56">
        <f si="1" t="shared"/>
        <v>208.96844999681363</v>
      </c>
    </row>
    <row r="57" spans="1:21" x14ac:dyDescent="0.25">
      <c r="A57" s="12">
        <v>0.125</v>
      </c>
      <c r="B57" s="6" t="n">
        <v>9.298724445677475</v>
      </c>
      <c r="C57" s="6" t="n">
        <v>2.9497144359124503</v>
      </c>
      <c r="D57" s="6" t="n">
        <v>0.9979524848221097</v>
      </c>
      <c r="E57" s="6" t="n">
        <v>2.3177421067967625</v>
      </c>
      <c r="F57" s="6" t="n">
        <v>0.5416879250106036</v>
      </c>
      <c r="G57" s="6" t="n">
        <v>0.008320667266845704</v>
      </c>
      <c r="H57" s="6" t="n">
        <v>0.15038446485996246</v>
      </c>
      <c r="I57" s="6" t="n">
        <v>0.01273629713058472</v>
      </c>
      <c r="J57" s="6">
        <f si="0" t="shared"/>
        <v>16.277262827476793</v>
      </c>
      <c r="L57" s="12">
        <v>0.125</v>
      </c>
      <c r="M57" s="9" t="n">
        <v>24.18678855895996</v>
      </c>
      <c r="N57" s="9" t="n">
        <v>4.376613616943359</v>
      </c>
      <c r="O57" s="9" t="n">
        <v>2.6578235626220703</v>
      </c>
      <c r="P57" s="9" t="n">
        <v>4.601219177246094</v>
      </c>
      <c r="Q57" s="9" t="n">
        <v>2.752328872680664</v>
      </c>
      <c r="R57" s="9" t="n">
        <v>0.8496799468994141</v>
      </c>
      <c r="S57" s="9" t="n">
        <v>5.241771697998047</v>
      </c>
      <c r="T57" s="9" t="n">
        <v>3.38375186920166</v>
      </c>
      <c r="U57">
        <f si="1" t="shared"/>
        <v>44.052449375775275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Z58"/>
  <sheetViews>
    <sheetView workbookViewId="0">
      <selection activeCell="U1" sqref="U1:U1048576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16.0</v>
      </c>
      <c r="N8" s="9" t="n">
        <v>13.0</v>
      </c>
      <c r="O8" s="9" t="n">
        <v>0.0</v>
      </c>
      <c r="P8" s="9" t="n">
        <v>0.0</v>
      </c>
      <c r="Q8" s="9" t="n">
        <v>29.0</v>
      </c>
      <c r="R8" s="9" t="n">
        <v>0.0</v>
      </c>
      <c r="S8" s="9" t="n">
        <v>0.0</v>
      </c>
      <c r="T8" s="9" t="n">
        <v>0.0</v>
      </c>
      <c r="U8">
        <f>SUM(M8:T8)</f>
        <v>52.868358307829197</v>
      </c>
      <c r="W8" s="5"/>
      <c r="X8" s="16"/>
      <c r="Y8" s="16"/>
      <c r="Z8" s="5"/>
    </row>
    <row r="9" spans="1:26" x14ac:dyDescent="0.25">
      <c r="A9" s="12">
        <v>0.125</v>
      </c>
      <c r="B9" s="6" t="n">
        <v>0.3093536923081639</v>
      </c>
      <c r="C9" s="6" t="n">
        <v>3.033847600404742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3.343201292712906</v>
      </c>
      <c r="L9" s="12">
        <v>0.125</v>
      </c>
      <c r="M9" s="9" t="n">
        <v>29.10413932800293</v>
      </c>
      <c r="N9" s="9" t="n">
        <v>9.606128692626953</v>
      </c>
      <c r="O9" s="9" t="n">
        <v>0.0</v>
      </c>
      <c r="P9" s="9" t="n">
        <v>0.0</v>
      </c>
      <c r="Q9" s="9" t="n">
        <v>19.878494262695312</v>
      </c>
      <c r="R9" s="9" t="n">
        <v>2.002716064453125E-5</v>
      </c>
      <c r="S9" s="9" t="n">
        <v>0.0055084228515625</v>
      </c>
      <c r="T9" s="9" t="n">
        <v>0.0</v>
      </c>
      <c r="U9">
        <f ref="U9:U58" si="1" t="shared">SUM(M9:T9)</f>
        <v>130.64374958380455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1.4483939005265405</v>
      </c>
      <c r="C10" s="6" t="n">
        <v>7.005372966423005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8.4537668669495449</v>
      </c>
      <c r="L10" s="12">
        <v>0.14583333333333334</v>
      </c>
      <c r="M10" s="9" t="n">
        <v>52.001776695251465</v>
      </c>
      <c r="N10" s="9" t="n">
        <v>7.584616661071777</v>
      </c>
      <c r="O10" s="9" t="n">
        <v>0.0</v>
      </c>
      <c r="P10" s="9" t="n">
        <v>0.0</v>
      </c>
      <c r="Q10" s="9" t="n">
        <v>12.620739936828613</v>
      </c>
      <c r="R10" s="9" t="n">
        <v>2.040863037109375E-4</v>
      </c>
      <c r="S10" s="9" t="n">
        <v>0.0194091796875</v>
      </c>
      <c r="T10" s="9" t="n">
        <v>0.0</v>
      </c>
      <c r="U10">
        <f si="1" t="shared"/>
        <v>183.24199147604645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5.252119533181551</v>
      </c>
      <c r="C11" s="6" t="n">
        <v>12.258269132064173</v>
      </c>
      <c r="D11" s="6" t="n">
        <v>0.0</v>
      </c>
      <c r="E11" s="6" t="n">
        <v>0.0</v>
      </c>
      <c r="F11" s="6" t="n">
        <v>1.1211168662452698E-4</v>
      </c>
      <c r="G11" s="6" t="n">
        <v>0.0</v>
      </c>
      <c r="H11" s="6" t="n">
        <v>0.0</v>
      </c>
      <c r="I11" s="6" t="n">
        <v>0.0</v>
      </c>
      <c r="J11" s="6">
        <f si="0" t="shared"/>
        <v>17.51050077693235</v>
      </c>
      <c r="L11" s="12">
        <v>0.16666666666666666</v>
      </c>
      <c r="M11" s="9" t="n">
        <v>94.44579982757568</v>
      </c>
      <c r="N11" s="9" t="n">
        <v>8.05799388885498</v>
      </c>
      <c r="O11" s="9" t="n">
        <v>0.0</v>
      </c>
      <c r="P11" s="9" t="n">
        <v>0.0</v>
      </c>
      <c r="Q11" s="9" t="n">
        <v>8.341676712036133</v>
      </c>
      <c r="R11" s="9" t="n">
        <v>0.0013456344604492188</v>
      </c>
      <c r="S11" s="9" t="n">
        <v>0.05200958251953125</v>
      </c>
      <c r="T11" s="9" t="n">
        <v>0.0</v>
      </c>
      <c r="U11">
        <f si="1" t="shared"/>
        <v>210.29800912006962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15.791101723814442</v>
      </c>
      <c r="C12" s="6" t="n">
        <v>18.586568723908215</v>
      </c>
      <c r="D12" s="6" t="n">
        <v>0.0</v>
      </c>
      <c r="E12" s="6" t="n">
        <v>0.0</v>
      </c>
      <c r="F12" s="6" t="n">
        <v>0.0022422337324905397</v>
      </c>
      <c r="G12" s="6" t="n">
        <v>0.0</v>
      </c>
      <c r="H12" s="6" t="n">
        <v>0.0</v>
      </c>
      <c r="I12" s="6" t="n">
        <v>0.0</v>
      </c>
      <c r="J12" s="6">
        <f si="0" t="shared"/>
        <v>34.379912681455146</v>
      </c>
      <c r="L12" s="12">
        <v>0.1875</v>
      </c>
      <c r="M12" s="9" t="n">
        <v>164.71225261688232</v>
      </c>
      <c r="N12" s="9" t="n">
        <v>11.766398429870605</v>
      </c>
      <c r="O12" s="9" t="n">
        <v>0.0</v>
      </c>
      <c r="P12" s="9" t="n">
        <v>0.0</v>
      </c>
      <c r="Q12" s="9" t="n">
        <v>7.196897506713867</v>
      </c>
      <c r="R12" s="9" t="n">
        <v>0.0064525604248046875</v>
      </c>
      <c r="S12" s="9" t="n">
        <v>0.11276912689208984</v>
      </c>
      <c r="T12" s="9" t="n">
        <v>0.0</v>
      </c>
      <c r="U12">
        <f si="1" t="shared"/>
        <v>236.50047726130393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40.92288436148369</v>
      </c>
      <c r="C13" s="6" t="n">
        <v>25.862954530135056</v>
      </c>
      <c r="D13" s="6" t="n">
        <v>0.0</v>
      </c>
      <c r="E13" s="6" t="n">
        <v>0.0</v>
      </c>
      <c r="F13" s="6" t="n">
        <v>0.021301220458660123</v>
      </c>
      <c r="G13" s="6" t="n">
        <v>0.0</v>
      </c>
      <c r="H13" s="6" t="n">
        <v>0.0</v>
      </c>
      <c r="I13" s="6" t="n">
        <v>0.0</v>
      </c>
      <c r="J13" s="6">
        <f si="0" t="shared"/>
        <v>66.807140112077391</v>
      </c>
      <c r="L13" s="12">
        <v>0.20833333333333334</v>
      </c>
      <c r="M13" s="9" t="n">
        <v>267.30869579315186</v>
      </c>
      <c r="N13" s="9" t="n">
        <v>19.094303131103516</v>
      </c>
      <c r="O13" s="9" t="n">
        <v>0.0</v>
      </c>
      <c r="P13" s="9" t="n">
        <v>0.0</v>
      </c>
      <c r="Q13" s="9" t="n">
        <v>8.780433654785156</v>
      </c>
      <c r="R13" s="9" t="n">
        <v>0.023960113525390625</v>
      </c>
      <c r="S13" s="9" t="n">
        <v>0.2037200927734375</v>
      </c>
      <c r="T13" s="9" t="n">
        <v>0.0</v>
      </c>
      <c r="U13">
        <f si="1" t="shared"/>
        <v>290.93897428113115</v>
      </c>
    </row>
    <row r="14" spans="1:26" x14ac:dyDescent="0.25">
      <c r="A14" s="12">
        <v>0.22916666666666666</v>
      </c>
      <c r="B14" s="6" t="n">
        <v>93.91877592270131</v>
      </c>
      <c r="C14" s="6" t="n">
        <v>34.3317100720512</v>
      </c>
      <c r="D14" s="6" t="n">
        <v>0.0</v>
      </c>
      <c r="E14" s="6" t="n">
        <v>0.0</v>
      </c>
      <c r="F14" s="6" t="n">
        <v>0.1278792007334645</v>
      </c>
      <c r="G14" s="6" t="n">
        <v>0.0</v>
      </c>
      <c r="H14" s="6" t="n">
        <v>0.0</v>
      </c>
      <c r="I14" s="6" t="n">
        <v>0.0</v>
      </c>
      <c r="J14" s="6">
        <f si="0" t="shared"/>
        <v>128.378365195486</v>
      </c>
      <c r="L14" s="12">
        <v>0.22916666666666666</v>
      </c>
      <c r="M14" s="9" t="n">
        <v>403.8314447402954</v>
      </c>
      <c r="N14" s="9" t="n">
        <v>30.36159610748291</v>
      </c>
      <c r="O14" s="9" t="n">
        <v>0.0</v>
      </c>
      <c r="P14" s="9" t="n">
        <v>0.0</v>
      </c>
      <c r="Q14" s="9" t="n">
        <v>12.82341194152832</v>
      </c>
      <c r="R14" s="9" t="n">
        <v>0.07160568237304688</v>
      </c>
      <c r="S14" s="9" t="n">
        <v>0.3183326721191406</v>
      </c>
      <c r="T14" s="9" t="n">
        <v>0.0</v>
      </c>
      <c r="U14">
        <f si="1" t="shared"/>
        <v>390.56938280844759</v>
      </c>
    </row>
    <row r="15" spans="1:26" x14ac:dyDescent="0.25">
      <c r="A15" s="12">
        <v>0.25</v>
      </c>
      <c r="B15" s="6" t="n">
        <v>194.20765414929494</v>
      </c>
      <c r="C15" s="6" t="n">
        <v>43.84354638552034</v>
      </c>
      <c r="D15" s="6" t="n">
        <v>0.0</v>
      </c>
      <c r="E15" s="6" t="n">
        <v>0.0</v>
      </c>
      <c r="F15" s="6" t="n">
        <v>0.5446186813259086</v>
      </c>
      <c r="G15" s="6" t="n">
        <v>0.0</v>
      </c>
      <c r="H15" s="6" t="n">
        <v>0.0</v>
      </c>
      <c r="I15" s="6" t="n">
        <v>0.0</v>
      </c>
      <c r="J15" s="6">
        <f si="0" t="shared"/>
        <v>238.59581921614119</v>
      </c>
      <c r="L15" s="12">
        <v>0.25</v>
      </c>
      <c r="M15" s="9" t="n">
        <v>581.3992919921875</v>
      </c>
      <c r="N15" s="9" t="n">
        <v>46.531235694885254</v>
      </c>
      <c r="O15" s="9" t="n">
        <v>0.0</v>
      </c>
      <c r="P15" s="9" t="n">
        <v>0.0</v>
      </c>
      <c r="Q15" s="9" t="n">
        <v>19.882356643676758</v>
      </c>
      <c r="R15" s="9" t="n">
        <v>0.176849365234375</v>
      </c>
      <c r="S15" s="9" t="n">
        <v>0.4561882019042969</v>
      </c>
      <c r="T15" s="9" t="n">
        <v>0.0</v>
      </c>
      <c r="U15">
        <f si="1" t="shared"/>
        <v>544.35616764009887</v>
      </c>
    </row>
    <row r="16" spans="1:26" x14ac:dyDescent="0.25">
      <c r="A16" s="12">
        <v>0.27083333333333331</v>
      </c>
      <c r="B16" s="6" t="n">
        <v>365.89864028497135</v>
      </c>
      <c r="C16" s="6" t="n">
        <v>52.895110595373865</v>
      </c>
      <c r="D16" s="6" t="n">
        <v>0.0</v>
      </c>
      <c r="E16" s="6" t="n">
        <v>0.0</v>
      </c>
      <c r="F16" s="6" t="n">
        <v>1.753894006250173</v>
      </c>
      <c r="G16" s="6" t="n">
        <v>0.0</v>
      </c>
      <c r="H16" s="6" t="n">
        <v>0.0</v>
      </c>
      <c r="I16" s="6" t="n">
        <v>0.0</v>
      </c>
      <c r="J16" s="6">
        <f si="0" t="shared"/>
        <v>420.54764488659538</v>
      </c>
      <c r="L16" s="12">
        <v>0.27083333333333331</v>
      </c>
      <c r="M16" s="9" t="n">
        <v>826.0721406936646</v>
      </c>
      <c r="N16" s="9" t="n">
        <v>70.13829803466797</v>
      </c>
      <c r="O16" s="9" t="n">
        <v>0.0</v>
      </c>
      <c r="P16" s="9" t="n">
        <v>0.0</v>
      </c>
      <c r="Q16" s="9" t="n">
        <v>31.82461643218994</v>
      </c>
      <c r="R16" s="9" t="n">
        <v>0.3687591552734375</v>
      </c>
      <c r="S16" s="9" t="n">
        <v>0.6492223739624023</v>
      </c>
      <c r="T16" s="9" t="n">
        <v>0.0</v>
      </c>
      <c r="U16">
        <f si="1" t="shared"/>
        <v>770.82592777358332</v>
      </c>
    </row>
    <row r="17" spans="1:21" x14ac:dyDescent="0.25">
      <c r="A17" s="12">
        <v>0.29166666666666669</v>
      </c>
      <c r="B17" s="6" t="n">
        <v>634.3213920591752</v>
      </c>
      <c r="C17" s="6" t="n">
        <v>59.270073827384316</v>
      </c>
      <c r="D17" s="6" t="n">
        <v>0.0</v>
      </c>
      <c r="E17" s="6" t="n">
        <v>0.0</v>
      </c>
      <c r="F17" s="6" t="n">
        <v>4.4706398672166925</v>
      </c>
      <c r="G17" s="6" t="n">
        <v>0.0</v>
      </c>
      <c r="H17" s="6" t="n">
        <v>0.0</v>
      </c>
      <c r="I17" s="6" t="n">
        <v>0.0</v>
      </c>
      <c r="J17" s="6">
        <f si="0" t="shared"/>
        <v>698.06210575377622</v>
      </c>
      <c r="L17" s="12">
        <v>0.29166666666666669</v>
      </c>
      <c r="M17" s="9" t="n">
        <v>1190.7480926513672</v>
      </c>
      <c r="N17" s="9" t="n">
        <v>105.80141639709473</v>
      </c>
      <c r="O17" s="9" t="n">
        <v>0.0</v>
      </c>
      <c r="P17" s="9" t="n">
        <v>0.0</v>
      </c>
      <c r="Q17" s="9" t="n">
        <v>52.012818336486816</v>
      </c>
      <c r="R17" s="9" t="n">
        <v>0.6636486053466797</v>
      </c>
      <c r="S17" s="9" t="n">
        <v>0.97674560546875</v>
      </c>
      <c r="T17" s="9" t="n">
        <v>0.0</v>
      </c>
      <c r="U17">
        <f si="1" t="shared"/>
        <v>1110.7149486643502</v>
      </c>
    </row>
    <row r="18" spans="1:21" x14ac:dyDescent="0.25">
      <c r="A18" s="12">
        <v>0.3125</v>
      </c>
      <c r="B18" s="6" t="n">
        <v>1023.8408932666766</v>
      </c>
      <c r="C18" s="6" t="n">
        <v>62.43593372291965</v>
      </c>
      <c r="D18" s="6" t="n">
        <v>0.0</v>
      </c>
      <c r="E18" s="6" t="n">
        <v>0.0</v>
      </c>
      <c r="F18" s="6" t="n">
        <v>9.47267429674744</v>
      </c>
      <c r="G18" s="6" t="n">
        <v>0.0</v>
      </c>
      <c r="H18" s="6" t="n">
        <v>0.0</v>
      </c>
      <c r="I18" s="6" t="n">
        <v>0.0</v>
      </c>
      <c r="J18" s="6">
        <f si="0" t="shared"/>
        <v>1095.7495012863437</v>
      </c>
      <c r="L18" s="12">
        <v>0.3125</v>
      </c>
      <c r="M18" s="9" t="n">
        <v>1750.966275215149</v>
      </c>
      <c r="N18" s="9" t="n">
        <v>159.9197292327881</v>
      </c>
      <c r="O18" s="9" t="n">
        <v>0.0</v>
      </c>
      <c r="P18" s="9" t="n">
        <v>0.0</v>
      </c>
      <c r="Q18" s="9" t="n">
        <v>85.28476619720459</v>
      </c>
      <c r="R18" s="9" t="n">
        <v>1.0604257583618164</v>
      </c>
      <c r="S18" s="9" t="n">
        <v>1.548649787902832</v>
      </c>
      <c r="T18" s="9" t="n">
        <v>0.0</v>
      </c>
      <c r="U18">
        <f si="1" t="shared"/>
        <v>1627.1110785809951</v>
      </c>
    </row>
    <row r="19" spans="1:21" x14ac:dyDescent="0.25">
      <c r="A19" s="12">
        <v>0.33333333333333331</v>
      </c>
      <c r="B19" s="6" t="n">
        <v>1560.8306256608782</v>
      </c>
      <c r="C19" s="6" t="n">
        <v>65.37600717221673</v>
      </c>
      <c r="D19" s="6" t="n">
        <v>0.0</v>
      </c>
      <c r="E19" s="6" t="n">
        <v>0.0</v>
      </c>
      <c r="F19" s="6" t="n">
        <v>17.993943894196047</v>
      </c>
      <c r="G19" s="6" t="n">
        <v>0.0</v>
      </c>
      <c r="H19" s="6" t="n">
        <v>0.0</v>
      </c>
      <c r="I19" s="6" t="n">
        <v>0.0</v>
      </c>
      <c r="J19" s="6">
        <f si="0" t="shared"/>
        <v>1644.200576727291</v>
      </c>
      <c r="L19" s="12">
        <v>0.33333333333333331</v>
      </c>
      <c r="M19" s="9" t="n">
        <v>2594.1432733535767</v>
      </c>
      <c r="N19" s="9" t="n">
        <v>239.81339168548584</v>
      </c>
      <c r="O19" s="9" t="n">
        <v>0.0</v>
      </c>
      <c r="P19" s="9" t="n">
        <v>0.0</v>
      </c>
      <c r="Q19" s="9" t="n">
        <v>137.85052585601807</v>
      </c>
      <c r="R19" s="9" t="n">
        <v>1.5630464553833008</v>
      </c>
      <c r="S19" s="9" t="n">
        <v>2.4618701934814453</v>
      </c>
      <c r="T19" s="9" t="n">
        <v>0.0</v>
      </c>
      <c r="U19">
        <f si="1" t="shared"/>
        <v>2399.861948101865</v>
      </c>
    </row>
    <row r="20" spans="1:21" x14ac:dyDescent="0.25">
      <c r="A20" s="12">
        <v>0.35416666666666669</v>
      </c>
      <c r="B20" s="6" t="n">
        <v>2283.0608505330256</v>
      </c>
      <c r="C20" s="6" t="n">
        <v>73.78795452235725</v>
      </c>
      <c r="D20" s="6" t="n">
        <v>0.0</v>
      </c>
      <c r="E20" s="6" t="n">
        <v>0.0</v>
      </c>
      <c r="F20" s="6" t="n">
        <v>34.09728192969601</v>
      </c>
      <c r="G20" s="6" t="n">
        <v>0.0</v>
      </c>
      <c r="H20" s="6" t="n">
        <v>0.0</v>
      </c>
      <c r="I20" s="6" t="n">
        <v>0.0</v>
      </c>
      <c r="J20" s="6">
        <f si="0" t="shared"/>
        <v>2390.9460869850791</v>
      </c>
      <c r="L20" s="12">
        <v>0.35416666666666669</v>
      </c>
      <c r="M20" s="9" t="n">
        <v>3807.1310863494873</v>
      </c>
      <c r="N20" s="9" t="n">
        <v>352.36882400512695</v>
      </c>
      <c r="O20" s="9" t="n">
        <v>0.0</v>
      </c>
      <c r="P20" s="9" t="n">
        <v>0.0</v>
      </c>
      <c r="Q20" s="9" t="n">
        <v>216.63671970367432</v>
      </c>
      <c r="R20" s="9" t="n">
        <v>2.220369338989258</v>
      </c>
      <c r="S20" s="9" t="n">
        <v>3.7567615509033203</v>
      </c>
      <c r="T20" s="9" t="n">
        <v>0.0</v>
      </c>
      <c r="U20">
        <f si="1" t="shared"/>
        <v>3516.5771213402081</v>
      </c>
    </row>
    <row r="21" spans="1:21" x14ac:dyDescent="0.25">
      <c r="A21" s="12">
        <v>0.375</v>
      </c>
      <c r="B21" s="6" t="n">
        <v>3255.3606219695052</v>
      </c>
      <c r="C21" s="6" t="n">
        <v>93.57195588099853</v>
      </c>
      <c r="D21" s="6" t="n">
        <v>0.0</v>
      </c>
      <c r="E21" s="6" t="n">
        <v>0.0</v>
      </c>
      <c r="F21" s="6" t="n">
        <v>69.07955770777066</v>
      </c>
      <c r="G21" s="6" t="n">
        <v>0.0</v>
      </c>
      <c r="H21" s="6" t="n">
        <v>0.0</v>
      </c>
      <c r="I21" s="6" t="n">
        <v>0.0</v>
      </c>
      <c r="J21" s="6">
        <f si="0" t="shared"/>
        <v>3418.0121355582742</v>
      </c>
      <c r="L21" s="12">
        <v>0.375</v>
      </c>
      <c r="M21" s="9" t="n">
        <v>5452.104497909546</v>
      </c>
      <c r="N21" s="9" t="n">
        <v>501.46471309661865</v>
      </c>
      <c r="O21" s="9" t="n">
        <v>0.0</v>
      </c>
      <c r="P21" s="9" t="n">
        <v>0.0</v>
      </c>
      <c r="Q21" s="9" t="n">
        <v>327.11710834503174</v>
      </c>
      <c r="R21" s="9" t="n">
        <v>3.1397905349731445</v>
      </c>
      <c r="S21" s="9" t="n">
        <v>5.398496627807617</v>
      </c>
      <c r="T21" s="9" t="n">
        <v>0.0</v>
      </c>
      <c r="U21">
        <f si="1" t="shared"/>
        <v>5046.6738551217568</v>
      </c>
    </row>
    <row r="22" spans="1:21" x14ac:dyDescent="0.25">
      <c r="A22" s="12">
        <v>0.39583333333333331</v>
      </c>
      <c r="B22" s="6" t="n">
        <v>4587.677795564078</v>
      </c>
      <c r="C22" s="6" t="n">
        <v>129.33450889674873</v>
      </c>
      <c r="D22" s="6" t="n">
        <v>0.0</v>
      </c>
      <c r="E22" s="6" t="n">
        <v>0.0</v>
      </c>
      <c r="F22" s="6" t="n">
        <v>143.2993059324516</v>
      </c>
      <c r="G22" s="6" t="n">
        <v>0.0</v>
      </c>
      <c r="H22" s="6" t="n">
        <v>0.0</v>
      </c>
      <c r="I22" s="6" t="n">
        <v>0.0</v>
      </c>
      <c r="J22" s="6">
        <f si="0" t="shared"/>
        <v>4860.3116103932789</v>
      </c>
      <c r="L22" s="12">
        <v>0.39583333333333331</v>
      </c>
      <c r="M22" s="9" t="n">
        <v>7522.35146522522</v>
      </c>
      <c r="N22" s="9" t="n">
        <v>684.2196578979492</v>
      </c>
      <c r="O22" s="9" t="n">
        <v>0.0</v>
      </c>
      <c r="P22" s="9" t="n">
        <v>0.0</v>
      </c>
      <c r="Q22" s="9" t="n">
        <v>469.74589920043945</v>
      </c>
      <c r="R22" s="9" t="n">
        <v>4.439690589904785</v>
      </c>
      <c r="S22" s="9" t="n">
        <v>7.293600082397461</v>
      </c>
      <c r="T22" s="9" t="n">
        <v>0.0</v>
      </c>
      <c r="U22">
        <f si="1" t="shared"/>
        <v>6991.2860277641685</v>
      </c>
    </row>
    <row r="23" spans="1:21" x14ac:dyDescent="0.25">
      <c r="A23" s="12">
        <v>0.41666666666666669</v>
      </c>
      <c r="B23" s="6" t="n">
        <v>6431.240471317411</v>
      </c>
      <c r="C23" s="6" t="n">
        <v>184.7828439240596</v>
      </c>
      <c r="D23" s="6" t="n">
        <v>0.0</v>
      </c>
      <c r="E23" s="6" t="n">
        <v>0.0</v>
      </c>
      <c r="F23" s="6" t="n">
        <v>277.2136268582981</v>
      </c>
      <c r="G23" s="6" t="n">
        <v>0.0</v>
      </c>
      <c r="H23" s="6" t="n">
        <v>0.0</v>
      </c>
      <c r="I23" s="6" t="n">
        <v>0.0</v>
      </c>
      <c r="J23" s="6">
        <f si="0" t="shared"/>
        <v>6893.2369420997684</v>
      </c>
      <c r="L23" s="12">
        <v>0.41666666666666669</v>
      </c>
      <c r="M23" s="9" t="n">
        <v>9899.11817073822</v>
      </c>
      <c r="N23" s="9" t="n">
        <v>888.4580411911011</v>
      </c>
      <c r="O23" s="9" t="n">
        <v>0.0</v>
      </c>
      <c r="P23" s="9" t="n">
        <v>0.0</v>
      </c>
      <c r="Q23" s="9" t="n">
        <v>637.1856002807617</v>
      </c>
      <c r="R23" s="9" t="n">
        <v>6.16231632232666</v>
      </c>
      <c r="S23" s="9" t="n">
        <v>9.331583976745605</v>
      </c>
      <c r="T23" s="9" t="n">
        <v>0.0</v>
      </c>
      <c r="U23">
        <f si="1" t="shared"/>
        <v>9235.8536476148147</v>
      </c>
    </row>
    <row r="24" spans="1:21" x14ac:dyDescent="0.25">
      <c r="A24" s="12">
        <v>0.4375</v>
      </c>
      <c r="B24" s="6" t="n">
        <v>8903.554928539555</v>
      </c>
      <c r="C24" s="6" t="n">
        <v>262.69843977715044</v>
      </c>
      <c r="D24" s="6" t="n">
        <v>0.0</v>
      </c>
      <c r="E24" s="6" t="n">
        <v>0.0</v>
      </c>
      <c r="F24" s="6" t="n">
        <v>469.84733912409536</v>
      </c>
      <c r="G24" s="6" t="n">
        <v>0.0</v>
      </c>
      <c r="H24" s="6" t="n">
        <v>0.0</v>
      </c>
      <c r="I24" s="6" t="n">
        <v>0.0</v>
      </c>
      <c r="J24" s="6">
        <f si="0" t="shared"/>
        <v>9636.1007074408008</v>
      </c>
      <c r="L24" s="12">
        <v>0.4375</v>
      </c>
      <c r="M24" s="9" t="n">
        <v>12347.305109977722</v>
      </c>
      <c r="N24" s="9" t="n">
        <v>1094.1560277938843</v>
      </c>
      <c r="O24" s="9" t="n">
        <v>0.0</v>
      </c>
      <c r="P24" s="9" t="n">
        <v>0.0</v>
      </c>
      <c r="Q24" s="9" t="n">
        <v>814.6808156967163</v>
      </c>
      <c r="R24" s="9" t="n">
        <v>8.208967208862305</v>
      </c>
      <c r="S24" s="9" t="n">
        <v>11.41478443145752</v>
      </c>
      <c r="T24" s="9" t="n">
        <v>0.0</v>
      </c>
      <c r="U24">
        <f si="1" t="shared"/>
        <v>11547.686975501538</v>
      </c>
    </row>
    <row r="25" spans="1:21" x14ac:dyDescent="0.25">
      <c r="A25" s="12">
        <v>0.45833333333333331</v>
      </c>
      <c r="B25" s="6" t="n">
        <v>11923.557608114023</v>
      </c>
      <c r="C25" s="6" t="n">
        <v>361.9192139481155</v>
      </c>
      <c r="D25" s="6" t="n">
        <v>0.0</v>
      </c>
      <c r="E25" s="6" t="n">
        <v>0.0</v>
      </c>
      <c r="F25" s="6" t="n">
        <v>679.9395926081257</v>
      </c>
      <c r="G25" s="6" t="n">
        <v>0.0</v>
      </c>
      <c r="H25" s="6" t="n">
        <v>0.0</v>
      </c>
      <c r="I25" s="6" t="n">
        <v>0.0</v>
      </c>
      <c r="J25" s="6">
        <f si="0" t="shared"/>
        <v>12965.416414670262</v>
      </c>
      <c r="L25" s="12">
        <v>0.45833333333333331</v>
      </c>
      <c r="M25" s="9" t="n">
        <v>14559.270190238953</v>
      </c>
      <c r="N25" s="9" t="n">
        <v>1278.3253803253174</v>
      </c>
      <c r="O25" s="9" t="n">
        <v>0.0</v>
      </c>
      <c r="P25" s="9" t="n">
        <v>0.0</v>
      </c>
      <c r="Q25" s="9" t="n">
        <v>983.2882699966431</v>
      </c>
      <c r="R25" s="9" t="n">
        <v>10.338371276855469</v>
      </c>
      <c r="S25" s="9" t="n">
        <v>13.432208061218262</v>
      </c>
      <c r="T25" s="9" t="n">
        <v>0.0</v>
      </c>
      <c r="U25">
        <f si="1" t="shared"/>
        <v>13626.800726748081</v>
      </c>
    </row>
    <row r="26" spans="1:21" x14ac:dyDescent="0.25">
      <c r="A26" s="12">
        <v>0.47916666666666669</v>
      </c>
      <c r="B26" s="6" t="n">
        <v>15052.382330493832</v>
      </c>
      <c r="C26" s="6" t="n">
        <v>472.4958345697652</v>
      </c>
      <c r="D26" s="6" t="n">
        <v>0.0</v>
      </c>
      <c r="E26" s="6" t="n">
        <v>0.0</v>
      </c>
      <c r="F26" s="6" t="n">
        <v>834.1137267493317</v>
      </c>
      <c r="G26" s="6" t="n">
        <v>0.0</v>
      </c>
      <c r="H26" s="6" t="n">
        <v>0.0</v>
      </c>
      <c r="I26" s="6" t="n">
        <v>0.0</v>
      </c>
      <c r="J26" s="6">
        <f si="0" t="shared"/>
        <v>16358.99189181293</v>
      </c>
      <c r="L26" s="12">
        <v>0.47916666666666669</v>
      </c>
      <c r="M26" s="9" t="n">
        <v>16219.95431804657</v>
      </c>
      <c r="N26" s="9" t="n">
        <v>1419.932451248169</v>
      </c>
      <c r="O26" s="9" t="n">
        <v>0.0</v>
      </c>
      <c r="P26" s="9" t="n">
        <v>0.0</v>
      </c>
      <c r="Q26" s="9" t="n">
        <v>1123.6277980804443</v>
      </c>
      <c r="R26" s="9" t="n">
        <v>12.228046417236328</v>
      </c>
      <c r="S26" s="9" t="n">
        <v>15.184605598449707</v>
      </c>
      <c r="T26" s="9" t="n">
        <v>0.0</v>
      </c>
      <c r="U26">
        <f si="1" t="shared"/>
        <v>15176.7667021459</v>
      </c>
    </row>
    <row r="27" spans="1:21" x14ac:dyDescent="0.25">
      <c r="A27" s="12">
        <v>0.5</v>
      </c>
      <c r="B27" s="6" t="n">
        <v>17525.11545032275</v>
      </c>
      <c r="C27" s="6" t="n">
        <v>573.962980211842</v>
      </c>
      <c r="D27" s="6" t="n">
        <v>0.0</v>
      </c>
      <c r="E27" s="6" t="n">
        <v>0.0</v>
      </c>
      <c r="F27" s="6" t="n">
        <v>867.4945453211795</v>
      </c>
      <c r="G27" s="6" t="n">
        <v>0.0</v>
      </c>
      <c r="H27" s="6" t="n">
        <v>0.0</v>
      </c>
      <c r="I27" s="6" t="n">
        <v>0.0</v>
      </c>
      <c r="J27" s="6">
        <f si="0" t="shared"/>
        <v>18966.572975855775</v>
      </c>
      <c r="L27" s="12">
        <v>0.5</v>
      </c>
      <c r="M27" s="9" t="n">
        <v>17071.724596977234</v>
      </c>
      <c r="N27" s="9" t="n">
        <v>1502.9350929260254</v>
      </c>
      <c r="O27" s="9" t="n">
        <v>0.0</v>
      </c>
      <c r="P27" s="9" t="n">
        <v>0.0</v>
      </c>
      <c r="Q27" s="9" t="n">
        <v>1219.0265703201294</v>
      </c>
      <c r="R27" s="9" t="n">
        <v>13.582610130310059</v>
      </c>
      <c r="S27" s="9" t="n">
        <v>16.34662914276123</v>
      </c>
      <c r="T27" s="9" t="n">
        <v>0.0</v>
      </c>
      <c r="U27">
        <f si="1" t="shared"/>
        <v>15966.557273040289</v>
      </c>
    </row>
    <row r="28" spans="1:21" x14ac:dyDescent="0.25">
      <c r="A28" s="12">
        <v>0.52083333333333337</v>
      </c>
      <c r="B28" s="6" t="n">
        <v>18562.201219793344</v>
      </c>
      <c r="C28" s="6" t="n">
        <v>640.6318510521647</v>
      </c>
      <c r="D28" s="6" t="n">
        <v>0.0</v>
      </c>
      <c r="E28" s="6" t="n">
        <v>0.0</v>
      </c>
      <c r="F28" s="6" t="n">
        <v>767.4618970980413</v>
      </c>
      <c r="G28" s="6" t="n">
        <v>0.0</v>
      </c>
      <c r="H28" s="6" t="n">
        <v>0.0</v>
      </c>
      <c r="I28" s="6" t="n">
        <v>0.0</v>
      </c>
      <c r="J28" s="6">
        <f si="0" t="shared"/>
        <v>19970.294967943548</v>
      </c>
      <c r="L28" s="12">
        <v>0.52083333333333337</v>
      </c>
      <c r="M28" s="9" t="n">
        <v>16978.195306777954</v>
      </c>
      <c r="N28" s="9" t="n">
        <v>1518.449990272522</v>
      </c>
      <c r="O28" s="9" t="n">
        <v>0.0</v>
      </c>
      <c r="P28" s="9" t="n">
        <v>0.0</v>
      </c>
      <c r="Q28" s="9" t="n">
        <v>1258.7194623947144</v>
      </c>
      <c r="R28" s="9" t="n">
        <v>14.253802299499512</v>
      </c>
      <c r="S28" s="9" t="n">
        <v>16.556312561035156</v>
      </c>
      <c r="T28" s="9" t="n">
        <v>0.0</v>
      </c>
      <c r="U28">
        <f si="1" t="shared"/>
        <v>15882.018281268041</v>
      </c>
    </row>
    <row r="29" spans="1:21" x14ac:dyDescent="0.25">
      <c r="A29" s="12">
        <v>0.54166666666666663</v>
      </c>
      <c r="B29" s="6" t="n">
        <v>17792.85275679335</v>
      </c>
      <c r="C29" s="6" t="n">
        <v>652.4097539673728</v>
      </c>
      <c r="D29" s="6" t="n">
        <v>0.0</v>
      </c>
      <c r="E29" s="6" t="n">
        <v>0.0</v>
      </c>
      <c r="F29" s="6" t="n">
        <v>581.6276163614623</v>
      </c>
      <c r="G29" s="6" t="n">
        <v>0.0</v>
      </c>
      <c r="H29" s="6" t="n">
        <v>0.0</v>
      </c>
      <c r="I29" s="6" t="n">
        <v>0.0</v>
      </c>
      <c r="J29" s="6">
        <f si="0" t="shared"/>
        <v>19026.890127122184</v>
      </c>
      <c r="L29" s="12">
        <v>0.54166666666666663</v>
      </c>
      <c r="M29" s="9" t="n">
        <v>15972.335460662842</v>
      </c>
      <c r="N29" s="9" t="n">
        <v>1466.6844644546509</v>
      </c>
      <c r="O29" s="9" t="n">
        <v>0.0</v>
      </c>
      <c r="P29" s="9" t="n">
        <v>0.0</v>
      </c>
      <c r="Q29" s="9" t="n">
        <v>1240.6985731124878</v>
      </c>
      <c r="R29" s="9" t="n">
        <v>14.299140930175781</v>
      </c>
      <c r="S29" s="9" t="n">
        <v>15.612871170043945</v>
      </c>
      <c r="T29" s="9" t="n">
        <v>0.0</v>
      </c>
      <c r="U29">
        <f si="1" t="shared"/>
        <v>14961.535118984953</v>
      </c>
    </row>
    <row r="30" spans="1:21" x14ac:dyDescent="0.25">
      <c r="A30" s="12">
        <v>0.5625</v>
      </c>
      <c r="B30" s="6" t="n">
        <v>15473.171208689204</v>
      </c>
      <c r="C30" s="6" t="n">
        <v>605.2110126096808</v>
      </c>
      <c r="D30" s="6" t="n">
        <v>0.0</v>
      </c>
      <c r="E30" s="6" t="n">
        <v>0.0</v>
      </c>
      <c r="F30" s="6" t="n">
        <v>383.62715508325994</v>
      </c>
      <c r="G30" s="6" t="n">
        <v>0.0</v>
      </c>
      <c r="H30" s="6" t="n">
        <v>0.0</v>
      </c>
      <c r="I30" s="6" t="n">
        <v>0.0</v>
      </c>
      <c r="J30" s="6">
        <f si="0" t="shared"/>
        <v>16462.009376382146</v>
      </c>
      <c r="L30" s="12">
        <v>0.5625</v>
      </c>
      <c r="M30" s="9" t="n">
        <v>14250.90252494812</v>
      </c>
      <c r="N30" s="9" t="n">
        <v>1357.1564331054688</v>
      </c>
      <c r="O30" s="9" t="n">
        <v>0.0</v>
      </c>
      <c r="P30" s="9" t="n">
        <v>0.0</v>
      </c>
      <c r="Q30" s="9" t="n">
        <v>1172.0337162017822</v>
      </c>
      <c r="R30" s="9" t="n">
        <v>13.92130184173584</v>
      </c>
      <c r="S30" s="9" t="n">
        <v>13.640931129455566</v>
      </c>
      <c r="T30" s="9" t="n">
        <v>0.0</v>
      </c>
      <c r="U30">
        <f si="1" t="shared"/>
        <v>13388.196573027288</v>
      </c>
    </row>
    <row r="31" spans="1:21" x14ac:dyDescent="0.25">
      <c r="A31" s="12">
        <v>0.58333333333333337</v>
      </c>
      <c r="B31" s="6" t="n">
        <v>12332.745602782623</v>
      </c>
      <c r="C31" s="6" t="n">
        <v>514.7153953430646</v>
      </c>
      <c r="D31" s="6" t="n">
        <v>0.0</v>
      </c>
      <c r="E31" s="6" t="n">
        <v>0.0</v>
      </c>
      <c r="F31" s="6" t="n">
        <v>229.04427502169221</v>
      </c>
      <c r="G31" s="6" t="n">
        <v>0.0</v>
      </c>
      <c r="H31" s="6" t="n">
        <v>0.0</v>
      </c>
      <c r="I31" s="6" t="n">
        <v>0.0</v>
      </c>
      <c r="J31" s="6">
        <f si="0" t="shared"/>
        <v>13076.505273147379</v>
      </c>
      <c r="L31" s="12">
        <v>0.58333333333333337</v>
      </c>
      <c r="M31" s="9" t="n">
        <v>12104.647672653198</v>
      </c>
      <c r="N31" s="9" t="n">
        <v>1206.355772972107</v>
      </c>
      <c r="O31" s="9" t="n">
        <v>0.0</v>
      </c>
      <c r="P31" s="9" t="n">
        <v>0.0</v>
      </c>
      <c r="Q31" s="9" t="n">
        <v>1066.0241832733154</v>
      </c>
      <c r="R31" s="9" t="n">
        <v>13.330121040344238</v>
      </c>
      <c r="S31" s="9" t="n">
        <v>11.07765007019043</v>
      </c>
      <c r="T31" s="9" t="n">
        <v>0.0</v>
      </c>
      <c r="U31">
        <f si="1" t="shared"/>
        <v>11427.524317366395</v>
      </c>
    </row>
    <row r="32" spans="1:21" x14ac:dyDescent="0.25">
      <c r="A32" s="12">
        <v>0.60416666666666663</v>
      </c>
      <c r="B32" s="6" t="n">
        <v>9186.275015097033</v>
      </c>
      <c r="C32" s="6" t="n">
        <v>409.9810438786933</v>
      </c>
      <c r="D32" s="6" t="n">
        <v>0.0</v>
      </c>
      <c r="E32" s="6" t="n">
        <v>0.0</v>
      </c>
      <c r="F32" s="6" t="n">
        <v>135.543793349917</v>
      </c>
      <c r="G32" s="6" t="n">
        <v>0.0</v>
      </c>
      <c r="H32" s="6" t="n">
        <v>0.0</v>
      </c>
      <c r="I32" s="6" t="n">
        <v>0.0</v>
      </c>
      <c r="J32" s="6">
        <f si="0" t="shared"/>
        <v>9731.7998523256429</v>
      </c>
      <c r="L32" s="12">
        <v>0.60416666666666663</v>
      </c>
      <c r="M32" s="9" t="n">
        <v>9829.234906196594</v>
      </c>
      <c r="N32" s="9" t="n">
        <v>1034.2991952896118</v>
      </c>
      <c r="O32" s="9" t="n">
        <v>0.0</v>
      </c>
      <c r="P32" s="9" t="n">
        <v>0.0</v>
      </c>
      <c r="Q32" s="9" t="n">
        <v>938.5659799575806</v>
      </c>
      <c r="R32" s="9" t="n">
        <v>12.643494606018066</v>
      </c>
      <c r="S32" s="9" t="n">
        <v>8.474671363830566</v>
      </c>
      <c r="T32" s="9" t="n">
        <v>0.0</v>
      </c>
      <c r="U32">
        <f si="1" t="shared"/>
        <v>9347.0107851945904</v>
      </c>
    </row>
    <row r="33" spans="1:21" x14ac:dyDescent="0.25">
      <c r="A33" s="12">
        <v>0.625</v>
      </c>
      <c r="B33" s="6" t="n">
        <v>6591.294375130872</v>
      </c>
      <c r="C33" s="6" t="n">
        <v>318.7230220862865</v>
      </c>
      <c r="D33" s="6" t="n">
        <v>0.0</v>
      </c>
      <c r="E33" s="6" t="n">
        <v>0.0</v>
      </c>
      <c r="F33" s="6" t="n">
        <v>91.43507463867893</v>
      </c>
      <c r="G33" s="6" t="n">
        <v>0.0</v>
      </c>
      <c r="H33" s="6" t="n">
        <v>0.0</v>
      </c>
      <c r="I33" s="6" t="n">
        <v>0.0</v>
      </c>
      <c r="J33" s="6">
        <f si="0" t="shared"/>
        <v>7001.4524718558378</v>
      </c>
      <c r="L33" s="12">
        <v>0.625</v>
      </c>
      <c r="M33" s="9" t="n">
        <v>7667.86953830719</v>
      </c>
      <c r="N33" s="9" t="n">
        <v>861.2724418640137</v>
      </c>
      <c r="O33" s="9" t="n">
        <v>0.0</v>
      </c>
      <c r="P33" s="9" t="n">
        <v>0.0</v>
      </c>
      <c r="Q33" s="9" t="n">
        <v>805.8137769699097</v>
      </c>
      <c r="R33" s="9" t="n">
        <v>11.893829345703125</v>
      </c>
      <c r="S33" s="9" t="n">
        <v>6.255705833435059</v>
      </c>
      <c r="T33" s="9" t="n">
        <v>0.0</v>
      </c>
      <c r="U33">
        <f si="1" t="shared"/>
        <v>7364.2129070148894</v>
      </c>
    </row>
    <row r="34" spans="1:21" x14ac:dyDescent="0.25">
      <c r="A34" s="12">
        <v>0.64583333333333337</v>
      </c>
      <c r="B34" s="6" t="n">
        <v>4726.5888723910175</v>
      </c>
      <c r="C34" s="6" t="n">
        <v>253.10969393956827</v>
      </c>
      <c r="D34" s="6" t="n">
        <v>0.0</v>
      </c>
      <c r="E34" s="6" t="n">
        <v>0.0</v>
      </c>
      <c r="F34" s="6" t="n">
        <v>74.46917714708042</v>
      </c>
      <c r="G34" s="6" t="n">
        <v>0.0</v>
      </c>
      <c r="H34" s="6" t="n">
        <v>0.0</v>
      </c>
      <c r="I34" s="6" t="n">
        <v>0.0</v>
      </c>
      <c r="J34" s="6">
        <f si="0" t="shared"/>
        <v>5054.1677434776666</v>
      </c>
      <c r="L34" s="12">
        <v>0.64583333333333337</v>
      </c>
      <c r="M34" s="9" t="n">
        <v>5790.287554740906</v>
      </c>
      <c r="N34" s="9" t="n">
        <v>704.3653354644775</v>
      </c>
      <c r="O34" s="9" t="n">
        <v>0.0</v>
      </c>
      <c r="P34" s="9" t="n">
        <v>0.0</v>
      </c>
      <c r="Q34" s="9" t="n">
        <v>682.3894672393799</v>
      </c>
      <c r="R34" s="9" t="n">
        <v>11.102251052856445</v>
      </c>
      <c r="S34" s="9" t="n">
        <v>4.593194961547852</v>
      </c>
      <c r="T34" s="9" t="n">
        <v>0.0</v>
      </c>
      <c r="U34">
        <f si="1" t="shared"/>
        <v>5631.0937067988107</v>
      </c>
    </row>
    <row r="35" spans="1:21" x14ac:dyDescent="0.25">
      <c r="A35" s="12">
        <v>0.66666666666666663</v>
      </c>
      <c r="B35" s="6" t="n">
        <v>3477.969157724405</v>
      </c>
      <c r="C35" s="6" t="n">
        <v>207.006348150161</v>
      </c>
      <c r="D35" s="6" t="n">
        <v>0.0</v>
      </c>
      <c r="E35" s="6" t="n">
        <v>0.0</v>
      </c>
      <c r="F35" s="6" t="n">
        <v>65.5366410854947</v>
      </c>
      <c r="G35" s="6" t="n">
        <v>0.0</v>
      </c>
      <c r="H35" s="6" t="n">
        <v>0.0</v>
      </c>
      <c r="I35" s="6" t="n">
        <v>0.0</v>
      </c>
      <c r="J35" s="6">
        <f si="0" t="shared"/>
        <v>3750.5121469600608</v>
      </c>
      <c r="L35" s="12">
        <v>0.66666666666666663</v>
      </c>
      <c r="M35" s="9" t="n">
        <v>4285.295478820801</v>
      </c>
      <c r="N35" s="9" t="n">
        <v>573.9934282302856</v>
      </c>
      <c r="O35" s="9" t="n">
        <v>0.0</v>
      </c>
      <c r="P35" s="9" t="n">
        <v>0.0</v>
      </c>
      <c r="Q35" s="9" t="n">
        <v>578.8775110244751</v>
      </c>
      <c r="R35" s="9" t="n">
        <v>10.342371940612793</v>
      </c>
      <c r="S35" s="9" t="n">
        <v>3.449512481689453</v>
      </c>
      <c r="T35" s="9" t="n">
        <v>0.0</v>
      </c>
      <c r="U35">
        <f si="1" t="shared"/>
        <v>4232.1119895245292</v>
      </c>
    </row>
    <row r="36" spans="1:21" x14ac:dyDescent="0.25">
      <c r="A36" s="12">
        <v>0.6875</v>
      </c>
      <c r="B36" s="6" t="n">
        <v>2615.708695511583</v>
      </c>
      <c r="C36" s="6" t="n">
        <v>166.63027721844333</v>
      </c>
      <c r="D36" s="6" t="n">
        <v>0.0</v>
      </c>
      <c r="E36" s="6" t="n">
        <v>0.0</v>
      </c>
      <c r="F36" s="6" t="n">
        <v>54.3112507099074</v>
      </c>
      <c r="G36" s="6" t="n">
        <v>0.0</v>
      </c>
      <c r="H36" s="6" t="n">
        <v>0.0</v>
      </c>
      <c r="I36" s="6" t="n">
        <v>0.0</v>
      </c>
      <c r="J36" s="6">
        <f si="0" t="shared"/>
        <v>2836.6502234399336</v>
      </c>
      <c r="L36" s="12">
        <v>0.6875</v>
      </c>
      <c r="M36" s="9" t="n">
        <v>3160.758324623108</v>
      </c>
      <c r="N36" s="9" t="n">
        <v>472.40174865722656</v>
      </c>
      <c r="O36" s="9" t="n">
        <v>0.0</v>
      </c>
      <c r="P36" s="9" t="n">
        <v>0.0</v>
      </c>
      <c r="Q36" s="9" t="n">
        <v>499.44368839263916</v>
      </c>
      <c r="R36" s="9" t="n">
        <v>9.740286827087402</v>
      </c>
      <c r="S36" s="9" t="n">
        <v>2.695265769958496</v>
      </c>
      <c r="T36" s="9" t="n">
        <v>0.0</v>
      </c>
      <c r="U36">
        <f si="1" t="shared"/>
        <v>3183.8052214764512</v>
      </c>
    </row>
    <row r="37" spans="1:21" x14ac:dyDescent="0.25">
      <c r="A37" s="12">
        <v>0.70833333333333337</v>
      </c>
      <c r="B37" s="6" t="n">
        <v>1947.7985482891597</v>
      </c>
      <c r="C37" s="6" t="n">
        <v>124.06421985417266</v>
      </c>
      <c r="D37" s="6" t="n">
        <v>0.0</v>
      </c>
      <c r="E37" s="6" t="n">
        <v>0.0</v>
      </c>
      <c r="F37" s="6" t="n">
        <v>39.21345074093857</v>
      </c>
      <c r="G37" s="6" t="n">
        <v>0.0</v>
      </c>
      <c r="H37" s="6" t="n">
        <v>0.0</v>
      </c>
      <c r="I37" s="6" t="n">
        <v>0.0</v>
      </c>
      <c r="J37" s="6">
        <f si="0" t="shared"/>
        <v>2111.0762188842709</v>
      </c>
      <c r="L37" s="12">
        <v>0.70833333333333337</v>
      </c>
      <c r="M37" s="9" t="n">
        <v>2360.61958694458</v>
      </c>
      <c r="N37" s="9" t="n">
        <v>395.3123264312744</v>
      </c>
      <c r="O37" s="9" t="n">
        <v>0.0</v>
      </c>
      <c r="P37" s="9" t="n">
        <v>0.0</v>
      </c>
      <c r="Q37" s="9" t="n">
        <v>441.2362756729126</v>
      </c>
      <c r="R37" s="9" t="n">
        <v>9.39584732055664</v>
      </c>
      <c r="S37" s="9" t="n">
        <v>2.19576358795166</v>
      </c>
      <c r="T37" s="9" t="n">
        <v>0.0</v>
      </c>
      <c r="U37">
        <f si="1" t="shared"/>
        <v>2442.6234585452612</v>
      </c>
    </row>
    <row r="38" spans="1:21" x14ac:dyDescent="0.25">
      <c r="A38" s="12">
        <v>0.72916666666666663</v>
      </c>
      <c r="B38" s="6" t="n">
        <v>1384.6571089726867</v>
      </c>
      <c r="C38" s="6" t="n">
        <v>81.72605916089057</v>
      </c>
      <c r="D38" s="6" t="n">
        <v>0.0</v>
      </c>
      <c r="E38" s="6" t="n">
        <v>0.0</v>
      </c>
      <c r="F38" s="6" t="n">
        <v>23.760035557874197</v>
      </c>
      <c r="G38" s="6" t="n">
        <v>0.0</v>
      </c>
      <c r="H38" s="6" t="n">
        <v>0.0</v>
      </c>
      <c r="I38" s="6" t="n">
        <v>0.0</v>
      </c>
      <c r="J38" s="6">
        <f si="0" t="shared"/>
        <v>1490.1432036914516</v>
      </c>
      <c r="L38" s="12">
        <v>0.72916666666666663</v>
      </c>
      <c r="M38" s="9" t="n">
        <v>1797.4166431427002</v>
      </c>
      <c r="N38" s="9" t="n">
        <v>335.2856454849243</v>
      </c>
      <c r="O38" s="9" t="n">
        <v>0.0</v>
      </c>
      <c r="P38" s="9" t="n">
        <v>0.0</v>
      </c>
      <c r="Q38" s="9" t="n">
        <v>396.0634460449219</v>
      </c>
      <c r="R38" s="9" t="n">
        <v>9.270423889160156</v>
      </c>
      <c r="S38" s="9" t="n">
        <v>1.8361024856567383</v>
      </c>
      <c r="T38" s="9" t="n">
        <v>0.0</v>
      </c>
      <c r="U38">
        <f si="1" t="shared"/>
        <v>1926.8706231923534</v>
      </c>
    </row>
    <row r="39" spans="1:21" x14ac:dyDescent="0.25">
      <c r="A39" s="12">
        <v>0.75</v>
      </c>
      <c r="B39" s="6" t="n">
        <v>918.01509387336</v>
      </c>
      <c r="C39" s="6" t="n">
        <v>46.891448705480926</v>
      </c>
      <c r="D39" s="6" t="n">
        <v>0.0</v>
      </c>
      <c r="E39" s="6" t="n">
        <v>0.0</v>
      </c>
      <c r="F39" s="6" t="n">
        <v>11.808236057150502</v>
      </c>
      <c r="G39" s="6" t="n">
        <v>0.0</v>
      </c>
      <c r="H39" s="6" t="n">
        <v>0.0</v>
      </c>
      <c r="I39" s="6" t="n">
        <v>0.0</v>
      </c>
      <c r="J39" s="6">
        <f si="0" t="shared"/>
        <v>976.71477863599137</v>
      </c>
      <c r="L39" s="12">
        <v>0.75</v>
      </c>
      <c r="M39" s="9" t="n">
        <v>1385.7499780654907</v>
      </c>
      <c r="N39" s="9" t="n">
        <v>284.91325664520264</v>
      </c>
      <c r="O39" s="9" t="n">
        <v>0.0</v>
      </c>
      <c r="P39" s="9" t="n">
        <v>0.0</v>
      </c>
      <c r="Q39" s="9" t="n">
        <v>354.11572074890137</v>
      </c>
      <c r="R39" s="9" t="n">
        <v>9.157326698303223</v>
      </c>
      <c r="S39" s="9" t="n">
        <v>1.5243463516235352</v>
      </c>
      <c r="T39" s="9" t="n">
        <v>0.0</v>
      </c>
      <c r="U39">
        <f si="1" t="shared"/>
        <v>1548.154289667222</v>
      </c>
    </row>
    <row r="40" spans="1:21" x14ac:dyDescent="0.25">
      <c r="A40" s="12">
        <v>0.77083333333333337</v>
      </c>
      <c r="B40" s="6" t="n">
        <v>565.6730255437559</v>
      </c>
      <c r="C40" s="6" t="n">
        <v>24.541386359709946</v>
      </c>
      <c r="D40" s="6" t="n">
        <v>0.0</v>
      </c>
      <c r="E40" s="6" t="n">
        <v>0.0</v>
      </c>
      <c r="F40" s="6" t="n">
        <v>4.713173079594952</v>
      </c>
      <c r="G40" s="6" t="n">
        <v>0.0</v>
      </c>
      <c r="H40" s="6" t="n">
        <v>0.0</v>
      </c>
      <c r="I40" s="6" t="n">
        <v>0.0</v>
      </c>
      <c r="J40" s="6">
        <f si="0" t="shared"/>
        <v>594.9275849830608</v>
      </c>
      <c r="L40" s="12">
        <v>0.77083333333333337</v>
      </c>
      <c r="M40" s="9" t="n">
        <v>1065.5151443481445</v>
      </c>
      <c r="N40" s="9" t="n">
        <v>239.4323329925537</v>
      </c>
      <c r="O40" s="9" t="n">
        <v>0.0</v>
      </c>
      <c r="P40" s="9" t="n">
        <v>0.0</v>
      </c>
      <c r="Q40" s="9" t="n">
        <v>309.09308338165283</v>
      </c>
      <c r="R40" s="9" t="n">
        <v>8.822799682617188</v>
      </c>
      <c r="S40" s="9" t="n">
        <v>1.2060070037841797</v>
      </c>
      <c r="T40" s="9" t="n">
        <v>0.0</v>
      </c>
      <c r="U40">
        <f si="1" t="shared"/>
        <v>1242.0569094147284</v>
      </c>
    </row>
    <row r="41" spans="1:21" x14ac:dyDescent="0.25">
      <c r="A41" s="12">
        <v>0.79166666666666663</v>
      </c>
      <c r="B41" s="6" t="n">
        <v>333.9943702985268</v>
      </c>
      <c r="C41" s="6" t="n">
        <v>14.89597555476504</v>
      </c>
      <c r="D41" s="6" t="n">
        <v>0.0</v>
      </c>
      <c r="E41" s="6" t="n">
        <v>0.0</v>
      </c>
      <c r="F41" s="6" t="n">
        <v>1.4719491980536183</v>
      </c>
      <c r="G41" s="6" t="n">
        <v>0.0</v>
      </c>
      <c r="H41" s="6" t="n">
        <v>0.0</v>
      </c>
      <c r="I41" s="6" t="n">
        <v>0.0</v>
      </c>
      <c r="J41" s="6">
        <f si="0" t="shared"/>
        <v>350.36229505134543</v>
      </c>
      <c r="L41" s="12">
        <v>0.79166666666666663</v>
      </c>
      <c r="M41" s="9" t="n">
        <v>810.7510795593262</v>
      </c>
      <c r="N41" s="9" t="n">
        <v>198.45532321929932</v>
      </c>
      <c r="O41" s="9" t="n">
        <v>0.0</v>
      </c>
      <c r="P41" s="9" t="n">
        <v>0.0</v>
      </c>
      <c r="Q41" s="9" t="n">
        <v>262.26719093322754</v>
      </c>
      <c r="R41" s="9" t="n">
        <v>8.22901439666748</v>
      </c>
      <c r="S41" s="9" t="n">
        <v>0.8795309066772461</v>
      </c>
      <c r="T41" s="9" t="n">
        <v>0.0</v>
      </c>
      <c r="U41">
        <f si="1" t="shared"/>
        <v>985.19230493379428</v>
      </c>
    </row>
    <row r="42" spans="1:21" x14ac:dyDescent="0.25">
      <c r="A42" s="12">
        <v>0.8125</v>
      </c>
      <c r="B42" s="6" t="n">
        <v>211.51601761737214</v>
      </c>
      <c r="C42" s="6" t="n">
        <v>14.912207667613963</v>
      </c>
      <c r="D42" s="6" t="n">
        <v>0.0</v>
      </c>
      <c r="E42" s="6" t="n">
        <v>0.0</v>
      </c>
      <c r="F42" s="6" t="n">
        <v>0.34630102942995067</v>
      </c>
      <c r="G42" s="6" t="n">
        <v>0.0</v>
      </c>
      <c r="H42" s="6" t="n">
        <v>0.0</v>
      </c>
      <c r="I42" s="6" t="n">
        <v>0.0</v>
      </c>
      <c r="J42" s="6">
        <f si="0" t="shared"/>
        <v>226.77452631441605</v>
      </c>
      <c r="L42" s="12">
        <v>0.8125</v>
      </c>
      <c r="M42" s="9" t="n">
        <v>621.8552112579346</v>
      </c>
      <c r="N42" s="9" t="n">
        <v>165.3471164703369</v>
      </c>
      <c r="O42" s="9" t="n">
        <v>0.0</v>
      </c>
      <c r="P42" s="9" t="n">
        <v>0.0</v>
      </c>
      <c r="Q42" s="9" t="n">
        <v>221.6848382949829</v>
      </c>
      <c r="R42" s="9" t="n">
        <v>7.605015754699707</v>
      </c>
      <c r="S42" s="9" t="n">
        <v>0.5864372253417969</v>
      </c>
      <c r="T42" s="9" t="n">
        <v>0.0</v>
      </c>
      <c r="U42">
        <f si="1" t="shared"/>
        <v>787.93338800804759</v>
      </c>
    </row>
    <row r="43" spans="1:21" x14ac:dyDescent="0.25">
      <c r="A43" s="12">
        <v>0.83333333333333337</v>
      </c>
      <c r="B43" s="6" t="n">
        <v>175.30406584389434</v>
      </c>
      <c r="C43" s="6" t="n">
        <v>20.190026886345017</v>
      </c>
      <c r="D43" s="6" t="n">
        <v>0.0</v>
      </c>
      <c r="E43" s="6" t="n">
        <v>0.0</v>
      </c>
      <c r="F43" s="6" t="n">
        <v>0.0577168382383251</v>
      </c>
      <c r="G43" s="6" t="n">
        <v>0.0</v>
      </c>
      <c r="H43" s="6" t="n">
        <v>0.0</v>
      </c>
      <c r="I43" s="6" t="n">
        <v>0.0</v>
      </c>
      <c r="J43" s="6">
        <f si="0" t="shared"/>
        <v>195.55180956847767</v>
      </c>
      <c r="L43" s="12">
        <v>0.83333333333333337</v>
      </c>
      <c r="M43" s="9" t="n">
        <v>504.299916267395</v>
      </c>
      <c r="N43" s="9" t="n">
        <v>143.5976324081421</v>
      </c>
      <c r="O43" s="9" t="n">
        <v>0.0</v>
      </c>
      <c r="P43" s="9" t="n">
        <v>0.0</v>
      </c>
      <c r="Q43" s="9" t="n">
        <v>195.60343074798584</v>
      </c>
      <c r="R43" s="9" t="n">
        <v>7.242710113525391</v>
      </c>
      <c r="S43" s="9" t="n">
        <v>0.37398338317871094</v>
      </c>
      <c r="T43" s="9" t="n">
        <v>0.0</v>
      </c>
      <c r="U43">
        <f si="1" t="shared"/>
        <v>665.94540683909941</v>
      </c>
    </row>
    <row r="44" spans="1:21" x14ac:dyDescent="0.25">
      <c r="A44" s="12">
        <v>0.85416666666666663</v>
      </c>
      <c r="B44" s="6" t="n">
        <v>193.60821227306604</v>
      </c>
      <c r="C44" s="6" t="n">
        <v>26.01106181647674</v>
      </c>
      <c r="D44" s="6" t="n">
        <v>0.0</v>
      </c>
      <c r="E44" s="6" t="n">
        <v>0.0</v>
      </c>
      <c r="F44" s="6" t="n">
        <v>0.0060754566566658015</v>
      </c>
      <c r="G44" s="6" t="n">
        <v>0.0</v>
      </c>
      <c r="H44" s="6" t="n">
        <v>0.0</v>
      </c>
      <c r="I44" s="6" t="n">
        <v>0.0</v>
      </c>
      <c r="J44" s="6">
        <f si="0" t="shared"/>
        <v>219.62534954619946</v>
      </c>
      <c r="L44" s="12">
        <v>0.85416666666666663</v>
      </c>
      <c r="M44" s="9" t="n">
        <v>447.68814754486084</v>
      </c>
      <c r="N44" s="9" t="n">
        <v>132.59129524230957</v>
      </c>
      <c r="O44" s="9" t="n">
        <v>0.0</v>
      </c>
      <c r="P44" s="9" t="n">
        <v>0.0</v>
      </c>
      <c r="Q44" s="9" t="n">
        <v>184.90495204925537</v>
      </c>
      <c r="R44" s="9" t="n">
        <v>7.191485404968262</v>
      </c>
      <c r="S44" s="9" t="n">
        <v>0.2576169967651367</v>
      </c>
      <c r="T44" s="9" t="n">
        <v>0.0</v>
      </c>
      <c r="U44">
        <f si="1" t="shared"/>
        <v>611.64590219697106</v>
      </c>
    </row>
    <row r="45" spans="1:21" x14ac:dyDescent="0.25">
      <c r="A45" s="12">
        <v>0.875</v>
      </c>
      <c r="B45" s="6" t="n">
        <v>227.54910077526856</v>
      </c>
      <c r="C45" s="6" t="n">
        <v>28.449222688434148</v>
      </c>
      <c r="D45" s="6" t="n">
        <v>0.0</v>
      </c>
      <c r="E45" s="6" t="n">
        <v>0.0</v>
      </c>
      <c r="F45" s="6" t="n">
        <v>3.037728328332901E-4</v>
      </c>
      <c r="G45" s="6" t="n">
        <v>0.0</v>
      </c>
      <c r="H45" s="6" t="n">
        <v>0.0</v>
      </c>
      <c r="I45" s="6" t="n">
        <v>0.0</v>
      </c>
      <c r="J45" s="6">
        <f si="0" t="shared"/>
        <v>255.99862723653555</v>
      </c>
      <c r="L45" s="12">
        <v>0.875</v>
      </c>
      <c r="M45" s="9" t="n">
        <v>421.4515161514282</v>
      </c>
      <c r="N45" s="9" t="n">
        <v>126.59422874450684</v>
      </c>
      <c r="O45" s="9" t="n">
        <v>0.0</v>
      </c>
      <c r="P45" s="9" t="n">
        <v>0.0</v>
      </c>
      <c r="Q45" s="9" t="n">
        <v>181.22757053375244</v>
      </c>
      <c r="R45" s="9" t="n">
        <v>7.163848876953125</v>
      </c>
      <c r="S45" s="9" t="n">
        <v>0.2117328643798828</v>
      </c>
      <c r="T45" s="9" t="n">
        <v>0.0</v>
      </c>
      <c r="U45">
        <f si="1" t="shared"/>
        <v>588.69484212012947</v>
      </c>
    </row>
    <row r="46" spans="1:21" x14ac:dyDescent="0.25">
      <c r="A46" s="12">
        <v>0.89583333333333337</v>
      </c>
      <c r="B46" s="6" t="n">
        <v>241.14119248779227</v>
      </c>
      <c r="C46" s="6" t="n">
        <v>25.841086534646088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266.98227902243838</v>
      </c>
      <c r="L46" s="12">
        <v>0.89583333333333337</v>
      </c>
      <c r="M46" s="9" t="n">
        <v>390.0578947067261</v>
      </c>
      <c r="N46" s="9" t="n">
        <v>118.11562919616699</v>
      </c>
      <c r="O46" s="9" t="n">
        <v>0.0</v>
      </c>
      <c r="P46" s="9" t="n">
        <v>0.0</v>
      </c>
      <c r="Q46" s="9" t="n">
        <v>172.6833372116089</v>
      </c>
      <c r="R46" s="9" t="n">
        <v>6.759032249450684</v>
      </c>
      <c r="S46" s="9" t="n">
        <v>0.19154834747314453</v>
      </c>
      <c r="T46" s="9" t="n">
        <v>0.0</v>
      </c>
      <c r="U46">
        <f si="1" t="shared"/>
        <v>552.70531920321878</v>
      </c>
    </row>
    <row r="47" spans="1:21" x14ac:dyDescent="0.25">
      <c r="A47" s="12">
        <v>0.91666666666666663</v>
      </c>
      <c r="B47" s="6" t="n">
        <v>216.78801727090024</v>
      </c>
      <c r="C47" s="6" t="n">
        <v>19.378873808955575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236.16689107985582</v>
      </c>
      <c r="L47" s="12">
        <v>0.91666666666666663</v>
      </c>
      <c r="M47" s="9" t="n">
        <v>333.3570728302002</v>
      </c>
      <c r="N47" s="9" t="n">
        <v>102.69009017944336</v>
      </c>
      <c r="O47" s="9" t="n">
        <v>0.0</v>
      </c>
      <c r="P47" s="9" t="n">
        <v>0.0</v>
      </c>
      <c r="Q47" s="9" t="n">
        <v>152.05687999725342</v>
      </c>
      <c r="R47" s="9" t="n">
        <v>5.7876081466674805</v>
      </c>
      <c r="S47" s="9" t="n">
        <v>0.16366195678710938</v>
      </c>
      <c r="T47" s="9" t="n">
        <v>0.0</v>
      </c>
      <c r="U47">
        <f si="1" t="shared"/>
        <v>478.51749902177386</v>
      </c>
    </row>
    <row r="48" spans="1:21" x14ac:dyDescent="0.25">
      <c r="A48" s="12">
        <v>0.9375</v>
      </c>
      <c r="B48" s="6" t="n">
        <v>162.01170981989682</v>
      </c>
      <c r="C48" s="6" t="n">
        <v>11.925375482784574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173.9370853026814</v>
      </c>
      <c r="L48" s="12">
        <v>0.9375</v>
      </c>
      <c r="M48" s="9" t="n">
        <v>254.55738830566406</v>
      </c>
      <c r="N48" s="9" t="n">
        <v>81.05143070220947</v>
      </c>
      <c r="O48" s="9" t="n">
        <v>0.0</v>
      </c>
      <c r="P48" s="9" t="n">
        <v>0.0</v>
      </c>
      <c r="Q48" s="9" t="n">
        <v>120.62031745910645</v>
      </c>
      <c r="R48" s="9" t="n">
        <v>4.399992942810059</v>
      </c>
      <c r="S48" s="9" t="n">
        <v>0.12069892883300781</v>
      </c>
      <c r="T48" s="9" t="n">
        <v>0.0</v>
      </c>
      <c r="U48">
        <f si="1" t="shared"/>
        <v>371.17797910723851</v>
      </c>
    </row>
    <row r="49" spans="1:21" x14ac:dyDescent="0.25">
      <c r="A49" s="12">
        <v>0.95833333333333337</v>
      </c>
      <c r="B49" s="6" t="n">
        <v>99.57140575793176</v>
      </c>
      <c r="C49" s="6" t="n">
        <v>5.962687741392288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105.53409349932404</v>
      </c>
      <c r="L49" s="12">
        <v>0.95833333333333337</v>
      </c>
      <c r="M49" s="9" t="n">
        <v>171.5519208908081</v>
      </c>
      <c r="N49" s="9" t="n">
        <v>57.49604034423828</v>
      </c>
      <c r="O49" s="9" t="n">
        <v>0.0</v>
      </c>
      <c r="P49" s="9" t="n">
        <v>0.0</v>
      </c>
      <c r="Q49" s="9" t="n">
        <v>85.49049282073975</v>
      </c>
      <c r="R49" s="9" t="n">
        <v>2.944822311401367</v>
      </c>
      <c r="S49" s="9" t="n">
        <v>0.07398700714111328</v>
      </c>
      <c r="T49" s="9" t="n">
        <v>0.0</v>
      </c>
      <c r="U49">
        <f si="1" t="shared"/>
        <v>255.21769579218952</v>
      </c>
    </row>
    <row r="50" spans="1:21" x14ac:dyDescent="0.25">
      <c r="A50" s="12">
        <v>0.97916666666666663</v>
      </c>
      <c r="B50" s="6" t="n">
        <v>49.759081227305515</v>
      </c>
      <c r="C50" s="6" t="n">
        <v>2.385075096556915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52.144156323862433</v>
      </c>
      <c r="L50" s="12">
        <v>0.97916666666666663</v>
      </c>
      <c r="M50" s="9" t="n">
        <v>101.85653114318848</v>
      </c>
      <c r="N50" s="9" t="n">
        <v>36.57325839996338</v>
      </c>
      <c r="O50" s="9" t="n">
        <v>0.0</v>
      </c>
      <c r="P50" s="9" t="n">
        <v>0.0</v>
      </c>
      <c r="Q50" s="9" t="n">
        <v>54.13175582885742</v>
      </c>
      <c r="R50" s="9" t="n">
        <v>1.7309751510620117</v>
      </c>
      <c r="S50" s="9" t="n">
        <v>0.03696727752685547</v>
      </c>
      <c r="T50" s="9" t="n">
        <v>0.0</v>
      </c>
      <c r="U50">
        <f si="1" t="shared"/>
        <v>155.26986128499902</v>
      </c>
    </row>
    <row r="51" spans="1:21" x14ac:dyDescent="0.25">
      <c r="A51" s="12">
        <v>1</v>
      </c>
      <c r="B51" s="6" t="n">
        <v>19.898736299920614</v>
      </c>
      <c r="C51" s="6" t="n">
        <v>0.7453359676740359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20.644072267594652</v>
      </c>
      <c r="L51" s="12">
        <v>1</v>
      </c>
      <c r="M51" s="9" t="n">
        <v>53.422987937927246</v>
      </c>
      <c r="N51" s="9" t="n">
        <v>20.838879585266113</v>
      </c>
      <c r="O51" s="9" t="n">
        <v>0.0</v>
      </c>
      <c r="P51" s="9" t="n">
        <v>0.0</v>
      </c>
      <c r="Q51" s="9" t="n">
        <v>30.660192489624023</v>
      </c>
      <c r="R51" s="9" t="n">
        <v>0.892120361328125</v>
      </c>
      <c r="S51" s="9" t="n">
        <v>0.0147857666015625</v>
      </c>
      <c r="T51" s="9" t="n">
        <v>0.0</v>
      </c>
      <c r="U51">
        <f si="1" t="shared"/>
        <v>83.671368936665388</v>
      </c>
    </row>
    <row r="52" spans="1:21" x14ac:dyDescent="0.25">
      <c r="A52" s="12">
        <v>1.0208333333333333</v>
      </c>
      <c r="B52" s="6" t="n">
        <v>6.217652872389375</v>
      </c>
      <c r="C52" s="6" t="n">
        <v>0.17537316886447904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6.3930260412538544</v>
      </c>
      <c r="L52" s="12">
        <v>1.0208333333333333</v>
      </c>
      <c r="M52" s="9" t="n">
        <v>24.814329147338867</v>
      </c>
      <c r="N52" s="9" t="n">
        <v>10.586628913879395</v>
      </c>
      <c r="O52" s="9" t="n">
        <v>0.0</v>
      </c>
      <c r="P52" s="9" t="n">
        <v>0.0</v>
      </c>
      <c r="Q52" s="9" t="n">
        <v>15.495140075683594</v>
      </c>
      <c r="R52" s="9" t="n">
        <v>0.4010343551635742</v>
      </c>
      <c r="S52" s="9" t="n">
        <v>0.004620552062988281</v>
      </c>
      <c r="T52" s="9" t="n">
        <v>0.0</v>
      </c>
      <c r="U52">
        <f si="1" t="shared"/>
        <v>39.926188288852387</v>
      </c>
    </row>
    <row r="53" spans="1:21" x14ac:dyDescent="0.25">
      <c r="A53" s="12">
        <v>4.1666666666666664E-2</v>
      </c>
      <c r="B53" s="6" t="n">
        <v>1.4629110550247173</v>
      </c>
      <c r="C53" s="6" t="n">
        <v>0.029228861477413173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1.4921399165021305</v>
      </c>
      <c r="L53" s="12">
        <v>4.1666666666666664E-2</v>
      </c>
      <c r="M53" s="9" t="n">
        <v>10.185251235961914</v>
      </c>
      <c r="N53" s="9" t="n">
        <v>4.741855621337891</v>
      </c>
      <c r="O53" s="9" t="n">
        <v>0.0</v>
      </c>
      <c r="P53" s="9" t="n">
        <v>0.0</v>
      </c>
      <c r="Q53" s="9" t="n">
        <v>6.918976783752441</v>
      </c>
      <c r="R53" s="9" t="n">
        <v>0.15532970428466797</v>
      </c>
      <c r="S53" s="9" t="n">
        <v>0.001087188720703125</v>
      </c>
      <c r="T53" s="9" t="n">
        <v>0.0</v>
      </c>
      <c r="U53">
        <f si="1" t="shared"/>
        <v>16.781550626470739</v>
      </c>
    </row>
    <row r="54" spans="1:21" x14ac:dyDescent="0.25">
      <c r="A54" s="12">
        <v>6.25E-2</v>
      </c>
      <c r="B54" s="6" t="n">
        <v>0.24381553680534362</v>
      </c>
      <c r="C54" s="6" t="n">
        <v>0.003076722260780335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0.24689225906612397</v>
      </c>
      <c r="L54" s="12">
        <v>6.25E-2</v>
      </c>
      <c r="M54" s="9" t="n">
        <v>3.6540746688842773</v>
      </c>
      <c r="N54" s="9" t="n">
        <v>1.8376340866088867</v>
      </c>
      <c r="O54" s="9" t="n">
        <v>0.0</v>
      </c>
      <c r="P54" s="9" t="n">
        <v>0.0</v>
      </c>
      <c r="Q54" s="9" t="n">
        <v>2.6795654296875</v>
      </c>
      <c r="R54" s="9" t="n">
        <v>0.05073261260986328</v>
      </c>
      <c r="S54" s="9" t="n">
        <v>1.811981201171875E-4</v>
      </c>
      <c r="T54" s="9" t="n">
        <v>0.0</v>
      </c>
      <c r="U54">
        <f si="1" t="shared"/>
        <v>6.1316478346978194</v>
      </c>
    </row>
    <row r="55" spans="1:21" x14ac:dyDescent="0.25">
      <c r="A55" s="12">
        <v>8.3333333333333329E-2</v>
      </c>
      <c r="B55" s="6" t="n">
        <v>0.02566479334793091</v>
      </c>
      <c r="C55" s="6" t="n">
        <v>1.5383611303901673E-4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2.5818629460969928E-2</v>
      </c>
      <c r="L55" s="12">
        <v>8.3333333333333329E-2</v>
      </c>
      <c r="M55" s="9" t="n">
        <v>1.1205997467041016</v>
      </c>
      <c r="N55" s="9" t="n">
        <v>0.600062370300293</v>
      </c>
      <c r="O55" s="9" t="n">
        <v>0.0</v>
      </c>
      <c r="P55" s="9" t="n">
        <v>0.0</v>
      </c>
      <c r="Q55" s="9" t="n">
        <v>0.8760862350463867</v>
      </c>
      <c r="R55" s="9" t="n">
        <v>0.013525009155273438</v>
      </c>
      <c r="S55" s="9" t="n">
        <v>1.9073486328125E-5</v>
      </c>
      <c r="T55" s="9" t="n">
        <v>0.0</v>
      </c>
      <c r="U55">
        <f si="1" t="shared"/>
        <v>1.9037631820021903</v>
      </c>
    </row>
    <row r="56" spans="1:21" x14ac:dyDescent="0.25">
      <c r="A56" s="12">
        <v>0.10416666666666667</v>
      </c>
      <c r="B56" s="6" t="n">
        <v>0.0012832396673965454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1.2832396673965454E-3</v>
      </c>
      <c r="L56" s="12">
        <v>0.10416666666666667</v>
      </c>
      <c r="M56" s="9" t="n">
        <v>0.28374290466308594</v>
      </c>
      <c r="N56" s="9" t="n">
        <v>0.15944862365722656</v>
      </c>
      <c r="O56" s="9" t="n">
        <v>0.0</v>
      </c>
      <c r="P56" s="9" t="n">
        <v>0.0</v>
      </c>
      <c r="Q56" s="9" t="n">
        <v>0.2333393096923828</v>
      </c>
      <c r="R56" s="9" t="n">
        <v>0.0028085708618164062</v>
      </c>
      <c r="S56" s="9" t="n">
        <v>9.5367431640625E-7</v>
      </c>
      <c r="T56" s="9" t="n">
        <v>0.0</v>
      </c>
      <c r="U56">
        <f si="1" t="shared"/>
        <v>0.48565544414859813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0.055728912353515625</v>
      </c>
      <c r="N57" s="9" t="n">
        <v>0.032446861267089844</v>
      </c>
      <c r="O57" s="9" t="n">
        <v>0.0</v>
      </c>
      <c r="P57" s="9" t="n">
        <v>0.0</v>
      </c>
      <c r="Q57" s="9" t="n">
        <v>0.047608375549316406</v>
      </c>
      <c r="R57" s="9" t="n">
        <v>4.215240478515625E-4</v>
      </c>
      <c r="S57" s="9" t="n">
        <v>0.0</v>
      </c>
      <c r="T57" s="9" t="n">
        <v>0.0</v>
      </c>
      <c r="U57">
        <f si="1" t="shared"/>
        <v>9.5788467926497242E-2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65"/>
  <sheetViews>
    <sheetView workbookViewId="0">
      <selection activeCell="M32" sqref="M32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99</v>
      </c>
      <c r="C8" t="s">
        <v>100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0.77947916666666661</v>
      </c>
      <c r="G9" t="s">
        <v>105</v>
      </c>
      <c r="H9">
        <v>23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109</v>
      </c>
      <c r="E11">
        <v>-10</v>
      </c>
      <c r="F11">
        <v>0</v>
      </c>
    </row>
    <row r="12" spans="1:11" x14ac:dyDescent="0.25">
      <c r="B12">
        <v>12</v>
      </c>
      <c r="C12" t="s">
        <v>110</v>
      </c>
      <c r="D12" t="s">
        <v>111</v>
      </c>
      <c r="E12">
        <v>-4.9807800000000002</v>
      </c>
      <c r="F12">
        <v>0.19084391923499999</v>
      </c>
    </row>
    <row r="13" spans="1:11" x14ac:dyDescent="0.25">
      <c r="B13">
        <v>13</v>
      </c>
      <c r="C13" t="s">
        <v>112</v>
      </c>
      <c r="D13" t="s">
        <v>111</v>
      </c>
      <c r="E13">
        <v>-2.18872</v>
      </c>
      <c r="F13" s="57">
        <v>7.2995255516100005E-2</v>
      </c>
    </row>
    <row r="14" spans="1:11" x14ac:dyDescent="0.25">
      <c r="B14">
        <v>14</v>
      </c>
      <c r="C14" t="s">
        <v>113</v>
      </c>
      <c r="D14" t="s">
        <v>109</v>
      </c>
      <c r="E14">
        <v>-1.29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-1.46191</v>
      </c>
      <c r="F15" s="57">
        <v>6.9916201179400006E-2</v>
      </c>
    </row>
    <row r="16" spans="1:11" x14ac:dyDescent="0.25">
      <c r="B16">
        <v>16</v>
      </c>
      <c r="C16" t="s">
        <v>115</v>
      </c>
      <c r="D16" t="s">
        <v>111</v>
      </c>
      <c r="E16">
        <v>-1.91828</v>
      </c>
      <c r="F16" s="57">
        <v>9.9670315984699998E-2</v>
      </c>
    </row>
    <row r="17" spans="2:6" x14ac:dyDescent="0.25">
      <c r="B17">
        <v>17</v>
      </c>
      <c r="C17" t="s">
        <v>116</v>
      </c>
      <c r="D17" t="s">
        <v>111</v>
      </c>
      <c r="E17">
        <v>-2.0692599999999999</v>
      </c>
      <c r="F17">
        <v>0.17572866040999999</v>
      </c>
    </row>
    <row r="18" spans="2:6" x14ac:dyDescent="0.25">
      <c r="B18">
        <v>18</v>
      </c>
      <c r="C18" t="s">
        <v>117</v>
      </c>
      <c r="D18" t="s">
        <v>111</v>
      </c>
      <c r="E18">
        <v>-2.19163</v>
      </c>
      <c r="F18">
        <v>0.25258711517100002</v>
      </c>
    </row>
    <row r="19" spans="2:6" x14ac:dyDescent="0.25">
      <c r="B19">
        <v>19</v>
      </c>
      <c r="C19" t="s">
        <v>118</v>
      </c>
      <c r="D19" t="s">
        <v>111</v>
      </c>
      <c r="E19">
        <v>-3.6867000000000001</v>
      </c>
      <c r="F19">
        <v>0.34532247393900001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109</v>
      </c>
      <c r="E21">
        <v>-10</v>
      </c>
      <c r="F21">
        <v>0</v>
      </c>
    </row>
    <row r="22" spans="2:6" x14ac:dyDescent="0.25">
      <c r="B22">
        <v>22</v>
      </c>
      <c r="C22" t="s">
        <v>121</v>
      </c>
      <c r="D22" t="s">
        <v>111</v>
      </c>
      <c r="E22">
        <v>-2.6249699999999998</v>
      </c>
      <c r="F22">
        <v>0.23098752432200001</v>
      </c>
    </row>
    <row r="23" spans="2:6" x14ac:dyDescent="0.25">
      <c r="B23">
        <v>23</v>
      </c>
      <c r="C23" t="s">
        <v>122</v>
      </c>
      <c r="D23" t="s">
        <v>111</v>
      </c>
      <c r="E23">
        <v>-0.84769000000000005</v>
      </c>
      <c r="F23">
        <v>0.149145210443</v>
      </c>
    </row>
    <row r="24" spans="2:6" x14ac:dyDescent="0.25">
      <c r="B24">
        <v>24</v>
      </c>
      <c r="C24" t="s">
        <v>123</v>
      </c>
      <c r="D24" t="s">
        <v>111</v>
      </c>
      <c r="E24">
        <v>0.46710000000000002</v>
      </c>
      <c r="F24">
        <v>0.101520233238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-0.89420999999999995</v>
      </c>
      <c r="F26" s="57">
        <v>9.5037555322300002E-2</v>
      </c>
    </row>
    <row r="27" spans="2:6" x14ac:dyDescent="0.25">
      <c r="B27">
        <v>27</v>
      </c>
      <c r="C27" t="s">
        <v>126</v>
      </c>
      <c r="D27" t="s">
        <v>111</v>
      </c>
      <c r="E27">
        <v>-1.82273</v>
      </c>
      <c r="F27">
        <v>0.11791001973699999</v>
      </c>
    </row>
    <row r="28" spans="2:6" x14ac:dyDescent="0.25">
      <c r="B28">
        <v>28</v>
      </c>
      <c r="C28" t="s">
        <v>127</v>
      </c>
      <c r="D28" t="s">
        <v>111</v>
      </c>
      <c r="E28">
        <v>-2.3654199999999999</v>
      </c>
      <c r="F28">
        <v>0.132091652196</v>
      </c>
    </row>
    <row r="29" spans="2:6" x14ac:dyDescent="0.25">
      <c r="B29">
        <v>29</v>
      </c>
      <c r="C29" t="s">
        <v>128</v>
      </c>
      <c r="D29" t="s">
        <v>111</v>
      </c>
      <c r="E29">
        <v>-3.26417</v>
      </c>
      <c r="F29">
        <v>0.189238751383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130</v>
      </c>
      <c r="D31" t="s">
        <v>111</v>
      </c>
      <c r="E31">
        <v>-0.39251999999999998</v>
      </c>
      <c r="F31">
        <v>0.237170453452</v>
      </c>
    </row>
    <row r="32" spans="2:6" x14ac:dyDescent="0.25">
      <c r="B32">
        <v>32</v>
      </c>
      <c r="C32" t="s">
        <v>131</v>
      </c>
      <c r="D32" t="s">
        <v>111</v>
      </c>
      <c r="E32">
        <v>-2.12E-2</v>
      </c>
      <c r="F32">
        <v>0.190107165818</v>
      </c>
    </row>
    <row r="33" spans="2:6" x14ac:dyDescent="0.25">
      <c r="B33">
        <v>33</v>
      </c>
      <c r="C33" t="s">
        <v>132</v>
      </c>
      <c r="D33" t="s">
        <v>111</v>
      </c>
      <c r="E33">
        <v>0.27398</v>
      </c>
      <c r="F33">
        <v>0.15285170349300001</v>
      </c>
    </row>
    <row r="34" spans="2:6" x14ac:dyDescent="0.25">
      <c r="B34">
        <v>34</v>
      </c>
      <c r="C34" t="s">
        <v>133</v>
      </c>
      <c r="D34" t="s">
        <v>111</v>
      </c>
      <c r="E34">
        <v>0.40205000000000002</v>
      </c>
      <c r="F34">
        <v>0.117301271226</v>
      </c>
    </row>
    <row r="35" spans="2:6" x14ac:dyDescent="0.25">
      <c r="B35">
        <v>35</v>
      </c>
      <c r="C35" t="s">
        <v>134</v>
      </c>
      <c r="D35" t="s">
        <v>109</v>
      </c>
      <c r="E35">
        <v>-0.65956000000000004</v>
      </c>
      <c r="F35">
        <v>0</v>
      </c>
    </row>
    <row r="36" spans="2:6" x14ac:dyDescent="0.25">
      <c r="B36">
        <v>36</v>
      </c>
      <c r="C36" t="s">
        <v>135</v>
      </c>
      <c r="D36" t="s">
        <v>111</v>
      </c>
      <c r="E36">
        <v>-1.0128299999999999</v>
      </c>
      <c r="F36">
        <v>0.14804180768299999</v>
      </c>
    </row>
    <row r="37" spans="2:6" x14ac:dyDescent="0.25">
      <c r="B37">
        <v>37</v>
      </c>
      <c r="C37" t="s">
        <v>136</v>
      </c>
      <c r="D37" t="s">
        <v>111</v>
      </c>
      <c r="E37">
        <v>-2.6750600000000002</v>
      </c>
      <c r="F37">
        <v>0.27910988101</v>
      </c>
    </row>
    <row r="38" spans="2:6" x14ac:dyDescent="0.25">
      <c r="B38">
        <v>38</v>
      </c>
      <c r="C38" t="s">
        <v>137</v>
      </c>
      <c r="D38" t="s">
        <v>111</v>
      </c>
      <c r="E38">
        <v>-3.10283</v>
      </c>
      <c r="F38">
        <v>0.29470290619299999</v>
      </c>
    </row>
    <row r="39" spans="2:6" x14ac:dyDescent="0.25">
      <c r="B39">
        <v>39</v>
      </c>
      <c r="C39" t="s">
        <v>138</v>
      </c>
      <c r="D39" t="s">
        <v>111</v>
      </c>
      <c r="E39">
        <v>-2.8355899999999998</v>
      </c>
      <c r="F39">
        <v>0.48079949040499997</v>
      </c>
    </row>
    <row r="40" spans="2:6" x14ac:dyDescent="0.25">
      <c r="B40">
        <v>40</v>
      </c>
      <c r="C40" t="s">
        <v>139</v>
      </c>
      <c r="D40" t="s">
        <v>109</v>
      </c>
      <c r="E40">
        <v>-10</v>
      </c>
      <c r="F40">
        <v>0</v>
      </c>
    </row>
    <row r="41" spans="2:6" x14ac:dyDescent="0.25">
      <c r="B41">
        <v>41</v>
      </c>
      <c r="C41" t="s">
        <v>140</v>
      </c>
      <c r="D41" t="s">
        <v>111</v>
      </c>
      <c r="E41" s="57">
        <v>4.3589999999999997E-2</v>
      </c>
      <c r="F41" s="57">
        <v>2.9144653828100001E-2</v>
      </c>
    </row>
    <row r="42" spans="2:6" x14ac:dyDescent="0.25">
      <c r="B42">
        <v>42</v>
      </c>
      <c r="C42" t="s">
        <v>141</v>
      </c>
      <c r="D42" t="s">
        <v>111</v>
      </c>
      <c r="E42" s="57">
        <v>-1.3860000000000001E-2</v>
      </c>
      <c r="F42" s="57">
        <v>2.5540181241499999E-2</v>
      </c>
    </row>
    <row r="43" spans="2:6" x14ac:dyDescent="0.25">
      <c r="B43">
        <v>43</v>
      </c>
      <c r="C43" t="s">
        <v>142</v>
      </c>
      <c r="D43" t="s">
        <v>111</v>
      </c>
      <c r="E43">
        <v>0.12146999999999999</v>
      </c>
      <c r="F43" s="57">
        <v>2.16348405658E-2</v>
      </c>
    </row>
    <row r="44" spans="2:6" x14ac:dyDescent="0.25">
      <c r="B44">
        <v>44</v>
      </c>
      <c r="C44" t="s">
        <v>143</v>
      </c>
      <c r="D44" t="s">
        <v>111</v>
      </c>
      <c r="E44" s="57">
        <v>-2.971E-2</v>
      </c>
      <c r="F44" s="57">
        <v>1.9029379502599999E-2</v>
      </c>
    </row>
    <row r="45" spans="2:6" x14ac:dyDescent="0.25">
      <c r="B45">
        <v>45</v>
      </c>
      <c r="C45" t="s">
        <v>144</v>
      </c>
      <c r="D45" t="s">
        <v>111</v>
      </c>
      <c r="E45">
        <v>0.12216</v>
      </c>
      <c r="F45" s="57">
        <v>1.47317799812E-2</v>
      </c>
    </row>
    <row r="46" spans="2:6" x14ac:dyDescent="0.25">
      <c r="B46">
        <v>46</v>
      </c>
      <c r="C46" t="s">
        <v>145</v>
      </c>
      <c r="D46" t="s">
        <v>111</v>
      </c>
      <c r="E46" s="57">
        <v>-8.9099999999999999E-2</v>
      </c>
      <c r="F46" s="57">
        <v>1.18154215857E-2</v>
      </c>
    </row>
    <row r="47" spans="2:6" x14ac:dyDescent="0.25">
      <c r="B47">
        <v>49</v>
      </c>
      <c r="C47" t="s">
        <v>146</v>
      </c>
      <c r="D47" t="s">
        <v>111</v>
      </c>
      <c r="E47">
        <v>-0.22692999999999999</v>
      </c>
      <c r="F47" s="57">
        <v>3.0899816639900001E-2</v>
      </c>
    </row>
    <row r="48" spans="2:6" x14ac:dyDescent="0.25">
      <c r="B48">
        <v>50</v>
      </c>
      <c r="C48" t="s">
        <v>147</v>
      </c>
      <c r="D48" t="s">
        <v>111</v>
      </c>
      <c r="E48" s="57">
        <v>3.2120000000000003E-2</v>
      </c>
      <c r="F48" s="57">
        <v>1.62016296187E-2</v>
      </c>
    </row>
    <row r="49" spans="2:6" x14ac:dyDescent="0.25">
      <c r="B49">
        <v>61</v>
      </c>
      <c r="C49" t="s">
        <v>148</v>
      </c>
      <c r="D49" t="s">
        <v>111</v>
      </c>
      <c r="E49" s="57">
        <v>3.0380000000000001E-2</v>
      </c>
      <c r="F49" s="57">
        <v>4.4872964750799996E-3</v>
      </c>
    </row>
    <row r="50" spans="2:6" x14ac:dyDescent="0.25">
      <c r="B50">
        <v>62</v>
      </c>
      <c r="C50" t="s">
        <v>149</v>
      </c>
      <c r="D50" t="s">
        <v>111</v>
      </c>
      <c r="E50" s="57">
        <v>-3.6940000000000001E-2</v>
      </c>
      <c r="F50" s="57">
        <v>5.1415963050300004E-3</v>
      </c>
    </row>
    <row r="51" spans="2:6" x14ac:dyDescent="0.25">
      <c r="B51">
        <v>65</v>
      </c>
      <c r="C51" t="s">
        <v>150</v>
      </c>
      <c r="D51" t="s">
        <v>111</v>
      </c>
      <c r="E51" s="57">
        <v>-3.7399999999999998E-3</v>
      </c>
      <c r="F51" s="57">
        <v>4.9827426349599996E-3</v>
      </c>
    </row>
    <row r="52" spans="2:6" x14ac:dyDescent="0.25">
      <c r="B52">
        <v>66</v>
      </c>
      <c r="C52" t="s">
        <v>151</v>
      </c>
      <c r="D52" t="s">
        <v>111</v>
      </c>
      <c r="E52" s="57">
        <v>-2.6710000000000001E-2</v>
      </c>
      <c r="F52" s="57">
        <v>6.1033757858199996E-3</v>
      </c>
    </row>
    <row r="53" spans="2:6" x14ac:dyDescent="0.25">
      <c r="B53">
        <v>67</v>
      </c>
      <c r="C53" t="s">
        <v>152</v>
      </c>
      <c r="D53" t="s">
        <v>111</v>
      </c>
      <c r="E53" s="57">
        <v>-2.6689999999999998E-2</v>
      </c>
      <c r="F53" s="57">
        <v>1.67516400993E-2</v>
      </c>
    </row>
    <row r="54" spans="2:6" x14ac:dyDescent="0.25">
      <c r="B54">
        <v>68</v>
      </c>
      <c r="C54" t="s">
        <v>153</v>
      </c>
      <c r="D54" t="s">
        <v>111</v>
      </c>
      <c r="E54" s="57">
        <v>3.2489999999999998E-2</v>
      </c>
      <c r="F54" s="57">
        <v>1.46569282191E-2</v>
      </c>
    </row>
    <row r="55" spans="2:6" x14ac:dyDescent="0.25">
      <c r="B55">
        <v>85</v>
      </c>
      <c r="C55" t="s">
        <v>154</v>
      </c>
      <c r="D55" t="s">
        <v>109</v>
      </c>
      <c r="E55">
        <v>0.25</v>
      </c>
      <c r="F55">
        <v>0</v>
      </c>
    </row>
    <row r="56" spans="2:6" x14ac:dyDescent="0.25">
      <c r="B56">
        <v>86</v>
      </c>
      <c r="C56" t="s">
        <v>155</v>
      </c>
      <c r="D56" t="s">
        <v>109</v>
      </c>
      <c r="E56">
        <v>0.25</v>
      </c>
      <c r="F56">
        <v>0</v>
      </c>
    </row>
    <row r="57" spans="2:6" x14ac:dyDescent="0.25">
      <c r="B57">
        <v>87</v>
      </c>
      <c r="C57" t="s">
        <v>156</v>
      </c>
      <c r="D57" t="s">
        <v>109</v>
      </c>
      <c r="E57">
        <v>0.25</v>
      </c>
      <c r="F57">
        <v>0</v>
      </c>
    </row>
    <row r="58" spans="2:6" x14ac:dyDescent="0.25">
      <c r="B58">
        <v>88</v>
      </c>
      <c r="C58" t="s">
        <v>157</v>
      </c>
      <c r="D58" t="s">
        <v>109</v>
      </c>
      <c r="E58">
        <v>0.25</v>
      </c>
      <c r="F58">
        <v>0</v>
      </c>
    </row>
    <row r="59" spans="2:6" x14ac:dyDescent="0.25">
      <c r="B59">
        <v>91</v>
      </c>
      <c r="C59" t="s">
        <v>158</v>
      </c>
      <c r="D59" t="s">
        <v>109</v>
      </c>
      <c r="E59">
        <v>5</v>
      </c>
      <c r="F59">
        <v>0</v>
      </c>
    </row>
    <row r="60" spans="2:6" x14ac:dyDescent="0.25">
      <c r="B60">
        <v>92</v>
      </c>
      <c r="C60" t="s">
        <v>159</v>
      </c>
      <c r="D60" t="s">
        <v>111</v>
      </c>
      <c r="E60">
        <v>3.1049899999999999</v>
      </c>
      <c r="F60">
        <v>1.3381559598299999</v>
      </c>
    </row>
    <row r="61" spans="2:6" x14ac:dyDescent="0.25">
      <c r="B61">
        <v>93</v>
      </c>
      <c r="C61" t="s">
        <v>160</v>
      </c>
      <c r="D61" t="s">
        <v>111</v>
      </c>
      <c r="E61">
        <v>-0.33954000000000001</v>
      </c>
      <c r="F61" s="57">
        <v>1.9763978037700001E-2</v>
      </c>
    </row>
    <row r="62" spans="2:6" x14ac:dyDescent="0.25">
      <c r="B62">
        <v>94</v>
      </c>
      <c r="C62" t="s">
        <v>161</v>
      </c>
      <c r="D62" t="s">
        <v>111</v>
      </c>
      <c r="E62">
        <v>-0.16217999999999999</v>
      </c>
      <c r="F62" s="57">
        <v>1.6863004336299999E-2</v>
      </c>
    </row>
    <row r="63" spans="2:6" x14ac:dyDescent="0.25">
      <c r="B63">
        <v>95</v>
      </c>
      <c r="C63" t="s">
        <v>162</v>
      </c>
      <c r="D63" t="s">
        <v>111</v>
      </c>
      <c r="E63">
        <v>-0.16872000000000001</v>
      </c>
      <c r="F63" s="57">
        <v>1.76289796486E-2</v>
      </c>
    </row>
    <row r="64" spans="2:6" x14ac:dyDescent="0.25">
      <c r="B64">
        <v>96</v>
      </c>
      <c r="C64" t="s">
        <v>163</v>
      </c>
      <c r="D64" t="s">
        <v>111</v>
      </c>
      <c r="E64" s="57">
        <v>-6.9599999999999995E-2</v>
      </c>
      <c r="F64" s="57">
        <v>1.43135557327E-2</v>
      </c>
    </row>
    <row r="65" spans="2:11" x14ac:dyDescent="0.25">
      <c r="B65">
        <v>97</v>
      </c>
      <c r="C65" t="s">
        <v>164</v>
      </c>
      <c r="D65" t="s">
        <v>111</v>
      </c>
      <c r="E65">
        <v>-152.64789999999999</v>
      </c>
      <c r="F65">
        <v>11.5595556537</v>
      </c>
    </row>
    <row r="66" spans="2:11" x14ac:dyDescent="0.25">
      <c r="B66">
        <v>99</v>
      </c>
      <c r="C66" t="s">
        <v>165</v>
      </c>
      <c r="D66" t="s">
        <v>111</v>
      </c>
      <c r="E66">
        <v>-0.51661000000000001</v>
      </c>
      <c r="F66">
        <v>0.141977347921</v>
      </c>
    </row>
    <row r="67" spans="2:11" x14ac:dyDescent="0.25">
      <c r="B67">
        <v>100</v>
      </c>
      <c r="C67" t="s">
        <v>166</v>
      </c>
      <c r="D67" t="s">
        <v>111</v>
      </c>
      <c r="E67" s="57">
        <v>-2.3E-3</v>
      </c>
      <c r="F67">
        <v>0.19178589278899999</v>
      </c>
    </row>
    <row r="68" spans="2:11" x14ac:dyDescent="0.25">
      <c r="B68">
        <v>124</v>
      </c>
      <c r="C68" t="s">
        <v>167</v>
      </c>
      <c r="D68" t="s">
        <v>111</v>
      </c>
      <c r="E68">
        <v>0.75265000000000004</v>
      </c>
      <c r="F68" s="57">
        <v>8.3114288417399998E-2</v>
      </c>
    </row>
    <row r="69" spans="2:11" x14ac:dyDescent="0.25">
      <c r="B69">
        <v>139</v>
      </c>
      <c r="C69" t="s">
        <v>168</v>
      </c>
      <c r="D69" t="s">
        <v>111</v>
      </c>
      <c r="E69">
        <v>0.17319000000000001</v>
      </c>
      <c r="F69" s="57">
        <v>4.0420156765799999E-2</v>
      </c>
    </row>
    <row r="70" spans="2:11" x14ac:dyDescent="0.25">
      <c r="B70">
        <v>140</v>
      </c>
      <c r="C70" t="s">
        <v>169</v>
      </c>
      <c r="D70" t="s">
        <v>111</v>
      </c>
      <c r="E70" s="57">
        <v>-8.1339999999999996E-2</v>
      </c>
      <c r="F70" s="57">
        <v>4.5223529462399999E-2</v>
      </c>
    </row>
    <row r="71" spans="2:11" x14ac:dyDescent="0.25">
      <c r="B71">
        <v>143</v>
      </c>
      <c r="C71" t="s">
        <v>170</v>
      </c>
      <c r="D71" t="s">
        <v>111</v>
      </c>
      <c r="E71" s="57">
        <v>-7.9009999999999997E-2</v>
      </c>
      <c r="F71" s="57">
        <v>3.2902214837699999E-2</v>
      </c>
    </row>
    <row r="72" spans="2:11" x14ac:dyDescent="0.25">
      <c r="B72">
        <v>144</v>
      </c>
      <c r="C72" t="s">
        <v>171</v>
      </c>
      <c r="D72" t="s">
        <v>111</v>
      </c>
      <c r="E72" s="57">
        <v>6.2170000000000003E-2</v>
      </c>
      <c r="F72" s="57">
        <v>1.8724359684500001E-2</v>
      </c>
    </row>
    <row r="73" spans="2:11" x14ac:dyDescent="0.25">
      <c r="B73">
        <v>-1</v>
      </c>
    </row>
    <row r="74" spans="2:11" x14ac:dyDescent="0.25">
      <c r="B74">
        <v>2724</v>
      </c>
      <c r="C74" s="57">
        <v>-14928.927280100001</v>
      </c>
      <c r="D74" s="57">
        <v>-18805.085161200001</v>
      </c>
      <c r="E74" s="57">
        <v>-15026.3680045</v>
      </c>
    </row>
    <row r="75" spans="2:11" x14ac:dyDescent="0.25">
      <c r="B75">
        <v>7</v>
      </c>
      <c r="C75" t="s">
        <v>172</v>
      </c>
      <c r="D75" t="s">
        <v>105</v>
      </c>
      <c r="E75">
        <v>23</v>
      </c>
      <c r="F75" t="s">
        <v>106</v>
      </c>
      <c r="G75">
        <v>16</v>
      </c>
    </row>
    <row r="76" spans="2:11" x14ac:dyDescent="0.25">
      <c r="B76">
        <v>0</v>
      </c>
      <c r="C76">
        <v>0</v>
      </c>
      <c r="D76">
        <v>27936</v>
      </c>
      <c r="E76">
        <v>0</v>
      </c>
      <c r="F76">
        <v>0</v>
      </c>
      <c r="G76">
        <v>0</v>
      </c>
      <c r="H76">
        <v>0</v>
      </c>
      <c r="I76">
        <v>-2015</v>
      </c>
      <c r="J76">
        <v>13356</v>
      </c>
      <c r="K76">
        <v>0</v>
      </c>
    </row>
    <row r="77" spans="2:11" x14ac:dyDescent="0.25">
      <c r="B77">
        <v>0</v>
      </c>
      <c r="C77">
        <v>-14709</v>
      </c>
      <c r="D77">
        <v>-8465</v>
      </c>
      <c r="E77">
        <v>0</v>
      </c>
      <c r="F77">
        <v>56394</v>
      </c>
      <c r="G77">
        <v>0</v>
      </c>
      <c r="H77">
        <v>-19001</v>
      </c>
      <c r="I77">
        <v>-19060</v>
      </c>
      <c r="J77">
        <v>0</v>
      </c>
      <c r="K77">
        <v>48860</v>
      </c>
    </row>
    <row r="78" spans="2:11" x14ac:dyDescent="0.25">
      <c r="B78">
        <v>83332</v>
      </c>
      <c r="C78">
        <v>0</v>
      </c>
      <c r="D78">
        <v>-19349</v>
      </c>
      <c r="E78">
        <v>-21487</v>
      </c>
      <c r="F78">
        <v>0</v>
      </c>
      <c r="G78">
        <v>43872</v>
      </c>
      <c r="H78">
        <v>77939</v>
      </c>
      <c r="I78">
        <v>88786</v>
      </c>
      <c r="J78">
        <v>0</v>
      </c>
      <c r="K78">
        <v>-15379</v>
      </c>
    </row>
    <row r="79" spans="2:11" x14ac:dyDescent="0.25">
      <c r="B79">
        <v>-17673</v>
      </c>
      <c r="C79">
        <v>0</v>
      </c>
      <c r="D79">
        <v>35412</v>
      </c>
      <c r="E79">
        <v>65066</v>
      </c>
      <c r="F79">
        <v>75946</v>
      </c>
      <c r="G79">
        <v>82838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-11243</v>
      </c>
      <c r="I81">
        <v>-16153</v>
      </c>
      <c r="J81">
        <v>0</v>
      </c>
      <c r="K81">
        <v>17337</v>
      </c>
    </row>
    <row r="82" spans="2:11" x14ac:dyDescent="0.25">
      <c r="B82">
        <v>26892</v>
      </c>
      <c r="C82">
        <v>29102</v>
      </c>
      <c r="D82">
        <v>28742</v>
      </c>
      <c r="E82">
        <v>23845</v>
      </c>
      <c r="F82">
        <v>0</v>
      </c>
      <c r="G82">
        <v>0</v>
      </c>
      <c r="H82">
        <v>0</v>
      </c>
      <c r="I82">
        <v>-9976</v>
      </c>
      <c r="J82">
        <v>-13334</v>
      </c>
      <c r="K82">
        <v>0</v>
      </c>
    </row>
    <row r="83" spans="2:11" x14ac:dyDescent="0.25">
      <c r="B83">
        <v>13549</v>
      </c>
      <c r="C83">
        <v>22625</v>
      </c>
      <c r="D83">
        <v>28665</v>
      </c>
      <c r="E83">
        <v>29039</v>
      </c>
      <c r="F83">
        <v>24901</v>
      </c>
      <c r="G83">
        <v>0</v>
      </c>
      <c r="H83">
        <v>0</v>
      </c>
      <c r="I83">
        <v>81550</v>
      </c>
      <c r="J83">
        <v>0</v>
      </c>
      <c r="K83">
        <v>-9226</v>
      </c>
    </row>
    <row r="84" spans="2:11" x14ac:dyDescent="0.25">
      <c r="B84">
        <v>-11953</v>
      </c>
      <c r="C84">
        <v>0</v>
      </c>
      <c r="D84">
        <v>9412</v>
      </c>
      <c r="E84">
        <v>13278</v>
      </c>
      <c r="F84">
        <v>19610</v>
      </c>
      <c r="G84">
        <v>22293</v>
      </c>
      <c r="H84">
        <v>18609</v>
      </c>
      <c r="I84">
        <v>0</v>
      </c>
      <c r="J84">
        <v>0</v>
      </c>
      <c r="K84">
        <v>67703</v>
      </c>
    </row>
    <row r="85" spans="2:11" x14ac:dyDescent="0.25">
      <c r="B85">
        <v>81562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4662</v>
      </c>
      <c r="I86">
        <v>4120</v>
      </c>
      <c r="J86">
        <v>0</v>
      </c>
      <c r="K86">
        <v>-7255</v>
      </c>
    </row>
    <row r="87" spans="2:11" x14ac:dyDescent="0.25">
      <c r="B87">
        <v>-8911</v>
      </c>
      <c r="C87">
        <v>-9633</v>
      </c>
      <c r="D87">
        <v>-14105</v>
      </c>
      <c r="E87">
        <v>-11082</v>
      </c>
      <c r="F87">
        <v>0</v>
      </c>
      <c r="G87">
        <v>0</v>
      </c>
      <c r="H87">
        <v>-3280</v>
      </c>
      <c r="I87">
        <v>5327</v>
      </c>
      <c r="J87">
        <v>23347</v>
      </c>
      <c r="K87">
        <v>0</v>
      </c>
    </row>
    <row r="88" spans="2:11" x14ac:dyDescent="0.25">
      <c r="B88">
        <v>0</v>
      </c>
      <c r="C88">
        <v>6018</v>
      </c>
      <c r="D88">
        <v>7913</v>
      </c>
      <c r="E88">
        <v>0</v>
      </c>
      <c r="F88">
        <v>-8365</v>
      </c>
      <c r="G88">
        <v>-12199</v>
      </c>
      <c r="H88">
        <v>-12742</v>
      </c>
      <c r="I88">
        <v>-19674</v>
      </c>
      <c r="J88">
        <v>-14484</v>
      </c>
      <c r="K88">
        <v>0</v>
      </c>
    </row>
    <row r="89" spans="2:11" x14ac:dyDescent="0.25">
      <c r="B89">
        <v>0</v>
      </c>
      <c r="C89">
        <v>-18317</v>
      </c>
      <c r="D89">
        <v>-12122</v>
      </c>
      <c r="E89">
        <v>6455</v>
      </c>
      <c r="F89">
        <v>0</v>
      </c>
      <c r="G89">
        <v>52009</v>
      </c>
      <c r="H89">
        <v>0</v>
      </c>
      <c r="I89">
        <v>6549</v>
      </c>
      <c r="J89">
        <v>8625</v>
      </c>
      <c r="K89">
        <v>0</v>
      </c>
    </row>
    <row r="90" spans="2:11" x14ac:dyDescent="0.25">
      <c r="B90">
        <v>-12421</v>
      </c>
      <c r="C90">
        <v>-18734</v>
      </c>
      <c r="D90">
        <v>-19479</v>
      </c>
      <c r="E90">
        <v>-27306</v>
      </c>
      <c r="F90">
        <v>-25997</v>
      </c>
      <c r="G90">
        <v>0</v>
      </c>
      <c r="H90">
        <v>0</v>
      </c>
      <c r="I90">
        <v>-35083</v>
      </c>
      <c r="J90">
        <v>-30640</v>
      </c>
      <c r="K90">
        <v>-8724</v>
      </c>
    </row>
    <row r="91" spans="2:11" x14ac:dyDescent="0.25">
      <c r="B91">
        <v>0</v>
      </c>
      <c r="C91">
        <v>53224</v>
      </c>
      <c r="D91">
        <v>60248</v>
      </c>
      <c r="E91">
        <v>0</v>
      </c>
      <c r="F91">
        <v>7199</v>
      </c>
      <c r="G91">
        <v>9577</v>
      </c>
      <c r="H91">
        <v>0</v>
      </c>
      <c r="I91">
        <v>-12156</v>
      </c>
      <c r="J91">
        <v>-19314</v>
      </c>
      <c r="K91">
        <v>-22522</v>
      </c>
    </row>
    <row r="92" spans="2:11" x14ac:dyDescent="0.25">
      <c r="B92">
        <v>-28507</v>
      </c>
      <c r="C92">
        <v>-33640</v>
      </c>
      <c r="D92">
        <v>0</v>
      </c>
      <c r="E92">
        <v>0</v>
      </c>
      <c r="F92">
        <v>-45559</v>
      </c>
      <c r="G92">
        <v>-44196</v>
      </c>
      <c r="H92">
        <v>-22893</v>
      </c>
      <c r="I92">
        <v>0</v>
      </c>
      <c r="J92">
        <v>44603</v>
      </c>
      <c r="K92">
        <v>53821</v>
      </c>
    </row>
    <row r="93" spans="2:11" x14ac:dyDescent="0.25">
      <c r="B93">
        <v>71716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4583</v>
      </c>
      <c r="D95">
        <v>4276</v>
      </c>
      <c r="E95">
        <v>0</v>
      </c>
      <c r="F95">
        <v>-6217</v>
      </c>
      <c r="G95">
        <v>-6323</v>
      </c>
      <c r="H95">
        <v>-7213</v>
      </c>
      <c r="I95">
        <v>-9933</v>
      </c>
      <c r="J95">
        <v>-13660</v>
      </c>
      <c r="K95">
        <v>0</v>
      </c>
    </row>
    <row r="96" spans="2:11" x14ac:dyDescent="0.25">
      <c r="B96">
        <v>0</v>
      </c>
      <c r="C96">
        <v>-15270</v>
      </c>
      <c r="D96">
        <v>-20617</v>
      </c>
      <c r="E96">
        <v>-16752</v>
      </c>
      <c r="F96">
        <v>0</v>
      </c>
      <c r="G96">
        <v>10290</v>
      </c>
      <c r="H96">
        <v>13040</v>
      </c>
      <c r="I96">
        <v>16523</v>
      </c>
      <c r="J96">
        <v>21409</v>
      </c>
      <c r="K96">
        <v>0</v>
      </c>
    </row>
    <row r="97" spans="2:11" x14ac:dyDescent="0.25">
      <c r="B97">
        <v>0</v>
      </c>
      <c r="C97">
        <v>4962</v>
      </c>
      <c r="D97">
        <v>3765</v>
      </c>
      <c r="E97">
        <v>0</v>
      </c>
      <c r="F97">
        <v>-5834</v>
      </c>
      <c r="G97">
        <v>-5823</v>
      </c>
      <c r="H97">
        <v>-6328</v>
      </c>
      <c r="I97">
        <v>-9894</v>
      </c>
      <c r="J97">
        <v>-12710</v>
      </c>
      <c r="K97">
        <v>0</v>
      </c>
    </row>
    <row r="98" spans="2:11" x14ac:dyDescent="0.25">
      <c r="B98">
        <v>0</v>
      </c>
      <c r="C98">
        <v>-13194</v>
      </c>
      <c r="D98">
        <v>-20731</v>
      </c>
      <c r="E98">
        <v>-18523</v>
      </c>
      <c r="F98">
        <v>0</v>
      </c>
      <c r="G98">
        <v>11434</v>
      </c>
      <c r="H98">
        <v>13843</v>
      </c>
      <c r="I98">
        <v>16725</v>
      </c>
      <c r="J98">
        <v>20919</v>
      </c>
      <c r="K98">
        <v>0</v>
      </c>
    </row>
    <row r="99" spans="2:11" x14ac:dyDescent="0.25">
      <c r="B99">
        <v>94924</v>
      </c>
      <c r="C99">
        <v>0</v>
      </c>
      <c r="D99">
        <v>5595</v>
      </c>
      <c r="E99">
        <v>4367</v>
      </c>
      <c r="F99">
        <v>0</v>
      </c>
      <c r="G99">
        <v>-6149</v>
      </c>
      <c r="H99">
        <v>-3843</v>
      </c>
      <c r="I99">
        <v>-4917</v>
      </c>
      <c r="J99">
        <v>-9485</v>
      </c>
      <c r="K99">
        <v>-11238</v>
      </c>
    </row>
    <row r="100" spans="2:11" x14ac:dyDescent="0.25">
      <c r="B100">
        <v>0</v>
      </c>
      <c r="C100">
        <v>0</v>
      </c>
      <c r="D100">
        <v>-11309</v>
      </c>
      <c r="E100">
        <v>-16376</v>
      </c>
      <c r="F100">
        <v>-20423</v>
      </c>
      <c r="G100">
        <v>0</v>
      </c>
      <c r="H100">
        <v>12503</v>
      </c>
      <c r="I100">
        <v>14162</v>
      </c>
      <c r="J100">
        <v>16055</v>
      </c>
      <c r="K100">
        <v>18839</v>
      </c>
    </row>
    <row r="101" spans="2:11" x14ac:dyDescent="0.25">
      <c r="B101">
        <v>0</v>
      </c>
      <c r="C101">
        <v>85486</v>
      </c>
      <c r="D101">
        <v>89046</v>
      </c>
      <c r="E101">
        <v>0</v>
      </c>
      <c r="F101">
        <v>4748</v>
      </c>
      <c r="G101">
        <v>1255</v>
      </c>
      <c r="H101">
        <v>0</v>
      </c>
      <c r="I101">
        <v>-2737</v>
      </c>
      <c r="J101">
        <v>-1651</v>
      </c>
      <c r="K101">
        <v>-2343</v>
      </c>
    </row>
    <row r="102" spans="2:11" x14ac:dyDescent="0.25">
      <c r="B102">
        <v>-6389</v>
      </c>
      <c r="C102">
        <v>-7312</v>
      </c>
      <c r="D102">
        <v>0</v>
      </c>
      <c r="E102">
        <v>0</v>
      </c>
      <c r="F102">
        <v>-5419</v>
      </c>
      <c r="G102">
        <v>-7577</v>
      </c>
      <c r="H102">
        <v>-8363</v>
      </c>
      <c r="I102">
        <v>0</v>
      </c>
      <c r="J102">
        <v>14102</v>
      </c>
      <c r="K102">
        <v>14717</v>
      </c>
    </row>
    <row r="103" spans="2:11" x14ac:dyDescent="0.25">
      <c r="B103">
        <v>14141</v>
      </c>
      <c r="C103">
        <v>14675</v>
      </c>
      <c r="D103">
        <v>0</v>
      </c>
      <c r="E103">
        <v>67434</v>
      </c>
      <c r="F103">
        <v>74345</v>
      </c>
      <c r="G103">
        <v>80283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1004</v>
      </c>
      <c r="D106">
        <v>-2001</v>
      </c>
      <c r="E106">
        <v>0</v>
      </c>
      <c r="F106">
        <v>66</v>
      </c>
      <c r="G106">
        <v>712</v>
      </c>
      <c r="H106">
        <v>866</v>
      </c>
      <c r="I106">
        <v>2821</v>
      </c>
      <c r="J106">
        <v>4071</v>
      </c>
      <c r="K106">
        <v>0</v>
      </c>
    </row>
    <row r="107" spans="2:11" x14ac:dyDescent="0.25">
      <c r="B107">
        <v>0</v>
      </c>
      <c r="C107">
        <v>127</v>
      </c>
      <c r="D107">
        <v>-89</v>
      </c>
      <c r="E107">
        <v>-2191</v>
      </c>
      <c r="F107">
        <v>0</v>
      </c>
      <c r="G107">
        <v>-4783</v>
      </c>
      <c r="H107">
        <v>-13484</v>
      </c>
      <c r="I107">
        <v>-14441</v>
      </c>
      <c r="J107">
        <v>-11431</v>
      </c>
      <c r="K107">
        <v>0</v>
      </c>
    </row>
    <row r="108" spans="2:11" x14ac:dyDescent="0.25">
      <c r="B108">
        <v>6373</v>
      </c>
      <c r="C108">
        <v>13054</v>
      </c>
      <c r="D108">
        <v>22871</v>
      </c>
      <c r="E108">
        <v>39423</v>
      </c>
      <c r="F108">
        <v>0</v>
      </c>
      <c r="G108">
        <v>0</v>
      </c>
      <c r="H108">
        <v>510</v>
      </c>
      <c r="I108">
        <v>-202</v>
      </c>
      <c r="J108">
        <v>0</v>
      </c>
      <c r="K108">
        <v>617</v>
      </c>
    </row>
    <row r="109" spans="2:11" x14ac:dyDescent="0.25">
      <c r="B109">
        <v>1374</v>
      </c>
      <c r="C109">
        <v>1271</v>
      </c>
      <c r="D109">
        <v>2927</v>
      </c>
      <c r="E109">
        <v>4862</v>
      </c>
      <c r="F109">
        <v>0</v>
      </c>
      <c r="G109">
        <v>0</v>
      </c>
      <c r="H109">
        <v>586</v>
      </c>
      <c r="I109">
        <v>855</v>
      </c>
      <c r="J109">
        <v>-680</v>
      </c>
      <c r="K109">
        <v>0</v>
      </c>
    </row>
    <row r="110" spans="2:11" x14ac:dyDescent="0.25">
      <c r="B110">
        <v>-380</v>
      </c>
      <c r="C110">
        <v>-7539</v>
      </c>
      <c r="D110">
        <v>-14828</v>
      </c>
      <c r="E110">
        <v>-11352</v>
      </c>
      <c r="F110">
        <v>0</v>
      </c>
      <c r="G110">
        <v>-5903</v>
      </c>
      <c r="H110">
        <v>-1964</v>
      </c>
      <c r="I110">
        <v>4661</v>
      </c>
      <c r="J110">
        <v>16360</v>
      </c>
      <c r="K110">
        <v>0</v>
      </c>
    </row>
    <row r="111" spans="2:11" x14ac:dyDescent="0.25">
      <c r="B111">
        <v>28608</v>
      </c>
      <c r="C111">
        <v>0</v>
      </c>
      <c r="D111">
        <v>1011</v>
      </c>
      <c r="E111">
        <v>-433</v>
      </c>
      <c r="F111">
        <v>0</v>
      </c>
      <c r="G111">
        <v>995</v>
      </c>
      <c r="H111">
        <v>1485</v>
      </c>
      <c r="I111">
        <v>1344</v>
      </c>
      <c r="J111">
        <v>3430</v>
      </c>
      <c r="K111">
        <v>8096</v>
      </c>
    </row>
    <row r="112" spans="2:11" x14ac:dyDescent="0.25">
      <c r="B112">
        <v>0</v>
      </c>
      <c r="C112">
        <v>0</v>
      </c>
      <c r="D112">
        <v>721</v>
      </c>
      <c r="E112">
        <v>1623</v>
      </c>
      <c r="F112">
        <v>29</v>
      </c>
      <c r="G112">
        <v>0</v>
      </c>
      <c r="H112">
        <v>-572</v>
      </c>
      <c r="I112">
        <v>-4857</v>
      </c>
      <c r="J112">
        <v>-16391</v>
      </c>
      <c r="K112">
        <v>-20662</v>
      </c>
    </row>
    <row r="113" spans="2:11" x14ac:dyDescent="0.25">
      <c r="B113">
        <v>0</v>
      </c>
      <c r="C113">
        <v>-19241</v>
      </c>
      <c r="D113">
        <v>-15005</v>
      </c>
      <c r="E113">
        <v>-6734</v>
      </c>
      <c r="F113">
        <v>8734</v>
      </c>
      <c r="G113">
        <v>0</v>
      </c>
      <c r="H113">
        <v>31140</v>
      </c>
      <c r="I113">
        <v>23638</v>
      </c>
      <c r="J113">
        <v>0</v>
      </c>
      <c r="K113">
        <v>-524</v>
      </c>
    </row>
    <row r="114" spans="2:11" x14ac:dyDescent="0.25">
      <c r="B114">
        <v>-684</v>
      </c>
      <c r="C114">
        <v>0</v>
      </c>
      <c r="D114">
        <v>1124</v>
      </c>
      <c r="E114">
        <v>882</v>
      </c>
      <c r="F114">
        <v>789</v>
      </c>
      <c r="G114">
        <v>2436</v>
      </c>
      <c r="H114">
        <v>7616</v>
      </c>
      <c r="I114">
        <v>0</v>
      </c>
      <c r="J114">
        <v>0</v>
      </c>
      <c r="K114">
        <v>-937</v>
      </c>
    </row>
    <row r="115" spans="2:11" x14ac:dyDescent="0.25">
      <c r="B115">
        <v>125</v>
      </c>
      <c r="C115">
        <v>-507</v>
      </c>
      <c r="D115">
        <v>0</v>
      </c>
      <c r="E115">
        <v>-585</v>
      </c>
      <c r="F115">
        <v>-3437</v>
      </c>
      <c r="G115">
        <v>-8211</v>
      </c>
      <c r="H115">
        <v>-20190</v>
      </c>
      <c r="I115">
        <v>0</v>
      </c>
      <c r="J115">
        <v>-24919</v>
      </c>
      <c r="K115">
        <v>-21929</v>
      </c>
    </row>
    <row r="116" spans="2:11" x14ac:dyDescent="0.25">
      <c r="B116">
        <v>-15073</v>
      </c>
      <c r="C116">
        <v>-1452</v>
      </c>
      <c r="D116">
        <v>0</v>
      </c>
      <c r="E116">
        <v>22836</v>
      </c>
      <c r="F116">
        <v>18571</v>
      </c>
      <c r="G116">
        <v>28473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4023</v>
      </c>
      <c r="I119">
        <v>5546</v>
      </c>
      <c r="J119">
        <v>0</v>
      </c>
      <c r="K119">
        <v>-6826</v>
      </c>
    </row>
    <row r="120" spans="2:11" x14ac:dyDescent="0.25">
      <c r="B120">
        <v>-15958</v>
      </c>
      <c r="C120">
        <v>-18955</v>
      </c>
      <c r="D120">
        <v>-20211</v>
      </c>
      <c r="E120">
        <v>-22025</v>
      </c>
      <c r="F120">
        <v>0</v>
      </c>
      <c r="G120">
        <v>0</v>
      </c>
      <c r="H120">
        <v>16902</v>
      </c>
      <c r="I120">
        <v>17550</v>
      </c>
      <c r="J120">
        <v>12822</v>
      </c>
      <c r="K120">
        <v>0</v>
      </c>
    </row>
    <row r="121" spans="2:11" x14ac:dyDescent="0.25">
      <c r="B121">
        <v>-5075</v>
      </c>
      <c r="C121">
        <v>-9112</v>
      </c>
      <c r="D121">
        <v>-13646</v>
      </c>
      <c r="E121">
        <v>-17122</v>
      </c>
      <c r="F121">
        <v>0</v>
      </c>
      <c r="G121">
        <v>-3980</v>
      </c>
      <c r="H121">
        <v>-3975</v>
      </c>
      <c r="I121">
        <v>-3320</v>
      </c>
      <c r="J121">
        <v>-2132</v>
      </c>
      <c r="K121">
        <v>0</v>
      </c>
    </row>
    <row r="122" spans="2:11" x14ac:dyDescent="0.25">
      <c r="B122">
        <v>1276</v>
      </c>
      <c r="C122">
        <v>1263</v>
      </c>
      <c r="D122">
        <v>2107</v>
      </c>
      <c r="E122">
        <v>1551</v>
      </c>
      <c r="F122">
        <v>0</v>
      </c>
      <c r="G122">
        <v>0</v>
      </c>
      <c r="H122">
        <v>-208</v>
      </c>
      <c r="I122">
        <v>-118</v>
      </c>
      <c r="J122">
        <v>0</v>
      </c>
      <c r="K122">
        <v>265</v>
      </c>
    </row>
    <row r="123" spans="2:11" x14ac:dyDescent="0.25">
      <c r="B123">
        <v>35</v>
      </c>
      <c r="C123">
        <v>-496</v>
      </c>
      <c r="D123">
        <v>-600</v>
      </c>
      <c r="E123">
        <v>9</v>
      </c>
      <c r="F123">
        <v>0</v>
      </c>
      <c r="G123">
        <v>0</v>
      </c>
      <c r="H123">
        <v>10850</v>
      </c>
      <c r="I123">
        <v>10196</v>
      </c>
      <c r="J123">
        <v>7588</v>
      </c>
      <c r="K123">
        <v>0</v>
      </c>
    </row>
    <row r="124" spans="2:11" x14ac:dyDescent="0.25">
      <c r="B124">
        <v>-3204</v>
      </c>
      <c r="C124">
        <v>-5196</v>
      </c>
      <c r="D124">
        <v>-8369</v>
      </c>
      <c r="E124">
        <v>-10024</v>
      </c>
      <c r="F124">
        <v>0</v>
      </c>
      <c r="G124">
        <v>6786</v>
      </c>
      <c r="H124">
        <v>5096</v>
      </c>
      <c r="I124">
        <v>3439</v>
      </c>
      <c r="J124">
        <v>1690</v>
      </c>
      <c r="K124">
        <v>0</v>
      </c>
    </row>
    <row r="125" spans="2:11" x14ac:dyDescent="0.25">
      <c r="B125">
        <v>-782</v>
      </c>
      <c r="C125">
        <v>-812</v>
      </c>
      <c r="D125">
        <v>-1406</v>
      </c>
      <c r="E125">
        <v>-1911</v>
      </c>
      <c r="F125">
        <v>0</v>
      </c>
      <c r="G125">
        <v>26392</v>
      </c>
      <c r="H125">
        <v>0</v>
      </c>
      <c r="I125">
        <v>2124</v>
      </c>
      <c r="J125">
        <v>3307</v>
      </c>
      <c r="K125">
        <v>0</v>
      </c>
    </row>
    <row r="126" spans="2:11" x14ac:dyDescent="0.25">
      <c r="B126">
        <v>-5495</v>
      </c>
      <c r="C126">
        <v>-16387</v>
      </c>
      <c r="D126">
        <v>-22188</v>
      </c>
      <c r="E126">
        <v>-25211</v>
      </c>
      <c r="F126">
        <v>-27779</v>
      </c>
      <c r="G126">
        <v>0</v>
      </c>
      <c r="H126">
        <v>0</v>
      </c>
      <c r="I126">
        <v>19962</v>
      </c>
      <c r="J126">
        <v>20544</v>
      </c>
      <c r="K126">
        <v>15441</v>
      </c>
    </row>
    <row r="127" spans="2:11" x14ac:dyDescent="0.25">
      <c r="B127">
        <v>0</v>
      </c>
      <c r="C127">
        <v>-6425</v>
      </c>
      <c r="D127">
        <v>-11690</v>
      </c>
      <c r="E127">
        <v>-17425</v>
      </c>
      <c r="F127">
        <v>-22057</v>
      </c>
      <c r="G127">
        <v>0</v>
      </c>
      <c r="H127">
        <v>-5790</v>
      </c>
      <c r="I127">
        <v>-5802</v>
      </c>
      <c r="J127">
        <v>-5099</v>
      </c>
      <c r="K127">
        <v>-3415</v>
      </c>
    </row>
    <row r="128" spans="2:11" x14ac:dyDescent="0.25">
      <c r="B128">
        <v>0</v>
      </c>
      <c r="C128">
        <v>2107</v>
      </c>
      <c r="D128">
        <v>2142</v>
      </c>
      <c r="E128">
        <v>3607</v>
      </c>
      <c r="F128">
        <v>2930</v>
      </c>
      <c r="G128">
        <v>0</v>
      </c>
      <c r="H128">
        <v>26599</v>
      </c>
      <c r="I128">
        <v>6896</v>
      </c>
      <c r="J128">
        <v>0</v>
      </c>
      <c r="K128">
        <v>308</v>
      </c>
    </row>
    <row r="129" spans="2:11" x14ac:dyDescent="0.25">
      <c r="B129">
        <v>636</v>
      </c>
      <c r="C129">
        <v>0</v>
      </c>
      <c r="D129">
        <v>-249</v>
      </c>
      <c r="E129">
        <v>-1004</v>
      </c>
      <c r="F129">
        <v>-1371</v>
      </c>
      <c r="G129">
        <v>-542</v>
      </c>
      <c r="H129">
        <v>925</v>
      </c>
      <c r="I129">
        <v>0</v>
      </c>
      <c r="J129">
        <v>0</v>
      </c>
      <c r="K129">
        <v>10528</v>
      </c>
    </row>
    <row r="130" spans="2:11" x14ac:dyDescent="0.25">
      <c r="B130">
        <v>10380</v>
      </c>
      <c r="C130">
        <v>8545</v>
      </c>
      <c r="D130">
        <v>0</v>
      </c>
      <c r="E130">
        <v>-4402</v>
      </c>
      <c r="F130">
        <v>-7252</v>
      </c>
      <c r="G130">
        <v>-12154</v>
      </c>
      <c r="H130">
        <v>-15046</v>
      </c>
      <c r="I130">
        <v>0</v>
      </c>
      <c r="J130">
        <v>5270</v>
      </c>
      <c r="K130">
        <v>2801</v>
      </c>
    </row>
    <row r="131" spans="2:11" x14ac:dyDescent="0.25">
      <c r="B131">
        <v>787</v>
      </c>
      <c r="C131">
        <v>-443</v>
      </c>
      <c r="D131">
        <v>0</v>
      </c>
      <c r="E131">
        <v>838</v>
      </c>
      <c r="F131">
        <v>1074</v>
      </c>
      <c r="G131">
        <v>2005</v>
      </c>
      <c r="H131">
        <v>1580</v>
      </c>
      <c r="I131">
        <v>0</v>
      </c>
      <c r="J131">
        <v>6577</v>
      </c>
      <c r="K131">
        <v>18624</v>
      </c>
    </row>
    <row r="132" spans="2:11" x14ac:dyDescent="0.25">
      <c r="B132">
        <v>31277</v>
      </c>
      <c r="C132">
        <v>0</v>
      </c>
      <c r="D132">
        <v>2269</v>
      </c>
      <c r="E132">
        <v>3555</v>
      </c>
      <c r="F132">
        <v>0</v>
      </c>
      <c r="G132">
        <v>-6455</v>
      </c>
      <c r="H132">
        <v>-21755</v>
      </c>
      <c r="I132">
        <v>-31503</v>
      </c>
      <c r="J132">
        <v>-37268</v>
      </c>
      <c r="K132">
        <v>-41443</v>
      </c>
    </row>
    <row r="133" spans="2:11" x14ac:dyDescent="0.25">
      <c r="B133">
        <v>0</v>
      </c>
      <c r="C133">
        <v>0</v>
      </c>
      <c r="D133">
        <v>34613</v>
      </c>
      <c r="E133">
        <v>34690</v>
      </c>
      <c r="F133">
        <v>25442</v>
      </c>
      <c r="G133">
        <v>0</v>
      </c>
      <c r="H133">
        <v>-10066</v>
      </c>
      <c r="I133">
        <v>-17993</v>
      </c>
      <c r="J133">
        <v>-26270</v>
      </c>
      <c r="K133">
        <v>-32219</v>
      </c>
    </row>
    <row r="134" spans="2:11" x14ac:dyDescent="0.25">
      <c r="B134">
        <v>0</v>
      </c>
      <c r="C134">
        <v>-5880</v>
      </c>
      <c r="D134">
        <v>-6253</v>
      </c>
      <c r="E134">
        <v>-5502</v>
      </c>
      <c r="F134">
        <v>-3689</v>
      </c>
      <c r="G134">
        <v>0</v>
      </c>
      <c r="H134">
        <v>2119</v>
      </c>
      <c r="I134">
        <v>1983</v>
      </c>
      <c r="J134">
        <v>3079</v>
      </c>
      <c r="K134">
        <v>1841</v>
      </c>
    </row>
    <row r="135" spans="2:11" x14ac:dyDescent="0.25">
      <c r="B135">
        <v>0</v>
      </c>
      <c r="C135">
        <v>39922</v>
      </c>
      <c r="D135">
        <v>9745</v>
      </c>
      <c r="E135">
        <v>55795</v>
      </c>
      <c r="F135">
        <v>12580</v>
      </c>
      <c r="G135">
        <v>0</v>
      </c>
      <c r="H135">
        <v>-107</v>
      </c>
      <c r="I135">
        <v>482</v>
      </c>
      <c r="J135">
        <v>0</v>
      </c>
      <c r="K135">
        <v>638</v>
      </c>
    </row>
    <row r="136" spans="2:11" x14ac:dyDescent="0.25">
      <c r="B136">
        <v>-139</v>
      </c>
      <c r="C136">
        <v>-1036</v>
      </c>
      <c r="D136">
        <v>10</v>
      </c>
      <c r="E136">
        <v>2433</v>
      </c>
      <c r="F136">
        <v>0</v>
      </c>
      <c r="G136">
        <v>0</v>
      </c>
      <c r="H136">
        <v>22288</v>
      </c>
      <c r="I136">
        <v>21680</v>
      </c>
      <c r="J136">
        <v>17491</v>
      </c>
      <c r="K136">
        <v>0</v>
      </c>
    </row>
    <row r="137" spans="2:11" x14ac:dyDescent="0.25">
      <c r="B137">
        <v>-8584</v>
      </c>
      <c r="C137">
        <v>-13810</v>
      </c>
      <c r="D137">
        <v>-22731</v>
      </c>
      <c r="E137">
        <v>-27192</v>
      </c>
      <c r="F137">
        <v>0</v>
      </c>
      <c r="G137">
        <v>7362</v>
      </c>
      <c r="H137">
        <v>978</v>
      </c>
      <c r="I137">
        <v>-2877</v>
      </c>
      <c r="J137">
        <v>-3497</v>
      </c>
      <c r="K137">
        <v>0</v>
      </c>
    </row>
    <row r="138" spans="2:11" x14ac:dyDescent="0.25">
      <c r="B138">
        <v>2822</v>
      </c>
      <c r="C138">
        <v>3200</v>
      </c>
      <c r="D138">
        <v>5111</v>
      </c>
      <c r="E138">
        <v>3471</v>
      </c>
      <c r="F138">
        <v>0</v>
      </c>
      <c r="G138">
        <v>11359</v>
      </c>
      <c r="H138">
        <v>30331</v>
      </c>
      <c r="I138">
        <v>15663</v>
      </c>
      <c r="J138">
        <v>42680</v>
      </c>
      <c r="K138">
        <v>28467</v>
      </c>
    </row>
    <row r="139" spans="2:11" x14ac:dyDescent="0.25">
      <c r="B139">
        <v>0</v>
      </c>
      <c r="C139">
        <v>21294</v>
      </c>
      <c r="D139">
        <v>18358</v>
      </c>
      <c r="E139">
        <v>0</v>
      </c>
      <c r="F139">
        <v>-7854</v>
      </c>
      <c r="G139">
        <v>-9649</v>
      </c>
      <c r="H139">
        <v>-9738</v>
      </c>
      <c r="I139">
        <v>-11291</v>
      </c>
      <c r="J139">
        <v>-12463</v>
      </c>
      <c r="K139">
        <v>0</v>
      </c>
    </row>
    <row r="140" spans="2:11" x14ac:dyDescent="0.25">
      <c r="B140">
        <v>0</v>
      </c>
      <c r="C140">
        <v>15598</v>
      </c>
      <c r="D140">
        <v>16115</v>
      </c>
      <c r="E140">
        <v>12543</v>
      </c>
      <c r="F140">
        <v>0</v>
      </c>
      <c r="G140">
        <v>-5397</v>
      </c>
      <c r="H140">
        <v>-9240</v>
      </c>
      <c r="I140">
        <v>-13175</v>
      </c>
      <c r="J140">
        <v>-15348</v>
      </c>
      <c r="K140">
        <v>0</v>
      </c>
    </row>
    <row r="141" spans="2:11" x14ac:dyDescent="0.25">
      <c r="B141">
        <v>-2182</v>
      </c>
      <c r="C141">
        <v>-2514</v>
      </c>
      <c r="D141">
        <v>-2457</v>
      </c>
      <c r="E141">
        <v>-1506</v>
      </c>
      <c r="F141">
        <v>0</v>
      </c>
      <c r="G141">
        <v>703</v>
      </c>
      <c r="H141">
        <v>458</v>
      </c>
      <c r="I141">
        <v>449</v>
      </c>
      <c r="J141">
        <v>170</v>
      </c>
      <c r="K141">
        <v>0</v>
      </c>
    </row>
    <row r="142" spans="2:11" x14ac:dyDescent="0.25">
      <c r="B142">
        <v>16802</v>
      </c>
      <c r="C142">
        <v>4069</v>
      </c>
      <c r="D142">
        <v>22241</v>
      </c>
      <c r="E142">
        <v>5640</v>
      </c>
      <c r="F142">
        <v>32706</v>
      </c>
      <c r="G142">
        <v>9618</v>
      </c>
      <c r="H142">
        <v>0</v>
      </c>
      <c r="I142">
        <v>-128</v>
      </c>
      <c r="J142">
        <v>381</v>
      </c>
      <c r="K142">
        <v>0</v>
      </c>
    </row>
    <row r="143" spans="2:11" x14ac:dyDescent="0.25">
      <c r="B143">
        <v>-878</v>
      </c>
      <c r="C143">
        <v>-1597</v>
      </c>
      <c r="D143">
        <v>-1475</v>
      </c>
      <c r="E143">
        <v>-1923</v>
      </c>
      <c r="F143">
        <v>-1173</v>
      </c>
      <c r="G143">
        <v>0</v>
      </c>
      <c r="H143">
        <v>0</v>
      </c>
      <c r="I143">
        <v>15086</v>
      </c>
      <c r="J143">
        <v>13942</v>
      </c>
      <c r="K143">
        <v>10241</v>
      </c>
    </row>
    <row r="144" spans="2:11" x14ac:dyDescent="0.25">
      <c r="B144">
        <v>0</v>
      </c>
      <c r="C144">
        <v>-3446</v>
      </c>
      <c r="D144">
        <v>-4810</v>
      </c>
      <c r="E144">
        <v>-7532</v>
      </c>
      <c r="F144">
        <v>-9251</v>
      </c>
      <c r="G144">
        <v>0</v>
      </c>
      <c r="H144">
        <v>10017</v>
      </c>
      <c r="I144">
        <v>9730</v>
      </c>
      <c r="J144">
        <v>9338</v>
      </c>
      <c r="K144">
        <v>6530</v>
      </c>
    </row>
    <row r="145" spans="2:11" x14ac:dyDescent="0.25">
      <c r="B145">
        <v>0</v>
      </c>
      <c r="C145">
        <v>-4541</v>
      </c>
      <c r="D145">
        <v>-5151</v>
      </c>
      <c r="E145">
        <v>-9869</v>
      </c>
      <c r="F145">
        <v>-13196</v>
      </c>
      <c r="G145">
        <v>0</v>
      </c>
      <c r="H145">
        <v>7024</v>
      </c>
      <c r="I145">
        <v>20846</v>
      </c>
      <c r="J145">
        <v>9689</v>
      </c>
      <c r="K145">
        <v>28090</v>
      </c>
    </row>
    <row r="146" spans="2:11" x14ac:dyDescent="0.25">
      <c r="B146">
        <v>13689</v>
      </c>
      <c r="C146">
        <v>43809</v>
      </c>
      <c r="D146">
        <v>18428</v>
      </c>
      <c r="E146">
        <v>0</v>
      </c>
      <c r="F146">
        <v>-5161</v>
      </c>
      <c r="G146">
        <v>-6428</v>
      </c>
      <c r="H146">
        <v>0</v>
      </c>
      <c r="I146">
        <v>6313</v>
      </c>
      <c r="J146">
        <v>10010</v>
      </c>
      <c r="K146">
        <v>6057</v>
      </c>
    </row>
    <row r="147" spans="2:11" x14ac:dyDescent="0.25">
      <c r="B147">
        <v>772</v>
      </c>
      <c r="C147">
        <v>-1984</v>
      </c>
      <c r="D147">
        <v>0</v>
      </c>
      <c r="E147">
        <v>0</v>
      </c>
      <c r="F147">
        <v>-865</v>
      </c>
      <c r="G147">
        <v>-2050</v>
      </c>
      <c r="H147">
        <v>-1286</v>
      </c>
      <c r="I147">
        <v>0</v>
      </c>
      <c r="J147">
        <v>425</v>
      </c>
      <c r="K147">
        <v>301</v>
      </c>
    </row>
    <row r="148" spans="2:11" x14ac:dyDescent="0.25">
      <c r="B148">
        <v>537</v>
      </c>
      <c r="C148">
        <v>719</v>
      </c>
      <c r="D148">
        <v>0</v>
      </c>
      <c r="E148">
        <v>-300</v>
      </c>
      <c r="F148">
        <v>-471</v>
      </c>
      <c r="G148">
        <v>-665</v>
      </c>
      <c r="H148">
        <v>-546</v>
      </c>
      <c r="I148">
        <v>0</v>
      </c>
      <c r="J148">
        <v>493</v>
      </c>
      <c r="K148">
        <v>588</v>
      </c>
    </row>
    <row r="149" spans="2:11" x14ac:dyDescent="0.25">
      <c r="B149">
        <v>990</v>
      </c>
      <c r="C149">
        <v>1095</v>
      </c>
      <c r="D149">
        <v>0</v>
      </c>
      <c r="E149">
        <v>-2480</v>
      </c>
      <c r="F149">
        <v>-310</v>
      </c>
      <c r="G149">
        <v>-4</v>
      </c>
      <c r="H149">
        <v>-717</v>
      </c>
      <c r="I149">
        <v>-18045</v>
      </c>
      <c r="J149">
        <v>-8311</v>
      </c>
      <c r="K149">
        <v>-689</v>
      </c>
    </row>
    <row r="150" spans="2:11" x14ac:dyDescent="0.25">
      <c r="B150">
        <v>-119</v>
      </c>
      <c r="C150">
        <v>0</v>
      </c>
      <c r="D150">
        <v>-78</v>
      </c>
      <c r="E150">
        <v>134</v>
      </c>
      <c r="F150">
        <v>0</v>
      </c>
      <c r="G150">
        <v>461</v>
      </c>
      <c r="H150">
        <v>885</v>
      </c>
      <c r="I150">
        <v>1144</v>
      </c>
      <c r="J150">
        <v>1175</v>
      </c>
      <c r="K150">
        <v>1601</v>
      </c>
    </row>
    <row r="151" spans="2:11" x14ac:dyDescent="0.25">
      <c r="B151">
        <v>0</v>
      </c>
      <c r="C151">
        <v>0</v>
      </c>
      <c r="D151">
        <v>-2092</v>
      </c>
      <c r="E151">
        <v>-1393</v>
      </c>
      <c r="F151">
        <v>-14</v>
      </c>
      <c r="G151">
        <v>0</v>
      </c>
      <c r="H151">
        <v>-1025</v>
      </c>
      <c r="I151">
        <v>-2006</v>
      </c>
      <c r="J151">
        <v>-3942</v>
      </c>
      <c r="K151">
        <v>-5089</v>
      </c>
    </row>
    <row r="152" spans="2:11" x14ac:dyDescent="0.25">
      <c r="B152">
        <v>0</v>
      </c>
      <c r="C152">
        <v>-7033</v>
      </c>
      <c r="D152">
        <v>-9600</v>
      </c>
      <c r="E152">
        <v>-10096</v>
      </c>
      <c r="F152">
        <v>-7288</v>
      </c>
      <c r="G152">
        <v>0</v>
      </c>
      <c r="H152">
        <v>5001</v>
      </c>
      <c r="I152">
        <v>5694</v>
      </c>
      <c r="J152">
        <v>10025</v>
      </c>
      <c r="K152">
        <v>10715</v>
      </c>
    </row>
    <row r="153" spans="2:11" x14ac:dyDescent="0.25">
      <c r="B153">
        <v>0</v>
      </c>
      <c r="C153">
        <v>-16</v>
      </c>
      <c r="D153">
        <v>-1586</v>
      </c>
      <c r="E153">
        <v>423</v>
      </c>
      <c r="F153">
        <v>-1210</v>
      </c>
      <c r="G153">
        <v>-5211</v>
      </c>
      <c r="H153">
        <v>-22643</v>
      </c>
      <c r="I153">
        <v>347</v>
      </c>
      <c r="J153">
        <v>-2325</v>
      </c>
      <c r="K153">
        <v>30361</v>
      </c>
    </row>
    <row r="154" spans="2:11" x14ac:dyDescent="0.25">
      <c r="B154">
        <v>0</v>
      </c>
      <c r="C154">
        <v>236</v>
      </c>
      <c r="D154">
        <v>796</v>
      </c>
      <c r="E154">
        <v>0</v>
      </c>
      <c r="F154">
        <v>-1132</v>
      </c>
      <c r="G154">
        <v>-3838</v>
      </c>
      <c r="H154">
        <v>-4854</v>
      </c>
      <c r="I154">
        <v>-7158</v>
      </c>
      <c r="J154">
        <v>-10088</v>
      </c>
      <c r="K154">
        <v>0</v>
      </c>
    </row>
    <row r="155" spans="2:11" x14ac:dyDescent="0.25">
      <c r="B155">
        <v>0</v>
      </c>
      <c r="C155">
        <v>9294</v>
      </c>
      <c r="D155">
        <v>5318</v>
      </c>
      <c r="E155">
        <v>2041</v>
      </c>
      <c r="F155">
        <v>0</v>
      </c>
      <c r="G155">
        <v>280</v>
      </c>
      <c r="H155">
        <v>110</v>
      </c>
      <c r="I155">
        <v>736</v>
      </c>
      <c r="J155">
        <v>1200</v>
      </c>
      <c r="K155">
        <v>0</v>
      </c>
    </row>
    <row r="156" spans="2:11" x14ac:dyDescent="0.25">
      <c r="B156">
        <v>519</v>
      </c>
      <c r="C156">
        <v>964</v>
      </c>
      <c r="D156">
        <v>1218</v>
      </c>
      <c r="E156">
        <v>915</v>
      </c>
      <c r="F156">
        <v>0</v>
      </c>
      <c r="G156">
        <v>-601</v>
      </c>
      <c r="H156">
        <v>-696</v>
      </c>
      <c r="I156">
        <v>-1236</v>
      </c>
      <c r="J156">
        <v>-1366</v>
      </c>
      <c r="K156">
        <v>0</v>
      </c>
    </row>
    <row r="157" spans="2:11" x14ac:dyDescent="0.25">
      <c r="B157">
        <v>-7783</v>
      </c>
      <c r="C157">
        <v>-1690</v>
      </c>
      <c r="D157">
        <v>-9154</v>
      </c>
      <c r="E157">
        <v>-2616</v>
      </c>
      <c r="F157">
        <v>-26781</v>
      </c>
      <c r="G157">
        <v>-8785</v>
      </c>
      <c r="H157">
        <v>-4763</v>
      </c>
      <c r="I157">
        <v>-856</v>
      </c>
      <c r="J157">
        <v>38451</v>
      </c>
      <c r="K157">
        <v>6641</v>
      </c>
    </row>
    <row r="158" spans="2:11" x14ac:dyDescent="0.25">
      <c r="B158">
        <v>0</v>
      </c>
      <c r="C158">
        <v>-376</v>
      </c>
      <c r="D158">
        <v>-124</v>
      </c>
      <c r="E158">
        <v>0</v>
      </c>
      <c r="F158">
        <v>845</v>
      </c>
      <c r="G158">
        <v>927</v>
      </c>
      <c r="H158">
        <v>460</v>
      </c>
      <c r="I158">
        <v>146</v>
      </c>
      <c r="J158">
        <v>1079</v>
      </c>
      <c r="K158">
        <v>0</v>
      </c>
    </row>
    <row r="159" spans="2:11" x14ac:dyDescent="0.25">
      <c r="B159">
        <v>0</v>
      </c>
      <c r="C159">
        <v>8618</v>
      </c>
      <c r="D159">
        <v>5977</v>
      </c>
      <c r="E159">
        <v>3702</v>
      </c>
      <c r="F159">
        <v>0</v>
      </c>
      <c r="G159">
        <v>-1544</v>
      </c>
      <c r="H159">
        <v>-2524</v>
      </c>
      <c r="I159">
        <v>-5108</v>
      </c>
      <c r="J159">
        <v>-6764</v>
      </c>
      <c r="K159">
        <v>0</v>
      </c>
    </row>
    <row r="160" spans="2:11" x14ac:dyDescent="0.25">
      <c r="B160">
        <v>-29</v>
      </c>
      <c r="C160">
        <v>-3041</v>
      </c>
      <c r="D160">
        <v>-3631</v>
      </c>
      <c r="E160">
        <v>-2359</v>
      </c>
      <c r="F160">
        <v>0</v>
      </c>
      <c r="G160">
        <v>1247</v>
      </c>
      <c r="H160">
        <v>1304</v>
      </c>
      <c r="I160">
        <v>1929</v>
      </c>
      <c r="J160">
        <v>1538</v>
      </c>
      <c r="K160">
        <v>0</v>
      </c>
    </row>
    <row r="161" spans="2:11" x14ac:dyDescent="0.25">
      <c r="B161">
        <v>-1176</v>
      </c>
      <c r="C161">
        <v>-4845</v>
      </c>
      <c r="D161">
        <v>-1047</v>
      </c>
      <c r="E161">
        <v>-6279</v>
      </c>
      <c r="F161">
        <v>-4841</v>
      </c>
      <c r="G161">
        <v>-22410</v>
      </c>
      <c r="H161">
        <v>-832</v>
      </c>
      <c r="I161">
        <v>-6218</v>
      </c>
      <c r="J161">
        <v>8233</v>
      </c>
      <c r="K161">
        <v>21848</v>
      </c>
    </row>
    <row r="162" spans="2:11" x14ac:dyDescent="0.25">
      <c r="B162">
        <v>22612</v>
      </c>
      <c r="C162">
        <v>0</v>
      </c>
      <c r="D162">
        <v>2305</v>
      </c>
      <c r="E162">
        <v>2852</v>
      </c>
      <c r="F162">
        <v>0</v>
      </c>
      <c r="G162">
        <v>-2038</v>
      </c>
      <c r="H162">
        <v>-4035</v>
      </c>
      <c r="I162">
        <v>-3273</v>
      </c>
      <c r="J162">
        <v>-2245</v>
      </c>
      <c r="K162">
        <v>-978</v>
      </c>
    </row>
    <row r="163" spans="2:11" x14ac:dyDescent="0.25">
      <c r="B163">
        <v>0</v>
      </c>
      <c r="C163">
        <v>0</v>
      </c>
      <c r="D163">
        <v>2485</v>
      </c>
      <c r="E163">
        <v>3533</v>
      </c>
      <c r="F163">
        <v>2543</v>
      </c>
      <c r="G163">
        <v>0</v>
      </c>
      <c r="H163">
        <v>-1194</v>
      </c>
      <c r="I163">
        <v>-1883</v>
      </c>
      <c r="J163">
        <v>-3156</v>
      </c>
      <c r="K163">
        <v>-4028</v>
      </c>
    </row>
    <row r="164" spans="2:11" x14ac:dyDescent="0.25">
      <c r="B164">
        <v>0</v>
      </c>
      <c r="C164">
        <v>648</v>
      </c>
      <c r="D164">
        <v>361</v>
      </c>
      <c r="E164">
        <v>289</v>
      </c>
      <c r="F164">
        <v>150</v>
      </c>
      <c r="G164">
        <v>0</v>
      </c>
      <c r="H164">
        <v>-59</v>
      </c>
      <c r="I164">
        <v>-63</v>
      </c>
      <c r="J164">
        <v>-70</v>
      </c>
      <c r="K164">
        <v>-186</v>
      </c>
    </row>
    <row r="165" spans="2:11" x14ac:dyDescent="0.25">
      <c r="B165">
        <v>0</v>
      </c>
      <c r="C165">
        <v>-3977</v>
      </c>
      <c r="D165">
        <v>-1484</v>
      </c>
      <c r="E165">
        <v>-3845</v>
      </c>
      <c r="F165">
        <v>-1159</v>
      </c>
      <c r="G165">
        <v>10597</v>
      </c>
      <c r="H165">
        <v>3014</v>
      </c>
      <c r="I165">
        <v>2003</v>
      </c>
      <c r="J165">
        <v>338</v>
      </c>
      <c r="K165">
        <v>-15429</v>
      </c>
    </row>
    <row r="166" spans="2:11" x14ac:dyDescent="0.25">
      <c r="B166">
        <v>-3617</v>
      </c>
      <c r="C166">
        <v>-18199</v>
      </c>
      <c r="D166">
        <v>-4578</v>
      </c>
      <c r="E166">
        <v>0</v>
      </c>
      <c r="F166">
        <v>-49</v>
      </c>
      <c r="G166">
        <v>-117</v>
      </c>
      <c r="H166">
        <v>0</v>
      </c>
      <c r="I166">
        <v>54</v>
      </c>
      <c r="J166">
        <v>64</v>
      </c>
      <c r="K166">
        <v>1</v>
      </c>
    </row>
    <row r="167" spans="2:11" x14ac:dyDescent="0.25">
      <c r="B167">
        <v>-37</v>
      </c>
      <c r="C167">
        <v>278</v>
      </c>
      <c r="D167">
        <v>0</v>
      </c>
      <c r="E167">
        <v>0</v>
      </c>
      <c r="F167">
        <v>2689</v>
      </c>
      <c r="G167">
        <v>2714</v>
      </c>
      <c r="H167">
        <v>1779</v>
      </c>
      <c r="I167">
        <v>0</v>
      </c>
      <c r="J167">
        <v>-542</v>
      </c>
      <c r="K167">
        <v>-715</v>
      </c>
    </row>
    <row r="168" spans="2:11" x14ac:dyDescent="0.25">
      <c r="B168">
        <v>-1048</v>
      </c>
      <c r="C168">
        <v>-1386</v>
      </c>
      <c r="D168">
        <v>0</v>
      </c>
      <c r="E168">
        <v>4462</v>
      </c>
      <c r="F168">
        <v>4931</v>
      </c>
      <c r="G168">
        <v>4541</v>
      </c>
      <c r="H168">
        <v>2913</v>
      </c>
      <c r="I168">
        <v>0</v>
      </c>
      <c r="J168">
        <v>-1736</v>
      </c>
      <c r="K168">
        <v>-1902</v>
      </c>
    </row>
    <row r="169" spans="2:11" x14ac:dyDescent="0.25">
      <c r="B169">
        <v>-3204</v>
      </c>
      <c r="C169">
        <v>-3429</v>
      </c>
      <c r="D169">
        <v>0</v>
      </c>
      <c r="E169">
        <v>-926</v>
      </c>
      <c r="F169">
        <v>-1920</v>
      </c>
      <c r="G169">
        <v>-621</v>
      </c>
      <c r="H169">
        <v>-753</v>
      </c>
      <c r="I169">
        <v>3531</v>
      </c>
      <c r="J169">
        <v>16754</v>
      </c>
      <c r="K169">
        <v>706</v>
      </c>
    </row>
    <row r="170" spans="2:11" x14ac:dyDescent="0.25">
      <c r="B170">
        <v>4336</v>
      </c>
      <c r="C170">
        <v>-5786</v>
      </c>
      <c r="D170">
        <v>-22889</v>
      </c>
      <c r="E170">
        <v>-5484</v>
      </c>
      <c r="F170">
        <v>-21775</v>
      </c>
      <c r="G170">
        <v>22344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14</v>
      </c>
      <c r="J193">
        <v>-144</v>
      </c>
      <c r="K193">
        <v>0</v>
      </c>
    </row>
    <row r="194" spans="2:11" x14ac:dyDescent="0.25">
      <c r="B194">
        <v>42</v>
      </c>
      <c r="C194">
        <v>-139</v>
      </c>
      <c r="D194">
        <v>-184</v>
      </c>
      <c r="E194">
        <v>-202</v>
      </c>
      <c r="F194">
        <v>-122</v>
      </c>
      <c r="G194">
        <v>0</v>
      </c>
      <c r="H194">
        <v>0</v>
      </c>
      <c r="I194">
        <v>280</v>
      </c>
      <c r="J194">
        <v>944</v>
      </c>
      <c r="K194">
        <v>700</v>
      </c>
    </row>
    <row r="195" spans="2:11" x14ac:dyDescent="0.25">
      <c r="B195">
        <v>0</v>
      </c>
      <c r="C195">
        <v>-204</v>
      </c>
      <c r="D195">
        <v>-636</v>
      </c>
      <c r="E195">
        <v>-1276</v>
      </c>
      <c r="F195">
        <v>-1972</v>
      </c>
      <c r="G195">
        <v>0</v>
      </c>
      <c r="H195">
        <v>967</v>
      </c>
      <c r="I195">
        <v>699</v>
      </c>
      <c r="J195">
        <v>526</v>
      </c>
      <c r="K195">
        <v>297</v>
      </c>
    </row>
    <row r="196" spans="2:11" x14ac:dyDescent="0.25">
      <c r="B196">
        <v>0</v>
      </c>
      <c r="C196">
        <v>-105</v>
      </c>
      <c r="D196">
        <v>-79</v>
      </c>
      <c r="E196">
        <v>-86</v>
      </c>
      <c r="F196">
        <v>-145</v>
      </c>
      <c r="G196">
        <v>0</v>
      </c>
      <c r="H196">
        <v>-171</v>
      </c>
      <c r="I196">
        <v>37</v>
      </c>
      <c r="J196">
        <v>153</v>
      </c>
      <c r="K196">
        <v>-169</v>
      </c>
    </row>
    <row r="197" spans="2:11" x14ac:dyDescent="0.25">
      <c r="B197">
        <v>-134</v>
      </c>
      <c r="C197">
        <v>-526</v>
      </c>
      <c r="D197">
        <v>248</v>
      </c>
      <c r="E197">
        <v>-9</v>
      </c>
      <c r="F197">
        <v>-204</v>
      </c>
      <c r="G197">
        <v>-1066</v>
      </c>
      <c r="H197">
        <v>1534</v>
      </c>
      <c r="I197">
        <v>-654</v>
      </c>
      <c r="J197">
        <v>-104</v>
      </c>
      <c r="K197">
        <v>38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14940</v>
      </c>
      <c r="I198">
        <v>19692</v>
      </c>
      <c r="J198">
        <v>0</v>
      </c>
      <c r="K198">
        <v>-19664</v>
      </c>
    </row>
    <row r="199" spans="2:11" x14ac:dyDescent="0.25">
      <c r="B199">
        <v>-38088</v>
      </c>
      <c r="C199">
        <v>-38820</v>
      </c>
      <c r="D199">
        <v>-31220</v>
      </c>
      <c r="E199">
        <v>-13966</v>
      </c>
      <c r="F199">
        <v>0</v>
      </c>
      <c r="G199">
        <v>0</v>
      </c>
      <c r="H199">
        <v>-23499</v>
      </c>
      <c r="I199">
        <v>-19519</v>
      </c>
      <c r="J199">
        <v>-13719</v>
      </c>
      <c r="K199">
        <v>0</v>
      </c>
    </row>
    <row r="200" spans="2:11" x14ac:dyDescent="0.25">
      <c r="B200">
        <v>5169</v>
      </c>
      <c r="C200">
        <v>7569</v>
      </c>
      <c r="D200">
        <v>9018</v>
      </c>
      <c r="E200">
        <v>8542</v>
      </c>
      <c r="F200">
        <v>0</v>
      </c>
      <c r="G200">
        <v>-49091</v>
      </c>
      <c r="H200">
        <v>-47099</v>
      </c>
      <c r="I200">
        <v>-39103</v>
      </c>
      <c r="J200">
        <v>-23483</v>
      </c>
      <c r="K200">
        <v>0</v>
      </c>
    </row>
    <row r="201" spans="2:11" x14ac:dyDescent="0.25">
      <c r="B201">
        <v>13346</v>
      </c>
      <c r="C201">
        <v>14579</v>
      </c>
      <c r="D201">
        <v>25107</v>
      </c>
      <c r="E201">
        <v>26127</v>
      </c>
      <c r="F201">
        <v>0</v>
      </c>
      <c r="G201">
        <v>-5002</v>
      </c>
      <c r="H201">
        <v>5375</v>
      </c>
      <c r="I201">
        <v>-11974</v>
      </c>
      <c r="J201">
        <v>12663</v>
      </c>
      <c r="K201">
        <v>-20907</v>
      </c>
    </row>
    <row r="202" spans="2:11" x14ac:dyDescent="0.25">
      <c r="B202">
        <v>18351</v>
      </c>
      <c r="C202">
        <v>-8423</v>
      </c>
      <c r="D202">
        <v>9554</v>
      </c>
      <c r="E202">
        <v>-14545</v>
      </c>
      <c r="F202">
        <v>16889</v>
      </c>
      <c r="G202">
        <v>1769</v>
      </c>
      <c r="H202">
        <v>-2377</v>
      </c>
      <c r="I202">
        <v>-1493</v>
      </c>
      <c r="J202">
        <v>-766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-1151</v>
      </c>
      <c r="G203">
        <v>0</v>
      </c>
      <c r="H203">
        <v>6263</v>
      </c>
      <c r="I203">
        <v>8837</v>
      </c>
      <c r="J203">
        <v>0</v>
      </c>
      <c r="K203">
        <v>-8160</v>
      </c>
    </row>
    <row r="204" spans="2:11" x14ac:dyDescent="0.25">
      <c r="B204">
        <v>-15526</v>
      </c>
      <c r="C204">
        <v>-18555</v>
      </c>
      <c r="D204">
        <v>-18442</v>
      </c>
      <c r="E204">
        <v>-10709</v>
      </c>
      <c r="F204">
        <v>0</v>
      </c>
      <c r="G204">
        <v>0</v>
      </c>
      <c r="H204">
        <v>-36804</v>
      </c>
      <c r="I204">
        <v>-36562</v>
      </c>
      <c r="J204">
        <v>-26498</v>
      </c>
      <c r="K204">
        <v>0</v>
      </c>
    </row>
    <row r="205" spans="2:11" x14ac:dyDescent="0.25">
      <c r="B205">
        <v>10475</v>
      </c>
      <c r="C205">
        <v>15424</v>
      </c>
      <c r="D205">
        <v>20993</v>
      </c>
      <c r="E205">
        <v>20506</v>
      </c>
      <c r="F205">
        <v>0</v>
      </c>
      <c r="G205">
        <v>-53440</v>
      </c>
      <c r="H205">
        <v>-51429</v>
      </c>
      <c r="I205">
        <v>-42743</v>
      </c>
      <c r="J205">
        <v>-25580</v>
      </c>
      <c r="K205">
        <v>0</v>
      </c>
    </row>
    <row r="206" spans="2:11" x14ac:dyDescent="0.25">
      <c r="B206">
        <v>14765</v>
      </c>
      <c r="C206">
        <v>16310</v>
      </c>
      <c r="D206">
        <v>28336</v>
      </c>
      <c r="E206">
        <v>30086</v>
      </c>
      <c r="F206">
        <v>0</v>
      </c>
      <c r="G206">
        <v>-4737</v>
      </c>
      <c r="H206">
        <v>4768</v>
      </c>
      <c r="I206">
        <v>-3163</v>
      </c>
      <c r="J206">
        <v>14142</v>
      </c>
      <c r="K206">
        <v>-11853</v>
      </c>
    </row>
    <row r="207" spans="2:11" x14ac:dyDescent="0.25">
      <c r="B207">
        <v>17634</v>
      </c>
      <c r="C207">
        <v>-5593</v>
      </c>
      <c r="D207">
        <v>10937</v>
      </c>
      <c r="E207">
        <v>5312</v>
      </c>
      <c r="F207">
        <v>23835</v>
      </c>
      <c r="G207">
        <v>-2773</v>
      </c>
      <c r="H207">
        <v>-6588</v>
      </c>
      <c r="I207">
        <v>-2621</v>
      </c>
      <c r="J207">
        <v>-1449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-1947</v>
      </c>
      <c r="G208">
        <v>78122</v>
      </c>
      <c r="H208">
        <v>0</v>
      </c>
      <c r="I208">
        <v>5701</v>
      </c>
      <c r="J208">
        <v>7752</v>
      </c>
      <c r="K208">
        <v>0</v>
      </c>
    </row>
    <row r="209" spans="2:11" x14ac:dyDescent="0.25">
      <c r="B209">
        <v>-7663</v>
      </c>
      <c r="C209">
        <v>-13113</v>
      </c>
      <c r="D209">
        <v>-16386</v>
      </c>
      <c r="E209">
        <v>-19076</v>
      </c>
      <c r="F209">
        <v>-10467</v>
      </c>
      <c r="G209">
        <v>0</v>
      </c>
      <c r="H209">
        <v>0</v>
      </c>
      <c r="I209">
        <v>-9768</v>
      </c>
      <c r="J209">
        <v>-10424</v>
      </c>
      <c r="K209">
        <v>-8524</v>
      </c>
    </row>
    <row r="210" spans="2:11" x14ac:dyDescent="0.25">
      <c r="B210">
        <v>0</v>
      </c>
      <c r="C210">
        <v>4162</v>
      </c>
      <c r="D210">
        <v>6205</v>
      </c>
      <c r="E210">
        <v>10154</v>
      </c>
      <c r="F210">
        <v>15207</v>
      </c>
      <c r="G210">
        <v>0</v>
      </c>
      <c r="H210">
        <v>-18911</v>
      </c>
      <c r="I210">
        <v>-16024</v>
      </c>
      <c r="J210">
        <v>-12371</v>
      </c>
      <c r="K210">
        <v>-6901</v>
      </c>
    </row>
    <row r="211" spans="2:11" x14ac:dyDescent="0.25">
      <c r="B211">
        <v>0</v>
      </c>
      <c r="C211">
        <v>3712</v>
      </c>
      <c r="D211">
        <v>3908</v>
      </c>
      <c r="E211">
        <v>6210</v>
      </c>
      <c r="F211">
        <v>6417</v>
      </c>
      <c r="G211">
        <v>0</v>
      </c>
      <c r="H211">
        <v>-3781</v>
      </c>
      <c r="I211">
        <v>6306</v>
      </c>
      <c r="J211">
        <v>-3256</v>
      </c>
      <c r="K211">
        <v>7200</v>
      </c>
    </row>
    <row r="212" spans="2:11" x14ac:dyDescent="0.25">
      <c r="B212">
        <v>-13248</v>
      </c>
      <c r="C212">
        <v>11233</v>
      </c>
      <c r="D212">
        <v>-5067</v>
      </c>
      <c r="E212">
        <v>7266</v>
      </c>
      <c r="F212">
        <v>5955</v>
      </c>
      <c r="G212">
        <v>-219</v>
      </c>
      <c r="H212">
        <v>8700</v>
      </c>
      <c r="I212">
        <v>6353</v>
      </c>
      <c r="J212">
        <v>-4846</v>
      </c>
      <c r="K212">
        <v>280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-2130</v>
      </c>
      <c r="H213">
        <v>39567</v>
      </c>
      <c r="I213">
        <v>33575</v>
      </c>
      <c r="J213">
        <v>0</v>
      </c>
      <c r="K213">
        <v>5433</v>
      </c>
    </row>
    <row r="214" spans="2:11" x14ac:dyDescent="0.25">
      <c r="B214">
        <v>7639</v>
      </c>
      <c r="C214">
        <v>0</v>
      </c>
      <c r="D214">
        <v>-7191</v>
      </c>
      <c r="E214">
        <v>-13674</v>
      </c>
      <c r="F214">
        <v>-17879</v>
      </c>
      <c r="G214">
        <v>-17495</v>
      </c>
      <c r="H214">
        <v>-9731</v>
      </c>
      <c r="I214">
        <v>0</v>
      </c>
      <c r="J214">
        <v>0</v>
      </c>
      <c r="K214">
        <v>-12259</v>
      </c>
    </row>
    <row r="215" spans="2:11" x14ac:dyDescent="0.25">
      <c r="B215">
        <v>-16301</v>
      </c>
      <c r="C215">
        <v>-14069</v>
      </c>
      <c r="D215">
        <v>0</v>
      </c>
      <c r="E215">
        <v>7350</v>
      </c>
      <c r="F215">
        <v>11566</v>
      </c>
      <c r="G215">
        <v>19376</v>
      </c>
      <c r="H215">
        <v>25991</v>
      </c>
      <c r="I215">
        <v>0</v>
      </c>
      <c r="J215">
        <v>-21960</v>
      </c>
      <c r="K215">
        <v>-17931</v>
      </c>
    </row>
    <row r="216" spans="2:11" x14ac:dyDescent="0.25">
      <c r="B216">
        <v>-13256</v>
      </c>
      <c r="C216">
        <v>-7017</v>
      </c>
      <c r="D216">
        <v>0</v>
      </c>
      <c r="E216">
        <v>3396</v>
      </c>
      <c r="F216">
        <v>3508</v>
      </c>
      <c r="G216">
        <v>5682</v>
      </c>
      <c r="H216">
        <v>6269</v>
      </c>
      <c r="I216">
        <v>0</v>
      </c>
      <c r="J216">
        <v>-5441</v>
      </c>
      <c r="K216">
        <v>5660</v>
      </c>
    </row>
    <row r="217" spans="2:11" x14ac:dyDescent="0.25">
      <c r="B217">
        <v>-4123</v>
      </c>
      <c r="C217">
        <v>7764</v>
      </c>
      <c r="D217">
        <v>-10581</v>
      </c>
      <c r="E217">
        <v>13729</v>
      </c>
      <c r="F217">
        <v>-6425</v>
      </c>
      <c r="G217">
        <v>9314</v>
      </c>
      <c r="H217">
        <v>-2793</v>
      </c>
      <c r="I217">
        <v>-4179</v>
      </c>
      <c r="J217">
        <v>6053</v>
      </c>
      <c r="K217">
        <v>7227</v>
      </c>
    </row>
    <row r="218" spans="2:11" x14ac:dyDescent="0.25">
      <c r="B218">
        <v>-4114</v>
      </c>
      <c r="C218">
        <v>360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-4853</v>
      </c>
      <c r="J218">
        <v>41450</v>
      </c>
      <c r="K218">
        <v>43844</v>
      </c>
    </row>
    <row r="219" spans="2:11" x14ac:dyDescent="0.25">
      <c r="B219">
        <v>61800</v>
      </c>
      <c r="C219">
        <v>0</v>
      </c>
      <c r="D219">
        <v>-122</v>
      </c>
      <c r="E219">
        <v>4</v>
      </c>
      <c r="F219">
        <v>0</v>
      </c>
      <c r="G219">
        <v>770</v>
      </c>
      <c r="H219">
        <v>1183</v>
      </c>
      <c r="I219">
        <v>1397</v>
      </c>
      <c r="J219">
        <v>1294</v>
      </c>
      <c r="K219">
        <v>806</v>
      </c>
    </row>
    <row r="220" spans="2:11" x14ac:dyDescent="0.25">
      <c r="B220">
        <v>0</v>
      </c>
      <c r="C220">
        <v>0</v>
      </c>
      <c r="D220">
        <v>2361</v>
      </c>
      <c r="E220">
        <v>1770</v>
      </c>
      <c r="F220">
        <v>952</v>
      </c>
      <c r="G220">
        <v>0</v>
      </c>
      <c r="H220">
        <v>-432</v>
      </c>
      <c r="I220">
        <v>-723</v>
      </c>
      <c r="J220">
        <v>-906</v>
      </c>
      <c r="K220">
        <v>216</v>
      </c>
    </row>
    <row r="221" spans="2:11" x14ac:dyDescent="0.25">
      <c r="B221">
        <v>0</v>
      </c>
      <c r="C221">
        <v>-4899</v>
      </c>
      <c r="D221">
        <v>-7522</v>
      </c>
      <c r="E221">
        <v>-8360</v>
      </c>
      <c r="F221">
        <v>-6498</v>
      </c>
      <c r="G221">
        <v>0</v>
      </c>
      <c r="H221">
        <v>4799</v>
      </c>
      <c r="I221">
        <v>5576</v>
      </c>
      <c r="J221">
        <v>10036</v>
      </c>
      <c r="K221">
        <v>11017</v>
      </c>
    </row>
    <row r="222" spans="2:11" x14ac:dyDescent="0.25">
      <c r="B222">
        <v>0</v>
      </c>
      <c r="C222">
        <v>530</v>
      </c>
      <c r="D222">
        <v>-1321</v>
      </c>
      <c r="E222">
        <v>639</v>
      </c>
      <c r="F222">
        <v>2374</v>
      </c>
      <c r="G222">
        <v>245</v>
      </c>
      <c r="H222">
        <v>3395</v>
      </c>
      <c r="I222">
        <v>529</v>
      </c>
      <c r="J222">
        <v>-3305</v>
      </c>
      <c r="K222">
        <v>419</v>
      </c>
    </row>
    <row r="223" spans="2:11" x14ac:dyDescent="0.25">
      <c r="B223">
        <v>30007</v>
      </c>
      <c r="C223">
        <v>653</v>
      </c>
      <c r="D223">
        <v>-35051</v>
      </c>
      <c r="E223">
        <v>304</v>
      </c>
      <c r="F223">
        <v>-3193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-368</v>
      </c>
      <c r="C224">
        <v>19909</v>
      </c>
      <c r="D224">
        <v>23504</v>
      </c>
      <c r="E224">
        <v>1553</v>
      </c>
      <c r="F224">
        <v>1763</v>
      </c>
      <c r="G224">
        <v>0</v>
      </c>
      <c r="H224">
        <v>310</v>
      </c>
      <c r="I224">
        <v>695</v>
      </c>
      <c r="J224">
        <v>0</v>
      </c>
      <c r="K224">
        <v>-1174</v>
      </c>
    </row>
    <row r="225" spans="2:11" x14ac:dyDescent="0.25">
      <c r="B225">
        <v>-3163</v>
      </c>
      <c r="C225">
        <v>-4131</v>
      </c>
      <c r="D225">
        <v>-3279</v>
      </c>
      <c r="E225">
        <v>420</v>
      </c>
      <c r="F225">
        <v>0</v>
      </c>
      <c r="G225">
        <v>0</v>
      </c>
      <c r="H225">
        <v>75</v>
      </c>
      <c r="I225">
        <v>-720</v>
      </c>
      <c r="J225">
        <v>-791</v>
      </c>
      <c r="K225">
        <v>0</v>
      </c>
    </row>
    <row r="226" spans="2:11" x14ac:dyDescent="0.25">
      <c r="B226">
        <v>379</v>
      </c>
      <c r="C226">
        <v>1296</v>
      </c>
      <c r="D226">
        <v>1852</v>
      </c>
      <c r="E226">
        <v>1774</v>
      </c>
      <c r="F226">
        <v>0</v>
      </c>
      <c r="G226">
        <v>-1376</v>
      </c>
      <c r="H226">
        <v>-976</v>
      </c>
      <c r="I226">
        <v>-626</v>
      </c>
      <c r="J226">
        <v>-299</v>
      </c>
      <c r="K226">
        <v>0</v>
      </c>
    </row>
    <row r="227" spans="2:11" x14ac:dyDescent="0.25">
      <c r="B227">
        <v>7</v>
      </c>
      <c r="C227">
        <v>-10</v>
      </c>
      <c r="D227">
        <v>160</v>
      </c>
      <c r="E227">
        <v>310</v>
      </c>
      <c r="F227">
        <v>0</v>
      </c>
      <c r="G227">
        <v>-1344</v>
      </c>
      <c r="H227">
        <v>840</v>
      </c>
      <c r="I227">
        <v>-2031</v>
      </c>
      <c r="J227">
        <v>397</v>
      </c>
      <c r="K227">
        <v>-4326</v>
      </c>
    </row>
    <row r="228" spans="2:11" x14ac:dyDescent="0.25">
      <c r="B228">
        <v>510</v>
      </c>
      <c r="C228">
        <v>-425</v>
      </c>
      <c r="D228">
        <v>717</v>
      </c>
      <c r="E228">
        <v>9946</v>
      </c>
      <c r="F228">
        <v>-1410</v>
      </c>
      <c r="G228">
        <v>14639</v>
      </c>
      <c r="H228">
        <v>-1123</v>
      </c>
      <c r="I228">
        <v>1581</v>
      </c>
      <c r="J228">
        <v>420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2777</v>
      </c>
      <c r="G229">
        <v>5857</v>
      </c>
      <c r="H229">
        <v>2613</v>
      </c>
      <c r="I229">
        <v>38300</v>
      </c>
      <c r="J229">
        <v>2766</v>
      </c>
      <c r="K229">
        <v>1097</v>
      </c>
    </row>
    <row r="230" spans="2:11" x14ac:dyDescent="0.25">
      <c r="B230">
        <v>0</v>
      </c>
      <c r="C230">
        <v>-776</v>
      </c>
      <c r="D230">
        <v>-939</v>
      </c>
      <c r="E230">
        <v>0</v>
      </c>
      <c r="F230">
        <v>1074</v>
      </c>
      <c r="G230">
        <v>1372</v>
      </c>
      <c r="H230">
        <v>144</v>
      </c>
      <c r="I230">
        <v>987</v>
      </c>
      <c r="J230">
        <v>495</v>
      </c>
      <c r="K230">
        <v>0</v>
      </c>
    </row>
    <row r="231" spans="2:11" x14ac:dyDescent="0.25">
      <c r="B231">
        <v>0</v>
      </c>
      <c r="C231">
        <v>-9416</v>
      </c>
      <c r="D231">
        <v>-9903</v>
      </c>
      <c r="E231">
        <v>-8458</v>
      </c>
      <c r="F231">
        <v>0</v>
      </c>
      <c r="G231">
        <v>4856</v>
      </c>
      <c r="H231">
        <v>7782</v>
      </c>
      <c r="I231">
        <v>11535</v>
      </c>
      <c r="J231">
        <v>11513</v>
      </c>
      <c r="K231">
        <v>0</v>
      </c>
    </row>
    <row r="232" spans="2:11" x14ac:dyDescent="0.25">
      <c r="B232">
        <v>-3871</v>
      </c>
      <c r="C232">
        <v>-2542</v>
      </c>
      <c r="D232">
        <v>-1545</v>
      </c>
      <c r="E232">
        <v>-560</v>
      </c>
      <c r="F232">
        <v>0</v>
      </c>
      <c r="G232">
        <v>82</v>
      </c>
      <c r="H232">
        <v>187</v>
      </c>
      <c r="I232">
        <v>788</v>
      </c>
      <c r="J232">
        <v>1333</v>
      </c>
      <c r="K232">
        <v>0</v>
      </c>
    </row>
    <row r="233" spans="2:11" x14ac:dyDescent="0.25">
      <c r="B233">
        <v>-805</v>
      </c>
      <c r="C233">
        <v>-55</v>
      </c>
      <c r="D233">
        <v>237</v>
      </c>
      <c r="E233">
        <v>1424</v>
      </c>
      <c r="F233">
        <v>384</v>
      </c>
      <c r="G233">
        <v>2806</v>
      </c>
      <c r="H233">
        <v>290</v>
      </c>
      <c r="I233">
        <v>2685</v>
      </c>
      <c r="J233">
        <v>-3284</v>
      </c>
      <c r="K233">
        <v>-8605</v>
      </c>
    </row>
    <row r="234" spans="2:11" x14ac:dyDescent="0.25">
      <c r="B234">
        <v>16438</v>
      </c>
      <c r="C234">
        <v>92</v>
      </c>
      <c r="D234">
        <v>872</v>
      </c>
      <c r="E234">
        <v>-1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13847</v>
      </c>
    </row>
    <row r="235" spans="2:11" x14ac:dyDescent="0.25">
      <c r="B235">
        <v>194</v>
      </c>
      <c r="C235">
        <v>15664</v>
      </c>
      <c r="D235">
        <v>4111</v>
      </c>
      <c r="E235">
        <v>36556</v>
      </c>
      <c r="F235">
        <v>693</v>
      </c>
      <c r="G235">
        <v>8252</v>
      </c>
      <c r="H235">
        <v>0</v>
      </c>
      <c r="I235">
        <v>-5120</v>
      </c>
      <c r="J235">
        <v>-8130</v>
      </c>
      <c r="K235">
        <v>0</v>
      </c>
    </row>
    <row r="236" spans="2:11" x14ac:dyDescent="0.25">
      <c r="B236">
        <v>6657</v>
      </c>
      <c r="C236">
        <v>8007</v>
      </c>
      <c r="D236">
        <v>10205</v>
      </c>
      <c r="E236">
        <v>14618</v>
      </c>
      <c r="F236">
        <v>11705</v>
      </c>
      <c r="G236">
        <v>0</v>
      </c>
      <c r="H236">
        <v>0</v>
      </c>
      <c r="I236">
        <v>45650</v>
      </c>
      <c r="J236">
        <v>58810</v>
      </c>
      <c r="K236">
        <v>68796</v>
      </c>
    </row>
    <row r="237" spans="2:11" x14ac:dyDescent="0.25">
      <c r="B237">
        <v>0</v>
      </c>
      <c r="C237">
        <v>39497</v>
      </c>
      <c r="D237">
        <v>24907</v>
      </c>
      <c r="E237">
        <v>14880</v>
      </c>
      <c r="F237">
        <v>2023</v>
      </c>
      <c r="G237">
        <v>0</v>
      </c>
      <c r="H237">
        <v>-9659</v>
      </c>
      <c r="I237">
        <v>-11087</v>
      </c>
      <c r="J237">
        <v>-13783</v>
      </c>
      <c r="K237">
        <v>-11088</v>
      </c>
    </row>
    <row r="238" spans="2:11" x14ac:dyDescent="0.25">
      <c r="B238">
        <v>0</v>
      </c>
      <c r="C238">
        <v>-3531</v>
      </c>
      <c r="D238">
        <v>-1949</v>
      </c>
      <c r="E238">
        <v>-1584</v>
      </c>
      <c r="F238">
        <v>-1285</v>
      </c>
      <c r="G238">
        <v>0</v>
      </c>
      <c r="H238">
        <v>5650</v>
      </c>
      <c r="I238">
        <v>3749</v>
      </c>
      <c r="J238">
        <v>6843</v>
      </c>
      <c r="K238">
        <v>4614</v>
      </c>
    </row>
    <row r="239" spans="2:11" x14ac:dyDescent="0.25">
      <c r="B239">
        <v>11145</v>
      </c>
      <c r="C239">
        <v>9213</v>
      </c>
      <c r="D239">
        <v>6016</v>
      </c>
      <c r="E239">
        <v>4931</v>
      </c>
      <c r="F239">
        <v>-880</v>
      </c>
      <c r="G239">
        <v>158</v>
      </c>
      <c r="H239">
        <v>241</v>
      </c>
      <c r="I239">
        <v>1585</v>
      </c>
      <c r="J239">
        <v>1350</v>
      </c>
      <c r="K239">
        <v>896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618</v>
      </c>
      <c r="H240">
        <v>-7594</v>
      </c>
      <c r="I240">
        <v>-14128</v>
      </c>
      <c r="J240">
        <v>-5388</v>
      </c>
      <c r="K240">
        <v>-8280</v>
      </c>
    </row>
    <row r="241" spans="2:11" x14ac:dyDescent="0.25">
      <c r="B241">
        <v>233</v>
      </c>
      <c r="C241">
        <v>-412</v>
      </c>
      <c r="D241">
        <v>-4146</v>
      </c>
      <c r="E241">
        <v>0</v>
      </c>
      <c r="F241">
        <v>949</v>
      </c>
      <c r="G241">
        <v>1479</v>
      </c>
      <c r="H241">
        <v>0</v>
      </c>
      <c r="I241">
        <v>-2508</v>
      </c>
      <c r="J241">
        <v>-8417</v>
      </c>
      <c r="K241">
        <v>-11956</v>
      </c>
    </row>
    <row r="242" spans="2:11" x14ac:dyDescent="0.25">
      <c r="B242">
        <v>-13905</v>
      </c>
      <c r="C242">
        <v>-18687</v>
      </c>
      <c r="D242">
        <v>0</v>
      </c>
      <c r="E242">
        <v>0</v>
      </c>
      <c r="F242">
        <v>12604</v>
      </c>
      <c r="G242">
        <v>12500</v>
      </c>
      <c r="H242">
        <v>9022</v>
      </c>
      <c r="I242">
        <v>0</v>
      </c>
      <c r="J242">
        <v>-3484</v>
      </c>
      <c r="K242">
        <v>-6532</v>
      </c>
    </row>
    <row r="243" spans="2:11" x14ac:dyDescent="0.25">
      <c r="B243">
        <v>-9636</v>
      </c>
      <c r="C243">
        <v>-13380</v>
      </c>
      <c r="D243">
        <v>0</v>
      </c>
      <c r="E243">
        <v>-3474</v>
      </c>
      <c r="F243">
        <v>-3437</v>
      </c>
      <c r="G243">
        <v>-2936</v>
      </c>
      <c r="H243">
        <v>-1894</v>
      </c>
      <c r="I243">
        <v>0</v>
      </c>
      <c r="J243">
        <v>1170</v>
      </c>
      <c r="K243">
        <v>1202</v>
      </c>
    </row>
    <row r="244" spans="2:11" x14ac:dyDescent="0.25">
      <c r="B244">
        <v>2197</v>
      </c>
      <c r="C244">
        <v>1911</v>
      </c>
      <c r="D244">
        <v>0</v>
      </c>
      <c r="E244">
        <v>13680</v>
      </c>
      <c r="F244">
        <v>3740</v>
      </c>
      <c r="G244">
        <v>19160</v>
      </c>
      <c r="H244">
        <v>4868</v>
      </c>
      <c r="I244">
        <v>28424</v>
      </c>
      <c r="J244">
        <v>8527</v>
      </c>
      <c r="K244">
        <v>10947</v>
      </c>
    </row>
    <row r="245" spans="2:11" x14ac:dyDescent="0.25">
      <c r="B245">
        <v>5014</v>
      </c>
      <c r="C245">
        <v>3550</v>
      </c>
      <c r="D245">
        <v>754</v>
      </c>
      <c r="E245">
        <v>64</v>
      </c>
      <c r="F245">
        <v>803</v>
      </c>
      <c r="G245">
        <v>2100</v>
      </c>
      <c r="H245">
        <v>741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-134</v>
      </c>
      <c r="E246">
        <v>-5510</v>
      </c>
      <c r="F246">
        <v>-2561</v>
      </c>
      <c r="G246">
        <v>-302</v>
      </c>
      <c r="H246">
        <v>-853</v>
      </c>
      <c r="I246">
        <v>158</v>
      </c>
      <c r="J246">
        <v>210</v>
      </c>
      <c r="K246">
        <v>-166</v>
      </c>
    </row>
    <row r="247" spans="2:11" x14ac:dyDescent="0.25">
      <c r="B247">
        <v>3887</v>
      </c>
      <c r="C247">
        <v>0</v>
      </c>
      <c r="D247">
        <v>187</v>
      </c>
      <c r="E247">
        <v>399</v>
      </c>
      <c r="F247">
        <v>0</v>
      </c>
      <c r="G247">
        <v>-6</v>
      </c>
      <c r="H247">
        <v>-197</v>
      </c>
      <c r="I247">
        <v>-460</v>
      </c>
      <c r="J247">
        <v>37</v>
      </c>
      <c r="K247">
        <v>1167</v>
      </c>
    </row>
    <row r="248" spans="2:11" x14ac:dyDescent="0.25">
      <c r="B248">
        <v>0</v>
      </c>
      <c r="C248">
        <v>0</v>
      </c>
      <c r="D248">
        <v>6040</v>
      </c>
      <c r="E248">
        <v>5725</v>
      </c>
      <c r="F248">
        <v>4495</v>
      </c>
      <c r="G248">
        <v>0</v>
      </c>
      <c r="H248">
        <v>-1964</v>
      </c>
      <c r="I248">
        <v>-3173</v>
      </c>
      <c r="J248">
        <v>-6392</v>
      </c>
      <c r="K248">
        <v>-10116</v>
      </c>
    </row>
    <row r="249" spans="2:11" x14ac:dyDescent="0.25">
      <c r="B249">
        <v>0</v>
      </c>
      <c r="C249">
        <v>2264</v>
      </c>
      <c r="D249">
        <v>338</v>
      </c>
      <c r="E249">
        <v>-593</v>
      </c>
      <c r="F249">
        <v>-737</v>
      </c>
      <c r="G249">
        <v>0</v>
      </c>
      <c r="H249">
        <v>836</v>
      </c>
      <c r="I249">
        <v>1128</v>
      </c>
      <c r="J249">
        <v>2413</v>
      </c>
      <c r="K249">
        <v>2354</v>
      </c>
    </row>
    <row r="250" spans="2:11" x14ac:dyDescent="0.25">
      <c r="B250">
        <v>0</v>
      </c>
      <c r="C250">
        <v>2819</v>
      </c>
      <c r="D250">
        <v>7507</v>
      </c>
      <c r="E250">
        <v>4069</v>
      </c>
      <c r="F250">
        <v>10617</v>
      </c>
      <c r="G250">
        <v>5292</v>
      </c>
      <c r="H250">
        <v>17640</v>
      </c>
      <c r="I250">
        <v>2334</v>
      </c>
      <c r="J250">
        <v>10550</v>
      </c>
      <c r="K250">
        <v>334</v>
      </c>
    </row>
    <row r="251" spans="2:11" x14ac:dyDescent="0.25">
      <c r="B251">
        <v>3406</v>
      </c>
      <c r="C251">
        <v>56</v>
      </c>
      <c r="D251">
        <v>342</v>
      </c>
      <c r="E251">
        <v>343</v>
      </c>
      <c r="F251">
        <v>2123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-430</v>
      </c>
      <c r="C252">
        <v>5914</v>
      </c>
      <c r="D252">
        <v>5269</v>
      </c>
      <c r="E252">
        <v>5968</v>
      </c>
      <c r="F252">
        <v>6974</v>
      </c>
      <c r="G252">
        <v>3028</v>
      </c>
      <c r="H252">
        <v>810</v>
      </c>
      <c r="I252">
        <v>1324</v>
      </c>
      <c r="J252">
        <v>2271</v>
      </c>
      <c r="K252">
        <v>30218</v>
      </c>
    </row>
    <row r="253" spans="2:11" x14ac:dyDescent="0.25">
      <c r="B253">
        <v>0</v>
      </c>
      <c r="C253">
        <v>11629</v>
      </c>
      <c r="D253">
        <v>13013</v>
      </c>
      <c r="E253">
        <v>0</v>
      </c>
      <c r="F253">
        <v>-8433</v>
      </c>
      <c r="G253">
        <v>-12761</v>
      </c>
      <c r="H253">
        <v>-12250</v>
      </c>
      <c r="I253">
        <v>-12383</v>
      </c>
      <c r="J253">
        <v>-13395</v>
      </c>
      <c r="K253">
        <v>0</v>
      </c>
    </row>
    <row r="254" spans="2:11" x14ac:dyDescent="0.25">
      <c r="B254">
        <v>0</v>
      </c>
      <c r="C254">
        <v>11744</v>
      </c>
      <c r="D254">
        <v>13031</v>
      </c>
      <c r="E254">
        <v>10527</v>
      </c>
      <c r="F254">
        <v>0</v>
      </c>
      <c r="G254">
        <v>-5023</v>
      </c>
      <c r="H254">
        <v>-8989</v>
      </c>
      <c r="I254">
        <v>-13320</v>
      </c>
      <c r="J254">
        <v>-15564</v>
      </c>
      <c r="K254">
        <v>0</v>
      </c>
    </row>
    <row r="255" spans="2:11" x14ac:dyDescent="0.25">
      <c r="B255">
        <v>-2752</v>
      </c>
      <c r="C255">
        <v>-3088</v>
      </c>
      <c r="D255">
        <v>-3011</v>
      </c>
      <c r="E255">
        <v>-1959</v>
      </c>
      <c r="F255">
        <v>0</v>
      </c>
      <c r="G255">
        <v>1034</v>
      </c>
      <c r="H255">
        <v>840</v>
      </c>
      <c r="I255">
        <v>1267</v>
      </c>
      <c r="J255">
        <v>1380</v>
      </c>
      <c r="K255">
        <v>0</v>
      </c>
    </row>
    <row r="256" spans="2:11" x14ac:dyDescent="0.25">
      <c r="B256">
        <v>16686</v>
      </c>
      <c r="C256">
        <v>3930</v>
      </c>
      <c r="D256">
        <v>22736</v>
      </c>
      <c r="E256">
        <v>5840</v>
      </c>
      <c r="F256">
        <v>32649</v>
      </c>
      <c r="G256">
        <v>9390</v>
      </c>
      <c r="H256">
        <v>19335</v>
      </c>
      <c r="I256">
        <v>6124</v>
      </c>
      <c r="J256">
        <v>-557</v>
      </c>
      <c r="K256">
        <v>589</v>
      </c>
    </row>
    <row r="257" spans="2:11" x14ac:dyDescent="0.25">
      <c r="B257">
        <v>-4489</v>
      </c>
      <c r="C257">
        <v>-621</v>
      </c>
      <c r="D257">
        <v>-921</v>
      </c>
      <c r="E257">
        <v>-202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189</v>
      </c>
    </row>
    <row r="258" spans="2:11" x14ac:dyDescent="0.25">
      <c r="B258">
        <v>-7515</v>
      </c>
      <c r="C258">
        <v>-3180</v>
      </c>
      <c r="D258">
        <v>-5854</v>
      </c>
      <c r="E258">
        <v>-5516</v>
      </c>
      <c r="F258">
        <v>-84</v>
      </c>
      <c r="G258">
        <v>-1489</v>
      </c>
      <c r="H258">
        <v>1578</v>
      </c>
      <c r="I258">
        <v>5194</v>
      </c>
      <c r="J258">
        <v>10995</v>
      </c>
      <c r="K258">
        <v>2389</v>
      </c>
    </row>
    <row r="259" spans="2:11" x14ac:dyDescent="0.25">
      <c r="B259">
        <v>0</v>
      </c>
      <c r="C259">
        <v>275</v>
      </c>
      <c r="D259">
        <v>483</v>
      </c>
      <c r="E259">
        <v>0</v>
      </c>
      <c r="F259">
        <v>-659</v>
      </c>
      <c r="G259">
        <v>-1191</v>
      </c>
      <c r="H259">
        <v>-994</v>
      </c>
      <c r="I259">
        <v>-715</v>
      </c>
      <c r="J259">
        <v>-1</v>
      </c>
      <c r="K259">
        <v>0</v>
      </c>
    </row>
    <row r="260" spans="2:11" x14ac:dyDescent="0.25">
      <c r="B260">
        <v>0</v>
      </c>
      <c r="C260">
        <v>11541</v>
      </c>
      <c r="D260">
        <v>11377</v>
      </c>
      <c r="E260">
        <v>8988</v>
      </c>
      <c r="F260">
        <v>0</v>
      </c>
      <c r="G260">
        <v>-3644</v>
      </c>
      <c r="H260">
        <v>-5471</v>
      </c>
      <c r="I260">
        <v>-8451</v>
      </c>
      <c r="J260">
        <v>-9978</v>
      </c>
      <c r="K260">
        <v>0</v>
      </c>
    </row>
    <row r="261" spans="2:11" x14ac:dyDescent="0.25">
      <c r="B261">
        <v>7974</v>
      </c>
      <c r="C261">
        <v>7616</v>
      </c>
      <c r="D261">
        <v>7471</v>
      </c>
      <c r="E261">
        <v>5543</v>
      </c>
      <c r="F261">
        <v>0</v>
      </c>
      <c r="G261">
        <v>-4354</v>
      </c>
      <c r="H261">
        <v>-5304</v>
      </c>
      <c r="I261">
        <v>-10745</v>
      </c>
      <c r="J261">
        <v>-13961</v>
      </c>
      <c r="K261">
        <v>0</v>
      </c>
    </row>
    <row r="262" spans="2:11" x14ac:dyDescent="0.25">
      <c r="B262">
        <v>6195</v>
      </c>
      <c r="C262">
        <v>17947</v>
      </c>
      <c r="D262">
        <v>8629</v>
      </c>
      <c r="E262">
        <v>24412</v>
      </c>
      <c r="F262">
        <v>11706</v>
      </c>
      <c r="G262">
        <v>36836</v>
      </c>
      <c r="H262">
        <v>5804</v>
      </c>
      <c r="I262">
        <v>31761</v>
      </c>
      <c r="J262">
        <v>-219</v>
      </c>
      <c r="K262">
        <v>-1697</v>
      </c>
    </row>
    <row r="263" spans="2:11" x14ac:dyDescent="0.25">
      <c r="B263">
        <v>-859</v>
      </c>
      <c r="C263">
        <v>-3640</v>
      </c>
      <c r="D263">
        <v>-668</v>
      </c>
      <c r="E263">
        <v>-1068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-184</v>
      </c>
    </row>
    <row r="264" spans="2:11" x14ac:dyDescent="0.25">
      <c r="B264">
        <v>8142</v>
      </c>
      <c r="C264">
        <v>9415</v>
      </c>
      <c r="D264">
        <v>5488</v>
      </c>
      <c r="E264">
        <v>7132</v>
      </c>
      <c r="F264">
        <v>-2498</v>
      </c>
      <c r="G264">
        <v>376</v>
      </c>
      <c r="H264">
        <v>2366</v>
      </c>
      <c r="I264">
        <v>4663</v>
      </c>
      <c r="J264">
        <v>4333</v>
      </c>
      <c r="K264">
        <v>9042</v>
      </c>
    </row>
    <row r="265" spans="2:11" x14ac:dyDescent="0.25">
      <c r="B265">
        <v>21082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186"/>
  <sheetViews>
    <sheetView topLeftCell="A48" workbookViewId="0">
      <selection activeCell="P29" sqref="P29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94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95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96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97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98</v>
      </c>
      <c r="B8" t="s">
        <v>179</v>
      </c>
      <c r="C8" t="s">
        <v>180</v>
      </c>
    </row>
    <row r="9" spans="1:11" x14ac:dyDescent="0.25">
      <c r="A9" t="s">
        <v>101</v>
      </c>
      <c r="B9" t="s">
        <v>102</v>
      </c>
      <c r="C9" t="s">
        <v>103</v>
      </c>
      <c r="D9" t="s">
        <v>104</v>
      </c>
      <c r="E9">
        <v>4</v>
      </c>
      <c r="F9" s="56">
        <v>0.44406250000000003</v>
      </c>
      <c r="G9" t="s">
        <v>105</v>
      </c>
      <c r="H9">
        <v>24</v>
      </c>
      <c r="I9" t="s">
        <v>106</v>
      </c>
      <c r="J9">
        <v>16</v>
      </c>
    </row>
    <row r="10" spans="1:11" x14ac:dyDescent="0.25">
      <c r="A10" t="s">
        <v>107</v>
      </c>
    </row>
    <row r="11" spans="1:11" x14ac:dyDescent="0.25">
      <c r="B11">
        <v>11</v>
      </c>
      <c r="C11" t="s">
        <v>108</v>
      </c>
      <c r="D11" t="s">
        <v>111</v>
      </c>
      <c r="E11">
        <v>-5.5423581828200001</v>
      </c>
      <c r="F11">
        <v>1.2830346315100001</v>
      </c>
    </row>
    <row r="12" spans="1:11" x14ac:dyDescent="0.25">
      <c r="B12">
        <v>12</v>
      </c>
      <c r="C12" t="s">
        <v>110</v>
      </c>
      <c r="D12" t="s">
        <v>109</v>
      </c>
      <c r="E12">
        <v>-5</v>
      </c>
      <c r="F12">
        <v>0</v>
      </c>
    </row>
    <row r="13" spans="1:11" x14ac:dyDescent="0.25">
      <c r="B13">
        <v>13</v>
      </c>
      <c r="C13" t="s">
        <v>112</v>
      </c>
      <c r="D13" t="s">
        <v>111</v>
      </c>
      <c r="E13">
        <v>-0.66069759613599999</v>
      </c>
      <c r="F13" s="57">
        <v>0.49684800828699999</v>
      </c>
    </row>
    <row r="14" spans="1:11" x14ac:dyDescent="0.25">
      <c r="B14">
        <v>14</v>
      </c>
      <c r="C14" t="s">
        <v>113</v>
      </c>
      <c r="D14" t="s">
        <v>109</v>
      </c>
      <c r="E14">
        <v>0</v>
      </c>
      <c r="F14">
        <v>0</v>
      </c>
    </row>
    <row r="15" spans="1:11" x14ac:dyDescent="0.25">
      <c r="B15">
        <v>15</v>
      </c>
      <c r="C15" t="s">
        <v>114</v>
      </c>
      <c r="D15" t="s">
        <v>111</v>
      </c>
      <c r="E15">
        <v>-0.43816094042800002</v>
      </c>
      <c r="F15" s="57">
        <v>0.27860582331099998</v>
      </c>
    </row>
    <row r="16" spans="1:11" x14ac:dyDescent="0.25">
      <c r="B16">
        <v>16</v>
      </c>
      <c r="C16" t="s">
        <v>115</v>
      </c>
      <c r="D16" t="s">
        <v>111</v>
      </c>
      <c r="E16">
        <v>0.35014935706299999</v>
      </c>
      <c r="F16" s="57">
        <v>0.327668009072</v>
      </c>
    </row>
    <row r="17" spans="2:6" x14ac:dyDescent="0.25">
      <c r="B17">
        <v>17</v>
      </c>
      <c r="C17" t="s">
        <v>116</v>
      </c>
      <c r="D17" t="s">
        <v>111</v>
      </c>
      <c r="E17">
        <v>-0.97116272210700005</v>
      </c>
      <c r="F17">
        <v>0.39768692630199998</v>
      </c>
    </row>
    <row r="18" spans="2:6" x14ac:dyDescent="0.25">
      <c r="B18">
        <v>18</v>
      </c>
      <c r="C18" t="s">
        <v>117</v>
      </c>
      <c r="D18" t="s">
        <v>111</v>
      </c>
      <c r="E18">
        <v>-1.40663538516</v>
      </c>
      <c r="F18">
        <v>0.60742399910800005</v>
      </c>
    </row>
    <row r="19" spans="2:6" x14ac:dyDescent="0.25">
      <c r="B19">
        <v>19</v>
      </c>
      <c r="C19" t="s">
        <v>118</v>
      </c>
      <c r="D19" t="s">
        <v>111</v>
      </c>
      <c r="E19">
        <v>-3.9493274113200001</v>
      </c>
      <c r="F19">
        <v>1.89217897237</v>
      </c>
    </row>
    <row r="20" spans="2:6" x14ac:dyDescent="0.25">
      <c r="B20">
        <v>20</v>
      </c>
      <c r="C20" t="s">
        <v>119</v>
      </c>
      <c r="D20" t="s">
        <v>109</v>
      </c>
      <c r="E20">
        <v>-10</v>
      </c>
      <c r="F20">
        <v>0</v>
      </c>
    </row>
    <row r="21" spans="2:6" x14ac:dyDescent="0.25">
      <c r="B21">
        <v>21</v>
      </c>
      <c r="C21" t="s">
        <v>120</v>
      </c>
      <c r="D21" t="s">
        <v>111</v>
      </c>
      <c r="E21">
        <v>6.9186854038699996</v>
      </c>
      <c r="F21">
        <v>0.93747104692600003</v>
      </c>
    </row>
    <row r="22" spans="2:6" x14ac:dyDescent="0.25">
      <c r="B22">
        <v>22</v>
      </c>
      <c r="C22" t="s">
        <v>121</v>
      </c>
      <c r="D22" t="s">
        <v>111</v>
      </c>
      <c r="E22">
        <v>0.82378831109799999</v>
      </c>
      <c r="F22">
        <v>0.51696166250300002</v>
      </c>
    </row>
    <row r="23" spans="2:6" x14ac:dyDescent="0.25">
      <c r="B23">
        <v>23</v>
      </c>
      <c r="C23" t="s">
        <v>122</v>
      </c>
      <c r="D23" t="s">
        <v>111</v>
      </c>
      <c r="E23">
        <v>1.15129394327</v>
      </c>
      <c r="F23">
        <v>0.38890173731099997</v>
      </c>
    </row>
    <row r="24" spans="2:6" x14ac:dyDescent="0.25">
      <c r="B24">
        <v>24</v>
      </c>
      <c r="C24" t="s">
        <v>123</v>
      </c>
      <c r="D24" t="s">
        <v>111</v>
      </c>
      <c r="E24">
        <v>1.26969878925</v>
      </c>
      <c r="F24">
        <v>0.33669307971700002</v>
      </c>
    </row>
    <row r="25" spans="2:6" x14ac:dyDescent="0.25">
      <c r="B25">
        <v>25</v>
      </c>
      <c r="C25" t="s">
        <v>124</v>
      </c>
      <c r="D25" t="s">
        <v>109</v>
      </c>
      <c r="E25">
        <v>0</v>
      </c>
      <c r="F25">
        <v>0</v>
      </c>
    </row>
    <row r="26" spans="2:6" x14ac:dyDescent="0.25">
      <c r="B26">
        <v>26</v>
      </c>
      <c r="C26" t="s">
        <v>125</v>
      </c>
      <c r="D26" t="s">
        <v>111</v>
      </c>
      <c r="E26" s="57">
        <v>-0.32598304645800003</v>
      </c>
      <c r="F26" s="57">
        <v>0.44955767308</v>
      </c>
    </row>
    <row r="27" spans="2:6" x14ac:dyDescent="0.25">
      <c r="B27">
        <v>27</v>
      </c>
      <c r="C27" t="s">
        <v>126</v>
      </c>
      <c r="D27" t="s">
        <v>111</v>
      </c>
      <c r="E27">
        <v>-0.23479195191999999</v>
      </c>
      <c r="F27">
        <v>0.55647595757699997</v>
      </c>
    </row>
    <row r="28" spans="2:6" x14ac:dyDescent="0.25">
      <c r="B28">
        <v>28</v>
      </c>
      <c r="C28" t="s">
        <v>127</v>
      </c>
      <c r="D28" t="s">
        <v>111</v>
      </c>
      <c r="E28">
        <v>-0.63082416318199996</v>
      </c>
      <c r="F28">
        <v>1.12936832791</v>
      </c>
    </row>
    <row r="29" spans="2:6" x14ac:dyDescent="0.25">
      <c r="B29">
        <v>29</v>
      </c>
      <c r="C29" t="s">
        <v>128</v>
      </c>
      <c r="D29" t="s">
        <v>111</v>
      </c>
      <c r="E29">
        <v>1.77974443435</v>
      </c>
      <c r="F29">
        <v>1.8337396107099999</v>
      </c>
    </row>
    <row r="30" spans="2:6" x14ac:dyDescent="0.25">
      <c r="B30">
        <v>30</v>
      </c>
      <c r="C30" t="s">
        <v>129</v>
      </c>
      <c r="D30" t="s">
        <v>109</v>
      </c>
      <c r="E30">
        <v>-10</v>
      </c>
      <c r="F30">
        <v>0</v>
      </c>
    </row>
    <row r="31" spans="2:6" x14ac:dyDescent="0.25">
      <c r="B31">
        <v>31</v>
      </c>
      <c r="C31" t="s">
        <v>181</v>
      </c>
      <c r="D31" t="s">
        <v>111</v>
      </c>
      <c r="E31">
        <v>2.3787024053099999</v>
      </c>
      <c r="F31">
        <v>0.43267162910599999</v>
      </c>
    </row>
    <row r="32" spans="2:6" x14ac:dyDescent="0.25">
      <c r="B32">
        <v>32</v>
      </c>
      <c r="C32" t="s">
        <v>182</v>
      </c>
      <c r="D32" t="s">
        <v>111</v>
      </c>
      <c r="E32">
        <v>1.49226509696</v>
      </c>
      <c r="F32">
        <v>0.35497345382200002</v>
      </c>
    </row>
    <row r="33" spans="2:6" x14ac:dyDescent="0.25">
      <c r="B33">
        <v>33</v>
      </c>
      <c r="C33" t="s">
        <v>183</v>
      </c>
      <c r="D33" t="s">
        <v>109</v>
      </c>
      <c r="E33">
        <v>0</v>
      </c>
      <c r="F33">
        <v>0</v>
      </c>
    </row>
    <row r="34" spans="2:6" x14ac:dyDescent="0.25">
      <c r="B34">
        <v>34</v>
      </c>
      <c r="C34" t="s">
        <v>131</v>
      </c>
      <c r="D34" t="s">
        <v>111</v>
      </c>
      <c r="E34">
        <v>-0.77591292235700005</v>
      </c>
      <c r="F34">
        <v>0.68914406431599995</v>
      </c>
    </row>
    <row r="35" spans="2:6" x14ac:dyDescent="0.25">
      <c r="B35">
        <v>35</v>
      </c>
      <c r="C35" t="s">
        <v>132</v>
      </c>
      <c r="D35" t="s">
        <v>109</v>
      </c>
      <c r="E35">
        <v>-5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-5</v>
      </c>
      <c r="F36">
        <v>0</v>
      </c>
    </row>
    <row r="37" spans="2:6" x14ac:dyDescent="0.25">
      <c r="B37">
        <v>37</v>
      </c>
      <c r="C37" t="s">
        <v>184</v>
      </c>
      <c r="D37" t="s">
        <v>109</v>
      </c>
      <c r="E37">
        <v>-5.0519999999999996</v>
      </c>
      <c r="F37">
        <v>0</v>
      </c>
    </row>
    <row r="38" spans="2:6" x14ac:dyDescent="0.25">
      <c r="B38">
        <v>38</v>
      </c>
      <c r="C38" t="s">
        <v>137</v>
      </c>
      <c r="D38" t="s">
        <v>109</v>
      </c>
      <c r="E38">
        <v>-10</v>
      </c>
      <c r="F38">
        <v>0</v>
      </c>
    </row>
    <row r="39" spans="2:6" x14ac:dyDescent="0.25">
      <c r="B39">
        <v>39</v>
      </c>
      <c r="C39" t="s">
        <v>138</v>
      </c>
      <c r="D39" t="s">
        <v>109</v>
      </c>
      <c r="E39">
        <v>-10</v>
      </c>
      <c r="F39">
        <v>0</v>
      </c>
    </row>
    <row r="40" spans="2:6" x14ac:dyDescent="0.25">
      <c r="B40">
        <v>41</v>
      </c>
      <c r="C40" t="s">
        <v>140</v>
      </c>
      <c r="D40" t="s">
        <v>111</v>
      </c>
      <c r="E40" s="57">
        <v>-4.90819376318E-2</v>
      </c>
      <c r="F40" s="57">
        <v>6.3693085137099995E-2</v>
      </c>
    </row>
    <row r="41" spans="2:6" x14ac:dyDescent="0.25">
      <c r="B41">
        <v>42</v>
      </c>
      <c r="C41" t="s">
        <v>141</v>
      </c>
      <c r="D41" t="s">
        <v>111</v>
      </c>
      <c r="E41" s="57">
        <v>0.151855759915</v>
      </c>
      <c r="F41" s="57">
        <v>0.136972972591</v>
      </c>
    </row>
    <row r="42" spans="2:6" x14ac:dyDescent="0.25">
      <c r="B42">
        <v>85</v>
      </c>
      <c r="C42" t="s">
        <v>154</v>
      </c>
      <c r="D42" t="s">
        <v>109</v>
      </c>
      <c r="E42" s="57">
        <v>0.25</v>
      </c>
      <c r="F42" s="57">
        <v>0</v>
      </c>
    </row>
    <row r="43" spans="2:6" x14ac:dyDescent="0.25">
      <c r="B43">
        <v>86</v>
      </c>
      <c r="C43" t="s">
        <v>155</v>
      </c>
      <c r="D43" t="s">
        <v>109</v>
      </c>
      <c r="E43">
        <v>0.25</v>
      </c>
      <c r="F43" s="57">
        <v>0</v>
      </c>
    </row>
    <row r="44" spans="2:6" x14ac:dyDescent="0.25">
      <c r="B44">
        <v>87</v>
      </c>
      <c r="C44" t="s">
        <v>156</v>
      </c>
      <c r="D44" t="s">
        <v>109</v>
      </c>
      <c r="E44" s="57">
        <v>0.25</v>
      </c>
      <c r="F44" s="57">
        <v>0</v>
      </c>
    </row>
    <row r="45" spans="2:6" x14ac:dyDescent="0.25">
      <c r="B45">
        <v>88</v>
      </c>
      <c r="C45" t="s">
        <v>157</v>
      </c>
      <c r="D45" t="s">
        <v>109</v>
      </c>
      <c r="E45">
        <v>0.25</v>
      </c>
      <c r="F45" s="57">
        <v>0</v>
      </c>
    </row>
    <row r="46" spans="2:6" x14ac:dyDescent="0.25">
      <c r="B46">
        <v>91</v>
      </c>
      <c r="C46" t="s">
        <v>185</v>
      </c>
      <c r="D46" t="s">
        <v>111</v>
      </c>
      <c r="E46" s="57">
        <v>2.93049427473</v>
      </c>
      <c r="F46" s="57">
        <v>0.89682666168000003</v>
      </c>
    </row>
    <row r="47" spans="2:6" x14ac:dyDescent="0.25">
      <c r="B47">
        <v>92</v>
      </c>
      <c r="C47" t="s">
        <v>186</v>
      </c>
      <c r="D47" t="s">
        <v>111</v>
      </c>
      <c r="E47">
        <v>1.8845449572199999</v>
      </c>
      <c r="F47" s="57">
        <v>0.86863773644300002</v>
      </c>
    </row>
    <row r="48" spans="2:6" x14ac:dyDescent="0.25">
      <c r="B48">
        <v>93</v>
      </c>
      <c r="C48" t="s">
        <v>160</v>
      </c>
      <c r="D48" t="s">
        <v>111</v>
      </c>
      <c r="E48" s="57">
        <v>0.170361034168</v>
      </c>
      <c r="F48" s="57">
        <v>5.2564645727899997E-2</v>
      </c>
    </row>
    <row r="49" spans="2:11" x14ac:dyDescent="0.25">
      <c r="B49">
        <v>94</v>
      </c>
      <c r="C49" t="s">
        <v>161</v>
      </c>
      <c r="D49" t="s">
        <v>111</v>
      </c>
      <c r="E49" s="57">
        <v>0.20205649241699999</v>
      </c>
      <c r="F49" s="57">
        <v>4.4856470046500001E-2</v>
      </c>
    </row>
    <row r="50" spans="2:11" x14ac:dyDescent="0.25">
      <c r="B50">
        <v>124</v>
      </c>
      <c r="C50" t="s">
        <v>167</v>
      </c>
      <c r="D50" t="s">
        <v>111</v>
      </c>
      <c r="E50" s="57">
        <v>0.31620584925299999</v>
      </c>
      <c r="F50" s="57">
        <v>0.35207285999600002</v>
      </c>
    </row>
    <row r="51" spans="2:11" x14ac:dyDescent="0.25">
      <c r="B51">
        <v>145</v>
      </c>
      <c r="C51" t="s">
        <v>187</v>
      </c>
      <c r="D51" t="s">
        <v>111</v>
      </c>
      <c r="E51" s="57">
        <v>5.38855009856E-2</v>
      </c>
      <c r="F51" s="57">
        <v>7.8164015116499994E-2</v>
      </c>
    </row>
    <row r="52" spans="2:11" x14ac:dyDescent="0.25">
      <c r="B52">
        <v>146</v>
      </c>
      <c r="C52" t="s">
        <v>188</v>
      </c>
      <c r="D52" t="s">
        <v>111</v>
      </c>
      <c r="E52" s="57">
        <v>-0.48499658535599999</v>
      </c>
      <c r="F52" s="57">
        <v>0.29825557499700001</v>
      </c>
    </row>
    <row r="53" spans="2:11" x14ac:dyDescent="0.25">
      <c r="B53">
        <v>147</v>
      </c>
      <c r="C53" t="s">
        <v>189</v>
      </c>
      <c r="D53" t="s">
        <v>111</v>
      </c>
      <c r="E53" s="57">
        <v>0.15454188544200001</v>
      </c>
      <c r="F53" s="57">
        <v>4.1460815212999998E-2</v>
      </c>
    </row>
    <row r="54" spans="2:11" x14ac:dyDescent="0.25">
      <c r="B54">
        <v>148</v>
      </c>
      <c r="C54" t="s">
        <v>190</v>
      </c>
      <c r="D54" t="s">
        <v>111</v>
      </c>
      <c r="E54" s="57">
        <v>-0.179774601487</v>
      </c>
      <c r="F54" s="57">
        <v>0.128305180262</v>
      </c>
    </row>
    <row r="55" spans="2:11" x14ac:dyDescent="0.25">
      <c r="B55">
        <v>149</v>
      </c>
      <c r="C55" t="s">
        <v>191</v>
      </c>
      <c r="D55" t="s">
        <v>111</v>
      </c>
      <c r="E55">
        <v>0.13717521613700001</v>
      </c>
      <c r="F55" s="57">
        <v>3.18924666951E-2</v>
      </c>
    </row>
    <row r="56" spans="2:11" x14ac:dyDescent="0.25">
      <c r="B56">
        <v>150</v>
      </c>
      <c r="C56" t="s">
        <v>192</v>
      </c>
      <c r="D56" t="s">
        <v>111</v>
      </c>
      <c r="E56" s="57">
        <v>-8.6513742325400003E-2</v>
      </c>
      <c r="F56" s="57">
        <v>8.6825839095899998E-2</v>
      </c>
    </row>
    <row r="57" spans="2:11" x14ac:dyDescent="0.25">
      <c r="B57">
        <v>151</v>
      </c>
      <c r="C57" t="s">
        <v>193</v>
      </c>
      <c r="D57" t="s">
        <v>111</v>
      </c>
      <c r="E57">
        <v>0.18364478476900001</v>
      </c>
      <c r="F57" s="57">
        <v>4.0878482691299997E-2</v>
      </c>
    </row>
    <row r="58" spans="2:11" x14ac:dyDescent="0.25">
      <c r="B58">
        <v>152</v>
      </c>
      <c r="C58" t="s">
        <v>194</v>
      </c>
      <c r="D58" t="s">
        <v>111</v>
      </c>
      <c r="E58" s="57">
        <v>1.1684688543099999E-2</v>
      </c>
      <c r="F58">
        <v>0.120123669992</v>
      </c>
    </row>
    <row r="59" spans="2:11" x14ac:dyDescent="0.25">
      <c r="B59">
        <v>153</v>
      </c>
      <c r="C59" t="s">
        <v>195</v>
      </c>
      <c r="D59" t="s">
        <v>111</v>
      </c>
      <c r="E59">
        <v>0.10684767663399999</v>
      </c>
      <c r="F59" s="57">
        <v>4.7187194521000002E-2</v>
      </c>
    </row>
    <row r="60" spans="2:11" x14ac:dyDescent="0.25">
      <c r="B60">
        <v>154</v>
      </c>
      <c r="C60" t="s">
        <v>196</v>
      </c>
      <c r="D60" t="s">
        <v>111</v>
      </c>
      <c r="E60" s="57">
        <v>-2.5995997107600002E-2</v>
      </c>
      <c r="F60">
        <v>0.134925145202</v>
      </c>
    </row>
    <row r="61" spans="2:11" x14ac:dyDescent="0.25">
      <c r="B61">
        <v>-1</v>
      </c>
      <c r="F61" s="57"/>
    </row>
    <row r="62" spans="2:11" x14ac:dyDescent="0.25">
      <c r="B62">
        <v>697</v>
      </c>
      <c r="C62" s="57">
        <v>-2567.8479675200001</v>
      </c>
      <c r="D62" s="57">
        <v>-3502.0502298900001</v>
      </c>
      <c r="E62" s="57">
        <v>-2683.6529225099998</v>
      </c>
      <c r="F62" s="57"/>
    </row>
    <row r="63" spans="2:11" x14ac:dyDescent="0.25">
      <c r="B63">
        <v>9</v>
      </c>
      <c r="C63" t="s">
        <v>197</v>
      </c>
      <c r="D63" t="s">
        <v>105</v>
      </c>
      <c r="E63">
        <v>24</v>
      </c>
      <c r="F63" s="57" t="s">
        <v>106</v>
      </c>
      <c r="G63">
        <v>16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AD64"/>
  <sheetViews>
    <sheetView workbookViewId="0">
      <selection activeCell="Q16" sqref="Q16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hidden="true" width="9.42578125" collapsed="true"/>
    <col min="14" max="14" customWidth="true" hidden="true" width="12.28515625" collapsed="true"/>
    <col min="15" max="15" customWidth="true" width="22.28515625" collapsed="true"/>
    <col min="22" max="22" bestFit="true" customWidth="true" width="11.140625" collapsed="true"/>
    <col min="24" max="24" bestFit="true" customWidth="true" width="11.28515625" collapsed="true"/>
    <col min="30" max="30" bestFit="true" customWidth="true" width="10.28515625" collapsed="true"/>
  </cols>
  <sheetData>
    <row ht="15.75" r="1" spans="2:30" thickBot="1" x14ac:dyDescent="0.3">
      <c r="B1" s="37" t="s">
        <v>71</v>
      </c>
      <c r="C1" s="1"/>
      <c r="D1" s="1"/>
      <c r="E1" s="1" t="s">
        <v>86</v>
      </c>
      <c r="F1" s="38">
        <v>0.5</v>
      </c>
      <c r="G1" s="1"/>
      <c r="H1" s="1"/>
      <c r="I1" s="1"/>
      <c r="U1" s="58" t="s">
        <v>175</v>
      </c>
      <c r="V1" s="59"/>
      <c r="W1" s="59"/>
      <c r="X1" s="59"/>
      <c r="AA1" s="58" t="s">
        <v>198</v>
      </c>
      <c r="AB1" s="59"/>
      <c r="AC1" s="59"/>
      <c r="AD1" s="59"/>
    </row>
    <row ht="15.75" r="2" spans="2:30" thickBot="1" x14ac:dyDescent="0.3">
      <c r="B2" s="5"/>
      <c r="C2" s="78" t="s">
        <v>87</v>
      </c>
      <c r="D2" s="78"/>
      <c r="E2" s="78" t="s">
        <v>83</v>
      </c>
      <c r="F2" s="78"/>
      <c r="G2" s="11"/>
      <c r="H2" s="11"/>
      <c r="I2" s="11"/>
      <c r="L2" s="1"/>
      <c r="M2" s="1"/>
      <c r="N2" s="1"/>
      <c r="O2" s="1"/>
      <c r="U2" s="59"/>
      <c r="V2" s="59"/>
      <c r="W2" s="60" t="s">
        <v>173</v>
      </c>
      <c r="X2" s="60" t="s">
        <v>174</v>
      </c>
      <c r="AA2" s="59"/>
      <c r="AB2" s="59"/>
      <c r="AC2" s="60" t="s">
        <v>173</v>
      </c>
      <c r="AD2" s="60" t="s">
        <v>174</v>
      </c>
    </row>
    <row r="3" spans="2:30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8" t="s">
        <v>88</v>
      </c>
      <c r="M3" s="68" t="s">
        <v>89</v>
      </c>
      <c r="N3" s="69" t="s">
        <v>91</v>
      </c>
      <c r="O3" s="70" t="s">
        <v>199</v>
      </c>
      <c r="U3">
        <f>SchoolTourTime!B11</f>
        <v>11</v>
      </c>
      <c r="V3" t="str">
        <f>SchoolTourTime!C11</f>
        <v>arr3-5</v>
      </c>
      <c r="W3">
        <f>VLOOKUP(U3,SchoolTourTime!$B$11:$E$72,4,FALSE)</f>
        <v>-10</v>
      </c>
      <c r="X3" s="64">
        <f>_xlfn.IFNA(VLOOKUP(U3,$L$3:$N$29,3,FALSE),W3)</f>
        <v>-10</v>
      </c>
      <c r="AA3">
        <f>WorkBasedSubtourTime!B11</f>
        <v>11</v>
      </c>
      <c r="AB3" t="str">
        <f>WorkBasedSubtourTime!C11</f>
        <v>arr3-5</v>
      </c>
      <c r="AC3">
        <f>VLOOKUP(AA3,WorkBasedSubtourTime!$B$11:$E$60,4,FALSE)</f>
        <v>-5.5423581828200001</v>
      </c>
      <c r="AD3" s="64">
        <f>_xlfn.IFNA(VLOOKUP(AA3,$L$35:$N$61,3,FALSE),AC3)</f>
        <v>-5.5423581828200001</v>
      </c>
    </row>
    <row r="4" spans="2:30" x14ac:dyDescent="0.25">
      <c r="B4" t="s">
        <v>73</v>
      </c>
      <c r="C4" s="29">
        <f>SUM(Departure_Time!C9:C16)</f>
        <v>243.81454706341063</v>
      </c>
      <c r="D4" s="29">
        <f>SUM(Departure_Time!J9:J16)</f>
        <v>1110.2578663995846</v>
      </c>
      <c r="E4" s="30">
        <f>C4/C$14</f>
        <v>3.0285860900041523E-4</v>
      </c>
      <c r="F4" s="30">
        <f>D4/D$14</f>
        <v>1.4605679752412975E-3</v>
      </c>
      <c r="G4" s="6">
        <f>E4/F4</f>
        <v>0.2073567366492344</v>
      </c>
      <c r="H4" s="6">
        <v>0</v>
      </c>
      <c r="I4" s="31">
        <f>H4*(LN(G4)-LN($G$8))</f>
        <v>0</v>
      </c>
      <c r="L4" s="71">
        <v>21</v>
      </c>
      <c r="M4" s="72">
        <f>VLOOKUP(L4,$U$3:$X$64,3,FALSE)</f>
        <v>-10</v>
      </c>
      <c r="N4" s="73">
        <f>I4+M4</f>
        <v>-10</v>
      </c>
      <c r="O4" s="71" t="str">
        <f>CONCATENATE("Departure ",B4)</f>
        <v>Departure 3-7 am</v>
      </c>
      <c r="U4">
        <f>SchoolTourTime!B12</f>
        <v>12</v>
      </c>
      <c r="V4" t="str">
        <f>SchoolTourTime!C12</f>
        <v>arr=6</v>
      </c>
      <c r="W4">
        <f>VLOOKUP(U4,SchoolTourTime!$B$11:$E$72,4,FALSE)</f>
        <v>-4.9807800000000002</v>
      </c>
      <c r="X4" s="64">
        <f ref="X4:X64" si="0" t="shared">_xlfn.IFNA(VLOOKUP(U4,$L$3:$N$29,3,FALSE),W4)</f>
        <v>-4.9807800000000002</v>
      </c>
      <c r="AA4">
        <f>WorkBasedSubtourTime!B12</f>
        <v>12</v>
      </c>
      <c r="AB4" t="str">
        <f>WorkBasedSubtourTime!C12</f>
        <v>arr=6</v>
      </c>
      <c r="AC4">
        <f>VLOOKUP(AA4,WorkBasedSubtourTime!$B$11:$E$60,4,FALSE)</f>
        <v>-5</v>
      </c>
      <c r="AD4" s="64">
        <f ref="AD4:AD52" si="1" t="shared">_xlfn.IFNA(VLOOKUP(AA4,$L$35:$N$61,3,FALSE),AC4)</f>
        <v>-5</v>
      </c>
    </row>
    <row r="5" spans="2:30" x14ac:dyDescent="0.25">
      <c r="B5" t="s">
        <v>74</v>
      </c>
      <c r="C5" s="29">
        <f>SUM(Departure_Time!C17:C22)</f>
        <v>18004.607701121997</v>
      </c>
      <c r="D5" s="29">
        <f>SUM(Departure_Time!J17:J22)</f>
        <v>11231.570725379668</v>
      </c>
      <c r="E5" s="30">
        <f ref="E5:E14" si="2" t="shared">C5/C$14</f>
        <v>2.2364746113946225E-2</v>
      </c>
      <c r="F5" s="30">
        <f ref="F5:F14" si="3" t="shared">D5/D$14</f>
        <v>1.4775371568719156E-2</v>
      </c>
      <c r="G5" s="6">
        <f ref="G5:G14" si="4" t="shared">E5/F5</f>
        <v>1.5136503342693923</v>
      </c>
      <c r="H5" s="6">
        <f ref="H5:H12" si="5" t="shared">$F$1</f>
        <v>0.5</v>
      </c>
      <c r="I5" s="31">
        <f ref="I5:I13" si="6" t="shared">H5*(LN(G5)-LN($G$8))</f>
        <v>0.21012047239560636</v>
      </c>
      <c r="L5" s="71">
        <v>22</v>
      </c>
      <c r="M5" s="74">
        <f ref="M5:M13" si="7" t="shared">VLOOKUP(L5,$U$3:$X$64,3,FALSE)</f>
        <v>-2.6249699999999998</v>
      </c>
      <c r="N5" s="73">
        <f ref="N5:N13" si="8" t="shared">I5+M5</f>
        <v>-2.4148495276043933</v>
      </c>
      <c r="O5" s="71" t="str">
        <f ref="O5:O13" si="9" t="shared">CONCATENATE("Departure ",B5)</f>
        <v>Departure 7-10 am</v>
      </c>
      <c r="U5">
        <f>SchoolTourTime!B13</f>
        <v>13</v>
      </c>
      <c r="V5" t="str">
        <f>SchoolTourTime!C13</f>
        <v>arr=7</v>
      </c>
      <c r="W5">
        <f>VLOOKUP(U5,SchoolTourTime!$B$11:$E$72,4,FALSE)</f>
        <v>-2.18872</v>
      </c>
      <c r="X5" s="64">
        <f si="0" t="shared"/>
        <v>-2.18872</v>
      </c>
      <c r="AA5">
        <f>WorkBasedSubtourTime!B13</f>
        <v>13</v>
      </c>
      <c r="AB5" t="str">
        <f>WorkBasedSubtourTime!C13</f>
        <v>arr=7</v>
      </c>
      <c r="AC5">
        <f>VLOOKUP(AA5,WorkBasedSubtourTime!$B$11:$E$60,4,FALSE)</f>
        <v>-0.66069759613599999</v>
      </c>
      <c r="AD5" s="64">
        <f si="1" t="shared"/>
        <v>-0.66069759613599999</v>
      </c>
    </row>
    <row r="6" spans="2:30" x14ac:dyDescent="0.25">
      <c r="B6" t="s">
        <v>75</v>
      </c>
      <c r="C6" s="29">
        <f>SUM(Departure_Time!C23:C28)</f>
        <v>105582.58728224141</v>
      </c>
      <c r="D6" s="29">
        <f>SUM(Departure_Time!J23:J28)</f>
        <v>91605.271244280302</v>
      </c>
      <c r="E6" s="30">
        <f si="2" t="shared"/>
        <v>0.13115130292307037</v>
      </c>
      <c r="F6" s="30">
        <f si="3" t="shared"/>
        <v>0.12050869405372439</v>
      </c>
      <c r="G6" s="6">
        <f si="4" t="shared"/>
        <v>1.0883140337127988</v>
      </c>
      <c r="H6" s="6">
        <f si="5" t="shared"/>
        <v>0.5</v>
      </c>
      <c r="I6" s="31">
        <f si="6" t="shared"/>
        <v>4.5173256036137949E-2</v>
      </c>
      <c r="L6" s="71">
        <v>23</v>
      </c>
      <c r="M6" s="74">
        <f si="7" t="shared"/>
        <v>-0.84769000000000005</v>
      </c>
      <c r="N6" s="73">
        <f si="8" t="shared"/>
        <v>-0.80251674396386208</v>
      </c>
      <c r="O6" s="71" t="str">
        <f si="9" t="shared"/>
        <v>Departure 10 am - 1 pm</v>
      </c>
      <c r="U6">
        <f>SchoolTourTime!B14</f>
        <v>14</v>
      </c>
      <c r="V6" t="str">
        <f>SchoolTourTime!C14</f>
        <v>arr=8</v>
      </c>
      <c r="W6">
        <f>VLOOKUP(U6,SchoolTourTime!$B$11:$E$72,4,FALSE)</f>
        <v>-1.29</v>
      </c>
      <c r="X6" s="64">
        <f si="0" t="shared"/>
        <v>-1.29</v>
      </c>
      <c r="AA6">
        <f>WorkBasedSubtourTime!B14</f>
        <v>14</v>
      </c>
      <c r="AB6" t="str">
        <f>WorkBasedSubtourTime!C14</f>
        <v>arr=8</v>
      </c>
      <c r="AC6">
        <f>VLOOKUP(AA6,WorkBasedSubtourTime!$B$11:$E$60,4,FALSE)</f>
        <v>0</v>
      </c>
      <c r="AD6" s="64">
        <f si="1" t="shared"/>
        <v>0</v>
      </c>
    </row>
    <row r="7" spans="2:30" x14ac:dyDescent="0.25">
      <c r="B7" t="s">
        <v>76</v>
      </c>
      <c r="C7" s="29">
        <f>SUM(Departure_Time!C29:C32)</f>
        <v>257052.55378153225</v>
      </c>
      <c r="D7" s="29">
        <f>SUM(Departure_Time!J29:J32)</f>
        <v>239380.90038487467</v>
      </c>
      <c r="E7" s="30">
        <f si="2" t="shared"/>
        <v>0.31930243628175359</v>
      </c>
      <c r="F7" s="30">
        <f si="3" t="shared"/>
        <v>0.31491069558496754</v>
      </c>
      <c r="G7" s="6">
        <f si="4" t="shared"/>
        <v>1.0139459877303567</v>
      </c>
      <c r="H7" s="6">
        <f si="5" t="shared"/>
        <v>0.5</v>
      </c>
      <c r="I7" s="31">
        <f si="6" t="shared"/>
        <v>9.7832042851239403E-3</v>
      </c>
      <c r="L7" s="71">
        <v>24</v>
      </c>
      <c r="M7" s="74">
        <f si="7" t="shared"/>
        <v>0.46710000000000002</v>
      </c>
      <c r="N7" s="73">
        <f si="8" t="shared"/>
        <v>0.47688320428512393</v>
      </c>
      <c r="O7" s="71" t="str">
        <f si="9" t="shared"/>
        <v>Departure 1-3 pm</v>
      </c>
      <c r="U7">
        <f>SchoolTourTime!B15</f>
        <v>15</v>
      </c>
      <c r="V7" t="str">
        <f>SchoolTourTime!C15</f>
        <v>arr=9</v>
      </c>
      <c r="W7">
        <f>VLOOKUP(U7,SchoolTourTime!$B$11:$E$72,4,FALSE)</f>
        <v>-1.46191</v>
      </c>
      <c r="X7" s="64">
        <f si="0" t="shared"/>
        <v>-1.46191</v>
      </c>
      <c r="AA7">
        <f>WorkBasedSubtourTime!B15</f>
        <v>15</v>
      </c>
      <c r="AB7" t="str">
        <f>WorkBasedSubtourTime!C15</f>
        <v>arr=9</v>
      </c>
      <c r="AC7">
        <f>VLOOKUP(AA7,WorkBasedSubtourTime!$B$11:$E$60,4,FALSE)</f>
        <v>-0.43816094042800002</v>
      </c>
      <c r="AD7" s="64">
        <f si="1" t="shared"/>
        <v>-0.43816094042800002</v>
      </c>
    </row>
    <row r="8" spans="2:30" x14ac:dyDescent="0.25">
      <c r="B8" t="s">
        <v>176</v>
      </c>
      <c r="C8" s="29">
        <f>SUM(Departure_Time!C33:C36)</f>
        <v>284982.09921464452</v>
      </c>
      <c r="D8" s="29">
        <f>SUM(Departure_Time!J33:J36)</f>
        <v>270634.23758547608</v>
      </c>
      <c r="E8" s="30">
        <f si="2" t="shared"/>
        <v>0.35399562166288001</v>
      </c>
      <c r="F8" s="30">
        <f si="3" t="shared"/>
        <v>0.35602512928192925</v>
      </c>
      <c r="G8" s="6">
        <f si="4" t="shared"/>
        <v>0.99429953828500095</v>
      </c>
      <c r="H8" s="6">
        <f si="5" t="shared"/>
        <v>0.5</v>
      </c>
      <c r="I8" s="31">
        <f si="6" t="shared"/>
        <v>0</v>
      </c>
      <c r="L8" s="71">
        <v>25</v>
      </c>
      <c r="M8" s="74">
        <f si="7" t="shared"/>
        <v>0</v>
      </c>
      <c r="N8" s="73">
        <f si="8" t="shared"/>
        <v>0</v>
      </c>
      <c r="O8" s="71" t="str">
        <f si="9" t="shared"/>
        <v>Departure 3-5 pm</v>
      </c>
      <c r="U8">
        <f>SchoolTourTime!B16</f>
        <v>16</v>
      </c>
      <c r="V8" t="str">
        <f>SchoolTourTime!C16</f>
        <v>arr10-12</v>
      </c>
      <c r="W8">
        <f>VLOOKUP(U8,SchoolTourTime!$B$11:$E$72,4,FALSE)</f>
        <v>-1.91828</v>
      </c>
      <c r="X8" s="64">
        <f si="0" t="shared"/>
        <v>-1.91828</v>
      </c>
      <c r="AA8">
        <f>WorkBasedSubtourTime!B16</f>
        <v>16</v>
      </c>
      <c r="AB8" t="str">
        <f>WorkBasedSubtourTime!C16</f>
        <v>arr10-12</v>
      </c>
      <c r="AC8">
        <f>VLOOKUP(AA8,WorkBasedSubtourTime!$B$11:$E$60,4,FALSE)</f>
        <v>0.35014935706299999</v>
      </c>
      <c r="AD8" s="64">
        <f si="1" t="shared"/>
        <v>0.35014935706299999</v>
      </c>
    </row>
    <row r="9" spans="2:30" x14ac:dyDescent="0.25">
      <c r="B9" t="s">
        <v>77</v>
      </c>
      <c r="C9" s="29">
        <f>SUM(Departure_Time!C37:C38)</f>
        <v>62202.636232286095</v>
      </c>
      <c r="D9" s="29">
        <f>SUM(Departure_Time!J37:J38)</f>
        <v>66908.149254339893</v>
      </c>
      <c r="E9" s="30">
        <f si="2" t="shared"/>
        <v>7.7266119320474766E-2</v>
      </c>
      <c r="F9" s="30">
        <f si="3" t="shared"/>
        <v>8.8019101724952489E-2</v>
      </c>
      <c r="G9" s="6">
        <f si="4" t="shared"/>
        <v>0.8778335362012748</v>
      </c>
      <c r="H9" s="6">
        <f si="5" t="shared"/>
        <v>0.5</v>
      </c>
      <c r="I9" s="31">
        <f si="6" t="shared"/>
        <v>-6.2290763134000532E-2</v>
      </c>
      <c r="L9" s="71">
        <v>26</v>
      </c>
      <c r="M9" s="74">
        <f si="7" t="shared"/>
        <v>-0.89420999999999995</v>
      </c>
      <c r="N9" s="73">
        <f si="8" t="shared"/>
        <v>-0.95650076313400045</v>
      </c>
      <c r="O9" s="71" t="str">
        <f si="9" t="shared"/>
        <v>Departure 5-6 pm</v>
      </c>
      <c r="U9">
        <f>SchoolTourTime!B17</f>
        <v>17</v>
      </c>
      <c r="V9" t="str">
        <f>SchoolTourTime!C17</f>
        <v>arr13-15</v>
      </c>
      <c r="W9">
        <f>VLOOKUP(U9,SchoolTourTime!$B$11:$E$72,4,FALSE)</f>
        <v>-2.0692599999999999</v>
      </c>
      <c r="X9" s="64">
        <f si="0" t="shared"/>
        <v>-2.0692599999999999</v>
      </c>
      <c r="AA9">
        <f>WorkBasedSubtourTime!B17</f>
        <v>17</v>
      </c>
      <c r="AB9" t="str">
        <f>WorkBasedSubtourTime!C17</f>
        <v>arr13-15</v>
      </c>
      <c r="AC9">
        <f>VLOOKUP(AA9,WorkBasedSubtourTime!$B$11:$E$60,4,FALSE)</f>
        <v>-0.97116272210700005</v>
      </c>
      <c r="AD9" s="64">
        <f si="1" t="shared"/>
        <v>-0.97116272210700005</v>
      </c>
    </row>
    <row r="10" spans="2:30" x14ac:dyDescent="0.25">
      <c r="B10" t="s">
        <v>78</v>
      </c>
      <c r="C10" s="29">
        <f>SUM(Departure_Time!C39:C40)</f>
        <v>31159.118449137553</v>
      </c>
      <c r="D10" s="29">
        <f>SUM(Departure_Time!J39:J40)</f>
        <v>31011.578480660362</v>
      </c>
      <c r="E10" s="30">
        <f si="2" t="shared"/>
        <v>3.8704857379698004E-2</v>
      </c>
      <c r="F10" s="30">
        <f si="3" t="shared"/>
        <v>4.0796394928881402E-2</v>
      </c>
      <c r="G10" s="6">
        <f si="4" t="shared"/>
        <v>0.94873229478169618</v>
      </c>
      <c r="H10" s="6">
        <f si="5" t="shared"/>
        <v>0.5</v>
      </c>
      <c r="I10" s="31">
        <f si="6" t="shared"/>
        <v>-2.3455920357509874E-2</v>
      </c>
      <c r="L10" s="71">
        <v>27</v>
      </c>
      <c r="M10" s="74">
        <f si="7" t="shared"/>
        <v>-1.82273</v>
      </c>
      <c r="N10" s="73">
        <f si="8" t="shared"/>
        <v>-1.8461859203575099</v>
      </c>
      <c r="O10" s="71" t="str">
        <f si="9" t="shared"/>
        <v>Departure 6-7 pm</v>
      </c>
      <c r="U10">
        <f>SchoolTourTime!B18</f>
        <v>18</v>
      </c>
      <c r="V10" t="str">
        <f>SchoolTourTime!C18</f>
        <v>arr16-18</v>
      </c>
      <c r="W10">
        <f>VLOOKUP(U10,SchoolTourTime!$B$11:$E$72,4,FALSE)</f>
        <v>-2.19163</v>
      </c>
      <c r="X10" s="64">
        <f si="0" t="shared"/>
        <v>-2.19163</v>
      </c>
      <c r="AA10">
        <f>WorkBasedSubtourTime!B18</f>
        <v>18</v>
      </c>
      <c r="AB10" t="str">
        <f>WorkBasedSubtourTime!C18</f>
        <v>arr16-18</v>
      </c>
      <c r="AC10">
        <f>VLOOKUP(AA10,WorkBasedSubtourTime!$B$11:$E$60,4,FALSE)</f>
        <v>-1.40663538516</v>
      </c>
      <c r="AD10" s="64">
        <f si="1" t="shared"/>
        <v>-1.40663538516</v>
      </c>
    </row>
    <row r="11" spans="2:30" x14ac:dyDescent="0.25">
      <c r="B11" t="s">
        <v>79</v>
      </c>
      <c r="C11" s="29">
        <f>SUM(Departure_Time!C41:C44)</f>
        <v>27366.75638819097</v>
      </c>
      <c r="D11" s="29">
        <f>SUM(Departure_Time!J41:J44)</f>
        <v>25614.935181637509</v>
      </c>
      <c r="E11" s="30">
        <f si="2" t="shared"/>
        <v>3.3994106883315528E-2</v>
      </c>
      <c r="F11" s="30">
        <f si="3" t="shared"/>
        <v>3.3696995217430484E-2</v>
      </c>
      <c r="G11" s="6">
        <f si="4" t="shared"/>
        <v>1.0088171560688994</v>
      </c>
      <c r="H11" s="6">
        <f si="5" t="shared"/>
        <v>0.5</v>
      </c>
      <c r="I11" s="31">
        <f si="6" t="shared"/>
        <v>7.2476416472568445E-3</v>
      </c>
      <c r="L11" s="71">
        <v>28</v>
      </c>
      <c r="M11" s="74">
        <f si="7" t="shared"/>
        <v>-2.3654199999999999</v>
      </c>
      <c r="N11" s="73">
        <f si="8" t="shared"/>
        <v>-2.3581723583527432</v>
      </c>
      <c r="O11" s="71" t="str">
        <f si="9" t="shared"/>
        <v>Departure 7-9 pm</v>
      </c>
      <c r="U11">
        <f>SchoolTourTime!B19</f>
        <v>19</v>
      </c>
      <c r="V11" t="str">
        <f>SchoolTourTime!C19</f>
        <v>arr19-21</v>
      </c>
      <c r="W11">
        <f>VLOOKUP(U11,SchoolTourTime!$B$11:$E$72,4,FALSE)</f>
        <v>-3.6867000000000001</v>
      </c>
      <c r="X11" s="64">
        <f si="0" t="shared"/>
        <v>-3.6867000000000001</v>
      </c>
      <c r="AA11">
        <f>WorkBasedSubtourTime!B19</f>
        <v>19</v>
      </c>
      <c r="AB11" t="str">
        <f>WorkBasedSubtourTime!C19</f>
        <v>arr19-21</v>
      </c>
      <c r="AC11">
        <f>VLOOKUP(AA11,WorkBasedSubtourTime!$B$11:$E$60,4,FALSE)</f>
        <v>-3.9493274113200001</v>
      </c>
      <c r="AD11" s="64">
        <f si="1" t="shared"/>
        <v>-3.9493274113200001</v>
      </c>
    </row>
    <row r="12" spans="2:30" x14ac:dyDescent="0.25">
      <c r="B12" t="s">
        <v>80</v>
      </c>
      <c r="C12" s="29">
        <f>SUM(Departure_Time!C45:C50)</f>
        <v>14764.066044233514</v>
      </c>
      <c r="D12" s="29">
        <f>SUM(Departure_Time!J45:J50)</f>
        <v>19242.223861346283</v>
      </c>
      <c r="E12" s="30">
        <f si="2" t="shared"/>
        <v>1.8339449221558994E-2</v>
      </c>
      <c r="F12" s="30">
        <f si="3" t="shared"/>
        <v>2.5313557142761477E-2</v>
      </c>
      <c r="G12" s="6">
        <f si="4" t="shared"/>
        <v>0.72449119332101619</v>
      </c>
      <c r="H12" s="6">
        <f si="5" t="shared"/>
        <v>0.5</v>
      </c>
      <c r="I12" s="31">
        <f si="6" t="shared"/>
        <v>-0.15828445073187403</v>
      </c>
      <c r="L12" s="71">
        <v>29</v>
      </c>
      <c r="M12" s="74">
        <f si="7" t="shared"/>
        <v>-3.26417</v>
      </c>
      <c r="N12" s="73">
        <f si="8" t="shared"/>
        <v>-3.4224544507318742</v>
      </c>
      <c r="O12" s="71" t="str">
        <f si="9" t="shared"/>
        <v>Departure 9-12 pm</v>
      </c>
      <c r="U12">
        <f>SchoolTourTime!B20</f>
        <v>20</v>
      </c>
      <c r="V12" t="str">
        <f>SchoolTourTime!C20</f>
        <v>arr22-26</v>
      </c>
      <c r="W12">
        <f>VLOOKUP(U12,SchoolTourTime!$B$11:$E$72,4,FALSE)</f>
        <v>-10</v>
      </c>
      <c r="X12" s="64">
        <f si="0" t="shared"/>
        <v>-10</v>
      </c>
      <c r="AA12">
        <f>WorkBasedSubtourTime!B20</f>
        <v>20</v>
      </c>
      <c r="AB12" t="str">
        <f>WorkBasedSubtourTime!C20</f>
        <v>arr22-26</v>
      </c>
      <c r="AC12">
        <f>VLOOKUP(AA12,WorkBasedSubtourTime!$B$11:$E$60,4,FALSE)</f>
        <v>-10</v>
      </c>
      <c r="AD12" s="64">
        <f si="1" t="shared"/>
        <v>-10</v>
      </c>
    </row>
    <row r="13" spans="2:30" x14ac:dyDescent="0.25">
      <c r="B13" s="23" t="s">
        <v>81</v>
      </c>
      <c r="C13" s="34">
        <f>SUM(Departure_Time!C51:C57)+Departure_Time!C8</f>
        <v>3685.89586595009</v>
      </c>
      <c r="D13" s="34">
        <f>SUM(Departure_Time!J51:J57)+Departure_Time!J8</f>
        <v>3415.7502451466707</v>
      </c>
      <c r="E13" s="35">
        <f si="2" t="shared"/>
        <v>4.57850160430214E-3</v>
      </c>
      <c r="F13" s="35">
        <f si="3" t="shared"/>
        <v>4.4934925213926009E-3</v>
      </c>
      <c r="G13" s="22">
        <f si="4" t="shared"/>
        <v>1.0189182651367124</v>
      </c>
      <c r="H13" s="22">
        <v>0</v>
      </c>
      <c r="I13" s="31">
        <f si="6" t="shared"/>
        <v>0</v>
      </c>
      <c r="L13" s="75">
        <v>30</v>
      </c>
      <c r="M13" s="75">
        <f si="7" t="shared"/>
        <v>-10</v>
      </c>
      <c r="N13" s="76">
        <f si="8" t="shared"/>
        <v>-10</v>
      </c>
      <c r="O13" s="75" t="str">
        <f si="9" t="shared"/>
        <v>Departure 12-3 am</v>
      </c>
      <c r="U13" s="66">
        <f>SchoolTourTime!B21</f>
        <v>21</v>
      </c>
      <c r="V13" s="66" t="str">
        <f>SchoolTourTime!C21</f>
        <v>dep3-6</v>
      </c>
      <c r="W13" s="66">
        <f>VLOOKUP(U13,SchoolTourTime!$B$11:$E$72,4,FALSE)</f>
        <v>-10</v>
      </c>
      <c r="X13" s="67">
        <f si="0" t="shared"/>
        <v>-10</v>
      </c>
      <c r="AA13" s="66">
        <f>WorkBasedSubtourTime!B21</f>
        <v>21</v>
      </c>
      <c r="AB13" s="66" t="str">
        <f>WorkBasedSubtourTime!C21</f>
        <v>dep3-6</v>
      </c>
      <c r="AC13" s="66">
        <f>VLOOKUP(AA13,WorkBasedSubtourTime!$B$11:$E$60,4,FALSE)</f>
        <v>6.9186854038699996</v>
      </c>
      <c r="AD13" s="67">
        <f si="1" t="shared"/>
        <v>6.9186854038699996</v>
      </c>
    </row>
    <row ht="15.75" r="14" spans="2:30" thickBot="1" x14ac:dyDescent="0.3">
      <c r="B14" s="39" t="s">
        <v>82</v>
      </c>
      <c r="C14" s="40">
        <f>SUM(C4:C13)</f>
        <v>805044.13550640177</v>
      </c>
      <c r="D14" s="40">
        <f>SUM(D4:D13)</f>
        <v>760154.87482954096</v>
      </c>
      <c r="E14" s="41">
        <f si="2" t="shared"/>
        <v>1</v>
      </c>
      <c r="F14" s="41">
        <f si="3" t="shared"/>
        <v>1</v>
      </c>
      <c r="G14" s="42">
        <f si="4" t="shared"/>
        <v>1</v>
      </c>
      <c r="H14" s="42"/>
      <c r="I14" s="43"/>
      <c r="U14" s="66">
        <f>SchoolTourTime!B22</f>
        <v>22</v>
      </c>
      <c r="V14" s="66" t="str">
        <f>SchoolTourTime!C22</f>
        <v>dep7-9</v>
      </c>
      <c r="W14" s="66">
        <f>VLOOKUP(U14,SchoolTourTime!$B$11:$E$72,4,FALSE)</f>
        <v>-2.6249699999999998</v>
      </c>
      <c r="X14" s="67">
        <f si="0" t="shared"/>
        <v>-2.4148495276043933</v>
      </c>
      <c r="AA14" s="66">
        <f>WorkBasedSubtourTime!B22</f>
        <v>22</v>
      </c>
      <c r="AB14" s="66" t="str">
        <f>WorkBasedSubtourTime!C22</f>
        <v>dep7-9</v>
      </c>
      <c r="AC14" s="66">
        <f>VLOOKUP(AA14,WorkBasedSubtourTime!$B$11:$E$60,4,FALSE)</f>
        <v>0.82378831109799999</v>
      </c>
      <c r="AD14" s="67">
        <f si="1" t="shared"/>
        <v>0.67756778753127644</v>
      </c>
    </row>
    <row r="15" spans="2:30" x14ac:dyDescent="0.25">
      <c r="U15" s="66">
        <f>SchoolTourTime!B23</f>
        <v>23</v>
      </c>
      <c r="V15" s="66" t="str">
        <f>SchoolTourTime!C23</f>
        <v>dep10-12</v>
      </c>
      <c r="W15" s="66">
        <f>VLOOKUP(U15,SchoolTourTime!$B$11:$E$72,4,FALSE)</f>
        <v>-0.84769000000000005</v>
      </c>
      <c r="X15" s="67">
        <f si="0" t="shared"/>
        <v>-0.80251674396386208</v>
      </c>
      <c r="AA15" s="66">
        <f>WorkBasedSubtourTime!B23</f>
        <v>23</v>
      </c>
      <c r="AB15" s="66" t="str">
        <f>WorkBasedSubtourTime!C23</f>
        <v>dep10-12</v>
      </c>
      <c r="AC15" s="66">
        <f>VLOOKUP(AA15,WorkBasedSubtourTime!$B$11:$E$60,4,FALSE)</f>
        <v>1.15129394327</v>
      </c>
      <c r="AD15" s="67">
        <f si="1" t="shared"/>
        <v>1.2167925230760073</v>
      </c>
    </row>
    <row r="16" spans="2:30" x14ac:dyDescent="0.25">
      <c r="U16" s="66">
        <f>SchoolTourTime!B24</f>
        <v>24</v>
      </c>
      <c r="V16" s="66" t="str">
        <f>SchoolTourTime!C24</f>
        <v>dep13-14</v>
      </c>
      <c r="W16" s="66">
        <f>VLOOKUP(U16,SchoolTourTime!$B$11:$E$72,4,FALSE)</f>
        <v>0.46710000000000002</v>
      </c>
      <c r="X16" s="67">
        <f si="0" t="shared"/>
        <v>0.47688320428512393</v>
      </c>
      <c r="AA16" s="66">
        <f>WorkBasedSubtourTime!B24</f>
        <v>24</v>
      </c>
      <c r="AB16" s="66" t="str">
        <f>WorkBasedSubtourTime!C24</f>
        <v>dep13-14</v>
      </c>
      <c r="AC16" s="66">
        <f>VLOOKUP(AA16,WorkBasedSubtourTime!$B$11:$E$60,4,FALSE)</f>
        <v>1.26969878925</v>
      </c>
      <c r="AD16" s="67">
        <f si="1" t="shared"/>
        <v>1.4006122182309364</v>
      </c>
    </row>
    <row ht="15.75" r="17" spans="2:30" thickBot="1" x14ac:dyDescent="0.3">
      <c r="B17" s="37" t="s">
        <v>61</v>
      </c>
      <c r="C17" s="1"/>
      <c r="D17" s="1"/>
      <c r="E17" s="1" t="s">
        <v>86</v>
      </c>
      <c r="F17" s="38">
        <v>0</v>
      </c>
      <c r="G17" s="1"/>
      <c r="H17" s="1"/>
      <c r="I17" s="1"/>
      <c r="U17" s="66">
        <f>SchoolTourTime!B25</f>
        <v>25</v>
      </c>
      <c r="V17" s="66" t="str">
        <f>SchoolTourTime!C25</f>
        <v>dep=16</v>
      </c>
      <c r="W17" s="66">
        <f>VLOOKUP(U17,SchoolTourTime!$B$11:$E$72,4,FALSE)</f>
        <v>0</v>
      </c>
      <c r="X17" s="67">
        <f si="0" t="shared"/>
        <v>0</v>
      </c>
      <c r="AA17" s="66">
        <f>WorkBasedSubtourTime!B25</f>
        <v>25</v>
      </c>
      <c r="AB17" s="66" t="str">
        <f>WorkBasedSubtourTime!C25</f>
        <v>dep=16</v>
      </c>
      <c r="AC17" s="66">
        <f>VLOOKUP(AA17,WorkBasedSubtourTime!$B$11:$E$60,4,FALSE)</f>
        <v>0</v>
      </c>
      <c r="AD17" s="67">
        <f si="1" t="shared"/>
        <v>0</v>
      </c>
    </row>
    <row ht="15.75" r="18" spans="2:30" thickBot="1" x14ac:dyDescent="0.3">
      <c r="B18" s="8"/>
      <c r="C18" s="77" t="s">
        <v>87</v>
      </c>
      <c r="D18" s="77"/>
      <c r="E18" s="77" t="s">
        <v>83</v>
      </c>
      <c r="F18" s="77"/>
      <c r="G18" s="8"/>
      <c r="H18" s="8"/>
      <c r="I18" s="8"/>
      <c r="L18" s="1"/>
      <c r="M18" s="1"/>
      <c r="N18" s="1"/>
      <c r="U18" s="66">
        <f>SchoolTourTime!B26</f>
        <v>26</v>
      </c>
      <c r="V18" s="66" t="str">
        <f>SchoolTourTime!C26</f>
        <v>dep=17</v>
      </c>
      <c r="W18" s="66">
        <f>VLOOKUP(U18,SchoolTourTime!$B$11:$E$72,4,FALSE)</f>
        <v>-0.89420999999999995</v>
      </c>
      <c r="X18" s="67">
        <f si="0" t="shared"/>
        <v>-0.95650076313400045</v>
      </c>
      <c r="AA18" s="66">
        <f>WorkBasedSubtourTime!B26</f>
        <v>26</v>
      </c>
      <c r="AB18" s="66" t="str">
        <f>WorkBasedSubtourTime!C26</f>
        <v>dep=17</v>
      </c>
      <c r="AC18" s="66">
        <f>VLOOKUP(AA18,WorkBasedSubtourTime!$B$11:$E$60,4,FALSE)</f>
        <v>-0.32598304645800003</v>
      </c>
      <c r="AD18" s="67">
        <f si="1" t="shared"/>
        <v>-0.3773574746878281</v>
      </c>
    </row>
    <row r="19" spans="2:30" x14ac:dyDescent="0.25">
      <c r="B19" s="32" t="s">
        <v>14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33" t="s">
        <v>88</v>
      </c>
      <c r="M19" s="33" t="s">
        <v>89</v>
      </c>
      <c r="N19" s="32" t="s">
        <v>91</v>
      </c>
      <c r="U19" s="66">
        <f>SchoolTourTime!B27</f>
        <v>27</v>
      </c>
      <c r="V19" s="66" t="str">
        <f>SchoolTourTime!C27</f>
        <v>dep=18</v>
      </c>
      <c r="W19" s="66">
        <f>VLOOKUP(U19,SchoolTourTime!$B$11:$E$72,4,FALSE)</f>
        <v>-1.82273</v>
      </c>
      <c r="X19" s="67">
        <f si="0" t="shared"/>
        <v>-1.8461859203575099</v>
      </c>
      <c r="AA19" s="66">
        <f>WorkBasedSubtourTime!B27</f>
        <v>27</v>
      </c>
      <c r="AB19" s="66" t="str">
        <f>WorkBasedSubtourTime!C27</f>
        <v>dep=18</v>
      </c>
      <c r="AC19" s="66">
        <f>VLOOKUP(AA19,WorkBasedSubtourTime!$B$11:$E$60,4,FALSE)</f>
        <v>-0.23479195191999999</v>
      </c>
      <c r="AD19" s="67">
        <f si="1" t="shared"/>
        <v>-0.47647708638117914</v>
      </c>
    </row>
    <row r="20" spans="2:30" x14ac:dyDescent="0.25">
      <c r="B20" t="s">
        <v>62</v>
      </c>
      <c r="C20" s="29">
        <f>SUM(Duration!C8:C13)</f>
        <v>89062.712868095696</v>
      </c>
      <c r="D20" s="29">
        <f>SUM(Duration!J7:J12)</f>
        <v>122568.38331584015</v>
      </c>
      <c r="E20" s="30">
        <f>C20/C$30</f>
        <v>0.11475243355249329</v>
      </c>
      <c r="F20" s="30">
        <f>D20/D$30</f>
        <v>0.15636935730835969</v>
      </c>
      <c r="G20" s="6">
        <f>E20/F20</f>
        <v>0.73385499261343123</v>
      </c>
      <c r="H20" s="6">
        <f>$F$1</f>
        <v>0.5</v>
      </c>
      <c r="I20" s="62">
        <f>H20*(LN(G20)-LN($G$23))</f>
        <v>-0.18069925294654077</v>
      </c>
      <c r="L20">
        <v>31</v>
      </c>
      <c r="M20" s="61">
        <f>VLOOKUP(L20,$U$3:$X$64,3,FALSE)</f>
        <v>-0.39251999999999998</v>
      </c>
      <c r="N20" s="31">
        <f>I20+M20</f>
        <v>-0.57321925294654075</v>
      </c>
      <c r="U20" s="66">
        <f>SchoolTourTime!B28</f>
        <v>28</v>
      </c>
      <c r="V20" s="66" t="str">
        <f>SchoolTourTime!C28</f>
        <v>dep19-20</v>
      </c>
      <c r="W20" s="66">
        <f>VLOOKUP(U20,SchoolTourTime!$B$11:$E$72,4,FALSE)</f>
        <v>-2.3654199999999999</v>
      </c>
      <c r="X20" s="67">
        <f si="0" t="shared"/>
        <v>-2.3581723583527432</v>
      </c>
      <c r="AA20" s="66">
        <f>WorkBasedSubtourTime!B28</f>
        <v>28</v>
      </c>
      <c r="AB20" s="66" t="str">
        <f>WorkBasedSubtourTime!C28</f>
        <v>dep19-20</v>
      </c>
      <c r="AC20" s="66">
        <f>VLOOKUP(AA20,WorkBasedSubtourTime!$B$11:$E$60,4,FALSE)</f>
        <v>-0.63082416318199996</v>
      </c>
      <c r="AD20" s="67">
        <f si="1" t="shared"/>
        <v>-1.1470574112952341</v>
      </c>
    </row>
    <row r="21" spans="2:30" x14ac:dyDescent="0.25">
      <c r="B21" t="s">
        <v>63</v>
      </c>
      <c r="C21" s="29">
        <f>SUM(Duration!C14:C17)</f>
        <v>103112.12834729298</v>
      </c>
      <c r="D21" s="29">
        <f>SUM(Duration!J13:J16)</f>
        <v>111688.9387986495</v>
      </c>
      <c r="E21" s="30">
        <f ref="E21:E30" si="10" t="shared">C21/C$30</f>
        <v>0.13285433685534548</v>
      </c>
      <c r="F21" s="30">
        <f ref="F21:F30" si="11" t="shared">D21/D$30</f>
        <v>0.14248966255346276</v>
      </c>
      <c r="G21" s="6">
        <f ref="G21:G30" si="12" t="shared">E21/F21</f>
        <v>0.93237877383208712</v>
      </c>
      <c r="H21" s="6">
        <f ref="H21:H28" si="13" t="shared">$F$1</f>
        <v>0.5</v>
      </c>
      <c r="I21" s="63">
        <f ref="I21:I29" si="14" t="shared">H21*(LN(G21)-LN($G$23))</f>
        <v>-6.0985407714252024E-2</v>
      </c>
      <c r="L21" s="5">
        <v>32</v>
      </c>
      <c r="M21" s="5">
        <f ref="M21:M29" si="15" t="shared">VLOOKUP(L21,$U$3:$X$64,3,FALSE)</f>
        <v>-2.12E-2</v>
      </c>
      <c r="N21" s="31">
        <f ref="N21:N29" si="16" t="shared">I21+M21</f>
        <v>-8.2185407714252021E-2</v>
      </c>
      <c r="U21" s="66">
        <f>SchoolTourTime!B29</f>
        <v>29</v>
      </c>
      <c r="V21" s="66" t="str">
        <f>SchoolTourTime!C29</f>
        <v>dep21-23</v>
      </c>
      <c r="W21" s="66">
        <f>VLOOKUP(U21,SchoolTourTime!$B$11:$E$72,4,FALSE)</f>
        <v>-3.26417</v>
      </c>
      <c r="X21" s="67">
        <f si="0" t="shared"/>
        <v>-3.4224544507318742</v>
      </c>
      <c r="AA21" s="66">
        <f>WorkBasedSubtourTime!B29</f>
        <v>29</v>
      </c>
      <c r="AB21" s="66" t="str">
        <f>WorkBasedSubtourTime!C29</f>
        <v>dep21-23</v>
      </c>
      <c r="AC21" s="66">
        <f>VLOOKUP(AA21,WorkBasedSubtourTime!$B$11:$E$60,4,FALSE)</f>
        <v>1.77974443435</v>
      </c>
      <c r="AD21" s="67">
        <f si="1" t="shared"/>
        <v>1.4304320574915803</v>
      </c>
    </row>
    <row r="22" spans="2:30" x14ac:dyDescent="0.25">
      <c r="B22" t="s">
        <v>64</v>
      </c>
      <c r="C22" s="29">
        <f>SUM(Duration!C18:C21)</f>
        <v>251116.70356618395</v>
      </c>
      <c r="D22" s="29">
        <f>SUM(Duration!J17:J20)</f>
        <v>217202.22092332243</v>
      </c>
      <c r="E22" s="30">
        <f si="10" t="shared"/>
        <v>0.3235501357630699</v>
      </c>
      <c r="F22" s="30">
        <f si="11" t="shared"/>
        <v>0.27710059293356909</v>
      </c>
      <c r="G22" s="6">
        <f si="12" t="shared"/>
        <v>1.1676270062714604</v>
      </c>
      <c r="H22" s="6">
        <f si="13" t="shared"/>
        <v>0.5</v>
      </c>
      <c r="I22" s="63">
        <f si="14" t="shared"/>
        <v>5.1509405599121497E-2</v>
      </c>
      <c r="L22" s="5">
        <v>33</v>
      </c>
      <c r="M22" s="5">
        <f si="15" t="shared"/>
        <v>0.27398</v>
      </c>
      <c r="N22" s="31">
        <f si="16" t="shared"/>
        <v>0.32548940559912148</v>
      </c>
      <c r="U22" s="66">
        <f>SchoolTourTime!B30</f>
        <v>30</v>
      </c>
      <c r="V22" s="66" t="str">
        <f>SchoolTourTime!C30</f>
        <v>dep24-26</v>
      </c>
      <c r="W22" s="66">
        <f>VLOOKUP(U22,SchoolTourTime!$B$11:$E$72,4,FALSE)</f>
        <v>-10</v>
      </c>
      <c r="X22" s="67">
        <f si="0" t="shared"/>
        <v>-10</v>
      </c>
      <c r="AA22" s="66">
        <f>WorkBasedSubtourTime!B30</f>
        <v>30</v>
      </c>
      <c r="AB22" s="66" t="str">
        <f>WorkBasedSubtourTime!C30</f>
        <v>dep24-26</v>
      </c>
      <c r="AC22" s="66">
        <f>VLOOKUP(AA22,WorkBasedSubtourTime!$B$11:$E$60,4,FALSE)</f>
        <v>-10</v>
      </c>
      <c r="AD22" s="67">
        <f si="1" t="shared"/>
        <v>-10</v>
      </c>
    </row>
    <row r="23" spans="2:30" x14ac:dyDescent="0.25">
      <c r="B23" t="s">
        <v>65</v>
      </c>
      <c r="C23" s="29">
        <f>SUM(Duration!C22:C25)</f>
        <v>240863.79391257506</v>
      </c>
      <c r="D23" s="29">
        <f>SUM(Duration!J21:J24)</f>
        <v>230940.80959415235</v>
      </c>
      <c r="E23" s="30">
        <f si="10" t="shared"/>
        <v>0.31033982253706288</v>
      </c>
      <c r="F23" s="30">
        <f si="11" t="shared"/>
        <v>0.29462790481175349</v>
      </c>
      <c r="G23" s="6">
        <f si="12" t="shared"/>
        <v>1.0533280027747141</v>
      </c>
      <c r="H23" s="6">
        <f si="13" t="shared"/>
        <v>0.5</v>
      </c>
      <c r="I23" s="63">
        <f si="14" t="shared"/>
        <v>0</v>
      </c>
      <c r="L23" s="5">
        <v>34</v>
      </c>
      <c r="M23" s="5">
        <f si="15" t="shared"/>
        <v>0.40205000000000002</v>
      </c>
      <c r="N23" s="31">
        <f si="16" t="shared"/>
        <v>0.40205000000000002</v>
      </c>
      <c r="U23" s="66">
        <f>SchoolTourTime!B31</f>
        <v>31</v>
      </c>
      <c r="V23" s="66" t="str">
        <f>SchoolTourTime!C31</f>
        <v>dur0-2</v>
      </c>
      <c r="W23" s="66">
        <f>VLOOKUP(U23,SchoolTourTime!$B$11:$E$72,4,FALSE)</f>
        <v>-0.39251999999999998</v>
      </c>
      <c r="X23" s="67">
        <f si="0" t="shared"/>
        <v>-0.57321925294654075</v>
      </c>
      <c r="AA23" s="66">
        <f>WorkBasedSubtourTime!B31</f>
        <v>31</v>
      </c>
      <c r="AB23" s="66" t="str">
        <f>WorkBasedSubtourTime!C31</f>
        <v>dur0-0</v>
      </c>
      <c r="AC23" s="66">
        <f>VLOOKUP(AA23,WorkBasedSubtourTime!$B$11:$E$60,4,FALSE)</f>
        <v>2.3787024053099999</v>
      </c>
      <c r="AD23" s="67">
        <f si="1" t="shared"/>
        <v>3.3924765141783162</v>
      </c>
    </row>
    <row r="24" spans="2:30" x14ac:dyDescent="0.25">
      <c r="B24" t="s">
        <v>66</v>
      </c>
      <c r="C24" s="29">
        <f>SUM(Duration!C26:C27)</f>
        <v>46090.733974032097</v>
      </c>
      <c r="D24" s="29">
        <f>SUM(Duration!J25:J26)</f>
        <v>61424.366421954357</v>
      </c>
      <c r="E24" s="30">
        <f si="10" t="shared"/>
        <v>5.9385389434228796E-2</v>
      </c>
      <c r="F24" s="30">
        <f si="11" t="shared"/>
        <v>7.8363509745607463E-2</v>
      </c>
      <c r="G24" s="6">
        <f si="12" t="shared"/>
        <v>0.75781941910223782</v>
      </c>
      <c r="H24" s="6">
        <f si="13" t="shared"/>
        <v>0.5</v>
      </c>
      <c r="I24" s="63">
        <f si="14" t="shared"/>
        <v>-0.16463241667859441</v>
      </c>
      <c r="L24" s="5">
        <v>35</v>
      </c>
      <c r="M24" s="5">
        <f si="15" t="shared"/>
        <v>-0.65956000000000004</v>
      </c>
      <c r="N24" s="31">
        <f si="16" t="shared"/>
        <v>-0.82419241667859444</v>
      </c>
      <c r="U24" s="66">
        <f>SchoolTourTime!B32</f>
        <v>32</v>
      </c>
      <c r="V24" s="66" t="str">
        <f>SchoolTourTime!C32</f>
        <v>dur3-4</v>
      </c>
      <c r="W24" s="66">
        <f>VLOOKUP(U24,SchoolTourTime!$B$11:$E$72,4,FALSE)</f>
        <v>-2.12E-2</v>
      </c>
      <c r="X24" s="67">
        <f si="0" t="shared"/>
        <v>-8.2185407714252021E-2</v>
      </c>
      <c r="AA24" s="66">
        <f>WorkBasedSubtourTime!B32</f>
        <v>32</v>
      </c>
      <c r="AB24" s="66" t="str">
        <f>WorkBasedSubtourTime!C32</f>
        <v>dur1-1</v>
      </c>
      <c r="AC24" s="66">
        <f>VLOOKUP(AA24,WorkBasedSubtourTime!$B$11:$E$60,4,FALSE)</f>
        <v>1.49226509696</v>
      </c>
      <c r="AD24" s="67">
        <f si="1" t="shared"/>
        <v>2.0769006309018128</v>
      </c>
    </row>
    <row r="25" spans="2:30" x14ac:dyDescent="0.25">
      <c r="B25" t="s">
        <v>67</v>
      </c>
      <c r="C25" s="29">
        <f>SUM(Duration!C28:C29)</f>
        <v>22399.003831017068</v>
      </c>
      <c r="D25" s="29">
        <f>SUM(Duration!J27:J28)</f>
        <v>25588.944462809544</v>
      </c>
      <c r="E25" s="30">
        <f si="10" t="shared"/>
        <v>2.8859891148471668E-2</v>
      </c>
      <c r="F25" s="30">
        <f si="11" t="shared"/>
        <v>3.2645668414651635E-2</v>
      </c>
      <c r="G25" s="6">
        <f si="12" t="shared"/>
        <v>0.88403431603560367</v>
      </c>
      <c r="H25" s="6">
        <f si="13" t="shared"/>
        <v>0.5</v>
      </c>
      <c r="I25" s="63">
        <f si="14" t="shared"/>
        <v>-8.7607038157060779E-2</v>
      </c>
      <c r="L25" s="5">
        <v>36</v>
      </c>
      <c r="M25" s="5">
        <f si="15" t="shared"/>
        <v>-1.0128299999999999</v>
      </c>
      <c r="N25" s="31">
        <f si="16" t="shared"/>
        <v>-1.1004370381570607</v>
      </c>
      <c r="U25" s="66">
        <f>SchoolTourTime!B33</f>
        <v>33</v>
      </c>
      <c r="V25" s="66" t="str">
        <f>SchoolTourTime!C33</f>
        <v>dur5-6</v>
      </c>
      <c r="W25" s="66">
        <f>VLOOKUP(U25,SchoolTourTime!$B$11:$E$72,4,FALSE)</f>
        <v>0.27398</v>
      </c>
      <c r="X25" s="67">
        <f si="0" t="shared"/>
        <v>0.32548940559912148</v>
      </c>
      <c r="AA25" s="66">
        <f>WorkBasedSubtourTime!B33</f>
        <v>33</v>
      </c>
      <c r="AB25" s="66" t="str">
        <f>WorkBasedSubtourTime!C33</f>
        <v>dur2-2</v>
      </c>
      <c r="AC25" s="66">
        <f>VLOOKUP(AA25,WorkBasedSubtourTime!$B$11:$E$60,4,FALSE)</f>
        <v>0</v>
      </c>
      <c r="AD25" s="67">
        <f si="1" t="shared"/>
        <v>0</v>
      </c>
    </row>
    <row r="26" spans="2:30" x14ac:dyDescent="0.25">
      <c r="B26" t="s">
        <v>68</v>
      </c>
      <c r="C26" s="29">
        <f>SUM(Duration!C30:C31)</f>
        <v>9909.7743221125202</v>
      </c>
      <c r="D26" s="29">
        <f>SUM(Duration!J29:J30)</f>
        <v>7983.140318030155</v>
      </c>
      <c r="E26" s="30">
        <f si="10" t="shared"/>
        <v>1.2768202121830738E-2</v>
      </c>
      <c r="F26" s="30">
        <f si="11" t="shared"/>
        <v>1.0184669872132537E-2</v>
      </c>
      <c r="G26" s="6">
        <f si="12" t="shared"/>
        <v>1.2536687278168244</v>
      </c>
      <c r="H26" s="6">
        <f si="13" t="shared"/>
        <v>0.5</v>
      </c>
      <c r="I26" s="63">
        <f si="14" t="shared"/>
        <v>8.7059778327594803E-2</v>
      </c>
      <c r="L26" s="5">
        <v>37</v>
      </c>
      <c r="M26" s="5">
        <f si="15" t="shared"/>
        <v>-2.6750600000000002</v>
      </c>
      <c r="N26" s="31">
        <f si="16" t="shared"/>
        <v>-2.5880002216724054</v>
      </c>
      <c r="U26" s="66">
        <f>SchoolTourTime!B34</f>
        <v>34</v>
      </c>
      <c r="V26" s="66" t="str">
        <f>SchoolTourTime!C34</f>
        <v>dur7-8</v>
      </c>
      <c r="W26" s="66">
        <f>VLOOKUP(U26,SchoolTourTime!$B$11:$E$72,4,FALSE)</f>
        <v>0.40205000000000002</v>
      </c>
      <c r="X26" s="67">
        <f si="0" t="shared"/>
        <v>0.40205000000000002</v>
      </c>
      <c r="AA26" s="66">
        <f>WorkBasedSubtourTime!B34</f>
        <v>34</v>
      </c>
      <c r="AB26" s="66" t="str">
        <f>WorkBasedSubtourTime!C34</f>
        <v>dur3-4</v>
      </c>
      <c r="AC26" s="66">
        <f>VLOOKUP(AA26,WorkBasedSubtourTime!$B$11:$E$60,4,FALSE)</f>
        <v>-0.77591292235700005</v>
      </c>
      <c r="AD26" s="67">
        <f si="1" t="shared"/>
        <v>-1.9555460588908593</v>
      </c>
    </row>
    <row r="27" spans="2:30" x14ac:dyDescent="0.25">
      <c r="B27" t="s">
        <v>69</v>
      </c>
      <c r="C27" s="29">
        <f>SUM(Duration!C32:C35)</f>
        <v>6271.6055216290251</v>
      </c>
      <c r="D27" s="29">
        <f>SUM(Duration!J31:J34)</f>
        <v>3483.2589573386686</v>
      </c>
      <c r="E27" s="30">
        <f si="10" t="shared"/>
        <v>8.0806206403576924E-3</v>
      </c>
      <c r="F27" s="30">
        <f si="11" t="shared"/>
        <v>4.4438455477877181E-3</v>
      </c>
      <c r="G27" s="6">
        <f si="12" t="shared"/>
        <v>1.8183846745934884</v>
      </c>
      <c r="H27" s="6">
        <f si="13" t="shared"/>
        <v>0.5</v>
      </c>
      <c r="I27" s="63">
        <f si="14" t="shared"/>
        <v>0.27299694364873306</v>
      </c>
      <c r="L27" s="5">
        <v>38</v>
      </c>
      <c r="M27" s="5">
        <f si="15" t="shared"/>
        <v>-3.10283</v>
      </c>
      <c r="N27" s="31">
        <f si="16" t="shared"/>
        <v>-2.829833056351267</v>
      </c>
      <c r="U27" s="66">
        <f>SchoolTourTime!B35</f>
        <v>35</v>
      </c>
      <c r="V27" s="66" t="str">
        <f>SchoolTourTime!C35</f>
        <v>dur=9</v>
      </c>
      <c r="W27" s="66">
        <f>VLOOKUP(U27,SchoolTourTime!$B$11:$E$72,4,FALSE)</f>
        <v>-0.65956000000000004</v>
      </c>
      <c r="X27" s="67">
        <f si="0" t="shared"/>
        <v>-0.82419241667859444</v>
      </c>
      <c r="AA27" s="66">
        <f>WorkBasedSubtourTime!B35</f>
        <v>35</v>
      </c>
      <c r="AB27" s="66" t="str">
        <f>WorkBasedSubtourTime!C35</f>
        <v>dur5-6</v>
      </c>
      <c r="AC27" s="66">
        <f>VLOOKUP(AA27,WorkBasedSubtourTime!$B$11:$E$60,4,FALSE)</f>
        <v>-5</v>
      </c>
      <c r="AD27" s="67">
        <f si="1" t="shared"/>
        <v>-5</v>
      </c>
    </row>
    <row r="28" spans="2:30" x14ac:dyDescent="0.25">
      <c r="B28" t="s">
        <v>90</v>
      </c>
      <c r="C28" s="29">
        <f>SUM(Duration!C36:C43)</f>
        <v>7132.0191943089476</v>
      </c>
      <c r="D28" s="29">
        <f>SUM(Duration!J35:J42)</f>
        <v>2815.0961064062471</v>
      </c>
      <c r="E28" s="30">
        <f si="10" t="shared"/>
        <v>9.189216590585348E-3</v>
      </c>
      <c r="F28" s="30">
        <f si="11" t="shared"/>
        <v>3.5914218415176069E-3</v>
      </c>
      <c r="G28" s="6">
        <f si="12" t="shared"/>
        <v>2.5586569877022054</v>
      </c>
      <c r="H28" s="6">
        <f si="13" t="shared"/>
        <v>0.5</v>
      </c>
      <c r="I28" s="63">
        <f si="14" t="shared"/>
        <v>0.44376391419674543</v>
      </c>
      <c r="L28" s="5">
        <v>39</v>
      </c>
      <c r="M28" s="5">
        <f si="15" t="shared"/>
        <v>-2.8355899999999998</v>
      </c>
      <c r="N28" s="31">
        <f si="16" t="shared"/>
        <v>-2.3918260858032543</v>
      </c>
      <c r="U28" s="66">
        <f>SchoolTourTime!B36</f>
        <v>36</v>
      </c>
      <c r="V28" s="66" t="str">
        <f>SchoolTourTime!C36</f>
        <v>dur=10</v>
      </c>
      <c r="W28" s="66">
        <f>VLOOKUP(U28,SchoolTourTime!$B$11:$E$72,4,FALSE)</f>
        <v>-1.0128299999999999</v>
      </c>
      <c r="X28" s="67">
        <f si="0" t="shared"/>
        <v>-1.1004370381570607</v>
      </c>
      <c r="AA28" s="66">
        <f>WorkBasedSubtourTime!B36</f>
        <v>36</v>
      </c>
      <c r="AB28" s="66" t="str">
        <f>WorkBasedSubtourTime!C36</f>
        <v>dur7-8</v>
      </c>
      <c r="AC28" s="66">
        <f>VLOOKUP(AA28,WorkBasedSubtourTime!$B$11:$E$60,4,FALSE)</f>
        <v>-5</v>
      </c>
      <c r="AD28" s="67">
        <f si="1" t="shared"/>
        <v>-5</v>
      </c>
    </row>
    <row r="29" spans="2:30" x14ac:dyDescent="0.25">
      <c r="B29" s="23" t="s">
        <v>70</v>
      </c>
      <c r="C29" s="34">
        <f>SUM(Duration!C44:C55)</f>
        <v>170.71066736698151</v>
      </c>
      <c r="D29" s="34">
        <f>SUM(Duration!J43:J54)</f>
        <v>143.7301629628968</v>
      </c>
      <c r="E29" s="35">
        <f si="10" t="shared"/>
        <v>2.1995135655416043E-4</v>
      </c>
      <c r="F29" s="35">
        <f si="11" t="shared"/>
        <v>1.8336697115780114E-4</v>
      </c>
      <c r="G29" s="22">
        <f si="12" t="shared"/>
        <v>1.1995145863257766</v>
      </c>
      <c r="H29" s="22">
        <v>0</v>
      </c>
      <c r="I29" s="36">
        <f si="14" t="shared"/>
        <v>0</v>
      </c>
      <c r="L29" s="23">
        <v>40</v>
      </c>
      <c r="M29" s="23">
        <f si="15" t="shared"/>
        <v>-10</v>
      </c>
      <c r="N29" s="36">
        <f si="16" t="shared"/>
        <v>-10</v>
      </c>
      <c r="U29" s="66">
        <f>SchoolTourTime!B37</f>
        <v>37</v>
      </c>
      <c r="V29" s="66" t="str">
        <f>SchoolTourTime!C37</f>
        <v>dur=11</v>
      </c>
      <c r="W29" s="66">
        <f>VLOOKUP(U29,SchoolTourTime!$B$11:$E$72,4,FALSE)</f>
        <v>-2.6750600000000002</v>
      </c>
      <c r="X29" s="67">
        <f si="0" t="shared"/>
        <v>-2.5880002216724054</v>
      </c>
      <c r="AA29" s="66">
        <f>WorkBasedSubtourTime!B37</f>
        <v>37</v>
      </c>
      <c r="AB29" s="66" t="str">
        <f>WorkBasedSubtourTime!C37</f>
        <v>dur9-11</v>
      </c>
      <c r="AC29" s="66">
        <f>VLOOKUP(AA29,WorkBasedSubtourTime!$B$11:$E$60,4,FALSE)</f>
        <v>-5.0519999999999996</v>
      </c>
      <c r="AD29" s="67">
        <f si="1" t="shared"/>
        <v>-5.0519999999999996</v>
      </c>
    </row>
    <row ht="15.75" r="30" spans="2:30" thickBot="1" x14ac:dyDescent="0.3">
      <c r="B30" s="3" t="s">
        <v>82</v>
      </c>
      <c r="C30" s="44">
        <f>SUM(C20:C29)</f>
        <v>776129.18620461435</v>
      </c>
      <c r="D30" s="44">
        <f>SUM(D20:D29)</f>
        <v>783838.88906146644</v>
      </c>
      <c r="E30" s="45">
        <f si="10" t="shared"/>
        <v>1</v>
      </c>
      <c r="F30" s="45">
        <f si="11" t="shared"/>
        <v>1</v>
      </c>
      <c r="G30" s="46">
        <f si="12" t="shared"/>
        <v>1</v>
      </c>
      <c r="H30" s="46"/>
      <c r="I30" s="1"/>
      <c r="U30" s="66">
        <f>SchoolTourTime!B38</f>
        <v>38</v>
      </c>
      <c r="V30" s="66" t="str">
        <f>SchoolTourTime!C38</f>
        <v>dur12-13</v>
      </c>
      <c r="W30" s="66">
        <f>VLOOKUP(U30,SchoolTourTime!$B$11:$E$72,4,FALSE)</f>
        <v>-3.10283</v>
      </c>
      <c r="X30" s="67">
        <f si="0" t="shared"/>
        <v>-2.829833056351267</v>
      </c>
      <c r="AA30" s="66">
        <f>WorkBasedSubtourTime!B38</f>
        <v>38</v>
      </c>
      <c r="AB30" s="66" t="str">
        <f>WorkBasedSubtourTime!C38</f>
        <v>dur12-13</v>
      </c>
      <c r="AC30" s="66">
        <f>VLOOKUP(AA30,WorkBasedSubtourTime!$B$11:$E$60,4,FALSE)</f>
        <v>-10</v>
      </c>
      <c r="AD30" s="67">
        <f si="1" t="shared"/>
        <v>-10</v>
      </c>
    </row>
    <row r="31" spans="2:30" x14ac:dyDescent="0.25">
      <c r="U31" s="66">
        <f>SchoolTourTime!B39</f>
        <v>39</v>
      </c>
      <c r="V31" s="66" t="str">
        <f>SchoolTourTime!C39</f>
        <v>dur14-17</v>
      </c>
      <c r="W31" s="66">
        <f>VLOOKUP(U31,SchoolTourTime!$B$11:$E$72,4,FALSE)</f>
        <v>-2.8355899999999998</v>
      </c>
      <c r="X31" s="67">
        <f si="0" t="shared"/>
        <v>-2.3918260858032543</v>
      </c>
      <c r="AA31" s="66">
        <f>WorkBasedSubtourTime!B39</f>
        <v>39</v>
      </c>
      <c r="AB31" s="66" t="str">
        <f>WorkBasedSubtourTime!C39</f>
        <v>dur14-17</v>
      </c>
      <c r="AC31" s="66">
        <f>VLOOKUP(AA31,WorkBasedSubtourTime!$B$11:$E$60,4,FALSE)</f>
        <v>-10</v>
      </c>
      <c r="AD31" s="67">
        <f si="1" t="shared"/>
        <v>-10</v>
      </c>
    </row>
    <row r="32" spans="2:30" x14ac:dyDescent="0.25">
      <c r="U32" s="66">
        <f>SchoolTourTime!B40</f>
        <v>40</v>
      </c>
      <c r="V32" s="66" t="str">
        <f>SchoolTourTime!C40</f>
        <v>dur18-23</v>
      </c>
      <c r="W32" s="66">
        <f>VLOOKUP(U32,SchoolTourTime!$B$11:$E$72,4,FALSE)</f>
        <v>-10</v>
      </c>
      <c r="X32" s="67">
        <f si="0" t="shared"/>
        <v>-10</v>
      </c>
      <c r="AA32">
        <f>WorkBasedSubtourTime!B40</f>
        <v>41</v>
      </c>
      <c r="AB32" t="str">
        <f>WorkBasedSubtourTime!C40</f>
        <v>ptwk-arr</v>
      </c>
      <c r="AC32">
        <f>VLOOKUP(AA32,WorkBasedSubtourTime!$B$11:$E$60,4,FALSE)</f>
        <v>-4.90819376318E-2</v>
      </c>
      <c r="AD32" s="64">
        <f si="1" t="shared"/>
        <v>-4.90819376318E-2</v>
      </c>
    </row>
    <row ht="15.75" r="33" spans="2:30" thickBot="1" x14ac:dyDescent="0.3">
      <c r="B33" s="37" t="s">
        <v>177</v>
      </c>
      <c r="C33" s="1"/>
      <c r="D33" s="1"/>
      <c r="E33" s="1" t="s">
        <v>86</v>
      </c>
      <c r="F33" s="38">
        <v>0.5</v>
      </c>
      <c r="G33" s="1"/>
      <c r="H33" s="1"/>
      <c r="I33" s="1"/>
      <c r="U33">
        <f>SchoolTourTime!B41</f>
        <v>41</v>
      </c>
      <c r="V33" t="str">
        <f>SchoolTourTime!C41</f>
        <v>ptwk-arr</v>
      </c>
      <c r="W33">
        <f>VLOOKUP(U33,SchoolTourTime!$B$11:$E$72,4,FALSE)</f>
        <v>4.3589999999999997E-2</v>
      </c>
      <c r="X33" s="64">
        <f si="0" t="shared"/>
        <v>4.3589999999999997E-2</v>
      </c>
      <c r="AA33">
        <f>WorkBasedSubtourTime!B41</f>
        <v>42</v>
      </c>
      <c r="AB33" t="str">
        <f>WorkBasedSubtourTime!C41</f>
        <v>ptwk-dur</v>
      </c>
      <c r="AC33">
        <f>VLOOKUP(AA33,WorkBasedSubtourTime!$B$11:$E$60,4,FALSE)</f>
        <v>0.151855759915</v>
      </c>
      <c r="AD33" s="64">
        <f si="1" t="shared"/>
        <v>0.151855759915</v>
      </c>
    </row>
    <row ht="15.75" r="34" spans="2:30" thickBot="1" x14ac:dyDescent="0.3">
      <c r="B34" s="5"/>
      <c r="C34" s="78" t="s">
        <v>87</v>
      </c>
      <c r="D34" s="78"/>
      <c r="E34" s="78" t="s">
        <v>83</v>
      </c>
      <c r="F34" s="78"/>
      <c r="G34" s="11"/>
      <c r="H34" s="11"/>
      <c r="I34" s="11"/>
      <c r="L34" s="1"/>
      <c r="M34" s="1"/>
      <c r="N34" s="1"/>
      <c r="U34">
        <f>SchoolTourTime!B42</f>
        <v>42</v>
      </c>
      <c r="V34" t="str">
        <f>SchoolTourTime!C42</f>
        <v>ptwk-dur</v>
      </c>
      <c r="W34">
        <f>VLOOKUP(U34,SchoolTourTime!$B$11:$E$72,4,FALSE)</f>
        <v>-1.3860000000000001E-2</v>
      </c>
      <c r="X34" s="64">
        <f si="0" t="shared"/>
        <v>-1.3860000000000001E-2</v>
      </c>
      <c r="AA34">
        <f>WorkBasedSubtourTime!B42</f>
        <v>85</v>
      </c>
      <c r="AB34" t="str">
        <f>WorkBasedSubtourTime!C42</f>
        <v>ctim-out</v>
      </c>
      <c r="AC34">
        <f>VLOOKUP(AA34,WorkBasedSubtourTime!$B$11:$E$60,4,FALSE)</f>
        <v>0.25</v>
      </c>
      <c r="AD34" s="64">
        <f si="1" t="shared"/>
        <v>0.25</v>
      </c>
    </row>
    <row r="35" spans="2:30" x14ac:dyDescent="0.25">
      <c r="B35" s="32" t="s">
        <v>72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33" t="s">
        <v>89</v>
      </c>
      <c r="N35" s="32" t="s">
        <v>91</v>
      </c>
      <c r="U35">
        <f>SchoolTourTime!B43</f>
        <v>43</v>
      </c>
      <c r="V35" t="str">
        <f>SchoolTourTime!C43</f>
        <v>nwad-arr</v>
      </c>
      <c r="W35">
        <f>VLOOKUP(U35,SchoolTourTime!$B$11:$E$72,4,FALSE)</f>
        <v>0.12146999999999999</v>
      </c>
      <c r="X35" s="64">
        <f si="0" t="shared"/>
        <v>0.12146999999999999</v>
      </c>
      <c r="AA35">
        <f>WorkBasedSubtourTime!B43</f>
        <v>86</v>
      </c>
      <c r="AB35" t="str">
        <f>WorkBasedSubtourTime!C43</f>
        <v>ctim-ret</v>
      </c>
      <c r="AC35">
        <f>VLOOKUP(AA35,WorkBasedSubtourTime!$B$11:$E$60,4,FALSE)</f>
        <v>0.25</v>
      </c>
      <c r="AD35" s="64">
        <f si="1" t="shared"/>
        <v>0.25</v>
      </c>
    </row>
    <row r="36" spans="2:30" x14ac:dyDescent="0.25">
      <c r="B36" t="s">
        <v>73</v>
      </c>
      <c r="C36" s="29">
        <f>SUM(Departure_Time!E9:E16)</f>
        <v>918.01635102835007</v>
      </c>
      <c r="D36" s="29">
        <f>SUM(Departure_Time!L9:L16)</f>
        <v>2757.3746799444857</v>
      </c>
      <c r="E36" s="30">
        <f>C36/C$46</f>
        <v>4.9881175319686274E-3</v>
      </c>
      <c r="F36" s="30">
        <f>D36/D$46</f>
        <v>1.4726840213256768E-2</v>
      </c>
      <c r="G36" s="6">
        <f>E36/F36</f>
        <v>0.3387092858845876</v>
      </c>
      <c r="H36" s="6">
        <v>0</v>
      </c>
      <c r="I36" s="62">
        <f>H36*(LN(G36)-LN($G$40))</f>
        <v>0</v>
      </c>
      <c r="L36">
        <v>21</v>
      </c>
      <c r="M36" s="61">
        <f>VLOOKUP(L36,$AA$3:$AD$64,3,FALSE)</f>
        <v>6.9186854038699996</v>
      </c>
      <c r="N36" s="31">
        <f>I36+M36</f>
        <v>6.9186854038699996</v>
      </c>
      <c r="U36">
        <f>SchoolTourTime!B44</f>
        <v>44</v>
      </c>
      <c r="V36" t="str">
        <f>SchoolTourTime!C44</f>
        <v>nwad-dur</v>
      </c>
      <c r="W36">
        <f>VLOOKUP(U36,SchoolTourTime!$B$11:$E$72,4,FALSE)</f>
        <v>-2.971E-2</v>
      </c>
      <c r="X36" s="64">
        <f si="0" t="shared"/>
        <v>-2.971E-2</v>
      </c>
      <c r="AA36">
        <f>WorkBasedSubtourTime!B44</f>
        <v>87</v>
      </c>
      <c r="AB36" t="str">
        <f>WorkBasedSubtourTime!C44</f>
        <v>ttim-out</v>
      </c>
      <c r="AC36">
        <f>VLOOKUP(AA36,WorkBasedSubtourTime!$B$11:$E$60,4,FALSE)</f>
        <v>0.25</v>
      </c>
      <c r="AD36" s="64">
        <f si="1" t="shared"/>
        <v>0.25</v>
      </c>
    </row>
    <row r="37" spans="2:30" x14ac:dyDescent="0.25">
      <c r="B37" t="s">
        <v>74</v>
      </c>
      <c r="C37" s="29">
        <f>SUM(Departure_Time!E17:E22)</f>
        <v>14107.282016704043</v>
      </c>
      <c r="D37" s="29">
        <f>SUM(Departure_Time!L17:L22)</f>
        <v>20692.224979573348</v>
      </c>
      <c r="E37" s="30">
        <f ref="E37:E45" si="17" t="shared">C37/C$46</f>
        <v>7.6653079955624939E-2</v>
      </c>
      <c r="F37" s="30">
        <f ref="F37:F45" si="18" t="shared">D37/D$46</f>
        <v>0.11051493768597025</v>
      </c>
      <c r="G37" s="6">
        <f ref="G37:G46" si="19" t="shared">E37/F37</f>
        <v>0.69359926866570509</v>
      </c>
      <c r="H37" s="6">
        <f>$F$33</f>
        <v>0.5</v>
      </c>
      <c r="I37" s="63">
        <f ref="I37:I45" si="20" t="shared">H37*(LN(G37)-LN($G$40))</f>
        <v>-0.14622052356672349</v>
      </c>
      <c r="L37" s="5">
        <v>22</v>
      </c>
      <c r="M37" s="5">
        <f ref="M37:M45" si="21" t="shared">VLOOKUP(L37,$AA$3:$AD$64,3,FALSE)</f>
        <v>0.82378831109799999</v>
      </c>
      <c r="N37" s="31">
        <f ref="N37:N45" si="22" t="shared">I37+M37</f>
        <v>0.67756778753127644</v>
      </c>
      <c r="U37">
        <f>SchoolTourTime!B45</f>
        <v>45</v>
      </c>
      <c r="V37" t="str">
        <f>SchoolTourTime!C45</f>
        <v>univ-arr</v>
      </c>
      <c r="W37">
        <f>VLOOKUP(U37,SchoolTourTime!$B$11:$E$72,4,FALSE)</f>
        <v>0.12216</v>
      </c>
      <c r="X37" s="64">
        <f si="0" t="shared"/>
        <v>0.12216</v>
      </c>
      <c r="AA37">
        <f>WorkBasedSubtourTime!B45</f>
        <v>88</v>
      </c>
      <c r="AB37" t="str">
        <f>WorkBasedSubtourTime!C45</f>
        <v>ttim-ret</v>
      </c>
      <c r="AC37">
        <f>VLOOKUP(AA37,WorkBasedSubtourTime!$B$11:$E$60,4,FALSE)</f>
        <v>0.25</v>
      </c>
      <c r="AD37" s="64">
        <f si="1" t="shared"/>
        <v>0.25</v>
      </c>
    </row>
    <row r="38" spans="2:30" x14ac:dyDescent="0.25">
      <c r="B38" t="s">
        <v>75</v>
      </c>
      <c r="C38" s="29">
        <f>SUM(Departure_Time!E23:E28)</f>
        <v>84790.613899823074</v>
      </c>
      <c r="D38" s="29">
        <f>SUM(Departure_Time!L23:L28)</f>
        <v>81435.683606318678</v>
      </c>
      <c r="E38" s="30">
        <f si="17" t="shared"/>
        <v>0.46071679144528538</v>
      </c>
      <c r="F38" s="30">
        <f si="18" t="shared"/>
        <v>0.4349391864843461</v>
      </c>
      <c r="G38" s="6">
        <f si="19" t="shared"/>
        <v>1.0592671475966606</v>
      </c>
      <c r="H38" s="6">
        <f ref="H38:H44" si="23" t="shared">$F$33</f>
        <v>0.5</v>
      </c>
      <c r="I38" s="63">
        <f si="20" t="shared"/>
        <v>6.5498579806007276E-2</v>
      </c>
      <c r="L38" s="5">
        <v>23</v>
      </c>
      <c r="M38" s="5">
        <f si="21" t="shared"/>
        <v>1.15129394327</v>
      </c>
      <c r="N38" s="31">
        <f si="22" t="shared"/>
        <v>1.2167925230760073</v>
      </c>
      <c r="U38">
        <f>SchoolTourTime!B46</f>
        <v>46</v>
      </c>
      <c r="V38" t="str">
        <f>SchoolTourTime!C46</f>
        <v>univ-dur</v>
      </c>
      <c r="W38">
        <f>VLOOKUP(U38,SchoolTourTime!$B$11:$E$72,4,FALSE)</f>
        <v>-8.9099999999999999E-2</v>
      </c>
      <c r="X38" s="64">
        <f si="0" t="shared"/>
        <v>-8.9099999999999999E-2</v>
      </c>
      <c r="AA38">
        <f>WorkBasedSubtourTime!B46</f>
        <v>91</v>
      </c>
      <c r="AB38" t="str">
        <f>WorkBasedSubtourTime!C46</f>
        <v>arravail</v>
      </c>
      <c r="AC38">
        <f>VLOOKUP(AA38,WorkBasedSubtourTime!$B$11:$E$60,4,FALSE)</f>
        <v>2.93049427473</v>
      </c>
      <c r="AD38" s="64">
        <f si="1" t="shared"/>
        <v>2.93049427473</v>
      </c>
    </row>
    <row r="39" spans="2:30" x14ac:dyDescent="0.25">
      <c r="B39" t="s">
        <v>76</v>
      </c>
      <c r="C39" s="29">
        <f>SUM(Departure_Time!E29:E32)</f>
        <v>58297.204628977335</v>
      </c>
      <c r="D39" s="29">
        <f>SUM(Departure_Time!L29:L32)</f>
        <v>49124.266794573225</v>
      </c>
      <c r="E39" s="30">
        <f si="17" t="shared"/>
        <v>0.31676266784226836</v>
      </c>
      <c r="F39" s="30">
        <f si="18" t="shared"/>
        <v>0.26236740075224024</v>
      </c>
      <c r="G39" s="6">
        <f si="19" t="shared"/>
        <v>1.2073247931491111</v>
      </c>
      <c r="H39" s="6">
        <f si="23" t="shared"/>
        <v>0.5</v>
      </c>
      <c r="I39" s="63">
        <f si="20" t="shared"/>
        <v>0.13091342898093641</v>
      </c>
      <c r="L39" s="5">
        <v>24</v>
      </c>
      <c r="M39" s="5">
        <f si="21" t="shared"/>
        <v>1.26969878925</v>
      </c>
      <c r="N39" s="31">
        <f si="22" t="shared"/>
        <v>1.4006122182309364</v>
      </c>
      <c r="U39">
        <f>SchoolTourTime!B47</f>
        <v>49</v>
      </c>
      <c r="V39" t="str">
        <f>SchoolTourTime!C47</f>
        <v>dkid-arr</v>
      </c>
      <c r="W39">
        <f>VLOOKUP(U39,SchoolTourTime!$B$11:$E$72,4,FALSE)</f>
        <v>-0.22692999999999999</v>
      </c>
      <c r="X39" s="64">
        <f si="0" t="shared"/>
        <v>-0.22692999999999999</v>
      </c>
      <c r="AA39">
        <f>WorkBasedSubtourTime!B47</f>
        <v>92</v>
      </c>
      <c r="AB39" t="str">
        <f>WorkBasedSubtourTime!C47</f>
        <v>depavail</v>
      </c>
      <c r="AC39">
        <f>VLOOKUP(AA39,WorkBasedSubtourTime!$B$11:$E$60,4,FALSE)</f>
        <v>1.8845449572199999</v>
      </c>
      <c r="AD39" s="64">
        <f si="1" t="shared"/>
        <v>1.8845449572199999</v>
      </c>
    </row>
    <row r="40" spans="2:30" x14ac:dyDescent="0.25">
      <c r="B40" t="s">
        <v>176</v>
      </c>
      <c r="C40" s="29">
        <f>SUM(Departure_Time!E33:E36)</f>
        <v>18642.782585733494</v>
      </c>
      <c r="D40" s="29">
        <f>SUM(Departure_Time!L33:L36)</f>
        <v>20411.223824814682</v>
      </c>
      <c r="E40" s="30">
        <f si="17" t="shared"/>
        <v>0.10129709624061466</v>
      </c>
      <c r="F40" s="30">
        <f si="18" t="shared"/>
        <v>0.10901414088241258</v>
      </c>
      <c r="G40" s="6">
        <f si="19" t="shared"/>
        <v>0.92921060901519315</v>
      </c>
      <c r="H40" s="6">
        <f si="23" t="shared"/>
        <v>0.5</v>
      </c>
      <c r="I40" s="63">
        <f si="20" t="shared"/>
        <v>0</v>
      </c>
      <c r="L40" s="5">
        <v>25</v>
      </c>
      <c r="M40" s="5">
        <f si="21" t="shared"/>
        <v>0</v>
      </c>
      <c r="N40" s="31">
        <f si="22" t="shared"/>
        <v>0</v>
      </c>
      <c r="U40">
        <f>SchoolTourTime!B48</f>
        <v>50</v>
      </c>
      <c r="V40" t="str">
        <f>SchoolTourTime!C48</f>
        <v>dkid-dur</v>
      </c>
      <c r="W40">
        <f>VLOOKUP(U40,SchoolTourTime!$B$11:$E$72,4,FALSE)</f>
        <v>3.2120000000000003E-2</v>
      </c>
      <c r="X40" s="64">
        <f si="0" t="shared"/>
        <v>3.2120000000000003E-2</v>
      </c>
      <c r="AA40">
        <f>WorkBasedSubtourTime!B48</f>
        <v>93</v>
      </c>
      <c r="AB40" t="str">
        <f>WorkBasedSubtourTime!C48</f>
        <v>cempbef1</v>
      </c>
      <c r="AC40">
        <f>VLOOKUP(AA40,WorkBasedSubtourTime!$B$11:$E$60,4,FALSE)</f>
        <v>0.170361034168</v>
      </c>
      <c r="AD40" s="64">
        <f si="1" t="shared"/>
        <v>0.170361034168</v>
      </c>
    </row>
    <row r="41" spans="2:30" x14ac:dyDescent="0.25">
      <c r="B41" t="s">
        <v>77</v>
      </c>
      <c r="C41" s="29">
        <f>SUM(Departure_Time!E37:E38)</f>
        <v>3601.2194225757221</v>
      </c>
      <c r="D41" s="29">
        <f>SUM(Departure_Time!L37:L38)</f>
        <v>4369.4940817376146</v>
      </c>
      <c r="E41" s="30">
        <f si="17" t="shared"/>
        <v>1.9567522646076654E-2</v>
      </c>
      <c r="F41" s="30">
        <f si="18" t="shared"/>
        <v>2.3336995738213021E-2</v>
      </c>
      <c r="G41" s="6">
        <f si="19" t="shared"/>
        <v>0.83847650595556023</v>
      </c>
      <c r="H41" s="6">
        <f si="23" t="shared"/>
        <v>0.5</v>
      </c>
      <c r="I41" s="63">
        <f si="20" t="shared"/>
        <v>-5.1374428229828101E-2</v>
      </c>
      <c r="L41" s="5">
        <v>26</v>
      </c>
      <c r="M41" s="5">
        <f si="21" t="shared"/>
        <v>-0.32598304645800003</v>
      </c>
      <c r="N41" s="31">
        <f si="22" t="shared"/>
        <v>-0.3773574746878281</v>
      </c>
      <c r="U41">
        <f>SchoolTourTime!B49</f>
        <v>61</v>
      </c>
      <c r="V41" t="str">
        <f>SchoolTourTime!C49</f>
        <v>ns*ot-arr</v>
      </c>
      <c r="W41">
        <f>VLOOKUP(U41,SchoolTourTime!$B$11:$E$72,4,FALSE)</f>
        <v>3.0380000000000001E-2</v>
      </c>
      <c r="X41" s="64">
        <f si="0" t="shared"/>
        <v>3.0380000000000001E-2</v>
      </c>
      <c r="AA41">
        <f>WorkBasedSubtourTime!B49</f>
        <v>94</v>
      </c>
      <c r="AB41" t="str">
        <f>WorkBasedSubtourTime!C49</f>
        <v>cempaft1</v>
      </c>
      <c r="AC41">
        <f>VLOOKUP(AA41,WorkBasedSubtourTime!$B$11:$E$60,4,FALSE)</f>
        <v>0.20205649241699999</v>
      </c>
      <c r="AD41" s="64">
        <f si="1" t="shared"/>
        <v>0.20205649241699999</v>
      </c>
    </row>
    <row r="42" spans="2:30" x14ac:dyDescent="0.25">
      <c r="B42" t="s">
        <v>78</v>
      </c>
      <c r="C42" s="29">
        <f>SUM(Departure_Time!E39:E40)</f>
        <v>1571.6423636190523</v>
      </c>
      <c r="D42" s="29">
        <f>SUM(Departure_Time!L39:L40)</f>
        <v>2790.2111990819499</v>
      </c>
      <c r="E42" s="30">
        <f si="17" t="shared"/>
        <v>8.539648361569006E-3</v>
      </c>
      <c r="F42" s="30">
        <f si="18" t="shared"/>
        <v>1.4902216513769806E-2</v>
      </c>
      <c r="G42" s="6">
        <f si="19" t="shared"/>
        <v>0.57304551666379833</v>
      </c>
      <c r="H42" s="6">
        <f si="23" t="shared"/>
        <v>0.5</v>
      </c>
      <c r="I42" s="63">
        <f si="20" t="shared"/>
        <v>-0.24168513446117917</v>
      </c>
      <c r="L42" s="5">
        <v>27</v>
      </c>
      <c r="M42" s="5">
        <f si="21" t="shared"/>
        <v>-0.23479195191999999</v>
      </c>
      <c r="N42" s="31">
        <f si="22" t="shared"/>
        <v>-0.47647708638117914</v>
      </c>
      <c r="U42">
        <f>SchoolTourTime!B50</f>
        <v>62</v>
      </c>
      <c r="V42" t="str">
        <f>SchoolTourTime!C50</f>
        <v>ns*ot-dur</v>
      </c>
      <c r="W42">
        <f>VLOOKUP(U42,SchoolTourTime!$B$11:$E$72,4,FALSE)</f>
        <v>-3.6940000000000001E-2</v>
      </c>
      <c r="X42" s="64">
        <f si="0" t="shared"/>
        <v>-3.6940000000000001E-2</v>
      </c>
      <c r="AA42">
        <f>WorkBasedSubtourTime!B50</f>
        <v>124</v>
      </c>
      <c r="AB42" t="str">
        <f>WorkBasedSubtourTime!C50</f>
        <v>dep15</v>
      </c>
      <c r="AC42">
        <f>VLOOKUP(AA42,WorkBasedSubtourTime!$B$11:$E$60,4,FALSE)</f>
        <v>0.31620584925299999</v>
      </c>
      <c r="AD42" s="64">
        <f si="1" t="shared"/>
        <v>0.31620584925299999</v>
      </c>
    </row>
    <row r="43" spans="2:30" x14ac:dyDescent="0.25">
      <c r="B43" t="s">
        <v>79</v>
      </c>
      <c r="C43" s="29">
        <f>SUM(Departure_Time!E41:E44)</f>
        <v>992.31398048043877</v>
      </c>
      <c r="D43" s="29">
        <f>SUM(Departure_Time!L41:L44)</f>
        <v>3050.7170019779114</v>
      </c>
      <c r="E43" s="30">
        <f si="17" t="shared"/>
        <v>5.3918198272910637E-3</v>
      </c>
      <c r="F43" s="30">
        <f si="18" t="shared"/>
        <v>1.6293549857685267E-2</v>
      </c>
      <c r="G43" s="6">
        <f si="19" t="shared"/>
        <v>0.33091744121971522</v>
      </c>
      <c r="H43" s="6">
        <f si="23" t="shared"/>
        <v>0.5</v>
      </c>
      <c r="I43" s="63">
        <f si="20" t="shared"/>
        <v>-0.51623324811323412</v>
      </c>
      <c r="L43" s="5">
        <v>28</v>
      </c>
      <c r="M43" s="5">
        <f si="21" t="shared"/>
        <v>-0.63082416318199996</v>
      </c>
      <c r="N43" s="31">
        <f si="22" t="shared"/>
        <v>-1.1470574112952341</v>
      </c>
      <c r="U43">
        <f>SchoolTourTime!B51</f>
        <v>65</v>
      </c>
      <c r="V43" t="str">
        <f>SchoolTourTime!C51</f>
        <v>rs*mt-arr</v>
      </c>
      <c r="W43">
        <f>VLOOKUP(U43,SchoolTourTime!$B$11:$E$72,4,FALSE)</f>
        <v>-3.7399999999999998E-3</v>
      </c>
      <c r="X43" s="64">
        <f si="0" t="shared"/>
        <v>-3.7399999999999998E-3</v>
      </c>
      <c r="AA43">
        <f>WorkBasedSubtourTime!B51</f>
        <v>145</v>
      </c>
      <c r="AB43" t="str">
        <f>WorkBasedSubtourTime!C51</f>
        <v>esco-arr</v>
      </c>
      <c r="AC43">
        <f>VLOOKUP(AA43,WorkBasedSubtourTime!$B$11:$E$60,4,FALSE)</f>
        <v>5.38855009856E-2</v>
      </c>
      <c r="AD43" s="64">
        <f si="1" t="shared"/>
        <v>5.38855009856E-2</v>
      </c>
    </row>
    <row r="44" spans="2:30" x14ac:dyDescent="0.25">
      <c r="B44" t="s">
        <v>80</v>
      </c>
      <c r="C44" s="29">
        <f>SUM(Departure_Time!E45:E50)</f>
        <v>1090.7631324646975</v>
      </c>
      <c r="D44" s="29">
        <f>SUM(Departure_Time!L45:L50)</f>
        <v>2401.5831965295492</v>
      </c>
      <c r="E44" s="30">
        <f si="17" t="shared"/>
        <v>5.9267514115379323E-3</v>
      </c>
      <c r="F44" s="30">
        <f si="18" t="shared"/>
        <v>1.2826596345929003E-2</v>
      </c>
      <c r="G44" s="6">
        <f si="19" t="shared"/>
        <v>0.46206735221842443</v>
      </c>
      <c r="H44" s="6">
        <f si="23" t="shared"/>
        <v>0.5</v>
      </c>
      <c r="I44" s="63">
        <f si="20" t="shared"/>
        <v>-0.34931237685841959</v>
      </c>
      <c r="L44" s="5">
        <v>29</v>
      </c>
      <c r="M44" s="5">
        <f si="21" t="shared"/>
        <v>1.77974443435</v>
      </c>
      <c r="N44" s="31">
        <f si="22" t="shared"/>
        <v>1.4304320574915803</v>
      </c>
      <c r="U44">
        <f>SchoolTourTime!B52</f>
        <v>66</v>
      </c>
      <c r="V44" t="str">
        <f>SchoolTourTime!C52</f>
        <v>rs*mt-dur</v>
      </c>
      <c r="W44">
        <f>VLOOKUP(U44,SchoolTourTime!$B$11:$E$72,4,FALSE)</f>
        <v>-2.6710000000000001E-2</v>
      </c>
      <c r="X44" s="64">
        <f si="0" t="shared"/>
        <v>-2.6710000000000001E-2</v>
      </c>
      <c r="AA44">
        <f>WorkBasedSubtourTime!B52</f>
        <v>146</v>
      </c>
      <c r="AB44" t="str">
        <f>WorkBasedSubtourTime!C52</f>
        <v>esco-dur</v>
      </c>
      <c r="AC44">
        <f>VLOOKUP(AA44,WorkBasedSubtourTime!$B$11:$E$60,4,FALSE)</f>
        <v>-0.48499658535599999</v>
      </c>
      <c r="AD44" s="64">
        <f si="1" t="shared"/>
        <v>-0.48499658535599999</v>
      </c>
    </row>
    <row r="45" spans="2:30" x14ac:dyDescent="0.25">
      <c r="B45" s="23" t="s">
        <v>81</v>
      </c>
      <c r="C45" s="34">
        <f>SUM(Departure_Time!E51:E57)+Departure_Time!E8</f>
        <v>28.80323235354512</v>
      </c>
      <c r="D45" s="34">
        <f>SUM(Departure_Time!L51:L57)+Departure_Time!L8</f>
        <v>201.86432108859282</v>
      </c>
      <c r="E45" s="35">
        <f si="17" t="shared"/>
        <v>1.5650473776326833E-4</v>
      </c>
      <c r="F45" s="35">
        <f si="18" t="shared"/>
        <v>1.0781355261770653E-3</v>
      </c>
      <c r="G45" s="22">
        <f si="19" t="shared"/>
        <v>0.14516239745685286</v>
      </c>
      <c r="H45" s="22">
        <v>0</v>
      </c>
      <c r="I45" s="36">
        <f si="20" t="shared"/>
        <v>0</v>
      </c>
      <c r="L45" s="23">
        <v>30</v>
      </c>
      <c r="M45" s="23">
        <f si="21" t="shared"/>
        <v>-10</v>
      </c>
      <c r="N45" s="36">
        <f si="22" t="shared"/>
        <v>-10</v>
      </c>
      <c r="U45">
        <f>SchoolTourTime!B53</f>
        <v>67</v>
      </c>
      <c r="V45" t="str">
        <f>SchoolTourTime!C53</f>
        <v>iescs-arr</v>
      </c>
      <c r="W45">
        <f>VLOOKUP(U45,SchoolTourTime!$B$11:$E$72,4,FALSE)</f>
        <v>-2.6689999999999998E-2</v>
      </c>
      <c r="X45" s="64">
        <f si="0" t="shared"/>
        <v>-2.6689999999999998E-2</v>
      </c>
      <c r="AA45">
        <f>WorkBasedSubtourTime!B53</f>
        <v>147</v>
      </c>
      <c r="AB45" t="str">
        <f>WorkBasedSubtourTime!C53</f>
        <v>shop-arr</v>
      </c>
      <c r="AC45">
        <f>VLOOKUP(AA45,WorkBasedSubtourTime!$B$11:$E$60,4,FALSE)</f>
        <v>0.15454188544200001</v>
      </c>
      <c r="AD45" s="64">
        <f si="1" t="shared"/>
        <v>0.15454188544200001</v>
      </c>
    </row>
    <row ht="15.75" r="46" spans="2:30" thickBot="1" x14ac:dyDescent="0.3">
      <c r="B46" s="39" t="s">
        <v>82</v>
      </c>
      <c r="C46" s="40">
        <f>SUM(C36:C45)</f>
        <v>184040.64161375977</v>
      </c>
      <c r="D46" s="40">
        <f>SUM(D36:D45)</f>
        <v>187234.64368564001</v>
      </c>
      <c r="E46" s="41">
        <f>C46/C$46</f>
        <v>1</v>
      </c>
      <c r="F46" s="41">
        <f>D46/D$46</f>
        <v>1</v>
      </c>
      <c r="G46" s="42">
        <f si="19" t="shared"/>
        <v>1</v>
      </c>
      <c r="H46" s="42"/>
      <c r="I46" s="43"/>
      <c r="U46">
        <f>SchoolTourTime!B54</f>
        <v>68</v>
      </c>
      <c r="V46" t="str">
        <f>SchoolTourTime!C54</f>
        <v>iescs-dur</v>
      </c>
      <c r="W46">
        <f>VLOOKUP(U46,SchoolTourTime!$B$11:$E$72,4,FALSE)</f>
        <v>3.2489999999999998E-2</v>
      </c>
      <c r="X46" s="64">
        <f si="0" t="shared"/>
        <v>3.2489999999999998E-2</v>
      </c>
      <c r="AA46">
        <f>WorkBasedSubtourTime!B54</f>
        <v>148</v>
      </c>
      <c r="AB46" t="str">
        <f>WorkBasedSubtourTime!C54</f>
        <v>shop-dur</v>
      </c>
      <c r="AC46">
        <f>VLOOKUP(AA46,WorkBasedSubtourTime!$B$11:$E$60,4,FALSE)</f>
        <v>-0.179774601487</v>
      </c>
      <c r="AD46" s="64">
        <f si="1" t="shared"/>
        <v>-0.179774601487</v>
      </c>
    </row>
    <row r="47" spans="2:30" x14ac:dyDescent="0.25">
      <c r="U47">
        <f>SchoolTourTime!B55</f>
        <v>85</v>
      </c>
      <c r="V47" t="str">
        <f>SchoolTourTime!C55</f>
        <v>ctim-out</v>
      </c>
      <c r="W47">
        <f>VLOOKUP(U47,SchoolTourTime!$B$11:$E$72,4,FALSE)</f>
        <v>0.25</v>
      </c>
      <c r="X47" s="64">
        <f si="0" t="shared"/>
        <v>0.25</v>
      </c>
      <c r="AA47">
        <f>WorkBasedSubtourTime!B55</f>
        <v>149</v>
      </c>
      <c r="AB47" t="str">
        <f>WorkBasedSubtourTime!C55</f>
        <v>meal-arr</v>
      </c>
      <c r="AC47">
        <f>VLOOKUP(AA47,WorkBasedSubtourTime!$B$11:$E$60,4,FALSE)</f>
        <v>0.13717521613700001</v>
      </c>
      <c r="AD47" s="64">
        <f si="1" t="shared"/>
        <v>0.13717521613700001</v>
      </c>
    </row>
    <row r="48" spans="2:30" x14ac:dyDescent="0.25">
      <c r="U48">
        <f>SchoolTourTime!B56</f>
        <v>86</v>
      </c>
      <c r="V48" t="str">
        <f>SchoolTourTime!C56</f>
        <v>ctim-ret</v>
      </c>
      <c r="W48">
        <f>VLOOKUP(U48,SchoolTourTime!$B$11:$E$72,4,FALSE)</f>
        <v>0.25</v>
      </c>
      <c r="X48" s="64">
        <f si="0" t="shared"/>
        <v>0.25</v>
      </c>
      <c r="AA48">
        <f>WorkBasedSubtourTime!B56</f>
        <v>150</v>
      </c>
      <c r="AB48" t="str">
        <f>WorkBasedSubtourTime!C56</f>
        <v>meal-dur</v>
      </c>
      <c r="AC48">
        <f>VLOOKUP(AA48,WorkBasedSubtourTime!$B$11:$E$60,4,FALSE)</f>
        <v>-8.6513742325400003E-2</v>
      </c>
      <c r="AD48" s="64">
        <f si="1" t="shared"/>
        <v>-8.6513742325400003E-2</v>
      </c>
    </row>
    <row ht="15.75" r="49" spans="2:30" thickBot="1" x14ac:dyDescent="0.3">
      <c r="B49" s="37" t="s">
        <v>178</v>
      </c>
      <c r="C49" s="1"/>
      <c r="D49" s="1"/>
      <c r="E49" s="1" t="s">
        <v>86</v>
      </c>
      <c r="F49" s="38">
        <v>0.5</v>
      </c>
      <c r="G49" s="1"/>
      <c r="H49" s="1"/>
      <c r="I49" s="1"/>
      <c r="U49">
        <f>SchoolTourTime!B57</f>
        <v>87</v>
      </c>
      <c r="V49" t="str">
        <f>SchoolTourTime!C57</f>
        <v>ttim-out</v>
      </c>
      <c r="W49">
        <f>VLOOKUP(U49,SchoolTourTime!$B$11:$E$72,4,FALSE)</f>
        <v>0.25</v>
      </c>
      <c r="X49" s="64">
        <f si="0" t="shared"/>
        <v>0.25</v>
      </c>
      <c r="AA49">
        <f>WorkBasedSubtourTime!B57</f>
        <v>151</v>
      </c>
      <c r="AB49" t="str">
        <f>WorkBasedSubtourTime!C57</f>
        <v>srec-arr</v>
      </c>
      <c r="AC49">
        <f>VLOOKUP(AA49,WorkBasedSubtourTime!$B$11:$E$60,4,FALSE)</f>
        <v>0.18364478476900001</v>
      </c>
      <c r="AD49" s="64">
        <f si="1" t="shared"/>
        <v>0.18364478476900001</v>
      </c>
    </row>
    <row ht="15.75" r="50" spans="2:30" thickBot="1" x14ac:dyDescent="0.3">
      <c r="B50" s="8"/>
      <c r="C50" s="77" t="s">
        <v>87</v>
      </c>
      <c r="D50" s="77"/>
      <c r="E50" s="77" t="s">
        <v>83</v>
      </c>
      <c r="F50" s="77"/>
      <c r="G50" s="8"/>
      <c r="H50" s="8"/>
      <c r="I50" s="8"/>
      <c r="L50" s="1"/>
      <c r="M50" s="1"/>
      <c r="N50" s="1"/>
      <c r="U50">
        <f>SchoolTourTime!B58</f>
        <v>88</v>
      </c>
      <c r="V50" t="str">
        <f>SchoolTourTime!C58</f>
        <v>ttim-ret</v>
      </c>
      <c r="W50">
        <f>VLOOKUP(U50,SchoolTourTime!$B$11:$E$72,4,FALSE)</f>
        <v>0.25</v>
      </c>
      <c r="X50" s="64">
        <f si="0" t="shared"/>
        <v>0.25</v>
      </c>
      <c r="AA50">
        <f>WorkBasedSubtourTime!B58</f>
        <v>152</v>
      </c>
      <c r="AB50" t="str">
        <f>WorkBasedSubtourTime!C58</f>
        <v>srec-dur</v>
      </c>
      <c r="AC50">
        <f>VLOOKUP(AA50,WorkBasedSubtourTime!$B$11:$E$60,4,FALSE)</f>
        <v>1.1684688543099999E-2</v>
      </c>
      <c r="AD50" s="64">
        <f si="1" t="shared"/>
        <v>1.1684688543099999E-2</v>
      </c>
    </row>
    <row r="51" spans="2:30" x14ac:dyDescent="0.25">
      <c r="B51" s="32" t="s">
        <v>14</v>
      </c>
      <c r="C51" s="33" t="s">
        <v>48</v>
      </c>
      <c r="D51" s="33" t="s">
        <v>35</v>
      </c>
      <c r="E51" s="33" t="s">
        <v>48</v>
      </c>
      <c r="F51" s="33" t="s">
        <v>35</v>
      </c>
      <c r="G51" s="33" t="s">
        <v>84</v>
      </c>
      <c r="H51" s="33" t="s">
        <v>86</v>
      </c>
      <c r="I51" s="65" t="s">
        <v>85</v>
      </c>
      <c r="L51" s="33" t="s">
        <v>88</v>
      </c>
      <c r="M51" s="33" t="s">
        <v>89</v>
      </c>
      <c r="N51" s="32" t="s">
        <v>91</v>
      </c>
      <c r="U51">
        <f>SchoolTourTime!B59</f>
        <v>91</v>
      </c>
      <c r="V51" t="str">
        <f>SchoolTourTime!C59</f>
        <v>arrpused</v>
      </c>
      <c r="W51">
        <f>VLOOKUP(U51,SchoolTourTime!$B$11:$E$72,4,FALSE)</f>
        <v>5</v>
      </c>
      <c r="X51" s="64">
        <f si="0" t="shared"/>
        <v>5</v>
      </c>
      <c r="AA51">
        <f>WorkBasedSubtourTime!B59</f>
        <v>153</v>
      </c>
      <c r="AB51" t="str">
        <f>WorkBasedSubtourTime!C59</f>
        <v>pbus-arr</v>
      </c>
      <c r="AC51">
        <f>VLOOKUP(AA51,WorkBasedSubtourTime!$B$11:$E$60,4,FALSE)</f>
        <v>0.10684767663399999</v>
      </c>
      <c r="AD51" s="64">
        <f si="1" t="shared"/>
        <v>0.10684767663399999</v>
      </c>
    </row>
    <row r="52" spans="2:30" x14ac:dyDescent="0.25">
      <c r="B52" t="s">
        <v>62</v>
      </c>
      <c r="C52" s="29">
        <f>SUM(Duration!E8:E13)</f>
        <v>273510.69785961707</v>
      </c>
      <c r="D52" s="29">
        <f>SUM(Duration!L7:L12)</f>
        <v>288376.11320253002</v>
      </c>
      <c r="E52" s="30">
        <f>C52/C$62</f>
        <v>0.97763478857245167</v>
      </c>
      <c r="F52" s="30">
        <f>D52/D$62</f>
        <v>0.94644683120867668</v>
      </c>
      <c r="G52" s="6">
        <f>IFERROR(E52/F52,1)</f>
        <v>1.0329526776733415</v>
      </c>
      <c r="H52" s="6">
        <f>$F$49</f>
        <v>0.5</v>
      </c>
      <c r="I52" s="62">
        <f>IFERROR(H52*(LN(G52)-LN($G$54)),0)</f>
        <v>1.0137741088683165</v>
      </c>
      <c r="L52">
        <v>31</v>
      </c>
      <c r="M52" s="61">
        <f>VLOOKUP(L52,$AA$3:$AD$64,3,FALSE)</f>
        <v>2.3787024053099999</v>
      </c>
      <c r="N52" s="31">
        <f>I52+M52</f>
        <v>3.3924765141783162</v>
      </c>
      <c r="U52">
        <f>SchoolTourTime!B60</f>
        <v>92</v>
      </c>
      <c r="V52" t="str">
        <f>SchoolTourTime!C60</f>
        <v>deppused</v>
      </c>
      <c r="W52">
        <f>VLOOKUP(U52,SchoolTourTime!$B$11:$E$72,4,FALSE)</f>
        <v>3.1049899999999999</v>
      </c>
      <c r="X52" s="64">
        <f si="0" t="shared"/>
        <v>3.1049899999999999</v>
      </c>
      <c r="AA52">
        <f>WorkBasedSubtourTime!B60</f>
        <v>154</v>
      </c>
      <c r="AB52" t="str">
        <f>WorkBasedSubtourTime!C60</f>
        <v>pbus-dur</v>
      </c>
      <c r="AC52">
        <f>VLOOKUP(AA52,WorkBasedSubtourTime!$B$11:$E$60,4,FALSE)</f>
        <v>-2.5995997107600002E-2</v>
      </c>
      <c r="AD52" s="64">
        <f si="1" t="shared"/>
        <v>-2.5995997107600002E-2</v>
      </c>
    </row>
    <row r="53" spans="2:30" x14ac:dyDescent="0.25">
      <c r="B53" t="s">
        <v>63</v>
      </c>
      <c r="C53" s="29">
        <f>SUM(Duration!E14:E17)</f>
        <v>6132.5224614672752</v>
      </c>
      <c r="D53" s="29">
        <f>SUM(Duration!L13:L16)</f>
        <v>15253.487274959372</v>
      </c>
      <c r="E53" s="30">
        <f ref="E53:E62" si="24" t="shared">C53/C$62</f>
        <v>2.1920046809684832E-2</v>
      </c>
      <c r="F53" s="30">
        <f ref="F53:F62" si="25" t="shared">D53/D$62</f>
        <v>5.006175628051468E-2</v>
      </c>
      <c r="G53" s="6">
        <f ref="G53:G62" si="26" t="shared">IFERROR(E53/F53,1)</f>
        <v>0.43786012394089091</v>
      </c>
      <c r="H53" s="6">
        <f ref="H53:H55" si="27" t="shared">$F$49</f>
        <v>0.5</v>
      </c>
      <c r="I53" s="63">
        <f ref="I53:I61" si="28" t="shared">IFERROR(H53*(LN(G53)-LN($G$54)),0)</f>
        <v>0.58463553394181256</v>
      </c>
      <c r="L53" s="5">
        <v>32</v>
      </c>
      <c r="M53" s="5">
        <f ref="M53:M60" si="29" t="shared">VLOOKUP(L53,$AA$3:$AD$64,3,FALSE)</f>
        <v>1.49226509696</v>
      </c>
      <c r="N53" s="31">
        <f ref="N53:N60" si="30" t="shared">I53+M53</f>
        <v>2.0769006309018128</v>
      </c>
      <c r="U53">
        <f>SchoolTourTime!B61</f>
        <v>93</v>
      </c>
      <c r="V53" t="str">
        <f>SchoolTourTime!C61</f>
        <v>cempbef1</v>
      </c>
      <c r="W53">
        <f>VLOOKUP(U53,SchoolTourTime!$B$11:$E$72,4,FALSE)</f>
        <v>-0.33954000000000001</v>
      </c>
      <c r="X53" s="64">
        <f si="0" t="shared"/>
        <v>-0.33954000000000001</v>
      </c>
      <c r="AD53" s="64"/>
    </row>
    <row r="54" spans="2:30" x14ac:dyDescent="0.25">
      <c r="B54" t="s">
        <v>64</v>
      </c>
      <c r="C54" s="29">
        <f>SUM(Duration!E18:E21)</f>
        <v>123.74939184114297</v>
      </c>
      <c r="D54" s="29">
        <f>SUM(Duration!L17:L20)</f>
        <v>991.01685845817747</v>
      </c>
      <c r="E54" s="30">
        <f si="24" t="shared"/>
        <v>4.4232898923273828E-4</v>
      </c>
      <c r="F54" s="30">
        <f si="25" t="shared"/>
        <v>3.2525050530221615E-3</v>
      </c>
      <c r="G54" s="6">
        <f si="26" t="shared"/>
        <v>0.13599640339428073</v>
      </c>
      <c r="H54" s="6">
        <f si="27" t="shared"/>
        <v>0.5</v>
      </c>
      <c r="I54" s="63">
        <f si="28" t="shared"/>
        <v>0</v>
      </c>
      <c r="L54" s="5">
        <v>33</v>
      </c>
      <c r="M54" s="5">
        <f si="29" t="shared"/>
        <v>0</v>
      </c>
      <c r="N54" s="31">
        <f si="30" t="shared"/>
        <v>0</v>
      </c>
      <c r="U54">
        <f>SchoolTourTime!B62</f>
        <v>94</v>
      </c>
      <c r="V54" t="str">
        <f>SchoolTourTime!C62</f>
        <v>cempaft1</v>
      </c>
      <c r="W54">
        <f>VLOOKUP(U54,SchoolTourTime!$B$11:$E$72,4,FALSE)</f>
        <v>-0.16217999999999999</v>
      </c>
      <c r="X54" s="64">
        <f si="0" t="shared"/>
        <v>-0.16217999999999999</v>
      </c>
      <c r="AD54" s="64"/>
    </row>
    <row r="55" spans="2:30" x14ac:dyDescent="0.25">
      <c r="B55" t="s">
        <v>65</v>
      </c>
      <c r="C55" s="29">
        <f>SUM(Duration!E22:E25)</f>
        <v>0.79322053579720875</v>
      </c>
      <c r="D55" s="29">
        <f>SUM(Duration!L21:L24)</f>
        <v>67.227698248974022</v>
      </c>
      <c r="E55" s="30">
        <f si="24" t="shared"/>
        <v>2.8352821183011142E-6</v>
      </c>
      <c r="F55" s="30">
        <f si="25" t="shared"/>
        <v>2.2064047285535139E-4</v>
      </c>
      <c r="G55" s="6">
        <f si="26" t="shared"/>
        <v>1.2850235868375259E-2</v>
      </c>
      <c r="H55" s="6">
        <f si="27" t="shared"/>
        <v>0.5</v>
      </c>
      <c r="I55" s="63">
        <f si="28" t="shared"/>
        <v>-1.1796331365338593</v>
      </c>
      <c r="L55" s="5">
        <v>34</v>
      </c>
      <c r="M55" s="5">
        <f si="29" t="shared"/>
        <v>-0.77591292235700005</v>
      </c>
      <c r="N55" s="31">
        <f si="30" t="shared"/>
        <v>-1.9555460588908593</v>
      </c>
      <c r="U55">
        <f>SchoolTourTime!B63</f>
        <v>95</v>
      </c>
      <c r="V55" t="str">
        <f>SchoolTourTime!C63</f>
        <v>cempbef2</v>
      </c>
      <c r="W55">
        <f>VLOOKUP(U55,SchoolTourTime!$B$11:$E$72,4,FALSE)</f>
        <v>-0.16872000000000001</v>
      </c>
      <c r="X55" s="64">
        <f si="0" t="shared"/>
        <v>-0.16872000000000001</v>
      </c>
      <c r="AD55" s="64"/>
    </row>
    <row r="56" spans="2:30" x14ac:dyDescent="0.25">
      <c r="B56" t="s">
        <v>66</v>
      </c>
      <c r="C56" s="29">
        <f>SUM(Duration!E26:E27)</f>
        <v>9.6943078750610345E-5</v>
      </c>
      <c r="D56" s="29">
        <f>SUM(Duration!L25:L26)</f>
        <v>4.633885775496279</v>
      </c>
      <c r="E56" s="30">
        <f si="24" t="shared"/>
        <v>3.4651268502323793E-10</v>
      </c>
      <c r="F56" s="30">
        <f si="25" t="shared"/>
        <v>1.5208355711907616E-5</v>
      </c>
      <c r="G56" s="6">
        <f si="26" t="shared"/>
        <v>2.2784362201097813E-5</v>
      </c>
      <c r="H56" s="6">
        <v>0</v>
      </c>
      <c r="I56" s="63">
        <f si="28" t="shared"/>
        <v>0</v>
      </c>
      <c r="L56" s="5">
        <v>35</v>
      </c>
      <c r="M56" s="5">
        <f si="29" t="shared"/>
        <v>-5</v>
      </c>
      <c r="N56" s="31">
        <f si="30" t="shared"/>
        <v>-5</v>
      </c>
      <c r="U56">
        <f>SchoolTourTime!B64</f>
        <v>96</v>
      </c>
      <c r="V56" t="str">
        <f>SchoolTourTime!C64</f>
        <v>cempaft2</v>
      </c>
      <c r="W56">
        <f>VLOOKUP(U56,SchoolTourTime!$B$11:$E$72,4,FALSE)</f>
        <v>-6.9599999999999995E-2</v>
      </c>
      <c r="X56" s="64">
        <f si="0" t="shared"/>
        <v>-6.9599999999999995E-2</v>
      </c>
      <c r="AD56" s="64"/>
    </row>
    <row r="57" spans="2:30" x14ac:dyDescent="0.25">
      <c r="B57" t="s">
        <v>67</v>
      </c>
      <c r="C57" s="29">
        <f>SUM(Duration!E28:E29)</f>
        <v>0</v>
      </c>
      <c r="D57" s="29">
        <f>SUM(Duration!L27:L28)</f>
        <v>0.85471292647935349</v>
      </c>
      <c r="E57" s="30">
        <f si="24" t="shared"/>
        <v>0</v>
      </c>
      <c r="F57" s="30">
        <f si="25" t="shared"/>
        <v>2.8051572367623603E-6</v>
      </c>
      <c r="G57" s="6">
        <f si="26" t="shared"/>
        <v>0</v>
      </c>
      <c r="H57" s="6">
        <v>0</v>
      </c>
      <c r="I57" s="63">
        <f si="28" t="shared"/>
        <v>0</v>
      </c>
      <c r="L57" s="5">
        <v>36</v>
      </c>
      <c r="M57" s="5">
        <f si="29" t="shared"/>
        <v>-5</v>
      </c>
      <c r="N57" s="31">
        <f si="30" t="shared"/>
        <v>-5</v>
      </c>
      <c r="U57">
        <f>SchoolTourTime!B65</f>
        <v>97</v>
      </c>
      <c r="V57" t="str">
        <f>SchoolTourTime!C65</f>
        <v>toursdtwin</v>
      </c>
      <c r="W57">
        <f>VLOOKUP(U57,SchoolTourTime!$B$11:$E$72,4,FALSE)</f>
        <v>-152.64789999999999</v>
      </c>
      <c r="X57" s="64">
        <f si="0" t="shared"/>
        <v>-152.64789999999999</v>
      </c>
      <c r="AD57" s="64"/>
    </row>
    <row r="58" spans="2:30" x14ac:dyDescent="0.25">
      <c r="B58" t="s">
        <v>68</v>
      </c>
      <c r="C58" s="29">
        <f>SUM(Duration!E30:E31)</f>
        <v>0</v>
      </c>
      <c r="D58" s="29">
        <f>SUM(Duration!L29:L30)</f>
        <v>7.4969752474764409E-2</v>
      </c>
      <c r="E58" s="30">
        <f si="24" t="shared"/>
        <v>0</v>
      </c>
      <c r="F58" s="30">
        <f si="25" t="shared"/>
        <v>2.4604979891800935E-7</v>
      </c>
      <c r="G58" s="6">
        <f si="26" t="shared"/>
        <v>0</v>
      </c>
      <c r="H58" s="6">
        <v>0</v>
      </c>
      <c r="I58" s="63">
        <f si="28" t="shared"/>
        <v>0</v>
      </c>
      <c r="L58" s="5">
        <v>37</v>
      </c>
      <c r="M58" s="5">
        <f si="29" t="shared"/>
        <v>-5.0519999999999996</v>
      </c>
      <c r="N58" s="31">
        <f si="30" t="shared"/>
        <v>-5.0519999999999996</v>
      </c>
      <c r="U58">
        <f>SchoolTourTime!B66</f>
        <v>99</v>
      </c>
      <c r="V58" t="str">
        <f>SchoolTourTime!C66</f>
        <v>toursdbwin</v>
      </c>
      <c r="W58">
        <f>VLOOKUP(U58,SchoolTourTime!$B$11:$E$72,4,FALSE)</f>
        <v>-0.51661000000000001</v>
      </c>
      <c r="X58" s="64">
        <f si="0" t="shared"/>
        <v>-0.51661000000000001</v>
      </c>
      <c r="AD58" s="64"/>
    </row>
    <row r="59" spans="2:30" x14ac:dyDescent="0.25">
      <c r="B59" t="s">
        <v>69</v>
      </c>
      <c r="C59" s="29">
        <f>SUM(Duration!E32:E35)</f>
        <v>0</v>
      </c>
      <c r="D59" s="29">
        <f>SUM(Duration!L31:L34)</f>
        <v>2.2614904043436837E-3</v>
      </c>
      <c r="E59" s="30">
        <f si="24" t="shared"/>
        <v>0</v>
      </c>
      <c r="F59" s="30">
        <f si="25" t="shared"/>
        <v>7.422183492350122E-9</v>
      </c>
      <c r="G59" s="6">
        <f si="26" t="shared"/>
        <v>0</v>
      </c>
      <c r="H59" s="6">
        <v>0</v>
      </c>
      <c r="I59" s="63">
        <f si="28" t="shared"/>
        <v>0</v>
      </c>
      <c r="L59" s="5">
        <v>38</v>
      </c>
      <c r="M59" s="5">
        <f si="29" t="shared"/>
        <v>-10</v>
      </c>
      <c r="N59" s="31">
        <f si="30" t="shared"/>
        <v>-10</v>
      </c>
      <c r="U59">
        <f>SchoolTourTime!B67</f>
        <v>100</v>
      </c>
      <c r="V59" t="str">
        <f>SchoolTourTime!C67</f>
        <v>toursdawin</v>
      </c>
      <c r="W59">
        <f>VLOOKUP(U59,SchoolTourTime!$B$11:$E$72,4,FALSE)</f>
        <v>-2.3E-3</v>
      </c>
      <c r="X59" s="64">
        <f si="0" t="shared"/>
        <v>-2.3E-3</v>
      </c>
      <c r="AD59" s="64"/>
    </row>
    <row r="60" spans="2:30" x14ac:dyDescent="0.25">
      <c r="B60" t="s">
        <v>90</v>
      </c>
      <c r="C60" s="29">
        <f>SUM(Duration!E36:E43)</f>
        <v>0</v>
      </c>
      <c r="D60" s="29">
        <f>SUM(Duration!L35:L42)</f>
        <v>0</v>
      </c>
      <c r="E60" s="30">
        <f si="24" t="shared"/>
        <v>0</v>
      </c>
      <c r="F60" s="30">
        <f si="25" t="shared"/>
        <v>0</v>
      </c>
      <c r="G60" s="6">
        <f si="26" t="shared"/>
        <v>1</v>
      </c>
      <c r="H60" s="6">
        <v>0</v>
      </c>
      <c r="I60" s="63">
        <f si="28" t="shared"/>
        <v>0</v>
      </c>
      <c r="L60" s="5">
        <v>39</v>
      </c>
      <c r="M60" s="5">
        <f si="29" t="shared"/>
        <v>-10</v>
      </c>
      <c r="N60" s="31">
        <f si="30" t="shared"/>
        <v>-10</v>
      </c>
      <c r="U60">
        <f>SchoolTourTime!B68</f>
        <v>124</v>
      </c>
      <c r="V60" t="str">
        <f>SchoolTourTime!C68</f>
        <v>dep15</v>
      </c>
      <c r="W60">
        <f>VLOOKUP(U60,SchoolTourTime!$B$11:$E$72,4,FALSE)</f>
        <v>0.75265000000000004</v>
      </c>
      <c r="X60" s="64">
        <f si="0" t="shared"/>
        <v>0.75265000000000004</v>
      </c>
    </row>
    <row r="61" spans="2:30" x14ac:dyDescent="0.25">
      <c r="B61" s="23" t="s">
        <v>70</v>
      </c>
      <c r="C61" s="34">
        <f>SUM(Duration!E44:E55)</f>
        <v>0</v>
      </c>
      <c r="D61" s="34">
        <f>SUM(Duration!L43:L54)</f>
        <v>0</v>
      </c>
      <c r="E61" s="35">
        <f si="24" t="shared"/>
        <v>0</v>
      </c>
      <c r="F61" s="35">
        <f si="25" t="shared"/>
        <v>0</v>
      </c>
      <c r="G61" s="22">
        <f si="26" t="shared"/>
        <v>1</v>
      </c>
      <c r="H61" s="22">
        <v>0</v>
      </c>
      <c r="I61" s="36">
        <f si="28" t="shared"/>
        <v>0</v>
      </c>
      <c r="L61" s="23"/>
      <c r="M61" s="23"/>
      <c r="N61" s="36"/>
      <c r="U61">
        <f>SchoolTourTime!B69</f>
        <v>139</v>
      </c>
      <c r="V61" t="str">
        <f>SchoolTourTime!C69</f>
        <v>ftwk-arr</v>
      </c>
      <c r="W61">
        <f>VLOOKUP(U61,SchoolTourTime!$B$11:$E$72,4,FALSE)</f>
        <v>0.17319000000000001</v>
      </c>
      <c r="X61" s="64">
        <f si="0" t="shared"/>
        <v>0.17319000000000001</v>
      </c>
    </row>
    <row ht="15.75" r="62" spans="2:30" thickBot="1" x14ac:dyDescent="0.3">
      <c r="B62" s="3" t="s">
        <v>82</v>
      </c>
      <c r="C62" s="44">
        <f>SUM(C52:C61)</f>
        <v>279767.76303040428</v>
      </c>
      <c r="D62" s="44">
        <f>SUM(D52:D61)</f>
        <v>304693.41086414142</v>
      </c>
      <c r="E62" s="45">
        <f si="24" t="shared"/>
        <v>1</v>
      </c>
      <c r="F62" s="45">
        <f si="25" t="shared"/>
        <v>1</v>
      </c>
      <c r="G62" s="46">
        <f si="26" t="shared"/>
        <v>1</v>
      </c>
      <c r="H62" s="46"/>
      <c r="I62" s="1"/>
      <c r="U62">
        <f>SchoolTourTime!B70</f>
        <v>140</v>
      </c>
      <c r="V62" t="str">
        <f>SchoolTourTime!C70</f>
        <v>ftwk-dur</v>
      </c>
      <c r="W62">
        <f>VLOOKUP(U62,SchoolTourTime!$B$11:$E$72,4,FALSE)</f>
        <v>-8.1339999999999996E-2</v>
      </c>
      <c r="X62" s="64">
        <f si="0" t="shared"/>
        <v>-8.1339999999999996E-2</v>
      </c>
    </row>
    <row r="63" spans="2:30" x14ac:dyDescent="0.25">
      <c r="U63">
        <f>SchoolTourTime!B71</f>
        <v>143</v>
      </c>
      <c r="V63" t="str">
        <f>SchoolTourTime!C71</f>
        <v>pres-arr</v>
      </c>
      <c r="W63">
        <f>VLOOKUP(U63,SchoolTourTime!$B$11:$E$72,4,FALSE)</f>
        <v>-7.9009999999999997E-2</v>
      </c>
      <c r="X63" s="64">
        <f si="0" t="shared"/>
        <v>-7.9009999999999997E-2</v>
      </c>
    </row>
    <row r="64" spans="2:30" x14ac:dyDescent="0.25">
      <c r="U64">
        <f>SchoolTourTime!B72</f>
        <v>144</v>
      </c>
      <c r="V64" t="str">
        <f>SchoolTourTime!C72</f>
        <v>pres-dur</v>
      </c>
      <c r="W64">
        <f>VLOOKUP(U64,SchoolTourTime!$B$11:$E$72,4,FALSE)</f>
        <v>6.2170000000000003E-2</v>
      </c>
      <c r="X64" s="64">
        <f si="0" t="shared"/>
        <v>6.2170000000000003E-2</v>
      </c>
    </row>
  </sheetData>
  <mergeCells count="8">
    <mergeCell ref="C50:D50"/>
    <mergeCell ref="E50:F50"/>
    <mergeCell ref="E2:F2"/>
    <mergeCell ref="C2:D2"/>
    <mergeCell ref="C18:D18"/>
    <mergeCell ref="E18:F18"/>
    <mergeCell ref="C34:D34"/>
    <mergeCell ref="E34:F34"/>
  </mergeCells>
  <pageMargins bottom="0.75" footer="0.3" header="0.3" left="0.7" right="0.7" top="0.75"/>
  <pageSetup orientation="portrait" r:id="rId1"/>
  <ignoredErrors>
    <ignoredError formulaRange="1" sqref="C4:C12 D4:D12 C20:D29 C36:D45 C52:D6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15</vt:i4>
      </vt:variant>
      <vt:variant>
        <vt:lpstr>Named Ranges</vt:lpstr>
      </vt:variant>
      <vt:variant>
        <vt:i4>29</vt:i4>
      </vt:variant>
    </vt:vector>
  </HeadingPairs>
  <TitlesOfParts>
    <vt:vector baseType="lpstr" size="44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SchoolTourTime</vt:lpstr>
      <vt:lpstr>WorkBasedSubtourTime</vt:lpstr>
      <vt:lpstr>Calibration</vt:lpstr>
      <vt:lpstr>DURDEST</vt:lpstr>
      <vt:lpstr>Other_Arrival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2018-07-11T22:44:20Z</dcterms:modified>
</cp:coreProperties>
</file>