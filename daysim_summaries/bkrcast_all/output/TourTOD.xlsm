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431"/>
  <workbookPr codeName="ThisWorkbook" defaultThemeVersion="124226"/>
  <mc:AlternateContent>
    <mc:Choice Requires="x15">
      <x15ac:absPath xmlns:x15ac="http://schemas.microsoft.com/office/spreadsheetml/2010/11/ac" url="D:\LUSubareaAdjTest\BKRCast2014R1-test11a3-test3-SubadjTest3\daysim_summaries\bkrcast_all\output\"/>
    </mc:Choice>
  </mc:AlternateContent>
  <bookViews>
    <workbookView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BasedSubtourTime" r:id="rId14" sheetId="25"/>
    <sheet name="Calibration" r:id="rId15" sheetId="23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3" l="1" r="O5"/>
  <c i="23" r="O6"/>
  <c i="23" r="O7"/>
  <c i="23" r="O8"/>
  <c i="23" r="O9"/>
  <c i="23" r="O10"/>
  <c i="23" r="O11"/>
  <c i="23" r="O12"/>
  <c i="23" r="O13"/>
  <c i="23" r="O4"/>
  <c i="23" l="1" r="H53"/>
  <c i="23" r="H54"/>
  <c i="23" r="H55"/>
  <c i="23" r="H52"/>
  <c i="23" r="AA4"/>
  <c i="23" r="AB4"/>
  <c i="23" r="AA5"/>
  <c i="23" r="AB5"/>
  <c i="23" r="AC5"/>
  <c i="23" r="AD5" s="1"/>
  <c i="23" r="AA6"/>
  <c i="23" r="AC6" s="1"/>
  <c i="23" r="AB6"/>
  <c i="23" r="AA7"/>
  <c i="23" r="AB7"/>
  <c i="23" r="AC7"/>
  <c i="23" r="AD7"/>
  <c i="23" r="AA8"/>
  <c i="23" r="AC8" s="1"/>
  <c i="23" r="AB8"/>
  <c i="23" r="AA9"/>
  <c i="23" r="AC9" s="1"/>
  <c i="23" r="AD9" s="1"/>
  <c i="23" r="AB9"/>
  <c i="23" r="AA10"/>
  <c i="23" r="AC10" s="1"/>
  <c i="23" r="AD10" s="1"/>
  <c i="23" r="AB10"/>
  <c i="23" r="AA11"/>
  <c i="23" r="AC11" s="1"/>
  <c i="23" r="AB11"/>
  <c i="23" r="AA12"/>
  <c i="23" r="AC12" s="1"/>
  <c i="23" r="AB12"/>
  <c i="23" r="AA13"/>
  <c i="23" r="AC13" s="1"/>
  <c i="23" r="AB13"/>
  <c i="23" r="AA14"/>
  <c i="23" r="AC14" s="1"/>
  <c i="23" r="AB14"/>
  <c i="23" r="AA15"/>
  <c i="23" r="AC15" s="1"/>
  <c i="23" r="AB15"/>
  <c i="23" r="AA16"/>
  <c i="23" r="AC16" s="1"/>
  <c i="23" r="AB16"/>
  <c i="23" r="AA17"/>
  <c i="23" r="AC17" s="1"/>
  <c i="23" r="AB17"/>
  <c i="23" r="AA18"/>
  <c i="23" r="AC18" s="1"/>
  <c i="23" r="AB18"/>
  <c i="23" r="AA19"/>
  <c i="23" r="AC19" s="1"/>
  <c i="23" r="AB19"/>
  <c i="23" r="AA20"/>
  <c i="23" r="AC20" s="1"/>
  <c i="23" r="AB20"/>
  <c i="23" r="AA21"/>
  <c i="23" r="AC21" s="1"/>
  <c i="23" r="AB21"/>
  <c i="23" r="AA22"/>
  <c i="23" r="AC22" s="1"/>
  <c i="23" r="AB22"/>
  <c i="23" r="AA23"/>
  <c i="23" r="AC23" s="1"/>
  <c i="23" r="AB23"/>
  <c i="23" r="AA24"/>
  <c i="23" r="AC24" s="1"/>
  <c i="23" r="AB24"/>
  <c i="23" r="AA25"/>
  <c i="23" r="AC25" s="1"/>
  <c i="23" r="AB25"/>
  <c i="23" r="AA26"/>
  <c i="23" r="AC26" s="1"/>
  <c i="23" r="AB26"/>
  <c i="23" r="AA27"/>
  <c i="23" r="AC27" s="1"/>
  <c i="23" r="AB27"/>
  <c i="23" r="AA28"/>
  <c i="23" r="AC28" s="1"/>
  <c i="23" r="AB28"/>
  <c i="23" r="AA29"/>
  <c i="23" r="AC29" s="1"/>
  <c i="23" r="AB29"/>
  <c i="23" r="AA30"/>
  <c i="23" r="AC30" s="1"/>
  <c i="23" r="AB30"/>
  <c i="23" r="AA31"/>
  <c i="23" r="AC31" s="1"/>
  <c i="23" r="AB31"/>
  <c i="23" r="AA32"/>
  <c i="23" r="AC32" s="1"/>
  <c i="23" r="AB32"/>
  <c i="23" r="AA33"/>
  <c i="23" r="AB33"/>
  <c i="23" r="AC33"/>
  <c i="23" r="AD33"/>
  <c i="23" r="AA34"/>
  <c i="23" r="AC34" s="1"/>
  <c i="23" r="AD34" s="1"/>
  <c i="23" r="AB34"/>
  <c i="23" r="AA35"/>
  <c i="23" r="AB35"/>
  <c i="23" r="AA36"/>
  <c i="23" r="AC36" s="1"/>
  <c i="23" r="AB36"/>
  <c i="23" r="AA37"/>
  <c i="23" r="AB37"/>
  <c i="23" r="AA38"/>
  <c i="23" r="AC38" s="1"/>
  <c i="23" r="AB38"/>
  <c i="23" r="AA39"/>
  <c i="23" r="AC39" s="1"/>
  <c i="23" r="AB39"/>
  <c i="23" r="AA40"/>
  <c i="23" r="AC40" s="1"/>
  <c i="23" r="AD40" s="1"/>
  <c i="23" r="AB40"/>
  <c i="23" r="AA41"/>
  <c i="23" r="AB41"/>
  <c i="23" r="AC41"/>
  <c i="23" r="AD41" s="1"/>
  <c i="23" r="AA42"/>
  <c i="23" r="AC42" s="1"/>
  <c i="23" r="AB42"/>
  <c i="23" r="AA43"/>
  <c i="23" r="AB43"/>
  <c i="23" r="AC43"/>
  <c i="23" r="AD43" s="1"/>
  <c i="23" r="AA44"/>
  <c i="23" r="AC44" s="1"/>
  <c i="23" r="AB44"/>
  <c i="23" r="AA45"/>
  <c i="23" r="AC45" s="1"/>
  <c i="23" r="AB45"/>
  <c i="23" r="AA46"/>
  <c i="23" r="AC46" s="1"/>
  <c i="23" r="AB46"/>
  <c i="23" r="AA47"/>
  <c i="23" r="AC47" s="1"/>
  <c i="23" r="AB47"/>
  <c i="23" r="AA48"/>
  <c i="23" r="AC48" s="1"/>
  <c i="23" r="AB48"/>
  <c i="23" r="AA49"/>
  <c i="23" r="AB49"/>
  <c i="23" r="AC49"/>
  <c i="23" r="AD49" s="1"/>
  <c i="23" r="AA50"/>
  <c i="23" r="AC50" s="1"/>
  <c i="23" r="AB50"/>
  <c i="23" r="AA51"/>
  <c i="23" r="AC51" s="1"/>
  <c i="23" r="AD51" s="1"/>
  <c i="23" r="AB51"/>
  <c i="23" r="AA52"/>
  <c i="23" r="AC52" s="1"/>
  <c i="23" r="AB52"/>
  <c i="23" r="AB3"/>
  <c i="23" r="AA3"/>
  <c i="23" l="1" r="AD47"/>
  <c i="23" r="M53"/>
  <c i="23" r="AD39"/>
  <c i="23" r="AC35"/>
  <c i="23" r="AD35" s="1"/>
  <c i="23" r="AC37"/>
  <c i="23" r="AD37" s="1"/>
  <c i="23" r="AD11"/>
  <c i="23" r="AC4"/>
  <c i="23" r="AD4" s="1"/>
  <c i="23" r="M52"/>
  <c i="23" r="M45"/>
  <c i="23" r="M44"/>
  <c i="23" r="M43"/>
  <c i="23" r="M42"/>
  <c i="23" r="M41"/>
  <c i="23" r="M40"/>
  <c i="23" r="M39"/>
  <c i="23" r="M38"/>
  <c i="23" r="M37"/>
  <c i="23" r="M60"/>
  <c i="23" r="M59"/>
  <c i="23" r="M36"/>
  <c i="23" r="M58"/>
  <c i="23" r="AD46"/>
  <c i="23" r="M57"/>
  <c i="23" r="M56"/>
  <c i="23" r="AC3"/>
  <c i="23" r="M55"/>
  <c i="23" r="AD3"/>
  <c i="23" r="M54"/>
  <c i="23" r="AD52"/>
  <c i="23" r="AD45"/>
  <c i="23" r="AD50"/>
  <c i="23" r="AD44"/>
  <c i="23" r="AD38"/>
  <c i="23" r="AD32"/>
  <c i="23" r="AD8"/>
  <c i="23" r="AD48"/>
  <c i="23" r="AD42"/>
  <c i="23" r="AD36"/>
  <c i="23" r="AD12"/>
  <c i="23" r="AD6"/>
  <c i="23" l="1" r="D61"/>
  <c i="23" r="D60"/>
  <c i="23" r="D59"/>
  <c i="23" r="D58"/>
  <c i="23" r="D57"/>
  <c i="23" r="D56"/>
  <c i="23" r="D55"/>
  <c i="23" r="D54"/>
  <c i="23" r="D53"/>
  <c i="23" r="D52"/>
  <c i="23" r="C61"/>
  <c i="23" r="C60"/>
  <c i="23" r="C59"/>
  <c i="23" r="C58"/>
  <c i="23" r="C57"/>
  <c i="23" r="C56"/>
  <c i="23" r="C55"/>
  <c i="23" r="C54"/>
  <c i="23" r="C53"/>
  <c i="23" r="C52"/>
  <c i="23" r="H38"/>
  <c i="23" r="H39"/>
  <c i="23" r="H40"/>
  <c i="23" r="H41"/>
  <c i="23" r="H42"/>
  <c i="23" r="H43"/>
  <c i="23" r="H44"/>
  <c i="23" r="H37"/>
  <c i="23" r="D45"/>
  <c i="23" r="D44"/>
  <c i="23" r="D43"/>
  <c i="23" r="D42"/>
  <c i="23" r="D41"/>
  <c i="23" r="D40"/>
  <c i="23" r="D39"/>
  <c i="23" r="D38"/>
  <c i="23" r="D37"/>
  <c i="23" r="D36"/>
  <c i="23" r="C45"/>
  <c i="23" r="C29"/>
  <c i="23" r="C44"/>
  <c i="23" r="C43"/>
  <c i="23" r="C42"/>
  <c i="23" r="C41"/>
  <c i="23" r="C40"/>
  <c i="23" r="C39"/>
  <c i="23" r="C38"/>
  <c i="23" r="C36"/>
  <c i="23" r="C37"/>
  <c i="23" l="1" r="D62"/>
  <c i="23" r="F60" s="1"/>
  <c i="23" r="C62"/>
  <c i="23" r="E53" s="1"/>
  <c i="23" r="F57"/>
  <c i="23" r="F61"/>
  <c i="23" r="E57"/>
  <c i="23" r="G57" s="1"/>
  <c i="23" r="F56"/>
  <c i="23" r="F58"/>
  <c i="23" r="E56"/>
  <c i="23" r="G56" s="1"/>
  <c i="23" r="F55"/>
  <c i="23" r="E52"/>
  <c i="23" r="F59"/>
  <c i="23" r="E55"/>
  <c i="23" r="G55" s="1"/>
  <c i="23" r="F62"/>
  <c i="23" r="E60"/>
  <c i="23" r="G60" s="1"/>
  <c i="23" r="F54"/>
  <c i="23" r="F52"/>
  <c i="23" r="F53"/>
  <c i="23" r="D46"/>
  <c i="23" r="C46"/>
  <c i="23" l="1" r="G53"/>
  <c i="23" r="E61"/>
  <c i="23" r="G61" s="1"/>
  <c i="23" r="E62"/>
  <c i="23" r="E59"/>
  <c i="23" r="G59" s="1"/>
  <c i="23" r="E54"/>
  <c i="23" r="G54" s="1"/>
  <c i="23" r="I54" s="1"/>
  <c i="23" r="E58"/>
  <c i="23" r="G52"/>
  <c i="23" r="I52" s="1"/>
  <c i="23" r="G62"/>
  <c i="23" r="G58"/>
  <c i="23" r="I58" s="1"/>
  <c i="23" r="E42"/>
  <c i="23" r="E44"/>
  <c i="23" r="E36"/>
  <c i="23" r="E39"/>
  <c i="23" r="E38"/>
  <c i="23" r="E41"/>
  <c i="23" r="E46"/>
  <c i="23" r="E40"/>
  <c i="23" r="E43"/>
  <c i="23" r="E37"/>
  <c i="23" r="E45"/>
  <c i="23" r="F36"/>
  <c i="23" r="F38"/>
  <c i="23" r="F43"/>
  <c i="23" r="F41"/>
  <c i="23" r="F45"/>
  <c i="23" r="F46"/>
  <c i="23" r="F39"/>
  <c i="23" r="F37"/>
  <c i="23" r="F44"/>
  <c i="23" r="F40"/>
  <c i="23" r="F42"/>
  <c i="23" l="1" r="I59"/>
  <c i="23" r="I55"/>
  <c i="23" r="I53"/>
  <c i="23" r="I60"/>
  <c i="23" r="I56"/>
  <c i="23" r="I61"/>
  <c i="23" r="I57"/>
  <c i="23" r="G36"/>
  <c i="23" r="G46"/>
  <c i="23" r="G45"/>
  <c i="23" r="G37"/>
  <c i="23" r="G43"/>
  <c i="23" r="I43" s="1"/>
  <c i="23" r="G40"/>
  <c i="23" r="I40" s="1"/>
  <c i="23" r="G41"/>
  <c i="23" r="I41" s="1"/>
  <c i="23" r="G38"/>
  <c i="23" r="I38" s="1"/>
  <c i="23" r="G39"/>
  <c i="23" r="I39" s="1"/>
  <c i="23" r="G44"/>
  <c i="23" r="I44" s="1"/>
  <c i="23" r="G42"/>
  <c i="23" r="I42" s="1"/>
  <c i="23" l="1" r="I36"/>
  <c i="23" r="I37"/>
  <c i="23" r="I45"/>
  <c i="23" r="H8"/>
  <c i="23" r="U4"/>
  <c i="23" r="W4" s="1"/>
  <c i="23" r="X4" s="1"/>
  <c i="23" r="V4"/>
  <c i="23" r="U5"/>
  <c i="23" r="W5" s="1"/>
  <c i="23" r="V5"/>
  <c i="23" r="U6"/>
  <c i="23" r="W6" s="1"/>
  <c i="23" r="V6"/>
  <c i="23" r="U7"/>
  <c i="23" r="W7" s="1"/>
  <c i="23" r="V7"/>
  <c i="23" r="U8"/>
  <c i="23" r="V8"/>
  <c i="23" r="U9"/>
  <c i="23" r="W9" s="1"/>
  <c i="23" r="V9"/>
  <c i="23" r="U10"/>
  <c i="23" r="W10" s="1"/>
  <c i="23" r="X10" s="1"/>
  <c i="23" r="V10"/>
  <c i="23" r="U11"/>
  <c i="23" r="W11" s="1"/>
  <c i="23" r="X11" s="1"/>
  <c i="23" r="V11"/>
  <c i="23" r="U12"/>
  <c i="23" r="W12" s="1"/>
  <c i="23" r="V12"/>
  <c i="23" r="U13"/>
  <c i="23" r="W13" s="1"/>
  <c i="23" r="V13"/>
  <c i="23" r="U14"/>
  <c i="23" r="W14" s="1"/>
  <c i="23" r="V14"/>
  <c i="23" r="U15"/>
  <c i="23" r="W15" s="1"/>
  <c i="23" r="V15"/>
  <c i="23" r="U16"/>
  <c i="23" r="W16" s="1"/>
  <c i="23" r="V16"/>
  <c i="23" r="U17"/>
  <c i="23" r="W17" s="1"/>
  <c i="23" r="V17"/>
  <c i="23" r="U18"/>
  <c i="23" r="W18" s="1"/>
  <c i="23" r="V18"/>
  <c i="23" r="U19"/>
  <c i="23" r="W19" s="1"/>
  <c i="23" r="V19"/>
  <c i="23" r="U20"/>
  <c i="23" r="W20" s="1"/>
  <c i="23" r="V20"/>
  <c i="23" r="U21"/>
  <c i="23" r="W21" s="1"/>
  <c i="23" r="V21"/>
  <c i="23" r="U22"/>
  <c i="23" r="W22" s="1"/>
  <c i="23" r="V22"/>
  <c i="23" r="U23"/>
  <c i="23" r="W23" s="1"/>
  <c i="23" r="V23"/>
  <c i="23" r="U24"/>
  <c i="23" r="W24" s="1"/>
  <c i="23" r="V24"/>
  <c i="23" r="U25"/>
  <c i="23" r="W25" s="1"/>
  <c i="23" r="V25"/>
  <c i="23" r="U26"/>
  <c i="23" r="W26" s="1"/>
  <c i="23" r="V26"/>
  <c i="23" r="U27"/>
  <c i="23" r="W27" s="1"/>
  <c i="23" r="V27"/>
  <c i="23" r="U28"/>
  <c i="23" r="W28" s="1"/>
  <c i="23" r="V28"/>
  <c i="23" r="U29"/>
  <c i="23" r="W29" s="1"/>
  <c i="23" r="V29"/>
  <c i="23" r="U30"/>
  <c i="23" r="W30" s="1"/>
  <c i="23" r="V30"/>
  <c i="23" r="U31"/>
  <c i="23" r="W31" s="1"/>
  <c i="23" r="V31"/>
  <c i="23" r="U32"/>
  <c i="23" r="W32" s="1"/>
  <c i="23" r="V32"/>
  <c i="23" r="U33"/>
  <c i="23" r="W33" s="1"/>
  <c i="23" r="X33" s="1"/>
  <c i="23" r="V33"/>
  <c i="23" r="U34"/>
  <c i="23" r="V34"/>
  <c i="23" r="U35"/>
  <c i="23" r="W35" s="1"/>
  <c i="23" r="X35" s="1"/>
  <c i="23" r="V35"/>
  <c i="23" r="U36"/>
  <c i="23" r="W36" s="1"/>
  <c i="23" r="V36"/>
  <c i="23" r="U37"/>
  <c i="23" r="W37" s="1"/>
  <c i="23" r="X37" s="1"/>
  <c i="23" r="V37"/>
  <c i="23" r="U38"/>
  <c i="23" r="W38" s="1"/>
  <c i="23" r="X38" s="1"/>
  <c i="23" r="V38"/>
  <c i="23" r="U39"/>
  <c i="23" r="W39" s="1"/>
  <c i="23" r="X39" s="1"/>
  <c i="23" r="V39"/>
  <c i="23" r="U40"/>
  <c i="23" r="V40"/>
  <c i="23" r="U41"/>
  <c i="23" r="V41"/>
  <c i="23" r="U42"/>
  <c i="23" r="V42"/>
  <c i="23" r="U43"/>
  <c i="23" r="V43"/>
  <c i="23" r="U44"/>
  <c i="23" r="W44" s="1"/>
  <c i="23" r="V44"/>
  <c i="23" r="U45"/>
  <c i="23" r="W45" s="1"/>
  <c i="23" r="V45"/>
  <c i="23" r="U46"/>
  <c i="23" r="W46" s="1"/>
  <c i="23" r="V46"/>
  <c i="23" r="U47"/>
  <c i="23" r="W47" s="1"/>
  <c i="23" r="V47"/>
  <c i="23" r="U48"/>
  <c i="23" r="W48" s="1"/>
  <c i="23" r="V48"/>
  <c i="23" r="U49"/>
  <c i="23" r="W49" s="1"/>
  <c i="23" r="X49" s="1"/>
  <c i="23" r="V49"/>
  <c i="23" r="U50"/>
  <c i="23" r="W50" s="1"/>
  <c i="23" r="V50"/>
  <c i="23" r="U51"/>
  <c i="23" r="W51" s="1"/>
  <c i="23" r="V51"/>
  <c i="23" r="U52"/>
  <c i="23" r="W52" s="1"/>
  <c i="23" r="V52"/>
  <c i="23" r="U53"/>
  <c i="23" r="W53" s="1"/>
  <c i="23" r="V53"/>
  <c i="23" r="U54"/>
  <c i="23" r="W54" s="1"/>
  <c i="23" r="V54"/>
  <c i="23" r="U55"/>
  <c i="23" r="W55" s="1"/>
  <c i="23" r="V55"/>
  <c i="23" r="U56"/>
  <c i="23" r="W56" s="1"/>
  <c i="23" r="V56"/>
  <c i="23" r="U57"/>
  <c i="23" r="W57" s="1"/>
  <c i="23" r="X57" s="1"/>
  <c i="23" r="V57"/>
  <c i="23" r="U58"/>
  <c i="23" r="V58"/>
  <c i="23" r="U59"/>
  <c i="23" r="W59" s="1"/>
  <c i="23" r="X59" s="1"/>
  <c i="23" r="V59"/>
  <c i="23" r="U60"/>
  <c i="23" r="W60" s="1"/>
  <c i="23" r="V60"/>
  <c i="23" r="U61"/>
  <c i="23" r="W61" s="1"/>
  <c i="23" r="X61" s="1"/>
  <c i="23" r="V61"/>
  <c i="23" r="U62"/>
  <c i="23" r="W62" s="1"/>
  <c i="23" r="X62" s="1"/>
  <c i="23" r="V62"/>
  <c i="23" r="U63"/>
  <c i="23" r="W63" s="1"/>
  <c i="23" r="X63" s="1"/>
  <c i="23" r="V63"/>
  <c i="23" r="U64"/>
  <c i="23" r="W64" s="1"/>
  <c i="23" r="V64"/>
  <c i="23" r="V3"/>
  <c i="23" r="U3"/>
  <c i="23" l="1" r="W58"/>
  <c i="23" r="X58" s="1"/>
  <c i="23" r="X47"/>
  <c i="23" r="W40"/>
  <c i="23" r="X40" s="1"/>
  <c i="23" r="X48"/>
  <c i="23" r="X46"/>
  <c i="23" r="W34"/>
  <c i="23" r="X34" s="1"/>
  <c i="23" r="X45"/>
  <c i="23" r="M6"/>
  <c i="23" r="X50"/>
  <c i="23" r="M21"/>
  <c i="23" r="X64"/>
  <c i="23" r="M8"/>
  <c i="23" r="M5"/>
  <c i="23" r="M7"/>
  <c i="23" r="X60"/>
  <c i="23" r="X36"/>
  <c i="23" r="W43"/>
  <c i="23" r="X43" s="1"/>
  <c i="23" r="W42"/>
  <c i="23" r="X42" s="1"/>
  <c i="23" r="X56"/>
  <c i="23" r="X12"/>
  <c i="23" r="W3"/>
  <c i="23" r="X3" s="1"/>
  <c i="23" r="W41"/>
  <c i="23" r="X41" s="1"/>
  <c i="23" r="X55"/>
  <c i="23" r="X53"/>
  <c i="23" r="X9"/>
  <c i="23" r="X52"/>
  <c i="23" r="X54"/>
  <c i="23" r="X51"/>
  <c i="23" r="X7"/>
  <c i="23" r="X6"/>
  <c i="23" r="X5"/>
  <c i="23" r="M29"/>
  <c i="23" r="M4"/>
  <c i="23" r="M27"/>
  <c i="23" r="W8"/>
  <c i="23" r="X8" s="1"/>
  <c i="23" r="M20"/>
  <c i="23" r="M26"/>
  <c i="23" r="M13"/>
  <c i="23" r="M25"/>
  <c i="23" r="X44"/>
  <c i="23" r="M12"/>
  <c i="23" r="M24"/>
  <c i="23" r="M28"/>
  <c i="23" r="M11"/>
  <c i="23" r="M23"/>
  <c i="23" r="M10"/>
  <c i="23" r="M22"/>
  <c i="23" r="M9"/>
  <c i="23" r="D29"/>
  <c i="23" r="D28"/>
  <c i="23" r="D27"/>
  <c i="23" r="D26"/>
  <c i="23" r="D25"/>
  <c i="23" r="D24"/>
  <c i="23" r="D23"/>
  <c i="23" r="D22"/>
  <c i="23" r="D21"/>
  <c i="23" r="D20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3" r="H20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30"/>
  <c i="23" r="F22" s="1"/>
  <c i="23" r="F23"/>
  <c i="23" r="F28"/>
  <c i="23" r="F27"/>
  <c i="23" r="F29"/>
  <c i="23" r="F20"/>
  <c i="23" r="F24"/>
  <c i="23" r="F21"/>
  <c i="23" r="F25"/>
  <c i="23" r="F30"/>
  <c i="23" r="F26"/>
  <c i="23" r="C14"/>
  <c i="23" r="E12" s="1"/>
  <c i="23" r="C30"/>
  <c i="23" r="E10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E24"/>
  <c i="23" r="G24" s="1"/>
  <c i="23" r="E11"/>
  <c i="23" r="E7"/>
  <c i="23" r="E14"/>
  <c i="23" r="E9"/>
  <c i="23" r="E6"/>
  <c i="23" r="E8"/>
  <c i="23" r="E5"/>
  <c i="23" r="E4"/>
  <c i="23" r="E13"/>
  <c i="23" r="E27"/>
  <c i="23" r="G27" s="1"/>
  <c i="23" r="E29"/>
  <c i="23" r="G29" s="1"/>
  <c i="23" r="E20"/>
  <c i="23" r="G20" s="1"/>
  <c i="23" r="E28"/>
  <c i="23" r="G28" s="1"/>
  <c i="23" r="E21"/>
  <c i="23" r="G21" s="1"/>
  <c i="23" r="E22"/>
  <c i="23" r="G22" s="1"/>
  <c i="23" r="E30"/>
  <c i="23" r="G30" s="1"/>
  <c i="23" r="E26"/>
  <c i="23" r="G26" s="1"/>
  <c i="23" r="E25"/>
  <c i="23" r="G25" s="1"/>
  <c i="23" r="E23"/>
  <c i="23" r="G23" s="1"/>
  <c i="23" r="F9"/>
  <c i="23" r="F14"/>
  <c i="23" r="F10"/>
  <c i="23" r="G10" s="1"/>
  <c i="23" r="F13"/>
  <c i="23" r="F11"/>
  <c i="23" r="F8"/>
  <c i="23" r="F6"/>
  <c i="23" r="F4"/>
  <c i="23" r="F12"/>
  <c i="23" r="G12" s="1"/>
  <c i="23" r="F7"/>
  <c i="23" r="F5"/>
  <c i="23" r="G7"/>
  <c i="23" r="G6"/>
  <c i="23" r="G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11"/>
  <c i="23" r="G14"/>
  <c i="23" r="G9"/>
  <c i="23" r="N56"/>
  <c i="23" r="AD27" s="1"/>
  <c i="23" r="N57"/>
  <c i="23" r="AD28" s="1"/>
  <c i="23" r="N58"/>
  <c i="23" r="AD29" s="1"/>
  <c i="23" r="N52"/>
  <c i="23" r="AD23" s="1"/>
  <c i="23" r="N53"/>
  <c i="23" r="AD24" s="1"/>
  <c i="23" r="N59"/>
  <c i="23" r="AD30" s="1"/>
  <c i="23" r="N55"/>
  <c i="23" r="AD26" s="1"/>
  <c i="23" r="N54"/>
  <c i="23" r="AD25" s="1"/>
  <c i="23" r="N60"/>
  <c i="23" r="AD31" s="1"/>
  <c i="23" r="I26"/>
  <c i="23" r="N26" s="1"/>
  <c i="23" r="X29" s="1"/>
  <c i="23" r="I22"/>
  <c i="23" r="N22" s="1"/>
  <c i="23" r="X25" s="1"/>
  <c i="23" r="I21"/>
  <c i="23" r="N21" s="1"/>
  <c i="23" r="X24" s="1"/>
  <c i="23" r="I28"/>
  <c i="23" r="N28" s="1"/>
  <c i="23" r="X31" s="1"/>
  <c i="23" r="I20"/>
  <c i="23" r="N20" s="1"/>
  <c i="23" r="X23" s="1"/>
  <c i="23" r="I25"/>
  <c i="23" r="N25" s="1"/>
  <c i="23" r="X28" s="1"/>
  <c i="23" r="I29"/>
  <c i="23" r="N29" s="1"/>
  <c i="23" r="X32" s="1"/>
  <c i="23" r="I27"/>
  <c i="23" r="N27" s="1"/>
  <c i="23" r="X30" s="1"/>
  <c i="23" r="I23"/>
  <c i="23" r="N23" s="1"/>
  <c i="23" r="X26" s="1"/>
  <c i="23" r="G8"/>
  <c i="23" r="I11" s="1"/>
  <c i="23" r="N11" s="1"/>
  <c i="23" r="X20" s="1"/>
  <c i="23" r="I24"/>
  <c i="23" r="N24" s="1"/>
  <c i="23" r="X27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I9"/>
  <c i="23" r="N9" s="1"/>
  <c i="23" r="X18" s="1"/>
  <c i="23" r="I13"/>
  <c i="23" r="N13" s="1"/>
  <c i="23" r="X22" s="1"/>
  <c i="23" r="I8"/>
  <c i="23" r="N8" s="1"/>
  <c i="23" r="X17" s="1"/>
  <c i="23" r="I6"/>
  <c i="23" r="N6" s="1"/>
  <c i="23" r="X15" s="1"/>
  <c i="23" r="N36"/>
  <c i="23" r="AD13" s="1"/>
  <c i="23" r="N42"/>
  <c i="23" r="AD19" s="1"/>
  <c i="23" r="N44"/>
  <c i="23" r="AD21" s="1"/>
  <c i="23" r="N39"/>
  <c i="23" r="AD16" s="1"/>
  <c i="23" r="N38"/>
  <c i="23" r="AD15" s="1"/>
  <c i="23" r="N41"/>
  <c i="23" r="AD18" s="1"/>
  <c i="23" r="N40"/>
  <c i="23" r="AD17" s="1"/>
  <c i="23" r="N43"/>
  <c i="23" r="AD20" s="1"/>
  <c i="23" r="N37"/>
  <c i="23" r="AD14" s="1"/>
  <c i="23" r="N45"/>
  <c i="23" r="AD22" s="1"/>
  <c i="3" r="K110"/>
  <c i="3" r="K89"/>
  <c i="23" r="I10"/>
  <c i="23" r="N10" s="1"/>
  <c i="23" r="X19" s="1"/>
  <c i="3" r="L89"/>
  <c i="3" r="L91"/>
  <c i="23" r="I12"/>
  <c i="23" r="N12" s="1"/>
  <c i="23" r="X21" s="1"/>
  <c i="3" r="L94"/>
  <c i="23" r="I5"/>
  <c i="23" r="N5" s="1"/>
  <c i="23" r="X14" s="1"/>
  <c i="3" r="K100"/>
  <c i="23" r="I7"/>
  <c i="23" r="N7" s="1"/>
  <c i="23" r="X16" s="1"/>
  <c i="3" r="K103"/>
  <c i="23" r="I4"/>
  <c i="23" r="N4" s="1"/>
  <c i="23" r="X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<sst xmlns="http://schemas.openxmlformats.org/spreadsheetml/2006/main" count="729" uniqueCount="200">
  <si>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</si>
  <si>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</si>
  <si>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</si>
  <si>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</si>
  <si>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</si>
  <si>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</si>
  <si>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</si>
  <si>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</si>
  <si>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</si>
  <si>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</si>
  <si>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</si>
  <si>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</si>
  <si>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</si>
  <si>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</si>
  <si>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</si>
  <si>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</si>
  <si>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</si>
  <si>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</si>
  <si>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</si>
  <si>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</si>
  <si>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</si>
  <si>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</si>
  <si>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</si>
  <si>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</si>
  <si>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</si>
  <si>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</si>
  <si>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</si>
  <si>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</si>
  <si>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</si>
  <si>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</si>
  <si>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</si>
  <si>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</si>
  <si>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</si>
  <si>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</si>
  <si>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</si>
  <si>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</si>
  <si>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</si>
  <si>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</si>
  <si>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</si>
  <si>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</si>
  <si>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</si>
  <si>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</si>
  <si>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</si>
  <si>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</si>
  <si>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</si>
  <si>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</si>
  <si>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</si>
  <si>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</si>
  <si>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</si>
  <si>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</si>
  <si>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</si>
  <si>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</si>
  <si>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</si>
  <si>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</si>
  <si>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</si>
  <si>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</si>
  <si>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</si>
  <si>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</si>
  <si>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</si>
  <si>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</si>
  <si>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</si>
  <si>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</si>
  <si>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</si>
  <si>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</si>
  <si>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</si>
  <si>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</si>
  <si>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</si>
  <si>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</si>
  <si>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</si>
  <si>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</si>
  <si>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</si>
  <si>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</si>
  <si>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</si>
  <si>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</si>
  <si>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</si>
  <si>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</si>
  <si>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</si>
  <si>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</si>
  <si>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</si>
  <si>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</si>
  <si>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</si>
  <si>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</si>
  <si>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</si>
  <si>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</si>
  <si>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</si>
  <si>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</si>
  <si>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</si>
  <si>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</si>
  <si>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</si>
  <si>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</si>
  <si>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</si>
  <si>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</si>
  <si>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</si>
  <si>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</si>
  <si>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Open "WorkbasedSubtourGenerationCoefficients_SACOG-v1.5.F12" in Notepad+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</si>
  <si>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</si>
  <si>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</si>
  <si>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</si>
  <si>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</si>
  <si>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</si>
  <si>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</si>
  <si>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</si>
  <si>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</si>
  <si>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</si>
  <si>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</si>
  <si>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</si>
  <si>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Oct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</si>
  <si>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</si>
  <si>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</si>
  <si>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</si>
  <si>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</si>
  <si>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</si>
  <si>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</si>
  <si>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</si>
  <si>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</si>
  <si>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</si>
  <si>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</si>
  <si>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</si>
  <si>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</si>
  <si>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</si>
  <si>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</si>
  <si>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</si>
  <si>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</si>
  <si>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</si>
  <si>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</si>
  <si>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</si>
  <si>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</si>
  <si>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</si>
  <si>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</si>
  <si>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</si>
  <si>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</si>
  <si>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</si>
  <si>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</si>
  <si>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</si>
  <si>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</si>
  <si>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</si>
  <si>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</si>
  <si>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</si>
  <si>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</si>
  <si>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</si>
  <si>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</si>
  <si>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</si>
  <si>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</si>
  <si>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</si>
  <si>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</si>
  <si>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</si>
  <si>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</si>
  <si>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</si>
  <si>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</si>
  <si>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</si>
  <si>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</si>
  <si>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</si>
  <si>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</si>
  <si>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</si>
  <si>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</si>
  <si>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</si>
  <si>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</si>
  <si>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</si>
  <si>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</si>
  <si>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</si>
  <si>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</si>
  <si>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</si>
  <si>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</si>
  <si>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</si>
  <si>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</si>
  <si>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</si>
  <si>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</si>
  <si>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</si>
  <si>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</si>
  <si>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</si>
  <si>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</si>
  <si>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</si>
  <si>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018:42:27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</si>
  <si>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</si>
  <si>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</si>
  <si>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</si>
  <si>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</si>
  <si>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</si>
  <si>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</si>
  <si>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</si>
  <si>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</si>
  <si>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</si>
  <si>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</si>
  <si>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</si>
  <si>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</si>
  <si>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</si>
  <si>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</si>
  <si>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</si>
  <si>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</si>
  <si>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</si>
  <si>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</si>
  <si>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</si>
  <si>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</si>
  <si>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</si>
  <si>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</si>
  <si>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</si>
  <si>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</si>
  <si>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010:39:27</t>
  </si>
  <si>
    <t>WorkbasedSubTourTimeModel.F12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</si>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</sst>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Alignment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theme/theme1.xml" Type="http://schemas.openxmlformats.org/officeDocument/2006/relationships/theme"/><Relationship Id="rId17" Target="styles.xml" Type="http://schemas.openxmlformats.org/officeDocument/2006/relationships/styles"/><Relationship Id="rId18" Target="sharedStrings.xml" Type="http://schemas.openxmlformats.org/officeDocument/2006/relationships/sharedStrings"/><Relationship Id="rId19" Target="calcChain.xml" Type="http://schemas.openxmlformats.org/officeDocument/2006/relationships/calcChain"/><Relationship Id="rId2" Target="worksheets/sheet2.xml" Type="http://schemas.openxmlformats.org/officeDocument/2006/relationships/worksheet"/><Relationship Id="rId20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_rels/chart8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2.2031645712808101E-3</c:v>
                </c:pt>
                <c:pt idx="2">
                  <c:v>5.2119508513640313E-3</c:v>
                </c:pt>
                <c:pt idx="3">
                  <c:v>9.8967502367837759E-3</c:v>
                </c:pt>
                <c:pt idx="4">
                  <c:v>1.713035270498443E-2</c:v>
                </c:pt>
                <c:pt idx="5">
                  <c:v>2.7557316361067223E-2</c:v>
                </c:pt>
                <c:pt idx="6">
                  <c:v>4.1237332327821764E-2</c:v>
                </c:pt>
                <c:pt idx="7">
                  <c:v>5.7254051564345501E-2</c:v>
                </c:pt>
                <c:pt idx="8">
                  <c:v>7.3477564530148309E-2</c:v>
                </c:pt>
                <c:pt idx="9">
                  <c:v>8.6802307437784415E-2</c:v>
                </c:pt>
                <c:pt idx="10">
                  <c:v>9.4086503481892403E-2</c:v>
                </c:pt>
                <c:pt idx="11">
                  <c:v>9.3507392184192059E-2</c:v>
                </c:pt>
                <c:pt idx="12">
                  <c:v>8.5501033341354199E-2</c:v>
                </c:pt>
                <c:pt idx="13">
                  <c:v>7.2563149831563256E-2</c:v>
                </c:pt>
                <c:pt idx="14">
                  <c:v>5.8021342903304282E-2</c:v>
                </c:pt>
                <c:pt idx="15">
                  <c:v>4.4652465083904122E-2</c:v>
                </c:pt>
                <c:pt idx="16">
                  <c:v>3.3966929548648439E-2</c:v>
                </c:pt>
                <c:pt idx="17">
                  <c:v>2.6291650793590811E-2</c:v>
                </c:pt>
                <c:pt idx="18">
                  <c:v>2.1231599242964104E-2</c:v>
                </c:pt>
                <c:pt idx="19">
                  <c:v>1.8094702975491483E-2</c:v>
                </c:pt>
                <c:pt idx="20">
                  <c:v>1.6161809187344382E-2</c:v>
                </c:pt>
                <c:pt idx="21">
                  <c:v>1.4849279039845094E-2</c:v>
                </c:pt>
                <c:pt idx="22">
                  <c:v>1.3781759115160254E-2</c:v>
                </c:pt>
                <c:pt idx="23">
                  <c:v>1.2766581597388372E-2</c:v>
                </c:pt>
                <c:pt idx="24">
                  <c:v>1.1718269088323515E-2</c:v>
                </c:pt>
                <c:pt idx="25">
                  <c:v>1.0607626867535264E-2</c:v>
                </c:pt>
                <c:pt idx="26">
                  <c:v>9.4468826851649805E-3</c:v>
                </c:pt>
                <c:pt idx="27">
                  <c:v>8.2706572597341151E-3</c:v>
                </c:pt>
                <c:pt idx="28">
                  <c:v>7.1046179053884826E-3</c:v>
                </c:pt>
                <c:pt idx="29">
                  <c:v>5.9565181103851698E-3</c:v>
                </c:pt>
                <c:pt idx="30">
                  <c:v>4.8401377010922429E-3</c:v>
                </c:pt>
                <c:pt idx="31">
                  <c:v>3.7959090663928999E-3</c:v>
                </c:pt>
                <c:pt idx="32">
                  <c:v>2.8790142639737162E-3</c:v>
                </c:pt>
                <c:pt idx="33">
                  <c:v>2.1309891164204764E-3</c:v>
                </c:pt>
                <c:pt idx="34">
                  <c:v>1.5663640467380312E-3</c:v>
                </c:pt>
                <c:pt idx="35">
                  <c:v>1.1778543787010491E-3</c:v>
                </c:pt>
                <c:pt idx="36">
                  <c:v>9.4038357637188483E-4</c:v>
                </c:pt>
                <c:pt idx="37">
                  <c:v>8.074740076885787E-4</c:v>
                </c:pt>
                <c:pt idx="38">
                  <c:v>7.1657885653184485E-4</c:v>
                </c:pt>
                <c:pt idx="39">
                  <c:v>6.1356277280058568E-4</c:v>
                </c:pt>
                <c:pt idx="40">
                  <c:v>4.7879503763668528E-4</c:v>
                </c:pt>
                <c:pt idx="41">
                  <c:v>3.2949109733055237E-4</c:v>
                </c:pt>
                <c:pt idx="42">
                  <c:v>1.9705378473519378E-4</c:v>
                </c:pt>
                <c:pt idx="43">
                  <c:v>1.0206489866615257E-4</c:v>
                </c:pt>
                <c:pt idx="44">
                  <c:v>4.594014705948837E-5</c:v>
                </c:pt>
                <c:pt idx="45">
                  <c:v>1.8089969471988093E-5</c:v>
                </c:pt>
                <c:pt idx="46">
                  <c:v>6.2593819355607646E-6</c:v>
                </c:pt>
                <c:pt idx="47">
                  <c:v>1.8911157524956421E-6</c:v>
                </c:pt>
                <c:pt idx="48">
                  <c:v>4.8624773419930329E-7</c:v>
                </c:pt>
                <c:pt idx="49">
                  <c:v>9.9704211064059079E-8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9.9541975868570258E-4</c:v>
                </c:pt>
                <c:pt idx="1">
                  <c:v>3.1391728249867829E-3</c:v>
                </c:pt>
                <c:pt idx="2">
                  <c:v>5.5907542731780807E-3</c:v>
                </c:pt>
                <c:pt idx="3">
                  <c:v>8.9026521846516868E-3</c:v>
                </c:pt>
                <c:pt idx="4">
                  <c:v>1.396763519170994E-2</c:v>
                </c:pt>
                <c:pt idx="5">
                  <c:v>2.1820167185053928E-2</c:v>
                </c:pt>
                <c:pt idx="6">
                  <c:v>3.3115677790749538E-2</c:v>
                </c:pt>
                <c:pt idx="7">
                  <c:v>4.7500029337702483E-2</c:v>
                </c:pt>
                <c:pt idx="8">
                  <c:v>6.3261237106123414E-2</c:v>
                </c:pt>
                <c:pt idx="9">
                  <c:v>7.7580182432587907E-2</c:v>
                </c:pt>
                <c:pt idx="10">
                  <c:v>8.738216855400055E-2</c:v>
                </c:pt>
                <c:pt idx="11">
                  <c:v>9.0446444446337967E-2</c:v>
                </c:pt>
                <c:pt idx="12">
                  <c:v>8.6266526604708654E-2</c:v>
                </c:pt>
                <c:pt idx="13">
                  <c:v>7.6248465093220585E-2</c:v>
                </c:pt>
                <c:pt idx="14">
                  <c:v>6.3137232744615107E-2</c:v>
                </c:pt>
                <c:pt idx="15">
                  <c:v>4.9937661277548243E-2</c:v>
                </c:pt>
                <c:pt idx="16">
                  <c:v>3.8855679054726235E-2</c:v>
                </c:pt>
                <c:pt idx="17">
                  <c:v>3.075937598150116E-2</c:v>
                </c:pt>
                <c:pt idx="18">
                  <c:v>2.5335126793469324E-2</c:v>
                </c:pt>
                <c:pt idx="19">
                  <c:v>2.1700705819910033E-2</c:v>
                </c:pt>
                <c:pt idx="20">
                  <c:v>1.9028073017324905E-2</c:v>
                </c:pt>
                <c:pt idx="21">
                  <c:v>1.684724327617499E-2</c:v>
                </c:pt>
                <c:pt idx="22">
                  <c:v>1.5002530266892281E-2</c:v>
                </c:pt>
                <c:pt idx="23">
                  <c:v>1.3456438648707153E-2</c:v>
                </c:pt>
                <c:pt idx="24">
                  <c:v>1.2149664200564696E-2</c:v>
                </c:pt>
                <c:pt idx="25">
                  <c:v>1.0989178385199841E-2</c:v>
                </c:pt>
                <c:pt idx="26">
                  <c:v>9.9034810964810614E-3</c:v>
                </c:pt>
                <c:pt idx="27">
                  <c:v>8.8746933855886855E-3</c:v>
                </c:pt>
                <c:pt idx="28">
                  <c:v>7.915843836238709E-3</c:v>
                </c:pt>
                <c:pt idx="29">
                  <c:v>7.0271082729357589E-3</c:v>
                </c:pt>
                <c:pt idx="30">
                  <c:v>6.1786963983333203E-3</c:v>
                </c:pt>
                <c:pt idx="31">
                  <c:v>5.3345239270083059E-3</c:v>
                </c:pt>
                <c:pt idx="32">
                  <c:v>4.490049265982868E-3</c:v>
                </c:pt>
                <c:pt idx="33">
                  <c:v>3.6853118928066864E-3</c:v>
                </c:pt>
                <c:pt idx="34">
                  <c:v>2.9786707307893181E-3</c:v>
                </c:pt>
                <c:pt idx="35">
                  <c:v>2.4046576612879438E-3</c:v>
                </c:pt>
                <c:pt idx="36">
                  <c:v>1.9534773123626456E-3</c:v>
                </c:pt>
                <c:pt idx="37">
                  <c:v>1.5863220926382016E-3</c:v>
                </c:pt>
                <c:pt idx="38">
                  <c:v>1.2667186436102424E-3</c:v>
                </c:pt>
                <c:pt idx="39">
                  <c:v>9.7917038954464493E-4</c:v>
                </c:pt>
                <c:pt idx="40">
                  <c:v>7.2572856697777238E-4</c:v>
                </c:pt>
                <c:pt idx="41">
                  <c:v>5.126122060120881E-4</c:v>
                </c:pt>
                <c:pt idx="42">
                  <c:v>3.4190035386483871E-4</c:v>
                </c:pt>
                <c:pt idx="43">
                  <c:v>2.1169777909144525E-4</c:v>
                </c:pt>
                <c:pt idx="44">
                  <c:v>1.1875364146694435E-4</c:v>
                </c:pt>
                <c:pt idx="45">
                  <c:v>5.8674423661171962E-5</c:v>
                </c:pt>
                <c:pt idx="46">
                  <c:v>2.4799165273737527E-5</c:v>
                </c:pt>
                <c:pt idx="47">
                  <c:v>8.6991266000658096E-6</c:v>
                </c:pt>
                <c:pt idx="48">
                  <c:v>2.4471636116227491E-6</c:v>
                </c:pt>
                <c:pt idx="49">
                  <c:v>5.2041750049989193E-7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1.3110541434186441E-4</c:v>
                </c:pt>
                <c:pt idx="2">
                  <c:v>4.5258101025143866E-4</c:v>
                </c:pt>
                <c:pt idx="3">
                  <c:v>1.4722635127194564E-3</c:v>
                </c:pt>
                <c:pt idx="4">
                  <c:v>4.383534116134096E-3</c:v>
                </c:pt>
                <c:pt idx="5">
                  <c:v>1.1261523157380621E-2</c:v>
                </c:pt>
                <c:pt idx="6">
                  <c:v>2.4570986862645441E-2</c:v>
                </c:pt>
                <c:pt idx="7">
                  <c:v>4.565578656567653E-2</c:v>
                </c:pt>
                <c:pt idx="8">
                  <c:v>7.2799859307040554E-2</c:v>
                </c:pt>
                <c:pt idx="9">
                  <c:v>0.10041686379887581</c:v>
                </c:pt>
                <c:pt idx="10">
                  <c:v>0.12067481758957327</c:v>
                </c:pt>
                <c:pt idx="11">
                  <c:v>0.12710562043613183</c:v>
                </c:pt>
                <c:pt idx="12">
                  <c:v>0.11795292237310229</c:v>
                </c:pt>
                <c:pt idx="13">
                  <c:v>9.6970472802929794E-2</c:v>
                </c:pt>
                <c:pt idx="14">
                  <c:v>7.1226050211875364E-2</c:v>
                </c:pt>
                <c:pt idx="15">
                  <c:v>4.7554309371030168E-2</c:v>
                </c:pt>
                <c:pt idx="16">
                  <c:v>2.9936593157882101E-2</c:v>
                </c:pt>
                <c:pt idx="17">
                  <c:v>1.900236255674775E-2</c:v>
                </c:pt>
                <c:pt idx="18">
                  <c:v>1.3206388224387411E-2</c:v>
                </c:pt>
                <c:pt idx="19">
                  <c:v>1.0405224751888735E-2</c:v>
                </c:pt>
                <c:pt idx="20">
                  <c:v>8.8912359060612477E-3</c:v>
                </c:pt>
                <c:pt idx="21">
                  <c:v>7.7213154948376182E-3</c:v>
                </c:pt>
                <c:pt idx="22">
                  <c:v>6.6081802487050331E-3</c:v>
                </c:pt>
                <c:pt idx="23">
                  <c:v>5.634551569284699E-3</c:v>
                </c:pt>
                <c:pt idx="24">
                  <c:v>4.9525258965070094E-3</c:v>
                </c:pt>
                <c:pt idx="25">
                  <c:v>4.5988781229096805E-3</c:v>
                </c:pt>
                <c:pt idx="26">
                  <c:v>4.4856305083777713E-3</c:v>
                </c:pt>
                <c:pt idx="27">
                  <c:v>4.4897211836022605E-3</c:v>
                </c:pt>
                <c:pt idx="28">
                  <c:v>4.5111617085099092E-3</c:v>
                </c:pt>
                <c:pt idx="29">
                  <c:v>4.4608382385051618E-3</c:v>
                </c:pt>
                <c:pt idx="30">
                  <c:v>4.2450140147461801E-3</c:v>
                </c:pt>
                <c:pt idx="31">
                  <c:v>3.799893254639287E-3</c:v>
                </c:pt>
                <c:pt idx="32">
                  <c:v>3.1427137739996665E-3</c:v>
                </c:pt>
                <c:pt idx="33">
                  <c:v>2.3768170476051193E-3</c:v>
                </c:pt>
                <c:pt idx="34">
                  <c:v>1.6416448010229342E-3</c:v>
                </c:pt>
                <c:pt idx="35">
                  <c:v>1.0520350076171888E-3</c:v>
                </c:pt>
                <c:pt idx="36">
                  <c:v>6.706314014203698E-4</c:v>
                </c:pt>
                <c:pt idx="37">
                  <c:v>5.2097537534967259E-4</c:v>
                </c:pt>
                <c:pt idx="38">
                  <c:v>6.1060131789149807E-4</c:v>
                </c:pt>
                <c:pt idx="39">
                  <c:v>9.2150265045265879E-4</c:v>
                </c:pt>
                <c:pt idx="40">
                  <c:v>1.3648870765811064E-3</c:v>
                </c:pt>
                <c:pt idx="41">
                  <c:v>1.7620347083389595E-3</c:v>
                </c:pt>
                <c:pt idx="42">
                  <c:v>1.9146437213788219E-3</c:v>
                </c:pt>
                <c:pt idx="43">
                  <c:v>1.7319129775995048E-3</c:v>
                </c:pt>
                <c:pt idx="44">
                  <c:v>1.2960902648413313E-3</c:v>
                </c:pt>
                <c:pt idx="45">
                  <c:v>7.9674642292762205E-4</c:v>
                </c:pt>
                <c:pt idx="46">
                  <c:v>3.9813804083819212E-4</c:v>
                </c:pt>
                <c:pt idx="47">
                  <c:v>1.591948309112507E-4</c:v>
                </c:pt>
                <c:pt idx="48">
                  <c:v>4.9724554837728787E-5</c:v>
                </c:pt>
                <c:pt idx="49">
                  <c:v>1.1494659085742889E-5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4.3758692280793363E-5</c:v>
                </c:pt>
                <c:pt idx="1">
                  <c:v>2.0846694175785313E-4</c:v>
                </c:pt>
                <c:pt idx="2">
                  <c:v>5.4565393495529949E-4</c:v>
                </c:pt>
                <c:pt idx="3">
                  <c:v>1.484152328588144E-3</c:v>
                </c:pt>
                <c:pt idx="4">
                  <c:v>3.9624482465323314E-3</c:v>
                </c:pt>
                <c:pt idx="5">
                  <c:v>9.5328460937575028E-3</c:v>
                </c:pt>
                <c:pt idx="6">
                  <c:v>2.001706120570804E-2</c:v>
                </c:pt>
                <c:pt idx="7">
                  <c:v>3.6522406611522347E-2</c:v>
                </c:pt>
                <c:pt idx="8">
                  <c:v>5.8147225223263634E-2</c:v>
                </c:pt>
                <c:pt idx="9">
                  <c:v>8.1289512796925867E-2</c:v>
                </c:pt>
                <c:pt idx="10">
                  <c:v>0.10043652548510812</c:v>
                </c:pt>
                <c:pt idx="11">
                  <c:v>0.11038627370799091</c:v>
                </c:pt>
                <c:pt idx="12">
                  <c:v>0.10868202603563615</c:v>
                </c:pt>
                <c:pt idx="13">
                  <c:v>9.6695805674489876E-2</c:v>
                </c:pt>
                <c:pt idx="14">
                  <c:v>7.8694495105470011E-2</c:v>
                </c:pt>
                <c:pt idx="15">
                  <c:v>5.9633440869069021E-2</c:v>
                </c:pt>
                <c:pt idx="16">
                  <c:v>4.3147080374067712E-2</c:v>
                </c:pt>
                <c:pt idx="17">
                  <c:v>3.0753230655682574E-2</c:v>
                </c:pt>
                <c:pt idx="18">
                  <c:v>2.2260271462055479E-2</c:v>
                </c:pt>
                <c:pt idx="19">
                  <c:v>1.6688608521449679E-2</c:v>
                </c:pt>
                <c:pt idx="20">
                  <c:v>1.3033143276963848E-2</c:v>
                </c:pt>
                <c:pt idx="21">
                  <c:v>1.0596230948427966E-2</c:v>
                </c:pt>
                <c:pt idx="22">
                  <c:v>8.9786872963475671E-3</c:v>
                </c:pt>
                <c:pt idx="23">
                  <c:v>7.9431798437967736E-3</c:v>
                </c:pt>
                <c:pt idx="24">
                  <c:v>7.3092421058182271E-3</c:v>
                </c:pt>
                <c:pt idx="25">
                  <c:v>6.9264998501147798E-3</c:v>
                </c:pt>
                <c:pt idx="26">
                  <c:v>6.6916745513158644E-3</c:v>
                </c:pt>
                <c:pt idx="27">
                  <c:v>6.5549742239440862E-3</c:v>
                </c:pt>
                <c:pt idx="28">
                  <c:v>6.490090467147048E-3</c:v>
                </c:pt>
                <c:pt idx="29">
                  <c:v>6.4467075308150875E-3</c:v>
                </c:pt>
                <c:pt idx="30">
                  <c:v>6.3300124077683264E-3</c:v>
                </c:pt>
                <c:pt idx="31">
                  <c:v>6.0359512998766065E-3</c:v>
                </c:pt>
                <c:pt idx="32">
                  <c:v>5.520623506513442E-3</c:v>
                </c:pt>
                <c:pt idx="33">
                  <c:v>4.8404047796749838E-3</c:v>
                </c:pt>
                <c:pt idx="34">
                  <c:v>4.1165058435716651E-3</c:v>
                </c:pt>
                <c:pt idx="35">
                  <c:v>3.4491999331193934E-3</c:v>
                </c:pt>
                <c:pt idx="36">
                  <c:v>2.8592385505100122E-3</c:v>
                </c:pt>
                <c:pt idx="37">
                  <c:v>2.3058473325913934E-3</c:v>
                </c:pt>
                <c:pt idx="38">
                  <c:v>1.7532556249110415E-3</c:v>
                </c:pt>
                <c:pt idx="39">
                  <c:v>1.2167564619630872E-3</c:v>
                </c:pt>
                <c:pt idx="40">
                  <c:v>7.5139014742764204E-4</c:v>
                </c:pt>
                <c:pt idx="41">
                  <c:v>4.0615656912575896E-4</c:v>
                </c:pt>
                <c:pt idx="42">
                  <c:v>1.9089851505941398E-4</c:v>
                </c:pt>
                <c:pt idx="43">
                  <c:v>7.8518255668918121E-5</c:v>
                </c:pt>
                <c:pt idx="44">
                  <c:v>2.8960975289587562E-5</c:v>
                </c:pt>
                <c:pt idx="45">
                  <c:v>9.9605736987666708E-6</c:v>
                </c:pt>
                <c:pt idx="46">
                  <c:v>3.2753278489528968E-6</c:v>
                </c:pt>
                <c:pt idx="47">
                  <c:v>1.0029681236949874E-6</c:v>
                </c:pt>
                <c:pt idx="48">
                  <c:v>2.6578068597204568E-7</c:v>
                </c:pt>
                <c:pt idx="49">
                  <c:v>5.5085568589500569E-8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4.9632091797558603E-4</c:v>
                </c:pt>
                <c:pt idx="2">
                  <c:v>1.0136301056900832E-3</c:v>
                </c:pt>
                <c:pt idx="3">
                  <c:v>1.5956847674652389E-3</c:v>
                </c:pt>
                <c:pt idx="4">
                  <c:v>2.3384615410733723E-3</c:v>
                </c:pt>
                <c:pt idx="5">
                  <c:v>3.4182538726211993E-3</c:v>
                </c:pt>
                <c:pt idx="6">
                  <c:v>5.0936656455705829E-3</c:v>
                </c:pt>
                <c:pt idx="7">
                  <c:v>7.6523340031911394E-3</c:v>
                </c:pt>
                <c:pt idx="8">
                  <c:v>1.1289816863160636E-2</c:v>
                </c:pt>
                <c:pt idx="9">
                  <c:v>1.5950758998123725E-2</c:v>
                </c:pt>
                <c:pt idx="10">
                  <c:v>2.1221270234038612E-2</c:v>
                </c:pt>
                <c:pt idx="11">
                  <c:v>2.6385145685425326E-2</c:v>
                </c:pt>
                <c:pt idx="12">
                  <c:v>3.0676824877628656E-2</c:v>
                </c:pt>
                <c:pt idx="13">
                  <c:v>3.3600484587411265E-2</c:v>
                </c:pt>
                <c:pt idx="14">
                  <c:v>3.509335969809043E-2</c:v>
                </c:pt>
                <c:pt idx="15">
                  <c:v>3.5428463865244064E-2</c:v>
                </c:pt>
                <c:pt idx="16">
                  <c:v>3.4984095367325142E-2</c:v>
                </c:pt>
                <c:pt idx="17">
                  <c:v>3.4098528397034956E-2</c:v>
                </c:pt>
                <c:pt idx="18">
                  <c:v>3.3080510195621061E-2</c:v>
                </c:pt>
                <c:pt idx="19">
                  <c:v>3.2255226369723021E-2</c:v>
                </c:pt>
                <c:pt idx="20">
                  <c:v>3.1916211121546793E-2</c:v>
                </c:pt>
                <c:pt idx="21">
                  <c:v>3.2198754673380306E-2</c:v>
                </c:pt>
                <c:pt idx="22">
                  <c:v>3.2995932780875419E-2</c:v>
                </c:pt>
                <c:pt idx="23">
                  <c:v>3.4011235910510515E-2</c:v>
                </c:pt>
                <c:pt idx="24">
                  <c:v>3.4943707453813352E-2</c:v>
                </c:pt>
                <c:pt idx="25">
                  <c:v>3.5708599664499713E-2</c:v>
                </c:pt>
                <c:pt idx="26">
                  <c:v>3.6541305342620505E-2</c:v>
                </c:pt>
                <c:pt idx="27">
                  <c:v>3.785870087056404E-2</c:v>
                </c:pt>
                <c:pt idx="28">
                  <c:v>3.9898193252977991E-2</c:v>
                </c:pt>
                <c:pt idx="29">
                  <c:v>4.2353031955431587E-2</c:v>
                </c:pt>
                <c:pt idx="30">
                  <c:v>4.4300521355600322E-2</c:v>
                </c:pt>
                <c:pt idx="31">
                  <c:v>4.4559366642904698E-2</c:v>
                </c:pt>
                <c:pt idx="32">
                  <c:v>4.2297998105757309E-2</c:v>
                </c:pt>
                <c:pt idx="33">
                  <c:v>3.7499690527068544E-2</c:v>
                </c:pt>
                <c:pt idx="34">
                  <c:v>3.0975674315033144E-2</c:v>
                </c:pt>
                <c:pt idx="35">
                  <c:v>2.3946865839004818E-2</c:v>
                </c:pt>
                <c:pt idx="36">
                  <c:v>1.7502759968643627E-2</c:v>
                </c:pt>
                <c:pt idx="37">
                  <c:v>1.2261804471083585E-2</c:v>
                </c:pt>
                <c:pt idx="38">
                  <c:v>8.3454297139499631E-3</c:v>
                </c:pt>
                <c:pt idx="39">
                  <c:v>5.5611433804943072E-3</c:v>
                </c:pt>
                <c:pt idx="40">
                  <c:v>3.6200811561032213E-3</c:v>
                </c:pt>
                <c:pt idx="41">
                  <c:v>2.2743241508299938E-3</c:v>
                </c:pt>
                <c:pt idx="42">
                  <c:v>1.3547479810358681E-3</c:v>
                </c:pt>
                <c:pt idx="43">
                  <c:v>7.5063202184386492E-4</c:v>
                </c:pt>
                <c:pt idx="44">
                  <c:v>3.7959097550169159E-4</c:v>
                </c:pt>
                <c:pt idx="45">
                  <c:v>1.7179590321044511E-4</c:v>
                </c:pt>
                <c:pt idx="46">
                  <c:v>6.8095392286134435E-5</c:v>
                </c:pt>
                <c:pt idx="47">
                  <c:v>2.3060294885145625E-5</c:v>
                </c:pt>
                <c:pt idx="48">
                  <c:v>6.4795111484279403E-6</c:v>
                </c:pt>
                <c:pt idx="49">
                  <c:v>1.4292749804434238E-6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2.3577452799157998E-3</c:v>
                </c:pt>
                <c:pt idx="1">
                  <c:v>2.6440073909078004E-3</c:v>
                </c:pt>
                <c:pt idx="2">
                  <c:v>2.8413471201260551E-3</c:v>
                </c:pt>
                <c:pt idx="3">
                  <c:v>3.0055873235135737E-3</c:v>
                </c:pt>
                <c:pt idx="4">
                  <c:v>3.3696460818675115E-3</c:v>
                </c:pt>
                <c:pt idx="5">
                  <c:v>4.249838644506284E-3</c:v>
                </c:pt>
                <c:pt idx="6">
                  <c:v>5.9064296550011743E-3</c:v>
                </c:pt>
                <c:pt idx="7">
                  <c:v>8.448736338679954E-3</c:v>
                </c:pt>
                <c:pt idx="8">
                  <c:v>1.1818209110760895E-2</c:v>
                </c:pt>
                <c:pt idx="9">
                  <c:v>1.5822339096284332E-2</c:v>
                </c:pt>
                <c:pt idx="10">
                  <c:v>2.0171217754640931E-2</c:v>
                </c:pt>
                <c:pt idx="11">
                  <c:v>2.4493801087245252E-2</c:v>
                </c:pt>
                <c:pt idx="12">
                  <c:v>2.8356490697812396E-2</c:v>
                </c:pt>
                <c:pt idx="13">
                  <c:v>3.132720228852718E-2</c:v>
                </c:pt>
                <c:pt idx="14">
                  <c:v>3.30959823870145E-2</c:v>
                </c:pt>
                <c:pt idx="15">
                  <c:v>3.3602203806911264E-2</c:v>
                </c:pt>
                <c:pt idx="16">
                  <c:v>3.3086509491795361E-2</c:v>
                </c:pt>
                <c:pt idx="17">
                  <c:v>3.2017511150274215E-2</c:v>
                </c:pt>
                <c:pt idx="18">
                  <c:v>3.09168102823069E-2</c:v>
                </c:pt>
                <c:pt idx="19">
                  <c:v>3.0168420105675709E-2</c:v>
                </c:pt>
                <c:pt idx="20">
                  <c:v>2.9911127049521247E-2</c:v>
                </c:pt>
                <c:pt idx="21">
                  <c:v>3.0067464784298066E-2</c:v>
                </c:pt>
                <c:pt idx="22">
                  <c:v>3.048276685474639E-2</c:v>
                </c:pt>
                <c:pt idx="23">
                  <c:v>3.1077965970604346E-2</c:v>
                </c:pt>
                <c:pt idx="24">
                  <c:v>3.1910586027211467E-2</c:v>
                </c:pt>
                <c:pt idx="25">
                  <c:v>3.3106442813758401E-2</c:v>
                </c:pt>
                <c:pt idx="26">
                  <c:v>3.472460923458958E-2</c:v>
                </c:pt>
                <c:pt idx="27">
                  <c:v>3.6662891450346798E-2</c:v>
                </c:pt>
                <c:pt idx="28">
                  <c:v>3.8654424336753188E-2</c:v>
                </c:pt>
                <c:pt idx="29">
                  <c:v>4.0317498527627595E-2</c:v>
                </c:pt>
                <c:pt idx="30">
                  <c:v>4.1215996835268109E-2</c:v>
                </c:pt>
                <c:pt idx="31">
                  <c:v>4.0954693336218512E-2</c:v>
                </c:pt>
                <c:pt idx="32">
                  <c:v>3.9329545691517691E-2</c:v>
                </c:pt>
                <c:pt idx="33">
                  <c:v>3.6443403023977167E-2</c:v>
                </c:pt>
                <c:pt idx="34">
                  <c:v>3.2655440469246073E-2</c:v>
                </c:pt>
                <c:pt idx="35">
                  <c:v>2.8375851445921481E-2</c:v>
                </c:pt>
                <c:pt idx="36">
                  <c:v>2.3887185128145388E-2</c:v>
                </c:pt>
                <c:pt idx="37">
                  <c:v>1.9343637197859618E-2</c:v>
                </c:pt>
                <c:pt idx="38">
                  <c:v>1.490076249842557E-2</c:v>
                </c:pt>
                <c:pt idx="39">
                  <c:v>1.0801163989805924E-2</c:v>
                </c:pt>
                <c:pt idx="40">
                  <c:v>7.31845435295917E-3</c:v>
                </c:pt>
                <c:pt idx="41">
                  <c:v>4.627320355050534E-3</c:v>
                </c:pt>
                <c:pt idx="42">
                  <c:v>2.7315928711379536E-3</c:v>
                </c:pt>
                <c:pt idx="43">
                  <c:v>1.500769933343644E-3</c:v>
                </c:pt>
                <c:pt idx="44">
                  <c:v>7.5803101265977638E-4</c:v>
                </c:pt>
                <c:pt idx="45">
                  <c:v>3.4406551818843092E-4</c:v>
                </c:pt>
                <c:pt idx="46">
                  <c:v>1.3614442421137516E-4</c:v>
                </c:pt>
                <c:pt idx="47">
                  <c:v>4.5366940628065624E-5</c:v>
                </c:pt>
                <c:pt idx="48">
                  <c:v>1.2245564557772722E-5</c:v>
                </c:pt>
                <c:pt idx="49">
                  <c:v>2.5172676532397153E-6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2.2885601384026896E-5</c:v>
                </c:pt>
                <c:pt idx="2">
                  <c:v>6.5012100300001615E-5</c:v>
                </c:pt>
                <c:pt idx="3">
                  <c:v>1.5404043846159256E-4</c:v>
                </c:pt>
                <c:pt idx="4">
                  <c:v>3.3485065256408202E-4</c:v>
                </c:pt>
                <c:pt idx="5">
                  <c:v>6.7896380291742687E-4</c:v>
                </c:pt>
                <c:pt idx="6">
                  <c:v>1.2975214723035143E-3</c:v>
                </c:pt>
                <c:pt idx="7">
                  <c:v>2.3581061360103276E-3</c:v>
                </c:pt>
                <c:pt idx="8">
                  <c:v>4.0853198651336882E-3</c:v>
                </c:pt>
                <c:pt idx="9">
                  <c:v>6.7082311605791145E-3</c:v>
                </c:pt>
                <c:pt idx="10">
                  <c:v>1.0359653000613745E-2</c:v>
                </c:pt>
                <c:pt idx="11">
                  <c:v>1.5034913786263189E-2</c:v>
                </c:pt>
                <c:pt idx="12">
                  <c:v>2.0763273476804865E-2</c:v>
                </c:pt>
                <c:pt idx="13">
                  <c:v>2.7985169001203493E-2</c:v>
                </c:pt>
                <c:pt idx="14">
                  <c:v>3.7784573608329639E-2</c:v>
                </c:pt>
                <c:pt idx="15">
                  <c:v>5.1417488918587488E-2</c:v>
                </c:pt>
                <c:pt idx="16">
                  <c:v>6.8963827627709764E-2</c:v>
                </c:pt>
                <c:pt idx="17">
                  <c:v>8.7926954158300444E-2</c:v>
                </c:pt>
                <c:pt idx="18">
                  <c:v>0.10328647730811344</c:v>
                </c:pt>
                <c:pt idx="19">
                  <c:v>0.10970833773173901</c:v>
                </c:pt>
                <c:pt idx="20">
                  <c:v>0.10463361924046689</c:v>
                </c:pt>
                <c:pt idx="21">
                  <c:v>8.9851567271342039E-2</c:v>
                </c:pt>
                <c:pt idx="22">
                  <c:v>7.0341708700433478E-2</c:v>
                </c:pt>
                <c:pt idx="23">
                  <c:v>5.1454164585525736E-2</c:v>
                </c:pt>
                <c:pt idx="24">
                  <c:v>3.6539288804991597E-2</c:v>
                </c:pt>
                <c:pt idx="25">
                  <c:v>2.6284802446829507E-2</c:v>
                </c:pt>
                <c:pt idx="26">
                  <c:v>1.9563418949690419E-2</c:v>
                </c:pt>
                <c:pt idx="27">
                  <c:v>1.4802583511260575E-2</c:v>
                </c:pt>
                <c:pt idx="28">
                  <c:v>1.0957549566918644E-2</c:v>
                </c:pt>
                <c:pt idx="29">
                  <c:v>7.7221819487413839E-3</c:v>
                </c:pt>
                <c:pt idx="30">
                  <c:v>5.1990722162398046E-3</c:v>
                </c:pt>
                <c:pt idx="31">
                  <c:v>3.4922871576567511E-3</c:v>
                </c:pt>
                <c:pt idx="32">
                  <c:v>2.514955799637974E-3</c:v>
                </c:pt>
                <c:pt idx="33">
                  <c:v>2.0176308502265752E-3</c:v>
                </c:pt>
                <c:pt idx="34">
                  <c:v>1.71656725695348E-3</c:v>
                </c:pt>
                <c:pt idx="35">
                  <c:v>1.416811335982035E-3</c:v>
                </c:pt>
                <c:pt idx="36">
                  <c:v>1.0640921490863322E-3</c:v>
                </c:pt>
                <c:pt idx="37">
                  <c:v>7.0676342134839542E-4</c:v>
                </c:pt>
                <c:pt idx="38">
                  <c:v>4.1302241795738201E-4</c:v>
                </c:pt>
                <c:pt idx="39">
                  <c:v>2.1374203806420663E-4</c:v>
                </c:pt>
                <c:pt idx="40">
                  <c:v>9.861164263123987E-5</c:v>
                </c:pt>
                <c:pt idx="41">
                  <c:v>4.0348979365345333E-5</c:v>
                </c:pt>
                <c:pt idx="42">
                  <c:v>1.4284310779543068E-5</c:v>
                </c:pt>
                <c:pt idx="43">
                  <c:v>4.1893011226627087E-6</c:v>
                </c:pt>
                <c:pt idx="44">
                  <c:v>9.5987828806703728E-7</c:v>
                </c:pt>
                <c:pt idx="45">
                  <c:v>1.5881761522410622E-7</c:v>
                </c:pt>
                <c:pt idx="46">
                  <c:v>1.6717643707800659E-8</c:v>
                </c:pt>
                <c:pt idx="47">
                  <c:v>8.3588218539003285E-10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2.8238223667868248E-4</c:v>
                </c:pt>
                <c:pt idx="1">
                  <c:v>7.4285560976603655E-4</c:v>
                </c:pt>
                <c:pt idx="2">
                  <c:v>1.0738922124144841E-3</c:v>
                </c:pt>
                <c:pt idx="3">
                  <c:v>1.2746031147212347E-3</c:v>
                </c:pt>
                <c:pt idx="4">
                  <c:v>1.4812462726582049E-3</c:v>
                </c:pt>
                <c:pt idx="5">
                  <c:v>1.8794426361084286E-3</c:v>
                </c:pt>
                <c:pt idx="6">
                  <c:v>2.640032048985907E-3</c:v>
                </c:pt>
                <c:pt idx="7">
                  <c:v>3.9368641815993198E-3</c:v>
                </c:pt>
                <c:pt idx="8">
                  <c:v>5.9892235230059199E-3</c:v>
                </c:pt>
                <c:pt idx="9">
                  <c:v>9.0609899620550608E-3</c:v>
                </c:pt>
                <c:pt idx="10">
                  <c:v>1.3442524665486471E-2</c:v>
                </c:pt>
                <c:pt idx="11">
                  <c:v>1.9473690348748508E-2</c:v>
                </c:pt>
                <c:pt idx="12">
                  <c:v>2.7541061802167525E-2</c:v>
                </c:pt>
                <c:pt idx="13">
                  <c:v>3.788058999460038E-2</c:v>
                </c:pt>
                <c:pt idx="14">
                  <c:v>5.0187392302348498E-2</c:v>
                </c:pt>
                <c:pt idx="15">
                  <c:v>6.3334073994929768E-2</c:v>
                </c:pt>
                <c:pt idx="16">
                  <c:v>7.5487491340273119E-2</c:v>
                </c:pt>
                <c:pt idx="17">
                  <c:v>8.4561021907569464E-2</c:v>
                </c:pt>
                <c:pt idx="18">
                  <c:v>8.8753105535928703E-2</c:v>
                </c:pt>
                <c:pt idx="19">
                  <c:v>8.7088197189725811E-2</c:v>
                </c:pt>
                <c:pt idx="20">
                  <c:v>7.9908121646813685E-2</c:v>
                </c:pt>
                <c:pt idx="21">
                  <c:v>6.8962805719274975E-2</c:v>
                </c:pt>
                <c:pt idx="22">
                  <c:v>5.6745786727848073E-2</c:v>
                </c:pt>
                <c:pt idx="23">
                  <c:v>4.5372042186581189E-2</c:v>
                </c:pt>
                <c:pt idx="24">
                  <c:v>3.5843045681647041E-2</c:v>
                </c:pt>
                <c:pt idx="25">
                  <c:v>2.8178244303025325E-2</c:v>
                </c:pt>
                <c:pt idx="26">
                  <c:v>2.2043463538016395E-2</c:v>
                </c:pt>
                <c:pt idx="27">
                  <c:v>1.7201365668091138E-2</c:v>
                </c:pt>
                <c:pt idx="28">
                  <c:v>1.3534308539040337E-2</c:v>
                </c:pt>
                <c:pt idx="29">
                  <c:v>1.0871743415133249E-2</c:v>
                </c:pt>
                <c:pt idx="30">
                  <c:v>8.9152113159511204E-3</c:v>
                </c:pt>
                <c:pt idx="31">
                  <c:v>7.3352779795364106E-3</c:v>
                </c:pt>
                <c:pt idx="32">
                  <c:v>5.9289526576213969E-3</c:v>
                </c:pt>
                <c:pt idx="33">
                  <c:v>4.6904667826232075E-3</c:v>
                </c:pt>
                <c:pt idx="34">
                  <c:v>3.7322594763215255E-3</c:v>
                </c:pt>
                <c:pt idx="35">
                  <c:v>3.1227272506202078E-3</c:v>
                </c:pt>
                <c:pt idx="36">
                  <c:v>2.7807101836323459E-3</c:v>
                </c:pt>
                <c:pt idx="37">
                  <c:v>2.513545990258147E-3</c:v>
                </c:pt>
                <c:pt idx="38">
                  <c:v>2.152975725315062E-3</c:v>
                </c:pt>
                <c:pt idx="39">
                  <c:v>1.6614747808464977E-3</c:v>
                </c:pt>
                <c:pt idx="40">
                  <c:v>1.1253951265765643E-3</c:v>
                </c:pt>
                <c:pt idx="41">
                  <c:v>6.6342271344925279E-4</c:v>
                </c:pt>
                <c:pt idx="42">
                  <c:v>3.4217639949064708E-4</c:v>
                </c:pt>
                <c:pt idx="43">
                  <c:v>1.5734128994180345E-4</c:v>
                </c:pt>
                <c:pt idx="44">
                  <c:v>6.637263499826871E-5</c:v>
                </c:pt>
                <c:pt idx="45">
                  <c:v>2.6251248416491455E-5</c:v>
                </c:pt>
                <c:pt idx="46">
                  <c:v>9.6463748712631787E-6</c:v>
                </c:pt>
                <c:pt idx="47">
                  <c:v>3.1480331928582204E-6</c:v>
                </c:pt>
                <c:pt idx="48">
                  <c:v>8.5662305210374731E-7</c:v>
                </c:pt>
                <c:pt idx="49">
                  <c:v>1.7910804199548874E-7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9.905172927462559E-6</c:v>
                </c:pt>
                <c:pt idx="2">
                  <c:v>2.040196880629291E-5</c:v>
                </c:pt>
                <c:pt idx="3">
                  <c:v>3.2741344849686347E-5</c:v>
                </c:pt>
                <c:pt idx="4">
                  <c:v>5.2280847409959865E-5</c:v>
                </c:pt>
                <c:pt idx="5">
                  <c:v>9.4098946216425897E-5</c:v>
                </c:pt>
                <c:pt idx="6">
                  <c:v>1.8597042786719654E-4</c:v>
                </c:pt>
                <c:pt idx="7">
                  <c:v>3.6339736463742768E-4</c:v>
                </c:pt>
                <c:pt idx="8">
                  <c:v>6.5767767840852734E-4</c:v>
                </c:pt>
                <c:pt idx="9">
                  <c:v>1.0870665187894327E-3</c:v>
                </c:pt>
                <c:pt idx="10">
                  <c:v>1.6615911121135999E-3</c:v>
                </c:pt>
                <c:pt idx="11">
                  <c:v>2.399205546278474E-3</c:v>
                </c:pt>
                <c:pt idx="12">
                  <c:v>3.339178101655539E-3</c:v>
                </c:pt>
                <c:pt idx="13">
                  <c:v>4.5443174776194778E-3</c:v>
                </c:pt>
                <c:pt idx="14">
                  <c:v>6.0946273601568055E-3</c:v>
                </c:pt>
                <c:pt idx="15">
                  <c:v>8.0666858675323798E-3</c:v>
                </c:pt>
                <c:pt idx="16">
                  <c:v>1.0483586873218941E-2</c:v>
                </c:pt>
                <c:pt idx="17">
                  <c:v>1.32576671426078E-2</c:v>
                </c:pt>
                <c:pt idx="18">
                  <c:v>1.621123424425467E-2</c:v>
                </c:pt>
                <c:pt idx="19">
                  <c:v>1.9242247590060609E-2</c:v>
                </c:pt>
                <c:pt idx="20">
                  <c:v>2.2563246530001194E-2</c:v>
                </c:pt>
                <c:pt idx="21">
                  <c:v>2.6814127022614442E-2</c:v>
                </c:pt>
                <c:pt idx="22">
                  <c:v>3.2887515918036306E-2</c:v>
                </c:pt>
                <c:pt idx="23">
                  <c:v>4.1488636814716616E-2</c:v>
                </c:pt>
                <c:pt idx="24">
                  <c:v>5.262058683808548E-2</c:v>
                </c:pt>
                <c:pt idx="25">
                  <c:v>6.5233754050595075E-2</c:v>
                </c:pt>
                <c:pt idx="26">
                  <c:v>7.7226565141014059E-2</c:v>
                </c:pt>
                <c:pt idx="27">
                  <c:v>8.5897334572563808E-2</c:v>
                </c:pt>
                <c:pt idx="28">
                  <c:v>8.8814352459118964E-2</c:v>
                </c:pt>
                <c:pt idx="29">
                  <c:v>8.4833634583292711E-2</c:v>
                </c:pt>
                <c:pt idx="30">
                  <c:v>7.4738711037819594E-2</c:v>
                </c:pt>
                <c:pt idx="31">
                  <c:v>6.1014863637001031E-2</c:v>
                </c:pt>
                <c:pt idx="32">
                  <c:v>4.6776637149226204E-2</c:v>
                </c:pt>
                <c:pt idx="33">
                  <c:v>3.4488171851320595E-2</c:v>
                </c:pt>
                <c:pt idx="34">
                  <c:v>2.5247321850798247E-2</c:v>
                </c:pt>
                <c:pt idx="35">
                  <c:v>1.8913438160080787E-2</c:v>
                </c:pt>
                <c:pt idx="36">
                  <c:v>1.4743126579093187E-2</c:v>
                </c:pt>
                <c:pt idx="37">
                  <c:v>1.1985086427041353E-2</c:v>
                </c:pt>
                <c:pt idx="38">
                  <c:v>1.01190253702874E-2</c:v>
                </c:pt>
                <c:pt idx="39">
                  <c:v>8.7878313934912668E-3</c:v>
                </c:pt>
                <c:pt idx="40">
                  <c:v>7.670061181996389E-3</c:v>
                </c:pt>
                <c:pt idx="41">
                  <c:v>6.4817872740161684E-3</c:v>
                </c:pt>
                <c:pt idx="42">
                  <c:v>5.0917323366213079E-3</c:v>
                </c:pt>
                <c:pt idx="43">
                  <c:v>3.5915401477119055E-3</c:v>
                </c:pt>
                <c:pt idx="44">
                  <c:v>2.2156563161810487E-3</c:v>
                </c:pt>
                <c:pt idx="45">
                  <c:v>1.1710436152737127E-3</c:v>
                </c:pt>
                <c:pt idx="46">
                  <c:v>5.20544543661294E-4</c:v>
                </c:pt>
                <c:pt idx="47">
                  <c:v>1.9081215329675832E-4</c:v>
                </c:pt>
                <c:pt idx="48">
                  <c:v>5.6287361974993556E-5</c:v>
                </c:pt>
                <c:pt idx="49">
                  <c:v>1.2686097657345422E-5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7.3019000091082906E-3</c:v>
                </c:pt>
                <c:pt idx="1">
                  <c:v>4.8819019906951719E-3</c:v>
                </c:pt>
                <c:pt idx="2">
                  <c:v>2.867384862567466E-3</c:v>
                </c:pt>
                <c:pt idx="3">
                  <c:v>1.4835454642058139E-3</c:v>
                </c:pt>
                <c:pt idx="4">
                  <c:v>7.2558468619028811E-4</c:v>
                </c:pt>
                <c:pt idx="5">
                  <c:v>4.4801669540589262E-4</c:v>
                </c:pt>
                <c:pt idx="6">
                  <c:v>4.927338002102844E-4</c:v>
                </c:pt>
                <c:pt idx="7">
                  <c:v>7.6007880045581857E-4</c:v>
                </c:pt>
                <c:pt idx="8">
                  <c:v>1.2091431928907676E-3</c:v>
                </c:pt>
                <c:pt idx="9">
                  <c:v>1.8374066631311344E-3</c:v>
                </c:pt>
                <c:pt idx="10">
                  <c:v>2.6870494575666664E-3</c:v>
                </c:pt>
                <c:pt idx="11">
                  <c:v>3.8715641175824603E-3</c:v>
                </c:pt>
                <c:pt idx="12">
                  <c:v>5.5637363965186501E-3</c:v>
                </c:pt>
                <c:pt idx="13">
                  <c:v>7.8970610854396245E-3</c:v>
                </c:pt>
                <c:pt idx="14">
                  <c:v>1.0824187070403345E-2</c:v>
                </c:pt>
                <c:pt idx="15">
                  <c:v>1.4062878545242654E-2</c:v>
                </c:pt>
                <c:pt idx="16">
                  <c:v>1.7219147049868606E-2</c:v>
                </c:pt>
                <c:pt idx="17">
                  <c:v>2.0015662169087588E-2</c:v>
                </c:pt>
                <c:pt idx="18">
                  <c:v>2.2445073094761271E-2</c:v>
                </c:pt>
                <c:pt idx="19">
                  <c:v>2.4749285834339649E-2</c:v>
                </c:pt>
                <c:pt idx="20">
                  <c:v>2.7306213619296978E-2</c:v>
                </c:pt>
                <c:pt idx="21">
                  <c:v>3.0565176920064233E-2</c:v>
                </c:pt>
                <c:pt idx="22">
                  <c:v>3.5038280269562107E-2</c:v>
                </c:pt>
                <c:pt idx="23">
                  <c:v>4.1203018223102315E-2</c:v>
                </c:pt>
                <c:pt idx="24">
                  <c:v>4.9213085764389028E-2</c:v>
                </c:pt>
                <c:pt idx="25">
                  <c:v>5.8530593888808165E-2</c:v>
                </c:pt>
                <c:pt idx="26">
                  <c:v>6.7753085513380981E-2</c:v>
                </c:pt>
                <c:pt idx="27">
                  <c:v>7.485067792109372E-2</c:v>
                </c:pt>
                <c:pt idx="28">
                  <c:v>7.7810037460564169E-2</c:v>
                </c:pt>
                <c:pt idx="29">
                  <c:v>7.5445286469523559E-2</c:v>
                </c:pt>
                <c:pt idx="30">
                  <c:v>6.7980876765401765E-2</c:v>
                </c:pt>
                <c:pt idx="31">
                  <c:v>5.704287591144655E-2</c:v>
                </c:pt>
                <c:pt idx="32">
                  <c:v>4.499341543292773E-2</c:v>
                </c:pt>
                <c:pt idx="33">
                  <c:v>3.3967949635584568E-2</c:v>
                </c:pt>
                <c:pt idx="34">
                  <c:v>2.5175512762599519E-2</c:v>
                </c:pt>
                <c:pt idx="35">
                  <c:v>1.8798226282364345E-2</c:v>
                </c:pt>
                <c:pt idx="36">
                  <c:v>1.438060466401926E-2</c:v>
                </c:pt>
                <c:pt idx="37">
                  <c:v>1.1320992956568634E-2</c:v>
                </c:pt>
                <c:pt idx="38">
                  <c:v>9.147756451030999E-3</c:v>
                </c:pt>
                <c:pt idx="39">
                  <c:v>7.5363972040574162E-3</c:v>
                </c:pt>
                <c:pt idx="40">
                  <c:v>6.2297662705040309E-3</c:v>
                </c:pt>
                <c:pt idx="41">
                  <c:v>5.0190934546014308E-3</c:v>
                </c:pt>
                <c:pt idx="42">
                  <c:v>3.8001960625128474E-3</c:v>
                </c:pt>
                <c:pt idx="43">
                  <c:v>2.6109776148777676E-3</c:v>
                </c:pt>
                <c:pt idx="44">
                  <c:v>1.5806044625380925E-3</c:v>
                </c:pt>
                <c:pt idx="45">
                  <c:v>8.2254051236211809E-4</c:v>
                </c:pt>
                <c:pt idx="46">
                  <c:v>3.5968633731811502E-4</c:v>
                </c:pt>
                <c:pt idx="47">
                  <c:v>1.2899804248864182E-4</c:v>
                </c:pt>
                <c:pt idx="48">
                  <c:v>3.6824048041429455E-5</c:v>
                </c:pt>
                <c:pt idx="49">
                  <c:v>7.908093297970296E-6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2.9525223653241477E-4</c:v>
                </c:pt>
                <c:pt idx="2">
                  <c:v>6.1861779087964597E-4</c:v>
                </c:pt>
                <c:pt idx="3">
                  <c:v>1.0092544774296215E-3</c:v>
                </c:pt>
                <c:pt idx="4">
                  <c:v>1.5348689628039468E-3</c:v>
                </c:pt>
                <c:pt idx="5">
                  <c:v>2.3092079437082693E-3</c:v>
                </c:pt>
                <c:pt idx="6">
                  <c:v>3.4893503011949665E-3</c:v>
                </c:pt>
                <c:pt idx="7">
                  <c:v>5.2338909206249146E-3</c:v>
                </c:pt>
                <c:pt idx="8">
                  <c:v>7.6242893241007552E-3</c:v>
                </c:pt>
                <c:pt idx="9">
                  <c:v>1.058286685599919E-2</c:v>
                </c:pt>
                <c:pt idx="10">
                  <c:v>1.3845456130547258E-2</c:v>
                </c:pt>
                <c:pt idx="11">
                  <c:v>1.7040919819795528E-2</c:v>
                </c:pt>
                <c:pt idx="12">
                  <c:v>1.9869296043093558E-2</c:v>
                </c:pt>
                <c:pt idx="13">
                  <c:v>2.2273205701182373E-2</c:v>
                </c:pt>
                <c:pt idx="14">
                  <c:v>2.4452518372064771E-2</c:v>
                </c:pt>
                <c:pt idx="15">
                  <c:v>2.6666861296035089E-2</c:v>
                </c:pt>
                <c:pt idx="16">
                  <c:v>2.8961983681073868E-2</c:v>
                </c:pt>
                <c:pt idx="17">
                  <c:v>3.1064407595819996E-2</c:v>
                </c:pt>
                <c:pt idx="18">
                  <c:v>3.2570625775065282E-2</c:v>
                </c:pt>
                <c:pt idx="19">
                  <c:v>3.329141804949648E-2</c:v>
                </c:pt>
                <c:pt idx="20">
                  <c:v>3.345643933537696E-2</c:v>
                </c:pt>
                <c:pt idx="21">
                  <c:v>3.3599161511740055E-2</c:v>
                </c:pt>
                <c:pt idx="22">
                  <c:v>3.4207096318685133E-2</c:v>
                </c:pt>
                <c:pt idx="23">
                  <c:v>3.5391682559383165E-2</c:v>
                </c:pt>
                <c:pt idx="24">
                  <c:v>3.6802975311395723E-2</c:v>
                </c:pt>
                <c:pt idx="25">
                  <c:v>3.7851958413660632E-2</c:v>
                </c:pt>
                <c:pt idx="26">
                  <c:v>3.810769996529207E-2</c:v>
                </c:pt>
                <c:pt idx="27">
                  <c:v>3.7608486168998131E-2</c:v>
                </c:pt>
                <c:pt idx="28">
                  <c:v>3.6869021680546558E-2</c:v>
                </c:pt>
                <c:pt idx="29">
                  <c:v>3.6573863260094257E-2</c:v>
                </c:pt>
                <c:pt idx="30">
                  <c:v>3.715597987956501E-2</c:v>
                </c:pt>
                <c:pt idx="31">
                  <c:v>3.8511399716135479E-2</c:v>
                </c:pt>
                <c:pt idx="32">
                  <c:v>3.9997683282813806E-2</c:v>
                </c:pt>
                <c:pt idx="33">
                  <c:v>4.0703764145957673E-2</c:v>
                </c:pt>
                <c:pt idx="34">
                  <c:v>3.9843678425327704E-2</c:v>
                </c:pt>
                <c:pt idx="35">
                  <c:v>3.707377878451789E-2</c:v>
                </c:pt>
                <c:pt idx="36">
                  <c:v>3.2592706066928011E-2</c:v>
                </c:pt>
                <c:pt idx="37">
                  <c:v>2.7014639149801418E-2</c:v>
                </c:pt>
                <c:pt idx="38">
                  <c:v>2.1115732066684909E-2</c:v>
                </c:pt>
                <c:pt idx="39">
                  <c:v>1.5584178222723705E-2</c:v>
                </c:pt>
                <c:pt idx="40">
                  <c:v>1.0867989321103881E-2</c:v>
                </c:pt>
                <c:pt idx="41">
                  <c:v>7.1488228606481786E-3</c:v>
                </c:pt>
                <c:pt idx="42">
                  <c:v>4.407549305705959E-3</c:v>
                </c:pt>
                <c:pt idx="43">
                  <c:v>2.5164112854960761E-3</c:v>
                </c:pt>
                <c:pt idx="44">
                  <c:v>1.3070713832767351E-3</c:v>
                </c:pt>
                <c:pt idx="45">
                  <c:v>6.0417643419687485E-4</c:v>
                </c:pt>
                <c:pt idx="46">
                  <c:v>2.4233006395423684E-4</c:v>
                </c:pt>
                <c:pt idx="47">
                  <c:v>8.1985975286146434E-5</c:v>
                </c:pt>
                <c:pt idx="48">
                  <c:v>2.2635418201321872E-5</c:v>
                </c:pt>
                <c:pt idx="49">
                  <c:v>4.8124090544479719E-6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5.1428356044723273E-3</c:v>
                </c:pt>
                <c:pt idx="1">
                  <c:v>4.2332691555471138E-3</c:v>
                </c:pt>
                <c:pt idx="2">
                  <c:v>3.4604621463998563E-3</c:v>
                </c:pt>
                <c:pt idx="3">
                  <c:v>2.9477262224076491E-3</c:v>
                </c:pt>
                <c:pt idx="4">
                  <c:v>2.8040579645668777E-3</c:v>
                </c:pt>
                <c:pt idx="5">
                  <c:v>3.1338795976525329E-3</c:v>
                </c:pt>
                <c:pt idx="6">
                  <c:v>4.0384842308574956E-3</c:v>
                </c:pt>
                <c:pt idx="7">
                  <c:v>5.5918986375401263E-3</c:v>
                </c:pt>
                <c:pt idx="8">
                  <c:v>7.8000080981897799E-3</c:v>
                </c:pt>
                <c:pt idx="9">
                  <c:v>1.0576030712097459E-2</c:v>
                </c:pt>
                <c:pt idx="10">
                  <c:v>1.3755896167919978E-2</c:v>
                </c:pt>
                <c:pt idx="11">
                  <c:v>1.71391897396093E-2</c:v>
                </c:pt>
                <c:pt idx="12">
                  <c:v>2.0516604356833779E-2</c:v>
                </c:pt>
                <c:pt idx="13">
                  <c:v>2.3664676766995626E-2</c:v>
                </c:pt>
                <c:pt idx="14">
                  <c:v>2.6336253263168099E-2</c:v>
                </c:pt>
                <c:pt idx="15">
                  <c:v>2.8296882935654303E-2</c:v>
                </c:pt>
                <c:pt idx="16">
                  <c:v>2.941742392669677E-2</c:v>
                </c:pt>
                <c:pt idx="17">
                  <c:v>2.9762757795473476E-2</c:v>
                </c:pt>
                <c:pt idx="18">
                  <c:v>2.9593631267604292E-2</c:v>
                </c:pt>
                <c:pt idx="19">
                  <c:v>2.9262062489445254E-2</c:v>
                </c:pt>
                <c:pt idx="20">
                  <c:v>2.9073324876000395E-2</c:v>
                </c:pt>
                <c:pt idx="21">
                  <c:v>2.9209052428898544E-2</c:v>
                </c:pt>
                <c:pt idx="22">
                  <c:v>2.9730564265997832E-2</c:v>
                </c:pt>
                <c:pt idx="23">
                  <c:v>3.0601695769670936E-2</c:v>
                </c:pt>
                <c:pt idx="24">
                  <c:v>3.1689100119298839E-2</c:v>
                </c:pt>
                <c:pt idx="25">
                  <c:v>3.2781971098984557E-2</c:v>
                </c:pt>
                <c:pt idx="26">
                  <c:v>3.368646227222355E-2</c:v>
                </c:pt>
                <c:pt idx="27">
                  <c:v>3.4355211353209521E-2</c:v>
                </c:pt>
                <c:pt idx="28">
                  <c:v>3.4937734027828828E-2</c:v>
                </c:pt>
                <c:pt idx="29">
                  <c:v>3.568868175712759E-2</c:v>
                </c:pt>
                <c:pt idx="30">
                  <c:v>3.678413476327317E-2</c:v>
                </c:pt>
                <c:pt idx="31">
                  <c:v>3.8152928411136204E-2</c:v>
                </c:pt>
                <c:pt idx="32">
                  <c:v>3.941384709481268E-2</c:v>
                </c:pt>
                <c:pt idx="33">
                  <c:v>3.9967073054539823E-2</c:v>
                </c:pt>
                <c:pt idx="34">
                  <c:v>3.9228218330194811E-2</c:v>
                </c:pt>
                <c:pt idx="35">
                  <c:v>3.6907896361365058E-2</c:v>
                </c:pt>
                <c:pt idx="36">
                  <c:v>3.3176121338925245E-2</c:v>
                </c:pt>
                <c:pt idx="37">
                  <c:v>2.8588592249704361E-2</c:v>
                </c:pt>
                <c:pt idx="38">
                  <c:v>2.380463388770987E-2</c:v>
                </c:pt>
                <c:pt idx="39">
                  <c:v>1.9286551710142895E-2</c:v>
                </c:pt>
                <c:pt idx="40">
                  <c:v>1.5186754905608073E-2</c:v>
                </c:pt>
                <c:pt idx="41">
                  <c:v>1.1469243629879113E-2</c:v>
                </c:pt>
                <c:pt idx="42">
                  <c:v>8.1189255066676323E-3</c:v>
                </c:pt>
                <c:pt idx="43">
                  <c:v>5.2449002222519966E-3</c:v>
                </c:pt>
                <c:pt idx="44">
                  <c:v>3.012272281665695E-3</c:v>
                </c:pt>
                <c:pt idx="45">
                  <c:v>1.5009881782123695E-3</c:v>
                </c:pt>
                <c:pt idx="46">
                  <c:v>6.3363677152670605E-4</c:v>
                </c:pt>
                <c:pt idx="47">
                  <c:v>2.208607694092299E-4</c:v>
                </c:pt>
                <c:pt idx="48">
                  <c:v>6.16046617450071E-5</c:v>
                </c:pt>
                <c:pt idx="49">
                  <c:v>1.2986822857111036E-5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1.8165559864375912E-5</c:v>
                </c:pt>
                <c:pt idx="2">
                  <c:v>4.5934239268145984E-5</c:v>
                </c:pt>
                <c:pt idx="3">
                  <c:v>9.5144749678068805E-5</c:v>
                </c:pt>
                <c:pt idx="4">
                  <c:v>1.8680609011137425E-4</c:v>
                </c:pt>
                <c:pt idx="5">
                  <c:v>3.6300210391726083E-4</c:v>
                </c:pt>
                <c:pt idx="6">
                  <c:v>6.9755443183527671E-4</c:v>
                </c:pt>
                <c:pt idx="7">
                  <c:v>1.2964300554704356E-3</c:v>
                </c:pt>
                <c:pt idx="8">
                  <c:v>2.2850803018236881E-3</c:v>
                </c:pt>
                <c:pt idx="9">
                  <c:v>3.7929780054710787E-3</c:v>
                </c:pt>
                <c:pt idx="10">
                  <c:v>5.9538452576467218E-3</c:v>
                </c:pt>
                <c:pt idx="11">
                  <c:v>8.9338993947756483E-3</c:v>
                </c:pt>
                <c:pt idx="12">
                  <c:v>1.2991402692470939E-2</c:v>
                </c:pt>
                <c:pt idx="13">
                  <c:v>1.8572050746984176E-2</c:v>
                </c:pt>
                <c:pt idx="14">
                  <c:v>2.6408903858276364E-2</c:v>
                </c:pt>
                <c:pt idx="15">
                  <c:v>3.7454971258828712E-2</c:v>
                </c:pt>
                <c:pt idx="16">
                  <c:v>5.2358547671572331E-2</c:v>
                </c:pt>
                <c:pt idx="17">
                  <c:v>7.0448659062384539E-2</c:v>
                </c:pt>
                <c:pt idx="18">
                  <c:v>8.8887931211112714E-2</c:v>
                </c:pt>
                <c:pt idx="19">
                  <c:v>0.10305643802122963</c:v>
                </c:pt>
                <c:pt idx="20">
                  <c:v>0.10851024422015745</c:v>
                </c:pt>
                <c:pt idx="21">
                  <c:v>0.10338417623566704</c:v>
                </c:pt>
                <c:pt idx="22">
                  <c:v>8.9447685207110023E-2</c:v>
                </c:pt>
                <c:pt idx="23">
                  <c:v>7.1052269533979459E-2</c:v>
                </c:pt>
                <c:pt idx="24">
                  <c:v>5.2878536865511791E-2</c:v>
                </c:pt>
                <c:pt idx="25">
                  <c:v>3.8042969261917484E-2</c:v>
                </c:pt>
                <c:pt idx="26">
                  <c:v>2.7462237140450128E-2</c:v>
                </c:pt>
                <c:pt idx="27">
                  <c:v>2.0378716972912644E-2</c:v>
                </c:pt>
                <c:pt idx="28">
                  <c:v>1.5413172865334387E-2</c:v>
                </c:pt>
                <c:pt idx="29">
                  <c:v>1.147070668942091E-2</c:v>
                </c:pt>
                <c:pt idx="30">
                  <c:v>8.0968159566557427E-3</c:v>
                </c:pt>
                <c:pt idx="31">
                  <c:v>5.307060277945517E-3</c:v>
                </c:pt>
                <c:pt idx="32">
                  <c:v>3.2325880836234877E-3</c:v>
                </c:pt>
                <c:pt idx="33">
                  <c:v>1.9037224168487723E-3</c:v>
                </c:pt>
                <c:pt idx="34">
                  <c:v>1.2321980858463889E-3</c:v>
                </c:pt>
                <c:pt idx="35">
                  <c:v>1.0625468801552865E-3</c:v>
                </c:pt>
                <c:pt idx="36">
                  <c:v>1.1933524444406151E-3</c:v>
                </c:pt>
                <c:pt idx="37">
                  <c:v>1.3909896476767976E-3</c:v>
                </c:pt>
                <c:pt idx="38">
                  <c:v>1.450670225236149E-3</c:v>
                </c:pt>
                <c:pt idx="39">
                  <c:v>1.2832322741815456E-3</c:v>
                </c:pt>
                <c:pt idx="40">
                  <c:v>9.4510149376526072E-4</c:v>
                </c:pt>
                <c:pt idx="41">
                  <c:v>5.7342819810857345E-4</c:v>
                </c:pt>
                <c:pt idx="42">
                  <c:v>2.8332957256960498E-4</c:v>
                </c:pt>
                <c:pt idx="43">
                  <c:v>1.1217126872943476E-4</c:v>
                </c:pt>
                <c:pt idx="44">
                  <c:v>3.4737034087670122E-5</c:v>
                </c:pt>
                <c:pt idx="45">
                  <c:v>8.1076652603376427E-6</c:v>
                </c:pt>
                <c:pt idx="46">
                  <c:v>1.3415094454205871E-6</c:v>
                </c:pt>
                <c:pt idx="47">
                  <c:v>1.4028765187177875E-7</c:v>
                </c:pt>
                <c:pt idx="48">
                  <c:v>6.9725885334046999E-9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2.8236418895102129E-4</c:v>
                </c:pt>
                <c:pt idx="1">
                  <c:v>6.9775414961747442E-4</c:v>
                </c:pt>
                <c:pt idx="2">
                  <c:v>9.786756759806853E-4</c:v>
                </c:pt>
                <c:pt idx="3">
                  <c:v>1.1231789426381592E-3</c:v>
                </c:pt>
                <c:pt idx="4">
                  <c:v>1.2631234936328313E-3</c:v>
                </c:pt>
                <c:pt idx="5">
                  <c:v>1.5538736237809003E-3</c:v>
                </c:pt>
                <c:pt idx="6">
                  <c:v>2.0859888700095436E-3</c:v>
                </c:pt>
                <c:pt idx="7">
                  <c:v>2.9073474701297938E-3</c:v>
                </c:pt>
                <c:pt idx="8">
                  <c:v>4.1168979874673791E-3</c:v>
                </c:pt>
                <c:pt idx="9">
                  <c:v>5.9322085208183975E-3</c:v>
                </c:pt>
                <c:pt idx="10">
                  <c:v>8.6902244507317452E-3</c:v>
                </c:pt>
                <c:pt idx="11">
                  <c:v>1.2817403344068867E-2</c:v>
                </c:pt>
                <c:pt idx="12">
                  <c:v>1.8781658415973543E-2</c:v>
                </c:pt>
                <c:pt idx="13">
                  <c:v>2.6953739734164449E-2</c:v>
                </c:pt>
                <c:pt idx="14">
                  <c:v>3.7339703220213231E-2</c:v>
                </c:pt>
                <c:pt idx="15">
                  <c:v>4.9327696337657836E-2</c:v>
                </c:pt>
                <c:pt idx="16">
                  <c:v>6.1674948333224462E-2</c:v>
                </c:pt>
                <c:pt idx="17">
                  <c:v>7.277927021682469E-2</c:v>
                </c:pt>
                <c:pt idx="18">
                  <c:v>8.1057471007486906E-2</c:v>
                </c:pt>
                <c:pt idx="19">
                  <c:v>8.5275657104609048E-2</c:v>
                </c:pt>
                <c:pt idx="20">
                  <c:v>8.4824143484543174E-2</c:v>
                </c:pt>
                <c:pt idx="21">
                  <c:v>7.9907942379001257E-2</c:v>
                </c:pt>
                <c:pt idx="22">
                  <c:v>7.1504911214537684E-2</c:v>
                </c:pt>
                <c:pt idx="23">
                  <c:v>6.1033172560483955E-2</c:v>
                </c:pt>
                <c:pt idx="24">
                  <c:v>4.9921374598217376E-2</c:v>
                </c:pt>
                <c:pt idx="25">
                  <c:v>3.933146538510858E-2</c:v>
                </c:pt>
                <c:pt idx="26">
                  <c:v>3.0075063011593139E-2</c:v>
                </c:pt>
                <c:pt idx="27">
                  <c:v>2.260325282873445E-2</c:v>
                </c:pt>
                <c:pt idx="28">
                  <c:v>1.7004359656976414E-2</c:v>
                </c:pt>
                <c:pt idx="29">
                  <c:v>1.3045787950686814E-2</c:v>
                </c:pt>
                <c:pt idx="30">
                  <c:v>1.0291207787526209E-2</c:v>
                </c:pt>
                <c:pt idx="31">
                  <c:v>8.2685247729395381E-3</c:v>
                </c:pt>
                <c:pt idx="32">
                  <c:v>6.6336917408302675E-3</c:v>
                </c:pt>
                <c:pt idx="33">
                  <c:v>5.2618056441942184E-3</c:v>
                </c:pt>
                <c:pt idx="34">
                  <c:v>4.2082670840069437E-3</c:v>
                </c:pt>
                <c:pt idx="35">
                  <c:v>3.5567424581809592E-3</c:v>
                </c:pt>
                <c:pt idx="36">
                  <c:v>3.2667346713031471E-3</c:v>
                </c:pt>
                <c:pt idx="37">
                  <c:v>3.1441555394445386E-3</c:v>
                </c:pt>
                <c:pt idx="38">
                  <c:v>2.9519393864481107E-3</c:v>
                </c:pt>
                <c:pt idx="39">
                  <c:v>2.5557102553370784E-3</c:v>
                </c:pt>
                <c:pt idx="40">
                  <c:v>1.9824214782090889E-3</c:v>
                </c:pt>
                <c:pt idx="41">
                  <c:v>1.3630901352886945E-3</c:v>
                </c:pt>
                <c:pt idx="42">
                  <c:v>8.2927955120149313E-4</c:v>
                </c:pt>
                <c:pt idx="43">
                  <c:v>4.468797402533396E-4</c:v>
                </c:pt>
                <c:pt idx="44">
                  <c:v>2.132414573655876E-4</c:v>
                </c:pt>
                <c:pt idx="45">
                  <c:v>8.962844853993122E-5</c:v>
                </c:pt>
                <c:pt idx="46">
                  <c:v>3.2748468520561973E-5</c:v>
                </c:pt>
                <c:pt idx="47">
                  <c:v>1.0167793441039349E-5</c:v>
                </c:pt>
                <c:pt idx="48">
                  <c:v>2.5938332489578985E-6</c:v>
                </c:pt>
                <c:pt idx="49">
                  <c:v>5.1159585662641856E-7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4.8196847989353877E-6</c:v>
                </c:pt>
                <c:pt idx="2">
                  <c:v>8.1786272307976558E-6</c:v>
                </c:pt>
                <c:pt idx="3">
                  <c:v>9.4089356294674794E-6</c:v>
                </c:pt>
                <c:pt idx="4">
                  <c:v>9.0340153800601882E-6</c:v>
                </c:pt>
                <c:pt idx="5">
                  <c:v>9.5030557214067879E-6</c:v>
                </c:pt>
                <c:pt idx="6">
                  <c:v>1.8597526817135721E-5</c:v>
                </c:pt>
                <c:pt idx="7">
                  <c:v>5.8895091202790076E-5</c:v>
                </c:pt>
                <c:pt idx="8">
                  <c:v>1.844216722198219E-4</c:v>
                </c:pt>
                <c:pt idx="9">
                  <c:v>4.9620970211575167E-4</c:v>
                </c:pt>
                <c:pt idx="10">
                  <c:v>1.1359383136926244E-3</c:v>
                </c:pt>
                <c:pt idx="11">
                  <c:v>2.2410334626615461E-3</c:v>
                </c:pt>
                <c:pt idx="12">
                  <c:v>3.8804290790388934E-3</c:v>
                </c:pt>
                <c:pt idx="13">
                  <c:v>6.0256592135197237E-3</c:v>
                </c:pt>
                <c:pt idx="14">
                  <c:v>8.5854763429176785E-3</c:v>
                </c:pt>
                <c:pt idx="15">
                  <c:v>1.1458529794922345E-2</c:v>
                </c:pt>
                <c:pt idx="16">
                  <c:v>1.4561681128205347E-2</c:v>
                </c:pt>
                <c:pt idx="17">
                  <c:v>1.791938496170865E-2</c:v>
                </c:pt>
                <c:pt idx="18">
                  <c:v>2.1951850980420153E-2</c:v>
                </c:pt>
                <c:pt idx="19">
                  <c:v>2.7838474874573707E-2</c:v>
                </c:pt>
                <c:pt idx="20">
                  <c:v>3.7421381183240149E-2</c:v>
                </c:pt>
                <c:pt idx="21">
                  <c:v>5.2136367503666022E-2</c:v>
                </c:pt>
                <c:pt idx="22">
                  <c:v>7.1271982847369922E-2</c:v>
                </c:pt>
                <c:pt idx="23">
                  <c:v>9.0911295008627366E-2</c:v>
                </c:pt>
                <c:pt idx="24">
                  <c:v>0.10498279092209022</c:v>
                </c:pt>
                <c:pt idx="25">
                  <c:v>0.10833832516615886</c:v>
                </c:pt>
                <c:pt idx="26">
                  <c:v>9.9805234135137838E-2</c:v>
                </c:pt>
                <c:pt idx="27">
                  <c:v>8.2801152436830894E-2</c:v>
                </c:pt>
                <c:pt idx="28">
                  <c:v>6.3050909924752416E-2</c:v>
                </c:pt>
                <c:pt idx="29">
                  <c:v>4.5367050207574006E-2</c:v>
                </c:pt>
                <c:pt idx="30">
                  <c:v>3.1899069112900746E-2</c:v>
                </c:pt>
                <c:pt idx="31">
                  <c:v>2.2518577424137584E-2</c:v>
                </c:pt>
                <c:pt idx="32">
                  <c:v>1.6186279955560417E-2</c:v>
                </c:pt>
                <c:pt idx="33">
                  <c:v>1.1937067838468842E-2</c:v>
                </c:pt>
                <c:pt idx="34">
                  <c:v>9.1035760904303546E-3</c:v>
                </c:pt>
                <c:pt idx="35">
                  <c:v>7.1837374266469391E-3</c:v>
                </c:pt>
                <c:pt idx="36">
                  <c:v>5.7697255277693871E-3</c:v>
                </c:pt>
                <c:pt idx="37">
                  <c:v>4.6073372139175508E-3</c:v>
                </c:pt>
                <c:pt idx="38">
                  <c:v>3.6435099242046734E-3</c:v>
                </c:pt>
                <c:pt idx="39">
                  <c:v>2.9513137793464087E-3</c:v>
                </c:pt>
                <c:pt idx="40">
                  <c:v>2.5674226567352935E-3</c:v>
                </c:pt>
                <c:pt idx="41">
                  <c:v>2.382341370145616E-3</c:v>
                </c:pt>
                <c:pt idx="42">
                  <c:v>2.1875242772094483E-3</c:v>
                </c:pt>
                <c:pt idx="43">
                  <c:v>1.8310553453909286E-3</c:v>
                </c:pt>
                <c:pt idx="44">
                  <c:v>1.3243054288562728E-3</c:v>
                </c:pt>
                <c:pt idx="45">
                  <c:v>8.0259462304169897E-4</c:v>
                </c:pt>
                <c:pt idx="46">
                  <c:v>3.9915457642318445E-4</c:v>
                </c:pt>
                <c:pt idx="47">
                  <c:v>1.5965955659270762E-4</c:v>
                </c:pt>
                <c:pt idx="48">
                  <c:v>5.007164186604293E-5</c:v>
                </c:pt>
                <c:pt idx="49">
                  <c:v>1.1660432131304737E-5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1.3030553618028053E-4</c:v>
                </c:pt>
                <c:pt idx="1">
                  <c:v>1.3191922699078929E-4</c:v>
                </c:pt>
                <c:pt idx="2">
                  <c:v>1.2081163132841628E-4</c:v>
                </c:pt>
                <c:pt idx="3">
                  <c:v>9.7543088669246829E-5</c:v>
                </c:pt>
                <c:pt idx="4">
                  <c:v>7.8503363126991994E-5</c:v>
                </c:pt>
                <c:pt idx="5">
                  <c:v>8.8751410744101279E-5</c:v>
                </c:pt>
                <c:pt idx="6">
                  <c:v>1.530430749697912E-4</c:v>
                </c:pt>
                <c:pt idx="7">
                  <c:v>2.8872968612182276E-4</c:v>
                </c:pt>
                <c:pt idx="8">
                  <c:v>5.0126649329013801E-4</c:v>
                </c:pt>
                <c:pt idx="9">
                  <c:v>7.8882588827598374E-4</c:v>
                </c:pt>
                <c:pt idx="10">
                  <c:v>1.1639555748323659E-3</c:v>
                </c:pt>
                <c:pt idx="11">
                  <c:v>1.6828021606122223E-3</c:v>
                </c:pt>
                <c:pt idx="12">
                  <c:v>2.4495150393503925E-3</c:v>
                </c:pt>
                <c:pt idx="13">
                  <c:v>3.5735201473079048E-3</c:v>
                </c:pt>
                <c:pt idx="14">
                  <c:v>5.1167527583402877E-3</c:v>
                </c:pt>
                <c:pt idx="15">
                  <c:v>7.1248866640972837E-3</c:v>
                </c:pt>
                <c:pt idx="16">
                  <c:v>9.7979913639102637E-3</c:v>
                </c:pt>
                <c:pt idx="17">
                  <c:v>1.3697548929858952E-2</c:v>
                </c:pt>
                <c:pt idx="18">
                  <c:v>1.9743766488958293E-2</c:v>
                </c:pt>
                <c:pt idx="19">
                  <c:v>2.8841881858942126E-2</c:v>
                </c:pt>
                <c:pt idx="20">
                  <c:v>4.1302618747957466E-2</c:v>
                </c:pt>
                <c:pt idx="21">
                  <c:v>5.6453931421599685E-2</c:v>
                </c:pt>
                <c:pt idx="22">
                  <c:v>7.2652395944285339E-2</c:v>
                </c:pt>
                <c:pt idx="23">
                  <c:v>8.7525183276782548E-2</c:v>
                </c:pt>
                <c:pt idx="24">
                  <c:v>9.8279184942299994E-2</c:v>
                </c:pt>
                <c:pt idx="25">
                  <c:v>0.10227466590118284</c:v>
                </c:pt>
                <c:pt idx="26">
                  <c:v>9.8032645893799675E-2</c:v>
                </c:pt>
                <c:pt idx="27">
                  <c:v>8.6190394866028128E-2</c:v>
                </c:pt>
                <c:pt idx="28">
                  <c:v>6.9527422620918655E-2</c:v>
                </c:pt>
                <c:pt idx="29">
                  <c:v>5.1808057781268839E-2</c:v>
                </c:pt>
                <c:pt idx="30">
                  <c:v>3.6211043943683671E-2</c:v>
                </c:pt>
                <c:pt idx="31">
                  <c:v>2.437508806716706E-2</c:v>
                </c:pt>
                <c:pt idx="32">
                  <c:v>1.6421306861714353E-2</c:v>
                </c:pt>
                <c:pt idx="33">
                  <c:v>1.1568184827260511E-2</c:v>
                </c:pt>
                <c:pt idx="34">
                  <c:v>8.7818109538090623E-3</c:v>
                </c:pt>
                <c:pt idx="35">
                  <c:v>7.1773881747681659E-3</c:v>
                </c:pt>
                <c:pt idx="36">
                  <c:v>6.1696112615927537E-3</c:v>
                </c:pt>
                <c:pt idx="37">
                  <c:v>5.4594906958257243E-3</c:v>
                </c:pt>
                <c:pt idx="38">
                  <c:v>4.9276092788093492E-3</c:v>
                </c:pt>
                <c:pt idx="39">
                  <c:v>4.5010201156168057E-3</c:v>
                </c:pt>
                <c:pt idx="40">
                  <c:v>4.074369737769536E-3</c:v>
                </c:pt>
                <c:pt idx="41">
                  <c:v>3.5304489038896522E-3</c:v>
                </c:pt>
                <c:pt idx="42">
                  <c:v>2.8206184108504123E-3</c:v>
                </c:pt>
                <c:pt idx="43">
                  <c:v>2.0125590915885303E-3</c:v>
                </c:pt>
                <c:pt idx="44">
                  <c:v>1.2506469759172509E-3</c:v>
                </c:pt>
                <c:pt idx="45">
                  <c:v>6.628379270471387E-4</c:v>
                </c:pt>
                <c:pt idx="46">
                  <c:v>2.9365223515314293E-4</c:v>
                </c:pt>
                <c:pt idx="47">
                  <c:v>1.0632308920776206E-4</c:v>
                </c:pt>
                <c:pt idx="48">
                  <c:v>3.0568076394619569E-5</c:v>
                </c:pt>
                <c:pt idx="49">
                  <c:v>6.5995899038760318E-6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1.8096394028116844E-2</c:v>
                </c:pt>
                <c:pt idx="1">
                  <c:v>1.8711861977254204E-2</c:v>
                </c:pt>
                <c:pt idx="2">
                  <c:v>1.9465986131181431E-2</c:v>
                </c:pt>
                <c:pt idx="3">
                  <c:v>2.0456865498303278E-2</c:v>
                </c:pt>
                <c:pt idx="4">
                  <c:v>2.1723164257031864E-2</c:v>
                </c:pt>
                <c:pt idx="5">
                  <c:v>2.3230956598960524E-2</c:v>
                </c:pt>
                <c:pt idx="6">
                  <c:v>2.4847191376203552E-2</c:v>
                </c:pt>
                <c:pt idx="7">
                  <c:v>2.6336039202909275E-2</c:v>
                </c:pt>
                <c:pt idx="8">
                  <c:v>2.7452948137642329E-2</c:v>
                </c:pt>
                <c:pt idx="9">
                  <c:v>2.8158576829470261E-2</c:v>
                </c:pt>
                <c:pt idx="10">
                  <c:v>2.8866165485007273E-2</c:v>
                </c:pt>
                <c:pt idx="11">
                  <c:v>3.0569190389380826E-2</c:v>
                </c:pt>
                <c:pt idx="12">
                  <c:v>3.4693415948639804E-2</c:v>
                </c:pt>
                <c:pt idx="13">
                  <c:v>4.2543970360506327E-2</c:v>
                </c:pt>
                <c:pt idx="14">
                  <c:v>5.4363107535287745E-2</c:v>
                </c:pt>
                <c:pt idx="15">
                  <c:v>6.841898528885261E-2</c:v>
                </c:pt>
                <c:pt idx="16">
                  <c:v>8.0959477787581433E-2</c:v>
                </c:pt>
                <c:pt idx="17">
                  <c:v>8.7602926609238824E-2</c:v>
                </c:pt>
                <c:pt idx="18">
                  <c:v>8.5594521254986219E-2</c:v>
                </c:pt>
                <c:pt idx="19">
                  <c:v>7.5344613401644028E-2</c:v>
                </c:pt>
                <c:pt idx="20">
                  <c:v>6.0054013757545203E-2</c:v>
                </c:pt>
                <c:pt idx="21">
                  <c:v>4.3812392737397933E-2</c:v>
                </c:pt>
                <c:pt idx="22">
                  <c:v>2.9694146544947234E-2</c:v>
                </c:pt>
                <c:pt idx="23">
                  <c:v>1.9010342936864773E-2</c:v>
                </c:pt>
                <c:pt idx="24">
                  <c:v>1.1684032070542732E-2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3.0024469216190366E-2</c:v>
                </c:pt>
                <c:pt idx="1">
                  <c:v>2.8275167841731973E-2</c:v>
                </c:pt>
                <c:pt idx="2">
                  <c:v>2.7246842291821033E-2</c:v>
                </c:pt>
                <c:pt idx="3">
                  <c:v>2.7344062923771905E-2</c:v>
                </c:pt>
                <c:pt idx="4">
                  <c:v>2.852064937330261E-2</c:v>
                </c:pt>
                <c:pt idx="5">
                  <c:v>3.0359457423460787E-2</c:v>
                </c:pt>
                <c:pt idx="6">
                  <c:v>3.2279421836622191E-2</c:v>
                </c:pt>
                <c:pt idx="7">
                  <c:v>3.3786319109000228E-2</c:v>
                </c:pt>
                <c:pt idx="8">
                  <c:v>3.4711064171864869E-2</c:v>
                </c:pt>
                <c:pt idx="9">
                  <c:v>3.5348873008066301E-2</c:v>
                </c:pt>
                <c:pt idx="10">
                  <c:v>3.6401625160795946E-2</c:v>
                </c:pt>
                <c:pt idx="11">
                  <c:v>3.8719908217075279E-2</c:v>
                </c:pt>
                <c:pt idx="12">
                  <c:v>4.2960562133323929E-2</c:v>
                </c:pt>
                <c:pt idx="13">
                  <c:v>4.9279859431893488E-2</c:v>
                </c:pt>
                <c:pt idx="14">
                  <c:v>5.7098523700639468E-2</c:v>
                </c:pt>
                <c:pt idx="15">
                  <c:v>6.4976181202469979E-2</c:v>
                </c:pt>
                <c:pt idx="16">
                  <c:v>7.076271089947346E-2</c:v>
                </c:pt>
                <c:pt idx="17">
                  <c:v>7.2223634472219744E-2</c:v>
                </c:pt>
                <c:pt idx="18">
                  <c:v>6.8034223358062931E-2</c:v>
                </c:pt>
                <c:pt idx="19">
                  <c:v>5.857860675514432E-2</c:v>
                </c:pt>
                <c:pt idx="20">
                  <c:v>4.5913388088472222E-2</c:v>
                </c:pt>
                <c:pt idx="21">
                  <c:v>3.2817449702546082E-2</c:v>
                </c:pt>
                <c:pt idx="22">
                  <c:v>2.1570063545543399E-2</c:v>
                </c:pt>
                <c:pt idx="23">
                  <c:v>1.3245025978745203E-2</c:v>
                </c:pt>
                <c:pt idx="24">
                  <c:v>7.7822521080125034E-3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4.1974158405842354E-3</c:v>
                </c:pt>
                <c:pt idx="1">
                  <c:v>1.1919107803832846E-2</c:v>
                </c:pt>
                <c:pt idx="2">
                  <c:v>1.8680230589556784E-2</c:v>
                </c:pt>
                <c:pt idx="3">
                  <c:v>2.3846310605752648E-2</c:v>
                </c:pt>
                <c:pt idx="4">
                  <c:v>2.7206537783689862E-2</c:v>
                </c:pt>
                <c:pt idx="5">
                  <c:v>2.89028309290769E-2</c:v>
                </c:pt>
                <c:pt idx="6">
                  <c:v>2.9463587364283114E-2</c:v>
                </c:pt>
                <c:pt idx="7">
                  <c:v>3.0080396186940542E-2</c:v>
                </c:pt>
                <c:pt idx="8">
                  <c:v>3.2862667227458772E-2</c:v>
                </c:pt>
                <c:pt idx="9">
                  <c:v>4.044768607666302E-2</c:v>
                </c:pt>
                <c:pt idx="10">
                  <c:v>5.4487763150844325E-2</c:v>
                </c:pt>
                <c:pt idx="11">
                  <c:v>7.3544545055256469E-2</c:v>
                </c:pt>
                <c:pt idx="12">
                  <c:v>9.222855536549987E-2</c:v>
                </c:pt>
                <c:pt idx="13">
                  <c:v>0.1032892721914692</c:v>
                </c:pt>
                <c:pt idx="14">
                  <c:v>0.10190037415398072</c:v>
                </c:pt>
                <c:pt idx="15">
                  <c:v>8.8785731040054855E-2</c:v>
                </c:pt>
                <c:pt idx="16">
                  <c:v>6.9429222582293004E-2</c:v>
                </c:pt>
                <c:pt idx="17">
                  <c:v>5.0224494760734296E-2</c:v>
                </c:pt>
                <c:pt idx="18">
                  <c:v>3.5014040798143076E-2</c:v>
                </c:pt>
                <c:pt idx="19">
                  <c:v>2.4371348636085706E-2</c:v>
                </c:pt>
                <c:pt idx="20">
                  <c:v>1.7071693805793695E-2</c:v>
                </c:pt>
                <c:pt idx="21">
                  <c:v>1.178819734267797E-2</c:v>
                </c:pt>
                <c:pt idx="22">
                  <c:v>7.8188230272663514E-3</c:v>
                </c:pt>
                <c:pt idx="23">
                  <c:v>4.9493790945643844E-3</c:v>
                </c:pt>
                <c:pt idx="24">
                  <c:v>3.08030524048028E-3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4.2395794576678157E-2</c:v>
                </c:pt>
                <c:pt idx="1">
                  <c:v>3.4862369359573785E-2</c:v>
                </c:pt>
                <c:pt idx="2">
                  <c:v>2.8867481936078857E-2</c:v>
                </c:pt>
                <c:pt idx="3">
                  <c:v>2.5420408289737913E-2</c:v>
                </c:pt>
                <c:pt idx="4">
                  <c:v>2.4823303146290956E-2</c:v>
                </c:pt>
                <c:pt idx="5">
                  <c:v>2.6894810195057642E-2</c:v>
                </c:pt>
                <c:pt idx="6">
                  <c:v>3.1335377734226323E-2</c:v>
                </c:pt>
                <c:pt idx="7">
                  <c:v>3.7913140841107772E-2</c:v>
                </c:pt>
                <c:pt idx="8">
                  <c:v>4.6346333783071042E-2</c:v>
                </c:pt>
                <c:pt idx="9">
                  <c:v>5.6034315584605428E-2</c:v>
                </c:pt>
                <c:pt idx="10">
                  <c:v>6.5914267394694526E-2</c:v>
                </c:pt>
                <c:pt idx="11">
                  <c:v>7.4582289976517696E-2</c:v>
                </c:pt>
                <c:pt idx="12">
                  <c:v>8.0569719977751433E-2</c:v>
                </c:pt>
                <c:pt idx="13">
                  <c:v>8.2598457217056429E-2</c:v>
                </c:pt>
                <c:pt idx="14">
                  <c:v>7.9805802537944281E-2</c:v>
                </c:pt>
                <c:pt idx="15">
                  <c:v>7.2042649395305275E-2</c:v>
                </c:pt>
                <c:pt idx="16">
                  <c:v>6.0180995661447551E-2</c:v>
                </c:pt>
                <c:pt idx="17">
                  <c:v>4.6118615520036453E-2</c:v>
                </c:pt>
                <c:pt idx="18">
                  <c:v>3.2244894225571016E-2</c:v>
                </c:pt>
                <c:pt idx="19">
                  <c:v>2.0571231193119849E-2</c:v>
                </c:pt>
                <c:pt idx="20">
                  <c:v>1.2074437221531788E-2</c:v>
                </c:pt>
                <c:pt idx="21">
                  <c:v>6.6452688427461916E-3</c:v>
                </c:pt>
                <c:pt idx="22">
                  <c:v>3.5394010293863455E-3</c:v>
                </c:pt>
                <c:pt idx="23">
                  <c:v>1.91209601778049E-3</c:v>
                </c:pt>
                <c:pt idx="24">
                  <c:v>1.1207466993008392E-3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0.29922702134217166</c:v>
                </c:pt>
                <c:pt idx="1">
                  <c:v>0.22731329846575424</c:v>
                </c:pt>
                <c:pt idx="2">
                  <c:v>0.16294446294532658</c:v>
                </c:pt>
                <c:pt idx="3">
                  <c:v>0.11096029666494484</c:v>
                </c:pt>
                <c:pt idx="4">
                  <c:v>7.2506072504067862E-2</c:v>
                </c:pt>
                <c:pt idx="5">
                  <c:v>4.5942060004501246E-2</c:v>
                </c:pt>
                <c:pt idx="6">
                  <c:v>2.8485940926929014E-2</c:v>
                </c:pt>
                <c:pt idx="7">
                  <c:v>1.7435319948262865E-2</c:v>
                </c:pt>
                <c:pt idx="8">
                  <c:v>1.0657473794152408E-2</c:v>
                </c:pt>
                <c:pt idx="9">
                  <c:v>6.6196018783371835E-3</c:v>
                </c:pt>
                <c:pt idx="10">
                  <c:v>4.2688586435469149E-3</c:v>
                </c:pt>
                <c:pt idx="11">
                  <c:v>2.9055876642066227E-3</c:v>
                </c:pt>
                <c:pt idx="12">
                  <c:v>2.0879131917696209E-3</c:v>
                </c:pt>
                <c:pt idx="13">
                  <c:v>1.5641121501309891E-3</c:v>
                </c:pt>
                <c:pt idx="14">
                  <c:v>1.2129159117457145E-3</c:v>
                </c:pt>
                <c:pt idx="15">
                  <c:v>9.8240511778124005E-4</c:v>
                </c:pt>
                <c:pt idx="16">
                  <c:v>8.4010080408622283E-4</c:v>
                </c:pt>
                <c:pt idx="17">
                  <c:v>7.5007891328469499E-4</c:v>
                </c:pt>
                <c:pt idx="18">
                  <c:v>6.7580063749074297E-4</c:v>
                </c:pt>
                <c:pt idx="19">
                  <c:v>5.9269593055297166E-4</c:v>
                </c:pt>
                <c:pt idx="20">
                  <c:v>4.9534858241326567E-4</c:v>
                </c:pt>
                <c:pt idx="21">
                  <c:v>3.9401084299637575E-4</c:v>
                </c:pt>
                <c:pt idx="22">
                  <c:v>3.0384641939675406E-4</c:v>
                </c:pt>
                <c:pt idx="23">
                  <c:v>2.3411328149851911E-4</c:v>
                </c:pt>
                <c:pt idx="24">
                  <c:v>1.8369014194985123E-4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0.30941474619172743</c:v>
                </c:pt>
                <c:pt idx="1">
                  <c:v>0.23164538762209794</c:v>
                </c:pt>
                <c:pt idx="2">
                  <c:v>0.16280578057791126</c:v>
                </c:pt>
                <c:pt idx="3">
                  <c:v>0.10840970275292147</c:v>
                </c:pt>
                <c:pt idx="4">
                  <c:v>6.937871422465812E-2</c:v>
                </c:pt>
                <c:pt idx="5">
                  <c:v>4.3324737439883736E-2</c:v>
                </c:pt>
                <c:pt idx="6">
                  <c:v>2.6721272884753681E-2</c:v>
                </c:pt>
                <c:pt idx="7">
                  <c:v>1.6420291133181494E-2</c:v>
                </c:pt>
                <c:pt idx="8">
                  <c:v>1.0136943003276229E-2</c:v>
                </c:pt>
                <c:pt idx="9">
                  <c:v>6.348195586801479E-3</c:v>
                </c:pt>
                <c:pt idx="10">
                  <c:v>4.0709738595080935E-3</c:v>
                </c:pt>
                <c:pt idx="11">
                  <c:v>2.6897905291904797E-3</c:v>
                </c:pt>
                <c:pt idx="12">
                  <c:v>1.8348635368169038E-3</c:v>
                </c:pt>
                <c:pt idx="13">
                  <c:v>1.2931904634132421E-3</c:v>
                </c:pt>
                <c:pt idx="14">
                  <c:v>9.4656876885311925E-4</c:v>
                </c:pt>
                <c:pt idx="15">
                  <c:v>7.2965850926054107E-4</c:v>
                </c:pt>
                <c:pt idx="16">
                  <c:v>6.0146988029842604E-4</c:v>
                </c:pt>
                <c:pt idx="17">
                  <c:v>5.2892000844927687E-4</c:v>
                </c:pt>
                <c:pt idx="18">
                  <c:v>4.8255624564538124E-4</c:v>
                </c:pt>
                <c:pt idx="19">
                  <c:v>4.4028924251342857E-4</c:v>
                </c:pt>
                <c:pt idx="20">
                  <c:v>3.9153493423670495E-4</c:v>
                </c:pt>
                <c:pt idx="21">
                  <c:v>3.3634229122905818E-4</c:v>
                </c:pt>
                <c:pt idx="22">
                  <c:v>2.7988510860067338E-4</c:v>
                </c:pt>
                <c:pt idx="23">
                  <c:v>2.2670352990179237E-4</c:v>
                </c:pt>
                <c:pt idx="24">
                  <c:v>1.7837108915983092E-4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0.36309550460655332</c:v>
                </c:pt>
                <c:pt idx="1">
                  <c:v>0.26000463345475183</c:v>
                </c:pt>
                <c:pt idx="2">
                  <c:v>0.17004222502162575</c:v>
                </c:pt>
                <c:pt idx="3">
                  <c:v>0.10138058370958576</c:v>
                </c:pt>
                <c:pt idx="4">
                  <c:v>5.5296472176126994E-2</c:v>
                </c:pt>
                <c:pt idx="5">
                  <c:v>2.7815369603808138E-2</c:v>
                </c:pt>
                <c:pt idx="6">
                  <c:v>1.3022411092190345E-2</c:v>
                </c:pt>
                <c:pt idx="7">
                  <c:v>5.6996678616760147E-3</c:v>
                </c:pt>
                <c:pt idx="8">
                  <c:v>2.323161878663453E-3</c:v>
                </c:pt>
                <c:pt idx="9">
                  <c:v>8.7480597715501411E-4</c:v>
                </c:pt>
                <c:pt idx="10">
                  <c:v>3.0402948795389939E-4</c:v>
                </c:pt>
                <c:pt idx="11">
                  <c:v>9.8856837612472848E-5</c:v>
                </c:pt>
                <c:pt idx="12">
                  <c:v>3.0569617606773135E-5</c:v>
                </c:pt>
                <c:pt idx="13">
                  <c:v>8.8730460595927832E-6</c:v>
                </c:pt>
                <c:pt idx="14">
                  <c:v>2.2793336545425837E-6</c:v>
                </c:pt>
                <c:pt idx="15">
                  <c:v>4.7559613498872901E-7</c:v>
                </c:pt>
                <c:pt idx="16">
                  <c:v>7.3105810396048974E-8</c:v>
                </c:pt>
                <c:pt idx="17">
                  <c:v>7.246518373751367E-9</c:v>
                </c:pt>
                <c:pt idx="18">
                  <c:v>3.4651268502323782E-10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0.36816751297753314</c:v>
                </c:pt>
                <c:pt idx="1">
                  <c:v>0.26030408174802588</c:v>
                </c:pt>
                <c:pt idx="2">
                  <c:v>0.16728631053907306</c:v>
                </c:pt>
                <c:pt idx="3">
                  <c:v>9.7899805704359674E-2</c:v>
                </c:pt>
                <c:pt idx="4">
                  <c:v>5.278912023968494E-2</c:v>
                </c:pt>
                <c:pt idx="5">
                  <c:v>2.684177197009666E-2</c:v>
                </c:pt>
                <c:pt idx="6">
                  <c:v>1.3285984161408243E-2</c:v>
                </c:pt>
                <c:pt idx="7">
                  <c:v>6.5972579204919262E-3</c:v>
                </c:pt>
                <c:pt idx="8">
                  <c:v>3.3367422285178619E-3</c:v>
                </c:pt>
                <c:pt idx="9">
                  <c:v>1.7121513302160633E-3</c:v>
                </c:pt>
                <c:pt idx="10">
                  <c:v>8.7755545541221252E-4</c:v>
                </c:pt>
                <c:pt idx="11">
                  <c:v>4.4278988072775165E-4</c:v>
                </c:pt>
                <c:pt idx="12">
                  <c:v>2.2000838666613417E-4</c:v>
                </c:pt>
                <c:pt idx="13">
                  <c:v>1.1048597455392092E-4</c:v>
                </c:pt>
                <c:pt idx="14">
                  <c:v>5.8422355599434661E-5</c:v>
                </c:pt>
                <c:pt idx="15">
                  <c:v>3.2893772257801765E-5</c:v>
                </c:pt>
                <c:pt idx="16">
                  <c:v>1.8838370444194107E-5</c:v>
                </c:pt>
                <c:pt idx="17">
                  <c:v>1.0232135200497487E-5</c:v>
                </c:pt>
                <c:pt idx="18">
                  <c:v>4.9762205114101319E-6</c:v>
                </c:pt>
                <c:pt idx="19">
                  <c:v>2.0810317529599302E-6</c:v>
                </c:pt>
                <c:pt idx="20">
                  <c:v>7.2412548380243072E-7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33.252109217104618</c:v>
                </c:pt>
                <c:pt idx="1">
                  <c:v>158.41345237207901</c:v>
                </c:pt>
                <c:pt idx="2">
                  <c:v>414.64091576247546</c:v>
                </c:pt>
                <c:pt idx="3">
                  <c:v>1127.8032489717348</c:v>
                </c:pt>
                <c:pt idx="4">
                  <c:v>3011.0534614547887</c:v>
                </c:pt>
                <c:pt idx="5">
                  <c:v>7243.9833765006351</c:v>
                </c:pt>
                <c:pt idx="6">
                  <c:v>15210.909438210569</c:v>
                </c:pt>
                <c:pt idx="7">
                  <c:v>27753.275754332637</c:v>
                </c:pt>
                <c:pt idx="8">
                  <c:v>44185.915597944091</c:v>
                </c:pt>
                <c:pt idx="9">
                  <c:v>61771.67590803506</c:v>
                </c:pt>
                <c:pt idx="10">
                  <c:v>76321.437884541272</c:v>
                </c:pt>
                <c:pt idx="11">
                  <c:v>83882.224035712614</c:v>
                </c:pt>
                <c:pt idx="12">
                  <c:v>82587.170943849313</c:v>
                </c:pt>
                <c:pt idx="13">
                  <c:v>73478.875248183409</c:v>
                </c:pt>
                <c:pt idx="14">
                  <c:v>59799.729142740973</c:v>
                </c:pt>
                <c:pt idx="15">
                  <c:v>45315.28675596157</c:v>
                </c:pt>
                <c:pt idx="16">
                  <c:v>32787.347021049471</c:v>
                </c:pt>
                <c:pt idx="17">
                  <c:v>23369.294904418621</c:v>
                </c:pt>
                <c:pt idx="18">
                  <c:v>16915.518706749746</c:v>
                </c:pt>
                <c:pt idx="19">
                  <c:v>12681.627450743517</c:v>
                </c:pt>
                <c:pt idx="20">
                  <c:v>9903.8495233550293</c:v>
                </c:pt>
                <c:pt idx="21">
                  <c:v>8052.0465859863798</c:v>
                </c:pt>
                <c:pt idx="22">
                  <c:v>6822.8796392853737</c:v>
                </c:pt>
                <c:pt idx="23">
                  <c:v>6036.0003905547601</c:v>
                </c:pt>
                <c:pt idx="24">
                  <c:v>5554.2728570891586</c:v>
                </c:pt>
                <c:pt idx="25">
                  <c:v>5263.4280757372662</c:v>
                </c:pt>
                <c:pt idx="26">
                  <c:v>5084.9849807632409</c:v>
                </c:pt>
                <c:pt idx="27">
                  <c:v>4981.1067801394183</c:v>
                </c:pt>
                <c:pt idx="28">
                  <c:v>4931.801792833432</c:v>
                </c:pt>
                <c:pt idx="29">
                  <c:v>4898.8352195224143</c:v>
                </c:pt>
                <c:pt idx="30">
                  <c:v>4810.1589183259648</c:v>
                </c:pt>
                <c:pt idx="31">
                  <c:v>4586.7026958828155</c:v>
                </c:pt>
                <c:pt idx="32">
                  <c:v>4195.1065312268011</c:v>
                </c:pt>
                <c:pt idx="33">
                  <c:v>3678.2102023509005</c:v>
                </c:pt>
                <c:pt idx="34">
                  <c:v>3128.1214032846005</c:v>
                </c:pt>
                <c:pt idx="35">
                  <c:v>2621.0374878606076</c:v>
                </c:pt>
                <c:pt idx="36">
                  <c:v>2172.7274651908551</c:v>
                </c:pt>
                <c:pt idx="37">
                  <c:v>1752.2070095077397</c:v>
                </c:pt>
                <c:pt idx="38">
                  <c:v>1332.2940994430458</c:v>
                </c:pt>
                <c:pt idx="39">
                  <c:v>924.6098696046505</c:v>
                </c:pt>
                <c:pt idx="40">
                  <c:v>570.97929450434901</c:v>
                </c:pt>
                <c:pt idx="41">
                  <c:v>308.63725335188138</c:v>
                </c:pt>
                <c:pt idx="42">
                  <c:v>145.0632535224299</c:v>
                </c:pt>
                <c:pt idx="43">
                  <c:v>59.665805282425886</c:v>
                </c:pt>
                <c:pt idx="44">
                  <c:v>22.007365009532545</c:v>
                </c:pt>
                <c:pt idx="45">
                  <c:v>7.5690124003496395</c:v>
                </c:pt>
                <c:pt idx="46">
                  <c:v>2.488912572074502</c:v>
                </c:pt>
                <c:pt idx="47">
                  <c:v>0.76215270274469782</c:v>
                </c:pt>
                <c:pt idx="48">
                  <c:v>0.20196600805683892</c:v>
                </c:pt>
                <c:pt idx="49">
                  <c:v>4.1859371191226347E-2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3.8800589823722853</c:v>
                </c:pt>
                <c:pt idx="2">
                  <c:v>6.5841558886466158</c:v>
                </c:pt>
                <c:pt idx="3">
                  <c:v>7.5746084498600306</c:v>
                </c:pt>
                <c:pt idx="4">
                  <c:v>7.2727811017920931</c:v>
                </c:pt>
                <c:pt idx="5">
                  <c:v>7.6503792779090949</c:v>
                </c:pt>
                <c:pt idx="6">
                  <c:v>14.971829899058152</c:v>
                </c:pt>
                <c:pt idx="7">
                  <c:v>47.413147782920824</c:v>
                </c:pt>
                <c:pt idx="8">
                  <c:v>148.46758568085153</c:v>
                </c:pt>
                <c:pt idx="9">
                  <c:v>399.47071066966453</c:v>
                </c:pt>
                <c:pt idx="10">
                  <c:v>914.48047773527867</c:v>
                </c:pt>
                <c:pt idx="11">
                  <c:v>1804.1308465892832</c:v>
                </c:pt>
                <c:pt idx="12">
                  <c:v>3123.9166733287693</c:v>
                </c:pt>
                <c:pt idx="13">
                  <c:v>4850.9216124041704</c:v>
                </c:pt>
                <c:pt idx="14">
                  <c:v>6911.6873803948265</c:v>
                </c:pt>
                <c:pt idx="15">
                  <c:v>9224.6222129276066</c:v>
                </c:pt>
                <c:pt idx="16">
                  <c:v>11722.79599537596</c:v>
                </c:pt>
                <c:pt idx="17">
                  <c:v>14425.895775305158</c:v>
                </c:pt>
                <c:pt idx="18">
                  <c:v>17672.208895297699</c:v>
                </c:pt>
                <c:pt idx="19">
                  <c:v>22411.200939217881</c:v>
                </c:pt>
                <c:pt idx="20">
                  <c:v>30125.863464117097</c:v>
                </c:pt>
                <c:pt idx="21">
                  <c:v>41972.076905432878</c:v>
                </c:pt>
                <c:pt idx="22">
                  <c:v>57377.091817188018</c:v>
                </c:pt>
                <c:pt idx="23">
                  <c:v>73187.604897987854</c:v>
                </c:pt>
                <c:pt idx="24">
                  <c:v>84515.780160923445</c:v>
                </c:pt>
                <c:pt idx="25">
                  <c:v>87217.133325601812</c:v>
                </c:pt>
                <c:pt idx="26">
                  <c:v>80347.618433336072</c:v>
                </c:pt>
                <c:pt idx="27">
                  <c:v>66658.582182442347</c:v>
                </c:pt>
                <c:pt idx="28">
                  <c:v>50758.765273264326</c:v>
                </c:pt>
                <c:pt idx="29">
                  <c:v>36522.477714831955</c:v>
                </c:pt>
                <c:pt idx="30">
                  <c:v>25680.158517454151</c:v>
                </c:pt>
                <c:pt idx="31">
                  <c:v>18128.448695248822</c:v>
                </c:pt>
                <c:pt idx="32">
                  <c:v>13030.669753888742</c:v>
                </c:pt>
                <c:pt idx="33">
                  <c:v>9609.866458501423</c:v>
                </c:pt>
                <c:pt idx="34">
                  <c:v>7328.7805437372544</c:v>
                </c:pt>
                <c:pt idx="35">
                  <c:v>5783.2256863399689</c:v>
                </c:pt>
                <c:pt idx="36">
                  <c:v>4644.8836996123255</c:v>
                </c:pt>
                <c:pt idx="37">
                  <c:v>3709.1098043647303</c:v>
                </c:pt>
                <c:pt idx="38">
                  <c:v>2933.1862971403471</c:v>
                </c:pt>
                <c:pt idx="39">
                  <c:v>2375.9378501020615</c:v>
                </c:pt>
                <c:pt idx="40">
                  <c:v>2066.8885531710139</c:v>
                </c:pt>
                <c:pt idx="41">
                  <c:v>1917.8899488100144</c:v>
                </c:pt>
                <c:pt idx="42">
                  <c:v>1761.053590645347</c:v>
                </c:pt>
                <c:pt idx="43">
                  <c:v>1474.0803675946163</c:v>
                </c:pt>
                <c:pt idx="44">
                  <c:v>1066.1243191200329</c:v>
                </c:pt>
                <c:pt idx="45">
                  <c:v>646.12409446869106</c:v>
                </c:pt>
                <c:pt idx="46">
                  <c:v>321.33705091002662</c:v>
                </c:pt>
                <c:pt idx="47">
                  <c:v>128.53298971251175</c:v>
                </c:pt>
                <c:pt idx="48">
                  <c:v>40.309881639434685</c:v>
                </c:pt>
                <c:pt idx="49">
                  <c:v>9.3871625047772973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99.052388544717346</c:v>
                </c:pt>
                <c:pt idx="1">
                  <c:v>100.27904348079321</c:v>
                </c:pt>
                <c:pt idx="2">
                  <c:v>91.835550490404898</c:v>
                </c:pt>
                <c:pt idx="3">
                  <c:v>74.147854357858094</c:v>
                </c:pt>
                <c:pt idx="4">
                  <c:v>59.674714171496582</c:v>
                </c:pt>
                <c:pt idx="5">
                  <c:v>67.464817525127458</c:v>
                </c:pt>
                <c:pt idx="6">
                  <c:v>116.33643949718972</c:v>
                </c:pt>
                <c:pt idx="7">
                  <c:v>219.47927841350682</c:v>
                </c:pt>
                <c:pt idx="8">
                  <c:v>381.04016846320781</c:v>
                </c:pt>
                <c:pt idx="9">
                  <c:v>599.62984436473175</c:v>
                </c:pt>
                <c:pt idx="10">
                  <c:v>884.78650429384356</c:v>
                </c:pt>
                <c:pt idx="11">
                  <c:v>1279.1902657630646</c:v>
                </c:pt>
                <c:pt idx="12">
                  <c:v>1862.0107981304752</c:v>
                </c:pt>
                <c:pt idx="13">
                  <c:v>2716.4287602776822</c:v>
                </c:pt>
                <c:pt idx="14">
                  <c:v>3889.5245525498699</c:v>
                </c:pt>
                <c:pt idx="15">
                  <c:v>5416.0173303215352</c:v>
                </c:pt>
                <c:pt idx="16">
                  <c:v>7447.9908988141287</c:v>
                </c:pt>
                <c:pt idx="17">
                  <c:v>10412.258592248443</c:v>
                </c:pt>
                <c:pt idx="18">
                  <c:v>15008.320344077774</c:v>
                </c:pt>
                <c:pt idx="19">
                  <c:v>21924.297094332556</c:v>
                </c:pt>
                <c:pt idx="20">
                  <c:v>31396.386984485856</c:v>
                </c:pt>
                <c:pt idx="21">
                  <c:v>42913.731173421591</c:v>
                </c:pt>
                <c:pt idx="22">
                  <c:v>55227.072945094471</c:v>
                </c:pt>
                <c:pt idx="23">
                  <c:v>66532.694738195263</c:v>
                </c:pt>
                <c:pt idx="24">
                  <c:v>74707.401528163347</c:v>
                </c:pt>
                <c:pt idx="25">
                  <c:v>77744.585856346763</c:v>
                </c:pt>
                <c:pt idx="26">
                  <c:v>74519.993668610012</c:v>
                </c:pt>
                <c:pt idx="27">
                  <c:v>65518.048820894313</c:v>
                </c:pt>
                <c:pt idx="28">
                  <c:v>52851.609239625002</c:v>
                </c:pt>
                <c:pt idx="29">
                  <c:v>39382.147677882022</c:v>
                </c:pt>
                <c:pt idx="30">
                  <c:v>27526.001576457857</c:v>
                </c:pt>
                <c:pt idx="31">
                  <c:v>18528.842018656407</c:v>
                </c:pt>
                <c:pt idx="32">
                  <c:v>12482.736462003953</c:v>
                </c:pt>
                <c:pt idx="33">
                  <c:v>8793.6120893712068</c:v>
                </c:pt>
                <c:pt idx="34">
                  <c:v>6675.5364063694187</c:v>
                </c:pt>
                <c:pt idx="35">
                  <c:v>5455.9266095939229</c:v>
                </c:pt>
                <c:pt idx="36">
                  <c:v>4689.8600763029654</c:v>
                </c:pt>
                <c:pt idx="37">
                  <c:v>4150.058466518446</c:v>
                </c:pt>
                <c:pt idx="38">
                  <c:v>3745.7462145422046</c:v>
                </c:pt>
                <c:pt idx="39">
                  <c:v>3421.4723825919391</c:v>
                </c:pt>
                <c:pt idx="40">
                  <c:v>3097.1520180234706</c:v>
                </c:pt>
                <c:pt idx="41">
                  <c:v>2683.6879446283288</c:v>
                </c:pt>
                <c:pt idx="42">
                  <c:v>2144.1068350418932</c:v>
                </c:pt>
                <c:pt idx="43">
                  <c:v>1529.8566043535336</c:v>
                </c:pt>
                <c:pt idx="44">
                  <c:v>950.68539543432144</c:v>
                </c:pt>
                <c:pt idx="45">
                  <c:v>503.85948146679004</c:v>
                </c:pt>
                <c:pt idx="46">
                  <c:v>223.22117805625226</c:v>
                </c:pt>
                <c:pt idx="47">
                  <c:v>80.822014568216488</c:v>
                </c:pt>
                <c:pt idx="48">
                  <c:v>23.236472285531885</c:v>
                </c:pt>
                <c:pt idx="49">
                  <c:v>5.0167104373071876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abSelected="1" topLeftCell="D43" workbookViewId="0">
      <selection activeCell="AA80" sqref="AA80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2213.0</v>
      </c>
      <c r="J8" s="9" t="n">
        <v>27.0</v>
      </c>
      <c r="K8" s="9" t="n">
        <v>9202.0</v>
      </c>
      <c r="L8" s="9" t="n">
        <v>52.0</v>
      </c>
      <c r="M8">
        <f>SUM(I8:L8)</f>
        <v>9717.7428878120554</v>
      </c>
      <c r="O8" s="5"/>
      <c r="P8" s="16"/>
      <c r="Q8" s="16"/>
      <c r="R8" s="5"/>
    </row>
    <row r="9" spans="1:18" x14ac:dyDescent="0.25">
      <c r="A9" s="12">
        <v>0.125</v>
      </c>
      <c r="B9" s="6" t="n">
        <v>3793.6826660477063</v>
      </c>
      <c r="C9" s="6" t="n">
        <v>105.52976483861443</v>
      </c>
      <c r="D9" s="6" t="n">
        <v>1677.8350168269785</v>
      </c>
      <c r="E9" s="6" t="n">
        <v>4.211875815772134</v>
      </c>
      <c r="F9" s="6">
        <f ref="F9:F58" si="0" t="shared">SUM(B9:E9)</f>
        <v>5581.2593235290715</v>
      </c>
      <c r="H9" s="12">
        <v>0.125</v>
      </c>
      <c r="I9" s="9" t="n">
        <v>6126.475638389587</v>
      </c>
      <c r="J9" s="9" t="n">
        <v>113.64398765563965</v>
      </c>
      <c r="K9" s="9" t="n">
        <v>9299.81950378418</v>
      </c>
      <c r="L9" s="9" t="n">
        <v>75.6092300415039</v>
      </c>
      <c r="M9">
        <f ref="M9:M58" si="1" t="shared">SUM(I9:L9)</f>
        <v>14510.743468005132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8974.584948784635</v>
      </c>
      <c r="C10" s="6" t="n">
        <v>364.2928693830913</v>
      </c>
      <c r="D10" s="6" t="n">
        <v>3426.621816331566</v>
      </c>
      <c r="E10" s="6" t="n">
        <v>11.964854599680523</v>
      </c>
      <c r="F10" s="6">
        <f si="0" t="shared"/>
        <v>12777.464489098973</v>
      </c>
      <c r="H10" s="12">
        <v>0.14583333333333334</v>
      </c>
      <c r="I10" s="9" t="n">
        <v>10708.88012123108</v>
      </c>
      <c r="J10" s="9" t="n">
        <v>321.75324153900146</v>
      </c>
      <c r="K10" s="9" t="n">
        <v>9441.355325698853</v>
      </c>
      <c r="L10" s="9" t="n">
        <v>107.26566219329834</v>
      </c>
      <c r="M10">
        <f si="1" t="shared"/>
        <v>19629.890948344426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17041.454965692043</v>
      </c>
      <c r="C11" s="6" t="n">
        <v>1185.0587792860122</v>
      </c>
      <c r="D11" s="6" t="n">
        <v>5394.283580855015</v>
      </c>
      <c r="E11" s="6" t="n">
        <v>28.34966783351167</v>
      </c>
      <c r="F11" s="6">
        <f si="0" t="shared"/>
        <v>23649.146993666582</v>
      </c>
      <c r="H11" s="12">
        <v>0.16666666666666666</v>
      </c>
      <c r="I11" s="9" t="n">
        <v>17082.03893184662</v>
      </c>
      <c r="J11" s="9" t="n">
        <v>937.4899597167969</v>
      </c>
      <c r="K11" s="9" t="n">
        <v>9934.987140655518</v>
      </c>
      <c r="L11" s="9" t="n">
        <v>157.04267120361328</v>
      </c>
      <c r="M11">
        <f si="1" t="shared"/>
        <v>26521.11172121028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29497.171009064747</v>
      </c>
      <c r="C12" s="6" t="n">
        <v>3528.407478515249</v>
      </c>
      <c r="D12" s="6" t="n">
        <v>7905.273618366984</v>
      </c>
      <c r="E12" s="6" t="n">
        <v>61.626056565615706</v>
      </c>
      <c r="F12" s="6">
        <f si="0" t="shared"/>
        <v>40992.478162512591</v>
      </c>
      <c r="H12" s="12">
        <v>0.1875</v>
      </c>
      <c r="I12" s="9" t="n">
        <v>27005.354553222656</v>
      </c>
      <c r="J12" s="9" t="n">
        <v>2582.3107137680054</v>
      </c>
      <c r="K12" s="9" t="n">
        <v>11446.542589187622</v>
      </c>
      <c r="L12" s="9" t="n">
        <v>237.2017469406128</v>
      </c>
      <c r="M12">
        <f si="1" t="shared"/>
        <v>38214.611211483301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47451.613358595845</v>
      </c>
      <c r="C13" s="6" t="n">
        <v>9064.659125549944</v>
      </c>
      <c r="D13" s="6" t="n">
        <v>11555.559792405105</v>
      </c>
      <c r="E13" s="6" t="n">
        <v>124.9567871652495</v>
      </c>
      <c r="F13" s="6">
        <f si="0" t="shared"/>
        <v>68196.789063716147</v>
      </c>
      <c r="H13" s="12">
        <v>0.20833333333333334</v>
      </c>
      <c r="I13" s="9" t="n">
        <v>42509.13000679016</v>
      </c>
      <c r="J13" s="9" t="n">
        <v>6292.218431472778</v>
      </c>
      <c r="K13" s="9" t="n">
        <v>14843.684906959534</v>
      </c>
      <c r="L13" s="9" t="n">
        <v>362.7202196121216</v>
      </c>
      <c r="M13">
        <f si="1" t="shared"/>
        <v>58736.581202774643</v>
      </c>
    </row>
    <row r="14" spans="1:18" x14ac:dyDescent="0.25">
      <c r="A14" s="12">
        <v>0.22916666666666666</v>
      </c>
      <c r="B14" s="6" t="n">
        <v>71007.56561057031</v>
      </c>
      <c r="C14" s="6" t="n">
        <v>19777.75272275444</v>
      </c>
      <c r="D14" s="6" t="n">
        <v>17219.364073966583</v>
      </c>
      <c r="E14" s="6" t="n">
        <v>238.79640381460743</v>
      </c>
      <c r="F14" s="6">
        <f si="0" t="shared"/>
        <v>108243.47881110593</v>
      </c>
      <c r="H14" s="12">
        <v>0.22916666666666666</v>
      </c>
      <c r="I14" s="9" t="n">
        <v>64898.68228816986</v>
      </c>
      <c r="J14" s="9" t="n">
        <v>13297.871548652649</v>
      </c>
      <c r="K14" s="9" t="n">
        <v>20869.387192726135</v>
      </c>
      <c r="L14" s="9" t="n">
        <v>556.2493333816528</v>
      </c>
      <c r="M14">
        <f si="1" t="shared"/>
        <v>91486.760274535132</v>
      </c>
    </row>
    <row r="15" spans="1:18" x14ac:dyDescent="0.25">
      <c r="A15" s="12">
        <v>0.25</v>
      </c>
      <c r="B15" s="6" t="n">
        <v>98587.1440617746</v>
      </c>
      <c r="C15" s="6" t="n">
        <v>36749.393180929255</v>
      </c>
      <c r="D15" s="6" t="n">
        <v>25869.056664747368</v>
      </c>
      <c r="E15" s="6" t="n">
        <v>433.9868565664126</v>
      </c>
      <c r="F15" s="6">
        <f si="0" t="shared"/>
        <v>161639.58076401762</v>
      </c>
      <c r="H15" s="12">
        <v>0.25</v>
      </c>
      <c r="I15" s="9" t="n">
        <v>93516.45717811584</v>
      </c>
      <c r="J15" s="9" t="n">
        <v>24367.726488113403</v>
      </c>
      <c r="K15" s="9" t="n">
        <v>29839.337476730347</v>
      </c>
      <c r="L15" s="9" t="n">
        <v>856.1555128097534</v>
      </c>
      <c r="M15">
        <f si="1" t="shared"/>
        <v>137110.50309466335</v>
      </c>
    </row>
    <row r="16" spans="1:18" x14ac:dyDescent="0.25">
      <c r="A16" s="12">
        <v>0.27083333333333331</v>
      </c>
      <c r="B16" s="6" t="n">
        <v>126522.80566556758</v>
      </c>
      <c r="C16" s="6" t="n">
        <v>58598.28193611851</v>
      </c>
      <c r="D16" s="6" t="n">
        <v>38165.72983431339</v>
      </c>
      <c r="E16" s="6" t="n">
        <v>751.8640061457884</v>
      </c>
      <c r="F16" s="6">
        <f si="0" t="shared"/>
        <v>224038.68144214526</v>
      </c>
      <c r="H16" s="12">
        <v>0.27083333333333331</v>
      </c>
      <c r="I16" s="9" t="n">
        <v>125021.20082855225</v>
      </c>
      <c r="J16" s="9" t="n">
        <v>38928.15739917755</v>
      </c>
      <c r="K16" s="9" t="n">
        <v>41532.29450798035</v>
      </c>
      <c r="L16" s="9" t="n">
        <v>1318.8444890975952</v>
      </c>
      <c r="M16">
        <f si="1" t="shared"/>
        <v>191878.43856468023</v>
      </c>
    </row>
    <row r="17" spans="1:13" x14ac:dyDescent="0.25">
      <c r="A17" s="12">
        <v>0.29166666666666669</v>
      </c>
      <c r="B17" s="6" t="n">
        <v>149467.0045952254</v>
      </c>
      <c r="C17" s="6" t="n">
        <v>80827.84433977971</v>
      </c>
      <c r="D17" s="6" t="n">
        <v>53922.25276577292</v>
      </c>
      <c r="E17" s="6" t="n">
        <v>1234.5857169203505</v>
      </c>
      <c r="F17" s="6">
        <f si="0" t="shared"/>
        <v>285451.68741769833</v>
      </c>
      <c r="H17" s="12">
        <v>0.29166666666666669</v>
      </c>
      <c r="I17" s="9" t="n">
        <v>153830.44210624695</v>
      </c>
      <c r="J17" s="9" t="n">
        <v>54577.02822589874</v>
      </c>
      <c r="K17" s="9" t="n">
        <v>55277.16314315796</v>
      </c>
      <c r="L17" s="9" t="n">
        <v>2010.226879119873</v>
      </c>
      <c r="M17">
        <f si="1" t="shared"/>
        <v>247698.20812890946</v>
      </c>
    </row>
    <row r="18" spans="1:13" x14ac:dyDescent="0.25">
      <c r="A18" s="12">
        <v>0.3125</v>
      </c>
      <c r="B18" s="6" t="n">
        <v>162009.83894761367</v>
      </c>
      <c r="C18" s="6" t="n">
        <v>97133.93749676671</v>
      </c>
      <c r="D18" s="6" t="n">
        <v>71739.45125151763</v>
      </c>
      <c r="E18" s="6" t="n">
        <v>1906.594945917851</v>
      </c>
      <c r="F18" s="6">
        <f si="0" t="shared"/>
        <v>332789.82264181587</v>
      </c>
      <c r="H18" s="12">
        <v>0.3125</v>
      </c>
      <c r="I18" s="9" t="n">
        <v>173776.44886112213</v>
      </c>
      <c r="J18" s="9" t="n">
        <v>67595.25081729889</v>
      </c>
      <c r="K18" s="9" t="n">
        <v>70090.78332519531</v>
      </c>
      <c r="L18" s="9" t="n">
        <v>2996.8674097061157</v>
      </c>
      <c r="M18">
        <f si="1" t="shared"/>
        <v>294270.81253304245</v>
      </c>
    </row>
    <row r="19" spans="1:13" x14ac:dyDescent="0.25">
      <c r="A19" s="12">
        <v>0.33333333333333331</v>
      </c>
      <c r="B19" s="6" t="n">
        <v>161012.65311754154</v>
      </c>
      <c r="C19" s="6" t="n">
        <v>102310.23868560416</v>
      </c>
      <c r="D19" s="6" t="n">
        <v>89196.1627079065</v>
      </c>
      <c r="E19" s="6" t="n">
        <v>2767.0319300754345</v>
      </c>
      <c r="F19" s="6">
        <f si="0" t="shared"/>
        <v>355286.08644112764</v>
      </c>
      <c r="H19" s="12">
        <v>0.33333333333333331</v>
      </c>
      <c r="I19" s="9" t="n">
        <v>180329.10811805725</v>
      </c>
      <c r="J19" s="9" t="n">
        <v>74440.97398090363</v>
      </c>
      <c r="K19" s="9" t="n">
        <v>84744.99326896667</v>
      </c>
      <c r="L19" s="9" t="n">
        <v>4350.116384506226</v>
      </c>
      <c r="M19">
        <f si="1" t="shared"/>
        <v>322709.43122393254</v>
      </c>
    </row>
    <row r="20" spans="1:13" x14ac:dyDescent="0.25">
      <c r="A20" s="12">
        <v>0.35416666666666669</v>
      </c>
      <c r="B20" s="6" t="n">
        <v>147226.30907580975</v>
      </c>
      <c r="C20" s="6" t="n">
        <v>94943.02140415946</v>
      </c>
      <c r="D20" s="6" t="n">
        <v>103704.3757790724</v>
      </c>
      <c r="E20" s="6" t="n">
        <v>3821.2816847476483</v>
      </c>
      <c r="F20" s="6">
        <f si="0" t="shared"/>
        <v>349694.98794378928</v>
      </c>
      <c r="H20" s="12">
        <v>0.35416666666666669</v>
      </c>
      <c r="I20" s="9" t="n">
        <v>172365.47240924835</v>
      </c>
      <c r="J20" s="9" t="n">
        <v>73409.66435337067</v>
      </c>
      <c r="K20" s="9" t="n">
        <v>97813.10135650635</v>
      </c>
      <c r="L20" s="9" t="n">
        <v>6148.233805656433</v>
      </c>
      <c r="M20">
        <f si="1" t="shared"/>
        <v>328902.73603854503</v>
      </c>
    </row>
    <row r="21" spans="1:13" x14ac:dyDescent="0.25">
      <c r="A21" s="12">
        <v>0.375</v>
      </c>
      <c r="B21" s="6" t="n">
        <v>124948.25275344233</v>
      </c>
      <c r="C21" s="6" t="n">
        <v>78053.76492307658</v>
      </c>
      <c r="D21" s="6" t="n">
        <v>113587.937927466</v>
      </c>
      <c r="E21" s="6" t="n">
        <v>5150.402409732301</v>
      </c>
      <c r="F21" s="6">
        <f si="0" t="shared"/>
        <v>321740.35801371717</v>
      </c>
      <c r="H21" s="12">
        <v>0.375</v>
      </c>
      <c r="I21" s="9" t="n">
        <v>152619.89100646973</v>
      </c>
      <c r="J21" s="9" t="n">
        <v>65390.554465293884</v>
      </c>
      <c r="K21" s="9" t="n">
        <v>107860.03251552582</v>
      </c>
      <c r="L21" s="9" t="n">
        <v>8438.199620246887</v>
      </c>
      <c r="M21">
        <f si="1" t="shared"/>
        <v>314851.82610130822</v>
      </c>
    </row>
    <row r="22" spans="1:13" x14ac:dyDescent="0.25">
      <c r="A22" s="12">
        <v>0.39583333333333331</v>
      </c>
      <c r="B22" s="6" t="n">
        <v>99908.36168226504</v>
      </c>
      <c r="C22" s="6" t="n">
        <v>57331.4867808812</v>
      </c>
      <c r="D22" s="6" t="n">
        <v>118634.66887457907</v>
      </c>
      <c r="E22" s="6" t="n">
        <v>6953.889002945793</v>
      </c>
      <c r="F22" s="6">
        <f si="0" t="shared"/>
        <v>282828.40634067112</v>
      </c>
      <c r="H22" s="12">
        <v>0.39583333333333331</v>
      </c>
      <c r="I22" s="9" t="n">
        <v>126563.43835926056</v>
      </c>
      <c r="J22" s="9" t="n">
        <v>53250.540011405945</v>
      </c>
      <c r="K22" s="9" t="n">
        <v>113840.64142417908</v>
      </c>
      <c r="L22" s="9" t="n">
        <v>11154.237401008606</v>
      </c>
      <c r="M22">
        <f si="1" t="shared"/>
        <v>287326.77463942056</v>
      </c>
    </row>
    <row r="23" spans="1:13" x14ac:dyDescent="0.25">
      <c r="A23" s="12">
        <v>0.41666666666666669</v>
      </c>
      <c r="B23" s="6" t="n">
        <v>76888.16577448336</v>
      </c>
      <c r="C23" s="6" t="n">
        <v>38277.557873405574</v>
      </c>
      <c r="D23" s="6" t="n">
        <v>119767.50346923676</v>
      </c>
      <c r="E23" s="6" t="n">
        <v>9462.896536993876</v>
      </c>
      <c r="F23" s="6">
        <f si="0" t="shared"/>
        <v>244396.12365411958</v>
      </c>
      <c r="H23" s="12">
        <v>0.41666666666666669</v>
      </c>
      <c r="I23" s="9" t="n">
        <v>100242.14841938019</v>
      </c>
      <c r="J23" s="9" t="n">
        <v>40343.407505989075</v>
      </c>
      <c r="K23" s="9" t="n">
        <v>115537.7565574646</v>
      </c>
      <c r="L23" s="9" t="n">
        <v>14055.640164375305</v>
      </c>
      <c r="M23">
        <f si="1" t="shared"/>
        <v>254746.11796006066</v>
      </c>
    </row>
    <row r="24" spans="1:13" x14ac:dyDescent="0.25">
      <c r="A24" s="12">
        <v>0.4375</v>
      </c>
      <c r="B24" s="6" t="n">
        <v>58488.48221658657</v>
      </c>
      <c r="C24" s="6" t="n">
        <v>24096.65269645374</v>
      </c>
      <c r="D24" s="6" t="n">
        <v>118265.29592734177</v>
      </c>
      <c r="E24" s="6" t="n">
        <v>12692.13217839937</v>
      </c>
      <c r="F24" s="6">
        <f si="0" t="shared"/>
        <v>213542.56301878142</v>
      </c>
      <c r="H24" s="12">
        <v>0.4375</v>
      </c>
      <c r="I24" s="9" t="n">
        <v>78134.66240119934</v>
      </c>
      <c r="J24" s="9" t="n">
        <v>29145.293734550476</v>
      </c>
      <c r="K24" s="9" t="n">
        <v>113746.59606170654</v>
      </c>
      <c r="L24" s="9" t="n">
        <v>16747.20477104187</v>
      </c>
      <c r="M24">
        <f si="1" t="shared"/>
        <v>224061.08333404752</v>
      </c>
    </row>
    <row r="25" spans="1:13" x14ac:dyDescent="0.25">
      <c r="A25" s="12">
        <v>0.45833333333333331</v>
      </c>
      <c r="B25" s="6" t="n">
        <v>45272.23303134352</v>
      </c>
      <c r="C25" s="6" t="n">
        <v>15295.438880675942</v>
      </c>
      <c r="D25" s="6" t="n">
        <v>115271.5972564118</v>
      </c>
      <c r="E25" s="6" t="n">
        <v>16182.114053263611</v>
      </c>
      <c r="F25" s="6">
        <f si="0" t="shared"/>
        <v>192021.38322169488</v>
      </c>
      <c r="H25" s="12">
        <v>0.45833333333333331</v>
      </c>
      <c r="I25" s="9" t="n">
        <v>62037.78798866272</v>
      </c>
      <c r="J25" s="9" t="n">
        <v>20709.853083610535</v>
      </c>
      <c r="K25" s="9" t="n">
        <v>110032.7445859909</v>
      </c>
      <c r="L25" s="9" t="n">
        <v>18772.566884994507</v>
      </c>
      <c r="M25">
        <f si="1" t="shared"/>
        <v>199079.2884910384</v>
      </c>
    </row>
    <row r="26" spans="1:13" x14ac:dyDescent="0.25">
      <c r="A26" s="12">
        <v>0.47916666666666669</v>
      </c>
      <c r="B26" s="6" t="n">
        <v>36559.20718336494</v>
      </c>
      <c r="C26" s="6" t="n">
        <v>10630.125770801415</v>
      </c>
      <c r="D26" s="6" t="n">
        <v>111830.14128662035</v>
      </c>
      <c r="E26" s="6" t="n">
        <v>19008.887228717147</v>
      </c>
      <c r="F26" s="6">
        <f si="0" t="shared"/>
        <v>178028.36146950384</v>
      </c>
      <c r="H26" s="12">
        <v>0.47916666666666669</v>
      </c>
      <c r="I26" s="9" t="n">
        <v>51346.755440711975</v>
      </c>
      <c r="J26" s="9" t="n">
        <v>14934.766306877136</v>
      </c>
      <c r="K26" s="9" t="n">
        <v>106153.8560962677</v>
      </c>
      <c r="L26" s="9" t="n">
        <v>19731.079285621643</v>
      </c>
      <c r="M26">
        <f si="1" t="shared"/>
        <v>180548.13992983403</v>
      </c>
    </row>
    <row r="27" spans="1:13" x14ac:dyDescent="0.25">
      <c r="A27" s="12">
        <v>0.5</v>
      </c>
      <c r="B27" s="6" t="n">
        <v>31157.709197137636</v>
      </c>
      <c r="C27" s="6" t="n">
        <v>8375.404834894885</v>
      </c>
      <c r="D27" s="6" t="n">
        <v>109040.23247608582</v>
      </c>
      <c r="E27" s="6" t="n">
        <v>20190.769153367422</v>
      </c>
      <c r="F27" s="6">
        <f si="0" t="shared"/>
        <v>168764.11566148576</v>
      </c>
      <c r="H27" s="12">
        <v>0.5</v>
      </c>
      <c r="I27" s="9" t="n">
        <v>44274.60571479797</v>
      </c>
      <c r="J27" s="9" t="n">
        <v>11173.91318321228</v>
      </c>
      <c r="K27" s="9" t="n">
        <v>103433.90058898926</v>
      </c>
      <c r="L27" s="9" t="n">
        <v>19401.030093193054</v>
      </c>
      <c r="M27">
        <f si="1" t="shared"/>
        <v>167347.72088551839</v>
      </c>
    </row>
    <row r="28" spans="1:13" x14ac:dyDescent="0.25">
      <c r="A28" s="12">
        <v>0.52083333333333337</v>
      </c>
      <c r="B28" s="6" t="n">
        <v>27829.412366755132</v>
      </c>
      <c r="C28" s="6" t="n">
        <v>7156.7603748587135</v>
      </c>
      <c r="D28" s="6" t="n">
        <v>107894.17629745758</v>
      </c>
      <c r="E28" s="6" t="n">
        <v>19256.81580311119</v>
      </c>
      <c r="F28" s="6">
        <f si="0" t="shared"/>
        <v>162137.1648421826</v>
      </c>
      <c r="H28" s="12">
        <v>0.52083333333333337</v>
      </c>
      <c r="I28" s="9" t="n">
        <v>39120.65877342224</v>
      </c>
      <c r="J28" s="9" t="n">
        <v>8746.447538375854</v>
      </c>
      <c r="K28" s="9" t="n">
        <v>102400.89589500427</v>
      </c>
      <c r="L28" s="9" t="n">
        <v>17853.065397262573</v>
      </c>
      <c r="M28">
        <f si="1" t="shared"/>
        <v>157849.63887462366</v>
      </c>
    </row>
    <row r="29" spans="1:13" x14ac:dyDescent="0.25">
      <c r="A29" s="12">
        <v>0.54166666666666663</v>
      </c>
      <c r="B29" s="6" t="n">
        <v>25569.334779206438</v>
      </c>
      <c r="C29" s="6" t="n">
        <v>6215.06451511037</v>
      </c>
      <c r="D29" s="6" t="n">
        <v>108849.32738594798</v>
      </c>
      <c r="E29" s="6" t="n">
        <v>16536.320669446115</v>
      </c>
      <c r="F29" s="6">
        <f si="0" t="shared"/>
        <v>157170.04734971089</v>
      </c>
      <c r="H29" s="12">
        <v>0.54166666666666663</v>
      </c>
      <c r="I29" s="9" t="n">
        <v>34911.2161026001</v>
      </c>
      <c r="J29" s="9" t="n">
        <v>7165.975129127502</v>
      </c>
      <c r="K29" s="9" t="n">
        <v>102856.72453594208</v>
      </c>
      <c r="L29" s="9" t="n">
        <v>15471.225687026978</v>
      </c>
      <c r="M29">
        <f si="1" t="shared"/>
        <v>150797.32115151017</v>
      </c>
    </row>
    <row r="30" spans="1:13" x14ac:dyDescent="0.25">
      <c r="A30" s="12">
        <v>0.5625</v>
      </c>
      <c r="B30" s="6" t="n">
        <v>23731.14625406006</v>
      </c>
      <c r="C30" s="6" t="n">
        <v>5319.076341413452</v>
      </c>
      <c r="D30" s="6" t="n">
        <v>111544.2235609042</v>
      </c>
      <c r="E30" s="6" t="n">
        <v>12945.717997265625</v>
      </c>
      <c r="F30" s="6">
        <f si="0" t="shared"/>
        <v>153540.16415364333</v>
      </c>
      <c r="H30" s="12">
        <v>0.5625</v>
      </c>
      <c r="I30" s="9" t="n">
        <v>31329.38866329193</v>
      </c>
      <c r="J30" s="9" t="n">
        <v>6146.417033195496</v>
      </c>
      <c r="K30" s="9" t="n">
        <v>104309.35586738586</v>
      </c>
      <c r="L30" s="9" t="n">
        <v>12803.850317955017</v>
      </c>
      <c r="M30">
        <f si="1" t="shared"/>
        <v>145569.98214601004</v>
      </c>
    </row>
    <row r="31" spans="1:13" x14ac:dyDescent="0.25">
      <c r="A31" s="12">
        <v>0.58333333333333337</v>
      </c>
      <c r="B31" s="6" t="n">
        <v>21983.08739257719</v>
      </c>
      <c r="C31" s="6" t="n">
        <v>4535.380213414948</v>
      </c>
      <c r="D31" s="6" t="n">
        <v>114976.5011093584</v>
      </c>
      <c r="E31" s="6" t="n">
        <v>9469.646342341457</v>
      </c>
      <c r="F31" s="6">
        <f si="0" t="shared"/>
        <v>150964.61505769202</v>
      </c>
      <c r="H31" s="12">
        <v>0.58333333333333337</v>
      </c>
      <c r="I31" s="9" t="n">
        <v>28315.0979681015</v>
      </c>
      <c r="J31" s="9" t="n">
        <v>5520.431426048279</v>
      </c>
      <c r="K31" s="9" t="n">
        <v>106476.95664215088</v>
      </c>
      <c r="L31" s="9" t="n">
        <v>10314.518874168396</v>
      </c>
      <c r="M31">
        <f si="1" t="shared"/>
        <v>142053.30844998406</v>
      </c>
    </row>
    <row r="32" spans="1:13" x14ac:dyDescent="0.25">
      <c r="A32" s="12">
        <v>0.60416666666666663</v>
      </c>
      <c r="B32" s="6" t="n">
        <v>20177.972583596616</v>
      </c>
      <c r="C32" s="6" t="n">
        <v>3986.4020554690733</v>
      </c>
      <c r="D32" s="6" t="n">
        <v>118128.7627829741</v>
      </c>
      <c r="E32" s="6" t="n">
        <v>6724.706257912542</v>
      </c>
      <c r="F32" s="6">
        <f si="0" t="shared"/>
        <v>149017.84367995232</v>
      </c>
      <c r="H32" s="12">
        <v>0.60416666666666663</v>
      </c>
      <c r="I32" s="9" t="n">
        <v>25763.161447525024</v>
      </c>
      <c r="J32" s="9" t="n">
        <v>5171.641157150269</v>
      </c>
      <c r="K32" s="9" t="n">
        <v>109520.50071048737</v>
      </c>
      <c r="L32" s="9" t="n">
        <v>8221.221185684204</v>
      </c>
      <c r="M32">
        <f si="1" t="shared"/>
        <v>140391.65335137089</v>
      </c>
    </row>
    <row r="33" spans="1:13" x14ac:dyDescent="0.25">
      <c r="A33" s="12">
        <v>0.625</v>
      </c>
      <c r="B33" s="6" t="n">
        <v>18265.530727863777</v>
      </c>
      <c r="C33" s="6" t="n">
        <v>3701.742824797556</v>
      </c>
      <c r="D33" s="6" t="n">
        <v>120714.51504266608</v>
      </c>
      <c r="E33" s="6" t="n">
        <v>4837.466225616373</v>
      </c>
      <c r="F33" s="6">
        <f si="0" t="shared"/>
        <v>147519.25482094378</v>
      </c>
      <c r="H33" s="12">
        <v>0.625</v>
      </c>
      <c r="I33" s="9" t="n">
        <v>23483.35430622101</v>
      </c>
      <c r="J33" s="9" t="n">
        <v>5012.851725578308</v>
      </c>
      <c r="K33" s="9" t="n">
        <v>113856.6714143753</v>
      </c>
      <c r="L33" s="9" t="n">
        <v>6526.872141838074</v>
      </c>
      <c r="M33">
        <f si="1" t="shared"/>
        <v>140741.83828496034</v>
      </c>
    </row>
    <row r="34" spans="1:13" x14ac:dyDescent="0.25">
      <c r="A34" s="12">
        <v>0.64583333333333337</v>
      </c>
      <c r="B34" s="6" t="n">
        <v>16266.817085780338</v>
      </c>
      <c r="C34" s="6" t="n">
        <v>3610.5872139474686</v>
      </c>
      <c r="D34" s="6" t="n">
        <v>123529.51375591886</v>
      </c>
      <c r="E34" s="6" t="n">
        <v>3600.4599470796466</v>
      </c>
      <c r="F34" s="6">
        <f si="0" t="shared"/>
        <v>147007.37800272633</v>
      </c>
      <c r="H34" s="12">
        <v>0.64583333333333337</v>
      </c>
      <c r="I34" s="9" t="n">
        <v>21313.455154418945</v>
      </c>
      <c r="J34" s="9" t="n">
        <v>4991.215452194214</v>
      </c>
      <c r="K34" s="9" t="n">
        <v>119725.76893997192</v>
      </c>
      <c r="L34" s="9" t="n">
        <v>5157.758636474609</v>
      </c>
      <c r="M34">
        <f si="1" t="shared"/>
        <v>143041.4605561858</v>
      </c>
    </row>
    <row r="35" spans="1:13" x14ac:dyDescent="0.25">
      <c r="A35" s="12">
        <v>0.66666666666666663</v>
      </c>
      <c r="B35" s="6" t="n">
        <v>14241.445914698215</v>
      </c>
      <c r="C35" s="6" t="n">
        <v>3613.879892565194</v>
      </c>
      <c r="D35" s="6" t="n">
        <v>127983.02814094759</v>
      </c>
      <c r="E35" s="6" t="n">
        <v>2724.2737674152136</v>
      </c>
      <c r="F35" s="6">
        <f si="0" t="shared"/>
        <v>148562.62771562621</v>
      </c>
      <c r="H35" s="12">
        <v>0.66666666666666663</v>
      </c>
      <c r="I35" s="9" t="n">
        <v>19200.1078414917</v>
      </c>
      <c r="J35" s="9" t="n">
        <v>5085.5244998931885</v>
      </c>
      <c r="K35" s="9" t="n">
        <v>126854.52269363403</v>
      </c>
      <c r="L35" s="9" t="n">
        <v>4062.5083570480347</v>
      </c>
      <c r="M35">
        <f si="1" t="shared"/>
        <v>146833.39580465405</v>
      </c>
    </row>
    <row r="36" spans="1:13" x14ac:dyDescent="0.25">
      <c r="A36" s="12">
        <v>0.6875</v>
      </c>
      <c r="B36" s="6" t="n">
        <v>12233.614387188294</v>
      </c>
      <c r="C36" s="6" t="n">
        <v>3631.137864426072</v>
      </c>
      <c r="D36" s="6" t="n">
        <v>134877.6231737814</v>
      </c>
      <c r="E36" s="6" t="n">
        <v>2016.6320843655408</v>
      </c>
      <c r="F36" s="6">
        <f si="0" t="shared"/>
        <v>152759.00750976132</v>
      </c>
      <c r="H36" s="12">
        <v>0.6875</v>
      </c>
      <c r="I36" s="9" t="n">
        <v>17167.264777183533</v>
      </c>
      <c r="J36" s="9" t="n">
        <v>5277.027232170105</v>
      </c>
      <c r="K36" s="9" t="n">
        <v>134391.4015493393</v>
      </c>
      <c r="L36" s="9" t="n">
        <v>3217.754098892212</v>
      </c>
      <c r="M36">
        <f si="1" t="shared"/>
        <v>151197.48185742003</v>
      </c>
    </row>
    <row r="37" spans="1:13" x14ac:dyDescent="0.25">
      <c r="A37" s="12">
        <v>0.70833333333333337</v>
      </c>
      <c r="B37" s="6" t="n">
        <v>10256.673423279772</v>
      </c>
      <c r="C37" s="6" t="n">
        <v>3590.6313454381043</v>
      </c>
      <c r="D37" s="6" t="n">
        <v>143176.31498076537</v>
      </c>
      <c r="E37" s="6" t="n">
        <v>1421.1936513757878</v>
      </c>
      <c r="F37" s="6">
        <f si="0" t="shared"/>
        <v>158444.81340085904</v>
      </c>
      <c r="H37" s="12">
        <v>0.70833333333333337</v>
      </c>
      <c r="I37" s="9" t="n">
        <v>15228.053921699524</v>
      </c>
      <c r="J37" s="9" t="n">
        <v>5508.058048248291</v>
      </c>
      <c r="K37" s="9" t="n">
        <v>141017.0948123932</v>
      </c>
      <c r="L37" s="9" t="n">
        <v>2590.21786403656</v>
      </c>
      <c r="M37">
        <f si="1" t="shared"/>
        <v>154776.3645870843</v>
      </c>
    </row>
    <row r="38" spans="1:13" x14ac:dyDescent="0.25">
      <c r="A38" s="12">
        <v>0.72916666666666663</v>
      </c>
      <c r="B38" s="6" t="n">
        <v>8334.35084118247</v>
      </c>
      <c r="C38" s="6" t="n">
        <v>3416.9094614557043</v>
      </c>
      <c r="D38" s="6" t="n">
        <v>149759.88982550564</v>
      </c>
      <c r="E38" s="6" t="n">
        <v>956.8394627076291</v>
      </c>
      <c r="F38" s="6">
        <f si="0" t="shared"/>
        <v>162467.98959085144</v>
      </c>
      <c r="H38" s="12">
        <v>0.72916666666666663</v>
      </c>
      <c r="I38" s="9" t="n">
        <v>13340.365732192993</v>
      </c>
      <c r="J38" s="9" t="n">
        <v>5667.4070472717285</v>
      </c>
      <c r="K38" s="9" t="n">
        <v>145124.83520317078</v>
      </c>
      <c r="L38" s="9" t="n">
        <v>2118.664755821228</v>
      </c>
      <c r="M38">
        <f si="1" t="shared"/>
        <v>155920.86731138031</v>
      </c>
    </row>
    <row r="39" spans="1:13" x14ac:dyDescent="0.25">
      <c r="A39" s="12">
        <v>0.75</v>
      </c>
      <c r="B39" s="6" t="n">
        <v>6536.26815480986</v>
      </c>
      <c r="C39" s="6" t="n">
        <v>3058.621519079962</v>
      </c>
      <c r="D39" s="6" t="n">
        <v>150634.92787296767</v>
      </c>
      <c r="E39" s="6" t="n">
        <v>642.7220143462056</v>
      </c>
      <c r="F39" s="6">
        <f si="0" t="shared"/>
        <v>160872.53956120371</v>
      </c>
      <c r="H39" s="12">
        <v>0.75</v>
      </c>
      <c r="I39" s="9" t="n">
        <v>11447.435064315796</v>
      </c>
      <c r="J39" s="9" t="n">
        <v>5630.903475761414</v>
      </c>
      <c r="K39" s="9" t="n">
        <v>145177.52836799622</v>
      </c>
      <c r="L39" s="9" t="n">
        <v>1733.7817907333374</v>
      </c>
      <c r="M39">
        <f si="1" t="shared"/>
        <v>153096.29937787043</v>
      </c>
    </row>
    <row r="40" spans="1:13" x14ac:dyDescent="0.25">
      <c r="A40" s="12">
        <v>0.77083333333333337</v>
      </c>
      <c r="B40" s="6" t="n">
        <v>4957.444691565477</v>
      </c>
      <c r="C40" s="6" t="n">
        <v>2529.6426329157125</v>
      </c>
      <c r="D40" s="6" t="n">
        <v>142990.2705954694</v>
      </c>
      <c r="E40" s="6" t="n">
        <v>462.85353539471595</v>
      </c>
      <c r="F40" s="6">
        <f si="0" t="shared"/>
        <v>150940.2114553453</v>
      </c>
      <c r="H40" s="12">
        <v>0.77083333333333337</v>
      </c>
      <c r="I40" s="9" t="n">
        <v>9555.09182357788</v>
      </c>
      <c r="J40" s="9" t="n">
        <v>5336.757079124451</v>
      </c>
      <c r="K40" s="9" t="n">
        <v>140297.28229999542</v>
      </c>
      <c r="L40" s="9" t="n">
        <v>1393.2127046585083</v>
      </c>
      <c r="M40">
        <f si="1" t="shared"/>
        <v>145535.41161974875</v>
      </c>
    </row>
    <row r="41" spans="1:13" x14ac:dyDescent="0.25">
      <c r="A41" s="12">
        <v>0.79166666666666663</v>
      </c>
      <c r="B41" s="6" t="n">
        <v>3669.4019946956896</v>
      </c>
      <c r="C41" s="6" t="n">
        <v>1913.154733977184</v>
      </c>
      <c r="D41" s="6" t="n">
        <v>126769.37765009832</v>
      </c>
      <c r="E41" s="6" t="n">
        <v>371.325640109956</v>
      </c>
      <c r="F41" s="6">
        <f si="0" t="shared"/>
        <v>132723.26001888115</v>
      </c>
      <c r="H41" s="12">
        <v>0.79166666666666663</v>
      </c>
      <c r="I41" s="9" t="n">
        <v>7761.300245285034</v>
      </c>
      <c r="J41" s="9" t="n">
        <v>4830.2125453948975</v>
      </c>
      <c r="K41" s="9" t="n">
        <v>130731.49301338196</v>
      </c>
      <c r="L41" s="9" t="n">
        <v>1098.1059074401855</v>
      </c>
      <c r="M41">
        <f si="1" t="shared"/>
        <v>133694.40697606985</v>
      </c>
    </row>
    <row r="42" spans="1:13" x14ac:dyDescent="0.25">
      <c r="A42" s="12">
        <v>0.8125</v>
      </c>
      <c r="B42" s="6" t="n">
        <v>2697.1603530170505</v>
      </c>
      <c r="C42" s="6" t="n">
        <v>1321.397675833169</v>
      </c>
      <c r="D42" s="6" t="n">
        <v>104714.64964155942</v>
      </c>
      <c r="E42" s="6" t="n">
        <v>315.917768311514</v>
      </c>
      <c r="F42" s="6">
        <f si="0" t="shared"/>
        <v>109049.12543872115</v>
      </c>
      <c r="H42" s="12">
        <v>0.8125</v>
      </c>
      <c r="I42" s="9" t="n">
        <v>6201.5269775390625</v>
      </c>
      <c r="J42" s="9" t="n">
        <v>4228.598841667175</v>
      </c>
      <c r="K42" s="9" t="n">
        <v>117697.76139163971</v>
      </c>
      <c r="L42" s="9" t="n">
        <v>874.8921899795532</v>
      </c>
      <c r="M42">
        <f si="1" t="shared"/>
        <v>118996.36265140957</v>
      </c>
    </row>
    <row r="43" spans="1:13" x14ac:dyDescent="0.25">
      <c r="A43" s="12">
        <v>0.83333333333333337</v>
      </c>
      <c r="B43" s="6" t="n">
        <v>2028.1761053414418</v>
      </c>
      <c r="C43" s="6" t="n">
        <v>846.8071857531272</v>
      </c>
      <c r="D43" s="6" t="n">
        <v>80953.44885285782</v>
      </c>
      <c r="E43" s="6" t="n">
        <v>260.75056107983846</v>
      </c>
      <c r="F43" s="6">
        <f si="0" t="shared"/>
        <v>84089.182705032232</v>
      </c>
      <c r="H43" s="12">
        <v>0.83333333333333337</v>
      </c>
      <c r="I43" s="9" t="n">
        <v>4956.934404373169</v>
      </c>
      <c r="J43" s="9" t="n">
        <v>3633.230471611023</v>
      </c>
      <c r="K43" s="9" t="n">
        <v>102648.77254772186</v>
      </c>
      <c r="L43" s="9" t="n">
        <v>737.3342189788818</v>
      </c>
      <c r="M43">
        <f si="1" t="shared"/>
        <v>102972.09024026799</v>
      </c>
    </row>
    <row r="44" spans="1:13" x14ac:dyDescent="0.25">
      <c r="A44" s="12">
        <v>0.85416666666666663</v>
      </c>
      <c r="B44" s="6" t="n">
        <v>1619.2693544649696</v>
      </c>
      <c r="C44" s="6" t="n">
        <v>539.8066467395571</v>
      </c>
      <c r="D44" s="6" t="n">
        <v>59168.86132119923</v>
      </c>
      <c r="E44" s="6" t="n">
        <v>195.83597185336924</v>
      </c>
      <c r="F44" s="6">
        <f si="0" t="shared"/>
        <v>61523.773294257124</v>
      </c>
      <c r="H44" s="12">
        <v>0.85416666666666663</v>
      </c>
      <c r="I44" s="9" t="n">
        <v>4006.837875366211</v>
      </c>
      <c r="J44" s="9" t="n">
        <v>3069.2592277526855</v>
      </c>
      <c r="K44" s="9" t="n">
        <v>86624.38595104218</v>
      </c>
      <c r="L44" s="9" t="n">
        <v>662.6572484970093</v>
      </c>
      <c r="M44">
        <f si="1" t="shared"/>
        <v>86558.66422945635</v>
      </c>
    </row>
    <row r="45" spans="1:13" x14ac:dyDescent="0.25">
      <c r="A45" s="12">
        <v>0.875</v>
      </c>
      <c r="B45" s="6" t="n">
        <v>1390.4091351974598</v>
      </c>
      <c r="C45" s="6" t="n">
        <v>419.34506765678407</v>
      </c>
      <c r="D45" s="6" t="n">
        <v>41451.57732820289</v>
      </c>
      <c r="E45" s="6" t="n">
        <v>130.0730407690902</v>
      </c>
      <c r="F45" s="6">
        <f si="0" t="shared"/>
        <v>43391.404571826228</v>
      </c>
      <c r="H45" s="12">
        <v>0.875</v>
      </c>
      <c r="I45" s="9" t="n">
        <v>3259.5997495651245</v>
      </c>
      <c r="J45" s="9" t="n">
        <v>2504.10337638855</v>
      </c>
      <c r="K45" s="9" t="n">
        <v>70242.27789974213</v>
      </c>
      <c r="L45" s="9" t="n">
        <v>602.4939165115356</v>
      </c>
      <c r="M45">
        <f si="1" t="shared"/>
        <v>70143.662727851886</v>
      </c>
    </row>
    <row r="46" spans="1:13" x14ac:dyDescent="0.25">
      <c r="A46" s="12">
        <v>0.89583333333333337</v>
      </c>
      <c r="B46" s="6" t="n">
        <v>1233.8945634464162</v>
      </c>
      <c r="C46" s="6" t="n">
        <v>491.48705116949566</v>
      </c>
      <c r="D46" s="6" t="n">
        <v>28212.09765175034</v>
      </c>
      <c r="E46" s="6" t="n">
        <v>76.01282152806299</v>
      </c>
      <c r="F46" s="6">
        <f si="0" t="shared"/>
        <v>30013.492087894316</v>
      </c>
      <c r="H46" s="12">
        <v>0.89583333333333337</v>
      </c>
      <c r="I46" s="9" t="n">
        <v>2622.6426105499268</v>
      </c>
      <c r="J46" s="9" t="n">
        <v>1914.4002418518066</v>
      </c>
      <c r="K46" s="9" t="n">
        <v>54147.31167793274</v>
      </c>
      <c r="L46" s="9" t="n">
        <v>516.5556221008301</v>
      </c>
      <c r="M46">
        <f si="1" t="shared"/>
        <v>54131.556768857256</v>
      </c>
    </row>
    <row r="47" spans="1:13" x14ac:dyDescent="0.25">
      <c r="A47" s="12">
        <v>0.91666666666666663</v>
      </c>
      <c r="B47" s="6" t="n">
        <v>1056.5086630603187</v>
      </c>
      <c r="C47" s="6" t="n">
        <v>741.7386878230287</v>
      </c>
      <c r="D47" s="6" t="n">
        <v>18799.693423052304</v>
      </c>
      <c r="E47" s="6" t="n">
        <v>39.33717562540505</v>
      </c>
      <c r="F47" s="6">
        <f si="0" t="shared"/>
        <v>20637.277949561056</v>
      </c>
      <c r="H47" s="12">
        <v>0.91666666666666663</v>
      </c>
      <c r="I47" s="9" t="n">
        <v>2048.875111579895</v>
      </c>
      <c r="J47" s="9" t="n">
        <v>1330.3054761886597</v>
      </c>
      <c r="K47" s="9" t="n">
        <v>39287.25932312012</v>
      </c>
      <c r="L47" s="9" t="n">
        <v>397.5804052352905</v>
      </c>
      <c r="M47">
        <f si="1" t="shared"/>
        <v>39319.089249758785</v>
      </c>
    </row>
    <row r="48" spans="1:13" x14ac:dyDescent="0.25">
      <c r="A48" s="12">
        <v>0.9375</v>
      </c>
      <c r="B48" s="6" t="n">
        <v>824.448821731002</v>
      </c>
      <c r="C48" s="6" t="n">
        <v>1098.629015025161</v>
      </c>
      <c r="D48" s="6" t="n">
        <v>12237.845932909582</v>
      </c>
      <c r="E48" s="6" t="n">
        <v>18.148528665799972</v>
      </c>
      <c r="F48" s="6">
        <f si="0" t="shared"/>
        <v>14179.072298331546</v>
      </c>
      <c r="H48" s="12">
        <v>0.9375</v>
      </c>
      <c r="I48" s="9" t="n">
        <v>1534.8784198760986</v>
      </c>
      <c r="J48" s="9" t="n">
        <v>820.3335123062134</v>
      </c>
      <c r="K48" s="9" t="n">
        <v>26681.07969379425</v>
      </c>
      <c r="L48" s="9" t="n">
        <v>268.090313911438</v>
      </c>
      <c r="M48">
        <f si="1" t="shared"/>
        <v>26690.593184964368</v>
      </c>
    </row>
    <row r="49" spans="1:13" x14ac:dyDescent="0.25">
      <c r="A49" s="12">
        <v>0.95833333333333337</v>
      </c>
      <c r="B49" s="6" t="n">
        <v>567.3587351821274</v>
      </c>
      <c r="C49" s="6" t="n">
        <v>1418.3022824947557</v>
      </c>
      <c r="D49" s="6" t="n">
        <v>7688.454307834658</v>
      </c>
      <c r="E49" s="6" t="n">
        <v>7.425843329535604</v>
      </c>
      <c r="F49" s="6">
        <f si="0" t="shared"/>
        <v>9681.5411688410768</v>
      </c>
      <c r="H49" s="12">
        <v>0.95833333333333337</v>
      </c>
      <c r="I49" s="9" t="n">
        <v>1093.4076356887817</v>
      </c>
      <c r="J49" s="9" t="n">
        <v>441.8037853240967</v>
      </c>
      <c r="K49" s="9" t="n">
        <v>16948.84243297577</v>
      </c>
      <c r="L49" s="9" t="n">
        <v>157.2766399383545</v>
      </c>
      <c r="M49">
        <f si="1" t="shared"/>
        <v>16905.223552819083</v>
      </c>
    </row>
    <row r="50" spans="1:13" x14ac:dyDescent="0.25">
      <c r="A50" s="12">
        <v>0.97916666666666663</v>
      </c>
      <c r="B50" s="6" t="n">
        <v>339.3117051598224</v>
      </c>
      <c r="C50" s="6" t="n">
        <v>1541.1407887394757</v>
      </c>
      <c r="D50" s="6" t="n">
        <v>4579.786019958647</v>
      </c>
      <c r="E50" s="6" t="n">
        <v>2.628890633362259</v>
      </c>
      <c r="F50" s="6">
        <f si="0" t="shared"/>
        <v>6462.8674044913068</v>
      </c>
      <c r="H50" s="12">
        <v>0.97916666666666663</v>
      </c>
      <c r="I50" s="9" t="n">
        <v>732.9416131973267</v>
      </c>
      <c r="J50" s="9" t="n">
        <v>206.4091100692749</v>
      </c>
      <c r="K50" s="9" t="n">
        <v>10079.120171546936</v>
      </c>
      <c r="L50" s="9" t="n">
        <v>80.81597423553467</v>
      </c>
      <c r="M50">
        <f si="1" t="shared"/>
        <v>9999.3606943054037</v>
      </c>
    </row>
    <row r="51" spans="1:13" x14ac:dyDescent="0.25">
      <c r="A51" s="12">
        <v>1</v>
      </c>
      <c r="B51" s="6" t="n">
        <v>175.74803168544</v>
      </c>
      <c r="C51" s="6" t="n">
        <v>1394.0566082987382</v>
      </c>
      <c r="D51" s="6" t="n">
        <v>2537.5450547970286</v>
      </c>
      <c r="E51" s="6" t="n">
        <v>0.7710007610219669</v>
      </c>
      <c r="F51" s="6">
        <f si="0" t="shared"/>
        <v>4108.1206955422294</v>
      </c>
      <c r="H51" s="12">
        <v>1</v>
      </c>
      <c r="I51" s="9" t="n">
        <v>454.41462421417236</v>
      </c>
      <c r="J51" s="9" t="n">
        <v>84.1977767944336</v>
      </c>
      <c r="K51" s="9" t="n">
        <v>5589.4238538742065</v>
      </c>
      <c r="L51" s="9" t="n">
        <v>37.107314109802246</v>
      </c>
      <c r="M51">
        <f si="1" t="shared"/>
        <v>5508.2322263717651</v>
      </c>
    </row>
    <row r="52" spans="1:13" x14ac:dyDescent="0.25">
      <c r="A52" s="12">
        <v>1.0208333333333333</v>
      </c>
      <c r="B52" s="6" t="n">
        <v>79.10545669039352</v>
      </c>
      <c r="C52" s="6" t="n">
        <v>1043.2528781890896</v>
      </c>
      <c r="D52" s="6" t="n">
        <v>1283.224235976245</v>
      </c>
      <c r="E52" s="6" t="n">
        <v>0.17665640853187559</v>
      </c>
      <c r="F52" s="6">
        <f si="0" t="shared"/>
        <v>2405.7592272642601</v>
      </c>
      <c r="H52" s="12">
        <v>1.0208333333333333</v>
      </c>
      <c r="I52" s="9" t="n">
        <v>254.44873714447021</v>
      </c>
      <c r="J52" s="9" t="n">
        <v>30.790273666381836</v>
      </c>
      <c r="K52" s="9" t="n">
        <v>2850.7654790878296</v>
      </c>
      <c r="L52" s="9" t="n">
        <v>15.665793418884277</v>
      </c>
      <c r="M52">
        <f si="1" t="shared"/>
        <v>2791.5455418371075</v>
      </c>
    </row>
    <row r="53" spans="1:13" x14ac:dyDescent="0.25">
      <c r="A53" s="12">
        <v>4.1666666666666664E-2</v>
      </c>
      <c r="B53" s="6" t="n">
        <v>31.149558462315294</v>
      </c>
      <c r="C53" s="6" t="n">
        <v>641.3195295528747</v>
      </c>
      <c r="D53" s="6" t="n">
        <v>580.763719026007</v>
      </c>
      <c r="E53" s="6" t="n">
        <v>0.029228861477413173</v>
      </c>
      <c r="F53" s="6">
        <f si="0" t="shared"/>
        <v>1253.2620359026744</v>
      </c>
      <c r="H53" s="12">
        <v>4.1666666666666664E-2</v>
      </c>
      <c r="I53" s="9" t="n">
        <v>125.2169361114502</v>
      </c>
      <c r="J53" s="9" t="n">
        <v>10.553821563720703</v>
      </c>
      <c r="K53" s="9" t="n">
        <v>1305.146845817566</v>
      </c>
      <c r="L53" s="9" t="n">
        <v>6.199614524841309</v>
      </c>
      <c r="M53">
        <f si="1" t="shared"/>
        <v>1271.9704511659961</v>
      </c>
    </row>
    <row r="54" spans="1:13" x14ac:dyDescent="0.25">
      <c r="A54" s="12">
        <v>6.25E-2</v>
      </c>
      <c r="B54" s="6" t="n">
        <v>10.778182010844613</v>
      </c>
      <c r="C54" s="6" t="n">
        <v>320.47047052842254</v>
      </c>
      <c r="D54" s="6" t="n">
        <v>230.1995131058856</v>
      </c>
      <c r="E54" s="6" t="n">
        <v>0.003076722260780335</v>
      </c>
      <c r="F54" s="6">
        <f si="0" t="shared"/>
        <v>561.45124236741344</v>
      </c>
      <c r="H54" s="12">
        <v>6.25E-2</v>
      </c>
      <c r="I54" s="9" t="n">
        <v>52.63877296447754</v>
      </c>
      <c r="J54" s="9" t="n">
        <v>3.4976415634155273</v>
      </c>
      <c r="K54" s="9" t="n">
        <v>519.9303150177002</v>
      </c>
      <c r="L54" s="9" t="n">
        <v>2.2705087661743164</v>
      </c>
      <c r="M54">
        <f si="1" t="shared"/>
        <v>505.33402545759935</v>
      </c>
    </row>
    <row r="55" spans="1:13" x14ac:dyDescent="0.25">
      <c r="A55" s="12">
        <v>8.3333333333333329E-2</v>
      </c>
      <c r="B55" s="6" t="n">
        <v>3.256358214566652</v>
      </c>
      <c r="C55" s="6" t="n">
        <v>128.13958259405604</v>
      </c>
      <c r="D55" s="6" t="n">
        <v>77.95635617065936</v>
      </c>
      <c r="E55" s="6" t="n">
        <v>1.5383611303901673E-4</v>
      </c>
      <c r="F55" s="6">
        <f si="0" t="shared"/>
        <v>209.35245081539512</v>
      </c>
      <c r="H55" s="12">
        <v>8.3333333333333329E-2</v>
      </c>
      <c r="I55" s="9" t="n">
        <v>18.35018825531006</v>
      </c>
      <c r="J55" s="9" t="n">
        <v>1.0909547805786133</v>
      </c>
      <c r="K55" s="9" t="n">
        <v>174.09081554412842</v>
      </c>
      <c r="L55" s="9" t="n">
        <v>0.7341699600219727</v>
      </c>
      <c r="M55">
        <f si="1" t="shared"/>
        <v>169.04548653915941</v>
      </c>
    </row>
    <row r="56" spans="1:13" x14ac:dyDescent="0.25">
      <c r="A56" s="12">
        <v>0.10416666666666667</v>
      </c>
      <c r="B56" s="6" t="n">
        <v>0.8372818012248946</v>
      </c>
      <c r="C56" s="6" t="n">
        <v>40.02443838854264</v>
      </c>
      <c r="D56" s="6" t="n">
        <v>21.904276654501107</v>
      </c>
      <c r="E56" s="6" t="n">
        <v>0.0</v>
      </c>
      <c r="F56" s="6">
        <f si="0" t="shared"/>
        <v>62.765996844268642</v>
      </c>
      <c r="G56" s="5"/>
      <c r="H56" s="12">
        <v>0.10416666666666667</v>
      </c>
      <c r="I56" s="9" t="n">
        <v>5.127730369567871</v>
      </c>
      <c r="J56" s="9" t="n">
        <v>0.2958049774169922</v>
      </c>
      <c r="K56" s="9" t="n">
        <v>47.14296340942383</v>
      </c>
      <c r="L56" s="9" t="n">
        <v>0.1968832015991211</v>
      </c>
      <c r="M56">
        <f si="1" t="shared"/>
        <v>45.793854979303539</v>
      </c>
    </row>
    <row r="57" spans="1:13" x14ac:dyDescent="0.25">
      <c r="A57" s="12">
        <v>0.125</v>
      </c>
      <c r="B57" s="6" t="n">
        <v>0.17168310628097538</v>
      </c>
      <c r="C57" s="6" t="n">
        <v>9.252315598922959</v>
      </c>
      <c r="D57" s="6" t="n">
        <v>4.831727868017509</v>
      </c>
      <c r="E57" s="6" t="n">
        <v>0.0</v>
      </c>
      <c r="F57" s="6">
        <f si="0" t="shared"/>
        <v>14.255726573221443</v>
      </c>
      <c r="G57" s="5"/>
      <c r="H57" s="12">
        <v>0.125</v>
      </c>
      <c r="I57" s="9" t="n">
        <v>1.083174705505371</v>
      </c>
      <c r="J57" s="9" t="n">
        <v>0.06269454956054688</v>
      </c>
      <c r="K57" s="9" t="n">
        <v>9.710619926452637</v>
      </c>
      <c r="L57" s="9" t="n">
        <v>0.040429115295410156</v>
      </c>
      <c r="M57">
        <f si="1" t="shared"/>
        <v>9.4438418110286371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1721924.3244467427</v>
      </c>
      <c r="C59" s="26">
        <f>SUM(C8:C58)</f>
        <v>804923.01075712941</v>
      </c>
      <c r="D59" s="26">
        <f>SUM(D8:D58)</f>
        <v>3380544.6356575103</v>
      </c>
      <c r="E59" s="26">
        <f>SUM(E8:E58)</f>
        <v>184040.42546646082</v>
      </c>
      <c r="F59" s="26">
        <f>SUM(F8:F58)</f>
        <v>6091432.3963278439</v>
      </c>
      <c r="G59" s="5"/>
      <c r="H59" s="25"/>
      <c r="I59" s="26">
        <f>SUM(I8:I58)</f>
        <v>1686799.3872563795</v>
      </c>
      <c r="J59" s="26">
        <f>SUM(J8:J58)</f>
        <v>759897.23375942127</v>
      </c>
      <c r="K59" s="26">
        <f>SUM(K8:K58)</f>
        <v>3372946.6236306871</v>
      </c>
      <c r="L59" s="26">
        <f>SUM(L8:L58)</f>
        <v>187222.67706940477</v>
      </c>
      <c r="M59" s="26">
        <f>SUM(M8:M58)</f>
        <v>6006865.9217158901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9.9541975868570258E-4</v>
      </c>
      <c r="J65" s="17">
        <f si="3" t="shared"/>
        <v>4.3758692280793363E-5</v>
      </c>
      <c r="K65" s="17">
        <f si="3" t="shared"/>
        <v>2.3577452799157998E-3</v>
      </c>
      <c r="L65" s="17">
        <f si="3" t="shared"/>
        <v>2.8238223667868248E-4</v>
      </c>
      <c r="M65" s="18">
        <f si="3" t="shared"/>
        <v>1.6177725646714844E-3</v>
      </c>
    </row>
    <row r="66" spans="1:13" x14ac:dyDescent="0.25">
      <c r="A66" s="12">
        <v>0.125</v>
      </c>
      <c r="B66" s="18">
        <f ref="B66:F66" si="4" t="shared">B9/B$59</f>
        <v>2.2031645712808101E-3</v>
      </c>
      <c r="C66" s="18">
        <f si="4" t="shared"/>
        <v>1.3110541434186441E-4</v>
      </c>
      <c r="D66" s="18">
        <f si="4" t="shared"/>
        <v>4.9632091797558603E-4</v>
      </c>
      <c r="E66" s="18">
        <f si="4" t="shared"/>
        <v>2.2885601384026896E-5</v>
      </c>
      <c r="F66" s="18">
        <f si="4" t="shared"/>
        <v>9.1624743744897757E-4</v>
      </c>
      <c r="H66" s="12">
        <v>0.125</v>
      </c>
      <c r="I66" s="17">
        <f ref="I66:M66" si="5" t="shared">I9/I$59</f>
        <v>3.1391728249867829E-3</v>
      </c>
      <c r="J66" s="17">
        <f si="5" t="shared"/>
        <v>2.0846694175785313E-4</v>
      </c>
      <c r="K66" s="17">
        <f si="5" t="shared"/>
        <v>2.6440073909078004E-3</v>
      </c>
      <c r="L66" s="17">
        <f si="5" t="shared"/>
        <v>7.4285560976603655E-4</v>
      </c>
      <c r="M66" s="18">
        <f si="5" t="shared"/>
        <v>2.4156929182564588E-3</v>
      </c>
    </row>
    <row r="67" spans="1:13" x14ac:dyDescent="0.25">
      <c r="A67" s="12">
        <v>0.14583333333333334</v>
      </c>
      <c r="B67" s="18">
        <f ref="B67:F67" si="6" t="shared">B10/B$59</f>
        <v>5.2119508513640313E-3</v>
      </c>
      <c r="C67" s="18">
        <f si="6" t="shared"/>
        <v>4.5258101025143866E-4</v>
      </c>
      <c r="D67" s="18">
        <f si="6" t="shared"/>
        <v>1.0136301056900832E-3</v>
      </c>
      <c r="E67" s="18">
        <f si="6" t="shared"/>
        <v>6.5012100300001615E-5</v>
      </c>
      <c r="F67" s="18">
        <f si="6" t="shared"/>
        <v>2.0976124592307277E-3</v>
      </c>
      <c r="H67" s="12">
        <v>0.14583333333333334</v>
      </c>
      <c r="I67" s="17">
        <f ref="I67:M67" si="7" t="shared">I10/I$59</f>
        <v>5.5907542731780807E-3</v>
      </c>
      <c r="J67" s="17">
        <f si="7" t="shared"/>
        <v>5.4565393495529949E-4</v>
      </c>
      <c r="K67" s="17">
        <f si="7" t="shared"/>
        <v>2.8413471201260551E-3</v>
      </c>
      <c r="L67" s="17">
        <f si="7" t="shared"/>
        <v>1.0738922124144841E-3</v>
      </c>
      <c r="M67" s="18">
        <f si="7" t="shared"/>
        <v>3.26790895687864E-3</v>
      </c>
    </row>
    <row r="68" spans="1:13" x14ac:dyDescent="0.25">
      <c r="A68" s="12">
        <v>0.16666666666666666</v>
      </c>
      <c r="B68" s="18">
        <f ref="B68:F68" si="8" t="shared">B11/B$59</f>
        <v>9.8967502367837759E-3</v>
      </c>
      <c r="C68" s="18">
        <f si="8" t="shared"/>
        <v>1.4722635127194564E-3</v>
      </c>
      <c r="D68" s="18">
        <f si="8" t="shared"/>
        <v>1.5956847674652389E-3</v>
      </c>
      <c r="E68" s="18">
        <f si="8" t="shared"/>
        <v>1.5404043846159256E-4</v>
      </c>
      <c r="F68" s="18">
        <f si="8" t="shared"/>
        <v>3.8823622187653633E-3</v>
      </c>
      <c r="H68" s="12">
        <v>0.16666666666666666</v>
      </c>
      <c r="I68" s="17">
        <f ref="I68:M68" si="9" t="shared">I11/I$59</f>
        <v>8.9026521846516868E-3</v>
      </c>
      <c r="J68" s="17">
        <f si="9" t="shared"/>
        <v>1.484152328588144E-3</v>
      </c>
      <c r="K68" s="17">
        <f si="9" t="shared"/>
        <v>3.0055873235135737E-3</v>
      </c>
      <c r="L68" s="17">
        <f si="9" t="shared"/>
        <v>1.2746031147212347E-3</v>
      </c>
      <c r="M68" s="18">
        <f si="9" t="shared"/>
        <v>4.4151329606561948E-3</v>
      </c>
    </row>
    <row r="69" spans="1:13" x14ac:dyDescent="0.25">
      <c r="A69" s="12">
        <v>0.1875</v>
      </c>
      <c r="B69" s="18">
        <f ref="B69:F69" si="10" t="shared">B12/B$59</f>
        <v>1.713035270498443E-2</v>
      </c>
      <c r="C69" s="18">
        <f si="10" t="shared"/>
        <v>4.383534116134096E-3</v>
      </c>
      <c r="D69" s="18">
        <f si="10" t="shared"/>
        <v>2.3384615410733723E-3</v>
      </c>
      <c r="E69" s="18">
        <f si="10" t="shared"/>
        <v>3.3485065256408202E-4</v>
      </c>
      <c r="F69" s="18">
        <f si="10" t="shared"/>
        <v>6.7295301819691004E-3</v>
      </c>
      <c r="H69" s="12">
        <v>0.1875</v>
      </c>
      <c r="I69" s="17">
        <f ref="I69:M69" si="11" t="shared">I12/I$59</f>
        <v>1.396763519170994E-2</v>
      </c>
      <c r="J69" s="17">
        <f si="11" t="shared"/>
        <v>3.9624482465323314E-3</v>
      </c>
      <c r="K69" s="17">
        <f si="11" t="shared"/>
        <v>3.3696460818675115E-3</v>
      </c>
      <c r="L69" s="17">
        <f si="11" t="shared"/>
        <v>1.4812462726582049E-3</v>
      </c>
      <c r="M69" s="18">
        <f si="11" t="shared"/>
        <v>6.3618219067168918E-3</v>
      </c>
    </row>
    <row r="70" spans="1:13" x14ac:dyDescent="0.25">
      <c r="A70" s="12">
        <v>0.20833333333333334</v>
      </c>
      <c r="B70" s="18">
        <f ref="B70:F70" si="12" t="shared">B13/B$59</f>
        <v>2.7557316361067223E-2</v>
      </c>
      <c r="C70" s="18">
        <f si="12" t="shared"/>
        <v>1.1261523157380621E-2</v>
      </c>
      <c r="D70" s="18">
        <f si="12" t="shared"/>
        <v>3.4182538726211993E-3</v>
      </c>
      <c r="E70" s="18">
        <f si="12" t="shared"/>
        <v>6.7896380291742687E-4</v>
      </c>
      <c r="F70" s="18">
        <f si="12" t="shared"/>
        <v>1.1195525883998626E-2</v>
      </c>
      <c r="H70" s="12">
        <v>0.20833333333333334</v>
      </c>
      <c r="I70" s="17">
        <f ref="I70:M70" si="13" t="shared">I13/I$59</f>
        <v>2.1820167185053928E-2</v>
      </c>
      <c r="J70" s="17">
        <f si="13" t="shared"/>
        <v>9.5328460937575028E-3</v>
      </c>
      <c r="K70" s="17">
        <f si="13" t="shared"/>
        <v>4.249838644506284E-3</v>
      </c>
      <c r="L70" s="17">
        <f si="13" t="shared"/>
        <v>1.8794426361084286E-3</v>
      </c>
      <c r="M70" s="18">
        <f si="13" t="shared"/>
        <v>9.7782407611981884E-3</v>
      </c>
    </row>
    <row r="71" spans="1:13" x14ac:dyDescent="0.25">
      <c r="A71" s="12">
        <v>0.22916666666666666</v>
      </c>
      <c r="B71" s="18">
        <f ref="B71:F71" si="14" t="shared">B14/B$59</f>
        <v>4.1237332327821764E-2</v>
      </c>
      <c r="C71" s="18">
        <f si="14" t="shared"/>
        <v>2.4570986862645441E-2</v>
      </c>
      <c r="D71" s="18">
        <f si="14" t="shared"/>
        <v>5.0936656455705829E-3</v>
      </c>
      <c r="E71" s="18">
        <f si="14" t="shared"/>
        <v>1.2975214723035143E-3</v>
      </c>
      <c r="F71" s="18">
        <f si="14" t="shared"/>
        <v>1.7769790710697106E-2</v>
      </c>
      <c r="H71" s="12">
        <v>0.22916666666666666</v>
      </c>
      <c r="I71" s="17">
        <f ref="I71:M71" si="15" t="shared">I14/I$59</f>
        <v>3.3115677790749538E-2</v>
      </c>
      <c r="J71" s="17">
        <f si="15" t="shared"/>
        <v>2.001706120570804E-2</v>
      </c>
      <c r="K71" s="17">
        <f si="15" t="shared"/>
        <v>5.9064296550011743E-3</v>
      </c>
      <c r="L71" s="17">
        <f si="15" t="shared"/>
        <v>2.640032048985907E-3</v>
      </c>
      <c r="M71" s="18">
        <f si="15" t="shared"/>
        <v>1.5230364963498553E-2</v>
      </c>
    </row>
    <row r="72" spans="1:13" x14ac:dyDescent="0.25">
      <c r="A72" s="12">
        <v>0.25</v>
      </c>
      <c r="B72" s="18">
        <f ref="B72:F72" si="16" t="shared">B15/B$59</f>
        <v>5.7254051564345501E-2</v>
      </c>
      <c r="C72" s="18">
        <f si="16" t="shared"/>
        <v>4.565578656567653E-2</v>
      </c>
      <c r="D72" s="18">
        <f si="16" t="shared"/>
        <v>7.6523340031911394E-3</v>
      </c>
      <c r="E72" s="18">
        <f si="16" t="shared"/>
        <v>2.3581061360103276E-3</v>
      </c>
      <c r="F72" s="18">
        <f si="16" t="shared"/>
        <v>2.6535561793554558E-2</v>
      </c>
      <c r="H72" s="12">
        <v>0.25</v>
      </c>
      <c r="I72" s="17">
        <f ref="I72:M72" si="17" t="shared">I15/I$59</f>
        <v>4.7500029337702483E-2</v>
      </c>
      <c r="J72" s="17">
        <f si="17" t="shared"/>
        <v>3.6522406611522347E-2</v>
      </c>
      <c r="K72" s="17">
        <f si="17" t="shared"/>
        <v>8.448736338679954E-3</v>
      </c>
      <c r="L72" s="17">
        <f si="17" t="shared"/>
        <v>3.9368641815993198E-3</v>
      </c>
      <c r="M72" s="18">
        <f si="17" t="shared"/>
        <v>2.2825630683545716E-2</v>
      </c>
    </row>
    <row r="73" spans="1:13" x14ac:dyDescent="0.25">
      <c r="A73" s="12">
        <v>0.27083333333333331</v>
      </c>
      <c r="B73" s="18">
        <f ref="B73:F73" si="18" t="shared">B16/B$59</f>
        <v>7.3477564530148309E-2</v>
      </c>
      <c r="C73" s="18">
        <f si="18" t="shared"/>
        <v>7.2799859307040554E-2</v>
      </c>
      <c r="D73" s="18">
        <f si="18" t="shared"/>
        <v>1.1289816863160636E-2</v>
      </c>
      <c r="E73" s="18">
        <f si="18" t="shared"/>
        <v>4.0853198651336882E-3</v>
      </c>
      <c r="F73" s="18">
        <f si="18" t="shared"/>
        <v>3.6779310163107877E-2</v>
      </c>
      <c r="H73" s="12">
        <v>0.27083333333333331</v>
      </c>
      <c r="I73" s="17">
        <f ref="I73:M73" si="19" t="shared">I16/I$59</f>
        <v>6.3261237106123414E-2</v>
      </c>
      <c r="J73" s="17">
        <f si="19" t="shared"/>
        <v>5.8147225223263634E-2</v>
      </c>
      <c r="K73" s="17">
        <f si="19" t="shared"/>
        <v>1.1818209110760895E-2</v>
      </c>
      <c r="L73" s="17">
        <f si="19" t="shared"/>
        <v>5.9892235230059199E-3</v>
      </c>
      <c r="M73" s="18">
        <f si="19" t="shared"/>
        <v>3.1943186524441225E-2</v>
      </c>
    </row>
    <row r="74" spans="1:13" x14ac:dyDescent="0.25">
      <c r="A74" s="12">
        <v>0.29166666666666669</v>
      </c>
      <c r="B74" s="18">
        <f ref="B74:F74" si="20" t="shared">B17/B$59</f>
        <v>8.6802307437784415E-2</v>
      </c>
      <c r="C74" s="18">
        <f si="20" t="shared"/>
        <v>0.10041686379887581</v>
      </c>
      <c r="D74" s="18">
        <f si="20" t="shared"/>
        <v>1.5950758998123725E-2</v>
      </c>
      <c r="E74" s="18">
        <f si="20" t="shared"/>
        <v>6.7082311605791145E-3</v>
      </c>
      <c r="F74" s="18">
        <f si="20" t="shared"/>
        <v>4.686117629570672E-2</v>
      </c>
      <c r="H74" s="12">
        <v>0.29166666666666669</v>
      </c>
      <c r="I74" s="17">
        <f ref="I74:M74" si="21" t="shared">I17/I$59</f>
        <v>7.7580182432587907E-2</v>
      </c>
      <c r="J74" s="17">
        <f si="21" t="shared"/>
        <v>8.1289512796925867E-2</v>
      </c>
      <c r="K74" s="17">
        <f si="21" t="shared"/>
        <v>1.5822339096284332E-2</v>
      </c>
      <c r="L74" s="17">
        <f si="21" t="shared"/>
        <v>9.0609899620550608E-3</v>
      </c>
      <c r="M74" s="18">
        <f si="21" t="shared"/>
        <v>4.1235847671151828E-2</v>
      </c>
    </row>
    <row r="75" spans="1:13" x14ac:dyDescent="0.25">
      <c r="A75" s="12">
        <v>0.3125</v>
      </c>
      <c r="B75" s="18">
        <f ref="B75:F75" si="22" t="shared">B18/B$59</f>
        <v>9.4086503481892403E-2</v>
      </c>
      <c r="C75" s="18">
        <f si="22" t="shared"/>
        <v>0.12067481758957327</v>
      </c>
      <c r="D75" s="18">
        <f si="22" t="shared"/>
        <v>2.1221270234038612E-2</v>
      </c>
      <c r="E75" s="18">
        <f si="22" t="shared"/>
        <v>1.0359653000613745E-2</v>
      </c>
      <c r="F75" s="18">
        <f si="22" t="shared"/>
        <v>5.463244126987845E-2</v>
      </c>
      <c r="H75" s="12">
        <v>0.3125</v>
      </c>
      <c r="I75" s="17">
        <f ref="I75:M75" si="23" t="shared">I18/I$59</f>
        <v>8.738216855400055E-2</v>
      </c>
      <c r="J75" s="17">
        <f si="23" t="shared"/>
        <v>0.10043652548510812</v>
      </c>
      <c r="K75" s="17">
        <f si="23" t="shared"/>
        <v>2.0171217754640931E-2</v>
      </c>
      <c r="L75" s="17">
        <f si="23" t="shared"/>
        <v>1.3442524665486471E-2</v>
      </c>
      <c r="M75" s="18">
        <f si="23" t="shared"/>
        <v>4.8989076228454019E-2</v>
      </c>
    </row>
    <row r="76" spans="1:13" x14ac:dyDescent="0.25">
      <c r="A76" s="12">
        <v>0.33333333333333331</v>
      </c>
      <c r="B76" s="18">
        <f ref="B76:F76" si="24" t="shared">B19/B$59</f>
        <v>9.3507392184192059E-2</v>
      </c>
      <c r="C76" s="18">
        <f si="24" t="shared"/>
        <v>0.12710562043613183</v>
      </c>
      <c r="D76" s="18">
        <f si="24" t="shared"/>
        <v>2.6385145685425326E-2</v>
      </c>
      <c r="E76" s="18">
        <f si="24" t="shared"/>
        <v>1.5034913786263189E-2</v>
      </c>
      <c r="F76" s="18">
        <f si="24" t="shared"/>
        <v>5.8325540418918236E-2</v>
      </c>
      <c r="H76" s="12">
        <v>0.33333333333333331</v>
      </c>
      <c r="I76" s="17">
        <f ref="I76:M76" si="25" t="shared">I19/I$59</f>
        <v>9.0446444446337967E-2</v>
      </c>
      <c r="J76" s="17">
        <f si="25" t="shared"/>
        <v>0.11038627370799091</v>
      </c>
      <c r="K76" s="17">
        <f si="25" t="shared"/>
        <v>2.4493801087245252E-2</v>
      </c>
      <c r="L76" s="17">
        <f si="25" t="shared"/>
        <v>1.9473690348748508E-2</v>
      </c>
      <c r="M76" s="18">
        <f si="25" t="shared"/>
        <v>5.3723428395043821E-2</v>
      </c>
    </row>
    <row r="77" spans="1:13" x14ac:dyDescent="0.25">
      <c r="A77" s="12">
        <v>0.35416666666666669</v>
      </c>
      <c r="B77" s="18">
        <f ref="B77:F77" si="26" t="shared">B20/B$59</f>
        <v>8.5501033341354199E-2</v>
      </c>
      <c r="C77" s="18">
        <f si="26" t="shared"/>
        <v>0.11795292237310229</v>
      </c>
      <c r="D77" s="18">
        <f si="26" t="shared"/>
        <v>3.0676824877628656E-2</v>
      </c>
      <c r="E77" s="18">
        <f si="26" t="shared"/>
        <v>2.0763273476804865E-2</v>
      </c>
      <c r="F77" s="18">
        <f si="26" t="shared"/>
        <v>5.74076777334998E-2</v>
      </c>
      <c r="H77" s="12">
        <v>0.35416666666666669</v>
      </c>
      <c r="I77" s="17">
        <f ref="I77:M77" si="27" t="shared">I20/I$59</f>
        <v>8.6266526604708654E-2</v>
      </c>
      <c r="J77" s="17">
        <f si="27" t="shared"/>
        <v>0.10868202603563615</v>
      </c>
      <c r="K77" s="17">
        <f si="27" t="shared"/>
        <v>2.8356490697812396E-2</v>
      </c>
      <c r="L77" s="17">
        <f si="27" t="shared"/>
        <v>2.7541061802167525E-2</v>
      </c>
      <c r="M77" s="18">
        <f si="27" t="shared"/>
        <v>5.4754466026868197E-2</v>
      </c>
    </row>
    <row r="78" spans="1:13" x14ac:dyDescent="0.25">
      <c r="A78" s="12">
        <v>0.375</v>
      </c>
      <c r="B78" s="18">
        <f ref="B78:F78" si="28" t="shared">B21/B$59</f>
        <v>7.2563149831563256E-2</v>
      </c>
      <c r="C78" s="18">
        <f si="28" t="shared"/>
        <v>9.6970472802929794E-2</v>
      </c>
      <c r="D78" s="18">
        <f si="28" t="shared"/>
        <v>3.3600484587411265E-2</v>
      </c>
      <c r="E78" s="18">
        <f si="28" t="shared"/>
        <v>2.7985169001203493E-2</v>
      </c>
      <c r="F78" s="18">
        <f si="28" t="shared"/>
        <v>5.2818505908015158E-2</v>
      </c>
      <c r="H78" s="12">
        <v>0.375</v>
      </c>
      <c r="I78" s="17">
        <f ref="I78:M78" si="29" t="shared">I21/I$59</f>
        <v>7.6248465093220585E-2</v>
      </c>
      <c r="J78" s="17">
        <f si="29" t="shared"/>
        <v>9.6695805674489876E-2</v>
      </c>
      <c r="K78" s="17">
        <f si="29" t="shared"/>
        <v>3.132720228852718E-2</v>
      </c>
      <c r="L78" s="17">
        <f si="29" t="shared"/>
        <v>3.788058999460038E-2</v>
      </c>
      <c r="M78" s="18">
        <f si="29" t="shared"/>
        <v>5.241532443117513E-2</v>
      </c>
    </row>
    <row r="79" spans="1:13" x14ac:dyDescent="0.25">
      <c r="A79" s="12">
        <v>0.39583333333333331</v>
      </c>
      <c r="B79" s="18">
        <f ref="B79:F79" si="30" t="shared">B22/B$59</f>
        <v>5.8021342903304282E-2</v>
      </c>
      <c r="C79" s="18">
        <f si="30" t="shared"/>
        <v>7.1226050211875364E-2</v>
      </c>
      <c r="D79" s="18">
        <f si="30" t="shared"/>
        <v>3.509335969809043E-2</v>
      </c>
      <c r="E79" s="18">
        <f si="30" t="shared"/>
        <v>3.7784573608329639E-2</v>
      </c>
      <c r="F79" s="18">
        <f si="30" t="shared"/>
        <v>4.6430525357413675E-2</v>
      </c>
      <c r="H79" s="12">
        <v>0.39583333333333331</v>
      </c>
      <c r="I79" s="17">
        <f ref="I79:M79" si="31" t="shared">I22/I$59</f>
        <v>6.3137232744615107E-2</v>
      </c>
      <c r="J79" s="17">
        <f si="31" t="shared"/>
        <v>7.8694495105470011E-2</v>
      </c>
      <c r="K79" s="17">
        <f si="31" t="shared"/>
        <v>3.30959823870145E-2</v>
      </c>
      <c r="L79" s="17">
        <f si="31" t="shared"/>
        <v>5.0187392302348498E-2</v>
      </c>
      <c r="M79" s="18">
        <f si="31" t="shared"/>
        <v>4.7833059432987025E-2</v>
      </c>
    </row>
    <row r="80" spans="1:13" x14ac:dyDescent="0.25">
      <c r="A80" s="12">
        <v>0.41666666666666669</v>
      </c>
      <c r="B80" s="18">
        <f ref="B80:F80" si="32" t="shared">B23/B$59</f>
        <v>4.4652465083904122E-2</v>
      </c>
      <c r="C80" s="18">
        <f si="32" t="shared"/>
        <v>4.7554309371030168E-2</v>
      </c>
      <c r="D80" s="18">
        <f si="32" t="shared"/>
        <v>3.5428463865244064E-2</v>
      </c>
      <c r="E80" s="18">
        <f si="32" t="shared"/>
        <v>5.1417488918587488E-2</v>
      </c>
      <c r="F80" s="18">
        <f si="32" t="shared"/>
        <v>4.012128966603179E-2</v>
      </c>
      <c r="H80" s="12">
        <v>0.41666666666666669</v>
      </c>
      <c r="I80" s="17">
        <f ref="I80:M80" si="33" t="shared">I23/I$59</f>
        <v>4.9937661277548243E-2</v>
      </c>
      <c r="J80" s="17">
        <f si="33" t="shared"/>
        <v>5.9633440869069021E-2</v>
      </c>
      <c r="K80" s="17">
        <f si="33" t="shared"/>
        <v>3.3602203806911264E-2</v>
      </c>
      <c r="L80" s="17">
        <f si="33" t="shared"/>
        <v>6.3334073994929768E-2</v>
      </c>
      <c r="M80" s="18">
        <f si="33" t="shared"/>
        <v>4.2409156668389764E-2</v>
      </c>
    </row>
    <row r="81" spans="1:13" x14ac:dyDescent="0.25">
      <c r="A81" s="12">
        <v>0.4375</v>
      </c>
      <c r="B81" s="18">
        <f ref="B81:F81" si="34" t="shared">B24/B$59</f>
        <v>3.3966929548648439E-2</v>
      </c>
      <c r="C81" s="18">
        <f si="34" t="shared"/>
        <v>2.9936593157882101E-2</v>
      </c>
      <c r="D81" s="18">
        <f si="34" t="shared"/>
        <v>3.4984095367325142E-2</v>
      </c>
      <c r="E81" s="18">
        <f si="34" t="shared"/>
        <v>6.8963827627709764E-2</v>
      </c>
      <c r="F81" s="18">
        <f si="34" t="shared"/>
        <v>3.5056214881004556E-2</v>
      </c>
      <c r="H81" s="12">
        <v>0.4375</v>
      </c>
      <c r="I81" s="17">
        <f ref="I81:M81" si="35" t="shared">I24/I$59</f>
        <v>3.8855679054726235E-2</v>
      </c>
      <c r="J81" s="17">
        <f si="35" t="shared"/>
        <v>4.3147080374067712E-2</v>
      </c>
      <c r="K81" s="17">
        <f si="35" t="shared"/>
        <v>3.3086509491795361E-2</v>
      </c>
      <c r="L81" s="17">
        <f si="35" t="shared"/>
        <v>7.5487491340273119E-2</v>
      </c>
      <c r="M81" s="18">
        <f si="35" t="shared"/>
        <v>3.7300829792792076E-2</v>
      </c>
    </row>
    <row r="82" spans="1:13" x14ac:dyDescent="0.25">
      <c r="A82" s="12">
        <v>0.45833333333333331</v>
      </c>
      <c r="B82" s="18">
        <f ref="B82:F82" si="36" t="shared">B25/B$59</f>
        <v>2.6291650793590811E-2</v>
      </c>
      <c r="C82" s="18">
        <f si="36" t="shared"/>
        <v>1.900236255674775E-2</v>
      </c>
      <c r="D82" s="18">
        <f si="36" t="shared"/>
        <v>3.4098528397034956E-2</v>
      </c>
      <c r="E82" s="18">
        <f si="36" t="shared"/>
        <v>8.7926954158300444E-2</v>
      </c>
      <c r="F82" s="18">
        <f si="36" t="shared"/>
        <v>3.1523190397295217E-2</v>
      </c>
      <c r="H82" s="12">
        <v>0.45833333333333331</v>
      </c>
      <c r="I82" s="17">
        <f ref="I82:M82" si="37" t="shared">I25/I$59</f>
        <v>3.075937598150116E-2</v>
      </c>
      <c r="J82" s="17">
        <f si="37" t="shared"/>
        <v>3.0753230655682574E-2</v>
      </c>
      <c r="K82" s="17">
        <f si="37" t="shared"/>
        <v>3.2017511150274215E-2</v>
      </c>
      <c r="L82" s="17">
        <f si="37" t="shared"/>
        <v>8.4561021907569464E-2</v>
      </c>
      <c r="M82" s="18">
        <f si="37" t="shared"/>
        <v>3.314195640214497E-2</v>
      </c>
    </row>
    <row r="83" spans="1:13" x14ac:dyDescent="0.25">
      <c r="A83" s="12">
        <v>0.47916666666666669</v>
      </c>
      <c r="B83" s="18">
        <f ref="B83:F83" si="38" t="shared">B26/B$59</f>
        <v>2.1231599242964104E-2</v>
      </c>
      <c r="C83" s="18">
        <f si="38" t="shared"/>
        <v>1.3206388224387411E-2</v>
      </c>
      <c r="D83" s="18">
        <f si="38" t="shared"/>
        <v>3.3080510195621061E-2</v>
      </c>
      <c r="E83" s="18">
        <f si="38" t="shared"/>
        <v>0.10328647730811344</v>
      </c>
      <c r="F83" s="18">
        <f si="38" t="shared"/>
        <v>2.9226025979837908E-2</v>
      </c>
      <c r="H83" s="12">
        <v>0.47916666666666669</v>
      </c>
      <c r="I83" s="17">
        <f ref="I83:M83" si="39" t="shared">I26/I$59</f>
        <v>2.5335126793469324E-2</v>
      </c>
      <c r="J83" s="17">
        <f si="39" t="shared"/>
        <v>2.2260271462055479E-2</v>
      </c>
      <c r="K83" s="17">
        <f si="39" t="shared"/>
        <v>3.09168102823069E-2</v>
      </c>
      <c r="L83" s="17">
        <f si="39" t="shared"/>
        <v>8.8753105535928703E-2</v>
      </c>
      <c r="M83" s="18">
        <f si="39" t="shared"/>
        <v>3.0056961863776641E-2</v>
      </c>
    </row>
    <row r="84" spans="1:13" x14ac:dyDescent="0.25">
      <c r="A84" s="12">
        <v>0.5</v>
      </c>
      <c r="B84" s="18">
        <f ref="B84:F84" si="40" t="shared">B27/B$59</f>
        <v>1.8094702975491483E-2</v>
      </c>
      <c r="C84" s="18">
        <f si="40" t="shared"/>
        <v>1.0405224751888735E-2</v>
      </c>
      <c r="D84" s="18">
        <f si="40" t="shared"/>
        <v>3.2255226369723021E-2</v>
      </c>
      <c r="E84" s="18">
        <f si="40" t="shared"/>
        <v>0.10970833773173901</v>
      </c>
      <c r="F84" s="18">
        <f si="40" t="shared"/>
        <v>2.7705161065765656E-2</v>
      </c>
      <c r="H84" s="12">
        <v>0.5</v>
      </c>
      <c r="I84" s="17">
        <f ref="I84:M84" si="41" t="shared">I27/I$59</f>
        <v>2.1700705819910033E-2</v>
      </c>
      <c r="J84" s="17">
        <f si="41" t="shared"/>
        <v>1.6688608521449679E-2</v>
      </c>
      <c r="K84" s="17">
        <f si="41" t="shared"/>
        <v>3.0168420105675709E-2</v>
      </c>
      <c r="L84" s="17">
        <f si="41" t="shared"/>
        <v>8.7088197189725811E-2</v>
      </c>
      <c r="M84" s="18">
        <f si="41" t="shared"/>
        <v>2.7859406729976537E-2</v>
      </c>
    </row>
    <row r="85" spans="1:13" x14ac:dyDescent="0.25">
      <c r="A85" s="12">
        <v>0.52083333333333337</v>
      </c>
      <c r="B85" s="18">
        <f ref="B85:F85" si="42" t="shared">B28/B$59</f>
        <v>1.6161809187344382E-2</v>
      </c>
      <c r="C85" s="18">
        <f si="42" t="shared"/>
        <v>8.8912359060612477E-3</v>
      </c>
      <c r="D85" s="18">
        <f si="42" t="shared"/>
        <v>3.1916211121546793E-2</v>
      </c>
      <c r="E85" s="18">
        <f si="42" t="shared"/>
        <v>0.10463361924046689</v>
      </c>
      <c r="F85" s="18">
        <f si="42" t="shared"/>
        <v>2.6617247683800166E-2</v>
      </c>
      <c r="H85" s="12">
        <v>0.52083333333333337</v>
      </c>
      <c r="I85" s="17">
        <f ref="I85:M85" si="43" t="shared">I28/I$59</f>
        <v>1.9028073017324905E-2</v>
      </c>
      <c r="J85" s="17">
        <f si="43" t="shared"/>
        <v>1.3033143276963848E-2</v>
      </c>
      <c r="K85" s="17">
        <f si="43" t="shared"/>
        <v>2.9911127049521247E-2</v>
      </c>
      <c r="L85" s="17">
        <f si="43" t="shared"/>
        <v>7.9908121646813685E-2</v>
      </c>
      <c r="M85" s="18">
        <f si="43" t="shared"/>
        <v>2.6278202465610079E-2</v>
      </c>
    </row>
    <row r="86" spans="1:13" x14ac:dyDescent="0.25">
      <c r="A86" s="12">
        <v>0.54166666666666663</v>
      </c>
      <c r="B86" s="18">
        <f ref="B86:F86" si="44" t="shared">B29/B$59</f>
        <v>1.4849279039845094E-2</v>
      </c>
      <c r="C86" s="18">
        <f si="44" t="shared"/>
        <v>7.7213154948376182E-3</v>
      </c>
      <c r="D86" s="18">
        <f si="44" t="shared"/>
        <v>3.2198754673380306E-2</v>
      </c>
      <c r="E86" s="18">
        <f si="44" t="shared"/>
        <v>8.9851567271342039E-2</v>
      </c>
      <c r="F86" s="18">
        <f si="44" t="shared"/>
        <v>2.5801820840112944E-2</v>
      </c>
      <c r="H86" s="12">
        <v>0.54166666666666663</v>
      </c>
      <c r="I86" s="17">
        <f ref="I86:M86" si="45" t="shared">I29/I$59</f>
        <v>1.684724327617499E-2</v>
      </c>
      <c r="J86" s="17">
        <f si="45" t="shared"/>
        <v>1.0596230948427966E-2</v>
      </c>
      <c r="K86" s="17">
        <f si="45" t="shared"/>
        <v>3.0067464784298066E-2</v>
      </c>
      <c r="L86" s="17">
        <f si="45" t="shared"/>
        <v>6.8962805719274975E-2</v>
      </c>
      <c r="M86" s="18">
        <f si="45" t="shared"/>
        <v>2.5104159659424228E-2</v>
      </c>
    </row>
    <row r="87" spans="1:13" x14ac:dyDescent="0.25">
      <c r="A87" s="12">
        <v>0.5625</v>
      </c>
      <c r="B87" s="18">
        <f ref="B87:F87" si="46" t="shared">B30/B$59</f>
        <v>1.3781759115160254E-2</v>
      </c>
      <c r="C87" s="18">
        <f si="46" t="shared"/>
        <v>6.6081802487050331E-3</v>
      </c>
      <c r="D87" s="18">
        <f si="46" t="shared"/>
        <v>3.2995932780875419E-2</v>
      </c>
      <c r="E87" s="18">
        <f si="46" t="shared"/>
        <v>7.0341708700433478E-2</v>
      </c>
      <c r="F87" s="18">
        <f si="46" t="shared"/>
        <v>2.5205921064839102E-2</v>
      </c>
      <c r="H87" s="12">
        <v>0.5625</v>
      </c>
      <c r="I87" s="17">
        <f ref="I87:M87" si="47" t="shared">I30/I$59</f>
        <v>1.5002530266892281E-2</v>
      </c>
      <c r="J87" s="17">
        <f si="47" t="shared"/>
        <v>8.9786872963475671E-3</v>
      </c>
      <c r="K87" s="17">
        <f si="47" t="shared"/>
        <v>3.048276685474639E-2</v>
      </c>
      <c r="L87" s="17">
        <f si="47" t="shared"/>
        <v>5.6745786727848073E-2</v>
      </c>
      <c r="M87" s="18">
        <f si="47" t="shared"/>
        <v>2.4233932310649488E-2</v>
      </c>
    </row>
    <row r="88" spans="1:13" x14ac:dyDescent="0.25">
      <c r="A88" s="12">
        <v>0.58333333333333337</v>
      </c>
      <c r="B88" s="18">
        <f ref="B88:F88" si="48" t="shared">B31/B$59</f>
        <v>1.2766581597388372E-2</v>
      </c>
      <c r="C88" s="18">
        <f si="48" t="shared"/>
        <v>5.634551569284699E-3</v>
      </c>
      <c r="D88" s="18">
        <f si="48" t="shared"/>
        <v>3.4011235910510515E-2</v>
      </c>
      <c r="E88" s="18">
        <f si="48" t="shared"/>
        <v>5.1454164585525736E-2</v>
      </c>
      <c r="F88" s="18">
        <f si="48" t="shared"/>
        <v>2.4783106047224533E-2</v>
      </c>
      <c r="H88" s="12">
        <v>0.58333333333333337</v>
      </c>
      <c r="I88" s="17">
        <f ref="I88:M88" si="49" t="shared">I31/I$59</f>
        <v>1.3456438648707153E-2</v>
      </c>
      <c r="J88" s="17">
        <f si="49" t="shared"/>
        <v>7.9431798437967736E-3</v>
      </c>
      <c r="K88" s="17">
        <f si="49" t="shared"/>
        <v>3.1077965970604346E-2</v>
      </c>
      <c r="L88" s="17">
        <f si="49" t="shared"/>
        <v>4.5372042186581189E-2</v>
      </c>
      <c r="M88" s="18">
        <f si="49" t="shared"/>
        <v>2.364848996153486E-2</v>
      </c>
    </row>
    <row r="89" spans="1:13" x14ac:dyDescent="0.25">
      <c r="A89" s="12">
        <v>0.60416666666666663</v>
      </c>
      <c r="B89" s="18">
        <f ref="B89:F89" si="50" t="shared">B32/B$59</f>
        <v>1.1718269088323515E-2</v>
      </c>
      <c r="C89" s="18">
        <f si="50" t="shared"/>
        <v>4.9525258965070094E-3</v>
      </c>
      <c r="D89" s="18">
        <f si="50" t="shared"/>
        <v>3.4943707453813352E-2</v>
      </c>
      <c r="E89" s="18">
        <f si="50" t="shared"/>
        <v>3.6539288804991597E-2</v>
      </c>
      <c r="F89" s="18">
        <f si="50" t="shared"/>
        <v>2.4463514323787974E-2</v>
      </c>
      <c r="H89" s="12">
        <v>0.60416666666666663</v>
      </c>
      <c r="I89" s="17">
        <f ref="I89:M89" si="51" t="shared">I32/I$59</f>
        <v>1.2149664200564696E-2</v>
      </c>
      <c r="J89" s="17">
        <f si="51" t="shared"/>
        <v>7.3092421058182271E-3</v>
      </c>
      <c r="K89" s="17">
        <f si="51" t="shared"/>
        <v>3.1910586027211467E-2</v>
      </c>
      <c r="L89" s="17">
        <f si="51" t="shared"/>
        <v>3.5843045681647041E-2</v>
      </c>
      <c r="M89" s="18">
        <f si="51" t="shared"/>
        <v>2.3371863993805832E-2</v>
      </c>
    </row>
    <row r="90" spans="1:13" x14ac:dyDescent="0.25">
      <c r="A90" s="12">
        <v>0.625</v>
      </c>
      <c r="B90" s="18">
        <f ref="B90:F90" si="52" t="shared">B33/B$59</f>
        <v>1.0607626867535264E-2</v>
      </c>
      <c r="C90" s="18">
        <f si="52" t="shared"/>
        <v>4.5988781229096805E-3</v>
      </c>
      <c r="D90" s="18">
        <f si="52" t="shared"/>
        <v>3.5708599664499713E-2</v>
      </c>
      <c r="E90" s="18">
        <f si="52" t="shared"/>
        <v>2.6284802446829507E-2</v>
      </c>
      <c r="F90" s="18">
        <f si="52" t="shared"/>
        <v>2.4217498483587247E-2</v>
      </c>
      <c r="H90" s="12">
        <v>0.625</v>
      </c>
      <c r="I90" s="17">
        <f ref="I90:M90" si="53" t="shared">I33/I$59</f>
        <v>1.0989178385199841E-2</v>
      </c>
      <c r="J90" s="17">
        <f si="53" t="shared"/>
        <v>6.9264998501147798E-3</v>
      </c>
      <c r="K90" s="17">
        <f si="53" t="shared"/>
        <v>3.3106442813758401E-2</v>
      </c>
      <c r="L90" s="17">
        <f si="53" t="shared"/>
        <v>2.8178244303025325E-2</v>
      </c>
      <c r="M90" s="18">
        <f si="53" t="shared"/>
        <v>2.3430161438455541E-2</v>
      </c>
    </row>
    <row r="91" spans="1:13" x14ac:dyDescent="0.25">
      <c r="A91" s="12">
        <v>0.64583333333333337</v>
      </c>
      <c r="B91" s="18">
        <f ref="B91:F91" si="54" t="shared">B34/B$59</f>
        <v>9.4468826851649805E-3</v>
      </c>
      <c r="C91" s="18">
        <f si="54" t="shared"/>
        <v>4.4856305083777713E-3</v>
      </c>
      <c r="D91" s="18">
        <f si="54" t="shared"/>
        <v>3.6541305342620505E-2</v>
      </c>
      <c r="E91" s="18">
        <f si="54" t="shared"/>
        <v>1.9563418949690419E-2</v>
      </c>
      <c r="F91" s="18">
        <f si="54" t="shared"/>
        <v>2.4133466225669382E-2</v>
      </c>
      <c r="H91" s="12">
        <v>0.64583333333333337</v>
      </c>
      <c r="I91" s="17">
        <f ref="I91:M91" si="55" t="shared">I34/I$59</f>
        <v>9.9034810964810614E-3</v>
      </c>
      <c r="J91" s="17">
        <f si="55" t="shared"/>
        <v>6.6916745513158644E-3</v>
      </c>
      <c r="K91" s="17">
        <f si="55" t="shared"/>
        <v>3.472460923458958E-2</v>
      </c>
      <c r="L91" s="17">
        <f si="55" t="shared"/>
        <v>2.2043463538016395E-2</v>
      </c>
      <c r="M91" s="18">
        <f si="55" t="shared"/>
        <v>2.3812993734230934E-2</v>
      </c>
    </row>
    <row r="92" spans="1:13" x14ac:dyDescent="0.25">
      <c r="A92" s="12">
        <v>0.66666666666666663</v>
      </c>
      <c r="B92" s="18">
        <f ref="B92:F92" si="56" t="shared">B35/B$59</f>
        <v>8.2706572597341151E-3</v>
      </c>
      <c r="C92" s="18">
        <f si="56" t="shared"/>
        <v>4.4897211836022605E-3</v>
      </c>
      <c r="D92" s="18">
        <f si="56" t="shared"/>
        <v>3.785870087056404E-2</v>
      </c>
      <c r="E92" s="18">
        <f si="56" t="shared"/>
        <v>1.4802583511260575E-2</v>
      </c>
      <c r="F92" s="18">
        <f si="56" t="shared"/>
        <v>2.4388783794955293E-2</v>
      </c>
      <c r="H92" s="12">
        <v>0.66666666666666663</v>
      </c>
      <c r="I92" s="17">
        <f ref="I92:M92" si="57" t="shared">I35/I$59</f>
        <v>8.8746933855886855E-3</v>
      </c>
      <c r="J92" s="17">
        <f si="57" t="shared"/>
        <v>6.5549742239440862E-3</v>
      </c>
      <c r="K92" s="17">
        <f si="57" t="shared"/>
        <v>3.6662891450346798E-2</v>
      </c>
      <c r="L92" s="17">
        <f si="57" t="shared"/>
        <v>1.7201365668091138E-2</v>
      </c>
      <c r="M92" s="18">
        <f si="57" t="shared"/>
        <v>2.444426057086195E-2</v>
      </c>
    </row>
    <row r="93" spans="1:13" x14ac:dyDescent="0.25">
      <c r="A93" s="12">
        <v>0.6875</v>
      </c>
      <c r="B93" s="18">
        <f ref="B93:F93" si="58" t="shared">B36/B$59</f>
        <v>7.1046179053884826E-3</v>
      </c>
      <c r="C93" s="18">
        <f si="58" t="shared"/>
        <v>4.5111617085099092E-3</v>
      </c>
      <c r="D93" s="18">
        <f si="58" t="shared"/>
        <v>3.9898193252977991E-2</v>
      </c>
      <c r="E93" s="18">
        <f si="58" t="shared"/>
        <v>1.0957549566918644E-2</v>
      </c>
      <c r="F93" s="18">
        <f si="58" t="shared"/>
        <v>2.507768248431198E-2</v>
      </c>
      <c r="H93" s="12">
        <v>0.6875</v>
      </c>
      <c r="I93" s="17">
        <f ref="I93:M93" si="59" t="shared">I36/I$59</f>
        <v>7.915843836238709E-3</v>
      </c>
      <c r="J93" s="17">
        <f si="59" t="shared"/>
        <v>6.490090467147048E-3</v>
      </c>
      <c r="K93" s="17">
        <f si="59" t="shared"/>
        <v>3.8654424336753188E-2</v>
      </c>
      <c r="L93" s="17">
        <f si="59" t="shared"/>
        <v>1.3534308539040337E-2</v>
      </c>
      <c r="M93" s="18">
        <f si="59" t="shared"/>
        <v>2.5170776878973476E-2</v>
      </c>
    </row>
    <row r="94" spans="1:13" x14ac:dyDescent="0.25">
      <c r="A94" s="12">
        <v>0.70833333333333337</v>
      </c>
      <c r="B94" s="18">
        <f ref="B94:F94" si="60" t="shared">B37/B$59</f>
        <v>5.9565181103851698E-3</v>
      </c>
      <c r="C94" s="18">
        <f si="60" t="shared"/>
        <v>4.4608382385051618E-3</v>
      </c>
      <c r="D94" s="18">
        <f si="60" t="shared"/>
        <v>4.2353031955431587E-2</v>
      </c>
      <c r="E94" s="18">
        <f si="60" t="shared"/>
        <v>7.7221819487413839E-3</v>
      </c>
      <c r="F94" s="18">
        <f si="60" t="shared"/>
        <v>2.6011092809037139E-2</v>
      </c>
      <c r="H94" s="12">
        <v>0.70833333333333337</v>
      </c>
      <c r="I94" s="17">
        <f ref="I94:M94" si="61" t="shared">I37/I$59</f>
        <v>7.0271082729357589E-3</v>
      </c>
      <c r="J94" s="17">
        <f si="61" t="shared"/>
        <v>6.4467075308150875E-3</v>
      </c>
      <c r="K94" s="17">
        <f si="61" t="shared"/>
        <v>4.0317498527627595E-2</v>
      </c>
      <c r="L94" s="17">
        <f si="61" t="shared"/>
        <v>1.0871743415133249E-2</v>
      </c>
      <c r="M94" s="18">
        <f si="61" t="shared"/>
        <v>2.5766575549412578E-2</v>
      </c>
    </row>
    <row r="95" spans="1:13" x14ac:dyDescent="0.25">
      <c r="A95" s="12">
        <v>0.72916666666666663</v>
      </c>
      <c r="B95" s="18">
        <f ref="B95:F95" si="62" t="shared">B38/B$59</f>
        <v>4.8401377010922429E-3</v>
      </c>
      <c r="C95" s="18">
        <f si="62" t="shared"/>
        <v>4.2450140147461801E-3</v>
      </c>
      <c r="D95" s="18">
        <f si="62" t="shared"/>
        <v>4.4300521355600322E-2</v>
      </c>
      <c r="E95" s="18">
        <f si="62" t="shared"/>
        <v>5.1990722162398046E-3</v>
      </c>
      <c r="F95" s="18">
        <f si="62" t="shared"/>
        <v>2.6671557528701061E-2</v>
      </c>
      <c r="H95" s="12">
        <v>0.72916666666666663</v>
      </c>
      <c r="I95" s="17">
        <f ref="I95:M95" si="63" t="shared">I38/I$59</f>
        <v>6.1786963983333203E-3</v>
      </c>
      <c r="J95" s="17">
        <f si="63" t="shared"/>
        <v>6.3300124077683264E-3</v>
      </c>
      <c r="K95" s="17">
        <f si="63" t="shared"/>
        <v>4.1215996835268109E-2</v>
      </c>
      <c r="L95" s="17">
        <f si="63" t="shared"/>
        <v>8.9152113159511204E-3</v>
      </c>
      <c r="M95" s="18">
        <f si="63" t="shared"/>
        <v>2.5957107973344072E-2</v>
      </c>
    </row>
    <row r="96" spans="1:13" x14ac:dyDescent="0.25">
      <c r="A96" s="12">
        <v>0.75</v>
      </c>
      <c r="B96" s="18">
        <f ref="B96:F96" si="64" t="shared">B39/B$59</f>
        <v>3.7959090663928999E-3</v>
      </c>
      <c r="C96" s="18">
        <f si="64" t="shared"/>
        <v>3.799893254639287E-3</v>
      </c>
      <c r="D96" s="18">
        <f si="64" t="shared"/>
        <v>4.4559366642904698E-2</v>
      </c>
      <c r="E96" s="18">
        <f si="64" t="shared"/>
        <v>3.4922871576567511E-3</v>
      </c>
      <c r="F96" s="18">
        <f si="64" t="shared"/>
        <v>2.6409640474411904E-2</v>
      </c>
      <c r="H96" s="12">
        <v>0.75</v>
      </c>
      <c r="I96" s="17">
        <f ref="I96:M96" si="65" t="shared">I39/I$59</f>
        <v>5.3345239270083059E-3</v>
      </c>
      <c r="J96" s="17">
        <f si="65" t="shared"/>
        <v>6.0359512998766065E-3</v>
      </c>
      <c r="K96" s="17">
        <f si="65" t="shared"/>
        <v>4.0954693336218512E-2</v>
      </c>
      <c r="L96" s="17">
        <f si="65" t="shared"/>
        <v>7.3352779795364106E-3</v>
      </c>
      <c r="M96" s="18">
        <f si="65" t="shared"/>
        <v>2.548688473708062E-2</v>
      </c>
    </row>
    <row r="97" spans="1:13" x14ac:dyDescent="0.25">
      <c r="A97" s="12">
        <v>0.77083333333333337</v>
      </c>
      <c r="B97" s="18">
        <f ref="B97:F97" si="66" t="shared">B40/B$59</f>
        <v>2.8790142639737162E-3</v>
      </c>
      <c r="C97" s="18">
        <f si="66" t="shared"/>
        <v>3.1427137739996665E-3</v>
      </c>
      <c r="D97" s="18">
        <f si="66" t="shared"/>
        <v>4.2297998105757309E-2</v>
      </c>
      <c r="E97" s="18">
        <f si="66" t="shared"/>
        <v>2.514955799637974E-3</v>
      </c>
      <c r="F97" s="18">
        <f si="66" t="shared"/>
        <v>2.4779099829842652E-2</v>
      </c>
      <c r="H97" s="12">
        <v>0.77083333333333337</v>
      </c>
      <c r="I97" s="17">
        <f ref="I97:M97" si="67" t="shared">I40/I$59</f>
        <v>4.490049265982868E-3</v>
      </c>
      <c r="J97" s="17">
        <f si="67" t="shared"/>
        <v>5.520623506513442E-3</v>
      </c>
      <c r="K97" s="17">
        <f si="67" t="shared"/>
        <v>3.9329545691517691E-2</v>
      </c>
      <c r="L97" s="17">
        <f si="67" t="shared"/>
        <v>5.9289526576213969E-3</v>
      </c>
      <c r="M97" s="18">
        <f si="67" t="shared"/>
        <v>2.4228177142028809E-2</v>
      </c>
    </row>
    <row r="98" spans="1:13" x14ac:dyDescent="0.25">
      <c r="A98" s="12">
        <v>0.79166666666666663</v>
      </c>
      <c r="B98" s="18">
        <f ref="B98:F98" si="68" t="shared">B41/B$59</f>
        <v>2.1309891164204764E-3</v>
      </c>
      <c r="C98" s="18">
        <f si="68" t="shared"/>
        <v>2.3768170476051193E-3</v>
      </c>
      <c r="D98" s="18">
        <f si="68" t="shared"/>
        <v>3.7499690527068544E-2</v>
      </c>
      <c r="E98" s="18">
        <f si="68" t="shared"/>
        <v>2.0176308502265752E-3</v>
      </c>
      <c r="F98" s="18">
        <f si="68" t="shared"/>
        <v>2.178851399531118E-2</v>
      </c>
      <c r="H98" s="12">
        <v>0.79166666666666663</v>
      </c>
      <c r="I98" s="17">
        <f ref="I98:M98" si="69" t="shared">I41/I$59</f>
        <v>3.6853118928066864E-3</v>
      </c>
      <c r="J98" s="17">
        <f si="69" t="shared"/>
        <v>4.8404047796749838E-3</v>
      </c>
      <c r="K98" s="17">
        <f si="69" t="shared"/>
        <v>3.6443403023977167E-2</v>
      </c>
      <c r="L98" s="17">
        <f si="69" t="shared"/>
        <v>4.6904667826232075E-3</v>
      </c>
      <c r="M98" s="18">
        <f si="69" t="shared"/>
        <v>2.2256932103768248E-2</v>
      </c>
    </row>
    <row r="99" spans="1:13" x14ac:dyDescent="0.25">
      <c r="A99" s="12">
        <v>0.8125</v>
      </c>
      <c r="B99" s="18">
        <f ref="B99:F99" si="70" t="shared">B42/B$59</f>
        <v>1.5663640467380312E-3</v>
      </c>
      <c r="C99" s="18">
        <f si="70" t="shared"/>
        <v>1.6416448010229342E-3</v>
      </c>
      <c r="D99" s="18">
        <f si="70" t="shared"/>
        <v>3.0975674315033144E-2</v>
      </c>
      <c r="E99" s="18">
        <f si="70" t="shared"/>
        <v>1.71656725695348E-3</v>
      </c>
      <c r="F99" s="18">
        <f si="70" t="shared"/>
        <v>1.7902049689406431E-2</v>
      </c>
      <c r="H99" s="12">
        <v>0.8125</v>
      </c>
      <c r="I99" s="17">
        <f ref="I99:M99" si="71" t="shared">I42/I$59</f>
        <v>2.9786707307893181E-3</v>
      </c>
      <c r="J99" s="17">
        <f si="71" t="shared"/>
        <v>4.1165058435716651E-3</v>
      </c>
      <c r="K99" s="17">
        <f si="71" t="shared"/>
        <v>3.2655440469246073E-2</v>
      </c>
      <c r="L99" s="17">
        <f si="71" t="shared"/>
        <v>3.7322594763215255E-3</v>
      </c>
      <c r="M99" s="18">
        <f si="71" t="shared"/>
        <v>1.9810058057266856E-2</v>
      </c>
    </row>
    <row r="100" spans="1:13" x14ac:dyDescent="0.25">
      <c r="A100" s="12">
        <v>0.83333333333333337</v>
      </c>
      <c r="B100" s="18">
        <f ref="B100:F100" si="72" t="shared">B43/B$59</f>
        <v>1.1778543787010491E-3</v>
      </c>
      <c r="C100" s="18">
        <f si="72" t="shared"/>
        <v>1.0520350076171888E-3</v>
      </c>
      <c r="D100" s="18">
        <f si="72" t="shared"/>
        <v>2.3946865839004818E-2</v>
      </c>
      <c r="E100" s="18">
        <f si="72" t="shared"/>
        <v>1.416811335982035E-3</v>
      </c>
      <c r="F100" s="18">
        <f si="72" t="shared"/>
        <v>1.3804500687838958E-2</v>
      </c>
      <c r="H100" s="12">
        <v>0.83333333333333337</v>
      </c>
      <c r="I100" s="17">
        <f ref="I100:M100" si="73" t="shared">I43/I$59</f>
        <v>2.4046576612879438E-3</v>
      </c>
      <c r="J100" s="17">
        <f si="73" t="shared"/>
        <v>3.4491999331193934E-3</v>
      </c>
      <c r="K100" s="17">
        <f si="73" t="shared"/>
        <v>2.8375851445921481E-2</v>
      </c>
      <c r="L100" s="17">
        <f si="73" t="shared"/>
        <v>3.1227272506202078E-3</v>
      </c>
      <c r="M100" s="18">
        <f si="73" t="shared"/>
        <v>1.7142398645524207E-2</v>
      </c>
    </row>
    <row r="101" spans="1:13" x14ac:dyDescent="0.25">
      <c r="A101" s="12">
        <v>0.85416666666666663</v>
      </c>
      <c r="B101" s="18">
        <f ref="B101:F101" si="74" t="shared">B44/B$59</f>
        <v>9.4038357637188483E-4</v>
      </c>
      <c r="C101" s="18">
        <f si="74" t="shared"/>
        <v>6.706314014203698E-4</v>
      </c>
      <c r="D101" s="18">
        <f si="74" t="shared"/>
        <v>1.7502759968643627E-2</v>
      </c>
      <c r="E101" s="18">
        <f si="74" t="shared"/>
        <v>1.0640921490863322E-3</v>
      </c>
      <c r="F101" s="18">
        <f si="74" t="shared"/>
        <v>1.0100050249485832E-2</v>
      </c>
      <c r="H101" s="12">
        <v>0.85416666666666663</v>
      </c>
      <c r="I101" s="17">
        <f ref="I101:M101" si="75" t="shared">I44/I$59</f>
        <v>1.9534773123626456E-3</v>
      </c>
      <c r="J101" s="17">
        <f si="75" t="shared"/>
        <v>2.8592385505100122E-3</v>
      </c>
      <c r="K101" s="17">
        <f si="75" t="shared"/>
        <v>2.3887185128145388E-2</v>
      </c>
      <c r="L101" s="17">
        <f si="75" t="shared"/>
        <v>2.7807101836323459E-3</v>
      </c>
      <c r="M101" s="18">
        <f si="75" t="shared"/>
        <v>1.4409954435062612E-2</v>
      </c>
    </row>
    <row r="102" spans="1:13" x14ac:dyDescent="0.25">
      <c r="A102" s="12">
        <v>0.875</v>
      </c>
      <c r="B102" s="18">
        <f ref="B102:F102" si="76" t="shared">B45/B$59</f>
        <v>8.074740076885787E-4</v>
      </c>
      <c r="C102" s="18">
        <f si="76" t="shared"/>
        <v>5.2097537534967259E-4</v>
      </c>
      <c r="D102" s="18">
        <f si="76" t="shared"/>
        <v>1.2261804471083585E-2</v>
      </c>
      <c r="E102" s="18">
        <f si="76" t="shared"/>
        <v>7.0676342134839542E-4</v>
      </c>
      <c r="F102" s="18">
        <f si="76" t="shared"/>
        <v>7.1233499362127507E-3</v>
      </c>
      <c r="H102" s="12">
        <v>0.875</v>
      </c>
      <c r="I102" s="17">
        <f ref="I102:M102" si="77" t="shared">I45/I$59</f>
        <v>1.5863220926382016E-3</v>
      </c>
      <c r="J102" s="17">
        <f si="77" t="shared"/>
        <v>2.3058473325913934E-3</v>
      </c>
      <c r="K102" s="17">
        <f si="77" t="shared"/>
        <v>1.9343637197859618E-2</v>
      </c>
      <c r="L102" s="17">
        <f si="77" t="shared"/>
        <v>2.513545990258147E-3</v>
      </c>
      <c r="M102" s="18">
        <f si="77" t="shared"/>
        <v>1.1677247942936441E-2</v>
      </c>
    </row>
    <row r="103" spans="1:13" x14ac:dyDescent="0.25">
      <c r="A103" s="12">
        <v>0.89583333333333337</v>
      </c>
      <c r="B103" s="18">
        <f ref="B103:F103" si="78" t="shared">B46/B$59</f>
        <v>7.1657885653184485E-4</v>
      </c>
      <c r="C103" s="18">
        <f si="78" t="shared"/>
        <v>6.1060131789149807E-4</v>
      </c>
      <c r="D103" s="18">
        <f si="78" t="shared"/>
        <v>8.3454297139499631E-3</v>
      </c>
      <c r="E103" s="18">
        <f si="78" t="shared"/>
        <v>4.1302241795738201E-4</v>
      </c>
      <c r="F103" s="18">
        <f si="78" t="shared"/>
        <v>4.9271649318455273E-3</v>
      </c>
      <c r="H103" s="12">
        <v>0.89583333333333337</v>
      </c>
      <c r="I103" s="17">
        <f ref="I103:M103" si="79" t="shared">I46/I$59</f>
        <v>1.2667186436102424E-3</v>
      </c>
      <c r="J103" s="17">
        <f si="79" t="shared"/>
        <v>1.7532556249110415E-3</v>
      </c>
      <c r="K103" s="17">
        <f si="79" t="shared"/>
        <v>1.490076249842557E-2</v>
      </c>
      <c r="L103" s="17">
        <f si="79" t="shared"/>
        <v>2.152975725315062E-3</v>
      </c>
      <c r="M103" s="18">
        <f si="79" t="shared"/>
        <v>9.0116139554841795E-3</v>
      </c>
    </row>
    <row r="104" spans="1:13" x14ac:dyDescent="0.25">
      <c r="A104" s="12">
        <v>0.91666666666666663</v>
      </c>
      <c r="B104" s="18">
        <f ref="B104:F104" si="80" t="shared">B47/B$59</f>
        <v>6.1356277280058568E-4</v>
      </c>
      <c r="C104" s="18">
        <f si="80" t="shared"/>
        <v>9.2150265045265879E-4</v>
      </c>
      <c r="D104" s="18">
        <f si="80" t="shared"/>
        <v>5.5611433804943072E-3</v>
      </c>
      <c r="E104" s="18">
        <f si="80" t="shared"/>
        <v>2.1374203806420663E-4</v>
      </c>
      <c r="F104" s="18">
        <f si="80" t="shared"/>
        <v>3.3879187368150098E-3</v>
      </c>
      <c r="H104" s="12">
        <v>0.91666666666666663</v>
      </c>
      <c r="I104" s="17">
        <f ref="I104:M104" si="81" t="shared">I47/I$59</f>
        <v>9.7917038954464493E-4</v>
      </c>
      <c r="J104" s="17">
        <f si="81" t="shared"/>
        <v>1.2167564619630872E-3</v>
      </c>
      <c r="K104" s="17">
        <f si="81" t="shared"/>
        <v>1.0801163989805924E-2</v>
      </c>
      <c r="L104" s="17">
        <f si="81" t="shared"/>
        <v>1.6614747808464977E-3</v>
      </c>
      <c r="M104" s="18">
        <f si="81" t="shared"/>
        <v>6.5456911744297928E-3</v>
      </c>
    </row>
    <row r="105" spans="1:13" x14ac:dyDescent="0.25">
      <c r="A105" s="12">
        <v>0.9375</v>
      </c>
      <c r="B105" s="18">
        <f ref="B105:F105" si="82" t="shared">B48/B$59</f>
        <v>4.7879503763668528E-4</v>
      </c>
      <c r="C105" s="18">
        <f si="82" t="shared"/>
        <v>1.3648870765811064E-3</v>
      </c>
      <c r="D105" s="18">
        <f si="82" t="shared"/>
        <v>3.6200811561032213E-3</v>
      </c>
      <c r="E105" s="18">
        <f si="82" t="shared"/>
        <v>9.861164263123987E-5</v>
      </c>
      <c r="F105" s="18">
        <f si="82" t="shared"/>
        <v>2.3277074053845285E-3</v>
      </c>
      <c r="H105" s="12">
        <v>0.9375</v>
      </c>
      <c r="I105" s="17">
        <f ref="I105:M105" si="83" t="shared">I48/I$59</f>
        <v>7.2572856697777238E-4</v>
      </c>
      <c r="J105" s="17">
        <f si="83" t="shared"/>
        <v>7.5139014742764204E-4</v>
      </c>
      <c r="K105" s="17">
        <f si="83" t="shared"/>
        <v>7.31845435295917E-3</v>
      </c>
      <c r="L105" s="17">
        <f si="83" t="shared"/>
        <v>1.1253951265765643E-3</v>
      </c>
      <c r="M105" s="18">
        <f si="83" t="shared"/>
        <v>4.4433475847152036E-3</v>
      </c>
    </row>
    <row r="106" spans="1:13" x14ac:dyDescent="0.25">
      <c r="A106" s="12">
        <v>0.95833333333333337</v>
      </c>
      <c r="B106" s="18">
        <f ref="B106:F106" si="84" t="shared">B49/B$59</f>
        <v>3.2949109733055237E-4</v>
      </c>
      <c r="C106" s="18">
        <f si="84" t="shared"/>
        <v>1.7620347083389595E-3</v>
      </c>
      <c r="D106" s="18">
        <f si="84" t="shared"/>
        <v>2.2743241508299938E-3</v>
      </c>
      <c r="E106" s="18">
        <f si="84" t="shared"/>
        <v>4.0348979365345333E-5</v>
      </c>
      <c r="F106" s="18">
        <f si="84" t="shared"/>
        <v>1.5893702070267565E-3</v>
      </c>
      <c r="H106" s="12">
        <v>0.95833333333333337</v>
      </c>
      <c r="I106" s="17">
        <f ref="I106:M106" si="85" t="shared">I49/I$59</f>
        <v>5.126122060120881E-4</v>
      </c>
      <c r="J106" s="17">
        <f si="85" t="shared"/>
        <v>4.0615656912575896E-4</v>
      </c>
      <c r="K106" s="17">
        <f si="85" t="shared"/>
        <v>4.627320355050534E-3</v>
      </c>
      <c r="L106" s="17">
        <f si="85" t="shared"/>
        <v>6.6342271344925279E-4</v>
      </c>
      <c r="M106" s="18">
        <f si="85" t="shared"/>
        <v>2.8143167790217671E-3</v>
      </c>
    </row>
    <row r="107" spans="1:13" x14ac:dyDescent="0.25">
      <c r="A107" s="12">
        <v>0.97916666666666663</v>
      </c>
      <c r="B107" s="18">
        <f ref="B107:F107" si="86" t="shared">B50/B$59</f>
        <v>1.9705378473519378E-4</v>
      </c>
      <c r="C107" s="18">
        <f si="86" t="shared"/>
        <v>1.9146437213788219E-3</v>
      </c>
      <c r="D107" s="18">
        <f si="86" t="shared"/>
        <v>1.3547479810358681E-3</v>
      </c>
      <c r="E107" s="18">
        <f si="86" t="shared"/>
        <v>1.4284310779543068E-5</v>
      </c>
      <c r="F107" s="18">
        <f si="86" t="shared"/>
        <v>1.0609766281552068E-3</v>
      </c>
      <c r="H107" s="12">
        <v>0.97916666666666663</v>
      </c>
      <c r="I107" s="17">
        <f ref="I107:M107" si="87" t="shared">I50/I$59</f>
        <v>3.4190035386483871E-4</v>
      </c>
      <c r="J107" s="17">
        <f si="87" t="shared"/>
        <v>1.9089851505941398E-4</v>
      </c>
      <c r="K107" s="17">
        <f si="87" t="shared"/>
        <v>2.7315928711379536E-3</v>
      </c>
      <c r="L107" s="17">
        <f si="87" t="shared"/>
        <v>3.4217639949064708E-4</v>
      </c>
      <c r="M107" s="18">
        <f si="87" t="shared"/>
        <v>1.6646552169836076E-3</v>
      </c>
    </row>
    <row r="108" spans="1:13" x14ac:dyDescent="0.25">
      <c r="A108" s="12">
        <v>1</v>
      </c>
      <c r="B108" s="18">
        <f ref="B108:F108" si="88" t="shared">B51/B$59</f>
        <v>1.0206489866615257E-4</v>
      </c>
      <c r="C108" s="18">
        <f si="88" t="shared"/>
        <v>1.7319129775995048E-3</v>
      </c>
      <c r="D108" s="18">
        <f si="88" t="shared"/>
        <v>7.5063202184386492E-4</v>
      </c>
      <c r="E108" s="18">
        <f si="88" t="shared"/>
        <v>4.1893011226627087E-6</v>
      </c>
      <c r="F108" s="18">
        <f si="88" t="shared"/>
        <v>6.7440963442666902E-4</v>
      </c>
      <c r="H108" s="12">
        <v>1</v>
      </c>
      <c r="I108" s="17">
        <f ref="I108:M108" si="89" t="shared">I51/I$59</f>
        <v>2.1169777909144525E-4</v>
      </c>
      <c r="J108" s="17">
        <f si="89" t="shared"/>
        <v>7.8518255668918121E-5</v>
      </c>
      <c r="K108" s="17">
        <f si="89" t="shared"/>
        <v>1.500769933343644E-3</v>
      </c>
      <c r="L108" s="17">
        <f si="89" t="shared"/>
        <v>1.5734128994180345E-4</v>
      </c>
      <c r="M108" s="18">
        <f si="89" t="shared"/>
        <v>9.1698937485162185E-4</v>
      </c>
    </row>
    <row r="109" spans="1:13" x14ac:dyDescent="0.25">
      <c r="A109" s="12">
        <v>1.0208333333333333</v>
      </c>
      <c r="B109" s="18">
        <f ref="B109:F109" si="90" t="shared">B52/B$59</f>
        <v>4.594014705948837E-5</v>
      </c>
      <c r="C109" s="18">
        <f si="90" t="shared"/>
        <v>1.2960902648413313E-3</v>
      </c>
      <c r="D109" s="18">
        <f si="90" t="shared"/>
        <v>3.7959097550169159E-4</v>
      </c>
      <c r="E109" s="18">
        <f si="90" t="shared"/>
        <v>9.5987828806703728E-7</v>
      </c>
      <c r="F109" s="18">
        <f si="90" t="shared"/>
        <v>3.9494146380325042E-4</v>
      </c>
      <c r="H109" s="12">
        <v>1.0208333333333333</v>
      </c>
      <c r="I109" s="17">
        <f ref="I109:M109" si="91" t="shared">I52/I$59</f>
        <v>1.1875364146694435E-4</v>
      </c>
      <c r="J109" s="17">
        <f si="91" t="shared"/>
        <v>2.8960975289587562E-5</v>
      </c>
      <c r="K109" s="17">
        <f si="91" t="shared"/>
        <v>7.5803101265977638E-4</v>
      </c>
      <c r="L109" s="17">
        <f si="91" t="shared"/>
        <v>6.637263499826871E-5</v>
      </c>
      <c r="M109" s="18">
        <f si="91" t="shared"/>
        <v>4.6472579515137392E-4</v>
      </c>
    </row>
    <row r="110" spans="1:13" x14ac:dyDescent="0.25">
      <c r="A110" s="12">
        <v>4.1666666666666664E-2</v>
      </c>
      <c r="B110" s="18">
        <f ref="B110:F110" si="92" t="shared">B53/B$59</f>
        <v>1.8089969471988093E-5</v>
      </c>
      <c r="C110" s="18">
        <f si="92" t="shared"/>
        <v>7.9674642292762205E-4</v>
      </c>
      <c r="D110" s="18">
        <f si="92" t="shared"/>
        <v>1.7179590321044511E-4</v>
      </c>
      <c r="E110" s="18">
        <f si="92" t="shared"/>
        <v>1.5881761522410622E-7</v>
      </c>
      <c r="F110" s="18">
        <f si="92" t="shared"/>
        <v>2.0574176225910185E-4</v>
      </c>
      <c r="H110" s="12">
        <v>4.1666666666666664E-2</v>
      </c>
      <c r="I110" s="17">
        <f ref="I110:M110" si="93" t="shared">I53/I$59</f>
        <v>5.8674423661171962E-5</v>
      </c>
      <c r="J110" s="17">
        <f si="93" t="shared"/>
        <v>9.9605736987666708E-6</v>
      </c>
      <c r="K110" s="17">
        <f si="93" t="shared"/>
        <v>3.4406551818843092E-4</v>
      </c>
      <c r="L110" s="17">
        <f si="93" t="shared"/>
        <v>2.6251248416491455E-5</v>
      </c>
      <c r="M110" s="18">
        <f si="93" t="shared"/>
        <v>2.1175276221291979E-4</v>
      </c>
    </row>
    <row r="111" spans="1:13" x14ac:dyDescent="0.25">
      <c r="A111" s="12">
        <v>6.25E-2</v>
      </c>
      <c r="B111" s="18">
        <f ref="B111:F111" si="94" t="shared">B54/B$59</f>
        <v>6.2593819355607646E-6</v>
      </c>
      <c r="C111" s="18">
        <f si="94" t="shared"/>
        <v>3.9813804083819212E-4</v>
      </c>
      <c r="D111" s="18">
        <f si="94" t="shared"/>
        <v>6.8095392286134435E-5</v>
      </c>
      <c r="E111" s="18">
        <f si="94" t="shared"/>
        <v>1.6717643707800659E-8</v>
      </c>
      <c r="F111" s="18">
        <f si="94" t="shared"/>
        <v>9.2170643263787743E-5</v>
      </c>
      <c r="H111" s="12">
        <v>6.25E-2</v>
      </c>
      <c r="I111" s="17">
        <f ref="I111:M111" si="95" t="shared">I54/I$59</f>
        <v>2.4799165273737527E-5</v>
      </c>
      <c r="J111" s="17">
        <f si="95" t="shared"/>
        <v>3.2753278489528968E-6</v>
      </c>
      <c r="K111" s="17">
        <f si="95" t="shared"/>
        <v>1.3614442421137516E-4</v>
      </c>
      <c r="L111" s="17">
        <f si="95" t="shared"/>
        <v>9.6463748712631787E-6</v>
      </c>
      <c r="M111" s="18">
        <f si="95" t="shared"/>
        <v>8.4126070407319542E-5</v>
      </c>
    </row>
    <row r="112" spans="1:13" x14ac:dyDescent="0.25">
      <c r="A112" s="12">
        <v>8.3333333333333329E-2</v>
      </c>
      <c r="B112" s="18">
        <f ref="B112:F112" si="96" t="shared">B55/B$59</f>
        <v>1.8911157524956421E-6</v>
      </c>
      <c r="C112" s="18">
        <f si="96" t="shared"/>
        <v>1.591948309112507E-4</v>
      </c>
      <c r="D112" s="18">
        <f si="96" t="shared"/>
        <v>2.3060294885145625E-5</v>
      </c>
      <c r="E112" s="18">
        <f si="96" t="shared"/>
        <v>8.3588218539003285E-10</v>
      </c>
      <c r="F112" s="18">
        <f si="96" t="shared"/>
        <v>3.4368345110683825E-5</v>
      </c>
      <c r="H112" s="12">
        <v>8.3333333333333329E-2</v>
      </c>
      <c r="I112" s="17">
        <f ref="I112:M112" si="97" t="shared">I55/I$59</f>
        <v>8.6991266000658096E-6</v>
      </c>
      <c r="J112" s="17">
        <f si="97" t="shared"/>
        <v>1.0029681236949874E-6</v>
      </c>
      <c r="K112" s="17">
        <f si="97" t="shared"/>
        <v>4.5366940628065624E-5</v>
      </c>
      <c r="L112" s="17">
        <f si="97" t="shared"/>
        <v>3.1480331928582204E-6</v>
      </c>
      <c r="M112" s="18">
        <f si="97" t="shared"/>
        <v>2.8142044244408697E-5</v>
      </c>
    </row>
    <row r="113" spans="1:13" x14ac:dyDescent="0.25">
      <c r="A113" s="12">
        <v>0.10416666666666667</v>
      </c>
      <c r="B113" s="18">
        <f ref="B113:F113" si="98" t="shared">B56/B$59</f>
        <v>4.8624773419930329E-7</v>
      </c>
      <c r="C113" s="18">
        <f si="98" t="shared"/>
        <v>4.9724554837728787E-5</v>
      </c>
      <c r="D113" s="18">
        <f si="98" t="shared"/>
        <v>6.4795111484279403E-6</v>
      </c>
      <c r="E113" s="18">
        <f si="98" t="shared"/>
        <v>0</v>
      </c>
      <c r="F113" s="18">
        <f si="98" t="shared"/>
        <v>1.0303979878707423E-5</v>
      </c>
      <c r="H113" s="12">
        <v>0.10416666666666667</v>
      </c>
      <c r="I113" s="17">
        <f ref="I113:M113" si="99" t="shared">I56/I$59</f>
        <v>2.4471636116227491E-6</v>
      </c>
      <c r="J113" s="17">
        <f si="99" t="shared"/>
        <v>2.6578068597204568E-7</v>
      </c>
      <c r="K113" s="17">
        <f si="99" t="shared"/>
        <v>1.2245564557772722E-5</v>
      </c>
      <c r="L113" s="17">
        <f si="99" t="shared"/>
        <v>8.5662305210374731E-7</v>
      </c>
      <c r="M113" s="18">
        <f si="99" t="shared"/>
        <v>7.6235853398609408E-6</v>
      </c>
    </row>
    <row r="114" spans="1:13" x14ac:dyDescent="0.25">
      <c r="A114" s="12">
        <v>0.125</v>
      </c>
      <c r="B114" s="18">
        <f ref="B114:F114" si="100" t="shared">B57/B$59</f>
        <v>9.9704211064059079E-8</v>
      </c>
      <c r="C114" s="18">
        <f si="100" t="shared"/>
        <v>1.1494659085742889E-5</v>
      </c>
      <c r="D114" s="18">
        <f si="100" t="shared"/>
        <v>1.4292749804434238E-6</v>
      </c>
      <c r="E114" s="18">
        <f si="100" t="shared"/>
        <v>0</v>
      </c>
      <c r="F114" s="18">
        <f si="100" t="shared"/>
        <v>2.3402913544300941E-6</v>
      </c>
      <c r="H114" s="12">
        <v>0.125</v>
      </c>
      <c r="I114" s="17">
        <f ref="I114:M114" si="101" t="shared">I57/I$59</f>
        <v>5.2041750049989193E-7</v>
      </c>
      <c r="J114" s="17">
        <f si="101" t="shared"/>
        <v>5.5085568589500569E-8</v>
      </c>
      <c r="K114" s="17">
        <f si="101" t="shared"/>
        <v>2.5172676532397153E-6</v>
      </c>
      <c r="L114" s="17">
        <f si="101" t="shared"/>
        <v>1.7910804199548874E-7</v>
      </c>
      <c r="M114" s="18">
        <f si="101" t="shared"/>
        <v>1.572174563924836E-6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topLeftCell="D37" workbookViewId="0">
      <selection activeCell="Z59" sqref="Z59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14942.0</v>
      </c>
      <c r="J8" s="9" t="n">
        <v>79.0</v>
      </c>
      <c r="K8" s="9" t="n">
        <v>19406.0</v>
      </c>
      <c r="L8" s="9" t="n">
        <v>52.0</v>
      </c>
      <c r="M8">
        <f>SUM(I8:L8)</f>
        <v>30096.369189347795</v>
      </c>
      <c r="O8" s="5"/>
      <c r="P8" s="16"/>
      <c r="Q8" s="16"/>
    </row>
    <row r="9" spans="1:17" x14ac:dyDescent="0.25">
      <c r="A9" s="12">
        <v>0.125</v>
      </c>
      <c r="B9" s="6" t="n">
        <v>17.11150457159455</v>
      </c>
      <c r="C9" s="6" t="n">
        <v>3.8800589823722853</v>
      </c>
      <c r="D9" s="6" t="n">
        <v>998.6470809243673</v>
      </c>
      <c r="E9" s="6" t="n">
        <v>3.343201292712906</v>
      </c>
      <c r="F9" s="6">
        <f ref="F9:F58" si="0" t="shared">SUM(B9:E9)</f>
        <v>1022.981845771047</v>
      </c>
      <c r="H9" s="12">
        <v>0.125</v>
      </c>
      <c r="I9" s="9" t="n">
        <v>9960.586904525757</v>
      </c>
      <c r="J9" s="9" t="n">
        <v>62.368303298950195</v>
      </c>
      <c r="K9" s="9" t="n">
        <v>15163.886014938354</v>
      </c>
      <c r="L9" s="9" t="n">
        <v>64.16053867340088</v>
      </c>
      <c r="M9">
        <f ref="M9:M58" si="1" t="shared">SUM(I9:L9)</f>
        <v>22947.454578048306</v>
      </c>
      <c r="O9" s="5"/>
      <c r="P9" s="16"/>
      <c r="Q9" s="16"/>
    </row>
    <row r="10" spans="1:17" x14ac:dyDescent="0.25">
      <c r="A10" s="12">
        <v>0.14583333333333334</v>
      </c>
      <c r="B10" s="6" t="n">
        <v>35.245056805670814</v>
      </c>
      <c r="C10" s="6" t="n">
        <v>6.584155888646617</v>
      </c>
      <c r="D10" s="6" t="n">
        <v>2092.3833069830616</v>
      </c>
      <c r="E10" s="6" t="n">
        <v>8.453766866949547</v>
      </c>
      <c r="F10" s="6">
        <f si="0" t="shared"/>
        <v>2142.6662865443286</v>
      </c>
      <c r="H10" s="12">
        <v>0.14583333333333334</v>
      </c>
      <c r="I10" s="9" t="n">
        <v>5824.812821388245</v>
      </c>
      <c r="J10" s="9" t="n">
        <v>46.614500999450684</v>
      </c>
      <c r="K10" s="9" t="n">
        <v>11781.056982040405</v>
      </c>
      <c r="L10" s="9" t="n">
        <v>83.55354309082031</v>
      </c>
      <c r="M10">
        <f si="1" t="shared"/>
        <v>16921.700707439348</v>
      </c>
      <c r="O10" s="5"/>
      <c r="P10" s="16"/>
      <c r="Q10" s="16"/>
    </row>
    <row r="11" spans="1:17" x14ac:dyDescent="0.25">
      <c r="A11" s="12">
        <v>0.16666666666666666</v>
      </c>
      <c r="B11" s="6" t="n">
        <v>56.561725492164996</v>
      </c>
      <c r="C11" s="6" t="n">
        <v>7.574608449860031</v>
      </c>
      <c r="D11" s="6" t="n">
        <v>3413.6542016821827</v>
      </c>
      <c r="E11" s="6" t="n">
        <v>17.51050077693235</v>
      </c>
      <c r="F11" s="6">
        <f si="0" t="shared"/>
        <v>3495.3010364011402</v>
      </c>
      <c r="H11" s="12">
        <v>0.16666666666666666</v>
      </c>
      <c r="I11" s="9" t="n">
        <v>3000.5375480651855</v>
      </c>
      <c r="J11" s="9" t="n">
        <v>35.59839916229248</v>
      </c>
      <c r="K11" s="9" t="n">
        <v>9817.81659412384</v>
      </c>
      <c r="L11" s="9" t="n">
        <v>120.38045406341553</v>
      </c>
      <c r="M11">
        <f si="1" t="shared"/>
        <v>12822.947580911634</v>
      </c>
      <c r="O11" s="5"/>
      <c r="P11" s="16"/>
      <c r="Q11" s="16"/>
    </row>
    <row r="12" spans="1:17" x14ac:dyDescent="0.25">
      <c r="A12" s="12">
        <v>0.1875</v>
      </c>
      <c r="B12" s="6" t="n">
        <v>90.31684413929148</v>
      </c>
      <c r="C12" s="6" t="n">
        <v>7.272781101792092</v>
      </c>
      <c r="D12" s="6" t="n">
        <v>5191.467564504944</v>
      </c>
      <c r="E12" s="6" t="n">
        <v>34.379912681455146</v>
      </c>
      <c r="F12" s="6">
        <f si="0" t="shared"/>
        <v>5323.4371024274824</v>
      </c>
      <c r="H12" s="12">
        <v>0.1875</v>
      </c>
      <c r="I12" s="9" t="n">
        <v>1471.7635717391968</v>
      </c>
      <c r="J12" s="9" t="n">
        <v>38.31826877593994</v>
      </c>
      <c r="K12" s="9" t="n">
        <v>9510.267007827759</v>
      </c>
      <c r="L12" s="9" t="n">
        <v>186.29920959472656</v>
      </c>
      <c r="M12">
        <f si="1" t="shared"/>
        <v>11049.853471634042</v>
      </c>
      <c r="O12" s="5"/>
      <c r="P12" s="5"/>
      <c r="Q12" s="5"/>
    </row>
    <row r="13" spans="1:17" x14ac:dyDescent="0.25">
      <c r="A13" s="12">
        <v>0.20833333333333334</v>
      </c>
      <c r="B13" s="6" t="n">
        <v>162.55895380688577</v>
      </c>
      <c r="C13" s="6" t="n">
        <v>7.650379277909094</v>
      </c>
      <c r="D13" s="6" t="n">
        <v>7810.554796520386</v>
      </c>
      <c r="E13" s="6" t="n">
        <v>66.80714011207739</v>
      </c>
      <c r="F13" s="6">
        <f si="0" t="shared"/>
        <v>8047.5712697172585</v>
      </c>
      <c r="H13" s="12">
        <v>0.20833333333333334</v>
      </c>
      <c r="I13" s="9" t="n">
        <v>931.6034107208252</v>
      </c>
      <c r="J13" s="9" t="n">
        <v>69.65814018249512</v>
      </c>
      <c r="K13" s="9" t="n">
        <v>10983.745834350586</v>
      </c>
      <c r="L13" s="9" t="n">
        <v>289.5925817489624</v>
      </c>
      <c r="M13">
        <f si="1" t="shared"/>
        <v>11755.721332882196</v>
      </c>
    </row>
    <row r="14" spans="1:17" x14ac:dyDescent="0.25">
      <c r="A14" s="12">
        <v>0.22916666666666666</v>
      </c>
      <c r="B14" s="6" t="n">
        <v>321.26989098878175</v>
      </c>
      <c r="C14" s="6" t="n">
        <v>14.971829899058152</v>
      </c>
      <c r="D14" s="6" t="n">
        <v>11802.212012129328</v>
      </c>
      <c r="E14" s="6" t="n">
        <v>128.378365195486</v>
      </c>
      <c r="F14" s="6">
        <f si="0" t="shared"/>
        <v>12266.832098212653</v>
      </c>
      <c r="H14" s="12">
        <v>0.22916666666666666</v>
      </c>
      <c r="I14" s="9" t="n">
        <v>1050.5039749145508</v>
      </c>
      <c r="J14" s="9" t="n">
        <v>148.25134754180908</v>
      </c>
      <c r="K14" s="9" t="n">
        <v>14428.426775932312</v>
      </c>
      <c r="L14" s="9" t="n">
        <v>434.13862705230713</v>
      </c>
      <c r="M14">
        <f si="1" t="shared"/>
        <v>15049.269496714169</v>
      </c>
    </row>
    <row r="15" spans="1:17" x14ac:dyDescent="0.25">
      <c r="A15" s="12">
        <v>0.25</v>
      </c>
      <c r="B15" s="6" t="n">
        <v>627.7806265308396</v>
      </c>
      <c r="C15" s="6" t="n">
        <v>47.41314778292083</v>
      </c>
      <c r="D15" s="6" t="n">
        <v>17702.862986390235</v>
      </c>
      <c r="E15" s="6" t="n">
        <v>238.5958192161412</v>
      </c>
      <c r="F15" s="6">
        <f si="0" t="shared"/>
        <v>18616.652579920137</v>
      </c>
      <c r="H15" s="12">
        <v>0.25</v>
      </c>
      <c r="I15" s="9" t="n">
        <v>1620.389778137207</v>
      </c>
      <c r="J15" s="9" t="n">
        <v>289.9370536804199</v>
      </c>
      <c r="K15" s="9" t="n">
        <v>20046.959044456482</v>
      </c>
      <c r="L15" s="9" t="n">
        <v>628.3162269592285</v>
      </c>
      <c r="M15">
        <f si="1" t="shared"/>
        <v>21033.162864461992</v>
      </c>
    </row>
    <row r="16" spans="1:17" x14ac:dyDescent="0.25">
      <c r="A16" s="12">
        <v>0.27083333333333331</v>
      </c>
      <c r="B16" s="6" t="n">
        <v>1136.1593263577827</v>
      </c>
      <c r="C16" s="6" t="n">
        <v>148.46758568085153</v>
      </c>
      <c r="D16" s="6" t="n">
        <v>25788.032521135952</v>
      </c>
      <c r="E16" s="6" t="n">
        <v>420.5476448865955</v>
      </c>
      <c r="F16" s="6">
        <f si="0" t="shared"/>
        <v>27493.207078061183</v>
      </c>
      <c r="H16" s="12">
        <v>0.27083333333333331</v>
      </c>
      <c r="I16" s="9" t="n">
        <v>2551.9275703430176</v>
      </c>
      <c r="J16" s="9" t="n">
        <v>499.94364738464355</v>
      </c>
      <c r="K16" s="9" t="n">
        <v>27852.83368396759</v>
      </c>
      <c r="L16" s="9" t="n">
        <v>900.2306976318359</v>
      </c>
      <c r="M16">
        <f si="1" t="shared"/>
        <v>29680.01050323313</v>
      </c>
    </row>
    <row r="17" spans="1:13" x14ac:dyDescent="0.25">
      <c r="A17" s="12">
        <v>0.29166666666666669</v>
      </c>
      <c r="B17" s="6" t="n">
        <v>1877.9423481158667</v>
      </c>
      <c r="C17" s="6" t="n">
        <v>399.47071066966447</v>
      </c>
      <c r="D17" s="6" t="n">
        <v>35794.984036961025</v>
      </c>
      <c r="E17" s="6" t="n">
        <v>698.0621057537762</v>
      </c>
      <c r="F17" s="6">
        <f si="0" t="shared"/>
        <v>38770.459201500336</v>
      </c>
      <c r="H17" s="12">
        <v>0.29166666666666669</v>
      </c>
      <c r="I17" s="9" t="n">
        <v>3835.0326385498047</v>
      </c>
      <c r="J17" s="9" t="n">
        <v>773.6235761642456</v>
      </c>
      <c r="K17" s="9" t="n">
        <v>37538.246888160706</v>
      </c>
      <c r="L17" s="9" t="n">
        <v>1307.0150804519653</v>
      </c>
      <c r="M17">
        <f si="1" t="shared"/>
        <v>40730.4732564804</v>
      </c>
    </row>
    <row r="18" spans="1:13" x14ac:dyDescent="0.25">
      <c r="A18" s="12">
        <v>0.3125</v>
      </c>
      <c r="B18" s="6" t="n">
        <v>2870.4520475581785</v>
      </c>
      <c r="C18" s="6" t="n">
        <v>914.4804777352787</v>
      </c>
      <c r="D18" s="6" t="n">
        <v>46830.2103693613</v>
      </c>
      <c r="E18" s="6" t="n">
        <v>1095.7495012863437</v>
      </c>
      <c r="F18" s="6">
        <f si="0" t="shared"/>
        <v>51710.892395941104</v>
      </c>
      <c r="H18" s="12">
        <v>0.3125</v>
      </c>
      <c r="I18" s="9" t="n">
        <v>5558.124133110046</v>
      </c>
      <c r="J18" s="9" t="n">
        <v>1113.4810047149658</v>
      </c>
      <c r="K18" s="9" t="n">
        <v>48527.71454620361</v>
      </c>
      <c r="L18" s="9" t="n">
        <v>1931.0747499465942</v>
      </c>
      <c r="M18">
        <f si="1" t="shared"/>
        <v>53772.840938293717</v>
      </c>
    </row>
    <row r="19" spans="1:13" x14ac:dyDescent="0.25">
      <c r="A19" s="12">
        <v>0.33333333333333331</v>
      </c>
      <c r="B19" s="6" t="n">
        <v>4144.704688548639</v>
      </c>
      <c r="C19" s="6" t="n">
        <v>1804.1308465892828</v>
      </c>
      <c r="D19" s="6" t="n">
        <v>57638.3943240229</v>
      </c>
      <c r="E19" s="6" t="n">
        <v>1644.2005767272906</v>
      </c>
      <c r="F19" s="6">
        <f si="0" t="shared"/>
        <v>65231.430435888113</v>
      </c>
      <c r="H19" s="12">
        <v>0.33333333333333331</v>
      </c>
      <c r="I19" s="9" t="n">
        <v>7963.516695976257</v>
      </c>
      <c r="J19" s="9" t="n">
        <v>1553.381088256836</v>
      </c>
      <c r="K19" s="9" t="n">
        <v>60134.70316505432</v>
      </c>
      <c r="L19" s="9" t="n">
        <v>2868.9719400405884</v>
      </c>
      <c r="M19">
        <f si="1" t="shared"/>
        <v>68444.095001415903</v>
      </c>
    </row>
    <row r="20" spans="1:13" x14ac:dyDescent="0.25">
      <c r="A20" s="12">
        <v>0.35416666666666669</v>
      </c>
      <c r="B20" s="6" t="n">
        <v>5768.537487460554</v>
      </c>
      <c r="C20" s="6" t="n">
        <v>3123.9166733287693</v>
      </c>
      <c r="D20" s="6" t="n">
        <v>67204.95914441289</v>
      </c>
      <c r="E20" s="6" t="n">
        <v>2390.946086985078</v>
      </c>
      <c r="F20" s="6">
        <f si="0" t="shared"/>
        <v>78488.359392187282</v>
      </c>
      <c r="H20" s="12">
        <v>0.35416666666666669</v>
      </c>
      <c r="I20" s="9" t="n">
        <v>11413.096413612366</v>
      </c>
      <c r="J20" s="9" t="n">
        <v>2163.025098800659</v>
      </c>
      <c r="K20" s="9" t="n">
        <v>71654.11152267456</v>
      </c>
      <c r="L20" s="9" t="n">
        <v>4217.274606704712</v>
      </c>
      <c r="M20">
        <f si="1" t="shared"/>
        <v>84496.803729751293</v>
      </c>
    </row>
    <row r="21" spans="1:13" x14ac:dyDescent="0.25">
      <c r="A21" s="12">
        <v>0.375</v>
      </c>
      <c r="B21" s="6" t="n">
        <v>7850.454491053775</v>
      </c>
      <c r="C21" s="6" t="n">
        <v>4850.921612404171</v>
      </c>
      <c r="D21" s="6" t="n">
        <v>75335.82850225679</v>
      </c>
      <c r="E21" s="6" t="n">
        <v>3418.0121355582746</v>
      </c>
      <c r="F21" s="6">
        <f si="0" t="shared"/>
        <v>91455.21674127302</v>
      </c>
      <c r="H21" s="12">
        <v>0.375</v>
      </c>
      <c r="I21" s="9" t="n">
        <v>16174.367517471313</v>
      </c>
      <c r="J21" s="9" t="n">
        <v>3015.179904937744</v>
      </c>
      <c r="K21" s="9" t="n">
        <v>82329.91473197937</v>
      </c>
      <c r="L21" s="9" t="n">
        <v>6044.378396034241</v>
      </c>
      <c r="M21">
        <f si="1" t="shared"/>
        <v>101554.07624241138</v>
      </c>
    </row>
    <row r="22" spans="1:13" x14ac:dyDescent="0.25">
      <c r="A22" s="12">
        <v>0.39583333333333331</v>
      </c>
      <c r="B22" s="6" t="n">
        <v>10528.664638084645</v>
      </c>
      <c r="C22" s="6" t="n">
        <v>6911.687380394827</v>
      </c>
      <c r="D22" s="6" t="n">
        <v>82707.03172414756</v>
      </c>
      <c r="E22" s="6" t="n">
        <v>4860.311610393279</v>
      </c>
      <c r="F22" s="6">
        <f si="0" t="shared"/>
        <v>105007.69535302032</v>
      </c>
      <c r="H22" s="12">
        <v>0.39583333333333331</v>
      </c>
      <c r="I22" s="9" t="n">
        <v>22130.36523246765</v>
      </c>
      <c r="J22" s="9" t="n">
        <v>4143.986107826233</v>
      </c>
      <c r="K22" s="9" t="n">
        <v>91319.20789337158</v>
      </c>
      <c r="L22" s="9" t="n">
        <v>8340.84750175476</v>
      </c>
      <c r="M22">
        <f si="1" t="shared"/>
        <v>118744.70332041517</v>
      </c>
    </row>
    <row r="23" spans="1:13" x14ac:dyDescent="0.25">
      <c r="A23" s="12">
        <v>0.41666666666666669</v>
      </c>
      <c r="B23" s="6" t="n">
        <v>13935.459088977044</v>
      </c>
      <c r="C23" s="6" t="n">
        <v>9224.622212927608</v>
      </c>
      <c r="D23" s="6" t="n">
        <v>90196.71960309343</v>
      </c>
      <c r="E23" s="6" t="n">
        <v>6893.236942099768</v>
      </c>
      <c r="F23" s="6">
        <f si="0" t="shared"/>
        <v>120250.03784709786</v>
      </c>
      <c r="H23" s="12">
        <v>0.41666666666666669</v>
      </c>
      <c r="I23" s="9" t="n">
        <v>28684.063752174377</v>
      </c>
      <c r="J23" s="9" t="n">
        <v>5564.3755235672</v>
      </c>
      <c r="K23" s="9" t="n">
        <v>97829.85118484497</v>
      </c>
      <c r="L23" s="9" t="n">
        <v>10973.266695976257</v>
      </c>
      <c r="M23">
        <f si="1" t="shared"/>
        <v>134710.43068667705</v>
      </c>
    </row>
    <row r="24" spans="1:13" x14ac:dyDescent="0.25">
      <c r="A24" s="12">
        <v>0.4375</v>
      </c>
      <c r="B24" s="6" t="n">
        <v>18110.733252362254</v>
      </c>
      <c r="C24" s="6" t="n">
        <v>11722.79599537596</v>
      </c>
      <c r="D24" s="6" t="n">
        <v>97959.63207786994</v>
      </c>
      <c r="E24" s="6" t="n">
        <v>9636.1007074408</v>
      </c>
      <c r="F24" s="6">
        <f si="0" t="shared"/>
        <v>137429.26203304896</v>
      </c>
      <c r="H24" s="12">
        <v>0.4375</v>
      </c>
      <c r="I24" s="9" t="n">
        <v>35027.78355407715</v>
      </c>
      <c r="J24" s="9" t="n">
        <v>7392.52387046814</v>
      </c>
      <c r="K24" s="9" t="n">
        <v>101448.69484710693</v>
      </c>
      <c r="L24" s="9" t="n">
        <v>13682.588425636292</v>
      </c>
      <c r="M24">
        <f si="1" t="shared"/>
        <v>148258.15678505614</v>
      </c>
    </row>
    <row r="25" spans="1:13" x14ac:dyDescent="0.25">
      <c r="A25" s="12">
        <v>0.45833333333333331</v>
      </c>
      <c r="B25" s="6" t="n">
        <v>22903.04607307117</v>
      </c>
      <c r="C25" s="6" t="n">
        <v>14425.895775305158</v>
      </c>
      <c r="D25" s="6" t="n">
        <v>105070.77043870094</v>
      </c>
      <c r="E25" s="6" t="n">
        <v>12965.416414670264</v>
      </c>
      <c r="F25" s="6">
        <f si="0" t="shared"/>
        <v>155365.12870174754</v>
      </c>
      <c r="H25" s="12">
        <v>0.45833333333333331</v>
      </c>
      <c r="I25" s="9" t="n">
        <v>40613.9121799469</v>
      </c>
      <c r="J25" s="9" t="n">
        <v>9992.287899017334</v>
      </c>
      <c r="K25" s="9" t="n">
        <v>102440.20025539398</v>
      </c>
      <c r="L25" s="9" t="n">
        <v>16134.575938224792</v>
      </c>
      <c r="M25">
        <f si="1" t="shared"/>
        <v>159260.05549637644</v>
      </c>
    </row>
    <row r="26" spans="1:13" x14ac:dyDescent="0.25">
      <c r="A26" s="12">
        <v>0.47916666666666669</v>
      </c>
      <c r="B26" s="6" t="n">
        <v>28005.428164979658</v>
      </c>
      <c r="C26" s="6" t="n">
        <v>17672.208895297703</v>
      </c>
      <c r="D26" s="6" t="n">
        <v>110165.3309595774</v>
      </c>
      <c r="E26" s="6" t="n">
        <v>16358.99189181293</v>
      </c>
      <c r="F26" s="6">
        <f si="0" t="shared"/>
        <v>172201.95991166771</v>
      </c>
      <c r="H26" s="12">
        <v>0.47916666666666669</v>
      </c>
      <c r="I26" s="9" t="n">
        <v>45454.47677898407</v>
      </c>
      <c r="J26" s="9" t="n">
        <v>13974.606044769287</v>
      </c>
      <c r="K26" s="9" t="n">
        <v>101737.56410598755</v>
      </c>
      <c r="L26" s="9" t="n">
        <v>17990.599420547485</v>
      </c>
      <c r="M26">
        <f si="1" t="shared"/>
        <v>168991.09124445799</v>
      </c>
    </row>
    <row r="27" spans="1:13" x14ac:dyDescent="0.25">
      <c r="A27" s="12">
        <v>0.5</v>
      </c>
      <c r="B27" s="6" t="n">
        <v>33241.601132694705</v>
      </c>
      <c r="C27" s="6" t="n">
        <v>22411.20093921788</v>
      </c>
      <c r="D27" s="6" t="n">
        <v>112603.30436586699</v>
      </c>
      <c r="E27" s="6" t="n">
        <v>18966.57297585577</v>
      </c>
      <c r="F27" s="6">
        <f si="0" t="shared"/>
        <v>187222.67941363534</v>
      </c>
      <c r="H27" s="12">
        <v>0.5</v>
      </c>
      <c r="I27" s="9" t="n">
        <v>50059.24670505524</v>
      </c>
      <c r="J27" s="9" t="n">
        <v>19942.85991001129</v>
      </c>
      <c r="K27" s="9" t="n">
        <v>100572.62936019897</v>
      </c>
      <c r="L27" s="9" t="n">
        <v>18974.763545036316</v>
      </c>
      <c r="M27">
        <f si="1" t="shared"/>
        <v>179516.5321026608</v>
      </c>
    </row>
    <row r="28" spans="1:13" x14ac:dyDescent="0.25">
      <c r="A28" s="12">
        <v>0.52083333333333337</v>
      </c>
      <c r="B28" s="6" t="n">
        <v>38978.733534038016</v>
      </c>
      <c r="C28" s="6" t="n">
        <v>30125.8634641171</v>
      </c>
      <c r="D28" s="6" t="n">
        <v>113161.46449149515</v>
      </c>
      <c r="E28" s="6" t="n">
        <v>19970.294967943548</v>
      </c>
      <c r="F28" s="6">
        <f si="0" t="shared"/>
        <v>202236.35645759382</v>
      </c>
      <c r="H28" s="12">
        <v>0.52083333333333337</v>
      </c>
      <c r="I28" s="9" t="n">
        <v>55195.17914772034</v>
      </c>
      <c r="J28" s="9" t="n">
        <v>28105.02341556549</v>
      </c>
      <c r="K28" s="9" t="n">
        <v>99998.41672039032</v>
      </c>
      <c r="L28" s="9" t="n">
        <v>18938.617886543274</v>
      </c>
      <c r="M28">
        <f si="1" t="shared"/>
        <v>192640.8536597277</v>
      </c>
    </row>
    <row r="29" spans="1:13" x14ac:dyDescent="0.25">
      <c r="A29" s="12">
        <v>0.54166666666666663</v>
      </c>
      <c r="B29" s="6" t="n">
        <v>46322.26620280965</v>
      </c>
      <c r="C29" s="6" t="n">
        <v>41972.07690543288</v>
      </c>
      <c r="D29" s="6" t="n">
        <v>113644.20117278877</v>
      </c>
      <c r="E29" s="6" t="n">
        <v>19026.89012712218</v>
      </c>
      <c r="F29" s="6">
        <f si="0" t="shared"/>
        <v>220965.43440815347</v>
      </c>
      <c r="H29" s="12">
        <v>0.54166666666666663</v>
      </c>
      <c r="I29" s="9" t="n">
        <v>61763.87516593933</v>
      </c>
      <c r="J29" s="9" t="n">
        <v>38023.32337665558</v>
      </c>
      <c r="K29" s="9" t="n">
        <v>100624.86437416077</v>
      </c>
      <c r="L29" s="9" t="n">
        <v>17910.91612148285</v>
      </c>
      <c r="M29">
        <f si="1" t="shared"/>
        <v>209276.85419522846</v>
      </c>
    </row>
    <row r="30" spans="1:13" x14ac:dyDescent="0.25">
      <c r="A30" s="12">
        <v>0.5625</v>
      </c>
      <c r="B30" s="6" t="n">
        <v>56814.240710488</v>
      </c>
      <c r="C30" s="6" t="n">
        <v>57377.09181718802</v>
      </c>
      <c r="D30" s="6" t="n">
        <v>115700.45086450405</v>
      </c>
      <c r="E30" s="6" t="n">
        <v>16462.00937638214</v>
      </c>
      <c r="F30" s="6">
        <f si="0" t="shared"/>
        <v>246353.79276856218</v>
      </c>
      <c r="H30" s="12">
        <v>0.5625</v>
      </c>
      <c r="I30" s="9" t="n">
        <v>70806.54308605194</v>
      </c>
      <c r="J30" s="9" t="n">
        <v>48630.295397758484</v>
      </c>
      <c r="K30" s="9" t="n">
        <v>102631.54393482208</v>
      </c>
      <c r="L30" s="9" t="n">
        <v>16093.67882156372</v>
      </c>
      <c r="M30">
        <f si="1" t="shared"/>
        <v>229442.99345346639</v>
      </c>
    </row>
    <row r="31" spans="1:13" x14ac:dyDescent="0.25">
      <c r="A31" s="12">
        <v>0.58333333333333337</v>
      </c>
      <c r="B31" s="6" t="n">
        <v>71672.95348836633</v>
      </c>
      <c r="C31" s="6" t="n">
        <v>73187.60489798788</v>
      </c>
      <c r="D31" s="6" t="n">
        <v>119707.13885870788</v>
      </c>
      <c r="E31" s="6" t="n">
        <v>13076.505273147377</v>
      </c>
      <c r="F31" s="6">
        <f si="0" t="shared"/>
        <v>277644.20251820947</v>
      </c>
      <c r="H31" s="12">
        <v>0.58333333333333337</v>
      </c>
      <c r="I31" s="9" t="n">
        <v>83323.06113910675</v>
      </c>
      <c r="J31" s="9" t="n">
        <v>58383.70742416382</v>
      </c>
      <c r="K31" s="9" t="n">
        <v>105850.77275276184</v>
      </c>
      <c r="L31" s="9" t="n">
        <v>13792.370861053467</v>
      </c>
      <c r="M31">
        <f si="1" t="shared"/>
        <v>252295.78393444433</v>
      </c>
    </row>
    <row r="32" spans="1:13" x14ac:dyDescent="0.25">
      <c r="A32" s="12">
        <v>0.60416666666666663</v>
      </c>
      <c r="B32" s="6" t="n">
        <v>90903.75492016278</v>
      </c>
      <c r="C32" s="6" t="n">
        <v>84515.78016092346</v>
      </c>
      <c r="D32" s="6" t="n">
        <v>124480.62814258103</v>
      </c>
      <c r="E32" s="6" t="n">
        <v>9731.799852325641</v>
      </c>
      <c r="F32" s="6">
        <f si="0" t="shared"/>
        <v>309631.96307599294</v>
      </c>
      <c r="H32" s="12">
        <v>0.60416666666666663</v>
      </c>
      <c r="I32" s="9" t="n">
        <v>99675.71496391296</v>
      </c>
      <c r="J32" s="9" t="n">
        <v>65453.329484939575</v>
      </c>
      <c r="K32" s="9" t="n">
        <v>109780.32737636566</v>
      </c>
      <c r="L32" s="9" t="n">
        <v>11324.931423187256</v>
      </c>
      <c r="M32">
        <f si="1" t="shared"/>
        <v>275790.29611802904</v>
      </c>
    </row>
    <row r="33" spans="1:13" x14ac:dyDescent="0.25">
      <c r="A33" s="12">
        <v>0.625</v>
      </c>
      <c r="B33" s="6" t="n">
        <v>112693.40665059797</v>
      </c>
      <c r="C33" s="6" t="n">
        <v>87217.13332560183</v>
      </c>
      <c r="D33" s="6" t="n">
        <v>128028.65854979804</v>
      </c>
      <c r="E33" s="6" t="n">
        <v>7001.452471855836</v>
      </c>
      <c r="F33" s="6">
        <f si="0" t="shared"/>
        <v>334940.65099785366</v>
      </c>
      <c r="H33" s="12">
        <v>0.625</v>
      </c>
      <c r="I33" s="9" t="n">
        <v>118806.38341712952</v>
      </c>
      <c r="J33" s="9" t="n">
        <v>68090.5977678299</v>
      </c>
      <c r="K33" s="9" t="n">
        <v>113671.59559726715</v>
      </c>
      <c r="L33" s="9" t="n">
        <v>8960.779240608215</v>
      </c>
      <c r="M33">
        <f si="1" t="shared"/>
        <v>296501.64014706668</v>
      </c>
    </row>
    <row r="34" spans="1:13" x14ac:dyDescent="0.25">
      <c r="A34" s="12">
        <v>0.64583333333333337</v>
      </c>
      <c r="B34" s="6" t="n">
        <v>133411.37324268097</v>
      </c>
      <c r="C34" s="6" t="n">
        <v>80347.61843333607</v>
      </c>
      <c r="D34" s="6" t="n">
        <v>128893.66657482536</v>
      </c>
      <c r="E34" s="6" t="n">
        <v>5054.167743477666</v>
      </c>
      <c r="F34" s="6">
        <f si="0" t="shared"/>
        <v>347706.8259943201</v>
      </c>
      <c r="H34" s="12">
        <v>0.64583333333333337</v>
      </c>
      <c r="I34" s="9" t="n">
        <v>137847.22930908203</v>
      </c>
      <c r="J34" s="9" t="n">
        <v>65306.23435211182</v>
      </c>
      <c r="K34" s="9" t="n">
        <v>116876.35546970367</v>
      </c>
      <c r="L34" s="9" t="n">
        <v>6894.25281047821</v>
      </c>
      <c r="M34">
        <f si="1" t="shared"/>
        <v>310399.23481379257</v>
      </c>
    </row>
    <row r="35" spans="1:13" x14ac:dyDescent="0.25">
      <c r="A35" s="12">
        <v>0.66666666666666663</v>
      </c>
      <c r="B35" s="6" t="n">
        <v>148390.4061029598</v>
      </c>
      <c r="C35" s="6" t="n">
        <v>66658.58218244233</v>
      </c>
      <c r="D35" s="6" t="n">
        <v>127205.14964340025</v>
      </c>
      <c r="E35" s="6" t="n">
        <v>3750.51214696006</v>
      </c>
      <c r="F35" s="6">
        <f si="0" t="shared"/>
        <v>346004.65007576247</v>
      </c>
      <c r="H35" s="12">
        <v>0.66666666666666663</v>
      </c>
      <c r="I35" s="9" t="n">
        <v>152594.7109413147</v>
      </c>
      <c r="J35" s="9" t="n">
        <v>57520.49787425995</v>
      </c>
      <c r="K35" s="9" t="n">
        <v>119300.43820285797</v>
      </c>
      <c r="L35" s="9" t="n">
        <v>5231.003378868103</v>
      </c>
      <c r="M35">
        <f si="1" t="shared"/>
        <v>314416.52365715982</v>
      </c>
    </row>
    <row r="36" spans="1:13" x14ac:dyDescent="0.25">
      <c r="A36" s="12">
        <v>0.6875</v>
      </c>
      <c r="B36" s="6" t="n">
        <v>153429.648251153</v>
      </c>
      <c r="C36" s="6" t="n">
        <v>50758.76527326432</v>
      </c>
      <c r="D36" s="6" t="n">
        <v>124704.0202310975</v>
      </c>
      <c r="E36" s="6" t="n">
        <v>2836.650223439933</v>
      </c>
      <c r="F36" s="6">
        <f si="0" t="shared"/>
        <v>331729.0839789547</v>
      </c>
      <c r="H36" s="12">
        <v>0.6875</v>
      </c>
      <c r="I36" s="9" t="n">
        <v>158852.42327404022</v>
      </c>
      <c r="J36" s="9" t="n">
        <v>46581.72622203827</v>
      </c>
      <c r="K36" s="9" t="n">
        <v>121558.8488407135</v>
      </c>
      <c r="L36" s="9" t="n">
        <v>3984.2166690826416</v>
      </c>
      <c r="M36">
        <f si="1" t="shared"/>
        <v>307743.61933037674</v>
      </c>
    </row>
    <row r="37" spans="1:13" x14ac:dyDescent="0.25">
      <c r="A37" s="12">
        <v>0.70833333333333337</v>
      </c>
      <c r="B37" s="6" t="n">
        <v>146552.83018555678</v>
      </c>
      <c r="C37" s="6" t="n">
        <v>36522.47771483195</v>
      </c>
      <c r="D37" s="6" t="n">
        <v>123705.69046920736</v>
      </c>
      <c r="E37" s="6" t="n">
        <v>2111.076218884271</v>
      </c>
      <c r="F37" s="6">
        <f si="0" t="shared"/>
        <v>308892.07458848035</v>
      </c>
      <c r="H37" s="12">
        <v>0.70833333333333337</v>
      </c>
      <c r="I37" s="9" t="n">
        <v>154135.93241500854</v>
      </c>
      <c r="J37" s="9" t="n">
        <v>34983.64322376251</v>
      </c>
      <c r="K37" s="9" t="n">
        <v>124618.01820755005</v>
      </c>
      <c r="L37" s="9" t="n">
        <v>3092.0105381011963</v>
      </c>
      <c r="M37">
        <f si="1" t="shared"/>
        <v>292032.24264742655</v>
      </c>
    </row>
    <row r="38" spans="1:13" x14ac:dyDescent="0.25">
      <c r="A38" s="12">
        <v>0.72916666666666663</v>
      </c>
      <c r="B38" s="6" t="n">
        <v>129113.5253230104</v>
      </c>
      <c r="C38" s="6" t="n">
        <v>25680.158517454147</v>
      </c>
      <c r="D38" s="6" t="n">
        <v>125674.61395517121</v>
      </c>
      <c r="E38" s="6" t="n">
        <v>1490.1432036914512</v>
      </c>
      <c r="F38" s="6">
        <f si="0" t="shared"/>
        <v>281958.44099932723</v>
      </c>
      <c r="H38" s="12">
        <v>0.72916666666666663</v>
      </c>
      <c r="I38" s="9" t="n">
        <v>138899.39316749573</v>
      </c>
      <c r="J38" s="9" t="n">
        <v>24813.404593467712</v>
      </c>
      <c r="K38" s="9" t="n">
        <v>129115.09319877625</v>
      </c>
      <c r="L38" s="9" t="n">
        <v>2453.879337310791</v>
      </c>
      <c r="M38">
        <f si="1" t="shared"/>
        <v>270598.53443564387</v>
      </c>
    </row>
    <row r="39" spans="1:13" x14ac:dyDescent="0.25">
      <c r="A39" s="12">
        <v>0.75</v>
      </c>
      <c r="B39" s="6" t="n">
        <v>105405.13787145165</v>
      </c>
      <c r="C39" s="6" t="n">
        <v>18128.44869524882</v>
      </c>
      <c r="D39" s="6" t="n">
        <v>130259.12135506512</v>
      </c>
      <c r="E39" s="6" t="n">
        <v>976.7147786359914</v>
      </c>
      <c r="F39" s="6">
        <f si="0" t="shared"/>
        <v>254769.42270040157</v>
      </c>
      <c r="H39" s="12">
        <v>0.75</v>
      </c>
      <c r="I39" s="9" t="n">
        <v>116515.82249164581</v>
      </c>
      <c r="J39" s="9" t="n">
        <v>17127.32761001587</v>
      </c>
      <c r="K39" s="9" t="n">
        <v>134746.17423915863</v>
      </c>
      <c r="L39" s="9" t="n">
        <v>1970.5357809066772</v>
      </c>
      <c r="M39">
        <f si="1" t="shared"/>
        <v>247141.90218113616</v>
      </c>
    </row>
    <row r="40" spans="1:13" x14ac:dyDescent="0.25">
      <c r="A40" s="12">
        <v>0.77083333333333337</v>
      </c>
      <c r="B40" s="6" t="n">
        <v>80808.14401569964</v>
      </c>
      <c r="C40" s="6" t="n">
        <v>13030.669753888737</v>
      </c>
      <c r="D40" s="6" t="n">
        <v>135286.25599330253</v>
      </c>
      <c r="E40" s="6" t="n">
        <v>594.9275849830609</v>
      </c>
      <c r="F40" s="6">
        <f si="0" t="shared"/>
        <v>229719.99734787398</v>
      </c>
      <c r="H40" s="12">
        <v>0.77083333333333337</v>
      </c>
      <c r="I40" s="9" t="n">
        <v>91879.31521224976</v>
      </c>
      <c r="J40" s="9" t="n">
        <v>11983.64666557312</v>
      </c>
      <c r="K40" s="9" t="n">
        <v>140055.2464056015</v>
      </c>
      <c r="L40" s="9" t="n">
        <v>1574.602168083191</v>
      </c>
      <c r="M40">
        <f si="1" t="shared"/>
        <v>224440.40910833052</v>
      </c>
    </row>
    <row r="41" spans="1:13" x14ac:dyDescent="0.25">
      <c r="A41" s="12">
        <v>0.79166666666666663</v>
      </c>
      <c r="B41" s="6" t="n">
        <v>59579.425278240975</v>
      </c>
      <c r="C41" s="6" t="n">
        <v>9609.866458501423</v>
      </c>
      <c r="D41" s="6" t="n">
        <v>137674.47022380767</v>
      </c>
      <c r="E41" s="6" t="n">
        <v>350.36229505134554</v>
      </c>
      <c r="F41" s="6">
        <f si="0" t="shared"/>
        <v>207214.1242556014</v>
      </c>
      <c r="H41" s="12">
        <v>0.79166666666666663</v>
      </c>
      <c r="I41" s="9" t="n">
        <v>69392.53954792023</v>
      </c>
      <c r="J41" s="9" t="n">
        <v>8857.84487915039</v>
      </c>
      <c r="K41" s="9" t="n">
        <v>142792.42218017578</v>
      </c>
      <c r="L41" s="9" t="n">
        <v>1244.3434896469116</v>
      </c>
      <c r="M41">
        <f si="1" t="shared"/>
        <v>203497.46245367249</v>
      </c>
    </row>
    <row r="42" spans="1:13" x14ac:dyDescent="0.25">
      <c r="A42" s="12">
        <v>0.8125</v>
      </c>
      <c r="B42" s="6" t="n">
        <v>43615.55991341235</v>
      </c>
      <c r="C42" s="6" t="n">
        <v>7328.780543737254</v>
      </c>
      <c r="D42" s="6" t="n">
        <v>134765.3573095773</v>
      </c>
      <c r="E42" s="6" t="n">
        <v>226.7745263144161</v>
      </c>
      <c r="F42" s="6">
        <f si="0" t="shared"/>
        <v>185936.4722930413</v>
      </c>
      <c r="H42" s="12">
        <v>0.8125</v>
      </c>
      <c r="I42" s="9" t="n">
        <v>51517.69297885895</v>
      </c>
      <c r="J42" s="9" t="n">
        <v>7066.971117973328</v>
      </c>
      <c r="K42" s="9" t="n">
        <v>140781.05271434784</v>
      </c>
      <c r="L42" s="9" t="n">
        <v>993.2898502349854</v>
      </c>
      <c r="M42">
        <f si="1" t="shared"/>
        <v>183624.84908556828</v>
      </c>
    </row>
    <row r="43" spans="1:13" x14ac:dyDescent="0.25">
      <c r="A43" s="12">
        <v>0.83333333333333337</v>
      </c>
      <c r="B43" s="6" t="n">
        <v>32673.572274896214</v>
      </c>
      <c r="C43" s="6" t="n">
        <v>5783.225686339969</v>
      </c>
      <c r="D43" s="6" t="n">
        <v>125396.58089238498</v>
      </c>
      <c r="E43" s="6" t="n">
        <v>195.55180956847767</v>
      </c>
      <c r="F43" s="6">
        <f si="0" t="shared"/>
        <v>164048.93066318965</v>
      </c>
      <c r="H43" s="12">
        <v>0.83333333333333337</v>
      </c>
      <c r="I43" s="9" t="n">
        <v>38588.637857437134</v>
      </c>
      <c r="J43" s="9" t="n">
        <v>6027.616285324097</v>
      </c>
      <c r="K43" s="9" t="n">
        <v>132929.9776315689</v>
      </c>
      <c r="L43" s="9" t="n">
        <v>838.4686222076416</v>
      </c>
      <c r="M43">
        <f si="1" t="shared"/>
        <v>163495.78481054158</v>
      </c>
    </row>
    <row r="44" spans="1:13" x14ac:dyDescent="0.25">
      <c r="A44" s="12">
        <v>0.85416666666666663</v>
      </c>
      <c r="B44" s="6" t="n">
        <v>25469.22499033814</v>
      </c>
      <c r="C44" s="6" t="n">
        <v>4644.883699612325</v>
      </c>
      <c r="D44" s="6" t="n">
        <v>110240.01428551471</v>
      </c>
      <c r="E44" s="6" t="n">
        <v>219.62534954619946</v>
      </c>
      <c r="F44" s="6">
        <f si="0" t="shared"/>
        <v>140573.74832501137</v>
      </c>
      <c r="H44" s="12">
        <v>0.85416666666666663</v>
      </c>
      <c r="I44" s="9" t="n">
        <v>29639.95659828186</v>
      </c>
      <c r="J44" s="9" t="n">
        <v>5355.826434135437</v>
      </c>
      <c r="K44" s="9" t="n">
        <v>119819.79841995239</v>
      </c>
      <c r="L44" s="9" t="n">
        <v>768.4877729415894</v>
      </c>
      <c r="M44">
        <f si="1" t="shared"/>
        <v>142454.76108626282</v>
      </c>
    </row>
    <row r="45" spans="1:13" x14ac:dyDescent="0.25">
      <c r="A45" s="12">
        <v>0.875</v>
      </c>
      <c r="B45" s="6" t="n">
        <v>20704.621987837487</v>
      </c>
      <c r="C45" s="6" t="n">
        <v>3709.109804364729</v>
      </c>
      <c r="D45" s="6" t="n">
        <v>91373.02682620825</v>
      </c>
      <c r="E45" s="6" t="n">
        <v>255.99862723653553</v>
      </c>
      <c r="F45" s="6">
        <f si="0" t="shared"/>
        <v>116042.75724564701</v>
      </c>
      <c r="H45" s="12">
        <v>0.875</v>
      </c>
      <c r="I45" s="9" t="n">
        <v>23430.1724691391</v>
      </c>
      <c r="J45" s="9" t="n">
        <v>4861.516989707947</v>
      </c>
      <c r="K45" s="9" t="n">
        <v>103440.01141262054</v>
      </c>
      <c r="L45" s="9" t="n">
        <v>737.5464134216309</v>
      </c>
      <c r="M45">
        <f si="1" t="shared"/>
        <v>121093.2180600326</v>
      </c>
    </row>
    <row r="46" spans="1:13" x14ac:dyDescent="0.25">
      <c r="A46" s="12">
        <v>0.89583333333333337</v>
      </c>
      <c r="B46" s="6" t="n">
        <v>17480.94153951444</v>
      </c>
      <c r="C46" s="6" t="n">
        <v>2933.186297140347</v>
      </c>
      <c r="D46" s="6" t="n">
        <v>71420.8448939585</v>
      </c>
      <c r="E46" s="6" t="n">
        <v>266.9822790224383</v>
      </c>
      <c r="F46" s="6">
        <f si="0" t="shared"/>
        <v>92101.955009635727</v>
      </c>
      <c r="H46" s="12">
        <v>0.89583333333333337</v>
      </c>
      <c r="I46" s="9" t="n">
        <v>18999.903017044067</v>
      </c>
      <c r="J46" s="9" t="n">
        <v>4473.511504173279</v>
      </c>
      <c r="K46" s="9" t="n">
        <v>86187.19718837738</v>
      </c>
      <c r="L46" s="9" t="n">
        <v>690.495677947998</v>
      </c>
      <c r="M46">
        <f si="1" t="shared"/>
        <v>100705.13015930701</v>
      </c>
    </row>
    <row r="47" spans="1:13" x14ac:dyDescent="0.25">
      <c r="A47" s="12">
        <v>0.91666666666666663</v>
      </c>
      <c r="B47" s="6" t="n">
        <v>15181.261161752325</v>
      </c>
      <c r="C47" s="6" t="n">
        <v>2375.9378501020615</v>
      </c>
      <c r="D47" s="6" t="n">
        <v>52711.18103459143</v>
      </c>
      <c r="E47" s="6" t="n">
        <v>236.16689107985576</v>
      </c>
      <c r="F47" s="6">
        <f si="0" t="shared"/>
        <v>70504.54693752568</v>
      </c>
      <c r="H47" s="12">
        <v>0.91666666666666663</v>
      </c>
      <c r="I47" s="9" t="n">
        <v>15691.263718605042</v>
      </c>
      <c r="J47" s="9" t="n">
        <v>4140.960473060608</v>
      </c>
      <c r="K47" s="9" t="n">
        <v>69787.18644046783</v>
      </c>
      <c r="L47" s="9" t="n">
        <v>596.2731485366821</v>
      </c>
      <c r="M47">
        <f si="1" t="shared"/>
        <v>82222.58733804521</v>
      </c>
    </row>
    <row r="48" spans="1:13" x14ac:dyDescent="0.25">
      <c r="A48" s="12">
        <v>0.9375</v>
      </c>
      <c r="B48" s="6" t="n">
        <v>13250.277197710966</v>
      </c>
      <c r="C48" s="6" t="n">
        <v>2066.888553171014</v>
      </c>
      <c r="D48" s="6" t="n">
        <v>36759.36866221178</v>
      </c>
      <c r="E48" s="6" t="n">
        <v>173.9370853026814</v>
      </c>
      <c r="F48" s="6">
        <f si="0" t="shared"/>
        <v>52250.471498396444</v>
      </c>
      <c r="H48" s="12">
        <v>0.9375</v>
      </c>
      <c r="I48" s="9" t="n">
        <v>12980.047046661377</v>
      </c>
      <c r="J48" s="9" t="n">
        <v>3777.1820964813232</v>
      </c>
      <c r="K48" s="9" t="n">
        <v>54867.62854385376</v>
      </c>
      <c r="L48" s="9" t="n">
        <v>461.44091606140137</v>
      </c>
      <c r="M48">
        <f si="1" t="shared"/>
        <v>65647.345443899321</v>
      </c>
    </row>
    <row r="49" spans="1:13" x14ac:dyDescent="0.25">
      <c r="A49" s="12">
        <v>0.95833333333333337</v>
      </c>
      <c r="B49" s="6" t="n">
        <v>11197.495832093871</v>
      </c>
      <c r="C49" s="6" t="n">
        <v>1917.8899488100144</v>
      </c>
      <c r="D49" s="6" t="n">
        <v>24179.837435534228</v>
      </c>
      <c r="E49" s="6" t="n">
        <v>105.53409349932403</v>
      </c>
      <c r="F49" s="6">
        <f si="0" t="shared"/>
        <v>37400.757309937435</v>
      </c>
      <c r="H49" s="12">
        <v>0.95833333333333337</v>
      </c>
      <c r="I49" s="9" t="n">
        <v>10444.388334274292</v>
      </c>
      <c r="J49" s="9" t="n">
        <v>3284.689595222473</v>
      </c>
      <c r="K49" s="9" t="n">
        <v>41360.14353179932</v>
      </c>
      <c r="L49" s="9" t="n">
        <v>316.63446140289307</v>
      </c>
      <c r="M49">
        <f si="1" t="shared"/>
        <v>50435.347801385593</v>
      </c>
    </row>
    <row r="50" spans="1:13" x14ac:dyDescent="0.25">
      <c r="A50" s="12">
        <v>0.97916666666666663</v>
      </c>
      <c r="B50" s="6" t="n">
        <v>8796.131253182572</v>
      </c>
      <c r="C50" s="6" t="n">
        <v>1761.053590645347</v>
      </c>
      <c r="D50" s="6" t="n">
        <v>14907.884525678242</v>
      </c>
      <c r="E50" s="6" t="n">
        <v>52.14415632386242</v>
      </c>
      <c r="F50" s="6">
        <f si="0" t="shared"/>
        <v>25517.213525830026</v>
      </c>
      <c r="H50" s="12">
        <v>0.97916666666666663</v>
      </c>
      <c r="I50" s="9" t="n">
        <v>7885.047483444214</v>
      </c>
      <c r="J50" s="9" t="n">
        <v>2628.247359275818</v>
      </c>
      <c r="K50" s="9" t="n">
        <v>29232.32706260681</v>
      </c>
      <c r="L50" s="9" t="n">
        <v>192.29332447052002</v>
      </c>
      <c r="M50">
        <f si="1" t="shared"/>
        <v>36344.718207731836</v>
      </c>
    </row>
    <row r="51" spans="1:13" x14ac:dyDescent="0.25">
      <c r="A51" s="12">
        <v>1</v>
      </c>
      <c r="B51" s="6" t="n">
        <v>6204.501032611573</v>
      </c>
      <c r="C51" s="6" t="n">
        <v>1474.0803675946163</v>
      </c>
      <c r="D51" s="6" t="n">
        <v>8511.38949590953</v>
      </c>
      <c r="E51" s="6" t="n">
        <v>20.644072267594645</v>
      </c>
      <c r="F51" s="6">
        <f si="0" t="shared"/>
        <v>16210.614968383314</v>
      </c>
      <c r="H51" s="12">
        <v>1</v>
      </c>
      <c r="I51" s="9" t="n">
        <v>5396.526140213013</v>
      </c>
      <c r="J51" s="9" t="n">
        <v>1876.8292684555054</v>
      </c>
      <c r="K51" s="9" t="n">
        <v>18865.339181900024</v>
      </c>
      <c r="L51" s="9" t="n">
        <v>103.41729354858398</v>
      </c>
      <c r="M51">
        <f si="1" t="shared"/>
        <v>23874.201021630506</v>
      </c>
    </row>
    <row r="52" spans="1:13" x14ac:dyDescent="0.25">
      <c r="A52" s="12">
        <v>1.0208333333333333</v>
      </c>
      <c r="B52" s="6" t="n">
        <v>3827.6174945212906</v>
      </c>
      <c r="C52" s="6" t="n">
        <v>1066.1243191200329</v>
      </c>
      <c r="D52" s="6" t="n">
        <v>4420.975897758463</v>
      </c>
      <c r="E52" s="6" t="n">
        <v>6.393026041253854</v>
      </c>
      <c r="F52" s="6">
        <f si="0" t="shared"/>
        <v>9321.1107374410403</v>
      </c>
      <c r="H52" s="12">
        <v>1.0208333333333333</v>
      </c>
      <c r="I52" s="9" t="n">
        <v>3253.0153770446777</v>
      </c>
      <c r="J52" s="9" t="n">
        <v>1167.1711740493774</v>
      </c>
      <c r="K52" s="9" t="n">
        <v>10830.046508789062</v>
      </c>
      <c r="L52" s="9" t="n">
        <v>49.180389404296875</v>
      </c>
      <c r="M52">
        <f si="1" t="shared"/>
        <v>13914.206203140278</v>
      </c>
    </row>
    <row r="53" spans="1:13" x14ac:dyDescent="0.25">
      <c r="A53" s="12">
        <v>4.1666666666666664E-2</v>
      </c>
      <c r="B53" s="6" t="n">
        <v>2023.015481207356</v>
      </c>
      <c r="C53" s="6" t="n">
        <v>646.124094468691</v>
      </c>
      <c r="D53" s="6" t="n">
        <v>2043.5375510111041</v>
      </c>
      <c r="E53" s="6" t="n">
        <v>1.4921399165021305</v>
      </c>
      <c r="F53" s="6">
        <f si="0" t="shared"/>
        <v>4714.1692666036533</v>
      </c>
      <c r="H53" s="12">
        <v>4.1666666666666664E-2</v>
      </c>
      <c r="I53" s="9" t="n">
        <v>1685.7383403778076</v>
      </c>
      <c r="J53" s="9" t="n">
        <v>619.1175107955933</v>
      </c>
      <c r="K53" s="9" t="n">
        <v>5396.485544204712</v>
      </c>
      <c r="L53" s="9" t="n">
        <v>20.533297538757324</v>
      </c>
      <c r="M53">
        <f si="1" t="shared"/>
        <v>7020.1619457230972</v>
      </c>
    </row>
    <row r="54" spans="1:13" x14ac:dyDescent="0.25">
      <c r="A54" s="12">
        <v>6.25E-2</v>
      </c>
      <c r="B54" s="6" t="n">
        <v>899.2574288009573</v>
      </c>
      <c r="C54" s="6" t="n">
        <v>321.33705091002656</v>
      </c>
      <c r="D54" s="6" t="n">
        <v>819.6456488536887</v>
      </c>
      <c r="E54" s="6" t="n">
        <v>0.24689225906612394</v>
      </c>
      <c r="F54" s="6">
        <f si="0" t="shared"/>
        <v>2040.4870208237387</v>
      </c>
      <c r="H54" s="12">
        <v>6.25E-2</v>
      </c>
      <c r="I54" s="9" t="n">
        <v>734.2417860031128</v>
      </c>
      <c r="J54" s="9" t="n">
        <v>274.53418827056885</v>
      </c>
      <c r="K54" s="9" t="n">
        <v>2278.743423461914</v>
      </c>
      <c r="L54" s="9" t="n">
        <v>7.41408634185791</v>
      </c>
      <c r="M54">
        <f si="1" t="shared"/>
        <v>2994.4208623749214</v>
      </c>
    </row>
    <row r="55" spans="1:13" x14ac:dyDescent="0.25">
      <c r="A55" s="12">
        <v>8.3333333333333329E-2</v>
      </c>
      <c r="B55" s="6" t="n">
        <v>329.63412727512144</v>
      </c>
      <c r="C55" s="6" t="n">
        <v>128.53298971251175</v>
      </c>
      <c r="D55" s="6" t="n">
        <v>277.3054519682145</v>
      </c>
      <c r="E55" s="6" t="n">
        <v>0.02581862946096993</v>
      </c>
      <c r="F55" s="6">
        <f si="0" t="shared"/>
        <v>735.49838758530871</v>
      </c>
      <c r="H55" s="12">
        <v>8.3333333333333329E-2</v>
      </c>
      <c r="I55" s="9" t="n">
        <v>262.378249168396</v>
      </c>
      <c r="J55" s="9" t="n">
        <v>99.49215602874756</v>
      </c>
      <c r="K55" s="9" t="n">
        <v>794.6342096328735</v>
      </c>
      <c r="L55" s="9" t="n">
        <v>2.2604475021362305</v>
      </c>
      <c r="M55">
        <f si="1" t="shared"/>
        <v>1052.7256826946643</v>
      </c>
    </row>
    <row r="56" spans="1:13" x14ac:dyDescent="0.25">
      <c r="A56" s="12">
        <v>0.10416666666666667</v>
      </c>
      <c r="B56" s="6" t="n">
        <v>97.23822681456565</v>
      </c>
      <c r="C56" s="6" t="n">
        <v>40.30988163943469</v>
      </c>
      <c r="D56" s="6" t="n">
        <v>76.56095878471245</v>
      </c>
      <c r="E56" s="6" t="n">
        <v>0.0012832396673965454</v>
      </c>
      <c r="F56" s="6">
        <f si="0" t="shared"/>
        <v>214.11035047838018</v>
      </c>
      <c r="H56" s="12">
        <v>0.10416666666666667</v>
      </c>
      <c r="I56" s="9" t="n">
        <v>74.65421676635742</v>
      </c>
      <c r="J56" s="9" t="n">
        <v>28.628742218017578</v>
      </c>
      <c r="K56" s="9" t="n">
        <v>221.7657699584961</v>
      </c>
      <c r="L56" s="9" t="n">
        <v>0.5625858306884766</v>
      </c>
      <c r="M56">
        <f si="1" t="shared"/>
        <v>295.72650622669909</v>
      </c>
    </row>
    <row r="57" spans="1:13" x14ac:dyDescent="0.25">
      <c r="A57" s="12">
        <v>0.125</v>
      </c>
      <c r="B57" s="6" t="n">
        <v>21.91564141777894</v>
      </c>
      <c r="C57" s="6" t="n">
        <v>9.387162504777294</v>
      </c>
      <c r="D57" s="6" t="n">
        <v>16.277262827476797</v>
      </c>
      <c r="E57" s="6" t="n">
        <v>0.0</v>
      </c>
      <c r="F57" s="6">
        <f si="0" t="shared"/>
        <v>47.580066750033026</v>
      </c>
      <c r="H57" s="12">
        <v>0.125</v>
      </c>
      <c r="I57" s="9" t="n">
        <v>15.985957145690918</v>
      </c>
      <c r="J57" s="9" t="n">
        <v>6.185512542724609</v>
      </c>
      <c r="K57" s="9" t="n">
        <v>46.776535987854004</v>
      </c>
      <c r="L57" s="9" t="n">
        <v>0.10772705078125</v>
      </c>
      <c r="M57">
        <f si="1" t="shared"/>
        <v>62.702134718061366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1727532.1387022026</v>
      </c>
      <c r="C59" s="7">
        <f>SUM(C8:C58)</f>
        <v>805044.13550640189</v>
      </c>
      <c r="D59" s="7">
        <f>SUM(D8:D58)</f>
        <v>3382352.2986750659</v>
      </c>
      <c r="E59" s="7">
        <f>SUM(E8:E58)</f>
        <v>184040.6416137598</v>
      </c>
      <c r="F59" s="7">
        <f>SUM(F8:F58)</f>
        <v>6098969.2144974312</v>
      </c>
      <c r="H59" s="1"/>
      <c r="I59" s="7">
        <f>SUM(I8:I58)</f>
        <v>1711814.2043831085</v>
      </c>
      <c r="J59" s="7">
        <f>SUM(J8:J58)</f>
        <v>760154.87482954084</v>
      </c>
      <c r="K59" s="7">
        <f>SUM(K8:K58)</f>
        <v>3392088.2621151642</v>
      </c>
      <c r="L59" s="7">
        <f>SUM(L8:L58)</f>
        <v>187234.64368564001</v>
      </c>
      <c r="M59" s="7">
        <f>SUM(M8:M58)</f>
        <v>6051291.9850134533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7.3019000091082906E-3</v>
      </c>
      <c r="J65" s="17">
        <f si="3" t="shared"/>
        <v>1.3030553618028053E-4</v>
      </c>
      <c r="K65" s="17">
        <f si="3" t="shared"/>
        <v>5.1428356044723273E-3</v>
      </c>
      <c r="L65" s="17">
        <f si="3" t="shared"/>
        <v>2.8236418895102129E-4</v>
      </c>
      <c r="M65" s="18">
        <f si="3" t="shared"/>
        <v>4.9735443710011099E-3</v>
      </c>
    </row>
    <row r="66" spans="1:13" x14ac:dyDescent="0.25">
      <c r="A66" s="12">
        <v>0.125</v>
      </c>
      <c r="B66" s="18">
        <f ref="B66:F81" si="4" t="shared">B9/B$59</f>
        <v>9.905172927462559E-6</v>
      </c>
      <c r="C66" s="18">
        <f si="4" t="shared"/>
        <v>4.8196847989353877E-6</v>
      </c>
      <c r="D66" s="18">
        <f si="4" t="shared"/>
        <v>2.9525223653241477E-4</v>
      </c>
      <c r="E66" s="18">
        <f si="4" t="shared"/>
        <v>1.8165559864375912E-5</v>
      </c>
      <c r="F66" s="18">
        <f si="4" t="shared"/>
        <v>1.6773028519956925E-4</v>
      </c>
      <c r="H66" s="12">
        <v>0.125</v>
      </c>
      <c r="I66" s="17">
        <f si="3" t="shared"/>
        <v>4.8819019906951719E-3</v>
      </c>
      <c r="J66" s="17">
        <f si="3" t="shared"/>
        <v>1.3191922699078929E-4</v>
      </c>
      <c r="K66" s="17">
        <f si="3" t="shared"/>
        <v>4.2332691555471138E-3</v>
      </c>
      <c r="L66" s="17">
        <f si="3" t="shared"/>
        <v>6.9775414961747442E-4</v>
      </c>
      <c r="M66" s="18">
        <f si="3" t="shared"/>
        <v>3.7921578788264816E-3</v>
      </c>
    </row>
    <row r="67" spans="1:13" x14ac:dyDescent="0.25">
      <c r="A67" s="12">
        <v>0.14583333333333334</v>
      </c>
      <c r="B67" s="18">
        <f si="4" t="shared"/>
        <v>2.040196880629291E-5</v>
      </c>
      <c r="C67" s="18">
        <f si="4" t="shared"/>
        <v>8.1786272307976558E-6</v>
      </c>
      <c r="D67" s="18">
        <f si="4" t="shared"/>
        <v>6.1861779087964597E-4</v>
      </c>
      <c r="E67" s="18">
        <f si="4" t="shared"/>
        <v>4.5934239268145984E-5</v>
      </c>
      <c r="F67" s="18">
        <f si="4" t="shared"/>
        <v>3.5131613411839283E-4</v>
      </c>
      <c r="H67" s="12">
        <v>0.14583333333333334</v>
      </c>
      <c r="I67" s="17">
        <f si="3" t="shared"/>
        <v>2.867384862567466E-3</v>
      </c>
      <c r="J67" s="17">
        <f si="3" t="shared"/>
        <v>1.2081163132841628E-4</v>
      </c>
      <c r="K67" s="17">
        <f si="3" t="shared"/>
        <v>3.4604621463998563E-3</v>
      </c>
      <c r="L67" s="17">
        <f si="3" t="shared"/>
        <v>9.786756759806853E-4</v>
      </c>
      <c r="M67" s="18">
        <f si="3" t="shared"/>
        <v>2.7963781535162075E-3</v>
      </c>
    </row>
    <row r="68" spans="1:13" x14ac:dyDescent="0.25">
      <c r="A68" s="12">
        <v>0.16666666666666666</v>
      </c>
      <c r="B68" s="18">
        <f si="4" t="shared"/>
        <v>3.2741344849686347E-5</v>
      </c>
      <c r="C68" s="18">
        <f si="4" t="shared"/>
        <v>9.4089356294674794E-6</v>
      </c>
      <c r="D68" s="18">
        <f si="4" t="shared"/>
        <v>1.0092544774296215E-3</v>
      </c>
      <c r="E68" s="18">
        <f si="4" t="shared"/>
        <v>9.5144749678068805E-5</v>
      </c>
      <c r="F68" s="18">
        <f si="4" t="shared"/>
        <v>5.7309701253987404E-4</v>
      </c>
      <c r="H68" s="12">
        <v>0.16666666666666666</v>
      </c>
      <c r="I68" s="17">
        <f si="3" t="shared"/>
        <v>1.4835454642058139E-3</v>
      </c>
      <c r="J68" s="17">
        <f si="3" t="shared"/>
        <v>9.7543088669246829E-5</v>
      </c>
      <c r="K68" s="17">
        <f si="3" t="shared"/>
        <v>2.9477262224076491E-3</v>
      </c>
      <c r="L68" s="17">
        <f si="3" t="shared"/>
        <v>1.1231789426381592E-3</v>
      </c>
      <c r="M68" s="18">
        <f si="3" t="shared"/>
        <v>2.1190429436670332E-3</v>
      </c>
    </row>
    <row r="69" spans="1:13" x14ac:dyDescent="0.25">
      <c r="A69" s="12">
        <v>0.1875</v>
      </c>
      <c r="B69" s="18">
        <f si="4" t="shared"/>
        <v>5.2280847409959865E-5</v>
      </c>
      <c r="C69" s="18">
        <f si="4" t="shared"/>
        <v>9.0340153800601882E-6</v>
      </c>
      <c r="D69" s="18">
        <f si="4" t="shared"/>
        <v>1.5348689628039468E-3</v>
      </c>
      <c r="E69" s="18">
        <f si="4" t="shared"/>
        <v>1.8680609011137425E-4</v>
      </c>
      <c r="F69" s="18">
        <f si="4" t="shared"/>
        <v>8.7284210088706701E-4</v>
      </c>
      <c r="H69" s="12">
        <v>0.1875</v>
      </c>
      <c r="I69" s="17">
        <f si="3" t="shared"/>
        <v>7.2558468619028811E-4</v>
      </c>
      <c r="J69" s="17">
        <f si="3" t="shared"/>
        <v>7.8503363126991994E-5</v>
      </c>
      <c r="K69" s="17">
        <f si="3" t="shared"/>
        <v>2.8040579645668777E-3</v>
      </c>
      <c r="L69" s="17">
        <f si="3" t="shared"/>
        <v>1.2631234936328313E-3</v>
      </c>
      <c r="M69" s="18">
        <f si="3" t="shared"/>
        <v>1.8260321100022866E-3</v>
      </c>
    </row>
    <row r="70" spans="1:13" x14ac:dyDescent="0.25">
      <c r="A70" s="12">
        <v>0.20833333333333334</v>
      </c>
      <c r="B70" s="18">
        <f si="4" t="shared"/>
        <v>9.4098946216425897E-5</v>
      </c>
      <c r="C70" s="18">
        <f si="4" t="shared"/>
        <v>9.5030557214067879E-6</v>
      </c>
      <c r="D70" s="18">
        <f si="4" t="shared"/>
        <v>2.3092079437082693E-3</v>
      </c>
      <c r="E70" s="18">
        <f si="4" t="shared"/>
        <v>3.6300210391726083E-4</v>
      </c>
      <c r="F70" s="18">
        <f si="4" t="shared"/>
        <v>1.3194969488594798E-3</v>
      </c>
      <c r="H70" s="12">
        <v>0.20833333333333334</v>
      </c>
      <c r="I70" s="17">
        <f si="3" t="shared"/>
        <v>4.4801669540589262E-4</v>
      </c>
      <c r="J70" s="17">
        <f si="3" t="shared"/>
        <v>8.8751410744101279E-5</v>
      </c>
      <c r="K70" s="17">
        <f si="3" t="shared"/>
        <v>3.1338795976525329E-3</v>
      </c>
      <c r="L70" s="17">
        <f si="3" t="shared"/>
        <v>1.5538736237809003E-3</v>
      </c>
      <c r="M70" s="18">
        <f si="3" t="shared"/>
        <v>1.9426795735516076E-3</v>
      </c>
    </row>
    <row r="71" spans="1:13" x14ac:dyDescent="0.25">
      <c r="A71" s="12">
        <v>0.22916666666666666</v>
      </c>
      <c r="B71" s="18">
        <f si="4" t="shared"/>
        <v>1.8597042786719654E-4</v>
      </c>
      <c r="C71" s="18">
        <f si="4" t="shared"/>
        <v>1.8597526817135721E-5</v>
      </c>
      <c r="D71" s="18">
        <f si="4" t="shared"/>
        <v>3.4893503011949665E-3</v>
      </c>
      <c r="E71" s="18">
        <f si="4" t="shared"/>
        <v>6.9755443183527671E-4</v>
      </c>
      <c r="F71" s="18">
        <f si="4" t="shared"/>
        <v>2.011295952938085E-3</v>
      </c>
      <c r="H71" s="12">
        <v>0.22916666666666666</v>
      </c>
      <c r="I71" s="17">
        <f si="3" t="shared"/>
        <v>4.927338002102844E-4</v>
      </c>
      <c r="J71" s="17">
        <f si="3" t="shared"/>
        <v>1.530430749697912E-4</v>
      </c>
      <c r="K71" s="17">
        <f si="3" t="shared"/>
        <v>4.0384842308574956E-3</v>
      </c>
      <c r="L71" s="17">
        <f si="3" t="shared"/>
        <v>2.0859888700095436E-3</v>
      </c>
      <c r="M71" s="18">
        <f si="3" t="shared"/>
        <v>2.4869514698654407E-3</v>
      </c>
    </row>
    <row r="72" spans="1:13" x14ac:dyDescent="0.25">
      <c r="A72" s="12">
        <v>0.25</v>
      </c>
      <c r="B72" s="18">
        <f si="4" t="shared"/>
        <v>3.6339736463742768E-4</v>
      </c>
      <c r="C72" s="18">
        <f si="4" t="shared"/>
        <v>5.8895091202790076E-5</v>
      </c>
      <c r="D72" s="18">
        <f si="4" t="shared"/>
        <v>5.2338909206249146E-3</v>
      </c>
      <c r="E72" s="18">
        <f si="4" t="shared"/>
        <v>1.2964300554704356E-3</v>
      </c>
      <c r="F72" s="18">
        <f si="4" t="shared"/>
        <v>3.0524260617134777E-3</v>
      </c>
      <c r="H72" s="12">
        <v>0.25</v>
      </c>
      <c r="I72" s="17">
        <f si="3" t="shared"/>
        <v>7.6007880045581857E-4</v>
      </c>
      <c r="J72" s="17">
        <f si="3" t="shared"/>
        <v>2.8872968612182276E-4</v>
      </c>
      <c r="K72" s="17">
        <f si="3" t="shared"/>
        <v>5.5918986375401263E-3</v>
      </c>
      <c r="L72" s="17">
        <f si="3" t="shared"/>
        <v>2.9073474701297938E-3</v>
      </c>
      <c r="M72" s="18">
        <f si="3" t="shared"/>
        <v>3.4758135810587947E-3</v>
      </c>
    </row>
    <row r="73" spans="1:13" x14ac:dyDescent="0.25">
      <c r="A73" s="12">
        <v>0.27083333333333331</v>
      </c>
      <c r="B73" s="18">
        <f si="4" t="shared"/>
        <v>6.5767767840852734E-4</v>
      </c>
      <c r="C73" s="18">
        <f si="4" t="shared"/>
        <v>1.844216722198219E-4</v>
      </c>
      <c r="D73" s="18">
        <f si="4" t="shared"/>
        <v>7.6242893241007552E-3</v>
      </c>
      <c r="E73" s="18">
        <f si="4" t="shared"/>
        <v>2.2850803018236881E-3</v>
      </c>
      <c r="F73" s="18">
        <f si="4" t="shared"/>
        <v>4.5078448687212603E-3</v>
      </c>
      <c r="H73" s="12">
        <v>0.27083333333333331</v>
      </c>
      <c r="I73" s="17">
        <f si="3" t="shared"/>
        <v>1.2091431928907676E-3</v>
      </c>
      <c r="J73" s="17">
        <f si="3" t="shared"/>
        <v>5.0126649329013801E-4</v>
      </c>
      <c r="K73" s="17">
        <f si="3" t="shared"/>
        <v>7.8000080981897799E-3</v>
      </c>
      <c r="L73" s="17">
        <f si="3" t="shared"/>
        <v>4.1168979874673791E-3</v>
      </c>
      <c r="M73" s="18">
        <f si="3" t="shared"/>
        <v>4.9047394468384993E-3</v>
      </c>
    </row>
    <row r="74" spans="1:13" x14ac:dyDescent="0.25">
      <c r="A74" s="12">
        <v>0.29166666666666669</v>
      </c>
      <c r="B74" s="18">
        <f si="4" t="shared"/>
        <v>1.0870665187894327E-3</v>
      </c>
      <c r="C74" s="18">
        <f si="4" t="shared"/>
        <v>4.9620970211575167E-4</v>
      </c>
      <c r="D74" s="18">
        <f si="4" t="shared"/>
        <v>1.058286685599919E-2</v>
      </c>
      <c r="E74" s="18">
        <f si="4" t="shared"/>
        <v>3.7929780054710787E-3</v>
      </c>
      <c r="F74" s="18">
        <f si="4" t="shared"/>
        <v>6.3568871784664537E-3</v>
      </c>
      <c r="H74" s="12">
        <v>0.29166666666666669</v>
      </c>
      <c r="I74" s="17">
        <f si="3" t="shared"/>
        <v>1.8374066631311344E-3</v>
      </c>
      <c r="J74" s="17">
        <f si="3" t="shared"/>
        <v>7.8882588827598374E-4</v>
      </c>
      <c r="K74" s="17">
        <f si="3" t="shared"/>
        <v>1.0576030712097459E-2</v>
      </c>
      <c r="L74" s="17">
        <f si="3" t="shared"/>
        <v>5.9322085208183975E-3</v>
      </c>
      <c r="M74" s="18">
        <f si="3" t="shared"/>
        <v>6.7308722430437879E-3</v>
      </c>
    </row>
    <row r="75" spans="1:13" x14ac:dyDescent="0.25">
      <c r="A75" s="12">
        <v>0.3125</v>
      </c>
      <c r="B75" s="18">
        <f si="4" t="shared"/>
        <v>1.6615911121135999E-3</v>
      </c>
      <c r="C75" s="18">
        <f si="4" t="shared"/>
        <v>1.1359383136926244E-3</v>
      </c>
      <c r="D75" s="18">
        <f si="4" t="shared"/>
        <v>1.3845456130547258E-2</v>
      </c>
      <c r="E75" s="18">
        <f si="4" t="shared"/>
        <v>5.9538452576467218E-3</v>
      </c>
      <c r="F75" s="18">
        <f si="4" t="shared"/>
        <v>8.4786282037664293E-3</v>
      </c>
      <c r="H75" s="12">
        <v>0.3125</v>
      </c>
      <c r="I75" s="17">
        <f si="3" t="shared"/>
        <v>2.6870494575666664E-3</v>
      </c>
      <c r="J75" s="17">
        <f si="3" t="shared"/>
        <v>1.1639555748323659E-3</v>
      </c>
      <c r="K75" s="17">
        <f si="3" t="shared"/>
        <v>1.3755896167919978E-2</v>
      </c>
      <c r="L75" s="17">
        <f si="3" t="shared"/>
        <v>8.6902244507317452E-3</v>
      </c>
      <c r="M75" s="18">
        <f si="3" t="shared"/>
        <v>8.8861752286068484E-3</v>
      </c>
    </row>
    <row r="76" spans="1:13" x14ac:dyDescent="0.25">
      <c r="A76" s="12">
        <v>0.33333333333333331</v>
      </c>
      <c r="B76" s="18">
        <f si="4" t="shared"/>
        <v>2.399205546278474E-3</v>
      </c>
      <c r="C76" s="18">
        <f si="4" t="shared"/>
        <v>2.2410334626615461E-3</v>
      </c>
      <c r="D76" s="18">
        <f si="4" t="shared"/>
        <v>1.7040919819795528E-2</v>
      </c>
      <c r="E76" s="18">
        <f si="4" t="shared"/>
        <v>8.9338993947756483E-3</v>
      </c>
      <c r="F76" s="18">
        <f si="4" t="shared"/>
        <v>1.0695484456755588E-2</v>
      </c>
      <c r="H76" s="12">
        <v>0.33333333333333331</v>
      </c>
      <c r="I76" s="17">
        <f si="3" t="shared"/>
        <v>3.8715641175824603E-3</v>
      </c>
      <c r="J76" s="17">
        <f si="3" t="shared"/>
        <v>1.6828021606122223E-3</v>
      </c>
      <c r="K76" s="17">
        <f si="3" t="shared"/>
        <v>1.71391897396093E-2</v>
      </c>
      <c r="L76" s="17">
        <f si="3" t="shared"/>
        <v>1.2817403344068867E-2</v>
      </c>
      <c r="M76" s="18">
        <f si="3" t="shared"/>
        <v>1.1310658148858725E-2</v>
      </c>
    </row>
    <row r="77" spans="1:13" x14ac:dyDescent="0.25">
      <c r="A77" s="12">
        <v>0.35416666666666669</v>
      </c>
      <c r="B77" s="18">
        <f si="4" t="shared"/>
        <v>3.339178101655539E-3</v>
      </c>
      <c r="C77" s="18">
        <f si="4" t="shared"/>
        <v>3.8804290790388934E-3</v>
      </c>
      <c r="D77" s="18">
        <f si="4" t="shared"/>
        <v>1.9869296043093558E-2</v>
      </c>
      <c r="E77" s="18">
        <f si="4" t="shared"/>
        <v>1.2991402692470939E-2</v>
      </c>
      <c r="F77" s="18">
        <f si="4" t="shared"/>
        <v>1.286911880217695E-2</v>
      </c>
      <c r="H77" s="12">
        <v>0.35416666666666669</v>
      </c>
      <c r="I77" s="17">
        <f si="3" t="shared"/>
        <v>5.5637363965186501E-3</v>
      </c>
      <c r="J77" s="17">
        <f si="3" t="shared"/>
        <v>2.4495150393503925E-3</v>
      </c>
      <c r="K77" s="17">
        <f si="3" t="shared"/>
        <v>2.0516604356833779E-2</v>
      </c>
      <c r="L77" s="17">
        <f si="3" t="shared"/>
        <v>1.8781658415973543E-2</v>
      </c>
      <c r="M77" s="18">
        <f si="3" t="shared"/>
        <v>1.3963431931398273E-2</v>
      </c>
    </row>
    <row r="78" spans="1:13" x14ac:dyDescent="0.25">
      <c r="A78" s="12">
        <v>0.375</v>
      </c>
      <c r="B78" s="18">
        <f si="4" t="shared"/>
        <v>4.5443174776194778E-3</v>
      </c>
      <c r="C78" s="18">
        <f si="4" t="shared"/>
        <v>6.0256592135197237E-3</v>
      </c>
      <c r="D78" s="18">
        <f si="4" t="shared"/>
        <v>2.2273205701182373E-2</v>
      </c>
      <c r="E78" s="18">
        <f si="4" t="shared"/>
        <v>1.8572050746984176E-2</v>
      </c>
      <c r="F78" s="18">
        <f si="4" t="shared"/>
        <v>1.4995192388228695E-2</v>
      </c>
      <c r="H78" s="12">
        <v>0.375</v>
      </c>
      <c r="I78" s="17">
        <f si="3" t="shared"/>
        <v>7.8970610854396245E-3</v>
      </c>
      <c r="J78" s="17">
        <f si="3" t="shared"/>
        <v>3.5735201473079048E-3</v>
      </c>
      <c r="K78" s="17">
        <f si="3" t="shared"/>
        <v>2.3664676766995626E-2</v>
      </c>
      <c r="L78" s="17">
        <f si="3" t="shared"/>
        <v>2.6953739734164449E-2</v>
      </c>
      <c r="M78" s="18">
        <f si="3" t="shared"/>
        <v>1.6782213863406163E-2</v>
      </c>
    </row>
    <row r="79" spans="1:13" x14ac:dyDescent="0.25">
      <c r="A79" s="12">
        <v>0.39583333333333331</v>
      </c>
      <c r="B79" s="18">
        <f si="4" t="shared"/>
        <v>6.0946273601568055E-3</v>
      </c>
      <c r="C79" s="18">
        <f si="4" t="shared"/>
        <v>8.5854763429176785E-3</v>
      </c>
      <c r="D79" s="18">
        <f si="4" t="shared"/>
        <v>2.4452518372064771E-2</v>
      </c>
      <c r="E79" s="18">
        <f si="4" t="shared"/>
        <v>2.6408903858276364E-2</v>
      </c>
      <c r="F79" s="18">
        <f si="4" t="shared"/>
        <v>1.7217285685491558E-2</v>
      </c>
      <c r="H79" s="12">
        <v>0.39583333333333331</v>
      </c>
      <c r="I79" s="17">
        <f si="3" t="shared"/>
        <v>1.0824187070403345E-2</v>
      </c>
      <c r="J79" s="17">
        <f si="3" t="shared"/>
        <v>5.1167527583402877E-3</v>
      </c>
      <c r="K79" s="17">
        <f si="3" t="shared"/>
        <v>2.6336253263168099E-2</v>
      </c>
      <c r="L79" s="17">
        <f si="3" t="shared"/>
        <v>3.7339703220213231E-2</v>
      </c>
      <c r="M79" s="18">
        <f si="3" t="shared"/>
        <v>1.9623033166222464E-2</v>
      </c>
    </row>
    <row r="80" spans="1:13" x14ac:dyDescent="0.25">
      <c r="A80" s="12">
        <v>0.41666666666666669</v>
      </c>
      <c r="B80" s="18">
        <f si="4" t="shared"/>
        <v>8.0666858675323798E-3</v>
      </c>
      <c r="C80" s="18">
        <f si="4" t="shared"/>
        <v>1.1458529794922345E-2</v>
      </c>
      <c r="D80" s="18">
        <f si="4" t="shared"/>
        <v>2.6666861296035089E-2</v>
      </c>
      <c r="E80" s="18">
        <f si="4" t="shared"/>
        <v>3.7454971258828712E-2</v>
      </c>
      <c r="F80" s="18">
        <f si="4" t="shared"/>
        <v>1.9716452668962478E-2</v>
      </c>
      <c r="H80" s="12">
        <v>0.41666666666666669</v>
      </c>
      <c r="I80" s="17">
        <f si="3" t="shared"/>
        <v>1.4062878545242654E-2</v>
      </c>
      <c r="J80" s="17">
        <f si="3" t="shared"/>
        <v>7.1248866640972837E-3</v>
      </c>
      <c r="K80" s="17">
        <f si="3" t="shared"/>
        <v>2.8296882935654303E-2</v>
      </c>
      <c r="L80" s="17">
        <f si="3" t="shared"/>
        <v>4.9327696337657836E-2</v>
      </c>
      <c r="M80" s="18">
        <f si="3" t="shared"/>
        <v>2.226143293371053E-2</v>
      </c>
    </row>
    <row r="81" spans="1:13" x14ac:dyDescent="0.25">
      <c r="A81" s="12">
        <v>0.4375</v>
      </c>
      <c r="B81" s="18">
        <f si="4" t="shared"/>
        <v>1.0483586873218941E-2</v>
      </c>
      <c r="C81" s="18">
        <f si="4" t="shared"/>
        <v>1.4561681128205347E-2</v>
      </c>
      <c r="D81" s="18">
        <f si="4" t="shared"/>
        <v>2.8961983681073868E-2</v>
      </c>
      <c r="E81" s="18">
        <f si="4" t="shared"/>
        <v>5.2358547671572331E-2</v>
      </c>
      <c r="F81" s="18">
        <f si="4" t="shared"/>
        <v>2.2533194905521987E-2</v>
      </c>
      <c r="H81" s="12">
        <v>0.4375</v>
      </c>
      <c r="I81" s="17">
        <f ref="I81:M96" si="5" t="shared">I24/I$59</f>
        <v>1.7219147049868606E-2</v>
      </c>
      <c r="J81" s="17">
        <f si="5" t="shared"/>
        <v>9.7979913639102637E-3</v>
      </c>
      <c r="K81" s="17">
        <f si="5" t="shared"/>
        <v>2.941742392669677E-2</v>
      </c>
      <c r="L81" s="17">
        <f si="5" t="shared"/>
        <v>6.1674948333224462E-2</v>
      </c>
      <c r="M81" s="18">
        <f si="5" t="shared"/>
        <v>2.4500248401866948E-2</v>
      </c>
    </row>
    <row r="82" spans="1:13" x14ac:dyDescent="0.25">
      <c r="A82" s="12">
        <v>0.45833333333333331</v>
      </c>
      <c r="B82" s="18">
        <f ref="B82:F97" si="6" t="shared">B25/B$59</f>
        <v>1.32576671426078E-2</v>
      </c>
      <c r="C82" s="18">
        <f si="6" t="shared"/>
        <v>1.791938496170865E-2</v>
      </c>
      <c r="D82" s="18">
        <f si="6" t="shared"/>
        <v>3.1064407595819996E-2</v>
      </c>
      <c r="E82" s="18">
        <f si="6" t="shared"/>
        <v>7.0448659062384539E-2</v>
      </c>
      <c r="F82" s="18">
        <f si="6" t="shared"/>
        <v>2.5473997857283819E-2</v>
      </c>
      <c r="H82" s="12">
        <v>0.45833333333333331</v>
      </c>
      <c r="I82" s="17">
        <f si="5" t="shared"/>
        <v>2.0015662169087588E-2</v>
      </c>
      <c r="J82" s="17">
        <f si="5" t="shared"/>
        <v>1.3697548929858952E-2</v>
      </c>
      <c r="K82" s="17">
        <f si="5" t="shared"/>
        <v>2.9762757795473476E-2</v>
      </c>
      <c r="L82" s="17">
        <f si="5" t="shared"/>
        <v>7.277927021682469E-2</v>
      </c>
      <c r="M82" s="18">
        <f si="5" t="shared"/>
        <v>2.6318355797538395E-2</v>
      </c>
    </row>
    <row r="83" spans="1:13" x14ac:dyDescent="0.25">
      <c r="A83" s="12">
        <v>0.47916666666666669</v>
      </c>
      <c r="B83" s="18">
        <f si="6" t="shared"/>
        <v>1.621123424425467E-2</v>
      </c>
      <c r="C83" s="18">
        <f si="6" t="shared"/>
        <v>2.1951850980420153E-2</v>
      </c>
      <c r="D83" s="18">
        <f si="6" t="shared"/>
        <v>3.2570625775065282E-2</v>
      </c>
      <c r="E83" s="18">
        <f si="6" t="shared"/>
        <v>8.8887931211112714E-2</v>
      </c>
      <c r="F83" s="18">
        <f si="6" t="shared"/>
        <v>2.8234600611253872E-2</v>
      </c>
      <c r="H83" s="12">
        <v>0.47916666666666669</v>
      </c>
      <c r="I83" s="17">
        <f si="5" t="shared"/>
        <v>2.2445073094761271E-2</v>
      </c>
      <c r="J83" s="17">
        <f si="5" t="shared"/>
        <v>1.9743766488958293E-2</v>
      </c>
      <c r="K83" s="17">
        <f si="5" t="shared"/>
        <v>2.9593631267604292E-2</v>
      </c>
      <c r="L83" s="17">
        <f si="5" t="shared"/>
        <v>8.1057471007486906E-2</v>
      </c>
      <c r="M83" s="18">
        <f si="5" t="shared"/>
        <v>2.7926448048281094E-2</v>
      </c>
    </row>
    <row r="84" spans="1:13" x14ac:dyDescent="0.25">
      <c r="A84" s="12">
        <v>0.5</v>
      </c>
      <c r="B84" s="18">
        <f si="6" t="shared"/>
        <v>1.9242247590060609E-2</v>
      </c>
      <c r="C84" s="18">
        <f si="6" t="shared"/>
        <v>2.7838474874573707E-2</v>
      </c>
      <c r="D84" s="18">
        <f si="6" t="shared"/>
        <v>3.329141804949648E-2</v>
      </c>
      <c r="E84" s="18">
        <f si="6" t="shared"/>
        <v>0.10305643802122963</v>
      </c>
      <c r="F84" s="18">
        <f si="6" t="shared"/>
        <v>3.069742981627149E-2</v>
      </c>
      <c r="H84" s="12">
        <v>0.5</v>
      </c>
      <c r="I84" s="17">
        <f si="5" t="shared"/>
        <v>2.4749285834339649E-2</v>
      </c>
      <c r="J84" s="17">
        <f si="5" t="shared"/>
        <v>2.8841881858942126E-2</v>
      </c>
      <c r="K84" s="17">
        <f si="5" t="shared"/>
        <v>2.9262062489445254E-2</v>
      </c>
      <c r="L84" s="17">
        <f si="5" t="shared"/>
        <v>8.5275657104609048E-2</v>
      </c>
      <c r="M84" s="18">
        <f si="5" t="shared"/>
        <v>2.9665818894088897E-2</v>
      </c>
    </row>
    <row r="85" spans="1:13" x14ac:dyDescent="0.25">
      <c r="A85" s="12">
        <v>0.52083333333333337</v>
      </c>
      <c r="B85" s="18">
        <f si="6" t="shared"/>
        <v>2.2563246530001194E-2</v>
      </c>
      <c r="C85" s="18">
        <f si="6" t="shared"/>
        <v>3.7421381183240149E-2</v>
      </c>
      <c r="D85" s="18">
        <f si="6" t="shared"/>
        <v>3.345643933537696E-2</v>
      </c>
      <c r="E85" s="18">
        <f si="6" t="shared"/>
        <v>0.10851024422015745</v>
      </c>
      <c r="F85" s="18">
        <f si="6" t="shared"/>
        <v>3.3159104324854104E-2</v>
      </c>
      <c r="H85" s="12">
        <v>0.52083333333333337</v>
      </c>
      <c r="I85" s="17">
        <f si="5" t="shared"/>
        <v>2.7306213619296978E-2</v>
      </c>
      <c r="J85" s="17">
        <f si="5" t="shared"/>
        <v>4.1302618747957466E-2</v>
      </c>
      <c r="K85" s="17">
        <f si="5" t="shared"/>
        <v>2.9073324876000395E-2</v>
      </c>
      <c r="L85" s="17">
        <f si="5" t="shared"/>
        <v>8.4824143484543174E-2</v>
      </c>
      <c r="M85" s="18">
        <f si="5" t="shared"/>
        <v>3.1834665082567389E-2</v>
      </c>
    </row>
    <row r="86" spans="1:13" x14ac:dyDescent="0.25">
      <c r="A86" s="12">
        <v>0.54166666666666663</v>
      </c>
      <c r="B86" s="18">
        <f si="6" t="shared"/>
        <v>2.6814127022614442E-2</v>
      </c>
      <c r="C86" s="18">
        <f si="6" t="shared"/>
        <v>5.2136367503666022E-2</v>
      </c>
      <c r="D86" s="18">
        <f si="6" t="shared"/>
        <v>3.3599161511740055E-2</v>
      </c>
      <c r="E86" s="18">
        <f si="6" t="shared"/>
        <v>0.10338417623566704</v>
      </c>
      <c r="F86" s="18">
        <f si="6" t="shared"/>
        <v>3.6229963890113112E-2</v>
      </c>
      <c r="H86" s="12">
        <v>0.54166666666666663</v>
      </c>
      <c r="I86" s="17">
        <f si="5" t="shared"/>
        <v>3.0565176920064233E-2</v>
      </c>
      <c r="J86" s="17">
        <f si="5" t="shared"/>
        <v>5.6453931421599685E-2</v>
      </c>
      <c r="K86" s="17">
        <f si="5" t="shared"/>
        <v>2.9209052428898544E-2</v>
      </c>
      <c r="L86" s="17">
        <f si="5" t="shared"/>
        <v>7.9907942379001257E-2</v>
      </c>
      <c r="M86" s="18">
        <f si="5" t="shared"/>
        <v>3.4583830149581385E-2</v>
      </c>
    </row>
    <row r="87" spans="1:13" x14ac:dyDescent="0.25">
      <c r="A87" s="12">
        <v>0.5625</v>
      </c>
      <c r="B87" s="18">
        <f si="6" t="shared"/>
        <v>3.2887515918036306E-2</v>
      </c>
      <c r="C87" s="18">
        <f si="6" t="shared"/>
        <v>7.1271982847369922E-2</v>
      </c>
      <c r="D87" s="18">
        <f si="6" t="shared"/>
        <v>3.4207096318685133E-2</v>
      </c>
      <c r="E87" s="18">
        <f si="6" t="shared"/>
        <v>8.9447685207110023E-2</v>
      </c>
      <c r="F87" s="18">
        <f si="6" t="shared"/>
        <v>4.0392693273967002E-2</v>
      </c>
      <c r="H87" s="12">
        <v>0.5625</v>
      </c>
      <c r="I87" s="17">
        <f si="5" t="shared"/>
        <v>3.5038280269562107E-2</v>
      </c>
      <c r="J87" s="17">
        <f si="5" t="shared"/>
        <v>7.2652395944285339E-2</v>
      </c>
      <c r="K87" s="17">
        <f si="5" t="shared"/>
        <v>2.9730564265997832E-2</v>
      </c>
      <c r="L87" s="17">
        <f si="5" t="shared"/>
        <v>7.1504911214537684E-2</v>
      </c>
      <c r="M87" s="18">
        <f si="5" t="shared"/>
        <v>3.791636464108851E-2</v>
      </c>
    </row>
    <row r="88" spans="1:13" x14ac:dyDescent="0.25">
      <c r="A88" s="12">
        <v>0.58333333333333337</v>
      </c>
      <c r="B88" s="18">
        <f si="6" t="shared"/>
        <v>4.1488636814716616E-2</v>
      </c>
      <c r="C88" s="18">
        <f si="6" t="shared"/>
        <v>9.0911295008627366E-2</v>
      </c>
      <c r="D88" s="18">
        <f si="6" t="shared"/>
        <v>3.5391682559383165E-2</v>
      </c>
      <c r="E88" s="18">
        <f si="6" t="shared"/>
        <v>7.1052269533979459E-2</v>
      </c>
      <c r="F88" s="18">
        <f si="6" t="shared"/>
        <v>4.5523135591214486E-2</v>
      </c>
      <c r="H88" s="12">
        <v>0.58333333333333337</v>
      </c>
      <c r="I88" s="17">
        <f si="5" t="shared"/>
        <v>4.1203018223102315E-2</v>
      </c>
      <c r="J88" s="17">
        <f si="5" t="shared"/>
        <v>8.7525183276782548E-2</v>
      </c>
      <c r="K88" s="17">
        <f si="5" t="shared"/>
        <v>3.0601695769670936E-2</v>
      </c>
      <c r="L88" s="17">
        <f si="5" t="shared"/>
        <v>6.1033172560483955E-2</v>
      </c>
      <c r="M88" s="18">
        <f si="5" t="shared"/>
        <v>4.1692878902435483E-2</v>
      </c>
    </row>
    <row r="89" spans="1:13" x14ac:dyDescent="0.25">
      <c r="A89" s="12">
        <v>0.60416666666666663</v>
      </c>
      <c r="B89" s="18">
        <f si="6" t="shared"/>
        <v>5.262058683808548E-2</v>
      </c>
      <c r="C89" s="18">
        <f si="6" t="shared"/>
        <v>0.10498279092209022</v>
      </c>
      <c r="D89" s="18">
        <f si="6" t="shared"/>
        <v>3.6802975311395723E-2</v>
      </c>
      <c r="E89" s="18">
        <f si="6" t="shared"/>
        <v>5.2878536865511791E-2</v>
      </c>
      <c r="F89" s="18">
        <f si="6" t="shared"/>
        <v>5.0767917034240564E-2</v>
      </c>
      <c r="H89" s="12">
        <v>0.60416666666666663</v>
      </c>
      <c r="I89" s="17">
        <f si="5" t="shared"/>
        <v>4.9213085764389028E-2</v>
      </c>
      <c r="J89" s="17">
        <f si="5" t="shared"/>
        <v>9.8279184942299994E-2</v>
      </c>
      <c r="K89" s="17">
        <f si="5" t="shared"/>
        <v>3.1689100119298839E-2</v>
      </c>
      <c r="L89" s="17">
        <f si="5" t="shared"/>
        <v>4.9921374598217376E-2</v>
      </c>
      <c r="M89" s="18">
        <f si="5" t="shared"/>
        <v>4.5575440220212066E-2</v>
      </c>
    </row>
    <row r="90" spans="1:13" x14ac:dyDescent="0.25">
      <c r="A90" s="12">
        <v>0.625</v>
      </c>
      <c r="B90" s="18">
        <f si="6" t="shared"/>
        <v>6.5233754050595075E-2</v>
      </c>
      <c r="C90" s="18">
        <f si="6" t="shared"/>
        <v>0.10833832516615886</v>
      </c>
      <c r="D90" s="18">
        <f si="6" t="shared"/>
        <v>3.7851958413660632E-2</v>
      </c>
      <c r="E90" s="18">
        <f si="6" t="shared"/>
        <v>3.8042969261917484E-2</v>
      </c>
      <c r="F90" s="18">
        <f si="6" t="shared"/>
        <v>5.491758348307281E-2</v>
      </c>
      <c r="H90" s="12">
        <v>0.625</v>
      </c>
      <c r="I90" s="17">
        <f si="5" t="shared"/>
        <v>5.8530593888808165E-2</v>
      </c>
      <c r="J90" s="17">
        <f si="5" t="shared"/>
        <v>0.10227466590118284</v>
      </c>
      <c r="K90" s="17">
        <f si="5" t="shared"/>
        <v>3.2781971098984557E-2</v>
      </c>
      <c r="L90" s="17">
        <f si="5" t="shared"/>
        <v>3.933146538510858E-2</v>
      </c>
      <c r="M90" s="18">
        <f si="5" t="shared"/>
        <v>4.8998071962380693E-2</v>
      </c>
    </row>
    <row r="91" spans="1:13" x14ac:dyDescent="0.25">
      <c r="A91" s="12">
        <v>0.64583333333333337</v>
      </c>
      <c r="B91" s="18">
        <f si="6" t="shared"/>
        <v>7.7226565141014059E-2</v>
      </c>
      <c r="C91" s="18">
        <f si="6" t="shared"/>
        <v>9.9805234135137838E-2</v>
      </c>
      <c r="D91" s="18">
        <f si="6" t="shared"/>
        <v>3.810769996529207E-2</v>
      </c>
      <c r="E91" s="18">
        <f si="6" t="shared"/>
        <v>2.7462237140450128E-2</v>
      </c>
      <c r="F91" s="18">
        <f si="6" t="shared"/>
        <v>5.7010752762583328E-2</v>
      </c>
      <c r="H91" s="12">
        <v>0.64583333333333337</v>
      </c>
      <c r="I91" s="17">
        <f si="5" t="shared"/>
        <v>6.7753085513380981E-2</v>
      </c>
      <c r="J91" s="17">
        <f si="5" t="shared"/>
        <v>9.8032645893799675E-2</v>
      </c>
      <c r="K91" s="17">
        <f si="5" t="shared"/>
        <v>3.368646227222355E-2</v>
      </c>
      <c r="L91" s="17">
        <f si="5" t="shared"/>
        <v>3.0075063011593139E-2</v>
      </c>
      <c r="M91" s="18">
        <f si="5" t="shared"/>
        <v>5.1294704599038198E-2</v>
      </c>
    </row>
    <row r="92" spans="1:13" x14ac:dyDescent="0.25">
      <c r="A92" s="12">
        <v>0.66666666666666663</v>
      </c>
      <c r="B92" s="18">
        <f si="6" t="shared"/>
        <v>8.5897334572563808E-2</v>
      </c>
      <c r="C92" s="18">
        <f si="6" t="shared"/>
        <v>8.2801152436830894E-2</v>
      </c>
      <c r="D92" s="18">
        <f si="6" t="shared"/>
        <v>3.7608486168998131E-2</v>
      </c>
      <c r="E92" s="18">
        <f si="6" t="shared"/>
        <v>2.0378716972912644E-2</v>
      </c>
      <c r="F92" s="18">
        <f si="6" t="shared"/>
        <v>5.6731660368656907E-2</v>
      </c>
      <c r="H92" s="12">
        <v>0.66666666666666663</v>
      </c>
      <c r="I92" s="17">
        <f si="5" t="shared"/>
        <v>7.485067792109372E-2</v>
      </c>
      <c r="J92" s="17">
        <f si="5" t="shared"/>
        <v>8.6190394866028128E-2</v>
      </c>
      <c r="K92" s="17">
        <f si="5" t="shared"/>
        <v>3.4355211353209521E-2</v>
      </c>
      <c r="L92" s="17">
        <f si="5" t="shared"/>
        <v>2.260325282873445E-2</v>
      </c>
      <c r="M92" s="18">
        <f si="5" t="shared"/>
        <v>5.1958577513007052E-2</v>
      </c>
    </row>
    <row r="93" spans="1:13" x14ac:dyDescent="0.25">
      <c r="A93" s="12">
        <v>0.6875</v>
      </c>
      <c r="B93" s="18">
        <f si="6" t="shared"/>
        <v>8.8814352459118964E-2</v>
      </c>
      <c r="C93" s="18">
        <f si="6" t="shared"/>
        <v>6.3050909924752416E-2</v>
      </c>
      <c r="D93" s="18">
        <f si="6" t="shared"/>
        <v>3.6869021680546558E-2</v>
      </c>
      <c r="E93" s="18">
        <f si="6" t="shared"/>
        <v>1.5413172865334387E-2</v>
      </c>
      <c r="F93" s="18">
        <f si="6" t="shared"/>
        <v>5.439100810517699E-2</v>
      </c>
      <c r="H93" s="12">
        <v>0.6875</v>
      </c>
      <c r="I93" s="17">
        <f si="5" t="shared"/>
        <v>7.7810037460564169E-2</v>
      </c>
      <c r="J93" s="17">
        <f si="5" t="shared"/>
        <v>6.9527422620918655E-2</v>
      </c>
      <c r="K93" s="17">
        <f si="5" t="shared"/>
        <v>3.4937734027828828E-2</v>
      </c>
      <c r="L93" s="17">
        <f si="5" t="shared"/>
        <v>1.7004359656976414E-2</v>
      </c>
      <c r="M93" s="18">
        <f si="5" t="shared"/>
        <v>5.0855853608209677E-2</v>
      </c>
    </row>
    <row r="94" spans="1:13" x14ac:dyDescent="0.25">
      <c r="A94" s="12">
        <v>0.70833333333333337</v>
      </c>
      <c r="B94" s="18">
        <f si="6" t="shared"/>
        <v>8.4833634583292711E-2</v>
      </c>
      <c r="C94" s="18">
        <f si="6" t="shared"/>
        <v>4.5367050207574006E-2</v>
      </c>
      <c r="D94" s="18">
        <f si="6" t="shared"/>
        <v>3.6573863260094257E-2</v>
      </c>
      <c r="E94" s="18">
        <f si="6" t="shared"/>
        <v>1.147070668942091E-2</v>
      </c>
      <c r="F94" s="18">
        <f si="6" t="shared"/>
        <v>5.064660333982908E-2</v>
      </c>
      <c r="H94" s="12">
        <v>0.70833333333333337</v>
      </c>
      <c r="I94" s="17">
        <f si="5" t="shared"/>
        <v>7.5445286469523559E-2</v>
      </c>
      <c r="J94" s="17">
        <f si="5" t="shared"/>
        <v>5.1808057781268839E-2</v>
      </c>
      <c r="K94" s="17">
        <f si="5" t="shared"/>
        <v>3.568868175712759E-2</v>
      </c>
      <c r="L94" s="17">
        <f si="5" t="shared"/>
        <v>1.3045787950686814E-2</v>
      </c>
      <c r="M94" s="18">
        <f si="5" t="shared"/>
        <v>4.825948629989589E-2</v>
      </c>
    </row>
    <row r="95" spans="1:13" x14ac:dyDescent="0.25">
      <c r="A95" s="12">
        <v>0.72916666666666663</v>
      </c>
      <c r="B95" s="18">
        <f si="6" t="shared"/>
        <v>7.4738711037819594E-2</v>
      </c>
      <c r="C95" s="18">
        <f si="6" t="shared"/>
        <v>3.1899069112900746E-2</v>
      </c>
      <c r="D95" s="18">
        <f si="6" t="shared"/>
        <v>3.715597987956501E-2</v>
      </c>
      <c r="E95" s="18">
        <f si="6" t="shared"/>
        <v>8.0968159566557427E-3</v>
      </c>
      <c r="F95" s="18">
        <f si="6" t="shared"/>
        <v>4.6230507333780868E-2</v>
      </c>
      <c r="H95" s="12">
        <v>0.72916666666666663</v>
      </c>
      <c r="I95" s="17">
        <f si="5" t="shared"/>
        <v>6.7980876765401765E-2</v>
      </c>
      <c r="J95" s="17">
        <f si="5" t="shared"/>
        <v>3.6211043943683671E-2</v>
      </c>
      <c r="K95" s="17">
        <f si="5" t="shared"/>
        <v>3.678413476327317E-2</v>
      </c>
      <c r="L95" s="17">
        <f si="5" t="shared"/>
        <v>1.0291207787526209E-2</v>
      </c>
      <c r="M95" s="18">
        <f si="5" t="shared"/>
        <v>4.471748101162603E-2</v>
      </c>
    </row>
    <row r="96" spans="1:13" x14ac:dyDescent="0.25">
      <c r="A96" s="12">
        <v>0.75</v>
      </c>
      <c r="B96" s="18">
        <f si="6" t="shared"/>
        <v>6.1014863637001031E-2</v>
      </c>
      <c r="C96" s="18">
        <f si="6" t="shared"/>
        <v>2.2518577424137584E-2</v>
      </c>
      <c r="D96" s="18">
        <f si="6" t="shared"/>
        <v>3.8511399716135479E-2</v>
      </c>
      <c r="E96" s="18">
        <f si="6" t="shared"/>
        <v>5.307060277945517E-3</v>
      </c>
      <c r="F96" s="18">
        <f si="6" t="shared"/>
        <v>4.1772537906046008E-2</v>
      </c>
      <c r="H96" s="12">
        <v>0.75</v>
      </c>
      <c r="I96" s="17">
        <f si="5" t="shared"/>
        <v>5.704287591144655E-2</v>
      </c>
      <c r="J96" s="17">
        <f si="5" t="shared"/>
        <v>2.437508806716706E-2</v>
      </c>
      <c r="K96" s="17">
        <f si="5" t="shared"/>
        <v>3.8152928411136204E-2</v>
      </c>
      <c r="L96" s="17">
        <f si="5" t="shared"/>
        <v>8.2685247729395381E-3</v>
      </c>
      <c r="M96" s="18">
        <f si="5" t="shared"/>
        <v>4.0841179502361546E-2</v>
      </c>
    </row>
    <row r="97" spans="1:13" x14ac:dyDescent="0.25">
      <c r="A97" s="12">
        <v>0.77083333333333337</v>
      </c>
      <c r="B97" s="18">
        <f si="6" t="shared"/>
        <v>4.6776637149226204E-2</v>
      </c>
      <c r="C97" s="18">
        <f si="6" t="shared"/>
        <v>1.6186279955560417E-2</v>
      </c>
      <c r="D97" s="18">
        <f si="6" t="shared"/>
        <v>3.9997683282813806E-2</v>
      </c>
      <c r="E97" s="18">
        <f si="6" t="shared"/>
        <v>3.2325880836234877E-3</v>
      </c>
      <c r="F97" s="18">
        <f si="6" t="shared"/>
        <v>3.766538070102448E-2</v>
      </c>
      <c r="H97" s="12">
        <v>0.77083333333333337</v>
      </c>
      <c r="I97" s="17">
        <f ref="I97:M112" si="7" t="shared">I40/I$59</f>
        <v>4.499341543292773E-2</v>
      </c>
      <c r="J97" s="17">
        <f si="7" t="shared"/>
        <v>1.6421306861714353E-2</v>
      </c>
      <c r="K97" s="17">
        <f si="7" t="shared"/>
        <v>3.941384709481268E-2</v>
      </c>
      <c r="L97" s="17">
        <f si="7" t="shared"/>
        <v>6.6336917408302675E-3</v>
      </c>
      <c r="M97" s="18">
        <f si="7" t="shared"/>
        <v>3.7089667737761879E-2</v>
      </c>
    </row>
    <row r="98" spans="1:13" x14ac:dyDescent="0.25">
      <c r="A98" s="12">
        <v>0.79166666666666663</v>
      </c>
      <c r="B98" s="18">
        <f ref="B98:F113" si="8" t="shared">B41/B$59</f>
        <v>3.4488171851320595E-2</v>
      </c>
      <c r="C98" s="18">
        <f si="8" t="shared"/>
        <v>1.1937067838468842E-2</v>
      </c>
      <c r="D98" s="18">
        <f si="8" t="shared"/>
        <v>4.0703764145957673E-2</v>
      </c>
      <c r="E98" s="18">
        <f si="8" t="shared"/>
        <v>1.9037224168487723E-3</v>
      </c>
      <c r="F98" s="18">
        <f si="8" t="shared"/>
        <v>3.3975269749361464E-2</v>
      </c>
      <c r="H98" s="12">
        <v>0.79166666666666663</v>
      </c>
      <c r="I98" s="17">
        <f si="7" t="shared"/>
        <v>3.3967949635584568E-2</v>
      </c>
      <c r="J98" s="17">
        <f si="7" t="shared"/>
        <v>1.1568184827260511E-2</v>
      </c>
      <c r="K98" s="17">
        <f si="7" t="shared"/>
        <v>3.9967073054539823E-2</v>
      </c>
      <c r="L98" s="17">
        <f si="7" t="shared"/>
        <v>5.2618056441942184E-3</v>
      </c>
      <c r="M98" s="18">
        <f si="7" t="shared"/>
        <v>3.3628762743171461E-2</v>
      </c>
    </row>
    <row r="99" spans="1:13" x14ac:dyDescent="0.25">
      <c r="A99" s="12">
        <v>0.8125</v>
      </c>
      <c r="B99" s="18">
        <f si="8" t="shared"/>
        <v>2.5247321850798247E-2</v>
      </c>
      <c r="C99" s="18">
        <f si="8" t="shared"/>
        <v>9.1035760904303546E-3</v>
      </c>
      <c r="D99" s="18">
        <f si="8" t="shared"/>
        <v>3.9843678425327704E-2</v>
      </c>
      <c r="E99" s="18">
        <f si="8" t="shared"/>
        <v>1.2321980858463889E-3</v>
      </c>
      <c r="F99" s="18">
        <f si="8" t="shared"/>
        <v>3.0486540553617613E-2</v>
      </c>
      <c r="H99" s="12">
        <v>0.8125</v>
      </c>
      <c r="I99" s="17">
        <f si="7" t="shared"/>
        <v>2.5175512762599519E-2</v>
      </c>
      <c r="J99" s="17">
        <f si="7" t="shared"/>
        <v>8.7818109538090623E-3</v>
      </c>
      <c r="K99" s="17">
        <f si="7" t="shared"/>
        <v>3.9228218330194811E-2</v>
      </c>
      <c r="L99" s="17">
        <f si="7" t="shared"/>
        <v>4.2082670840069437E-3</v>
      </c>
      <c r="M99" s="18">
        <f si="7" t="shared"/>
        <v>3.0344734569135164E-2</v>
      </c>
    </row>
    <row r="100" spans="1:13" x14ac:dyDescent="0.25">
      <c r="A100" s="12">
        <v>0.83333333333333337</v>
      </c>
      <c r="B100" s="18">
        <f si="8" t="shared"/>
        <v>1.8913438160080787E-2</v>
      </c>
      <c r="C100" s="18">
        <f si="8" t="shared"/>
        <v>7.1837374266469391E-3</v>
      </c>
      <c r="D100" s="18">
        <f si="8" t="shared"/>
        <v>3.707377878451789E-2</v>
      </c>
      <c r="E100" s="18">
        <f si="8" t="shared"/>
        <v>1.0625468801552865E-3</v>
      </c>
      <c r="F100" s="18">
        <f si="8" t="shared"/>
        <v>2.6897812547281016E-2</v>
      </c>
      <c r="H100" s="12">
        <v>0.83333333333333337</v>
      </c>
      <c r="I100" s="17">
        <f si="7" t="shared"/>
        <v>1.8798226282364345E-2</v>
      </c>
      <c r="J100" s="17">
        <f si="7" t="shared"/>
        <v>7.1773881747681659E-3</v>
      </c>
      <c r="K100" s="17">
        <f si="7" t="shared"/>
        <v>3.6907896361365058E-2</v>
      </c>
      <c r="L100" s="17">
        <f si="7" t="shared"/>
        <v>3.5567424581809592E-3</v>
      </c>
      <c r="M100" s="18">
        <f si="7" t="shared"/>
        <v>2.7018326865643403E-2</v>
      </c>
    </row>
    <row r="101" spans="1:13" x14ac:dyDescent="0.25">
      <c r="A101" s="12">
        <v>0.85416666666666663</v>
      </c>
      <c r="B101" s="18">
        <f si="8" t="shared"/>
        <v>1.4743126579093187E-2</v>
      </c>
      <c r="C101" s="18">
        <f si="8" t="shared"/>
        <v>5.7697255277693871E-3</v>
      </c>
      <c r="D101" s="18">
        <f si="8" t="shared"/>
        <v>3.2592706066928011E-2</v>
      </c>
      <c r="E101" s="18">
        <f si="8" t="shared"/>
        <v>1.1933524444406151E-3</v>
      </c>
      <c r="F101" s="18">
        <f si="8" t="shared"/>
        <v>2.3048771584362714E-2</v>
      </c>
      <c r="H101" s="12">
        <v>0.85416666666666663</v>
      </c>
      <c r="I101" s="17">
        <f si="7" t="shared"/>
        <v>1.438060466401926E-2</v>
      </c>
      <c r="J101" s="17">
        <f si="7" t="shared"/>
        <v>6.1696112615927537E-3</v>
      </c>
      <c r="K101" s="17">
        <f si="7" t="shared"/>
        <v>3.3176121338925245E-2</v>
      </c>
      <c r="L101" s="17">
        <f si="7" t="shared"/>
        <v>3.2667346713031471E-3</v>
      </c>
      <c r="M101" s="18">
        <f si="7" t="shared"/>
        <v>2.354121424632365E-2</v>
      </c>
    </row>
    <row r="102" spans="1:13" x14ac:dyDescent="0.25">
      <c r="A102" s="12">
        <v>0.875</v>
      </c>
      <c r="B102" s="18">
        <f si="8" t="shared"/>
        <v>1.1985086427041353E-2</v>
      </c>
      <c r="C102" s="18">
        <f si="8" t="shared"/>
        <v>4.6073372139175508E-3</v>
      </c>
      <c r="D102" s="18">
        <f si="8" t="shared"/>
        <v>2.7014639149801418E-2</v>
      </c>
      <c r="E102" s="18">
        <f si="8" t="shared"/>
        <v>1.3909896476767976E-3</v>
      </c>
      <c r="F102" s="18">
        <f si="8" t="shared"/>
        <v>1.9026617968460953E-2</v>
      </c>
      <c r="H102" s="12">
        <v>0.875</v>
      </c>
      <c r="I102" s="17">
        <f si="7" t="shared"/>
        <v>1.1320992956568634E-2</v>
      </c>
      <c r="J102" s="17">
        <f si="7" t="shared"/>
        <v>5.4594906958257243E-3</v>
      </c>
      <c r="K102" s="17">
        <f si="7" t="shared"/>
        <v>2.8588592249704361E-2</v>
      </c>
      <c r="L102" s="17">
        <f si="7" t="shared"/>
        <v>3.1441555394445386E-3</v>
      </c>
      <c r="M102" s="18">
        <f si="7" t="shared"/>
        <v>2.0011134541174081E-2</v>
      </c>
    </row>
    <row r="103" spans="1:13" x14ac:dyDescent="0.25">
      <c r="A103" s="12">
        <v>0.89583333333333337</v>
      </c>
      <c r="B103" s="18">
        <f si="8" t="shared"/>
        <v>1.01190253702874E-2</v>
      </c>
      <c r="C103" s="18">
        <f si="8" t="shared"/>
        <v>3.6435099242046734E-3</v>
      </c>
      <c r="D103" s="18">
        <f si="8" t="shared"/>
        <v>2.1115732066684909E-2</v>
      </c>
      <c r="E103" s="18">
        <f si="8" t="shared"/>
        <v>1.450670225236149E-3</v>
      </c>
      <c r="F103" s="18">
        <f si="8" t="shared"/>
        <v>1.5101232974042013E-2</v>
      </c>
      <c r="H103" s="12">
        <v>0.89583333333333337</v>
      </c>
      <c r="I103" s="17">
        <f si="7" t="shared"/>
        <v>9.147756451030999E-3</v>
      </c>
      <c r="J103" s="17">
        <f si="7" t="shared"/>
        <v>4.9276092788093492E-3</v>
      </c>
      <c r="K103" s="17">
        <f si="7" t="shared"/>
        <v>2.380463388770987E-2</v>
      </c>
      <c r="L103" s="17">
        <f si="7" t="shared"/>
        <v>2.9519393864481107E-3</v>
      </c>
      <c r="M103" s="18">
        <f si="7" t="shared"/>
        <v>1.6641922156245634E-2</v>
      </c>
    </row>
    <row r="104" spans="1:13" x14ac:dyDescent="0.25">
      <c r="A104" s="12">
        <v>0.91666666666666663</v>
      </c>
      <c r="B104" s="18">
        <f si="8" t="shared"/>
        <v>8.7878313934912668E-3</v>
      </c>
      <c r="C104" s="18">
        <f si="8" t="shared"/>
        <v>2.9513137793464087E-3</v>
      </c>
      <c r="D104" s="18">
        <f si="8" t="shared"/>
        <v>1.5584178222723705E-2</v>
      </c>
      <c r="E104" s="18">
        <f si="8" t="shared"/>
        <v>1.2832322741815456E-3</v>
      </c>
      <c r="F104" s="18">
        <f si="8" t="shared"/>
        <v>1.156007588461576E-2</v>
      </c>
      <c r="H104" s="12">
        <v>0.91666666666666663</v>
      </c>
      <c r="I104" s="17">
        <f si="7" t="shared"/>
        <v>7.5363972040574162E-3</v>
      </c>
      <c r="J104" s="17">
        <f si="7" t="shared"/>
        <v>4.5010201156168057E-3</v>
      </c>
      <c r="K104" s="17">
        <f si="7" t="shared"/>
        <v>1.9286551710142895E-2</v>
      </c>
      <c r="L104" s="17">
        <f si="7" t="shared"/>
        <v>2.5557102553370784E-3</v>
      </c>
      <c r="M104" s="18">
        <f si="7" t="shared"/>
        <v>1.3587608653106898E-2</v>
      </c>
    </row>
    <row r="105" spans="1:13" x14ac:dyDescent="0.25">
      <c r="A105" s="12">
        <v>0.9375</v>
      </c>
      <c r="B105" s="18">
        <f si="8" t="shared"/>
        <v>7.670061181996389E-3</v>
      </c>
      <c r="C105" s="18">
        <f si="8" t="shared"/>
        <v>2.5674226567352935E-3</v>
      </c>
      <c r="D105" s="18">
        <f si="8" t="shared"/>
        <v>1.0867989321103881E-2</v>
      </c>
      <c r="E105" s="18">
        <f si="8" t="shared"/>
        <v>9.4510149376526072E-4</v>
      </c>
      <c r="F105" s="18">
        <f si="8" t="shared"/>
        <v>8.5670987441936117E-3</v>
      </c>
      <c r="H105" s="12">
        <v>0.9375</v>
      </c>
      <c r="I105" s="17">
        <f si="7" t="shared"/>
        <v>6.2297662705040309E-3</v>
      </c>
      <c r="J105" s="17">
        <f si="7" t="shared"/>
        <v>4.074369737769536E-3</v>
      </c>
      <c r="K105" s="17">
        <f si="7" t="shared"/>
        <v>1.5186754905608073E-2</v>
      </c>
      <c r="L105" s="17">
        <f si="7" t="shared"/>
        <v>1.9824214782090889E-3</v>
      </c>
      <c r="M105" s="18">
        <f si="7" t="shared"/>
        <v>1.0848484192546094E-2</v>
      </c>
    </row>
    <row r="106" spans="1:13" x14ac:dyDescent="0.25">
      <c r="A106" s="12">
        <v>0.95833333333333337</v>
      </c>
      <c r="B106" s="18">
        <f si="8" t="shared"/>
        <v>6.4817872740161684E-3</v>
      </c>
      <c r="C106" s="18">
        <f si="8" t="shared"/>
        <v>2.382341370145616E-3</v>
      </c>
      <c r="D106" s="18">
        <f si="8" t="shared"/>
        <v>7.1488228606481786E-3</v>
      </c>
      <c r="E106" s="18">
        <f si="8" t="shared"/>
        <v>5.7342819810857345E-4</v>
      </c>
      <c r="F106" s="18">
        <f si="8" t="shared"/>
        <v>6.1323079350908546E-3</v>
      </c>
      <c r="H106" s="12">
        <v>0.95833333333333337</v>
      </c>
      <c r="I106" s="17">
        <f si="7" t="shared"/>
        <v>5.0190934546014308E-3</v>
      </c>
      <c r="J106" s="17">
        <f si="7" t="shared"/>
        <v>3.5304489038896522E-3</v>
      </c>
      <c r="K106" s="17">
        <f si="7" t="shared"/>
        <v>1.1469243629879113E-2</v>
      </c>
      <c r="L106" s="17">
        <f si="7" t="shared"/>
        <v>1.3630901352886945E-3</v>
      </c>
      <c r="M106" s="18">
        <f si="7" t="shared"/>
        <v>8.3346412512060371E-3</v>
      </c>
    </row>
    <row r="107" spans="1:13" x14ac:dyDescent="0.25">
      <c r="A107" s="12">
        <v>0.97916666666666663</v>
      </c>
      <c r="B107" s="18">
        <f si="8" t="shared"/>
        <v>5.0917323366213079E-3</v>
      </c>
      <c r="C107" s="18">
        <f si="8" t="shared"/>
        <v>2.1875242772094483E-3</v>
      </c>
      <c r="D107" s="18">
        <f si="8" t="shared"/>
        <v>4.407549305705959E-3</v>
      </c>
      <c r="E107" s="18">
        <f si="8" t="shared"/>
        <v>2.8332957256960498E-4</v>
      </c>
      <c r="F107" s="18">
        <f si="8" t="shared"/>
        <v>4.1838567515925231E-3</v>
      </c>
      <c r="H107" s="12">
        <v>0.97916666666666663</v>
      </c>
      <c r="I107" s="17">
        <f si="7" t="shared"/>
        <v>3.8001960625128474E-3</v>
      </c>
      <c r="J107" s="17">
        <f si="7" t="shared"/>
        <v>2.8206184108504123E-3</v>
      </c>
      <c r="K107" s="17">
        <f si="7" t="shared"/>
        <v>8.1189255066676323E-3</v>
      </c>
      <c r="L107" s="17">
        <f si="7" t="shared"/>
        <v>8.2927955120149313E-4</v>
      </c>
      <c r="M107" s="18">
        <f si="7" t="shared"/>
        <v>6.0061088272955043E-3</v>
      </c>
    </row>
    <row r="108" spans="1:13" x14ac:dyDescent="0.25">
      <c r="A108" s="12">
        <v>1</v>
      </c>
      <c r="B108" s="18">
        <f si="8" t="shared"/>
        <v>3.5915401477119055E-3</v>
      </c>
      <c r="C108" s="18">
        <f si="8" t="shared"/>
        <v>1.8310553453909286E-3</v>
      </c>
      <c r="D108" s="18">
        <f si="8" t="shared"/>
        <v>2.5164112854960761E-3</v>
      </c>
      <c r="E108" s="18">
        <f si="8" t="shared"/>
        <v>1.1217126872943476E-4</v>
      </c>
      <c r="F108" s="18">
        <f si="8" t="shared"/>
        <v>2.6579270034434999E-3</v>
      </c>
      <c r="H108" s="12">
        <v>1</v>
      </c>
      <c r="I108" s="17">
        <f si="7" t="shared"/>
        <v>2.6109776148777676E-3</v>
      </c>
      <c r="J108" s="17">
        <f si="7" t="shared"/>
        <v>2.0125590915885303E-3</v>
      </c>
      <c r="K108" s="17">
        <f si="7" t="shared"/>
        <v>5.2449002222519966E-3</v>
      </c>
      <c r="L108" s="17">
        <f si="7" t="shared"/>
        <v>4.468797402533396E-4</v>
      </c>
      <c r="M108" s="18">
        <f si="7" t="shared"/>
        <v>3.9453064041128777E-3</v>
      </c>
    </row>
    <row r="109" spans="1:13" x14ac:dyDescent="0.25">
      <c r="A109" s="12">
        <v>1.0208333333333333</v>
      </c>
      <c r="B109" s="18">
        <f si="8" t="shared"/>
        <v>2.2156563161810487E-3</v>
      </c>
      <c r="C109" s="18">
        <f si="8" t="shared"/>
        <v>1.3243054288562728E-3</v>
      </c>
      <c r="D109" s="18">
        <f si="8" t="shared"/>
        <v>1.3070713832767351E-3</v>
      </c>
      <c r="E109" s="18">
        <f si="8" t="shared"/>
        <v>3.4737034087670122E-5</v>
      </c>
      <c r="F109" s="18">
        <f si="8" t="shared"/>
        <v>1.5283091961317797E-3</v>
      </c>
      <c r="H109" s="12">
        <v>1.0208333333333333</v>
      </c>
      <c r="I109" s="17">
        <f si="7" t="shared"/>
        <v>1.5806044625380925E-3</v>
      </c>
      <c r="J109" s="17">
        <f si="7" t="shared"/>
        <v>1.2506469759172509E-3</v>
      </c>
      <c r="K109" s="17">
        <f si="7" t="shared"/>
        <v>3.012272281665695E-3</v>
      </c>
      <c r="L109" s="17">
        <f si="7" t="shared"/>
        <v>2.132414573655876E-4</v>
      </c>
      <c r="M109" s="18">
        <f si="7" t="shared"/>
        <v>2.2993777589314828E-3</v>
      </c>
    </row>
    <row r="110" spans="1:13" x14ac:dyDescent="0.25">
      <c r="A110" s="12">
        <v>4.1666666666666664E-2</v>
      </c>
      <c r="B110" s="18">
        <f si="8" t="shared"/>
        <v>1.1710436152737127E-3</v>
      </c>
      <c r="C110" s="18">
        <f si="8" t="shared"/>
        <v>8.0259462304169897E-4</v>
      </c>
      <c r="D110" s="18">
        <f si="8" t="shared"/>
        <v>6.0417643419687485E-4</v>
      </c>
      <c r="E110" s="18">
        <f si="8" t="shared"/>
        <v>8.1076652603376427E-6</v>
      </c>
      <c r="F110" s="18">
        <f si="8" t="shared"/>
        <v>7.7294524710797572E-4</v>
      </c>
      <c r="H110" s="12">
        <v>4.1666666666666664E-2</v>
      </c>
      <c r="I110" s="17">
        <f si="7" t="shared"/>
        <v>8.2254051236211809E-4</v>
      </c>
      <c r="J110" s="17">
        <f si="7" t="shared"/>
        <v>6.628379270471387E-4</v>
      </c>
      <c r="K110" s="17">
        <f si="7" t="shared"/>
        <v>1.5009881782123695E-3</v>
      </c>
      <c r="L110" s="17">
        <f si="7" t="shared"/>
        <v>8.962844853993122E-5</v>
      </c>
      <c r="M110" s="18">
        <f si="7" t="shared"/>
        <v>1.1601096035539409E-3</v>
      </c>
    </row>
    <row r="111" spans="1:13" x14ac:dyDescent="0.25">
      <c r="A111" s="12">
        <v>6.25E-2</v>
      </c>
      <c r="B111" s="18">
        <f si="8" t="shared"/>
        <v>5.20544543661294E-4</v>
      </c>
      <c r="C111" s="18">
        <f si="8" t="shared"/>
        <v>3.9915457642318445E-4</v>
      </c>
      <c r="D111" s="18">
        <f si="8" t="shared"/>
        <v>2.4233006395423684E-4</v>
      </c>
      <c r="E111" s="18">
        <f si="8" t="shared"/>
        <v>1.3415094454205871E-6</v>
      </c>
      <c r="F111" s="18">
        <f si="8" t="shared"/>
        <v>3.3456260378777455E-4</v>
      </c>
      <c r="H111" s="12">
        <v>6.25E-2</v>
      </c>
      <c r="I111" s="17">
        <f si="7" t="shared"/>
        <v>3.5968633731811502E-4</v>
      </c>
      <c r="J111" s="17">
        <f si="7" t="shared"/>
        <v>2.9365223515314293E-4</v>
      </c>
      <c r="K111" s="17">
        <f si="7" t="shared"/>
        <v>6.3363677152670605E-4</v>
      </c>
      <c r="L111" s="17">
        <f si="7" t="shared"/>
        <v>3.2748468520561973E-5</v>
      </c>
      <c r="M111" s="18">
        <f si="7" t="shared"/>
        <v>4.9483992340658206E-4</v>
      </c>
    </row>
    <row r="112" spans="1:13" x14ac:dyDescent="0.25">
      <c r="A112" s="12">
        <v>8.3333333333333329E-2</v>
      </c>
      <c r="B112" s="18">
        <f si="8" t="shared"/>
        <v>1.9081215329675832E-4</v>
      </c>
      <c r="C112" s="18">
        <f si="8" t="shared"/>
        <v>1.5965955659270762E-4</v>
      </c>
      <c r="D112" s="18">
        <f si="8" t="shared"/>
        <v>8.1985975286146434E-5</v>
      </c>
      <c r="E112" s="18">
        <f si="8" t="shared"/>
        <v>1.4028765187177875E-7</v>
      </c>
      <c r="F112" s="18">
        <f si="8" t="shared"/>
        <v>1.2059388426441098E-4</v>
      </c>
      <c r="H112" s="12">
        <v>8.3333333333333329E-2</v>
      </c>
      <c r="I112" s="17">
        <f si="7" t="shared"/>
        <v>1.2899804248864182E-4</v>
      </c>
      <c r="J112" s="17">
        <f si="7" t="shared"/>
        <v>1.0632308920776206E-4</v>
      </c>
      <c r="K112" s="17">
        <f si="7" t="shared"/>
        <v>2.208607694092299E-4</v>
      </c>
      <c r="L112" s="17">
        <f si="7" t="shared"/>
        <v>1.0167793441039349E-5</v>
      </c>
      <c r="M112" s="18">
        <f si="7" t="shared"/>
        <v>1.739670941844866E-4</v>
      </c>
    </row>
    <row r="113" spans="1:13" x14ac:dyDescent="0.25">
      <c r="A113" s="12">
        <v>0.10416666666666667</v>
      </c>
      <c r="B113" s="18">
        <f si="8" t="shared"/>
        <v>5.6287361974993556E-5</v>
      </c>
      <c r="C113" s="18">
        <f si="8" t="shared"/>
        <v>5.007164186604293E-5</v>
      </c>
      <c r="D113" s="18">
        <f si="8" t="shared"/>
        <v>2.2635418201321872E-5</v>
      </c>
      <c r="E113" s="18">
        <f si="8" t="shared"/>
        <v>6.9725885334046999E-9</v>
      </c>
      <c r="F113" s="18">
        <f si="8" t="shared"/>
        <v>3.510598970879104E-5</v>
      </c>
      <c r="H113" s="12">
        <v>0.10416666666666667</v>
      </c>
      <c r="I113" s="17">
        <f ref="I113:M115" si="9" t="shared">I56/I$59</f>
        <v>3.6824048041429455E-5</v>
      </c>
      <c r="J113" s="17">
        <f si="9" t="shared"/>
        <v>3.0568076394619569E-5</v>
      </c>
      <c r="K113" s="17">
        <f si="9" t="shared"/>
        <v>6.16046617450071E-5</v>
      </c>
      <c r="L113" s="17">
        <f si="9" t="shared"/>
        <v>2.5938332489578985E-6</v>
      </c>
      <c r="M113" s="18">
        <f si="9" t="shared"/>
        <v>4.8869978007852088E-5</v>
      </c>
    </row>
    <row r="114" spans="1:13" x14ac:dyDescent="0.25">
      <c r="A114" s="12">
        <v>0.125</v>
      </c>
      <c r="B114" s="18">
        <f ref="B114:F115" si="10" t="shared">B57/B$59</f>
        <v>1.2686097657345422E-5</v>
      </c>
      <c r="C114" s="18">
        <f si="10" t="shared"/>
        <v>1.1660432131304737E-5</v>
      </c>
      <c r="D114" s="18">
        <f si="10" t="shared"/>
        <v>4.8124090544479719E-6</v>
      </c>
      <c r="E114" s="18">
        <f si="10" t="shared"/>
        <v>0</v>
      </c>
      <c r="F114" s="18">
        <f si="10" t="shared"/>
        <v>7.8013292208351845E-6</v>
      </c>
      <c r="H114" s="12">
        <v>0.125</v>
      </c>
      <c r="I114" s="17">
        <f si="9" t="shared"/>
        <v>7.908093297970296E-6</v>
      </c>
      <c r="J114" s="17">
        <f si="9" t="shared"/>
        <v>6.5995899038760318E-6</v>
      </c>
      <c r="K114" s="17">
        <f si="9" t="shared"/>
        <v>1.2986822857111036E-5</v>
      </c>
      <c r="L114" s="17">
        <f si="9" t="shared"/>
        <v>5.1159585662641856E-7</v>
      </c>
      <c r="M114" s="18">
        <f si="9" t="shared"/>
        <v>1.0361776439370073E-5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topLeftCell="A7" workbookViewId="0">
      <selection activeCell="Y93" sqref="Y9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31271.9041133003</v>
      </c>
      <c r="C8" s="6" t="n">
        <v>3257.7369405150002</v>
      </c>
      <c r="D8" s="6" t="n">
        <v>1325996.584800747</v>
      </c>
      <c r="E8" s="6" t="n">
        <v>101582.4170901713</v>
      </c>
      <c r="F8" s="6">
        <f>SUM(B8:E8)</f>
        <v>1462108.6429447336</v>
      </c>
      <c r="H8" s="15">
        <v>0</v>
      </c>
      <c r="I8" s="14" t="n">
        <v>62264.0</v>
      </c>
      <c r="J8" s="14" t="n">
        <v>36917.0</v>
      </c>
      <c r="K8" s="14" t="n">
        <v>1473945.0</v>
      </c>
      <c r="L8" s="14" t="n">
        <v>133533.0</v>
      </c>
      <c r="M8" s="14">
        <f>SUM(I8:L8)</f>
        <v>1615228.8555978953</v>
      </c>
      <c r="O8" s="5"/>
      <c r="P8" s="14"/>
      <c r="Q8" s="14"/>
    </row>
    <row r="9" spans="1:17" x14ac:dyDescent="0.25">
      <c r="A9" s="12">
        <v>2.0833333333333332E-2</v>
      </c>
      <c r="B9" s="6" t="n">
        <v>32335.478141381736</v>
      </c>
      <c r="C9" s="6" t="n">
        <v>9250.767440073856</v>
      </c>
      <c r="D9" s="6" t="n">
        <v>1007317.641613347</v>
      </c>
      <c r="E9" s="6" t="n">
        <v>72740.91467917615</v>
      </c>
      <c r="F9" s="6">
        <f ref="F9:F56" si="0" t="shared">SUM(B9:E9)</f>
        <v>1121644.8018739787</v>
      </c>
      <c r="H9" s="12">
        <v>2.0833333333333332E-2</v>
      </c>
      <c r="I9" s="9" t="n">
        <v>58770.84325504303</v>
      </c>
      <c r="J9" s="9" t="n">
        <v>29976.205359458923</v>
      </c>
      <c r="K9" s="9" t="n">
        <v>1102129.4462633133</v>
      </c>
      <c r="L9" s="9" t="n">
        <v>94478.71647167206</v>
      </c>
      <c r="M9" s="14">
        <f ref="M9:M56" si="1" t="shared">SUM(I9:L9)</f>
        <v>1216896.693421388</v>
      </c>
      <c r="O9" s="5"/>
      <c r="P9" s="16"/>
      <c r="Q9" s="16"/>
    </row>
    <row r="10" spans="1:17" x14ac:dyDescent="0.25">
      <c r="A10" s="12">
        <v>4.1666666666666664E-2</v>
      </c>
      <c r="B10" s="6" t="n">
        <v>33638.66032201367</v>
      </c>
      <c r="C10" s="6" t="n">
        <v>14498.272165587252</v>
      </c>
      <c r="D10" s="6" t="n">
        <v>722073.1617370276</v>
      </c>
      <c r="E10" s="6" t="n">
        <v>47572.332915012885</v>
      </c>
      <c r="F10" s="6">
        <f si="0" t="shared"/>
        <v>817782.42713964137</v>
      </c>
      <c r="H10" s="12">
        <v>4.1666666666666664E-2</v>
      </c>
      <c r="I10" s="9" t="n">
        <v>56756.489601135254</v>
      </c>
      <c r="J10" s="9" t="n">
        <v>24303.629932403564</v>
      </c>
      <c r="K10" s="9" t="n">
        <v>773224.5259256363</v>
      </c>
      <c r="L10" s="9" t="n">
        <v>60772.52822685242</v>
      </c>
      <c r="M10" s="14">
        <f si="1" t="shared"/>
        <v>866465.33452395117</v>
      </c>
      <c r="O10" s="5"/>
      <c r="P10" s="16"/>
      <c r="Q10" s="16"/>
    </row>
    <row r="11" spans="1:17" x14ac:dyDescent="0.25">
      <c r="A11" s="12">
        <v>6.25E-2</v>
      </c>
      <c r="B11" s="6" t="n">
        <v>35350.97297990215</v>
      </c>
      <c r="C11" s="6" t="n">
        <v>18507.81764442527</v>
      </c>
      <c r="D11" s="6" t="n">
        <v>491710.186353609</v>
      </c>
      <c r="E11" s="6" t="n">
        <v>28363.01911914746</v>
      </c>
      <c r="F11" s="6">
        <f si="0" t="shared"/>
        <v>573931.9960970839</v>
      </c>
      <c r="H11" s="12">
        <v>6.25E-2</v>
      </c>
      <c r="I11" s="9" t="n">
        <v>57046.245268821716</v>
      </c>
      <c r="J11" s="9" t="n">
        <v>20715.740012168884</v>
      </c>
      <c r="K11" s="9" t="n">
        <v>513698.2517852783</v>
      </c>
      <c r="L11" s="9" t="n">
        <v>35589.67270565033</v>
      </c>
      <c r="M11" s="14">
        <f si="1" t="shared"/>
        <v>593372.94547613245</v>
      </c>
      <c r="O11" s="5"/>
      <c r="P11" s="16"/>
      <c r="Q11" s="16"/>
    </row>
    <row r="12" spans="1:17" x14ac:dyDescent="0.25">
      <c r="A12" s="12">
        <v>8.3333333333333329E-2</v>
      </c>
      <c r="B12" s="6" t="n">
        <v>37539.230668158976</v>
      </c>
      <c r="C12" s="6" t="n">
        <v>21115.78802950031</v>
      </c>
      <c r="D12" s="6" t="n">
        <v>321303.8852121856</v>
      </c>
      <c r="E12" s="6" t="n">
        <v>15470.170324188044</v>
      </c>
      <c r="F12" s="6">
        <f si="0" t="shared"/>
        <v>395429.07423403295</v>
      </c>
      <c r="H12" s="12">
        <v>8.3333333333333329E-2</v>
      </c>
      <c r="I12" s="9" t="n">
        <v>59525.3586769104</v>
      </c>
      <c r="J12" s="9" t="n">
        <v>19428.228839874268</v>
      </c>
      <c r="K12" s="9" t="n">
        <v>327907.8801174164</v>
      </c>
      <c r="L12" s="9" t="n">
        <v>19181.786746025085</v>
      </c>
      <c r="M12" s="14">
        <f si="1" t="shared"/>
        <v>402199.64666767319</v>
      </c>
      <c r="O12" s="5"/>
      <c r="P12" s="16"/>
      <c r="Q12" s="16"/>
    </row>
    <row r="13" spans="1:17" x14ac:dyDescent="0.25">
      <c r="A13" s="12">
        <v>0.10416666666666667</v>
      </c>
      <c r="B13" s="6" t="n">
        <v>40144.807086659865</v>
      </c>
      <c r="C13" s="6" t="n">
        <v>22432.330647994015</v>
      </c>
      <c r="D13" s="6" t="n">
        <v>203587.9460064458</v>
      </c>
      <c r="E13" s="6" t="n">
        <v>7781.843731921307</v>
      </c>
      <c r="F13" s="6">
        <f si="0" t="shared"/>
        <v>273946.92747302097</v>
      </c>
      <c r="H13" s="12">
        <v>0.10416666666666667</v>
      </c>
      <c r="I13" s="9" t="n">
        <v>63300.704095840454</v>
      </c>
      <c r="J13" s="9" t="n">
        <v>20250.79080581665</v>
      </c>
      <c r="K13" s="9" t="n">
        <v>204276.29371643066</v>
      </c>
      <c r="L13" s="9" t="n">
        <v>9724.091682434082</v>
      </c>
      <c r="M13" s="14">
        <f si="1" t="shared"/>
        <v>279585.81327884126</v>
      </c>
      <c r="O13" s="5"/>
      <c r="P13" s="5"/>
      <c r="Q13" s="5"/>
    </row>
    <row r="14" spans="1:17" x14ac:dyDescent="0.25">
      <c r="A14" s="12">
        <v>0.125</v>
      </c>
      <c r="B14" s="6" t="n">
        <v>42937.78003475083</v>
      </c>
      <c r="C14" s="6" t="n">
        <v>22867.550083709615</v>
      </c>
      <c r="D14" s="6" t="n">
        <v>126232.78544336549</v>
      </c>
      <c r="E14" s="6" t="n">
        <v>3643.2508205244176</v>
      </c>
      <c r="F14" s="6">
        <f si="0" t="shared"/>
        <v>195681.36638235033</v>
      </c>
      <c r="H14" s="12">
        <v>0.125</v>
      </c>
      <c r="I14" s="9" t="n">
        <v>67147.45235347748</v>
      </c>
      <c r="J14" s="9" t="n">
        <v>22900.13842201233</v>
      </c>
      <c r="K14" s="9" t="n">
        <v>125767.40693187714</v>
      </c>
      <c r="L14" s="9" t="n">
        <v>4780.608153343201</v>
      </c>
      <c r="M14" s="14">
        <f si="1" t="shared"/>
        <v>206074.74599087314</v>
      </c>
    </row>
    <row r="15" spans="1:17" x14ac:dyDescent="0.25">
      <c r="A15" s="12">
        <v>0.14583333333333334</v>
      </c>
      <c r="B15" s="6" t="n">
        <v>45510.6189331356</v>
      </c>
      <c r="C15" s="6" t="n">
        <v>23346.27341328255</v>
      </c>
      <c r="D15" s="6" t="n">
        <v>77262.99116505154</v>
      </c>
      <c r="E15" s="6" t="n">
        <v>1594.5833276773867</v>
      </c>
      <c r="F15" s="6">
        <f si="0" t="shared"/>
        <v>147714.46683914709</v>
      </c>
      <c r="H15" s="12">
        <v>0.14583333333333334</v>
      </c>
      <c r="I15" s="9" t="n">
        <v>70052.28803253174</v>
      </c>
      <c r="J15" s="9" t="n">
        <v>27160.535828590393</v>
      </c>
      <c r="K15" s="9" t="n">
        <v>77215.65739822388</v>
      </c>
      <c r="L15" s="9" t="n">
        <v>2350.238142967224</v>
      </c>
      <c r="M15" s="14">
        <f si="1" t="shared"/>
        <v>164525.99685225377</v>
      </c>
    </row>
    <row r="16" spans="1:17" x14ac:dyDescent="0.25">
      <c r="A16" s="12">
        <v>0.16666666666666666</v>
      </c>
      <c r="B16" s="6" t="n">
        <v>47440.71998288021</v>
      </c>
      <c r="C16" s="6" t="n">
        <v>25505.67517176063</v>
      </c>
      <c r="D16" s="6" t="n">
        <v>47227.599266476696</v>
      </c>
      <c r="E16" s="6" t="n">
        <v>649.9458019511859</v>
      </c>
      <c r="F16" s="6">
        <f si="0" t="shared"/>
        <v>120823.94022306871</v>
      </c>
      <c r="H16" s="12">
        <v>0.16666666666666666</v>
      </c>
      <c r="I16" s="9" t="n">
        <v>71704.38581085205</v>
      </c>
      <c r="J16" s="9" t="n">
        <v>32797.684655189514</v>
      </c>
      <c r="K16" s="9" t="n">
        <v>47663.64561462402</v>
      </c>
      <c r="L16" s="9" t="n">
        <v>1176.7059087753296</v>
      </c>
      <c r="M16" s="14">
        <f si="1" t="shared"/>
        <v>142906.72600708835</v>
      </c>
    </row>
    <row r="17" spans="1:13" x14ac:dyDescent="0.25">
      <c r="A17" s="12">
        <v>0.1875</v>
      </c>
      <c r="B17" s="6" t="n">
        <v>48660.09842679294</v>
      </c>
      <c r="C17" s="6" t="n">
        <v>31392.629678540186</v>
      </c>
      <c r="D17" s="6" t="n">
        <v>29334.14717709736</v>
      </c>
      <c r="E17" s="6" t="n">
        <v>244.7425113142853</v>
      </c>
      <c r="F17" s="6">
        <f si="0" t="shared"/>
        <v>109631.61779374476</v>
      </c>
      <c r="H17" s="12">
        <v>0.1875</v>
      </c>
      <c r="I17" s="9" t="n">
        <v>72750.31601238251</v>
      </c>
      <c r="J17" s="9" t="n">
        <v>39357.4922246933</v>
      </c>
      <c r="K17" s="9" t="n">
        <v>29854.51915550232</v>
      </c>
      <c r="L17" s="9" t="n">
        <v>599.3846826553345</v>
      </c>
      <c r="M17" s="14">
        <f si="1" t="shared"/>
        <v>133719.18634563673</v>
      </c>
    </row>
    <row r="18" spans="1:13" x14ac:dyDescent="0.25">
      <c r="A18" s="12">
        <v>0.20833333333333334</v>
      </c>
      <c r="B18" s="6" t="n">
        <v>49882.86383260982</v>
      </c>
      <c r="C18" s="6" t="n">
        <v>42289.54327237458</v>
      </c>
      <c r="D18" s="6" t="n">
        <v>18917.04818953326</v>
      </c>
      <c r="E18" s="6" t="n">
        <v>85.0576497401417</v>
      </c>
      <c r="F18" s="6">
        <f si="0" t="shared"/>
        <v>111174.51294425782</v>
      </c>
      <c r="H18" s="12">
        <v>0.20833333333333334</v>
      </c>
      <c r="I18" s="9" t="n">
        <v>74642.67879676819</v>
      </c>
      <c r="J18" s="9" t="n">
        <v>46064.09895038605</v>
      </c>
      <c r="K18" s="9" t="n">
        <v>19140.206295013428</v>
      </c>
      <c r="L18" s="9" t="n">
        <v>305.29064083099365</v>
      </c>
      <c r="M18" s="14">
        <f si="1" t="shared"/>
        <v>132559.68744642541</v>
      </c>
    </row>
    <row r="19" spans="1:13" x14ac:dyDescent="0.25">
      <c r="A19" s="12">
        <v>0.22916666666666666</v>
      </c>
      <c r="B19" s="6" t="n">
        <v>52825.81652414525</v>
      </c>
      <c r="C19" s="6" t="n">
        <v>57080.0679035248</v>
      </c>
      <c r="D19" s="6" t="n">
        <v>12875.840230924245</v>
      </c>
      <c r="E19" s="6" t="n">
        <v>27.656956319101468</v>
      </c>
      <c r="F19" s="6">
        <f si="0" t="shared"/>
        <v>122809.38161491339</v>
      </c>
      <c r="H19" s="12">
        <v>0.22916666666666666</v>
      </c>
      <c r="I19" s="9" t="n">
        <v>79104.37458133698</v>
      </c>
      <c r="J19" s="9" t="n">
        <v>51911.310366630554</v>
      </c>
      <c r="K19" s="9" t="n">
        <v>12635.002711296082</v>
      </c>
      <c r="L19" s="9" t="n">
        <v>151.65869140625</v>
      </c>
      <c r="M19" s="14">
        <f si="1" t="shared"/>
        <v>136834.62082744503</v>
      </c>
    </row>
    <row r="20" spans="1:13" x14ac:dyDescent="0.25">
      <c r="A20" s="12">
        <v>0.25</v>
      </c>
      <c r="B20" s="6" t="n">
        <v>59952.782594312666</v>
      </c>
      <c r="C20" s="6" t="n">
        <v>71581.27362065265</v>
      </c>
      <c r="D20" s="6" t="n">
        <v>9252.392211200198</v>
      </c>
      <c r="E20" s="6" t="n">
        <v>8.552393534541782</v>
      </c>
      <c r="F20" s="6">
        <f si="0" t="shared"/>
        <v>140795.00081970004</v>
      </c>
      <c r="H20" s="12">
        <v>0.25</v>
      </c>
      <c r="I20" s="9" t="n">
        <v>87443.61589431763</v>
      </c>
      <c r="J20" s="9" t="n">
        <v>55861.413106918335</v>
      </c>
      <c r="K20" s="9" t="n">
        <v>8616.536943435669</v>
      </c>
      <c r="L20" s="9" t="n">
        <v>71.8733720779419</v>
      </c>
      <c r="M20" s="14">
        <f si="1" t="shared"/>
        <v>144758.07184066655</v>
      </c>
    </row>
    <row r="21" spans="1:13" x14ac:dyDescent="0.25">
      <c r="A21" s="12">
        <v>0.27083333333333331</v>
      </c>
      <c r="B21" s="6" t="n">
        <v>73519.11986695902</v>
      </c>
      <c r="C21" s="6" t="n">
        <v>80165.81876963191</v>
      </c>
      <c r="D21" s="6" t="n">
        <v>6931.216840030564</v>
      </c>
      <c r="E21" s="6" t="n">
        <v>2.4823922473580167</v>
      </c>
      <c r="F21" s="6">
        <f si="0" t="shared"/>
        <v>160618.63786886886</v>
      </c>
      <c r="H21" s="12">
        <v>0.27083333333333331</v>
      </c>
      <c r="I21" s="9" t="n">
        <v>99944.61758518219</v>
      </c>
      <c r="J21" s="9" t="n">
        <v>57029.19041919708</v>
      </c>
      <c r="K21" s="9" t="n">
        <v>6089.363151550293</v>
      </c>
      <c r="L21" s="9" t="n">
        <v>32.20621109008789</v>
      </c>
      <c r="M21" s="14">
        <f si="1" t="shared"/>
        <v>154587.48173846226</v>
      </c>
    </row>
    <row r="22" spans="1:13" x14ac:dyDescent="0.25">
      <c r="A22" s="12">
        <v>0.29166666666666669</v>
      </c>
      <c r="B22" s="6" t="n">
        <v>93943.4609736701</v>
      </c>
      <c r="C22" s="6" t="n">
        <v>79087.85446607479</v>
      </c>
      <c r="D22" s="6" t="n">
        <v>5374.923525994516</v>
      </c>
      <c r="E22" s="6" t="n">
        <v>0.6376840777312951</v>
      </c>
      <c r="F22" s="6">
        <f si="0" t="shared"/>
        <v>178406.87664981713</v>
      </c>
      <c r="H22" s="12">
        <v>0.29166666666666669</v>
      </c>
      <c r="I22" s="9" t="n">
        <v>115399.49261760712</v>
      </c>
      <c r="J22" s="9" t="n">
        <v>54845.8655796051</v>
      </c>
      <c r="K22" s="9" t="n">
        <v>4488.55434513092</v>
      </c>
      <c r="L22" s="9" t="n">
        <v>13.801579475402832</v>
      </c>
      <c r="M22" s="14">
        <f si="1" t="shared"/>
        <v>164101.65411789584</v>
      </c>
    </row>
    <row r="23" spans="1:13" x14ac:dyDescent="0.25">
      <c r="A23" s="12">
        <v>0.3125</v>
      </c>
      <c r="B23" s="6" t="n">
        <v>118233.05483722128</v>
      </c>
      <c r="C23" s="6" t="n">
        <v>68909.19717869956</v>
      </c>
      <c r="D23" s="6" t="n">
        <v>4353.436481857958</v>
      </c>
      <c r="E23" s="6" t="n">
        <v>0.13305646679170294</v>
      </c>
      <c r="F23" s="6">
        <f si="0" t="shared"/>
        <v>191495.82155424557</v>
      </c>
      <c r="H23" s="12">
        <v>0.3125</v>
      </c>
      <c r="I23" s="9" t="n">
        <v>130869.17060184479</v>
      </c>
      <c r="J23" s="9" t="n">
        <v>49263.35797405243</v>
      </c>
      <c r="K23" s="9" t="n">
        <v>3491.054009437561</v>
      </c>
      <c r="L23" s="9" t="n">
        <v>5.823296546936035</v>
      </c>
      <c r="M23" s="14">
        <f si="1" t="shared"/>
        <v>170423.00208871975</v>
      </c>
    </row>
    <row r="24" spans="1:13" x14ac:dyDescent="0.25">
      <c r="A24" s="12">
        <v>0.33333333333333331</v>
      </c>
      <c r="B24" s="6" t="n">
        <v>139903.9511685286</v>
      </c>
      <c r="C24" s="6" t="n">
        <v>53886.04602161411</v>
      </c>
      <c r="D24" s="6" t="n">
        <v>3722.828212873351</v>
      </c>
      <c r="E24" s="6" t="n">
        <v>0.0204526490390275</v>
      </c>
      <c r="F24" s="6">
        <f si="0" t="shared"/>
        <v>197512.8458556651</v>
      </c>
      <c r="H24" s="12">
        <v>0.33333333333333331</v>
      </c>
      <c r="I24" s="9" t="n">
        <v>142020.63173103333</v>
      </c>
      <c r="J24" s="9" t="n">
        <v>40943.115674972534</v>
      </c>
      <c r="K24" s="9" t="n">
        <v>2893.5922260284424</v>
      </c>
      <c r="L24" s="9" t="n">
        <v>2.4844160079956055</v>
      </c>
      <c r="M24" s="14">
        <f si="1" t="shared"/>
        <v>170382.72392052499</v>
      </c>
    </row>
    <row r="25" spans="1:13" x14ac:dyDescent="0.25">
      <c r="A25" s="12">
        <v>0.35416666666666669</v>
      </c>
      <c r="B25" s="6" t="n">
        <v>151384.32091565593</v>
      </c>
      <c r="C25" s="6" t="n">
        <v>38980.696246186635</v>
      </c>
      <c r="D25" s="6" t="n">
        <v>3323.904615583548</v>
      </c>
      <c r="E25" s="6" t="n">
        <v>0.0020273422351831435</v>
      </c>
      <c r="F25" s="6">
        <f si="0" t="shared"/>
        <v>193688.92380476833</v>
      </c>
      <c r="H25" s="12">
        <v>0.35416666666666669</v>
      </c>
      <c r="I25" s="9" t="n">
        <v>144419.07308483124</v>
      </c>
      <c r="J25" s="9" t="n">
        <v>31225.136092185974</v>
      </c>
      <c r="K25" s="9" t="n">
        <v>2540.663314819336</v>
      </c>
      <c r="L25" s="9" t="n">
        <v>1.0683326721191406</v>
      </c>
      <c r="M25" s="14">
        <f si="1" t="shared"/>
        <v>161511.48289982358</v>
      </c>
    </row>
    <row r="26" spans="1:13" x14ac:dyDescent="0.25">
      <c r="A26" s="12">
        <v>0.375</v>
      </c>
      <c r="B26" s="6" t="n">
        <v>147913.648274397</v>
      </c>
      <c r="C26" s="6" t="n">
        <v>27175.418990397957</v>
      </c>
      <c r="D26" s="6" t="n">
        <v>2994.747377089903</v>
      </c>
      <c r="E26" s="6" t="n">
        <v>9.694307875061035E-5</v>
      </c>
      <c r="F26" s="6">
        <f si="0" t="shared"/>
        <v>178083.81473882793</v>
      </c>
      <c r="H26" s="12">
        <v>0.375</v>
      </c>
      <c r="I26" s="9" t="n">
        <v>135523.8385887146</v>
      </c>
      <c r="J26" s="9" t="n">
        <v>21741.925881385803</v>
      </c>
      <c r="K26" s="9" t="n">
        <v>2301.6752920150757</v>
      </c>
      <c r="L26" s="9" t="n">
        <v>0.4460878372192383</v>
      </c>
      <c r="M26" s="14">
        <f si="1" t="shared"/>
        <v>143291.63470295796</v>
      </c>
    </row>
    <row r="27" spans="1:13" x14ac:dyDescent="0.25">
      <c r="A27" s="12">
        <v>0.39583333333333331</v>
      </c>
      <c r="B27" s="6" t="n">
        <v>130201.05121987562</v>
      </c>
      <c r="C27" s="6" t="n">
        <v>18915.31498363414</v>
      </c>
      <c r="D27" s="6" t="n">
        <v>2626.476633739021</v>
      </c>
      <c r="E27" s="6" t="n">
        <v>0.0</v>
      </c>
      <c r="F27" s="6">
        <f si="0" t="shared"/>
        <v>151742.84283724878</v>
      </c>
      <c r="H27" s="12">
        <v>0.39583333333333331</v>
      </c>
      <c r="I27" s="9" t="n">
        <v>116237.52737998962</v>
      </c>
      <c r="J27" s="9" t="n">
        <v>13831.453846931458</v>
      </c>
      <c r="K27" s="9" t="n">
        <v>2082.5509748458862</v>
      </c>
      <c r="L27" s="9" t="n">
        <v>0.1717061996459961</v>
      </c>
      <c r="M27" s="14">
        <f si="1" t="shared"/>
        <v>117852.04359771626</v>
      </c>
    </row>
    <row r="28" spans="1:13" x14ac:dyDescent="0.25">
      <c r="A28" s="12">
        <v>0.41666666666666669</v>
      </c>
      <c r="B28" s="6" t="n">
        <v>103777.7668261902</v>
      </c>
      <c r="C28" s="6" t="n">
        <v>13249.839820625017</v>
      </c>
      <c r="D28" s="6" t="n">
        <v>2195.0909567581593</v>
      </c>
      <c r="E28" s="6" t="n">
        <v>0.0</v>
      </c>
      <c r="F28" s="6">
        <f si="0" t="shared"/>
        <v>119222.69760357337</v>
      </c>
      <c r="H28" s="12">
        <v>0.41666666666666669</v>
      </c>
      <c r="I28" s="9" t="n">
        <v>90756.67046833038</v>
      </c>
      <c r="J28" s="9" t="n">
        <v>8113.72839641571</v>
      </c>
      <c r="K28" s="9" t="n">
        <v>1840.3114185333252</v>
      </c>
      <c r="L28" s="9" t="n">
        <v>0.05782890319824219</v>
      </c>
      <c r="M28" s="14">
        <f si="1" t="shared"/>
        <v>89410.186930467884</v>
      </c>
    </row>
    <row r="29" spans="1:13" x14ac:dyDescent="0.25">
      <c r="A29" s="12">
        <v>0.4375</v>
      </c>
      <c r="B29" s="6" t="n">
        <v>75711.04732409157</v>
      </c>
      <c r="C29" s="6" t="n">
        <v>9149.16401039205</v>
      </c>
      <c r="D29" s="6" t="n">
        <v>1746.0222337013417</v>
      </c>
      <c r="E29" s="6" t="n">
        <v>0.0</v>
      </c>
      <c r="F29" s="6">
        <f si="0" t="shared"/>
        <v>86606.233568184965</v>
      </c>
      <c r="H29" s="12">
        <v>0.4375</v>
      </c>
      <c r="I29" s="9" t="n">
        <v>64627.73850154877</v>
      </c>
      <c r="J29" s="9" t="n">
        <v>4478.276240348816</v>
      </c>
      <c r="K29" s="9" t="n">
        <v>1576.8959426879883</v>
      </c>
      <c r="L29" s="9" t="n">
        <v>0.016183853149414062</v>
      </c>
      <c r="M29" s="14">
        <f si="1" t="shared"/>
        <v>62610.449650729432</v>
      </c>
    </row>
    <row r="30" spans="1:13" x14ac:dyDescent="0.25">
      <c r="A30" s="12">
        <v>0.45833333333333331</v>
      </c>
      <c r="B30" s="6" t="n">
        <v>51313.6761963239</v>
      </c>
      <c r="C30" s="6" t="n">
        <v>6068.4167532301335</v>
      </c>
      <c r="D30" s="6" t="n">
        <v>1346.4670156352909</v>
      </c>
      <c r="E30" s="6" t="n">
        <v>0.0</v>
      </c>
      <c r="F30" s="6">
        <f si="0" t="shared"/>
        <v>58728.559965189321</v>
      </c>
      <c r="H30" s="12">
        <v>0.45833333333333331</v>
      </c>
      <c r="I30" s="9" t="n">
        <v>42324.486293792725</v>
      </c>
      <c r="J30" s="9" t="n">
        <v>2401.0512924194336</v>
      </c>
      <c r="K30" s="9" t="n">
        <v>1314.3329229354858</v>
      </c>
      <c r="L30" s="9" t="n">
        <v>0.0035533905029296875</v>
      </c>
      <c r="M30" s="14">
        <f si="1" t="shared"/>
        <v>40772.584236620336</v>
      </c>
    </row>
    <row r="31" spans="1:13" x14ac:dyDescent="0.25">
      <c r="A31" s="12">
        <v>0.47916666666666669</v>
      </c>
      <c r="B31" s="6" t="n">
        <v>32851.2752628461</v>
      </c>
      <c r="C31" s="6" t="n">
        <v>3841.3575688823876</v>
      </c>
      <c r="D31" s="6" t="n">
        <v>1037.4511310211717</v>
      </c>
      <c r="E31" s="6" t="n">
        <v>0.0</v>
      </c>
      <c r="F31" s="6">
        <f si="0" t="shared"/>
        <v>37730.083962749668</v>
      </c>
      <c r="H31" s="12">
        <v>0.47916666666666669</v>
      </c>
      <c r="I31" s="9" t="n">
        <v>25896.455088615417</v>
      </c>
      <c r="J31" s="9" t="n">
        <v>1306.467004776001</v>
      </c>
      <c r="K31" s="9" t="n">
        <v>1070.5511312484741</v>
      </c>
      <c r="L31" s="9" t="n">
        <v>5.674362182617188E-4</v>
      </c>
      <c r="M31" s="14">
        <f si="1" t="shared"/>
        <v>25082.93152276516</v>
      </c>
    </row>
    <row r="32" spans="1:13" x14ac:dyDescent="0.25">
      <c r="A32" s="12">
        <v>0.5</v>
      </c>
      <c r="B32" s="6" t="n">
        <v>20190.86951792906</v>
      </c>
      <c r="C32" s="6" t="n">
        <v>2390.714799555769</v>
      </c>
      <c r="D32" s="6" t="n">
        <v>814.005699734375</v>
      </c>
      <c r="E32" s="6" t="n">
        <v>0.0</v>
      </c>
      <c r="F32" s="6">
        <f si="0" t="shared"/>
        <v>23395.590017219201</v>
      </c>
      <c r="H32" s="12">
        <v>0.5</v>
      </c>
      <c r="I32" s="9" t="n">
        <v>15160.336016654968</v>
      </c>
      <c r="J32" s="9" t="n">
        <v>765.7298440933228</v>
      </c>
      <c r="K32" s="9" t="n">
        <v>850.3900146484375</v>
      </c>
      <c r="L32" s="9" t="n">
        <v>5.817413330078125E-5</v>
      </c>
      <c r="M32" s="14">
        <f si="1" t="shared"/>
        <v>14942.706127193058</v>
      </c>
    </row>
    <row r="33" spans="1:13" x14ac:dyDescent="0.25">
      <c r="A33" s="12">
        <v>0.52083333333333337</v>
      </c>
      <c r="B33" s="6" t="n">
        <v>12103.973700067065</v>
      </c>
      <c r="C33" s="6" t="n">
        <v>1575.47894689852</v>
      </c>
      <c r="D33" s="6" t="n">
        <v>640.8148796831314</v>
      </c>
      <c r="E33" s="6" t="n">
        <v>0.0</v>
      </c>
      <c r="F33" s="6">
        <f si="0" t="shared"/>
        <v>14320.267526648717</v>
      </c>
      <c r="H33" s="12">
        <v>0.52083333333333337</v>
      </c>
      <c r="I33" s="9" t="n">
        <v>8751.834489822388</v>
      </c>
      <c r="J33" s="9" t="n">
        <v>520.0631275177002</v>
      </c>
      <c r="K33" s="9" t="n">
        <v>650.9087495803833</v>
      </c>
      <c r="L33" s="9" t="n">
        <v>2.86102294921875E-6</v>
      </c>
      <c r="M33" s="14">
        <f si="1" t="shared"/>
        <v>8896.4364248553757</v>
      </c>
    </row>
    <row r="34" spans="1:13" x14ac:dyDescent="0.25">
      <c r="A34" s="12">
        <v>0.54166666666666663</v>
      </c>
      <c r="B34" s="6" t="n">
        <v>7209.933698710768</v>
      </c>
      <c r="C34" s="6" t="n">
        <v>1204.2153487371124</v>
      </c>
      <c r="D34" s="6" t="n">
        <v>484.7299548114264</v>
      </c>
      <c r="E34" s="6" t="n">
        <v>0.0</v>
      </c>
      <c r="F34" s="6">
        <f si="0" t="shared"/>
        <v>8898.8790022593075</v>
      </c>
      <c r="H34" s="12">
        <v>0.54166666666666663</v>
      </c>
      <c r="I34" s="9" t="n">
        <v>5126.332990646362</v>
      </c>
      <c r="J34" s="9" t="n">
        <v>426.01372146606445</v>
      </c>
      <c r="K34" s="9" t="n">
        <v>470.6960868835449</v>
      </c>
      <c r="L34" s="9" t="n">
        <v>0.0</v>
      </c>
      <c r="M34" s="14">
        <f si="1" t="shared"/>
        <v>5451.5460384359385</v>
      </c>
    </row>
    <row r="35" spans="1:13" x14ac:dyDescent="0.25">
      <c r="A35" s="12">
        <v>0.5625</v>
      </c>
      <c r="B35" s="6" t="n">
        <v>4365.112891973895</v>
      </c>
      <c r="C35" s="6" t="n">
        <v>1101.1964264376238</v>
      </c>
      <c r="D35" s="6" t="n">
        <v>336.0863697196903</v>
      </c>
      <c r="E35" s="6" t="n">
        <v>0.0</v>
      </c>
      <c r="F35" s="6">
        <f si="0" t="shared"/>
        <v>5802.3956881312088</v>
      </c>
      <c r="H35" s="12">
        <v>0.5625</v>
      </c>
      <c r="I35" s="9" t="n">
        <v>3087.47895526886</v>
      </c>
      <c r="J35" s="9" t="n">
        <v>402.0279941558838</v>
      </c>
      <c r="K35" s="9" t="n">
        <v>314.2624168395996</v>
      </c>
      <c r="L35" s="9" t="n">
        <v>0.0</v>
      </c>
      <c r="M35" s="14">
        <f si="1" t="shared"/>
        <v>3488.7382872379776</v>
      </c>
    </row>
    <row r="36" spans="1:13" x14ac:dyDescent="0.25">
      <c r="A36" s="12">
        <v>0.58333333333333337</v>
      </c>
      <c r="B36" s="6" t="n">
        <v>2737.700851781001</v>
      </c>
      <c r="C36" s="6" t="n">
        <v>1135.8890036732819</v>
      </c>
      <c r="D36" s="6" t="n">
        <v>205.8575840347009</v>
      </c>
      <c r="E36" s="6" t="n">
        <v>0.0</v>
      </c>
      <c r="F36" s="6">
        <f si="0" t="shared"/>
        <v>4079.4474394889835</v>
      </c>
      <c r="H36" s="12">
        <v>0.58333333333333337</v>
      </c>
      <c r="I36" s="9" t="n">
        <v>1898.9722499847412</v>
      </c>
      <c r="J36" s="9" t="n">
        <v>399.0598192214966</v>
      </c>
      <c r="K36" s="9" t="n">
        <v>189.32354068756104</v>
      </c>
      <c r="L36" s="9" t="n">
        <v>0.0</v>
      </c>
      <c r="M36" s="14">
        <f si="1" t="shared"/>
        <v>2324.8129633179396</v>
      </c>
    </row>
    <row r="37" spans="1:13" x14ac:dyDescent="0.25">
      <c r="A37" s="12">
        <v>0.60416666666666663</v>
      </c>
      <c r="B37" s="6" t="n">
        <v>1780.9657485530342</v>
      </c>
      <c r="C37" s="6" t="n">
        <v>1209.524347228092</v>
      </c>
      <c r="D37" s="6" t="n">
        <v>108.42348988895236</v>
      </c>
      <c r="E37" s="6" t="n">
        <v>0.0</v>
      </c>
      <c r="F37" s="6">
        <f si="0" t="shared"/>
        <v>3098.9135856700782</v>
      </c>
      <c r="H37" s="12">
        <v>0.60416666666666663</v>
      </c>
      <c r="I37" s="9" t="n">
        <v>1181.2333965301514</v>
      </c>
      <c r="J37" s="9" t="n">
        <v>388.2989091873169</v>
      </c>
      <c r="K37" s="9" t="n">
        <v>100.69654655456543</v>
      </c>
      <c r="L37" s="9" t="n">
        <v>0.0</v>
      </c>
      <c r="M37" s="14">
        <f si="1" t="shared"/>
        <v>1601.9055921042579</v>
      </c>
    </row>
    <row r="38" spans="1:13" x14ac:dyDescent="0.25">
      <c r="A38" s="12">
        <v>0.625</v>
      </c>
      <c r="B38" s="6" t="n">
        <v>1177.2914571095605</v>
      </c>
      <c r="C38" s="6" t="n">
        <v>1238.831874625768</v>
      </c>
      <c r="D38" s="6" t="n">
        <v>48.010977848389615</v>
      </c>
      <c r="E38" s="6" t="n">
        <v>0.0</v>
      </c>
      <c r="F38" s="6">
        <f si="0" t="shared"/>
        <v>2464.1343095837183</v>
      </c>
      <c r="H38" s="12">
        <v>0.625</v>
      </c>
      <c r="I38" s="9" t="n">
        <v>753.1107130050659</v>
      </c>
      <c r="J38" s="9" t="n">
        <v>356.29176902770996</v>
      </c>
      <c r="K38" s="9" t="n">
        <v>46.2985954284668</v>
      </c>
      <c r="L38" s="9" t="n">
        <v>0.0</v>
      </c>
      <c r="M38" s="14">
        <f si="1" t="shared"/>
        <v>1142.0050002946523</v>
      </c>
    </row>
    <row r="39" spans="1:13" x14ac:dyDescent="0.25">
      <c r="A39" s="12">
        <v>0.64583333333333337</v>
      </c>
      <c r="B39" s="6" t="n">
        <v>767.913770364878</v>
      </c>
      <c r="C39" s="6" t="n">
        <v>1164.6970309059152</v>
      </c>
      <c r="D39" s="6" t="n">
        <v>17.46178990820498</v>
      </c>
      <c r="E39" s="6" t="n">
        <v>0.0</v>
      </c>
      <c r="F39" s="6">
        <f si="0" t="shared"/>
        <v>1950.0725911789982</v>
      </c>
      <c r="H39" s="12">
        <v>0.64583333333333337</v>
      </c>
      <c r="I39" s="9" t="n">
        <v>511.2364721298218</v>
      </c>
      <c r="J39" s="9" t="n">
        <v>302.0295944213867</v>
      </c>
      <c r="K39" s="9" t="n">
        <v>18.005735397338867</v>
      </c>
      <c r="L39" s="9" t="n">
        <v>0.0</v>
      </c>
      <c r="M39" s="14">
        <f si="1" t="shared"/>
        <v>843.21429464068297</v>
      </c>
    </row>
    <row r="40" spans="1:13" x14ac:dyDescent="0.25">
      <c r="A40" s="12">
        <v>0.66666666666666663</v>
      </c>
      <c r="B40" s="6" t="n">
        <v>484.4395549941047</v>
      </c>
      <c r="C40" s="6" t="n">
        <v>975.5631974090968</v>
      </c>
      <c r="D40" s="6" t="n">
        <v>5.0674355020381405</v>
      </c>
      <c r="E40" s="6" t="n">
        <v>0.0</v>
      </c>
      <c r="F40" s="6">
        <f si="0" t="shared"/>
        <v>1465.0701879052397</v>
      </c>
      <c r="H40" s="12">
        <v>0.66666666666666663</v>
      </c>
      <c r="I40" s="9" t="n">
        <v>377.2064094543457</v>
      </c>
      <c r="J40" s="9" t="n">
        <v>233.51980590820312</v>
      </c>
      <c r="K40" s="9" t="n">
        <v>5.779175758361816</v>
      </c>
      <c r="L40" s="9" t="n">
        <v>0.0</v>
      </c>
      <c r="M40" s="14">
        <f si="1" t="shared"/>
        <v>635.88661630685181</v>
      </c>
    </row>
    <row r="41" spans="1:13" x14ac:dyDescent="0.25">
      <c r="A41" s="12">
        <v>0.6875</v>
      </c>
      <c r="B41" s="6" t="n">
        <v>297.5608781611658</v>
      </c>
      <c r="C41" s="6" t="n">
        <v>714.0402690557278</v>
      </c>
      <c r="D41" s="6" t="n">
        <v>1.126511596639614</v>
      </c>
      <c r="E41" s="6" t="n">
        <v>0.0</v>
      </c>
      <c r="F41" s="6">
        <f si="0" t="shared"/>
        <v>1012.7276588135333</v>
      </c>
      <c r="H41" s="12">
        <v>0.6875</v>
      </c>
      <c r="I41" s="9" t="n">
        <v>292.20927143096924</v>
      </c>
      <c r="J41" s="9" t="n">
        <v>163.071608543396</v>
      </c>
      <c r="K41" s="9" t="n">
        <v>1.4846820831298828</v>
      </c>
      <c r="L41" s="9" t="n">
        <v>0.0</v>
      </c>
      <c r="M41" s="14">
        <f si="1" t="shared"/>
        <v>475.40497520661069</v>
      </c>
    </row>
    <row r="42" spans="1:13" x14ac:dyDescent="0.25">
      <c r="A42" s="12">
        <v>0.70833333333333337</v>
      </c>
      <c r="B42" s="6" t="n">
        <v>187.5229983878583</v>
      </c>
      <c r="C42" s="6" t="n">
        <v>450.6567245223639</v>
      </c>
      <c r="D42" s="6" t="n">
        <v>0.17992670397373486</v>
      </c>
      <c r="E42" s="6" t="n">
        <v>0.0</v>
      </c>
      <c r="F42" s="6">
        <f si="0" t="shared"/>
        <v>638.35964961419586</v>
      </c>
      <c r="H42" s="12">
        <v>0.70833333333333337</v>
      </c>
      <c r="I42" s="9" t="n">
        <v>222.97292613983154</v>
      </c>
      <c r="J42" s="9" t="n">
        <v>102.03185367584229</v>
      </c>
      <c r="K42" s="9" t="n">
        <v>0.2926778793334961</v>
      </c>
      <c r="L42" s="9" t="n">
        <v>0.0</v>
      </c>
      <c r="M42" s="14">
        <f si="1" t="shared"/>
        <v>341.09324459839519</v>
      </c>
    </row>
    <row r="43" spans="1:13" x14ac:dyDescent="0.25">
      <c r="A43" s="12">
        <v>0.72916666666666663</v>
      </c>
      <c r="B43" s="6" t="n">
        <v>132.48981296184985</v>
      </c>
      <c r="C43" s="6" t="n">
        <v>242.81674688870226</v>
      </c>
      <c r="D43" s="6" t="n">
        <v>0.018365101652433397</v>
      </c>
      <c r="E43" s="6" t="n">
        <v>0.0</v>
      </c>
      <c r="F43" s="6">
        <f si="0" t="shared"/>
        <v>375.32492495220453</v>
      </c>
      <c r="H43" s="12">
        <v>0.72916666666666663</v>
      </c>
      <c r="I43" s="9" t="n">
        <v>159.28275394439697</v>
      </c>
      <c r="J43" s="9" t="n">
        <v>56.84516143798828</v>
      </c>
      <c r="K43" s="9" t="n">
        <v>0.041480064392089844</v>
      </c>
      <c r="L43" s="9" t="n">
        <v>0.0</v>
      </c>
      <c r="M43" s="14">
        <f si="1" t="shared"/>
        <v>228.75260785594458</v>
      </c>
    </row>
    <row r="44" spans="1:13" x14ac:dyDescent="0.25">
      <c r="A44" s="12">
        <v>0.75</v>
      </c>
      <c r="B44" s="6" t="n">
        <v>108.35840593185318</v>
      </c>
      <c r="C44" s="6" t="n">
        <v>110.72074282920363</v>
      </c>
      <c r="D44" s="6" t="n">
        <v>8.991226390752793E-4</v>
      </c>
      <c r="E44" s="6" t="n">
        <v>0.0</v>
      </c>
      <c r="F44" s="6">
        <f si="0" t="shared"/>
        <v>219.0800478836959</v>
      </c>
      <c r="H44" s="12">
        <v>0.75</v>
      </c>
      <c r="I44" s="9" t="n">
        <v>103.6934461593628</v>
      </c>
      <c r="J44" s="9" t="n">
        <v>28.075922966003418</v>
      </c>
      <c r="K44" s="9" t="n">
        <v>0.0037565231323242188</v>
      </c>
      <c r="L44" s="9" t="n">
        <v>0.0</v>
      </c>
      <c r="M44" s="14">
        <f si="1" t="shared"/>
        <v>140.49519490148512</v>
      </c>
    </row>
    <row r="45" spans="1:13" x14ac:dyDescent="0.25">
      <c r="A45" s="12">
        <v>0.77083333333333337</v>
      </c>
      <c r="B45" s="6" t="n">
        <v>94.02744599054803</v>
      </c>
      <c r="C45" s="6" t="n">
        <v>42.330104108691216</v>
      </c>
      <c r="D45" s="6" t="n">
        <v>0.0</v>
      </c>
      <c r="E45" s="6" t="n">
        <v>0.0</v>
      </c>
      <c r="F45" s="6">
        <f si="0" t="shared"/>
        <v>136.35755009923923</v>
      </c>
      <c r="H45" s="12">
        <v>0.77083333333333337</v>
      </c>
      <c r="I45" s="9" t="n">
        <v>61.10614204406738</v>
      </c>
      <c r="J45" s="9" t="n">
        <v>12.251568794250488</v>
      </c>
      <c r="K45" s="9" t="n">
        <v>1.6307830810546875E-4</v>
      </c>
      <c r="L45" s="9" t="n">
        <v>0.0</v>
      </c>
      <c r="M45" s="14">
        <f si="1" t="shared"/>
        <v>77.646261460023311</v>
      </c>
    </row>
    <row r="46" spans="1:13" x14ac:dyDescent="0.25">
      <c r="A46" s="12">
        <v>0.79166666666666663</v>
      </c>
      <c r="B46" s="6" t="n">
        <v>77.02729278970156</v>
      </c>
      <c r="C46" s="6" t="n">
        <v>13.40198564183712</v>
      </c>
      <c r="D46" s="6" t="n">
        <v>0.0</v>
      </c>
      <c r="E46" s="6" t="n">
        <v>0.0</v>
      </c>
      <c r="F46" s="6">
        <f si="0" t="shared"/>
        <v>90.429278431538677</v>
      </c>
      <c r="H46" s="12">
        <v>0.79166666666666663</v>
      </c>
      <c r="I46" s="9" t="n">
        <v>33.051974296569824</v>
      </c>
      <c r="J46" s="9" t="n">
        <v>4.702693939208984</v>
      </c>
      <c r="K46" s="9" t="n">
        <v>0.0</v>
      </c>
      <c r="L46" s="9" t="n">
        <v>0.0</v>
      </c>
      <c r="M46" s="14">
        <f si="1" t="shared"/>
        <v>38.02752716179242</v>
      </c>
    </row>
    <row r="47" spans="1:13" x14ac:dyDescent="0.25">
      <c r="A47" s="12">
        <v>0.8125</v>
      </c>
      <c r="B47" s="6" t="n">
        <v>55.27071432256977</v>
      </c>
      <c r="C47" s="6" t="n">
        <v>3.446497911334038</v>
      </c>
      <c r="D47" s="6" t="n">
        <v>0.0</v>
      </c>
      <c r="E47" s="6" t="n">
        <v>0.0</v>
      </c>
      <c r="F47" s="6">
        <f si="0" t="shared"/>
        <v>58.717212233903808</v>
      </c>
      <c r="H47" s="12">
        <v>0.8125</v>
      </c>
      <c r="I47" s="9" t="n">
        <v>17.066354751586914</v>
      </c>
      <c r="J47" s="9" t="n">
        <v>1.5737075805664062</v>
      </c>
      <c r="K47" s="9" t="n">
        <v>0.0</v>
      </c>
      <c r="L47" s="9" t="n">
        <v>0.0</v>
      </c>
      <c r="M47" s="14">
        <f si="1" t="shared"/>
        <v>16.358933709320652</v>
      </c>
    </row>
    <row r="48" spans="1:13" x14ac:dyDescent="0.25">
      <c r="A48" s="12">
        <v>0.83333333333333337</v>
      </c>
      <c r="B48" s="6" t="n">
        <v>33.392197341150094</v>
      </c>
      <c r="C48" s="6" t="n">
        <v>0.6964202995300294</v>
      </c>
      <c r="D48" s="6" t="n">
        <v>0.0</v>
      </c>
      <c r="E48" s="6" t="n">
        <v>0.0</v>
      </c>
      <c r="F48" s="6">
        <f si="0" t="shared"/>
        <v>34.088617640680127</v>
      </c>
      <c r="H48" s="12">
        <v>0.83333333333333337</v>
      </c>
      <c r="I48" s="9" t="n">
        <v>8.89439868927002</v>
      </c>
      <c r="J48" s="9" t="n">
        <v>0.45113372802734375</v>
      </c>
      <c r="K48" s="9" t="n">
        <v>0.0</v>
      </c>
      <c r="L48" s="9" t="n">
        <v>0.0</v>
      </c>
      <c r="M48" s="14">
        <f si="1" t="shared"/>
        <v>6.2401143043395404</v>
      </c>
    </row>
    <row r="49" spans="1:13" x14ac:dyDescent="0.25">
      <c r="A49" s="12">
        <v>0.85416666666666663</v>
      </c>
      <c r="B49" s="6" t="n">
        <v>16.574339456359212</v>
      </c>
      <c r="C49" s="6" t="n">
        <v>0.10415944814682009</v>
      </c>
      <c r="D49" s="6" t="n">
        <v>0.0</v>
      </c>
      <c r="E49" s="6" t="n">
        <v>0.0</v>
      </c>
      <c r="F49" s="6">
        <f si="0" t="shared"/>
        <v>16.678498904506032</v>
      </c>
      <c r="H49" s="12">
        <v>0.85416666666666663</v>
      </c>
      <c r="I49" s="9" t="n">
        <v>4.817182540893555</v>
      </c>
      <c r="J49" s="9" t="n">
        <v>0.107513427734375</v>
      </c>
      <c r="K49" s="9" t="n">
        <v>0.0</v>
      </c>
      <c r="L49" s="9" t="n">
        <v>0.0</v>
      </c>
      <c r="M49" s="14">
        <f si="1" t="shared"/>
        <v>2.217623515029659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6.6225506076031264</v>
      </c>
      <c r="H50" s="12">
        <v>0.875</v>
      </c>
      <c r="I50" s="9" t="n">
        <v>2.621255874633789</v>
      </c>
      <c r="J50" s="9" t="n">
        <v>0.020331382751464844</v>
      </c>
      <c r="K50" s="9" t="n">
        <v>0.0</v>
      </c>
      <c r="L50" s="9" t="n">
        <v>0.0</v>
      </c>
      <c r="M50" s="14">
        <f si="1" t="shared"/>
        <v>0.80789331749686988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2.0652319112764292</v>
      </c>
      <c r="H51" s="12">
        <v>0.89583333333333337</v>
      </c>
      <c r="I51" s="9" t="n">
        <v>1.338210105895996</v>
      </c>
      <c r="J51" s="9" t="n">
        <v>0.0028390884399414062</v>
      </c>
      <c r="K51" s="9" t="n">
        <v>0.0</v>
      </c>
      <c r="L51" s="9" t="n">
        <v>0.0</v>
      </c>
      <c r="M51" s="14">
        <f si="1" t="shared"/>
        <v>0.3204703817377082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0.48574877880117417</v>
      </c>
      <c r="H52" s="12">
        <v>0.91666666666666663</v>
      </c>
      <c r="I52" s="9" t="n">
        <v>0.6042613983154297</v>
      </c>
      <c r="J52" s="9" t="n">
        <v>2.5844573974609375E-4</v>
      </c>
      <c r="K52" s="9" t="n">
        <v>0.0</v>
      </c>
      <c r="L52" s="9" t="n">
        <v>0.0</v>
      </c>
      <c r="M52" s="14">
        <f si="1" t="shared"/>
        <v>0.12918225185495377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8.0958129800195691E-2</v>
      </c>
      <c r="H53" s="12">
        <v>0.9375</v>
      </c>
      <c r="I53" s="9" t="n">
        <v>0.2319345474243164</v>
      </c>
      <c r="J53" s="9" t="n">
        <v>1.1444091796875E-5</v>
      </c>
      <c r="K53" s="9" t="n">
        <v>0.0</v>
      </c>
      <c r="L53" s="9" t="n">
        <v>0.0</v>
      </c>
      <c r="M53" s="14">
        <f si="1" t="shared"/>
        <v>4.6702884516367157E-2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8.5219084000205999E-3</v>
      </c>
      <c r="H54" s="12">
        <v>0.95833333333333337</v>
      </c>
      <c r="I54" s="9" t="n">
        <v>0.07339191436767578</v>
      </c>
      <c r="J54" s="9" t="n">
        <v>0.0</v>
      </c>
      <c r="K54" s="9" t="n">
        <v>0.0</v>
      </c>
      <c r="L54" s="9" t="n">
        <v>0.0</v>
      </c>
      <c r="M54" s="14">
        <f si="1" t="shared"/>
        <v>1.3813620794522868E-2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4.2609542000102997E-4</v>
      </c>
      <c r="H55" s="12">
        <v>0.97916666666666663</v>
      </c>
      <c r="I55" s="9" t="n">
        <v>0.018088340759277344</v>
      </c>
      <c r="J55" s="9" t="n">
        <v>0.0</v>
      </c>
      <c r="K55" s="9" t="n">
        <v>0.0</v>
      </c>
      <c r="L55" s="9" t="n">
        <v>0.0</v>
      </c>
      <c r="M55" s="14">
        <f si="1" t="shared"/>
        <v>3.0854760314063204E-3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1728073.7844629332</v>
      </c>
      <c r="C57" s="7">
        <f>SUM(C8:C56)</f>
        <v>776129.18620461447</v>
      </c>
      <c r="D57" s="7">
        <f>SUM(D8:D56)</f>
        <v>4431406.5583149502</v>
      </c>
      <c r="E57" s="7">
        <f>SUM(E8:E56)</f>
        <v>279767.76303040434</v>
      </c>
      <c r="F57" s="7">
        <f>SUM(F8:F56)</f>
        <v>7215377.292012902</v>
      </c>
      <c r="H57" s="1"/>
      <c r="I57" s="7">
        <f>SUM(I8:I56)</f>
        <v>1702124.5594674365</v>
      </c>
      <c r="J57" s="7">
        <f>SUM(J8:J56)</f>
        <v>783838.88906146644</v>
      </c>
      <c r="K57" s="7">
        <f>SUM(K8:K56)</f>
        <v>4585152.4492649417</v>
      </c>
      <c r="L57" s="7">
        <f>SUM(L8:L56)</f>
        <v>304693.41086414136</v>
      </c>
      <c r="M57" s="7">
        <f>SUM(M8:M56)</f>
        <v>7375809.3086579861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1.8096394028116844E-2</v>
      </c>
      <c r="C65" s="18">
        <f ref="C65:F65" si="2" t="shared">C8/C$57</f>
        <v>4.1974158405842354E-3</v>
      </c>
      <c r="D65" s="18">
        <f si="2" t="shared"/>
        <v>0.29922702134217166</v>
      </c>
      <c r="E65" s="18">
        <f si="2" t="shared"/>
        <v>0.36309550460655332</v>
      </c>
      <c r="F65" s="18">
        <f si="2" t="shared"/>
        <v>0.20263786407444309</v>
      </c>
      <c r="G65" s="18"/>
      <c r="H65" s="15">
        <v>0</v>
      </c>
      <c r="I65" s="18">
        <f ref="I65:M65" si="3" t="shared">I8/I$57</f>
        <v>3.0024469216190366E-2</v>
      </c>
      <c r="J65" s="18">
        <f si="3" t="shared"/>
        <v>4.2395794576678157E-2</v>
      </c>
      <c r="K65" s="18">
        <f si="3" t="shared"/>
        <v>0.30941474619172743</v>
      </c>
      <c r="L65" s="18">
        <f si="3" t="shared"/>
        <v>0.36816751297753314</v>
      </c>
      <c r="M65" s="18">
        <f si="3" t="shared"/>
        <v>0.21899005085474249</v>
      </c>
    </row>
    <row r="66" spans="1:13" x14ac:dyDescent="0.25">
      <c r="A66" s="12">
        <v>2.0833333333333332E-2</v>
      </c>
      <c r="B66" s="18">
        <f ref="B66:F66" si="4" t="shared">B9/B$57</f>
        <v>1.8711861977254204E-2</v>
      </c>
      <c r="C66" s="18">
        <f si="4" t="shared"/>
        <v>1.1919107803832846E-2</v>
      </c>
      <c r="D66" s="18">
        <f si="4" t="shared"/>
        <v>0.22731329846575424</v>
      </c>
      <c r="E66" s="18">
        <f si="4" t="shared"/>
        <v>0.26000463345475183</v>
      </c>
      <c r="F66" s="18">
        <f si="4" t="shared"/>
        <v>0.15545199599133769</v>
      </c>
      <c r="G66" s="18"/>
      <c r="H66" s="12">
        <v>2.0833333333333332E-2</v>
      </c>
      <c r="I66" s="18">
        <f ref="I66:M66" si="5" t="shared">I9/I$57</f>
        <v>2.8275167841731973E-2</v>
      </c>
      <c r="J66" s="18">
        <f si="5" t="shared"/>
        <v>3.4862369359573785E-2</v>
      </c>
      <c r="K66" s="18">
        <f si="5" t="shared"/>
        <v>0.23164538762209794</v>
      </c>
      <c r="L66" s="18">
        <f si="5" t="shared"/>
        <v>0.26030408174802588</v>
      </c>
      <c r="M66" s="18">
        <f si="5" t="shared"/>
        <v>0.1649848365782656</v>
      </c>
    </row>
    <row r="67" spans="1:13" x14ac:dyDescent="0.25">
      <c r="A67" s="12">
        <v>4.1666666666666664E-2</v>
      </c>
      <c r="B67" s="18">
        <f ref="B67:F67" si="6" t="shared">B10/B$57</f>
        <v>1.9465986131181431E-2</v>
      </c>
      <c r="C67" s="18">
        <f si="6" t="shared"/>
        <v>1.8680230589556784E-2</v>
      </c>
      <c r="D67" s="18">
        <f si="6" t="shared"/>
        <v>0.16294446294532658</v>
      </c>
      <c r="E67" s="18">
        <f si="6" t="shared"/>
        <v>0.17004222502162575</v>
      </c>
      <c r="F67" s="18">
        <f si="6" t="shared"/>
        <v>0.11333883094996151</v>
      </c>
      <c r="G67" s="18"/>
      <c r="H67" s="12">
        <v>4.1666666666666664E-2</v>
      </c>
      <c r="I67" s="18">
        <f ref="I67:M67" si="7" t="shared">I10/I$57</f>
        <v>2.7246842291821033E-2</v>
      </c>
      <c r="J67" s="18">
        <f si="7" t="shared"/>
        <v>2.8867481936078857E-2</v>
      </c>
      <c r="K67" s="18">
        <f si="7" t="shared"/>
        <v>0.16280578057791126</v>
      </c>
      <c r="L67" s="18">
        <f si="7" t="shared"/>
        <v>0.16728631053907306</v>
      </c>
      <c r="M67" s="18">
        <f si="7" t="shared"/>
        <v>0.11747393381047196</v>
      </c>
    </row>
    <row r="68" spans="1:13" x14ac:dyDescent="0.25">
      <c r="A68" s="12">
        <v>6.25E-2</v>
      </c>
      <c r="B68" s="18">
        <f ref="B68:F68" si="8" t="shared">B11/B$57</f>
        <v>2.0456865498303278E-2</v>
      </c>
      <c r="C68" s="18">
        <f si="8" t="shared"/>
        <v>2.3846310605752648E-2</v>
      </c>
      <c r="D68" s="18">
        <f si="8" t="shared"/>
        <v>0.11096029666494484</v>
      </c>
      <c r="E68" s="18">
        <f si="8" t="shared"/>
        <v>0.10138058370958576</v>
      </c>
      <c r="F68" s="18">
        <f si="8" t="shared"/>
        <v>7.9542894691369895E-2</v>
      </c>
      <c r="G68" s="18"/>
      <c r="H68" s="12">
        <v>6.25E-2</v>
      </c>
      <c r="I68" s="18">
        <f ref="I68:M68" si="9" t="shared">I11/I$57</f>
        <v>2.7344062923771905E-2</v>
      </c>
      <c r="J68" s="18">
        <f si="9" t="shared"/>
        <v>2.5420408289737913E-2</v>
      </c>
      <c r="K68" s="18">
        <f si="9" t="shared"/>
        <v>0.10840970275292147</v>
      </c>
      <c r="L68" s="18">
        <f si="9" t="shared"/>
        <v>9.7899805704359674E-2</v>
      </c>
      <c r="M68" s="18">
        <f si="9" t="shared"/>
        <v>8.0448520378585478E-2</v>
      </c>
    </row>
    <row r="69" spans="1:13" x14ac:dyDescent="0.25">
      <c r="A69" s="12">
        <v>8.3333333333333329E-2</v>
      </c>
      <c r="B69" s="18">
        <f ref="B69:F69" si="10" t="shared">B12/B$57</f>
        <v>2.1723164257031864E-2</v>
      </c>
      <c r="C69" s="18">
        <f si="10" t="shared"/>
        <v>2.7206537783689862E-2</v>
      </c>
      <c r="D69" s="18">
        <f si="10" t="shared"/>
        <v>7.2506072504067862E-2</v>
      </c>
      <c r="E69" s="18">
        <f si="10" t="shared"/>
        <v>5.5296472176126994E-2</v>
      </c>
      <c r="F69" s="18">
        <f si="10" t="shared"/>
        <v>5.480365866269462E-2</v>
      </c>
      <c r="G69" s="18"/>
      <c r="H69" s="12">
        <v>8.3333333333333329E-2</v>
      </c>
      <c r="I69" s="18">
        <f ref="I69:M69" si="11" t="shared">I12/I$57</f>
        <v>2.852064937330261E-2</v>
      </c>
      <c r="J69" s="18">
        <f si="11" t="shared"/>
        <v>2.4823303146290956E-2</v>
      </c>
      <c r="K69" s="18">
        <f si="11" t="shared"/>
        <v>6.937871422465812E-2</v>
      </c>
      <c r="L69" s="18">
        <f si="11" t="shared"/>
        <v>5.278912023968494E-2</v>
      </c>
      <c r="M69" s="18">
        <f si="11" t="shared"/>
        <v>5.452956141308548E-2</v>
      </c>
    </row>
    <row r="70" spans="1:13" x14ac:dyDescent="0.25">
      <c r="A70" s="12">
        <v>0.10416666666666667</v>
      </c>
      <c r="B70" s="18">
        <f ref="B70:F70" si="12" t="shared">B13/B$57</f>
        <v>2.3230956598960524E-2</v>
      </c>
      <c r="C70" s="18">
        <f si="12" t="shared"/>
        <v>2.89028309290769E-2</v>
      </c>
      <c r="D70" s="18">
        <f si="12" t="shared"/>
        <v>4.5942060004501246E-2</v>
      </c>
      <c r="E70" s="18">
        <f si="12" t="shared"/>
        <v>2.7815369603808138E-2</v>
      </c>
      <c r="F70" s="18">
        <f si="12" t="shared"/>
        <v>3.7967096713884652E-2</v>
      </c>
      <c r="G70" s="18"/>
      <c r="H70" s="12">
        <v>0.10416666666666667</v>
      </c>
      <c r="I70" s="18">
        <f ref="I70:M70" si="13" t="shared">I13/I$57</f>
        <v>3.0359457423460787E-2</v>
      </c>
      <c r="J70" s="18">
        <f si="13" t="shared"/>
        <v>2.6894810195057642E-2</v>
      </c>
      <c r="K70" s="18">
        <f si="13" t="shared"/>
        <v>4.3324737439883736E-2</v>
      </c>
      <c r="L70" s="18">
        <f si="13" t="shared"/>
        <v>2.684177197009666E-2</v>
      </c>
      <c r="M70" s="18">
        <f si="13" t="shared"/>
        <v>3.7905781125693358E-2</v>
      </c>
    </row>
    <row r="71" spans="1:13" x14ac:dyDescent="0.25">
      <c r="A71" s="12">
        <v>0.125</v>
      </c>
      <c r="B71" s="18">
        <f ref="B71:F71" si="14" t="shared">B14/B$57</f>
        <v>2.4847191376203552E-2</v>
      </c>
      <c r="C71" s="18">
        <f si="14" t="shared"/>
        <v>2.9463587364283114E-2</v>
      </c>
      <c r="D71" s="18">
        <f si="14" t="shared"/>
        <v>2.8485940926929014E-2</v>
      </c>
      <c r="E71" s="18">
        <f si="14" t="shared"/>
        <v>1.3022411092190345E-2</v>
      </c>
      <c r="F71" s="18">
        <f si="14" t="shared"/>
        <v>2.7120046320926391E-2</v>
      </c>
      <c r="G71" s="18"/>
      <c r="H71" s="12">
        <v>0.125</v>
      </c>
      <c r="I71" s="18">
        <f ref="I71:M71" si="15" t="shared">I14/I$57</f>
        <v>3.2279421836622191E-2</v>
      </c>
      <c r="J71" s="18">
        <f si="15" t="shared"/>
        <v>3.1335377734226323E-2</v>
      </c>
      <c r="K71" s="18">
        <f si="15" t="shared"/>
        <v>2.6721272884753681E-2</v>
      </c>
      <c r="L71" s="18">
        <f si="15" t="shared"/>
        <v>1.3285984161408243E-2</v>
      </c>
      <c r="M71" s="18">
        <f si="15" t="shared"/>
        <v>2.7939272474001641E-2</v>
      </c>
    </row>
    <row r="72" spans="1:13" x14ac:dyDescent="0.25">
      <c r="A72" s="12">
        <v>0.14583333333333334</v>
      </c>
      <c r="B72" s="18">
        <f ref="B72:F72" si="16" t="shared">B15/B$57</f>
        <v>2.6336039202909275E-2</v>
      </c>
      <c r="C72" s="18">
        <f si="16" t="shared"/>
        <v>3.0080396186940542E-2</v>
      </c>
      <c r="D72" s="18">
        <f si="16" t="shared"/>
        <v>1.7435319948262865E-2</v>
      </c>
      <c r="E72" s="18">
        <f si="16" t="shared"/>
        <v>5.6996678616760147E-3</v>
      </c>
      <c r="F72" s="18">
        <f si="16" t="shared"/>
        <v>2.0472175031326548E-2</v>
      </c>
      <c r="G72" s="18"/>
      <c r="H72" s="12">
        <v>0.14583333333333334</v>
      </c>
      <c r="I72" s="18">
        <f ref="I72:M72" si="17" t="shared">I15/I$57</f>
        <v>3.3786319109000228E-2</v>
      </c>
      <c r="J72" s="18">
        <f si="17" t="shared"/>
        <v>3.7913140841107772E-2</v>
      </c>
      <c r="K72" s="18">
        <f si="17" t="shared"/>
        <v>1.6420291133181494E-2</v>
      </c>
      <c r="L72" s="18">
        <f si="17" t="shared"/>
        <v>6.5972579204919262E-3</v>
      </c>
      <c r="M72" s="18">
        <f si="17" t="shared"/>
        <v>2.230616193657926E-2</v>
      </c>
    </row>
    <row r="73" spans="1:13" x14ac:dyDescent="0.25">
      <c r="A73" s="12">
        <v>0.16666666666666666</v>
      </c>
      <c r="B73" s="18">
        <f ref="B73:F73" si="18" t="shared">B16/B$57</f>
        <v>2.7452948137642329E-2</v>
      </c>
      <c r="C73" s="18">
        <f si="18" t="shared"/>
        <v>3.2862667227458772E-2</v>
      </c>
      <c r="D73" s="18">
        <f si="18" t="shared"/>
        <v>1.0657473794152408E-2</v>
      </c>
      <c r="E73" s="18">
        <f si="18" t="shared"/>
        <v>2.323161878663453E-3</v>
      </c>
      <c r="F73" s="18">
        <f si="18" t="shared"/>
        <v>1.6745339201709574E-2</v>
      </c>
      <c r="G73" s="18"/>
      <c r="H73" s="12">
        <v>0.16666666666666666</v>
      </c>
      <c r="I73" s="18">
        <f ref="I73:M73" si="19" t="shared">I16/I$57</f>
        <v>3.4711064171864869E-2</v>
      </c>
      <c r="J73" s="18">
        <f si="19" t="shared"/>
        <v>4.6346333783071042E-2</v>
      </c>
      <c r="K73" s="18">
        <f si="19" t="shared"/>
        <v>1.0136943003276229E-2</v>
      </c>
      <c r="L73" s="18">
        <f si="19" t="shared"/>
        <v>3.3367422285178619E-3</v>
      </c>
      <c r="M73" s="18">
        <f si="19" t="shared"/>
        <v>1.9375057031279182E-2</v>
      </c>
    </row>
    <row r="74" spans="1:13" x14ac:dyDescent="0.25">
      <c r="A74" s="12">
        <v>0.1875</v>
      </c>
      <c r="B74" s="18">
        <f ref="B74:F74" si="20" t="shared">B17/B$57</f>
        <v>2.8158576829470261E-2</v>
      </c>
      <c r="C74" s="18">
        <f si="20" t="shared"/>
        <v>4.044768607666302E-2</v>
      </c>
      <c r="D74" s="18">
        <f si="20" t="shared"/>
        <v>6.6196018783371835E-3</v>
      </c>
      <c r="E74" s="18">
        <f si="20" t="shared"/>
        <v>8.7480597715501411E-4</v>
      </c>
      <c r="F74" s="18">
        <f si="20" t="shared"/>
        <v>1.5194162876985245E-2</v>
      </c>
      <c r="G74" s="18"/>
      <c r="H74" s="12">
        <v>0.1875</v>
      </c>
      <c r="I74" s="18">
        <f ref="I74:M74" si="21" t="shared">I17/I$57</f>
        <v>3.5348873008066301E-2</v>
      </c>
      <c r="J74" s="18">
        <f si="21" t="shared"/>
        <v>5.6034315584605428E-2</v>
      </c>
      <c r="K74" s="18">
        <f si="21" t="shared"/>
        <v>6.348195586801479E-3</v>
      </c>
      <c r="L74" s="18">
        <f si="21" t="shared"/>
        <v>1.7121513302160633E-3</v>
      </c>
      <c r="M74" s="18">
        <f si="21" t="shared"/>
        <v>1.8129425633153558E-2</v>
      </c>
    </row>
    <row r="75" spans="1:13" x14ac:dyDescent="0.25">
      <c r="A75" s="12">
        <v>0.20833333333333334</v>
      </c>
      <c r="B75" s="18">
        <f ref="B75:F75" si="22" t="shared">B18/B$57</f>
        <v>2.8866165485007273E-2</v>
      </c>
      <c r="C75" s="18">
        <f si="22" t="shared"/>
        <v>5.4487763150844325E-2</v>
      </c>
      <c r="D75" s="18">
        <f si="22" t="shared"/>
        <v>4.2688586435469149E-3</v>
      </c>
      <c r="E75" s="18">
        <f si="22" t="shared"/>
        <v>3.0402948795389939E-4</v>
      </c>
      <c r="F75" s="18">
        <f si="22" t="shared"/>
        <v>1.5407997176713545E-2</v>
      </c>
      <c r="G75" s="18"/>
      <c r="H75" s="12">
        <v>0.20833333333333334</v>
      </c>
      <c r="I75" s="18">
        <f ref="I75:M75" si="23" t="shared">I18/I$57</f>
        <v>3.6401625160795946E-2</v>
      </c>
      <c r="J75" s="18">
        <f si="23" t="shared"/>
        <v>6.5914267394694526E-2</v>
      </c>
      <c r="K75" s="18">
        <f si="23" t="shared"/>
        <v>4.0709738595080935E-3</v>
      </c>
      <c r="L75" s="18">
        <f si="23" t="shared"/>
        <v>8.7755545541221252E-4</v>
      </c>
      <c r="M75" s="18">
        <f si="23" t="shared"/>
        <v>1.7972222694372285E-2</v>
      </c>
    </row>
    <row r="76" spans="1:13" x14ac:dyDescent="0.25">
      <c r="A76" s="12">
        <v>0.22916666666666666</v>
      </c>
      <c r="B76" s="18">
        <f ref="B76:F76" si="24" t="shared">B19/B$57</f>
        <v>3.0569190389380826E-2</v>
      </c>
      <c r="C76" s="18">
        <f si="24" t="shared"/>
        <v>7.3544545055256469E-2</v>
      </c>
      <c r="D76" s="18">
        <f si="24" t="shared"/>
        <v>2.9055876642066227E-3</v>
      </c>
      <c r="E76" s="18">
        <f si="24" t="shared"/>
        <v>9.8856837612472848E-5</v>
      </c>
      <c r="F76" s="18">
        <f si="24" t="shared"/>
        <v>1.7020507264513783E-2</v>
      </c>
      <c r="G76" s="18"/>
      <c r="H76" s="12">
        <v>0.22916666666666666</v>
      </c>
      <c r="I76" s="18">
        <f ref="I76:M76" si="25" t="shared">I19/I$57</f>
        <v>3.8719908217075279E-2</v>
      </c>
      <c r="J76" s="18">
        <f si="25" t="shared"/>
        <v>7.4582289976517696E-2</v>
      </c>
      <c r="K76" s="18">
        <f si="25" t="shared"/>
        <v>2.6897905291904797E-3</v>
      </c>
      <c r="L76" s="18">
        <f si="25" t="shared"/>
        <v>4.4278988072775165E-4</v>
      </c>
      <c r="M76" s="18">
        <f si="25" t="shared"/>
        <v>1.8551811076084047E-2</v>
      </c>
    </row>
    <row r="77" spans="1:13" x14ac:dyDescent="0.25">
      <c r="A77" s="12">
        <v>0.25</v>
      </c>
      <c r="B77" s="18">
        <f ref="B77:F77" si="26" t="shared">B20/B$57</f>
        <v>3.4693415948639804E-2</v>
      </c>
      <c r="C77" s="18">
        <f si="26" t="shared"/>
        <v>9.222855536549987E-2</v>
      </c>
      <c r="D77" s="18">
        <f si="26" t="shared"/>
        <v>2.0879131917696209E-3</v>
      </c>
      <c r="E77" s="18">
        <f si="26" t="shared"/>
        <v>3.0569617606773135E-5</v>
      </c>
      <c r="F77" s="18">
        <f si="26" t="shared"/>
        <v>1.9513186230130167E-2</v>
      </c>
      <c r="G77" s="18"/>
      <c r="H77" s="12">
        <v>0.25</v>
      </c>
      <c r="I77" s="18">
        <f ref="I77:M77" si="27" t="shared">I20/I$57</f>
        <v>4.2960562133323929E-2</v>
      </c>
      <c r="J77" s="18">
        <f si="27" t="shared"/>
        <v>8.0569719977751433E-2</v>
      </c>
      <c r="K77" s="18">
        <f si="27" t="shared"/>
        <v>1.8348635368169038E-3</v>
      </c>
      <c r="L77" s="18">
        <f si="27" t="shared"/>
        <v>2.2000838666613417E-4</v>
      </c>
      <c r="M77" s="18">
        <f si="27" t="shared"/>
        <v>1.9626059430623351E-2</v>
      </c>
    </row>
    <row r="78" spans="1:13" x14ac:dyDescent="0.25">
      <c r="A78" s="12">
        <v>0.27083333333333331</v>
      </c>
      <c r="B78" s="18">
        <f ref="B78:F78" si="28" t="shared">B21/B$57</f>
        <v>4.2543970360506327E-2</v>
      </c>
      <c r="C78" s="18">
        <f si="28" t="shared"/>
        <v>0.1032892721914692</v>
      </c>
      <c r="D78" s="18">
        <f si="28" t="shared"/>
        <v>1.5641121501309891E-3</v>
      </c>
      <c r="E78" s="18">
        <f si="28" t="shared"/>
        <v>8.8730460595927832E-6</v>
      </c>
      <c r="F78" s="18">
        <f si="28" t="shared"/>
        <v>2.2260601402876945E-2</v>
      </c>
      <c r="G78" s="18"/>
      <c r="H78" s="12">
        <v>0.27083333333333331</v>
      </c>
      <c r="I78" s="18">
        <f ref="I78:M78" si="29" t="shared">I21/I$57</f>
        <v>4.9279859431893488E-2</v>
      </c>
      <c r="J78" s="18">
        <f si="29" t="shared"/>
        <v>8.2598457217056429E-2</v>
      </c>
      <c r="K78" s="18">
        <f si="29" t="shared"/>
        <v>1.2931904634132421E-3</v>
      </c>
      <c r="L78" s="18">
        <f si="29" t="shared"/>
        <v>1.1048597455392092E-4</v>
      </c>
      <c r="M78" s="18">
        <f si="29" t="shared"/>
        <v>2.0958714531434809E-2</v>
      </c>
    </row>
    <row r="79" spans="1:13" x14ac:dyDescent="0.25">
      <c r="A79" s="12">
        <v>0.29166666666666669</v>
      </c>
      <c r="B79" s="18">
        <f ref="B79:F79" si="30" t="shared">B22/B$57</f>
        <v>5.4363107535287745E-2</v>
      </c>
      <c r="C79" s="18">
        <f si="30" t="shared"/>
        <v>0.10190037415398072</v>
      </c>
      <c r="D79" s="18">
        <f si="30" t="shared"/>
        <v>1.2129159117457145E-3</v>
      </c>
      <c r="E79" s="18">
        <f si="30" t="shared"/>
        <v>2.2793336545425837E-6</v>
      </c>
      <c r="F79" s="18">
        <f si="30" t="shared"/>
        <v>2.4725924844887254E-2</v>
      </c>
      <c r="G79" s="18"/>
      <c r="H79" s="12">
        <v>0.29166666666666669</v>
      </c>
      <c r="I79" s="18">
        <f ref="I79:M79" si="31" t="shared">I22/I$57</f>
        <v>5.7098523700639468E-2</v>
      </c>
      <c r="J79" s="18">
        <f si="31" t="shared"/>
        <v>7.9805802537944281E-2</v>
      </c>
      <c r="K79" s="18">
        <f si="31" t="shared"/>
        <v>9.4656876885311925E-4</v>
      </c>
      <c r="L79" s="18">
        <f si="31" t="shared"/>
        <v>5.8422355599434661E-5</v>
      </c>
      <c r="M79" s="18">
        <f si="31" t="shared"/>
        <v>2.2248630252041292E-2</v>
      </c>
    </row>
    <row r="80" spans="1:13" x14ac:dyDescent="0.25">
      <c r="A80" s="12">
        <v>0.3125</v>
      </c>
      <c r="B80" s="18">
        <f ref="B80:F80" si="32" t="shared">B23/B$57</f>
        <v>6.841898528885261E-2</v>
      </c>
      <c r="C80" s="18">
        <f si="32" t="shared"/>
        <v>8.8785731040054855E-2</v>
      </c>
      <c r="D80" s="18">
        <f si="32" t="shared"/>
        <v>9.8240511778124005E-4</v>
      </c>
      <c r="E80" s="18">
        <f si="32" t="shared"/>
        <v>4.7559613498872901E-7</v>
      </c>
      <c r="F80" s="18">
        <f si="32" t="shared"/>
        <v>2.6539959561951505E-2</v>
      </c>
      <c r="G80" s="18"/>
      <c r="H80" s="12">
        <v>0.3125</v>
      </c>
      <c r="I80" s="18">
        <f ref="I80:M80" si="33" t="shared">I23/I$57</f>
        <v>6.4976181202469979E-2</v>
      </c>
      <c r="J80" s="18">
        <f si="33" t="shared"/>
        <v>7.2042649395305275E-2</v>
      </c>
      <c r="K80" s="18">
        <f si="33" t="shared"/>
        <v>7.2965850926054107E-4</v>
      </c>
      <c r="L80" s="18">
        <f si="33" t="shared"/>
        <v>3.2893772257801765E-5</v>
      </c>
      <c r="M80" s="18">
        <f si="33" t="shared"/>
        <v>2.310566813172233E-2</v>
      </c>
    </row>
    <row r="81" spans="1:13" x14ac:dyDescent="0.25">
      <c r="A81" s="12">
        <v>0.33333333333333331</v>
      </c>
      <c r="B81" s="18">
        <f ref="B81:F81" si="34" t="shared">B24/B$57</f>
        <v>8.0959477787581433E-2</v>
      </c>
      <c r="C81" s="18">
        <f si="34" t="shared"/>
        <v>6.9429222582293004E-2</v>
      </c>
      <c r="D81" s="18">
        <f si="34" t="shared"/>
        <v>8.4010080408622283E-4</v>
      </c>
      <c r="E81" s="18">
        <f si="34" t="shared"/>
        <v>7.3105810396048974E-8</v>
      </c>
      <c r="F81" s="18">
        <f si="34" t="shared"/>
        <v>2.7373876356306819E-2</v>
      </c>
      <c r="G81" s="18"/>
      <c r="H81" s="12">
        <v>0.33333333333333331</v>
      </c>
      <c r="I81" s="18">
        <f ref="I81:M81" si="35" t="shared">I24/I$57</f>
        <v>7.076271089947346E-2</v>
      </c>
      <c r="J81" s="18">
        <f si="35" t="shared"/>
        <v>6.0180995661447551E-2</v>
      </c>
      <c r="K81" s="18">
        <f si="35" t="shared"/>
        <v>6.0146988029842604E-4</v>
      </c>
      <c r="L81" s="18">
        <f si="35" t="shared"/>
        <v>1.8838370444194107E-5</v>
      </c>
      <c r="M81" s="18">
        <f si="35" t="shared"/>
        <v>2.3100207284443175E-2</v>
      </c>
    </row>
    <row r="82" spans="1:13" x14ac:dyDescent="0.25">
      <c r="A82" s="12">
        <v>0.35416666666666669</v>
      </c>
      <c r="B82" s="18">
        <f ref="B82:F82" si="36" t="shared">B25/B$57</f>
        <v>8.7602926609238824E-2</v>
      </c>
      <c r="C82" s="18">
        <f si="36" t="shared"/>
        <v>5.0224494760734296E-2</v>
      </c>
      <c r="D82" s="18">
        <f si="36" t="shared"/>
        <v>7.5007891328469499E-4</v>
      </c>
      <c r="E82" s="18">
        <f si="36" t="shared"/>
        <v>7.246518373751367E-9</v>
      </c>
      <c r="F82" s="18">
        <f si="36" t="shared"/>
        <v>2.6843907943549017E-2</v>
      </c>
      <c r="G82" s="18"/>
      <c r="H82" s="12">
        <v>0.35416666666666669</v>
      </c>
      <c r="I82" s="18">
        <f ref="I82:M82" si="37" t="shared">I25/I$57</f>
        <v>7.2223634472219744E-2</v>
      </c>
      <c r="J82" s="18">
        <f si="37" t="shared"/>
        <v>4.6118615520036453E-2</v>
      </c>
      <c r="K82" s="18">
        <f si="37" t="shared"/>
        <v>5.2892000844927687E-4</v>
      </c>
      <c r="L82" s="18">
        <f si="37" t="shared"/>
        <v>1.0232135200497487E-5</v>
      </c>
      <c r="M82" s="18">
        <f si="37" t="shared"/>
        <v>2.1897459131736997E-2</v>
      </c>
    </row>
    <row r="83" spans="1:13" x14ac:dyDescent="0.25">
      <c r="A83" s="12">
        <v>0.375</v>
      </c>
      <c r="B83" s="18">
        <f ref="B83:F83" si="38" t="shared">B26/B$57</f>
        <v>8.5594521254986219E-2</v>
      </c>
      <c r="C83" s="18">
        <f si="38" t="shared"/>
        <v>3.5014040798143076E-2</v>
      </c>
      <c r="D83" s="18">
        <f si="38" t="shared"/>
        <v>6.7580063749074297E-4</v>
      </c>
      <c r="E83" s="18">
        <f si="38" t="shared"/>
        <v>3.4651268502323782E-10</v>
      </c>
      <c r="F83" s="18">
        <f si="38" t="shared"/>
        <v>2.4681150760606615E-2</v>
      </c>
      <c r="G83" s="18"/>
      <c r="H83" s="12">
        <v>0.375</v>
      </c>
      <c r="I83" s="18">
        <f ref="I83:M83" si="39" t="shared">I26/I$57</f>
        <v>6.8034223358062931E-2</v>
      </c>
      <c r="J83" s="18">
        <f si="39" t="shared"/>
        <v>3.2244894225571016E-2</v>
      </c>
      <c r="K83" s="18">
        <f si="39" t="shared"/>
        <v>4.8255624564538124E-4</v>
      </c>
      <c r="L83" s="18">
        <f si="39" t="shared"/>
        <v>4.9762205114101319E-6</v>
      </c>
      <c r="M83" s="18">
        <f si="39" t="shared"/>
        <v>1.9427242314244374E-2</v>
      </c>
    </row>
    <row r="84" spans="1:13" x14ac:dyDescent="0.25">
      <c r="A84" s="12">
        <v>0.39583333333333331</v>
      </c>
      <c r="B84" s="18">
        <f ref="B84:F84" si="40" t="shared">B27/B$57</f>
        <v>7.5344613401644028E-2</v>
      </c>
      <c r="C84" s="18">
        <f si="40" t="shared"/>
        <v>2.4371348636085706E-2</v>
      </c>
      <c r="D84" s="18">
        <f si="40" t="shared"/>
        <v>5.9269593055297166E-4</v>
      </c>
      <c r="E84" s="18">
        <f si="40" t="shared"/>
        <v>0</v>
      </c>
      <c r="F84" s="18">
        <f si="40" t="shared"/>
        <v>2.1030479307744765E-2</v>
      </c>
      <c r="G84" s="18"/>
      <c r="H84" s="12">
        <v>0.39583333333333331</v>
      </c>
      <c r="I84" s="18">
        <f ref="I84:M84" si="41" t="shared">I27/I$57</f>
        <v>5.857860675514432E-2</v>
      </c>
      <c r="J84" s="18">
        <f si="41" t="shared"/>
        <v>2.0571231193119849E-2</v>
      </c>
      <c r="K84" s="18">
        <f si="41" t="shared"/>
        <v>4.4028924251342857E-4</v>
      </c>
      <c r="L84" s="18">
        <f si="41" t="shared"/>
        <v>2.0810317529599302E-6</v>
      </c>
      <c r="M84" s="18">
        <f si="41" t="shared"/>
        <v>1.5978184720607861E-2</v>
      </c>
    </row>
    <row r="85" spans="1:13" x14ac:dyDescent="0.25">
      <c r="A85" s="12">
        <v>0.41666666666666669</v>
      </c>
      <c r="B85" s="18">
        <f ref="B85:F85" si="42" t="shared">B28/B$57</f>
        <v>6.0054013757545203E-2</v>
      </c>
      <c r="C85" s="18">
        <f si="42" t="shared"/>
        <v>1.7071693805793695E-2</v>
      </c>
      <c r="D85" s="18">
        <f si="42" t="shared"/>
        <v>4.9534858241326567E-4</v>
      </c>
      <c r="E85" s="18">
        <f si="42" t="shared"/>
        <v>0</v>
      </c>
      <c r="F85" s="18">
        <f si="42" t="shared"/>
        <v>1.6523418357560805E-2</v>
      </c>
      <c r="G85" s="18"/>
      <c r="H85" s="12">
        <v>0.41666666666666669</v>
      </c>
      <c r="I85" s="18">
        <f ref="I85:M85" si="43" t="shared">I28/I$57</f>
        <v>4.5913388088472222E-2</v>
      </c>
      <c r="J85" s="18">
        <f si="43" t="shared"/>
        <v>1.2074437221531788E-2</v>
      </c>
      <c r="K85" s="18">
        <f si="43" t="shared"/>
        <v>3.9153493423670495E-4</v>
      </c>
      <c r="L85" s="18">
        <f si="43" t="shared"/>
        <v>7.2412548380243072E-7</v>
      </c>
      <c r="M85" s="18">
        <f si="43" t="shared"/>
        <v>1.2122084938599896E-2</v>
      </c>
    </row>
    <row r="86" spans="1:13" x14ac:dyDescent="0.25">
      <c r="A86" s="12">
        <v>0.4375</v>
      </c>
      <c r="B86" s="18">
        <f ref="B86:F86" si="44" t="shared">B29/B$57</f>
        <v>4.3812392737397933E-2</v>
      </c>
      <c r="C86" s="18">
        <f si="44" t="shared"/>
        <v>1.178819734267797E-2</v>
      </c>
      <c r="D86" s="18">
        <f si="44" t="shared"/>
        <v>3.9401084299637575E-4</v>
      </c>
      <c r="E86" s="18">
        <f si="44" t="shared"/>
        <v>0</v>
      </c>
      <c r="F86" s="18">
        <f si="44" t="shared"/>
        <v>1.2003008306170513E-2</v>
      </c>
      <c r="G86" s="18"/>
      <c r="H86" s="12">
        <v>0.4375</v>
      </c>
      <c r="I86" s="18">
        <f ref="I86:M86" si="45" t="shared">I29/I$57</f>
        <v>3.2817449702546082E-2</v>
      </c>
      <c r="J86" s="18">
        <f si="45" t="shared"/>
        <v>6.6452688427461916E-3</v>
      </c>
      <c r="K86" s="18">
        <f si="45" t="shared"/>
        <v>3.3634229122905818E-4</v>
      </c>
      <c r="L86" s="18">
        <f si="45" t="shared"/>
        <v>2.025160472083061E-7</v>
      </c>
      <c r="M86" s="18">
        <f si="45" t="shared"/>
        <v>8.4886209811898296E-3</v>
      </c>
    </row>
    <row r="87" spans="1:13" x14ac:dyDescent="0.25">
      <c r="A87" s="12">
        <v>0.45833333333333331</v>
      </c>
      <c r="B87" s="18">
        <f ref="B87:F87" si="46" t="shared">B30/B$57</f>
        <v>2.9694146544947234E-2</v>
      </c>
      <c r="C87" s="18">
        <f si="46" t="shared"/>
        <v>7.8188230272663514E-3</v>
      </c>
      <c r="D87" s="18">
        <f si="46" t="shared"/>
        <v>3.0384641939675406E-4</v>
      </c>
      <c r="E87" s="18">
        <f si="46" t="shared"/>
        <v>0</v>
      </c>
      <c r="F87" s="18">
        <f si="46" t="shared"/>
        <v>8.1393609215971545E-3</v>
      </c>
      <c r="G87" s="18"/>
      <c r="H87" s="12">
        <v>0.45833333333333331</v>
      </c>
      <c r="I87" s="18">
        <f ref="I87:M87" si="47" t="shared">I30/I$57</f>
        <v>2.1570063545543399E-2</v>
      </c>
      <c r="J87" s="18">
        <f si="47" t="shared"/>
        <v>3.5394010293863455E-3</v>
      </c>
      <c r="K87" s="18">
        <f si="47" t="shared"/>
        <v>2.7988510860067338E-4</v>
      </c>
      <c r="L87" s="18">
        <f si="47" t="shared"/>
        <v>4.3533751709703331E-8</v>
      </c>
      <c r="M87" s="18">
        <f si="47" t="shared"/>
        <v>5.5278793865725399E-3</v>
      </c>
    </row>
    <row r="88" spans="1:13" x14ac:dyDescent="0.25">
      <c r="A88" s="12">
        <v>0.47916666666666669</v>
      </c>
      <c r="B88" s="18">
        <f ref="B88:F88" si="48" t="shared">B31/B$57</f>
        <v>1.9010342936864773E-2</v>
      </c>
      <c r="C88" s="18">
        <f si="48" t="shared"/>
        <v>4.9493790945643844E-3</v>
      </c>
      <c r="D88" s="18">
        <f si="48" t="shared"/>
        <v>2.3411328149851911E-4</v>
      </c>
      <c r="E88" s="18">
        <f si="48" t="shared"/>
        <v>0</v>
      </c>
      <c r="F88" s="18">
        <f si="48" t="shared"/>
        <v>5.2291214216220088E-3</v>
      </c>
      <c r="G88" s="18"/>
      <c r="H88" s="12">
        <v>0.47916666666666669</v>
      </c>
      <c r="I88" s="18">
        <f ref="I88:M88" si="49" t="shared">I31/I$57</f>
        <v>1.3245025978745203E-2</v>
      </c>
      <c r="J88" s="18">
        <f si="49" t="shared"/>
        <v>1.91209601778049E-3</v>
      </c>
      <c r="K88" s="18">
        <f si="49" t="shared"/>
        <v>2.2670352990179237E-4</v>
      </c>
      <c r="L88" s="18">
        <f si="49" t="shared"/>
        <v>6.7274727089936947E-9</v>
      </c>
      <c r="M88" s="18">
        <f si="49" t="shared"/>
        <v>3.4007022786397049E-3</v>
      </c>
    </row>
    <row r="89" spans="1:13" x14ac:dyDescent="0.25">
      <c r="A89" s="12">
        <v>0.5</v>
      </c>
      <c r="B89" s="18">
        <f ref="B89:F89" si="50" t="shared">B32/B$57</f>
        <v>1.1684032070542732E-2</v>
      </c>
      <c r="C89" s="18">
        <f si="50" t="shared"/>
        <v>3.08030524048028E-3</v>
      </c>
      <c r="D89" s="18">
        <f si="50" t="shared"/>
        <v>1.8369014194985123E-4</v>
      </c>
      <c r="E89" s="18">
        <f si="50" t="shared"/>
        <v>0</v>
      </c>
      <c r="F89" s="18">
        <f si="50" t="shared"/>
        <v>3.2424624618198508E-3</v>
      </c>
      <c r="G89" s="18"/>
      <c r="H89" s="12">
        <v>0.5</v>
      </c>
      <c r="I89" s="18">
        <f ref="I89:M89" si="51" t="shared">I32/I$57</f>
        <v>7.7822521080125034E-3</v>
      </c>
      <c r="J89" s="18">
        <f si="51" t="shared"/>
        <v>1.1207466993008392E-3</v>
      </c>
      <c r="K89" s="18">
        <f si="51" t="shared"/>
        <v>1.7837108915983092E-4</v>
      </c>
      <c r="L89" s="18">
        <f si="51" t="shared"/>
        <v>6.6341840781661264E-10</v>
      </c>
      <c r="M89" s="18">
        <f si="51" t="shared"/>
        <v>2.0259073278443875E-3</v>
      </c>
    </row>
    <row r="90" spans="1:13" x14ac:dyDescent="0.25">
      <c r="A90" s="12">
        <v>0.52083333333333337</v>
      </c>
      <c r="B90" s="18">
        <f ref="B90:F90" si="52" t="shared">B33/B$57</f>
        <v>7.0043153301054505E-3</v>
      </c>
      <c r="C90" s="18">
        <f si="52" t="shared"/>
        <v>2.0299184399994582E-3</v>
      </c>
      <c r="D90" s="18">
        <f si="52" t="shared"/>
        <v>1.4460755772469731E-4</v>
      </c>
      <c r="E90" s="18">
        <f si="52" t="shared"/>
        <v>0</v>
      </c>
      <c r="F90" s="18">
        <f si="52" t="shared"/>
        <v>1.9846872792779122E-3</v>
      </c>
      <c r="G90" s="18"/>
      <c r="H90" s="12">
        <v>0.52083333333333337</v>
      </c>
      <c r="I90" s="18">
        <f ref="I90:M90" si="53" t="shared">I33/I$57</f>
        <v>4.5091391072262883E-3</v>
      </c>
      <c r="J90" s="18">
        <f si="53" t="shared"/>
        <v>7.704033591597484E-4</v>
      </c>
      <c r="K90" s="18">
        <f si="53" t="shared"/>
        <v>1.3466245506882617E-4</v>
      </c>
      <c r="L90" s="18">
        <f si="53" t="shared"/>
        <v>3.1292375539815247E-11</v>
      </c>
      <c r="M90" s="18">
        <f si="53" t="shared"/>
        <v>1.2061641038377203E-3</v>
      </c>
    </row>
    <row r="91" spans="1:13" x14ac:dyDescent="0.25">
      <c r="A91" s="12">
        <v>0.54166666666666663</v>
      </c>
      <c r="B91" s="18">
        <f ref="B91:F91" si="54" t="shared">B34/B$57</f>
        <v>4.1722371831197811E-3</v>
      </c>
      <c r="C91" s="18">
        <f si="54" t="shared"/>
        <v>1.551565602919666E-3</v>
      </c>
      <c r="D91" s="18">
        <f si="54" t="shared"/>
        <v>1.0938512375983525E-4</v>
      </c>
      <c r="E91" s="18">
        <f si="54" t="shared"/>
        <v>0</v>
      </c>
      <c r="F91" s="18">
        <f si="54" t="shared"/>
        <v>1.2333213693634518E-3</v>
      </c>
      <c r="G91" s="18"/>
      <c r="H91" s="12">
        <v>0.54166666666666663</v>
      </c>
      <c r="I91" s="18">
        <f ref="I91:M91" si="55" t="shared">I34/I$57</f>
        <v>2.6500628852278428E-3</v>
      </c>
      <c r="J91" s="18">
        <f si="55" t="shared"/>
        <v>6.4059947154664022E-4</v>
      </c>
      <c r="K91" s="18">
        <f si="55" t="shared"/>
        <v>9.567449372732166E-5</v>
      </c>
      <c r="L91" s="18">
        <f si="55" t="shared"/>
        <v>0</v>
      </c>
      <c r="M91" s="18">
        <f si="55" t="shared"/>
        <v>7.3911157546287438E-4</v>
      </c>
    </row>
    <row r="92" spans="1:13" x14ac:dyDescent="0.25">
      <c r="A92" s="12">
        <v>0.5625</v>
      </c>
      <c r="B92" s="18">
        <f ref="B92:F92" si="56" t="shared">B35/B$57</f>
        <v>2.5259991391690054E-3</v>
      </c>
      <c r="C92" s="18">
        <f si="56" t="shared"/>
        <v>1.4188313569582867E-3</v>
      </c>
      <c r="D92" s="18">
        <f si="56" t="shared"/>
        <v>7.5841917300291153E-5</v>
      </c>
      <c r="E92" s="18">
        <f si="56" t="shared"/>
        <v>0</v>
      </c>
      <c r="F92" s="18">
        <f si="56" t="shared"/>
        <v>8.041707943054066E-4</v>
      </c>
      <c r="G92" s="18"/>
      <c r="H92" s="12">
        <v>0.5625</v>
      </c>
      <c r="I92" s="18">
        <f ref="I92:M92" si="57" t="shared">I35/I$57</f>
        <v>1.6006227707234513E-3</v>
      </c>
      <c r="J92" s="18">
        <f si="57" t="shared"/>
        <v>6.0873837280787902E-4</v>
      </c>
      <c r="K92" s="18">
        <f si="57" t="shared"/>
        <v>6.2620851117391443E-5</v>
      </c>
      <c r="L92" s="18">
        <f si="57" t="shared"/>
        <v>0</v>
      </c>
      <c r="M92" s="18">
        <f si="57" t="shared"/>
        <v>4.729973540859812E-4</v>
      </c>
    </row>
    <row r="93" spans="1:13" x14ac:dyDescent="0.25">
      <c r="A93" s="12">
        <v>0.58333333333333337</v>
      </c>
      <c r="B93" s="18">
        <f ref="B93:F93" si="58" t="shared">B36/B$57</f>
        <v>1.5842499761269447E-3</v>
      </c>
      <c r="C93" s="18">
        <f si="58" t="shared"/>
        <v>1.4635308449459886E-3</v>
      </c>
      <c r="D93" s="18">
        <f si="58" t="shared"/>
        <v>4.6454231027039546E-5</v>
      </c>
      <c r="E93" s="18">
        <f si="58" t="shared"/>
        <v>0</v>
      </c>
      <c r="F93" s="18">
        <f si="58" t="shared"/>
        <v>5.6538241513784014E-4</v>
      </c>
      <c r="G93" s="18"/>
      <c r="H93" s="12">
        <v>0.58333333333333337</v>
      </c>
      <c r="I93" s="18">
        <f ref="I93:M93" si="59" t="shared">I36/I$57</f>
        <v>9.8767115432003339E-4</v>
      </c>
      <c r="J93" s="18">
        <f si="59" t="shared"/>
        <v>6.0469670803039142E-4</v>
      </c>
      <c r="K93" s="18">
        <f si="59" t="shared"/>
        <v>3.7008330891548308E-5</v>
      </c>
      <c r="L93" s="18">
        <f si="59" t="shared"/>
        <v>0</v>
      </c>
      <c r="M93" s="18">
        <f si="59" t="shared"/>
        <v>3.1519428797989555E-4</v>
      </c>
    </row>
    <row r="94" spans="1:13" x14ac:dyDescent="0.25">
      <c r="A94" s="12">
        <v>0.60416666666666663</v>
      </c>
      <c r="B94" s="18">
        <f ref="B94:F94" si="60" t="shared">B37/B$57</f>
        <v>1.0306074685963362E-3</v>
      </c>
      <c r="C94" s="18">
        <f si="60" t="shared"/>
        <v>1.5584059570583131E-3</v>
      </c>
      <c r="D94" s="18">
        <f si="60" t="shared"/>
        <v>2.4467059941839454E-5</v>
      </c>
      <c r="E94" s="18">
        <f si="60" t="shared"/>
        <v>0</v>
      </c>
      <c r="F94" s="18">
        <f si="60" t="shared"/>
        <v>4.294873934174497E-4</v>
      </c>
      <c r="G94" s="18"/>
      <c r="H94" s="12">
        <v>0.60416666666666663</v>
      </c>
      <c r="I94" s="18">
        <f ref="I94:M94" si="61" t="shared">I37/I$57</f>
        <v>6.1768197590099827E-4</v>
      </c>
      <c r="J94" s="18">
        <f si="61" t="shared"/>
        <v>5.8895040070142764E-4</v>
      </c>
      <c r="K94" s="18">
        <f si="61" t="shared"/>
        <v>1.9386858816206515E-5</v>
      </c>
      <c r="L94" s="18">
        <f si="61" t="shared"/>
        <v>0</v>
      </c>
      <c r="M94" s="18">
        <f si="61" t="shared"/>
        <v>2.1718370487478362E-4</v>
      </c>
    </row>
    <row r="95" spans="1:13" x14ac:dyDescent="0.25">
      <c r="A95" s="12">
        <v>0.625</v>
      </c>
      <c r="B95" s="18">
        <f ref="B95:F95" si="62" t="shared">B38/B$57</f>
        <v>6.8127383662350391E-4</v>
      </c>
      <c r="C95" s="18">
        <f si="62" t="shared"/>
        <v>1.5961671029069756E-3</v>
      </c>
      <c r="D95" s="18">
        <f si="62" t="shared"/>
        <v>1.0834252559901854E-5</v>
      </c>
      <c r="E95" s="18">
        <f si="62" t="shared"/>
        <v>0</v>
      </c>
      <c r="F95" s="18">
        <f si="62" t="shared"/>
        <v>3.4151149827070081E-4</v>
      </c>
      <c r="G95" s="18"/>
      <c r="H95" s="12">
        <v>0.625</v>
      </c>
      <c r="I95" s="18">
        <f ref="I95:M95" si="63" t="shared">I38/I$57</f>
        <v>3.9719981401258633E-4</v>
      </c>
      <c r="J95" s="18">
        <f si="63" t="shared"/>
        <v>5.4269971868277378E-4</v>
      </c>
      <c r="K95" s="18">
        <f si="63" t="shared"/>
        <v>8.8399017721108155E-6</v>
      </c>
      <c r="L95" s="18">
        <f si="63" t="shared"/>
        <v>0</v>
      </c>
      <c r="M95" s="18">
        <f si="63" t="shared"/>
        <v>1.5483114496386537E-4</v>
      </c>
    </row>
    <row r="96" spans="1:13" x14ac:dyDescent="0.25">
      <c r="A96" s="12">
        <v>0.64583333333333337</v>
      </c>
      <c r="B96" s="18">
        <f ref="B96:F96" si="64" t="shared">B39/B$57</f>
        <v>4.4437556849086593E-4</v>
      </c>
      <c r="C96" s="18">
        <f si="64" t="shared"/>
        <v>1.5006484121560413E-3</v>
      </c>
      <c r="D96" s="18">
        <f si="64" t="shared"/>
        <v>3.9404621711903714E-6</v>
      </c>
      <c r="E96" s="18">
        <f si="64" t="shared"/>
        <v>0</v>
      </c>
      <c r="F96" s="18">
        <f si="64" t="shared"/>
        <v>2.702661984616717E-4</v>
      </c>
      <c r="G96" s="18"/>
      <c r="H96" s="12">
        <v>0.64583333333333337</v>
      </c>
      <c r="I96" s="18">
        <f ref="I96:M96" si="65" t="shared">I39/I$57</f>
        <v>2.7265647639414036E-4</v>
      </c>
      <c r="J96" s="18">
        <f si="65" t="shared"/>
        <v>4.6354720122648147E-4</v>
      </c>
      <c r="K96" s="18">
        <f si="65" t="shared"/>
        <v>3.4399481391233912E-6</v>
      </c>
      <c r="L96" s="18">
        <f si="65" t="shared"/>
        <v>0</v>
      </c>
      <c r="M96" s="18">
        <f si="65" t="shared"/>
        <v>1.1432159636378995E-4</v>
      </c>
    </row>
    <row r="97" spans="1:13" x14ac:dyDescent="0.25">
      <c r="A97" s="12">
        <v>0.66666666666666663</v>
      </c>
      <c r="B97" s="18">
        <f ref="B97:F97" si="66" t="shared">B40/B$57</f>
        <v>2.8033499457586142E-4</v>
      </c>
      <c r="C97" s="18">
        <f si="66" t="shared"/>
        <v>1.256959813842002E-3</v>
      </c>
      <c r="D97" s="18">
        <f si="66" t="shared"/>
        <v>1.1435275539162089E-6</v>
      </c>
      <c r="E97" s="18">
        <f si="66" t="shared"/>
        <v>0</v>
      </c>
      <c r="F97" s="18">
        <f si="66" t="shared"/>
        <v>2.0304831315293885E-4</v>
      </c>
      <c r="G97" s="18"/>
      <c r="H97" s="12">
        <v>0.66666666666666663</v>
      </c>
      <c r="I97" s="18">
        <f ref="I97:M97" si="67" t="shared">I40/I$57</f>
        <v>2.0380103437498637E-4</v>
      </c>
      <c r="J97" s="18">
        <f si="67" t="shared"/>
        <v>3.621604445724073E-4</v>
      </c>
      <c r="K97" s="18">
        <f si="67" t="shared"/>
        <v>1.1158690955843606E-6</v>
      </c>
      <c r="L97" s="18">
        <f si="67" t="shared"/>
        <v>0</v>
      </c>
      <c r="M97" s="18">
        <f si="67" t="shared"/>
        <v>8.6212453399578211E-5</v>
      </c>
    </row>
    <row r="98" spans="1:13" x14ac:dyDescent="0.25">
      <c r="A98" s="12">
        <v>0.6875</v>
      </c>
      <c r="B98" s="18">
        <f ref="B98:F98" si="68" t="shared">B41/B$57</f>
        <v>1.7219222977428857E-4</v>
      </c>
      <c r="C98" s="18">
        <f si="68" t="shared"/>
        <v>9.2000182669007646E-4</v>
      </c>
      <c r="D98" s="18">
        <f si="68" t="shared"/>
        <v>2.5421084294914524E-7</v>
      </c>
      <c r="E98" s="18">
        <f si="68" t="shared"/>
        <v>0</v>
      </c>
      <c r="F98" s="18">
        <f si="68" t="shared"/>
        <v>1.4035685423332986E-4</v>
      </c>
      <c r="G98" s="18"/>
      <c r="H98" s="12">
        <v>0.6875</v>
      </c>
      <c r="I98" s="18">
        <f ref="I98:M98" si="69" t="shared">I41/I$57</f>
        <v>1.6036690183477421E-4</v>
      </c>
      <c r="J98" s="18">
        <f si="69" t="shared"/>
        <v>2.5655576603305827E-4</v>
      </c>
      <c r="K98" s="18">
        <f si="69" t="shared"/>
        <v>2.9271577185775824E-7</v>
      </c>
      <c r="L98" s="18">
        <f si="69" t="shared"/>
        <v>0</v>
      </c>
      <c r="M98" s="18">
        <f si="69" t="shared"/>
        <v>6.4454618511973114E-5</v>
      </c>
    </row>
    <row r="99" spans="1:13" x14ac:dyDescent="0.25">
      <c r="A99" s="12">
        <v>0.70833333333333337</v>
      </c>
      <c r="B99" s="18">
        <f ref="B99:F99" si="70" t="shared">B42/B$57</f>
        <v>1.0851562015110278E-4</v>
      </c>
      <c r="C99" s="18">
        <f si="70" t="shared"/>
        <v>5.8064653737110615E-4</v>
      </c>
      <c r="D99" s="18">
        <f si="70" t="shared"/>
        <v>4.0602617161390015E-8</v>
      </c>
      <c r="E99" s="18">
        <f si="70" t="shared"/>
        <v>0</v>
      </c>
      <c r="F99" s="18">
        <f si="70" t="shared"/>
        <v>8.8472109465548147E-5</v>
      </c>
      <c r="G99" s="18"/>
      <c r="H99" s="12">
        <v>0.70833333333333337</v>
      </c>
      <c r="I99" s="18">
        <f ref="I99:M99" si="71" t="shared">I42/I$57</f>
        <v>1.2467560353469112E-4</v>
      </c>
      <c r="J99" s="18">
        <f si="71" t="shared"/>
        <v>1.6407322946318786E-4</v>
      </c>
      <c r="K99" s="18">
        <f si="71" t="shared"/>
        <v>5.9509460468165613E-8</v>
      </c>
      <c r="L99" s="18">
        <f si="71" t="shared"/>
        <v>0</v>
      </c>
      <c r="M99" s="18">
        <f si="71" t="shared"/>
        <v>4.6244856709894581E-5</v>
      </c>
    </row>
    <row r="100" spans="1:13" x14ac:dyDescent="0.25">
      <c r="A100" s="12">
        <v>0.72916666666666663</v>
      </c>
      <c r="B100" s="18">
        <f ref="B100:F100" si="72" t="shared">B43/B$57</f>
        <v>7.6669071745120106E-5</v>
      </c>
      <c r="C100" s="18">
        <f si="72" t="shared"/>
        <v>3.1285609561484441E-4</v>
      </c>
      <c r="D100" s="18">
        <f si="72" t="shared"/>
        <v>4.1443052924073748E-9</v>
      </c>
      <c r="E100" s="18">
        <f si="72" t="shared"/>
        <v>0</v>
      </c>
      <c r="F100" s="18">
        <f si="72" t="shared"/>
        <v>5.2017366488606539E-5</v>
      </c>
      <c r="G100" s="18"/>
      <c r="H100" s="12">
        <v>0.72916666666666663</v>
      </c>
      <c r="I100" s="18">
        <f ref="I100:M100" si="73" t="shared">I43/I$57</f>
        <v>9.0744930098945992E-5</v>
      </c>
      <c r="J100" s="18">
        <f si="73" t="shared"/>
        <v>9.4730156693767902E-5</v>
      </c>
      <c r="K100" s="18">
        <f si="73" t="shared"/>
        <v>8.7789674076365793E-9</v>
      </c>
      <c r="L100" s="18">
        <f si="73" t="shared"/>
        <v>0</v>
      </c>
      <c r="M100" s="18">
        <f si="73" t="shared"/>
        <v>3.1013899395070677E-5</v>
      </c>
    </row>
    <row r="101" spans="1:13" x14ac:dyDescent="0.25">
      <c r="A101" s="12">
        <v>0.75</v>
      </c>
      <c r="B101" s="18">
        <f ref="B101:F101" si="74" t="shared">B44/B$57</f>
        <v>6.2704733389338355E-5</v>
      </c>
      <c r="C101" s="18">
        <f si="74" t="shared"/>
        <v>1.4265762040291811E-4</v>
      </c>
      <c r="D101" s="18">
        <f si="74" t="shared"/>
        <v>2.0289779943304776E-10</v>
      </c>
      <c r="E101" s="18">
        <f si="74" t="shared"/>
        <v>0</v>
      </c>
      <c r="F101" s="18">
        <f si="74" t="shared"/>
        <v>3.0362937240469413E-5</v>
      </c>
      <c r="G101" s="18"/>
      <c r="H101" s="12">
        <v>0.75</v>
      </c>
      <c r="I101" s="18">
        <f ref="I101:M101" si="75" t="shared">I44/I$57</f>
        <v>5.9729115819746585E-5</v>
      </c>
      <c r="J101" s="18">
        <f si="75" t="shared"/>
        <v>4.953182840901803E-5</v>
      </c>
      <c r="K101" s="18">
        <f si="75" t="shared"/>
        <v>8.3456246088617561E-10</v>
      </c>
      <c r="L101" s="18">
        <f si="75" t="shared"/>
        <v>0</v>
      </c>
      <c r="M101" s="18">
        <f si="75" t="shared"/>
        <v>1.9048105641311374E-5</v>
      </c>
    </row>
    <row r="102" spans="1:13" x14ac:dyDescent="0.25">
      <c r="A102" s="12">
        <v>0.77083333333333337</v>
      </c>
      <c r="B102" s="18">
        <f ref="B102:F102" si="76" t="shared">B45/B$57</f>
        <v>5.4411707900407013E-5</v>
      </c>
      <c r="C102" s="18">
        <f si="76" t="shared"/>
        <v>5.4540023569647769E-5</v>
      </c>
      <c r="D102" s="18">
        <f si="76" t="shared"/>
        <v>0</v>
      </c>
      <c r="E102" s="18">
        <f si="76" t="shared"/>
        <v>0</v>
      </c>
      <c r="F102" s="18">
        <f si="76" t="shared"/>
        <v>1.8898187105223301E-5</v>
      </c>
      <c r="G102" s="18"/>
      <c r="H102" s="12">
        <v>0.77083333333333337</v>
      </c>
      <c r="I102" s="18">
        <f ref="I102:M102" si="77" t="shared">I45/I$57</f>
        <v>3.4792183482746508E-5</v>
      </c>
      <c r="J102" s="18">
        <f si="77" t="shared"/>
        <v>2.3506687447221901E-5</v>
      </c>
      <c r="K102" s="18">
        <f si="77" t="shared"/>
        <v>3.8319859501787004E-11</v>
      </c>
      <c r="L102" s="18">
        <f si="77" t="shared"/>
        <v>0</v>
      </c>
      <c r="M102" s="18">
        <f si="77" t="shared"/>
        <v>1.0527151423082397E-5</v>
      </c>
    </row>
    <row r="103" spans="1:13" x14ac:dyDescent="0.25">
      <c r="A103" s="12">
        <v>0.79166666666666663</v>
      </c>
      <c r="B103" s="18">
        <f ref="B103:F103" si="78" t="shared">B46/B$57</f>
        <v>4.4574076339941019E-5</v>
      </c>
      <c r="C103" s="18">
        <f si="78" t="shared"/>
        <v>1.7267725373626002E-5</v>
      </c>
      <c r="D103" s="18">
        <f si="78" t="shared"/>
        <v>0</v>
      </c>
      <c r="E103" s="18">
        <f si="78" t="shared"/>
        <v>0</v>
      </c>
      <c r="F103" s="18">
        <f si="78" t="shared"/>
        <v>1.2532855146970598E-5</v>
      </c>
      <c r="G103" s="18"/>
      <c r="H103" s="12">
        <v>0.79166666666666663</v>
      </c>
      <c r="I103" s="18">
        <f ref="I103:M103" si="79" t="shared">I46/I$57</f>
        <v>1.77006891967168E-5</v>
      </c>
      <c r="J103" s="18">
        <f si="79" t="shared"/>
        <v>1.0077006220013447E-5</v>
      </c>
      <c r="K103" s="18">
        <f si="79" t="shared"/>
        <v>0</v>
      </c>
      <c r="L103" s="18">
        <f si="79" t="shared"/>
        <v>0</v>
      </c>
      <c r="M103" s="18">
        <f si="79" t="shared"/>
        <v>5.1557090985465643E-6</v>
      </c>
    </row>
    <row r="104" spans="1:13" x14ac:dyDescent="0.25">
      <c r="A104" s="12">
        <v>0.8125</v>
      </c>
      <c r="B104" s="18">
        <f ref="B104:F104" si="80" t="shared">B47/B$57</f>
        <v>3.1984001389007423E-5</v>
      </c>
      <c r="C104" s="18">
        <f si="80" t="shared"/>
        <v>4.4406240257345788E-6</v>
      </c>
      <c r="D104" s="18">
        <f si="80" t="shared"/>
        <v>0</v>
      </c>
      <c r="E104" s="18">
        <f si="80" t="shared"/>
        <v>0</v>
      </c>
      <c r="F104" s="18">
        <f si="80" t="shared"/>
        <v>8.1377882067097332E-6</v>
      </c>
      <c r="G104" s="18"/>
      <c r="H104" s="12">
        <v>0.8125</v>
      </c>
      <c r="I104" s="18">
        <f ref="I104:M104" si="81" t="shared">I47/I$57</f>
        <v>7.8441458212518747E-6</v>
      </c>
      <c r="J104" s="18">
        <f si="81" t="shared"/>
        <v>3.8365287827511099E-6</v>
      </c>
      <c r="K104" s="18">
        <f si="81" t="shared"/>
        <v>0</v>
      </c>
      <c r="L104" s="18">
        <f si="81" t="shared"/>
        <v>0</v>
      </c>
      <c r="M104" s="18">
        <f si="81" t="shared"/>
        <v>2.2179171159045498E-6</v>
      </c>
    </row>
    <row r="105" spans="1:13" x14ac:dyDescent="0.25">
      <c r="A105" s="12">
        <v>0.83333333333333337</v>
      </c>
      <c r="B105" s="18">
        <f ref="B105:F105" si="82" t="shared">B48/B$57</f>
        <v>1.9323363181235941E-5</v>
      </c>
      <c r="C105" s="18">
        <f si="82" t="shared"/>
        <v>8.9729945981754245E-7</v>
      </c>
      <c r="D105" s="18">
        <f si="82" t="shared"/>
        <v>0</v>
      </c>
      <c r="E105" s="18">
        <f si="82" t="shared"/>
        <v>0</v>
      </c>
      <c r="F105" s="18">
        <f si="82" t="shared"/>
        <v>4.7244400758384032E-6</v>
      </c>
      <c r="G105" s="18"/>
      <c r="H105" s="12">
        <v>0.83333333333333337</v>
      </c>
      <c r="I105" s="18">
        <f ref="I105:M105" si="83" t="shared">I48/I$57</f>
        <v>3.0864756363849868E-6</v>
      </c>
      <c r="J105" s="18">
        <f si="83" t="shared"/>
        <v>1.2586110937057712E-6</v>
      </c>
      <c r="K105" s="18">
        <f si="83" t="shared"/>
        <v>0</v>
      </c>
      <c r="L105" s="18">
        <f si="83" t="shared"/>
        <v>0</v>
      </c>
      <c r="M105" s="18">
        <f si="83" t="shared"/>
        <v>8.4602435383120239E-7</v>
      </c>
    </row>
    <row r="106" spans="1:13" x14ac:dyDescent="0.25">
      <c r="A106" s="12">
        <v>0.85416666666666663</v>
      </c>
      <c r="B106" s="18">
        <f ref="B106:F106" si="84" t="shared">B49/B$57</f>
        <v>9.5912220909654846E-6</v>
      </c>
      <c r="C106" s="18">
        <f si="84" t="shared"/>
        <v>1.3420375112573084E-7</v>
      </c>
      <c r="D106" s="18">
        <f si="84" t="shared"/>
        <v>0</v>
      </c>
      <c r="E106" s="18">
        <f si="84" t="shared"/>
        <v>0</v>
      </c>
      <c r="F106" s="18">
        <f si="84" t="shared"/>
        <v>2.3115213840540787E-6</v>
      </c>
      <c r="G106" s="18"/>
      <c r="H106" s="12">
        <v>0.85416666666666663</v>
      </c>
      <c r="I106" s="18">
        <f ref="I106:M106" si="85" t="shared">I49/I$57</f>
        <v>1.1456970380199829E-6</v>
      </c>
      <c r="J106" s="18">
        <f si="85" t="shared"/>
        <v>3.412747857242023E-7</v>
      </c>
      <c r="K106" s="18">
        <f si="85" t="shared"/>
        <v>0</v>
      </c>
      <c r="L106" s="18">
        <f si="85" t="shared"/>
        <v>0</v>
      </c>
      <c r="M106" s="18">
        <f si="85" t="shared"/>
        <v>3.0066172025712949E-7</v>
      </c>
    </row>
    <row r="107" spans="1:13" x14ac:dyDescent="0.25">
      <c r="A107" s="12">
        <v>0.875</v>
      </c>
      <c r="B107" s="18">
        <f ref="B107:F107" si="86" t="shared">B50/B$57</f>
        <v>3.8263940767558757E-6</v>
      </c>
      <c r="C107" s="18">
        <f si="86" t="shared"/>
        <v>1.3218565567953825E-8</v>
      </c>
      <c r="D107" s="18">
        <f si="86" t="shared"/>
        <v>0</v>
      </c>
      <c r="E107" s="18">
        <f si="86" t="shared"/>
        <v>0</v>
      </c>
      <c r="F107" s="18">
        <f si="86" t="shared"/>
        <v>9.1783843582704848E-7</v>
      </c>
      <c r="G107" s="18"/>
      <c r="H107" s="12">
        <v>0.875</v>
      </c>
      <c r="I107" s="18">
        <f ref="I107:M107" si="87" t="shared">I50/I$57</f>
        <v>4.4125031247291435E-7</v>
      </c>
      <c r="J107" s="18">
        <f si="87" t="shared"/>
        <v>7.2502557039607848E-8</v>
      </c>
      <c r="K107" s="18">
        <f si="87" t="shared"/>
        <v>0</v>
      </c>
      <c r="L107" s="18">
        <f si="87" t="shared"/>
        <v>0</v>
      </c>
      <c r="M107" s="18">
        <f si="87" t="shared"/>
        <v>1.0953283683033076E-7</v>
      </c>
    </row>
    <row r="108" spans="1:13" x14ac:dyDescent="0.25">
      <c r="A108" s="12">
        <v>0.89583333333333337</v>
      </c>
      <c r="B108" s="18">
        <f ref="B108:F108" si="88" t="shared">B51/B$57</f>
        <v>1.1948182514767428E-6</v>
      </c>
      <c r="C108" s="18">
        <f si="88" t="shared"/>
        <v>6.4140572275605384E-10</v>
      </c>
      <c r="D108" s="18">
        <f si="88" t="shared"/>
        <v>0</v>
      </c>
      <c r="E108" s="18">
        <f si="88" t="shared"/>
        <v>0</v>
      </c>
      <c r="F108" s="18">
        <f si="88" t="shared"/>
        <v>2.8622646158261855E-7</v>
      </c>
      <c r="G108" s="18"/>
      <c r="H108" s="12">
        <v>0.89583333333333337</v>
      </c>
      <c r="I108" s="18">
        <f ref="I108:M108" si="89" t="shared">I51/I$57</f>
        <v>1.8311539179801025E-7</v>
      </c>
      <c r="J108" s="18">
        <f si="89" t="shared"/>
        <v>1.1207885018733783E-8</v>
      </c>
      <c r="K108" s="18">
        <f si="89" t="shared"/>
        <v>0</v>
      </c>
      <c r="L108" s="18">
        <f si="89" t="shared"/>
        <v>0</v>
      </c>
      <c r="M108" s="18">
        <f si="89" t="shared"/>
        <v>4.3448843147494165E-8</v>
      </c>
    </row>
    <row r="109" spans="1:13" x14ac:dyDescent="0.25">
      <c r="A109" s="12">
        <v>0.91666666666666663</v>
      </c>
      <c r="B109" s="18">
        <f ref="B109:F109" si="90" t="shared">B52/B$57</f>
        <v>2.810926148921006E-7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6.7321327650998401E-8</v>
      </c>
      <c r="G109" s="18"/>
      <c r="H109" s="12">
        <v>0.91666666666666663</v>
      </c>
      <c r="I109" s="18">
        <f ref="I109:M109" si="91" t="shared">I52/I$57</f>
        <v>7.5381685494885539E-8</v>
      </c>
      <c r="J109" s="18">
        <f si="91" t="shared"/>
        <v>1.1140473536652816E-9</v>
      </c>
      <c r="K109" s="18">
        <f si="91" t="shared"/>
        <v>0</v>
      </c>
      <c r="L109" s="18">
        <f si="91" t="shared"/>
        <v>0</v>
      </c>
      <c r="M109" s="18">
        <f si="91" t="shared"/>
        <v>1.7514315575284067E-8</v>
      </c>
    </row>
    <row r="110" spans="1:13" x14ac:dyDescent="0.25">
      <c r="A110" s="12">
        <v>0.9375</v>
      </c>
      <c r="B110" s="18">
        <f ref="B110:F110" si="92" t="shared">B53/B$57</f>
        <v>4.6848769148683433E-8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1.12202212751664E-8</v>
      </c>
      <c r="G110" s="18"/>
      <c r="H110" s="12">
        <v>0.9375</v>
      </c>
      <c r="I110" s="18">
        <f ref="I110:M110" si="93" t="shared">I53/I$57</f>
        <v>2.7413479033203208E-8</v>
      </c>
      <c r="J110" s="18">
        <f si="93" t="shared"/>
        <v>5.3236186783618603E-11</v>
      </c>
      <c r="K110" s="18">
        <f si="93" t="shared"/>
        <v>0</v>
      </c>
      <c r="L110" s="18">
        <f si="93" t="shared"/>
        <v>0</v>
      </c>
      <c r="M110" s="18">
        <f si="93" t="shared"/>
        <v>6.3318996684940945E-9</v>
      </c>
    </row>
    <row r="111" spans="1:13" x14ac:dyDescent="0.25">
      <c r="A111" s="12">
        <v>0.95833333333333337</v>
      </c>
      <c r="B111" s="18">
        <f ref="B111:F111" si="94" t="shared">B54/B$57</f>
        <v>4.9314493840719406E-9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1.1810759237017265E-9</v>
      </c>
      <c r="G111" s="18"/>
      <c r="H111" s="12">
        <v>0.95833333333333337</v>
      </c>
      <c r="I111" s="18">
        <f ref="I111:M111" si="95" t="shared">I54/I$57</f>
        <v>8.115516997677829E-9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1.8728278100015344E-9</v>
      </c>
    </row>
    <row r="112" spans="1:13" x14ac:dyDescent="0.25">
      <c r="A112" s="12">
        <v>0.97916666666666663</v>
      </c>
      <c r="B112" s="18">
        <f ref="B112:F112" si="96" t="shared">B55/B$57</f>
        <v>2.4657246920359702E-10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5.9053796185086315E-11</v>
      </c>
      <c r="G112" s="18"/>
      <c r="H112" s="12">
        <v>0.97916666666666663</v>
      </c>
      <c r="I112" s="18">
        <f ref="I112:M112" si="97" t="shared">I55/I$57</f>
        <v>1.8127204699823549E-9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4.1832372588381313E-10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698.0</v>
      </c>
      <c r="N8" s="9" t="n">
        <v>622.0</v>
      </c>
      <c r="O8" s="9" t="n">
        <v>0.0</v>
      </c>
      <c r="P8" s="9" t="n">
        <v>0.0</v>
      </c>
      <c r="Q8" s="9" t="n">
        <v>844.0</v>
      </c>
      <c r="R8" s="9" t="n">
        <v>49.0</v>
      </c>
      <c r="S8" s="9" t="n">
        <v>0.0</v>
      </c>
      <c r="T8" s="9" t="n">
        <v>0.0</v>
      </c>
      <c r="U8">
        <f>SUM(M8:T8)</f>
        <v>1679.0734390139362</v>
      </c>
      <c r="W8" s="5"/>
      <c r="X8" s="16"/>
      <c r="Y8" s="16"/>
      <c r="Z8" s="5"/>
    </row>
    <row r="9" spans="1:26" x14ac:dyDescent="0.25">
      <c r="A9" s="12">
        <v>0.125</v>
      </c>
      <c r="B9" s="6" t="n">
        <v>3339.7288279331547</v>
      </c>
      <c r="C9" s="6" t="n">
        <v>282.4480069551597</v>
      </c>
      <c r="D9" s="6" t="n">
        <v>0.7176892419374123</v>
      </c>
      <c r="E9" s="6" t="n">
        <v>13.513914594583031</v>
      </c>
      <c r="F9" s="6" t="n">
        <v>157.2742273228724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3793.6826660477072</v>
      </c>
      <c r="L9" s="12">
        <v>0.125</v>
      </c>
      <c r="M9" s="9" t="n">
        <v>4768.23219871521</v>
      </c>
      <c r="N9" s="9" t="n">
        <v>647.9339447021484</v>
      </c>
      <c r="O9" s="9" t="n">
        <v>0.0</v>
      </c>
      <c r="P9" s="9" t="n">
        <v>0.0</v>
      </c>
      <c r="Q9" s="9" t="n">
        <v>666.2198972702026</v>
      </c>
      <c r="R9" s="9" t="n">
        <v>32.72407245635986</v>
      </c>
      <c r="S9" s="9" t="n">
        <v>11.365525245666504</v>
      </c>
      <c r="T9" s="9" t="n">
        <v>0.0</v>
      </c>
      <c r="U9">
        <f ref="U9:U58" si="1" t="shared">SUM(M9:T9)</f>
        <v>5295.1547976795837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7980.424041908767</v>
      </c>
      <c r="C10" s="6" t="n">
        <v>603.5710135210455</v>
      </c>
      <c r="D10" s="6" t="n">
        <v>2.7883532237758986</v>
      </c>
      <c r="E10" s="6" t="n">
        <v>33.31341354831341</v>
      </c>
      <c r="F10" s="6" t="n">
        <v>354.48812658273505</v>
      </c>
      <c r="G10" s="6" t="n">
        <v>0.0</v>
      </c>
      <c r="H10" s="6" t="n">
        <v>0.0</v>
      </c>
      <c r="I10" s="6" t="n">
        <v>0.0</v>
      </c>
      <c r="J10" s="6">
        <f si="0" t="shared"/>
        <v>8974.5849487846372</v>
      </c>
      <c r="L10" s="12">
        <v>0.14583333333333334</v>
      </c>
      <c r="M10" s="9" t="n">
        <v>9350.44676399231</v>
      </c>
      <c r="N10" s="9" t="n">
        <v>752.720293045044</v>
      </c>
      <c r="O10" s="9" t="n">
        <v>0.0</v>
      </c>
      <c r="P10" s="9" t="n">
        <v>0.0</v>
      </c>
      <c r="Q10" s="9" t="n">
        <v>563.0041332244873</v>
      </c>
      <c r="R10" s="9" t="n">
        <v>19.485814094543457</v>
      </c>
      <c r="S10" s="9" t="n">
        <v>23.223116874694824</v>
      </c>
      <c r="T10" s="9" t="n">
        <v>0.0</v>
      </c>
      <c r="U10">
        <f si="1" t="shared"/>
        <v>9430.480882297772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15295.304658686502</v>
      </c>
      <c r="C11" s="6" t="n">
        <v>1033.1833223569945</v>
      </c>
      <c r="D11" s="6" t="n">
        <v>8.815841614795056</v>
      </c>
      <c r="E11" s="6" t="n">
        <v>68.23213722944462</v>
      </c>
      <c r="F11" s="6" t="n">
        <v>635.9190058043077</v>
      </c>
      <c r="G11" s="6" t="n">
        <v>0.0</v>
      </c>
      <c r="H11" s="6" t="n">
        <v>0.0</v>
      </c>
      <c r="I11" s="6" t="n">
        <v>0.0</v>
      </c>
      <c r="J11" s="6">
        <f si="0" t="shared"/>
        <v>17041.454965692043</v>
      </c>
      <c r="L11" s="12">
        <v>0.16666666666666666</v>
      </c>
      <c r="M11" s="9" t="n">
        <v>15392.658988952637</v>
      </c>
      <c r="N11" s="9" t="n">
        <v>1034.090934753418</v>
      </c>
      <c r="O11" s="9" t="n">
        <v>0.0</v>
      </c>
      <c r="P11" s="9" t="n">
        <v>0.0</v>
      </c>
      <c r="Q11" s="9" t="n">
        <v>606.4367113113403</v>
      </c>
      <c r="R11" s="9" t="n">
        <v>11.219700813293457</v>
      </c>
      <c r="S11" s="9" t="n">
        <v>37.632596015930176</v>
      </c>
      <c r="T11" s="9" t="n">
        <v>0.0</v>
      </c>
      <c r="U11">
        <f si="1" t="shared"/>
        <v>15016.988250027134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26611.55426712788</v>
      </c>
      <c r="C12" s="6" t="n">
        <v>1680.4197238724944</v>
      </c>
      <c r="D12" s="6" t="n">
        <v>24.216213156374</v>
      </c>
      <c r="E12" s="6" t="n">
        <v>131.552328049545</v>
      </c>
      <c r="F12" s="6" t="n">
        <v>1049.4284768584516</v>
      </c>
      <c r="G12" s="6" t="n">
        <v>0.0</v>
      </c>
      <c r="H12" s="6" t="n">
        <v>0.0</v>
      </c>
      <c r="I12" s="6" t="n">
        <v>0.0</v>
      </c>
      <c r="J12" s="6">
        <f si="0" t="shared"/>
        <v>29497.171009064747</v>
      </c>
      <c r="L12" s="12">
        <v>0.1875</v>
      </c>
      <c r="M12" s="9" t="n">
        <v>24444.44289779663</v>
      </c>
      <c r="N12" s="9" t="n">
        <v>1622.2736463546753</v>
      </c>
      <c r="O12" s="9" t="n">
        <v>0.0</v>
      </c>
      <c r="P12" s="9" t="n">
        <v>0.0</v>
      </c>
      <c r="Q12" s="9" t="n">
        <v>871.5559597015381</v>
      </c>
      <c r="R12" s="9" t="n">
        <v>8.498258590698242</v>
      </c>
      <c r="S12" s="9" t="n">
        <v>58.58379077911377</v>
      </c>
      <c r="T12" s="9" t="n">
        <v>0.0</v>
      </c>
      <c r="U12">
        <f si="1" t="shared"/>
        <v>23560.598482796973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42853.383994249634</v>
      </c>
      <c r="C13" s="6" t="n">
        <v>2667.7790396320765</v>
      </c>
      <c r="D13" s="6" t="n">
        <v>59.042457774076034</v>
      </c>
      <c r="E13" s="6" t="n">
        <v>240.39696536189936</v>
      </c>
      <c r="F13" s="6" t="n">
        <v>1631.010797373512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47451.61335859586</v>
      </c>
      <c r="L13" s="12">
        <v>0.20833333333333334</v>
      </c>
      <c r="M13" s="9" t="n">
        <v>38295.688700675964</v>
      </c>
      <c r="N13" s="9" t="n">
        <v>2670.8108625411987</v>
      </c>
      <c r="O13" s="9" t="n">
        <v>0.0</v>
      </c>
      <c r="P13" s="9" t="n">
        <v>0.0</v>
      </c>
      <c r="Q13" s="9" t="n">
        <v>1440.895754814148</v>
      </c>
      <c r="R13" s="9" t="n">
        <v>11.090614318847656</v>
      </c>
      <c r="S13" s="9" t="n">
        <v>90.64407444000244</v>
      </c>
      <c r="T13" s="9" t="n">
        <v>0.0</v>
      </c>
      <c r="U13">
        <f si="1" t="shared"/>
        <v>36806.244637580719</v>
      </c>
    </row>
    <row r="14" spans="1:26" x14ac:dyDescent="0.25">
      <c r="A14" s="12">
        <v>0.22916666666666666</v>
      </c>
      <c r="B14" s="6" t="n">
        <v>64014.80250835138</v>
      </c>
      <c r="C14" s="6" t="n">
        <v>4080.255015324763</v>
      </c>
      <c r="D14" s="6" t="n">
        <v>129.02917654440373</v>
      </c>
      <c r="E14" s="6" t="n">
        <v>411.0115292056514</v>
      </c>
      <c r="F14" s="6" t="n">
        <v>2372.465297051007</v>
      </c>
      <c r="G14" s="6" t="n">
        <v>0.0</v>
      </c>
      <c r="H14" s="6" t="n">
        <v>0.0</v>
      </c>
      <c r="I14" s="6" t="n">
        <v>0.00208409309387207</v>
      </c>
      <c r="J14" s="6">
        <f si="0" t="shared"/>
        <v>71007.565610570295</v>
      </c>
      <c r="L14" s="12">
        <v>0.22916666666666666</v>
      </c>
      <c r="M14" s="9" t="n">
        <v>58047.48252773285</v>
      </c>
      <c r="N14" s="9" t="n">
        <v>4307.223104476929</v>
      </c>
      <c r="O14" s="9" t="n">
        <v>0.0</v>
      </c>
      <c r="P14" s="9" t="n">
        <v>0.0</v>
      </c>
      <c r="Q14" s="9" t="n">
        <v>2388.986873626709</v>
      </c>
      <c r="R14" s="9" t="n">
        <v>18.58229923248291</v>
      </c>
      <c r="S14" s="9" t="n">
        <v>136.4074831008911</v>
      </c>
      <c r="T14" s="9" t="n">
        <v>0.0</v>
      </c>
      <c r="U14">
        <f si="1" t="shared"/>
        <v>55859.505006016021</v>
      </c>
    </row>
    <row r="15" spans="1:26" x14ac:dyDescent="0.25">
      <c r="A15" s="12">
        <v>0.25</v>
      </c>
      <c r="B15" s="6" t="n">
        <v>88576.58383324687</v>
      </c>
      <c r="C15" s="6" t="n">
        <v>5913.092922576861</v>
      </c>
      <c r="D15" s="6" t="n">
        <v>253.43507056537763</v>
      </c>
      <c r="E15" s="6" t="n">
        <v>650.7158273784644</v>
      </c>
      <c r="F15" s="6" t="n">
        <v>3193.2966091226435</v>
      </c>
      <c r="G15" s="6" t="n">
        <v>0.0</v>
      </c>
      <c r="H15" s="6" t="n">
        <v>0.0</v>
      </c>
      <c r="I15" s="6" t="n">
        <v>0.019798884391784666</v>
      </c>
      <c r="J15" s="6">
        <f si="0" t="shared"/>
        <v>98587.144061774598</v>
      </c>
      <c r="L15" s="12">
        <v>0.25</v>
      </c>
      <c r="M15" s="9" t="n">
        <v>83000.74285697937</v>
      </c>
      <c r="N15" s="9" t="n">
        <v>6551.496127128601</v>
      </c>
      <c r="O15" s="9" t="n">
        <v>0.0</v>
      </c>
      <c r="P15" s="9" t="n">
        <v>0.0</v>
      </c>
      <c r="Q15" s="9" t="n">
        <v>3739.7321405410767</v>
      </c>
      <c r="R15" s="9" t="n">
        <v>30.446528434753418</v>
      </c>
      <c r="S15" s="9" t="n">
        <v>194.03952503204346</v>
      </c>
      <c r="T15" s="9" t="n">
        <v>0.0</v>
      </c>
      <c r="U15">
        <f si="1" t="shared"/>
        <v>80123.020381496623</v>
      </c>
    </row>
    <row r="16" spans="1:26" x14ac:dyDescent="0.25">
      <c r="A16" s="12">
        <v>0.27083333333333331</v>
      </c>
      <c r="B16" s="6" t="n">
        <v>113137.76469102284</v>
      </c>
      <c r="C16" s="6" t="n">
        <v>8038.333298128331</v>
      </c>
      <c r="D16" s="6" t="n">
        <v>447.0561315199424</v>
      </c>
      <c r="E16" s="6" t="n">
        <v>949.7338747086065</v>
      </c>
      <c r="F16" s="6" t="n">
        <v>3949.7988398668886</v>
      </c>
      <c r="G16" s="6" t="n">
        <v>0.0</v>
      </c>
      <c r="H16" s="6" t="n">
        <v>0.0</v>
      </c>
      <c r="I16" s="6" t="n">
        <v>0.1188303209543228</v>
      </c>
      <c r="J16" s="6">
        <f si="0" t="shared"/>
        <v>126522.80566556755</v>
      </c>
      <c r="L16" s="12">
        <v>0.27083333333333331</v>
      </c>
      <c r="M16" s="9" t="n">
        <v>110062.81711387634</v>
      </c>
      <c r="N16" s="9" t="n">
        <v>9241.874375343323</v>
      </c>
      <c r="O16" s="9" t="n">
        <v>0.0</v>
      </c>
      <c r="P16" s="9" t="n">
        <v>0.0</v>
      </c>
      <c r="Q16" s="9" t="n">
        <v>5414.55938911438</v>
      </c>
      <c r="R16" s="9" t="n">
        <v>45.65281391143799</v>
      </c>
      <c r="S16" s="9" t="n">
        <v>256.2971363067627</v>
      </c>
      <c r="T16" s="9" t="n">
        <v>0.0</v>
      </c>
      <c r="U16">
        <f si="1" t="shared"/>
        <v>106709.01598768952</v>
      </c>
    </row>
    <row r="17" spans="1:21" x14ac:dyDescent="0.25">
      <c r="A17" s="12">
        <v>0.29166666666666669</v>
      </c>
      <c r="B17" s="6" t="n">
        <v>132792.14167169345</v>
      </c>
      <c r="C17" s="6" t="n">
        <v>10202.207502753596</v>
      </c>
      <c r="D17" s="6" t="n">
        <v>706.830821010281</v>
      </c>
      <c r="E17" s="6" t="n">
        <v>1277.4110876262764</v>
      </c>
      <c r="F17" s="6" t="n">
        <v>4487.90790029771</v>
      </c>
      <c r="G17" s="6" t="n">
        <v>0.0</v>
      </c>
      <c r="H17" s="6" t="n">
        <v>0.0</v>
      </c>
      <c r="I17" s="6" t="n">
        <v>0.505611844062805</v>
      </c>
      <c r="J17" s="6">
        <f si="0" t="shared"/>
        <v>149467.00459522539</v>
      </c>
      <c r="L17" s="12">
        <v>0.29166666666666669</v>
      </c>
      <c r="M17" s="9" t="n">
        <v>134233.19210147858</v>
      </c>
      <c r="N17" s="9" t="n">
        <v>12017.309384346008</v>
      </c>
      <c r="O17" s="9" t="n">
        <v>0.0</v>
      </c>
      <c r="P17" s="9" t="n">
        <v>0.0</v>
      </c>
      <c r="Q17" s="9" t="n">
        <v>7205.789684295654</v>
      </c>
      <c r="R17" s="9" t="n">
        <v>62.354209899902344</v>
      </c>
      <c r="S17" s="9" t="n">
        <v>311.79672622680664</v>
      </c>
      <c r="T17" s="9" t="n">
        <v>0.0</v>
      </c>
      <c r="U17">
        <f si="1" t="shared"/>
        <v>130862.20419052744</v>
      </c>
    </row>
    <row r="18" spans="1:21" x14ac:dyDescent="0.25">
      <c r="A18" s="12">
        <v>0.3125</v>
      </c>
      <c r="B18" s="6" t="n">
        <v>142648.21521898577</v>
      </c>
      <c r="C18" s="6" t="n">
        <v>12068.332711608833</v>
      </c>
      <c r="D18" s="6" t="n">
        <v>999.742311941937</v>
      </c>
      <c r="E18" s="6" t="n">
        <v>1587.0441264748436</v>
      </c>
      <c r="F18" s="6" t="n">
        <v>4704.881956861203</v>
      </c>
      <c r="G18" s="6" t="n">
        <v>0.0</v>
      </c>
      <c r="H18" s="6" t="n">
        <v>0.0</v>
      </c>
      <c r="I18" s="6" t="n">
        <v>1.622621741056442</v>
      </c>
      <c r="J18" s="6">
        <f si="0" t="shared"/>
        <v>162009.83894761364</v>
      </c>
      <c r="L18" s="12">
        <v>0.3125</v>
      </c>
      <c r="M18" s="9" t="n">
        <v>150158.3764925003</v>
      </c>
      <c r="N18" s="9" t="n">
        <v>14386.407021522522</v>
      </c>
      <c r="O18" s="9" t="n">
        <v>0.0</v>
      </c>
      <c r="P18" s="9" t="n">
        <v>0.0</v>
      </c>
      <c r="Q18" s="9" t="n">
        <v>8805.233645439148</v>
      </c>
      <c r="R18" s="9" t="n">
        <v>78.0747594833374</v>
      </c>
      <c r="S18" s="9" t="n">
        <v>348.35694217681885</v>
      </c>
      <c r="T18" s="9" t="n">
        <v>0.0</v>
      </c>
      <c r="U18">
        <f si="1" t="shared"/>
        <v>147396.18837402179</v>
      </c>
    </row>
    <row r="19" spans="1:21" x14ac:dyDescent="0.25">
      <c r="A19" s="12">
        <v>0.33333333333333331</v>
      </c>
      <c r="B19" s="6" t="n">
        <v>140018.73519035836</v>
      </c>
      <c r="C19" s="6" t="n">
        <v>13315.526604486364</v>
      </c>
      <c r="D19" s="6" t="n">
        <v>1263.7506808902629</v>
      </c>
      <c r="E19" s="6" t="n">
        <v>1829.7640194475603</v>
      </c>
      <c r="F19" s="6" t="n">
        <v>4580.795453294942</v>
      </c>
      <c r="G19" s="6" t="n">
        <v>0.0</v>
      </c>
      <c r="H19" s="6" t="n">
        <v>0.0</v>
      </c>
      <c r="I19" s="6" t="n">
        <v>4.0811690640449525</v>
      </c>
      <c r="J19" s="6">
        <f si="0" t="shared"/>
        <v>161012.65311754151</v>
      </c>
      <c r="L19" s="12">
        <v>0.33333333333333331</v>
      </c>
      <c r="M19" s="9" t="n">
        <v>154113.11246871948</v>
      </c>
      <c r="N19" s="9" t="n">
        <v>15874.849752426147</v>
      </c>
      <c r="O19" s="9" t="n">
        <v>0.0</v>
      </c>
      <c r="P19" s="9" t="n">
        <v>0.0</v>
      </c>
      <c r="Q19" s="9" t="n">
        <v>9893.4611825943</v>
      </c>
      <c r="R19" s="9" t="n">
        <v>90.3942174911499</v>
      </c>
      <c r="S19" s="9" t="n">
        <v>357.2904968261719</v>
      </c>
      <c r="T19" s="9" t="n">
        <v>0.0</v>
      </c>
      <c r="U19">
        <f si="1" t="shared"/>
        <v>152565.00707160105</v>
      </c>
    </row>
    <row r="20" spans="1:21" x14ac:dyDescent="0.25">
      <c r="A20" s="12">
        <v>0.35416666666666669</v>
      </c>
      <c r="B20" s="6" t="n">
        <v>125883.4853649082</v>
      </c>
      <c r="C20" s="6" t="n">
        <v>13757.130104172495</v>
      </c>
      <c r="D20" s="6" t="n">
        <v>1429.728773709967</v>
      </c>
      <c r="E20" s="6" t="n">
        <v>1971.3506558963754</v>
      </c>
      <c r="F20" s="6" t="n">
        <v>4176.356896536315</v>
      </c>
      <c r="G20" s="6" t="n">
        <v>0.0</v>
      </c>
      <c r="H20" s="6" t="n">
        <v>0.0</v>
      </c>
      <c r="I20" s="6" t="n">
        <v>8.257280586361883</v>
      </c>
      <c r="J20" s="6">
        <f si="0" t="shared"/>
        <v>147226.30907580972</v>
      </c>
      <c r="L20" s="12">
        <v>0.35416666666666669</v>
      </c>
      <c r="M20" s="9" t="n">
        <v>145469.56990718842</v>
      </c>
      <c r="N20" s="9" t="n">
        <v>16201.072038650513</v>
      </c>
      <c r="O20" s="9" t="n">
        <v>0.0</v>
      </c>
      <c r="P20" s="9" t="n">
        <v>0.0</v>
      </c>
      <c r="Q20" s="9" t="n">
        <v>10260.188837051392</v>
      </c>
      <c r="R20" s="9" t="n">
        <v>97.79741668701172</v>
      </c>
      <c r="S20" s="9" t="n">
        <v>336.8442096710205</v>
      </c>
      <c r="T20" s="9" t="n">
        <v>0.0</v>
      </c>
      <c r="U20">
        <f si="1" t="shared"/>
        <v>145514.32421755872</v>
      </c>
    </row>
    <row r="21" spans="1:21" x14ac:dyDescent="0.25">
      <c r="A21" s="12">
        <v>0.375</v>
      </c>
      <c r="B21" s="6" t="n">
        <v>104454.7872159727</v>
      </c>
      <c r="C21" s="6" t="n">
        <v>13405.844765822565</v>
      </c>
      <c r="D21" s="6" t="n">
        <v>1456.893907117903</v>
      </c>
      <c r="E21" s="6" t="n">
        <v>2003.1719632652844</v>
      </c>
      <c r="F21" s="6" t="n">
        <v>3613.8539643392896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124948.2527534423</v>
      </c>
      <c r="L21" s="12">
        <v>0.375</v>
      </c>
      <c r="M21" s="9" t="n">
        <v>126928.29216480255</v>
      </c>
      <c r="N21" s="9" t="n">
        <v>15399.88537311554</v>
      </c>
      <c r="O21" s="9" t="n">
        <v>0.0</v>
      </c>
      <c r="P21" s="9" t="n">
        <v>0.0</v>
      </c>
      <c r="Q21" s="9" t="n">
        <v>9898.402633666992</v>
      </c>
      <c r="R21" s="9" t="n">
        <v>100.26733207702637</v>
      </c>
      <c r="S21" s="9" t="n">
        <v>293.0435028076172</v>
      </c>
      <c r="T21" s="9" t="n">
        <v>0.0</v>
      </c>
      <c r="U21">
        <f si="1" t="shared"/>
        <v>128615.86419848395</v>
      </c>
    </row>
    <row r="22" spans="1:21" x14ac:dyDescent="0.25">
      <c r="A22" s="12">
        <v>0.39583333333333331</v>
      </c>
      <c r="B22" s="6" t="n">
        <v>81109.17072646854</v>
      </c>
      <c r="C22" s="6" t="n">
        <v>12435.35518225431</v>
      </c>
      <c r="D22" s="6" t="n">
        <v>1357.5846480998157</v>
      </c>
      <c r="E22" s="6" t="n">
        <v>1943.5754275654306</v>
      </c>
      <c r="F22" s="6" t="n">
        <v>3043.730754870894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99908.361682265022</v>
      </c>
      <c r="L22" s="12">
        <v>0.39583333333333331</v>
      </c>
      <c r="M22" s="9" t="n">
        <v>103391.57634449005</v>
      </c>
      <c r="N22" s="9" t="n">
        <v>13819.711941719055</v>
      </c>
      <c r="O22" s="9" t="n">
        <v>0.0</v>
      </c>
      <c r="P22" s="9" t="n">
        <v>0.0</v>
      </c>
      <c r="Q22" s="9" t="n">
        <v>9015.539270401001</v>
      </c>
      <c r="R22" s="9" t="n">
        <v>99.2951078414917</v>
      </c>
      <c r="S22" s="9" t="n">
        <v>237.31569480895996</v>
      </c>
      <c r="T22" s="9" t="n">
        <v>0.0</v>
      </c>
      <c r="U22">
        <f si="1" t="shared"/>
        <v>106499.84550668021</v>
      </c>
    </row>
    <row r="23" spans="1:21" x14ac:dyDescent="0.25">
      <c r="A23" s="12">
        <v>0.41666666666666669</v>
      </c>
      <c r="B23" s="6" t="n">
        <v>60169.4884590513</v>
      </c>
      <c r="C23" s="6" t="n">
        <v>11079.89468208615</v>
      </c>
      <c r="D23" s="6" t="n">
        <v>1189.1364339101121</v>
      </c>
      <c r="E23" s="6" t="n">
        <v>1832.1231493884056</v>
      </c>
      <c r="F23" s="6" t="n">
        <v>2595.324579096209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76888.165774483394</v>
      </c>
      <c r="L23" s="12">
        <v>0.41666666666666669</v>
      </c>
      <c r="M23" s="9" t="n">
        <v>80042.28844070435</v>
      </c>
      <c r="N23" s="9" t="n">
        <v>11976.458689689636</v>
      </c>
      <c r="O23" s="9" t="n">
        <v>0.0</v>
      </c>
      <c r="P23" s="9" t="n">
        <v>0.0</v>
      </c>
      <c r="Q23" s="9" t="n">
        <v>7944.194643974304</v>
      </c>
      <c r="R23" s="9" t="n">
        <v>97.21735000610352</v>
      </c>
      <c r="S23" s="9" t="n">
        <v>181.98929500579834</v>
      </c>
      <c r="T23" s="9" t="n">
        <v>0.0</v>
      </c>
      <c r="U23">
        <f si="1" t="shared"/>
        <v>84234.816443985022</v>
      </c>
    </row>
    <row r="24" spans="1:21" x14ac:dyDescent="0.25">
      <c r="A24" s="12">
        <v>0.4375</v>
      </c>
      <c r="B24" s="6" t="n">
        <v>43835.74288432257</v>
      </c>
      <c r="C24" s="6" t="n">
        <v>9561.050013457989</v>
      </c>
      <c r="D24" s="6" t="n">
        <v>1016.9070610930364</v>
      </c>
      <c r="E24" s="6" t="n">
        <v>1718.2817034920183</v>
      </c>
      <c r="F24" s="6" t="n">
        <v>2333.872078162716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58488.48221658657</v>
      </c>
      <c r="L24" s="12">
        <v>0.4375</v>
      </c>
      <c r="M24" s="9" t="n">
        <v>60573.99947452545</v>
      </c>
      <c r="N24" s="9" t="n">
        <v>10333.423603057861</v>
      </c>
      <c r="O24" s="9" t="n">
        <v>0.0</v>
      </c>
      <c r="P24" s="9" t="n">
        <v>0.0</v>
      </c>
      <c r="Q24" s="9" t="n">
        <v>6995.131637573242</v>
      </c>
      <c r="R24" s="9" t="n">
        <v>96.15581893920898</v>
      </c>
      <c r="S24" s="9" t="n">
        <v>135.95186710357666</v>
      </c>
      <c r="T24" s="9" t="n">
        <v>0.0</v>
      </c>
      <c r="U24">
        <f si="1" t="shared"/>
        <v>65541.735620942767</v>
      </c>
    </row>
    <row r="25" spans="1:21" x14ac:dyDescent="0.25">
      <c r="A25" s="12">
        <v>0.45833333333333331</v>
      </c>
      <c r="B25" s="6" t="n">
        <v>32401.66194463618</v>
      </c>
      <c r="C25" s="6" t="n">
        <v>8076.04419733955</v>
      </c>
      <c r="D25" s="6" t="n">
        <v>879.2356389438842</v>
      </c>
      <c r="E25" s="6" t="n">
        <v>1643.6587497902062</v>
      </c>
      <c r="F25" s="6" t="n">
        <v>2250.291963277091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45272.23303134353</v>
      </c>
      <c r="L25" s="12">
        <v>0.45833333333333331</v>
      </c>
      <c r="M25" s="9" t="n">
        <v>46371.91834640503</v>
      </c>
      <c r="N25" s="9" t="n">
        <v>9130.552987098694</v>
      </c>
      <c r="O25" s="9" t="n">
        <v>0.0</v>
      </c>
      <c r="P25" s="9" t="n">
        <v>0.0</v>
      </c>
      <c r="Q25" s="9" t="n">
        <v>6335.625188827515</v>
      </c>
      <c r="R25" s="9" t="n">
        <v>97.14919376373291</v>
      </c>
      <c r="S25" s="9" t="n">
        <v>102.54227256774902</v>
      </c>
      <c r="T25" s="9" t="n">
        <v>0.0</v>
      </c>
      <c r="U25">
        <f si="1" t="shared"/>
        <v>51884.896557984757</v>
      </c>
    </row>
    <row r="26" spans="1:21" x14ac:dyDescent="0.25">
      <c r="A26" s="12">
        <v>0.47916666666666669</v>
      </c>
      <c r="B26" s="6" t="n">
        <v>25056.185553781896</v>
      </c>
      <c r="C26" s="6" t="n">
        <v>6799.8598780764905</v>
      </c>
      <c r="D26" s="6" t="n">
        <v>781.0913903076282</v>
      </c>
      <c r="E26" s="6" t="n">
        <v>1622.2870746106894</v>
      </c>
      <c r="F26" s="6" t="n">
        <v>2278.3372588978273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36559.207183364953</v>
      </c>
      <c r="L26" s="12">
        <v>0.47916666666666669</v>
      </c>
      <c r="M26" s="9" t="n">
        <v>36849.82907485962</v>
      </c>
      <c r="N26" s="9" t="n">
        <v>8355.729176521301</v>
      </c>
      <c r="O26" s="9" t="n">
        <v>0.0</v>
      </c>
      <c r="P26" s="9" t="n">
        <v>0.0</v>
      </c>
      <c r="Q26" s="9" t="n">
        <v>5960.871731758118</v>
      </c>
      <c r="R26" s="9" t="n">
        <v>100.01574039459229</v>
      </c>
      <c r="S26" s="9" t="n">
        <v>80.30971717834473</v>
      </c>
      <c r="T26" s="9" t="n">
        <v>0.0</v>
      </c>
      <c r="U26">
        <f si="1" t="shared"/>
        <v>42735.276351286739</v>
      </c>
    </row>
    <row r="27" spans="1:21" x14ac:dyDescent="0.25">
      <c r="A27" s="12">
        <v>0.5</v>
      </c>
      <c r="B27" s="6" t="n">
        <v>20615.98545606914</v>
      </c>
      <c r="C27" s="6" t="n">
        <v>5853.6821564018555</v>
      </c>
      <c r="D27" s="6" t="n">
        <v>711.5354153416853</v>
      </c>
      <c r="E27" s="6" t="n">
        <v>1631.9533605295292</v>
      </c>
      <c r="F27" s="6" t="n">
        <v>2317.429606394862</v>
      </c>
      <c r="G27" s="6" t="n">
        <v>16.866154845356938</v>
      </c>
      <c r="H27" s="6" t="n">
        <v>0.00110231614112854</v>
      </c>
      <c r="I27" s="6" t="n">
        <v>10.255945239067078</v>
      </c>
      <c r="J27" s="6">
        <f si="0" t="shared"/>
        <v>31157.709197137632</v>
      </c>
      <c r="L27" s="12">
        <v>0.5</v>
      </c>
      <c r="M27" s="9" t="n">
        <v>30492.94884777069</v>
      </c>
      <c r="N27" s="9" t="n">
        <v>7850.946226119995</v>
      </c>
      <c r="O27" s="9" t="n">
        <v>0.0</v>
      </c>
      <c r="P27" s="9" t="n">
        <v>0.0</v>
      </c>
      <c r="Q27" s="9" t="n">
        <v>5761.141236305237</v>
      </c>
      <c r="R27" s="9" t="n">
        <v>103.9784984588623</v>
      </c>
      <c r="S27" s="9" t="n">
        <v>65.59090614318848</v>
      </c>
      <c r="T27" s="9" t="n">
        <v>0.0</v>
      </c>
      <c r="U27">
        <f si="1" t="shared"/>
        <v>36604.737280055197</v>
      </c>
    </row>
    <row r="28" spans="1:21" x14ac:dyDescent="0.25">
      <c r="A28" s="12">
        <v>0.52083333333333337</v>
      </c>
      <c r="B28" s="6" t="n">
        <v>17978.202042662975</v>
      </c>
      <c r="C28" s="6" t="n">
        <v>5261.858745187541</v>
      </c>
      <c r="D28" s="6" t="n">
        <v>659.1651271581607</v>
      </c>
      <c r="E28" s="6" t="n">
        <v>1626.4470259321554</v>
      </c>
      <c r="F28" s="6" t="n">
        <v>2262.0331628388485</v>
      </c>
      <c r="G28" s="6" t="n">
        <v>35.40589806890487</v>
      </c>
      <c r="H28" s="6" t="n">
        <v>0.0220463228225708</v>
      </c>
      <c r="I28" s="6" t="n">
        <v>6.2783185837268825</v>
      </c>
      <c r="J28" s="6">
        <f si="0" t="shared"/>
        <v>27829.412366755136</v>
      </c>
      <c r="L28" s="12">
        <v>0.52083333333333337</v>
      </c>
      <c r="M28" s="9" t="n">
        <v>25876.391487121582</v>
      </c>
      <c r="N28" s="9" t="n">
        <v>7457.733958244324</v>
      </c>
      <c r="O28" s="9" t="n">
        <v>0.0</v>
      </c>
      <c r="P28" s="9" t="n">
        <v>0.0</v>
      </c>
      <c r="Q28" s="9" t="n">
        <v>5622.984180450439</v>
      </c>
      <c r="R28" s="9" t="n">
        <v>108.49795055389404</v>
      </c>
      <c r="S28" s="9" t="n">
        <v>55.05119705200195</v>
      </c>
      <c r="T28" s="9" t="n">
        <v>0.0</v>
      </c>
      <c r="U28">
        <f si="1" t="shared"/>
        <v>32096.541906293303</v>
      </c>
    </row>
    <row r="29" spans="1:21" x14ac:dyDescent="0.25">
      <c r="A29" s="12">
        <v>0.54166666666666663</v>
      </c>
      <c r="B29" s="6" t="n">
        <v>16328.106694163931</v>
      </c>
      <c r="C29" s="6" t="n">
        <v>4952.182321395578</v>
      </c>
      <c r="D29" s="6" t="n">
        <v>612.7912205437708</v>
      </c>
      <c r="E29" s="6" t="n">
        <v>1563.1507002803635</v>
      </c>
      <c r="F29" s="6" t="n">
        <v>2047.7604324803433</v>
      </c>
      <c r="G29" s="6" t="n">
        <v>61.75906646311282</v>
      </c>
      <c r="H29" s="6" t="n">
        <v>0.2097925126552582</v>
      </c>
      <c r="I29" s="6" t="n">
        <v>3.3745513666868208</v>
      </c>
      <c r="J29" s="6">
        <f si="0" t="shared"/>
        <v>25569.334779206441</v>
      </c>
      <c r="L29" s="12">
        <v>0.54166666666666663</v>
      </c>
      <c r="M29" s="9" t="n">
        <v>22159.495695114136</v>
      </c>
      <c r="N29" s="9" t="n">
        <v>7100.123566627502</v>
      </c>
      <c r="O29" s="9" t="n">
        <v>0.0</v>
      </c>
      <c r="P29" s="9" t="n">
        <v>0.0</v>
      </c>
      <c r="Q29" s="9" t="n">
        <v>5491.114275932312</v>
      </c>
      <c r="R29" s="9" t="n">
        <v>113.63496208190918</v>
      </c>
      <c r="S29" s="9" t="n">
        <v>46.84760284423828</v>
      </c>
      <c r="T29" s="9" t="n">
        <v>0.0</v>
      </c>
      <c r="U29">
        <f si="1" t="shared"/>
        <v>28417.919635211136</v>
      </c>
    </row>
    <row r="30" spans="1:21" x14ac:dyDescent="0.25">
      <c r="A30" s="12">
        <v>0.5625</v>
      </c>
      <c r="B30" s="6" t="n">
        <v>15149.33803930453</v>
      </c>
      <c r="C30" s="6" t="n">
        <v>4808.077356288043</v>
      </c>
      <c r="D30" s="6" t="n">
        <v>558.7871542119117</v>
      </c>
      <c r="E30" s="6" t="n">
        <v>1428.6314540565018</v>
      </c>
      <c r="F30" s="6" t="n">
        <v>1692.2206868793915</v>
      </c>
      <c r="G30" s="6" t="n">
        <v>91.26823980998992</v>
      </c>
      <c r="H30" s="6" t="n">
        <v>1.263689317703247</v>
      </c>
      <c r="I30" s="6" t="n">
        <v>1.5596341919898984</v>
      </c>
      <c r="J30" s="6">
        <f si="0" t="shared"/>
        <v>23731.146254060055</v>
      </c>
      <c r="L30" s="12">
        <v>0.5625</v>
      </c>
      <c r="M30" s="9" t="n">
        <v>19032.44399356842</v>
      </c>
      <c r="N30" s="9" t="n">
        <v>6773.753951072693</v>
      </c>
      <c r="O30" s="9" t="n">
        <v>0.0</v>
      </c>
      <c r="P30" s="9" t="n">
        <v>0.0</v>
      </c>
      <c r="Q30" s="9" t="n">
        <v>5363.113770484924</v>
      </c>
      <c r="R30" s="9" t="n">
        <v>119.7360897064209</v>
      </c>
      <c r="S30" s="9" t="n">
        <v>40.340858459472656</v>
      </c>
      <c r="T30" s="9" t="n">
        <v>0.0</v>
      </c>
      <c r="U30">
        <f si="1" t="shared"/>
        <v>25306.258861489183</v>
      </c>
    </row>
    <row r="31" spans="1:21" x14ac:dyDescent="0.25">
      <c r="A31" s="12">
        <v>0.58333333333333337</v>
      </c>
      <c r="B31" s="6" t="n">
        <v>14108.736059581106</v>
      </c>
      <c r="C31" s="6" t="n">
        <v>4727.88365765911</v>
      </c>
      <c r="D31" s="6" t="n">
        <v>487.79067987973053</v>
      </c>
      <c r="E31" s="6" t="n">
        <v>1247.1581720819415</v>
      </c>
      <c r="F31" s="6" t="n">
        <v>1289.0544605477621</v>
      </c>
      <c r="G31" s="6" t="n">
        <v>116.40453204464913</v>
      </c>
      <c r="H31" s="6" t="n">
        <v>5.407686413526535</v>
      </c>
      <c r="I31" s="6" t="n">
        <v>0.6521443693637847</v>
      </c>
      <c r="J31" s="6">
        <f si="0" t="shared"/>
        <v>21983.087392577192</v>
      </c>
      <c r="L31" s="12">
        <v>0.58333333333333337</v>
      </c>
      <c r="M31" s="9" t="n">
        <v>16420.07820034027</v>
      </c>
      <c r="N31" s="9" t="n">
        <v>6486.422319412231</v>
      </c>
      <c r="O31" s="9" t="n">
        <v>0.0</v>
      </c>
      <c r="P31" s="9" t="n">
        <v>0.0</v>
      </c>
      <c r="Q31" s="9" t="n">
        <v>5246.51441860199</v>
      </c>
      <c r="R31" s="9" t="n">
        <v>126.83837985992432</v>
      </c>
      <c r="S31" s="9" t="n">
        <v>35.24464988708496</v>
      </c>
      <c r="T31" s="9" t="n">
        <v>0.0</v>
      </c>
      <c r="U31">
        <f si="1" t="shared"/>
        <v>22698.312467292286</v>
      </c>
    </row>
    <row r="32" spans="1:21" x14ac:dyDescent="0.25">
      <c r="A32" s="12">
        <v>0.60416666666666663</v>
      </c>
      <c r="B32" s="6" t="n">
        <v>12954.770878008221</v>
      </c>
      <c r="C32" s="6" t="n">
        <v>4651.247092357275</v>
      </c>
      <c r="D32" s="6" t="n">
        <v>404.7992992321937</v>
      </c>
      <c r="E32" s="6" t="n">
        <v>1068.387961145653</v>
      </c>
      <c r="F32" s="6" t="n">
        <v>950.2687082870968</v>
      </c>
      <c r="G32" s="6" t="n">
        <v>130.4743005847931</v>
      </c>
      <c r="H32" s="6" t="n">
        <v>17.492097710609432</v>
      </c>
      <c r="I32" s="6" t="n">
        <v>0.5322462707757949</v>
      </c>
      <c r="J32" s="6">
        <f si="0" t="shared"/>
        <v>20177.972583596616</v>
      </c>
      <c r="L32" s="12">
        <v>0.60416666666666663</v>
      </c>
      <c r="M32" s="9" t="n">
        <v>14253.38873386383</v>
      </c>
      <c r="N32" s="9" t="n">
        <v>6216.562368392944</v>
      </c>
      <c r="O32" s="9" t="n">
        <v>0.0</v>
      </c>
      <c r="P32" s="9" t="n">
        <v>0.0</v>
      </c>
      <c r="Q32" s="9" t="n">
        <v>5127.726068496704</v>
      </c>
      <c r="R32" s="9" t="n">
        <v>134.36936950683594</v>
      </c>
      <c r="S32" s="9" t="n">
        <v>31.114907264709473</v>
      </c>
      <c r="T32" s="9" t="n">
        <v>0.0</v>
      </c>
      <c r="U32">
        <f si="1" t="shared"/>
        <v>20494.046128883299</v>
      </c>
    </row>
    <row r="33" spans="1:21" x14ac:dyDescent="0.25">
      <c r="A33" s="12">
        <v>0.625</v>
      </c>
      <c r="B33" s="6" t="n">
        <v>11527.05972274497</v>
      </c>
      <c r="C33" s="6" t="n">
        <v>4550.180883970157</v>
      </c>
      <c r="D33" s="6" t="n">
        <v>328.16280895444993</v>
      </c>
      <c r="E33" s="6" t="n">
        <v>942.0170039076809</v>
      </c>
      <c r="F33" s="6" t="n">
        <v>741.4245932895813</v>
      </c>
      <c r="G33" s="6" t="n">
        <v>130.71902811670304</v>
      </c>
      <c r="H33" s="6" t="n">
        <v>44.43337372899054</v>
      </c>
      <c r="I33" s="6" t="n">
        <v>1.5333131512403486</v>
      </c>
      <c r="J33" s="6">
        <f si="0" t="shared"/>
        <v>18265.530727863774</v>
      </c>
      <c r="L33" s="12">
        <v>0.625</v>
      </c>
      <c r="M33" s="9" t="n">
        <v>12419.109023094177</v>
      </c>
      <c r="N33" s="9" t="n">
        <v>5919.150073051453</v>
      </c>
      <c r="O33" s="9" t="n">
        <v>0.0</v>
      </c>
      <c r="P33" s="9" t="n">
        <v>0.0</v>
      </c>
      <c r="Q33" s="9" t="n">
        <v>4976.322924613953</v>
      </c>
      <c r="R33" s="9" t="n">
        <v>141.35974407196045</v>
      </c>
      <c r="S33" s="9" t="n">
        <v>27.412541389465332</v>
      </c>
      <c r="T33" s="9" t="n">
        <v>0.0</v>
      </c>
      <c r="U33">
        <f si="1" t="shared"/>
        <v>18536.539366606143</v>
      </c>
    </row>
    <row r="34" spans="1:21" x14ac:dyDescent="0.25">
      <c r="A34" s="12">
        <v>0.64583333333333337</v>
      </c>
      <c r="B34" s="6" t="n">
        <v>9824.622173567761</v>
      </c>
      <c r="C34" s="6" t="n">
        <v>4403.161595777667</v>
      </c>
      <c r="D34" s="6" t="n">
        <v>275.4878617222277</v>
      </c>
      <c r="E34" s="6" t="n">
        <v>893.2026269477814</v>
      </c>
      <c r="F34" s="6" t="n">
        <v>655.6820501228867</v>
      </c>
      <c r="G34" s="6" t="n">
        <v>118.96663793563843</v>
      </c>
      <c r="H34" s="6" t="n">
        <v>90.9158675765991</v>
      </c>
      <c r="I34" s="6" t="n">
        <v>4.778272129774093</v>
      </c>
      <c r="J34" s="6">
        <f si="0" t="shared"/>
        <v>16266.817085780334</v>
      </c>
      <c r="L34" s="12">
        <v>0.64583333333333337</v>
      </c>
      <c r="M34" s="9" t="n">
        <v>10814.415831565857</v>
      </c>
      <c r="N34" s="9" t="n">
        <v>5558.838526725769</v>
      </c>
      <c r="O34" s="9" t="n">
        <v>0.0</v>
      </c>
      <c r="P34" s="9" t="n">
        <v>0.0</v>
      </c>
      <c r="Q34" s="9" t="n">
        <v>4769.535876274109</v>
      </c>
      <c r="R34" s="9" t="n">
        <v>146.88159275054932</v>
      </c>
      <c r="S34" s="9" t="n">
        <v>23.783327102661133</v>
      </c>
      <c r="T34" s="9" t="n">
        <v>0.0</v>
      </c>
      <c r="U34">
        <f si="1" t="shared"/>
        <v>16705.185845249394</v>
      </c>
    </row>
    <row r="35" spans="1:21" x14ac:dyDescent="0.25">
      <c r="A35" s="12">
        <v>0.66666666666666663</v>
      </c>
      <c r="B35" s="6" t="n">
        <v>8007.478573490863</v>
      </c>
      <c r="C35" s="6" t="n">
        <v>4174.3290822643285</v>
      </c>
      <c r="D35" s="6" t="n">
        <v>249.52785666374797</v>
      </c>
      <c r="E35" s="6" t="n">
        <v>910.2228543720374</v>
      </c>
      <c r="F35" s="6" t="n">
        <v>634.4486449433583</v>
      </c>
      <c r="G35" s="6" t="n">
        <v>100.9904991953373</v>
      </c>
      <c r="H35" s="6" t="n">
        <v>152.5195650887489</v>
      </c>
      <c r="I35" s="6" t="n">
        <v>11.928838679790495</v>
      </c>
      <c r="J35" s="6">
        <f si="0" t="shared"/>
        <v>14241.445914698212</v>
      </c>
      <c r="L35" s="12">
        <v>0.66666666666666663</v>
      </c>
      <c r="M35" s="9" t="n">
        <v>9390.599365234375</v>
      </c>
      <c r="N35" s="9" t="n">
        <v>5131.962103843689</v>
      </c>
      <c r="O35" s="9" t="n">
        <v>0.0</v>
      </c>
      <c r="P35" s="9" t="n">
        <v>0.0</v>
      </c>
      <c r="Q35" s="9" t="n">
        <v>4507.128671646118</v>
      </c>
      <c r="R35" s="9" t="n">
        <v>150.2543478012085</v>
      </c>
      <c r="S35" s="9" t="n">
        <v>20.163352966308594</v>
      </c>
      <c r="T35" s="9" t="n">
        <v>0.0</v>
      </c>
      <c r="U35">
        <f si="1" t="shared"/>
        <v>14969.82736489924</v>
      </c>
    </row>
    <row r="36" spans="1:21" x14ac:dyDescent="0.25">
      <c r="A36" s="12">
        <v>0.6875</v>
      </c>
      <c r="B36" s="6" t="n">
        <v>6295.651700133247</v>
      </c>
      <c r="C36" s="6" t="n">
        <v>3818.768161328553</v>
      </c>
      <c r="D36" s="6" t="n">
        <v>236.84213626596846</v>
      </c>
      <c r="E36" s="6" t="n">
        <v>948.7596298385108</v>
      </c>
      <c r="F36" s="6" t="n">
        <v>611.2164136579404</v>
      </c>
      <c r="G36" s="6" t="n">
        <v>86.05349152851105</v>
      </c>
      <c r="H36" s="6" t="n">
        <v>212.46662064552302</v>
      </c>
      <c r="I36" s="6" t="n">
        <v>23.85623379004001</v>
      </c>
      <c r="J36" s="6">
        <f si="0" t="shared"/>
        <v>12233.614387188294</v>
      </c>
      <c r="L36" s="12">
        <v>0.6875</v>
      </c>
      <c r="M36" s="9" t="n">
        <v>8137.660716056824</v>
      </c>
      <c r="N36" s="9" t="n">
        <v>4659.085559844971</v>
      </c>
      <c r="O36" s="9" t="n">
        <v>0.0</v>
      </c>
      <c r="P36" s="9" t="n">
        <v>0.0</v>
      </c>
      <c r="Q36" s="9" t="n">
        <v>4202.999263763428</v>
      </c>
      <c r="R36" s="9" t="n">
        <v>150.862943649292</v>
      </c>
      <c r="S36" s="9" t="n">
        <v>16.656293869018555</v>
      </c>
      <c r="T36" s="9" t="n">
        <v>0.0</v>
      </c>
      <c r="U36">
        <f si="1" t="shared"/>
        <v>13352.440532584642</v>
      </c>
    </row>
    <row r="37" spans="1:21" x14ac:dyDescent="0.25">
      <c r="A37" s="12">
        <v>0.70833333333333337</v>
      </c>
      <c r="B37" s="6" t="n">
        <v>4848.97626540547</v>
      </c>
      <c r="C37" s="6" t="n">
        <v>3316.0912925017674</v>
      </c>
      <c r="D37" s="6" t="n">
        <v>219.1609521302464</v>
      </c>
      <c r="E37" s="6" t="n">
        <v>951.5990936665296</v>
      </c>
      <c r="F37" s="6" t="n">
        <v>548.8613537343447</v>
      </c>
      <c r="G37" s="6" t="n">
        <v>85.16102254092694</v>
      </c>
      <c r="H37" s="6" t="n">
        <v>248.05712354040145</v>
      </c>
      <c r="I37" s="6" t="n">
        <v>38.766319760084144</v>
      </c>
      <c r="J37" s="6">
        <f si="0" t="shared"/>
        <v>10256.673423279773</v>
      </c>
      <c r="L37" s="12">
        <v>0.70833333333333337</v>
      </c>
      <c r="M37" s="9" t="n">
        <v>7040.166255950928</v>
      </c>
      <c r="N37" s="9" t="n">
        <v>4161.179803848267</v>
      </c>
      <c r="O37" s="9" t="n">
        <v>0.0</v>
      </c>
      <c r="P37" s="9" t="n">
        <v>0.0</v>
      </c>
      <c r="Q37" s="9" t="n">
        <v>3865.432809829712</v>
      </c>
      <c r="R37" s="9" t="n">
        <v>147.90283203125</v>
      </c>
      <c r="S37" s="9" t="n">
        <v>13.372220039367676</v>
      </c>
      <c r="T37" s="9" t="n">
        <v>0.0</v>
      </c>
      <c r="U37">
        <f si="1" t="shared"/>
        <v>11853.321928972275</v>
      </c>
    </row>
    <row r="38" spans="1:21" x14ac:dyDescent="0.25">
      <c r="A38" s="12">
        <v>0.72916666666666663</v>
      </c>
      <c r="B38" s="6" t="n">
        <v>3716.5723927209724</v>
      </c>
      <c r="C38" s="6" t="n">
        <v>2702.3945742552996</v>
      </c>
      <c r="D38" s="6" t="n">
        <v>186.48620075213498</v>
      </c>
      <c r="E38" s="6" t="n">
        <v>877.142193180249</v>
      </c>
      <c r="F38" s="6" t="n">
        <v>450.27019228944084</v>
      </c>
      <c r="G38" s="6" t="n">
        <v>105.45503914690018</v>
      </c>
      <c r="H38" s="6" t="n">
        <v>244.34182249069215</v>
      </c>
      <c r="I38" s="6" t="n">
        <v>51.68842634677886</v>
      </c>
      <c r="J38" s="6">
        <f si="0" t="shared"/>
        <v>8334.3508411824678</v>
      </c>
      <c r="L38" s="12">
        <v>0.72916666666666663</v>
      </c>
      <c r="M38" s="9" t="n">
        <v>6055.6162757873535</v>
      </c>
      <c r="N38" s="9" t="n">
        <v>3645.450147628784</v>
      </c>
      <c r="O38" s="9" t="n">
        <v>0.0</v>
      </c>
      <c r="P38" s="9" t="n">
        <v>0.0</v>
      </c>
      <c r="Q38" s="9" t="n">
        <v>3488.39555644989</v>
      </c>
      <c r="R38" s="9" t="n">
        <v>140.53015613555908</v>
      </c>
      <c r="S38" s="9" t="n">
        <v>10.37359619140625</v>
      </c>
      <c r="T38" s="9" t="n">
        <v>0.0</v>
      </c>
      <c r="U38">
        <f si="1" t="shared"/>
        <v>10422.221298751841</v>
      </c>
    </row>
    <row r="39" spans="1:21" x14ac:dyDescent="0.25">
      <c r="A39" s="12">
        <v>0.75</v>
      </c>
      <c r="B39" s="6" t="n">
        <v>2862.749928966068</v>
      </c>
      <c r="C39" s="6" t="n">
        <v>2064.8124504990446</v>
      </c>
      <c r="D39" s="6" t="n">
        <v>141.54515319780376</v>
      </c>
      <c r="E39" s="6" t="n">
        <v>722.231299192717</v>
      </c>
      <c r="F39" s="6" t="n">
        <v>341.41206333487105</v>
      </c>
      <c r="G39" s="6" t="n">
        <v>142.68474257051946</v>
      </c>
      <c r="H39" s="6" t="n">
        <v>203.975248067379</v>
      </c>
      <c r="I39" s="6" t="n">
        <v>56.85726898145675</v>
      </c>
      <c r="J39" s="6">
        <f si="0" t="shared"/>
        <v>6536.268154809859</v>
      </c>
      <c r="L39" s="12">
        <v>0.75</v>
      </c>
      <c r="M39" s="9" t="n">
        <v>5133.793972015381</v>
      </c>
      <c r="N39" s="9" t="n">
        <v>3113.3251523971558</v>
      </c>
      <c r="O39" s="9" t="n">
        <v>0.0</v>
      </c>
      <c r="P39" s="9" t="n">
        <v>0.0</v>
      </c>
      <c r="Q39" s="9" t="n">
        <v>3064.072334289551</v>
      </c>
      <c r="R39" s="9" t="n">
        <v>128.53271770477295</v>
      </c>
      <c r="S39" s="9" t="n">
        <v>7.710887908935547</v>
      </c>
      <c r="T39" s="9" t="n">
        <v>0.0</v>
      </c>
      <c r="U39">
        <f si="1" t="shared"/>
        <v>8998.2716913821041</v>
      </c>
    </row>
    <row r="40" spans="1:21" x14ac:dyDescent="0.25">
      <c r="A40" s="12">
        <v>0.77083333333333337</v>
      </c>
      <c r="B40" s="6" t="n">
        <v>2219.7160939056243</v>
      </c>
      <c r="C40" s="6" t="n">
        <v>1498.4311549112604</v>
      </c>
      <c r="D40" s="6" t="n">
        <v>94.58216573613093</v>
      </c>
      <c r="E40" s="6" t="n">
        <v>523.3446390591477</v>
      </c>
      <c r="F40" s="6" t="n">
        <v>245.7092810111369</v>
      </c>
      <c r="G40" s="6" t="n">
        <v>179.324579908371</v>
      </c>
      <c r="H40" s="6" t="n">
        <v>144.64835068702698</v>
      </c>
      <c r="I40" s="6" t="n">
        <v>51.68842634677886</v>
      </c>
      <c r="J40" s="6">
        <f si="0" t="shared"/>
        <v>4957.4446915654771</v>
      </c>
      <c r="L40" s="12">
        <v>0.77083333333333337</v>
      </c>
      <c r="M40" s="9" t="n">
        <v>4253.040337562561</v>
      </c>
      <c r="N40" s="9" t="n">
        <v>2579.1266746520996</v>
      </c>
      <c r="O40" s="9" t="n">
        <v>0.0</v>
      </c>
      <c r="P40" s="9" t="n">
        <v>0.0</v>
      </c>
      <c r="Q40" s="9" t="n">
        <v>2604.4484157562256</v>
      </c>
      <c r="R40" s="9" t="n">
        <v>113.02034759521484</v>
      </c>
      <c r="S40" s="9" t="n">
        <v>5.456048011779785</v>
      </c>
      <c r="T40" s="9" t="n">
        <v>0.0</v>
      </c>
      <c r="U40">
        <f si="1" t="shared"/>
        <v>7573.8123506108568</v>
      </c>
    </row>
    <row r="41" spans="1:21" x14ac:dyDescent="0.25">
      <c r="A41" s="12">
        <v>0.79166666666666663</v>
      </c>
      <c r="B41" s="6" t="n">
        <v>1726.972585844642</v>
      </c>
      <c r="C41" s="6" t="n">
        <v>1062.0667547887215</v>
      </c>
      <c r="D41" s="6" t="n">
        <v>55.23951423406177</v>
      </c>
      <c r="E41" s="6" t="n">
        <v>334.26892538355014</v>
      </c>
      <c r="F41" s="6" t="n">
        <v>171.18483283622754</v>
      </c>
      <c r="G41" s="6" t="n">
        <v>193.7796856482029</v>
      </c>
      <c r="H41" s="6" t="n">
        <v>87.12337620019913</v>
      </c>
      <c r="I41" s="6" t="n">
        <v>38.76631976008415</v>
      </c>
      <c r="J41" s="6">
        <f si="0" t="shared"/>
        <v>3669.4019946956892</v>
      </c>
      <c r="L41" s="12">
        <v>0.79166666666666663</v>
      </c>
      <c r="M41" s="9" t="n">
        <v>3435.459997177124</v>
      </c>
      <c r="N41" s="9" t="n">
        <v>2077.09654045105</v>
      </c>
      <c r="O41" s="9" t="n">
        <v>0.0</v>
      </c>
      <c r="P41" s="9" t="n">
        <v>0.0</v>
      </c>
      <c r="Q41" s="9" t="n">
        <v>2148.6788206100464</v>
      </c>
      <c r="R41" s="9" t="n">
        <v>96.37971782684326</v>
      </c>
      <c r="S41" s="9" t="n">
        <v>3.685169219970703</v>
      </c>
      <c r="T41" s="9" t="n">
        <v>0.0</v>
      </c>
      <c r="U41">
        <f si="1" t="shared"/>
        <v>6216.3818426349662</v>
      </c>
    </row>
    <row r="42" spans="1:21" x14ac:dyDescent="0.25">
      <c r="A42" s="12">
        <v>0.8125</v>
      </c>
      <c r="B42" s="6" t="n">
        <v>1348.4179390008107</v>
      </c>
      <c r="C42" s="6" t="n">
        <v>765.6001131468092</v>
      </c>
      <c r="D42" s="6" t="n">
        <v>27.95454651145278</v>
      </c>
      <c r="E42" s="6" t="n">
        <v>196.87819756812</v>
      </c>
      <c r="F42" s="6" t="n">
        <v>114.77256311557932</v>
      </c>
      <c r="G42" s="6" t="n">
        <v>175.26888586521147</v>
      </c>
      <c r="H42" s="6" t="n">
        <v>44.411911033630375</v>
      </c>
      <c r="I42" s="6" t="n">
        <v>23.856196775436402</v>
      </c>
      <c r="J42" s="6">
        <f si="0" t="shared"/>
        <v>2697.1603530170505</v>
      </c>
      <c r="L42" s="12">
        <v>0.8125</v>
      </c>
      <c r="M42" s="9" t="n">
        <v>2725.5848426818848</v>
      </c>
      <c r="N42" s="9" t="n">
        <v>1646.843415260315</v>
      </c>
      <c r="O42" s="9" t="n">
        <v>0.0</v>
      </c>
      <c r="P42" s="9" t="n">
        <v>0.0</v>
      </c>
      <c r="Q42" s="9" t="n">
        <v>1745.415057182312</v>
      </c>
      <c r="R42" s="9" t="n">
        <v>81.25275897979736</v>
      </c>
      <c r="S42" s="9" t="n">
        <v>2.430903434753418</v>
      </c>
      <c r="T42" s="9" t="n">
        <v>0.0</v>
      </c>
      <c r="U42">
        <f si="1" t="shared"/>
        <v>5024.4199635339337</v>
      </c>
    </row>
    <row r="43" spans="1:21" x14ac:dyDescent="0.25">
      <c r="A43" s="12">
        <v>0.83333333333333337</v>
      </c>
      <c r="B43" s="6" t="n">
        <v>1070.9368619471597</v>
      </c>
      <c r="C43" s="6" t="n">
        <v>586.457335318945</v>
      </c>
      <c r="D43" s="6" t="n">
        <v>12.083571618211643</v>
      </c>
      <c r="E43" s="6" t="n">
        <v>124.51297165418416</v>
      </c>
      <c r="F43" s="6" t="n">
        <v>71.98187137387633</v>
      </c>
      <c r="G43" s="6" t="n">
        <v>131.273872546792</v>
      </c>
      <c r="H43" s="6" t="n">
        <v>19.00152249455452</v>
      </c>
      <c r="I43" s="6" t="n">
        <v>11.9280983877182</v>
      </c>
      <c r="J43" s="6">
        <f si="0" t="shared"/>
        <v>2028.1761053414416</v>
      </c>
      <c r="L43" s="12">
        <v>0.83333333333333337</v>
      </c>
      <c r="M43" s="9" t="n">
        <v>2152.303955078125</v>
      </c>
      <c r="N43" s="9" t="n">
        <v>1309.7589082717896</v>
      </c>
      <c r="O43" s="9" t="n">
        <v>0.0</v>
      </c>
      <c r="P43" s="9" t="n">
        <v>0.0</v>
      </c>
      <c r="Q43" s="9" t="n">
        <v>1424.020827293396</v>
      </c>
      <c r="R43" s="9" t="n">
        <v>69.20096397399902</v>
      </c>
      <c r="S43" s="9" t="n">
        <v>1.649749755859375</v>
      </c>
      <c r="T43" s="9" t="n">
        <v>0.0</v>
      </c>
      <c r="U43">
        <f si="1" t="shared"/>
        <v>4056.1750696218619</v>
      </c>
    </row>
    <row r="44" spans="1:21" x14ac:dyDescent="0.25">
      <c r="A44" s="12">
        <v>0.85416666666666663</v>
      </c>
      <c r="B44" s="6" t="n">
        <v>888.2622383850486</v>
      </c>
      <c r="C44" s="6" t="n">
        <v>489.6611834202789</v>
      </c>
      <c r="D44" s="6" t="n">
        <v>4.363276183182329</v>
      </c>
      <c r="E44" s="6" t="n">
        <v>103.75301249147954</v>
      </c>
      <c r="F44" s="6" t="n">
        <v>40.979073916144</v>
      </c>
      <c r="G44" s="6" t="n">
        <v>80.75836999654769</v>
      </c>
      <c r="H44" s="6" t="n">
        <v>6.720960717201233</v>
      </c>
      <c r="I44" s="6" t="n">
        <v>4.771239355087279</v>
      </c>
      <c r="J44" s="6">
        <f si="0" t="shared"/>
        <v>1619.2693544649696</v>
      </c>
      <c r="L44" s="12">
        <v>0.85416666666666663</v>
      </c>
      <c r="M44" s="9" t="n">
        <v>1707.6421251296997</v>
      </c>
      <c r="N44" s="9" t="n">
        <v>1057.9481916427612</v>
      </c>
      <c r="O44" s="9" t="n">
        <v>0.0</v>
      </c>
      <c r="P44" s="9" t="n">
        <v>0.0</v>
      </c>
      <c r="Q44" s="9" t="n">
        <v>1179.937617301941</v>
      </c>
      <c r="R44" s="9" t="n">
        <v>60.082119941711426</v>
      </c>
      <c r="S44" s="9" t="n">
        <v>1.2278213500976562</v>
      </c>
      <c r="T44" s="9" t="n">
        <v>0.0</v>
      </c>
      <c r="U44">
        <f si="1" t="shared"/>
        <v>3295.1243335125487</v>
      </c>
    </row>
    <row r="45" spans="1:21" x14ac:dyDescent="0.25">
      <c r="A45" s="12">
        <v>0.875</v>
      </c>
      <c r="B45" s="6" t="n">
        <v>780.1983113387569</v>
      </c>
      <c r="C45" s="6" t="n">
        <v>436.7563300507356</v>
      </c>
      <c r="D45" s="6" t="n">
        <v>1.2747445856908273</v>
      </c>
      <c r="E45" s="6" t="n">
        <v>107.51115680622604</v>
      </c>
      <c r="F45" s="6" t="n">
        <v>20.883713107826573</v>
      </c>
      <c r="G45" s="6" t="n">
        <v>40.37682684409618</v>
      </c>
      <c r="H45" s="6" t="n">
        <v>1.9170401656627656</v>
      </c>
      <c r="I45" s="6" t="n">
        <v>1.491012298464775</v>
      </c>
      <c r="J45" s="6">
        <f si="0" t="shared"/>
        <v>1390.4091351974596</v>
      </c>
      <c r="L45" s="12">
        <v>0.875</v>
      </c>
      <c r="M45" s="9" t="n">
        <v>1356.6606664657593</v>
      </c>
      <c r="N45" s="9" t="n">
        <v>864.1067714691162</v>
      </c>
      <c r="O45" s="9" t="n">
        <v>0.0</v>
      </c>
      <c r="P45" s="9" t="n">
        <v>0.0</v>
      </c>
      <c r="Q45" s="9" t="n">
        <v>985.2511568069458</v>
      </c>
      <c r="R45" s="9" t="n">
        <v>52.562771797180176</v>
      </c>
      <c r="S45" s="9" t="n">
        <v>1.0183830261230469</v>
      </c>
      <c r="T45" s="9" t="n">
        <v>0.0</v>
      </c>
      <c r="U45">
        <f si="1" t="shared"/>
        <v>2675.807133853375</v>
      </c>
    </row>
    <row r="46" spans="1:21" x14ac:dyDescent="0.25">
      <c r="A46" s="12">
        <v>0.89583333333333337</v>
      </c>
      <c r="B46" s="6" t="n">
        <v>705.7261213841093</v>
      </c>
      <c r="C46" s="6" t="n">
        <v>391.12870657262636</v>
      </c>
      <c r="D46" s="6" t="n">
        <v>0.28796994983770086</v>
      </c>
      <c r="E46" s="6" t="n">
        <v>110.1876647723598</v>
      </c>
      <c r="F46" s="6" t="n">
        <v>9.63881383215356</v>
      </c>
      <c r="G46" s="6" t="n">
        <v>16.15062593078613</v>
      </c>
      <c r="H46" s="6" t="n">
        <v>0.4238345813751221</v>
      </c>
      <c r="I46" s="6" t="n">
        <v>0.35082642316818236</v>
      </c>
      <c r="J46" s="6">
        <f si="0" t="shared"/>
        <v>1233.8945634464162</v>
      </c>
      <c r="L46" s="12">
        <v>0.89583333333333337</v>
      </c>
      <c r="M46" s="9" t="n">
        <v>1063.414707183838</v>
      </c>
      <c r="N46" s="9" t="n">
        <v>701.1354217529297</v>
      </c>
      <c r="O46" s="9" t="n">
        <v>0.0</v>
      </c>
      <c r="P46" s="9" t="n">
        <v>0.0</v>
      </c>
      <c r="Q46" s="9" t="n">
        <v>811.9640188217163</v>
      </c>
      <c r="R46" s="9" t="n">
        <v>45.23826217651367</v>
      </c>
      <c r="S46" s="9" t="n">
        <v>0.8902006149291992</v>
      </c>
      <c r="T46" s="9" t="n">
        <v>0.0</v>
      </c>
      <c r="U46">
        <f si="1" t="shared"/>
        <v>2136.7002318679879</v>
      </c>
    </row>
    <row r="47" spans="1:21" x14ac:dyDescent="0.25">
      <c r="A47" s="12">
        <v>0.91666666666666663</v>
      </c>
      <c r="B47" s="6" t="n">
        <v>619.9732809151632</v>
      </c>
      <c r="C47" s="6" t="n">
        <v>328.68431233536705</v>
      </c>
      <c r="D47" s="6" t="n">
        <v>0.046969022013606074</v>
      </c>
      <c r="E47" s="6" t="n">
        <v>98.44375326650452</v>
      </c>
      <c r="F47" s="6" t="n">
        <v>4.186738821471504</v>
      </c>
      <c r="G47" s="6" t="n">
        <v>5.047070603370667</v>
      </c>
      <c r="H47" s="6" t="n">
        <v>0.06806702589988708</v>
      </c>
      <c r="I47" s="6" t="n">
        <v>0.05847107052803039</v>
      </c>
      <c r="J47" s="6">
        <f si="0" t="shared"/>
        <v>1056.5086630603182</v>
      </c>
      <c r="L47" s="12">
        <v>0.91666666666666663</v>
      </c>
      <c r="M47" s="9" t="n">
        <v>808.6106939315796</v>
      </c>
      <c r="N47" s="9" t="n">
        <v>554.6453304290771</v>
      </c>
      <c r="O47" s="9" t="n">
        <v>0.0</v>
      </c>
      <c r="P47" s="9" t="n">
        <v>0.0</v>
      </c>
      <c r="Q47" s="9" t="n">
        <v>647.392900466919</v>
      </c>
      <c r="R47" s="9" t="n">
        <v>37.46214294433594</v>
      </c>
      <c r="S47" s="9" t="n">
        <v>0.7640438079833984</v>
      </c>
      <c r="T47" s="9" t="n">
        <v>0.0</v>
      </c>
      <c r="U47">
        <f si="1" t="shared"/>
        <v>1651.6640131034969</v>
      </c>
    </row>
    <row r="48" spans="1:21" x14ac:dyDescent="0.25">
      <c r="A48" s="12">
        <v>0.9375</v>
      </c>
      <c r="B48" s="6" t="n">
        <v>500.8913605018904</v>
      </c>
      <c r="C48" s="6" t="n">
        <v>247.02077482883377</v>
      </c>
      <c r="D48" s="6" t="n">
        <v>0.004902110013027192</v>
      </c>
      <c r="E48" s="6" t="n">
        <v>73.54255074580692</v>
      </c>
      <c r="F48" s="6" t="n">
        <v>1.7884837537892149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824.44882173100189</v>
      </c>
      <c r="L48" s="12">
        <v>0.9375</v>
      </c>
      <c r="M48" s="9" t="n">
        <v>589.1956739425659</v>
      </c>
      <c r="N48" s="9" t="n">
        <v>422.29030323028564</v>
      </c>
      <c r="O48" s="9" t="n">
        <v>0.0</v>
      </c>
      <c r="P48" s="9" t="n">
        <v>0.0</v>
      </c>
      <c r="Q48" s="9" t="n">
        <v>493.34606742858887</v>
      </c>
      <c r="R48" s="9" t="n">
        <v>29.42678928375244</v>
      </c>
      <c r="S48" s="9" t="n">
        <v>0.6195859909057617</v>
      </c>
      <c r="T48" s="9" t="n">
        <v>0.0</v>
      </c>
      <c r="U48">
        <f si="1" t="shared"/>
        <v>1224.1585020925565</v>
      </c>
    </row>
    <row r="49" spans="1:21" x14ac:dyDescent="0.25">
      <c r="A49" s="12">
        <v>0.95833333333333337</v>
      </c>
      <c r="B49" s="6" t="n">
        <v>359.6644067919937</v>
      </c>
      <c r="C49" s="6" t="n">
        <v>161.5197058489486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567.35873518212725</v>
      </c>
      <c r="L49" s="12">
        <v>0.95833333333333337</v>
      </c>
      <c r="M49" s="9" t="n">
        <v>408.06897354125977</v>
      </c>
      <c r="N49" s="9" t="n">
        <v>306.5045557022095</v>
      </c>
      <c r="O49" s="9" t="n">
        <v>0.0</v>
      </c>
      <c r="P49" s="9" t="n">
        <v>0.0</v>
      </c>
      <c r="Q49" s="9" t="n">
        <v>356.63385677337646</v>
      </c>
      <c r="R49" s="9" t="n">
        <v>21.728217124938965</v>
      </c>
      <c r="S49" s="9" t="n">
        <v>0.4720325469970703</v>
      </c>
      <c r="T49" s="9" t="n">
        <v>0.0</v>
      </c>
      <c r="U49">
        <f si="1" t="shared"/>
        <v>864.67395500133125</v>
      </c>
    </row>
    <row r="50" spans="1:21" x14ac:dyDescent="0.25">
      <c r="A50" s="12">
        <v>0.97916666666666663</v>
      </c>
      <c r="B50" s="6" t="n">
        <v>225.83938023036214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339.31170515982245</v>
      </c>
      <c r="L50" s="12">
        <v>0.97916666666666663</v>
      </c>
      <c r="M50" s="9" t="n">
        <v>266.15456771850586</v>
      </c>
      <c r="N50" s="9" t="n">
        <v>209.40091037750244</v>
      </c>
      <c r="O50" s="9" t="n">
        <v>0.0</v>
      </c>
      <c r="P50" s="9" t="n">
        <v>0.0</v>
      </c>
      <c r="Q50" s="9" t="n">
        <v>242.11381721496582</v>
      </c>
      <c r="R50" s="9" t="n">
        <v>14.932023048400879</v>
      </c>
      <c r="S50" s="9" t="n">
        <v>0.34029483795166016</v>
      </c>
      <c r="T50" s="9" t="n">
        <v>0.0</v>
      </c>
      <c r="U50">
        <f si="1" t="shared"/>
        <v>576.71730740194926</v>
      </c>
    </row>
    <row r="51" spans="1:21" x14ac:dyDescent="0.25">
      <c r="A51" s="12">
        <v>1</v>
      </c>
      <c r="B51" s="6" t="n">
        <v>123.47313463502245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175.74803168544</v>
      </c>
      <c r="L51" s="12">
        <v>1</v>
      </c>
      <c r="M51" s="9" t="n">
        <v>161.00058364868164</v>
      </c>
      <c r="N51" s="9" t="n">
        <v>132.05344676971436</v>
      </c>
      <c r="O51" s="9" t="n">
        <v>0.0</v>
      </c>
      <c r="P51" s="9" t="n">
        <v>0.0</v>
      </c>
      <c r="Q51" s="9" t="n">
        <v>151.7234764099121</v>
      </c>
      <c r="R51" s="9" t="n">
        <v>9.405562400817871</v>
      </c>
      <c r="S51" s="9" t="n">
        <v>0.23155498504638672</v>
      </c>
      <c r="T51" s="9" t="n">
        <v>0.0</v>
      </c>
      <c r="U51">
        <f si="1" t="shared"/>
        <v>357.0916840549861</v>
      </c>
    </row>
    <row r="52" spans="1:21" x14ac:dyDescent="0.25">
      <c r="A52" s="12">
        <v>1.0208333333333333</v>
      </c>
      <c r="B52" s="6" t="n">
        <v>58.94261596499806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79.10545669039351</v>
      </c>
      <c r="L52" s="12">
        <v>1.0208333333333333</v>
      </c>
      <c r="M52" s="9" t="n">
        <v>88.34071350097656</v>
      </c>
      <c r="N52" s="9" t="n">
        <v>74.95734977722168</v>
      </c>
      <c r="O52" s="9" t="n">
        <v>0.0</v>
      </c>
      <c r="P52" s="9" t="n">
        <v>0.0</v>
      </c>
      <c r="Q52" s="9" t="n">
        <v>85.68914604187012</v>
      </c>
      <c r="R52" s="9" t="n">
        <v>5.316258430480957</v>
      </c>
      <c r="S52" s="9" t="n">
        <v>0.14526939392089844</v>
      </c>
      <c r="T52" s="9" t="n">
        <v>0.0</v>
      </c>
      <c r="U52">
        <f si="1" t="shared"/>
        <v>200.31356966090547</v>
      </c>
    </row>
    <row r="53" spans="1:21" x14ac:dyDescent="0.25">
      <c r="A53" s="12">
        <v>4.1666666666666664E-2</v>
      </c>
      <c r="B53" s="6" t="n">
        <v>24.698216244266458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31.149558462315294</v>
      </c>
      <c r="L53" s="12">
        <v>4.1666666666666664E-2</v>
      </c>
      <c r="M53" s="9" t="n">
        <v>42.80436992645264</v>
      </c>
      <c r="N53" s="9" t="n">
        <v>37.25935745239258</v>
      </c>
      <c r="O53" s="9" t="n">
        <v>0.0</v>
      </c>
      <c r="P53" s="9" t="n">
        <v>0.0</v>
      </c>
      <c r="Q53" s="9" t="n">
        <v>42.442625999450684</v>
      </c>
      <c r="R53" s="9" t="n">
        <v>2.6296768188476562</v>
      </c>
      <c r="S53" s="9" t="n">
        <v>0.08090591430664062</v>
      </c>
      <c r="T53" s="9" t="n">
        <v>0.0</v>
      </c>
      <c r="U53">
        <f si="1" t="shared"/>
        <v>98.971981879286062</v>
      </c>
    </row>
    <row r="54" spans="1:21" x14ac:dyDescent="0.25">
      <c r="A54" s="12">
        <v>6.25E-2</v>
      </c>
      <c r="B54" s="6" t="n">
        <v>9.094017916029163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10.778182010844612</v>
      </c>
      <c r="L54" s="12">
        <v>6.25E-2</v>
      </c>
      <c r="M54" s="9" t="n">
        <v>17.793842315673828</v>
      </c>
      <c r="N54" s="9" t="n">
        <v>15.77341365814209</v>
      </c>
      <c r="O54" s="9" t="n">
        <v>0.0</v>
      </c>
      <c r="P54" s="9" t="n">
        <v>0.0</v>
      </c>
      <c r="Q54" s="9" t="n">
        <v>17.925006866455078</v>
      </c>
      <c r="R54" s="9" t="n">
        <v>1.108077049255371</v>
      </c>
      <c r="S54" s="9" t="n">
        <v>0.038433074951171875</v>
      </c>
      <c r="T54" s="9" t="n">
        <v>0.0</v>
      </c>
      <c r="U54">
        <f si="1" t="shared"/>
        <v>41.831216788210135</v>
      </c>
    </row>
    <row r="55" spans="1:21" x14ac:dyDescent="0.25">
      <c r="A55" s="12">
        <v>8.3333333333333329E-2</v>
      </c>
      <c r="B55" s="6" t="n">
        <v>2.9088536835031125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3.2563582145666516</v>
      </c>
      <c r="L55" s="12">
        <v>8.3333333333333329E-2</v>
      </c>
      <c r="M55" s="9" t="n">
        <v>6.155006408691406</v>
      </c>
      <c r="N55" s="9" t="n">
        <v>5.525186538696289</v>
      </c>
      <c r="O55" s="9" t="n">
        <v>0.0</v>
      </c>
      <c r="P55" s="9" t="n">
        <v>0.0</v>
      </c>
      <c r="Q55" s="9" t="n">
        <v>6.268577575683594</v>
      </c>
      <c r="R55" s="9" t="n">
        <v>0.3864116668701172</v>
      </c>
      <c r="S55" s="9" t="n">
        <v>0.015006065368652344</v>
      </c>
      <c r="T55" s="9" t="n">
        <v>0.0</v>
      </c>
      <c r="U55">
        <f si="1" t="shared"/>
        <v>14.673681418656678</v>
      </c>
    </row>
    <row r="56" spans="1:21" x14ac:dyDescent="0.25">
      <c r="A56" s="12">
        <v>0.10416666666666667</v>
      </c>
      <c r="B56" s="6" t="n">
        <v>0.7839241481734591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0.83728180122489471</v>
      </c>
      <c r="L56" s="12">
        <v>0.10416666666666667</v>
      </c>
      <c r="M56" s="9" t="n">
        <v>1.7109012603759766</v>
      </c>
      <c r="N56" s="9" t="n">
        <v>1.5490751266479492</v>
      </c>
      <c r="O56" s="9" t="n">
        <v>0.0</v>
      </c>
      <c r="P56" s="9" t="n">
        <v>0.0</v>
      </c>
      <c r="Q56" s="9" t="n">
        <v>1.7552814483642578</v>
      </c>
      <c r="R56" s="9" t="n">
        <v>0.10783195495605469</v>
      </c>
      <c r="S56" s="9" t="n">
        <v>0.0046405792236328125</v>
      </c>
      <c r="T56" s="9" t="n">
        <v>0.0</v>
      </c>
      <c r="U56">
        <f si="1" t="shared"/>
        <v>4.1278740806013614</v>
      </c>
    </row>
    <row r="57" spans="1:21" x14ac:dyDescent="0.25">
      <c r="A57" s="12">
        <v>0.125</v>
      </c>
      <c r="B57" s="6" t="n">
        <v>0.16627033276807784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0.17168310628097533</v>
      </c>
      <c r="L57" s="12">
        <v>0.125</v>
      </c>
      <c r="M57" s="9" t="n">
        <v>0.36015987396240234</v>
      </c>
      <c r="N57" s="9" t="n">
        <v>0.3279886245727539</v>
      </c>
      <c r="O57" s="9" t="n">
        <v>0.0</v>
      </c>
      <c r="P57" s="9" t="n">
        <v>0.0</v>
      </c>
      <c r="Q57" s="9" t="n">
        <v>0.37124156951904297</v>
      </c>
      <c r="R57" s="9" t="n">
        <v>0.02271556854248047</v>
      </c>
      <c r="S57" s="9" t="n">
        <v>0.0010690689086914062</v>
      </c>
      <c r="T57" s="9" t="n">
        <v>0.0</v>
      </c>
      <c r="U57">
        <f si="1" t="shared"/>
        <v>0.87783992096071461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topLeftCell="E8"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26.0</v>
      </c>
      <c r="R8" s="9" t="n">
        <v>0.0</v>
      </c>
      <c r="S8" s="9" t="n">
        <v>1.0</v>
      </c>
      <c r="T8" s="9" t="n">
        <v>0.0</v>
      </c>
      <c r="U8">
        <f>SUM(M8:T8)</f>
        <v>33.252109217104618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5.215481854779769</v>
      </c>
      <c r="D9" s="6" t="n">
        <v>0.0</v>
      </c>
      <c r="E9" s="6" t="n">
        <v>2.938271424094896</v>
      </c>
      <c r="F9" s="6" t="n">
        <v>6.607984229993165</v>
      </c>
      <c r="G9" s="6" t="n">
        <v>18.83726619517803</v>
      </c>
      <c r="H9" s="6" t="n">
        <v>64.20289115011693</v>
      </c>
      <c r="I9" s="6" t="n">
        <v>7.727649299502373</v>
      </c>
      <c r="J9" s="6">
        <f ref="J9:J58" si="0" t="shared">SUM(B9:I9)</f>
        <v>105.52976483861445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29.856725692749023</v>
      </c>
      <c r="R9" s="9" t="n">
        <v>35.44170093536377</v>
      </c>
      <c r="S9" s="9" t="n">
        <v>48.345561027526855</v>
      </c>
      <c r="T9" s="9" t="n">
        <v>0.0</v>
      </c>
      <c r="U9">
        <f ref="U9:U58" si="1" t="shared">SUM(M9:T9)</f>
        <v>158.41345237207901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25.273676314406195</v>
      </c>
      <c r="D10" s="6" t="n">
        <v>0.0</v>
      </c>
      <c r="E10" s="6" t="n">
        <v>16.712373650615753</v>
      </c>
      <c r="F10" s="6" t="n">
        <v>13.217099402298594</v>
      </c>
      <c r="G10" s="6" t="n">
        <v>82.08876186311245</v>
      </c>
      <c r="H10" s="6" t="n">
        <v>193.82637893795967</v>
      </c>
      <c r="I10" s="6" t="n">
        <v>33.16959052658081</v>
      </c>
      <c r="J10" s="6">
        <f si="0" t="shared"/>
        <v>364.29286938309133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37.99686241149902</v>
      </c>
      <c r="R10" s="9" t="n">
        <v>102.41773796081543</v>
      </c>
      <c r="S10" s="9" t="n">
        <v>181.338641166687</v>
      </c>
      <c r="T10" s="9" t="n">
        <v>0.0</v>
      </c>
      <c r="U10">
        <f si="1" t="shared"/>
        <v>414.64091576247546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92.16747021746909</v>
      </c>
      <c r="D11" s="6" t="n">
        <v>0.0</v>
      </c>
      <c r="E11" s="6" t="n">
        <v>70.26159248774653</v>
      </c>
      <c r="F11" s="6" t="n">
        <v>24.436316618078457</v>
      </c>
      <c r="G11" s="6" t="n">
        <v>283.4396307502986</v>
      </c>
      <c r="H11" s="6" t="n">
        <v>602.3166194410325</v>
      </c>
      <c r="I11" s="6" t="n">
        <v>112.38307457840442</v>
      </c>
      <c r="J11" s="6">
        <f si="0" t="shared"/>
        <v>1185.0587792860124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67.45516586303711</v>
      </c>
      <c r="R11" s="9" t="n">
        <v>271.2347068786621</v>
      </c>
      <c r="S11" s="9" t="n">
        <v>598.8000869750977</v>
      </c>
      <c r="T11" s="9" t="n">
        <v>0.0</v>
      </c>
      <c r="U11">
        <f si="1" t="shared"/>
        <v>1127.8032489717348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266.81334749550615</v>
      </c>
      <c r="D12" s="6" t="n">
        <v>4.466760902166367E-4</v>
      </c>
      <c r="E12" s="6" t="n">
        <v>230.29693137427574</v>
      </c>
      <c r="F12" s="6" t="n">
        <v>55.97476341801372</v>
      </c>
      <c r="G12" s="6" t="n">
        <v>806.3591116720439</v>
      </c>
      <c r="H12" s="6" t="n">
        <v>1853.5763851456645</v>
      </c>
      <c r="I12" s="6" t="n">
        <v>315.01275855684275</v>
      </c>
      <c r="J12" s="6">
        <f si="0" t="shared"/>
        <v>3528.4074785152497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161.14868927001953</v>
      </c>
      <c r="R12" s="9" t="n">
        <v>682.1675367355347</v>
      </c>
      <c r="S12" s="9" t="n">
        <v>1738.9944877624512</v>
      </c>
      <c r="T12" s="9" t="n">
        <v>0.0</v>
      </c>
      <c r="U12">
        <f si="1" t="shared"/>
        <v>3011.0534614547887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629.9564179053284</v>
      </c>
      <c r="D13" s="6" t="n">
        <v>0.008933521804332732</v>
      </c>
      <c r="E13" s="6" t="n">
        <v>606.5791248384519</v>
      </c>
      <c r="F13" s="6" t="n">
        <v>143.07936154487015</v>
      </c>
      <c r="G13" s="6" t="n">
        <v>1909.076081897855</v>
      </c>
      <c r="H13" s="6" t="n">
        <v>5030.22434512818</v>
      </c>
      <c r="I13" s="6" t="n">
        <v>743.8870796912909</v>
      </c>
      <c r="J13" s="6">
        <f si="0" t="shared"/>
        <v>9064.6591255499461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397.5057210922241</v>
      </c>
      <c r="R13" s="9" t="n">
        <v>1541.951828956604</v>
      </c>
      <c r="S13" s="9" t="n">
        <v>4352.76088142395</v>
      </c>
      <c r="T13" s="9" t="n">
        <v>0.0</v>
      </c>
      <c r="U13">
        <f si="1" t="shared"/>
        <v>7243.9833765006351</v>
      </c>
    </row>
    <row r="14" spans="1:26" x14ac:dyDescent="0.25">
      <c r="A14" s="12">
        <v>0.22916666666666666</v>
      </c>
      <c r="B14" s="6" t="n">
        <v>6.952474874067224</v>
      </c>
      <c r="C14" s="6" t="n">
        <v>1237.537404861189</v>
      </c>
      <c r="D14" s="6" t="n">
        <v>0.08486845714116098</v>
      </c>
      <c r="E14" s="6" t="n">
        <v>1312.7595036511484</v>
      </c>
      <c r="F14" s="6" t="n">
        <v>344.3076122367273</v>
      </c>
      <c r="G14" s="6" t="n">
        <v>3788.714466329217</v>
      </c>
      <c r="H14" s="6" t="n">
        <v>11583.983437617902</v>
      </c>
      <c r="I14" s="6" t="n">
        <v>1503.4129547270534</v>
      </c>
      <c r="J14" s="6">
        <f si="0" t="shared"/>
        <v>19777.752722754445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884.5912647247314</v>
      </c>
      <c r="R14" s="9" t="n">
        <v>3046.1641664505005</v>
      </c>
      <c r="S14" s="9" t="n">
        <v>9367.116117477417</v>
      </c>
      <c r="T14" s="9" t="n">
        <v>0.0</v>
      </c>
      <c r="U14">
        <f si="1" t="shared"/>
        <v>15210.909438210569</v>
      </c>
    </row>
    <row r="15" spans="1:26" x14ac:dyDescent="0.25">
      <c r="A15" s="12">
        <v>0.25</v>
      </c>
      <c r="B15" s="6" t="n">
        <v>20.687817341335016</v>
      </c>
      <c r="C15" s="6" t="n">
        <v>2056.0417550637</v>
      </c>
      <c r="D15" s="6" t="n">
        <v>0.5092107428469659</v>
      </c>
      <c r="E15" s="6" t="n">
        <v>2376.6089889027676</v>
      </c>
      <c r="F15" s="6" t="n">
        <v>725.9615433596749</v>
      </c>
      <c r="G15" s="6" t="n">
        <v>6340.717605050086</v>
      </c>
      <c r="H15" s="6" t="n">
        <v>22588.87824173272</v>
      </c>
      <c r="I15" s="6" t="n">
        <v>2639.9880187361236</v>
      </c>
      <c r="J15" s="6">
        <f si="0" t="shared"/>
        <v>36749.393180929255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1723.6747102737427</v>
      </c>
      <c r="R15" s="9" t="n">
        <v>5224.3411502838135</v>
      </c>
      <c r="S15" s="9" t="n">
        <v>17419.710627555847</v>
      </c>
      <c r="T15" s="9" t="n">
        <v>0.0</v>
      </c>
      <c r="U15">
        <f si="1" t="shared"/>
        <v>27753.275754332637</v>
      </c>
    </row>
    <row r="16" spans="1:26" x14ac:dyDescent="0.25">
      <c r="A16" s="12">
        <v>0.27083333333333331</v>
      </c>
      <c r="B16" s="6" t="n">
        <v>49.98515824647369</v>
      </c>
      <c r="C16" s="6" t="n">
        <v>2932.924833951948</v>
      </c>
      <c r="D16" s="6" t="n">
        <v>2.1641456570996054</v>
      </c>
      <c r="E16" s="6" t="n">
        <v>3658.116890400351</v>
      </c>
      <c r="F16" s="6" t="n">
        <v>1318.1073788712977</v>
      </c>
      <c r="G16" s="6" t="n">
        <v>8994.090414452425</v>
      </c>
      <c r="H16" s="6" t="n">
        <v>37556.403712404855</v>
      </c>
      <c r="I16" s="6" t="n">
        <v>4086.48940213406</v>
      </c>
      <c r="J16" s="6">
        <f si="0" t="shared"/>
        <v>58598.28193611851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2942.4985179901123</v>
      </c>
      <c r="R16" s="9" t="n">
        <v>7791.887096405029</v>
      </c>
      <c r="S16" s="9" t="n">
        <v>28193.77178478241</v>
      </c>
      <c r="T16" s="9" t="n">
        <v>0.0</v>
      </c>
      <c r="U16">
        <f si="1" t="shared"/>
        <v>44185.915597944091</v>
      </c>
    </row>
    <row r="17" spans="1:21" x14ac:dyDescent="0.25">
      <c r="A17" s="12">
        <v>0.29166666666666669</v>
      </c>
      <c r="B17" s="6" t="n">
        <v>100.07455714335488</v>
      </c>
      <c r="C17" s="6" t="n">
        <v>3650.5473076499225</v>
      </c>
      <c r="D17" s="6" t="n">
        <v>6.925266102718736</v>
      </c>
      <c r="E17" s="6" t="n">
        <v>4869.8174951363735</v>
      </c>
      <c r="F17" s="6" t="n">
        <v>2062.2268488688824</v>
      </c>
      <c r="G17" s="6" t="n">
        <v>10859.2630732464</v>
      </c>
      <c r="H17" s="6" t="n">
        <v>53632.188313322076</v>
      </c>
      <c r="I17" s="6" t="n">
        <v>5646.801478309988</v>
      </c>
      <c r="J17" s="6">
        <f si="0" t="shared"/>
        <v>80827.844339779724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4430.262756347656</v>
      </c>
      <c r="R17" s="9" t="n">
        <v>10150.108944892883</v>
      </c>
      <c r="S17" s="9" t="n">
        <v>39996.6565246582</v>
      </c>
      <c r="T17" s="9" t="n">
        <v>0.0</v>
      </c>
      <c r="U17">
        <f si="1" t="shared"/>
        <v>61771.67590803506</v>
      </c>
    </row>
    <row r="18" spans="1:21" x14ac:dyDescent="0.25">
      <c r="A18" s="12">
        <v>0.3125</v>
      </c>
      <c r="B18" s="6" t="n">
        <v>169.09269774252408</v>
      </c>
      <c r="C18" s="6" t="n">
        <v>4039.216147224306</v>
      </c>
      <c r="D18" s="6" t="n">
        <v>17.31316525679684</v>
      </c>
      <c r="E18" s="6" t="n">
        <v>5722.849162926095</v>
      </c>
      <c r="F18" s="6" t="n">
        <v>2799.9886058692678</v>
      </c>
      <c r="G18" s="6" t="n">
        <v>11201.839975232382</v>
      </c>
      <c r="H18" s="6" t="n">
        <v>66155.97859023703</v>
      </c>
      <c r="I18" s="6" t="n">
        <v>7027.659152278304</v>
      </c>
      <c r="J18" s="6">
        <f si="0" t="shared"/>
        <v>97133.93749676671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5927.681346893311</v>
      </c>
      <c r="R18" s="9" t="n">
        <v>11605.399499893188</v>
      </c>
      <c r="S18" s="9" t="n">
        <v>50062.16997051239</v>
      </c>
      <c r="T18" s="9" t="n">
        <v>0.0</v>
      </c>
      <c r="U18">
        <f si="1" t="shared"/>
        <v>76321.437884541272</v>
      </c>
    </row>
    <row r="19" spans="1:21" x14ac:dyDescent="0.25">
      <c r="A19" s="12">
        <v>0.33333333333333331</v>
      </c>
      <c r="B19" s="6" t="n">
        <v>246.09683073646974</v>
      </c>
      <c r="C19" s="6" t="n">
        <v>4057.454749120635</v>
      </c>
      <c r="D19" s="6" t="n">
        <v>34.62633051359368</v>
      </c>
      <c r="E19" s="6" t="n">
        <v>6089.542597967734</v>
      </c>
      <c r="F19" s="6" t="n">
        <v>3336.512371132826</v>
      </c>
      <c r="G19" s="6" t="n">
        <v>9910.37364216074</v>
      </c>
      <c r="H19" s="6" t="n">
        <v>70731.28569909514</v>
      </c>
      <c r="I19" s="6" t="n">
        <v>7904.34646487701</v>
      </c>
      <c r="J19" s="6">
        <f si="0" t="shared"/>
        <v>102310.23868560416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7105.149852752686</v>
      </c>
      <c r="R19" s="9" t="n">
        <v>11704.239216804504</v>
      </c>
      <c r="S19" s="9" t="n">
        <v>55631.584911346436</v>
      </c>
      <c r="T19" s="9" t="n">
        <v>0.0</v>
      </c>
      <c r="U19">
        <f si="1" t="shared"/>
        <v>83882.224035712614</v>
      </c>
    </row>
    <row r="20" spans="1:21" x14ac:dyDescent="0.25">
      <c r="A20" s="12">
        <v>0.35416666666666669</v>
      </c>
      <c r="B20" s="6" t="n">
        <v>316.7542421188585</v>
      </c>
      <c r="C20" s="6" t="n">
        <v>3776.1545875545926</v>
      </c>
      <c r="D20" s="6" t="n">
        <v>56.26778708458973</v>
      </c>
      <c r="E20" s="6" t="n">
        <v>6037.091065372115</v>
      </c>
      <c r="F20" s="6" t="n">
        <v>3544.969342927291</v>
      </c>
      <c r="G20" s="6" t="n">
        <v>7561.8529492347125</v>
      </c>
      <c r="H20" s="6" t="n">
        <v>65634.01370961429</v>
      </c>
      <c r="I20" s="6" t="n">
        <v>8015.917720252991</v>
      </c>
      <c r="J20" s="6">
        <f si="0" t="shared"/>
        <v>94943.021404159445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7701.430962562561</v>
      </c>
      <c r="R20" s="9" t="n">
        <v>10462.573579788208</v>
      </c>
      <c r="S20" s="9" t="n">
        <v>55245.6598110199</v>
      </c>
      <c r="T20" s="9" t="n">
        <v>0.0</v>
      </c>
      <c r="U20">
        <f si="1" t="shared"/>
        <v>82587.170943849313</v>
      </c>
    </row>
    <row r="21" spans="1:21" x14ac:dyDescent="0.25">
      <c r="A21" s="12">
        <v>0.375</v>
      </c>
      <c r="B21" s="6" t="n">
        <v>372.85188675991816</v>
      </c>
      <c r="C21" s="6" t="n">
        <v>3304.1691043459227</v>
      </c>
      <c r="D21" s="6" t="n">
        <v>75.0237161127863</v>
      </c>
      <c r="E21" s="6" t="n">
        <v>5714.91357630683</v>
      </c>
      <c r="F21" s="6" t="n">
        <v>3430.70766347</v>
      </c>
      <c r="G21" s="6" t="n">
        <v>5034.984488178106</v>
      </c>
      <c r="H21" s="6" t="n">
        <v>52840.89395738019</v>
      </c>
      <c r="I21" s="6" t="n">
        <v>7280.2205305228235</v>
      </c>
      <c r="J21" s="6">
        <f si="0" t="shared"/>
        <v>78053.764923076582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7641.180099487305</v>
      </c>
      <c r="R21" s="9" t="n">
        <v>8333.785654067993</v>
      </c>
      <c r="S21" s="9" t="n">
        <v>49415.58871173859</v>
      </c>
      <c r="T21" s="9" t="n">
        <v>0.0</v>
      </c>
      <c r="U21">
        <f si="1" t="shared"/>
        <v>73478.875248183409</v>
      </c>
    </row>
    <row r="22" spans="1:21" x14ac:dyDescent="0.25">
      <c r="A22" s="12">
        <v>0.39583333333333331</v>
      </c>
      <c r="B22" s="6" t="n">
        <v>415.0419489654506</v>
      </c>
      <c r="C22" s="6" t="n">
        <v>2740.2629743546922</v>
      </c>
      <c r="D22" s="6" t="n">
        <v>82.52608772406494</v>
      </c>
      <c r="E22" s="6" t="n">
        <v>5227.427718234203</v>
      </c>
      <c r="F22" s="6" t="n">
        <v>3107.117463384984</v>
      </c>
      <c r="G22" s="6" t="n">
        <v>3011.0550543641484</v>
      </c>
      <c r="H22" s="6" t="n">
        <v>36877.88231901193</v>
      </c>
      <c r="I22" s="6" t="n">
        <v>5870.173214841724</v>
      </c>
      <c r="J22" s="6">
        <f si="0" t="shared"/>
        <v>57331.486780881198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7055.8898277282715</v>
      </c>
      <c r="R22" s="9" t="n">
        <v>5954.205472946167</v>
      </c>
      <c r="S22" s="9" t="n">
        <v>40240.444710731506</v>
      </c>
      <c r="T22" s="9" t="n">
        <v>0.0</v>
      </c>
      <c r="U22">
        <f si="1" t="shared"/>
        <v>59799.729142740973</v>
      </c>
    </row>
    <row r="23" spans="1:21" x14ac:dyDescent="0.25">
      <c r="A23" s="12">
        <v>0.41666666666666669</v>
      </c>
      <c r="B23" s="6" t="n">
        <v>444.418356706903</v>
      </c>
      <c r="C23" s="6" t="n">
        <v>2175.3466860709977</v>
      </c>
      <c r="D23" s="6" t="n">
        <v>75.02409245512312</v>
      </c>
      <c r="E23" s="6" t="n">
        <v>4615.123492211639</v>
      </c>
      <c r="F23" s="6" t="n">
        <v>2717.779798531166</v>
      </c>
      <c r="G23" s="6" t="n">
        <v>1727.393799886553</v>
      </c>
      <c r="H23" s="6" t="n">
        <v>22353.13047079313</v>
      </c>
      <c r="I23" s="6" t="n">
        <v>4169.341176750064</v>
      </c>
      <c r="J23" s="6">
        <f si="0" t="shared"/>
        <v>38277.557873405574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6200.649910926819</v>
      </c>
      <c r="R23" s="9" t="n">
        <v>3851.7352390289307</v>
      </c>
      <c r="S23" s="9" t="n">
        <v>30291.022356033325</v>
      </c>
      <c r="T23" s="9" t="n">
        <v>0.0</v>
      </c>
      <c r="U23">
        <f si="1" t="shared"/>
        <v>45315.28675596157</v>
      </c>
    </row>
    <row r="24" spans="1:21" x14ac:dyDescent="0.25">
      <c r="A24" s="12">
        <v>0.4375</v>
      </c>
      <c r="B24" s="6" t="n">
        <v>453.2286027450916</v>
      </c>
      <c r="C24" s="6" t="n">
        <v>1696.0482297352423</v>
      </c>
      <c r="D24" s="6" t="n">
        <v>56.275313931326195</v>
      </c>
      <c r="E24" s="6" t="n">
        <v>3923.73674054636</v>
      </c>
      <c r="F24" s="6" t="n">
        <v>2374.0201041885157</v>
      </c>
      <c r="G24" s="6" t="n">
        <v>1056.8993580538813</v>
      </c>
      <c r="H24" s="6" t="n">
        <v>11935.185808068873</v>
      </c>
      <c r="I24" s="6" t="n">
        <v>2601.258539184451</v>
      </c>
      <c r="J24" s="6">
        <f si="0" t="shared"/>
        <v>24096.652696453741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5329.178071975708</v>
      </c>
      <c r="R24" s="9" t="n">
        <v>2288.2217931747437</v>
      </c>
      <c r="S24" s="9" t="n">
        <v>21527.893869400024</v>
      </c>
      <c r="T24" s="9" t="n">
        <v>0.0</v>
      </c>
      <c r="U24">
        <f si="1" t="shared"/>
        <v>32787.347021049471</v>
      </c>
    </row>
    <row r="25" spans="1:21" x14ac:dyDescent="0.25">
      <c r="A25" s="12">
        <v>0.45833333333333331</v>
      </c>
      <c r="B25" s="6" t="n">
        <v>428.4283965936273</v>
      </c>
      <c r="C25" s="6" t="n">
        <v>1356.6224803450805</v>
      </c>
      <c r="D25" s="6" t="n">
        <v>34.69783555759014</v>
      </c>
      <c r="E25" s="6" t="n">
        <v>3247.736479188192</v>
      </c>
      <c r="F25" s="6" t="n">
        <v>2135.246852419613</v>
      </c>
      <c r="G25" s="6" t="n">
        <v>736.5065050689243</v>
      </c>
      <c r="H25" s="6" t="n">
        <v>5913.590644654512</v>
      </c>
      <c r="I25" s="6" t="n">
        <v>1442.609686848402</v>
      </c>
      <c r="J25" s="6">
        <f si="0" t="shared"/>
        <v>15295.438880675942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4603.889105796814</v>
      </c>
      <c r="R25" s="9" t="n">
        <v>1275.381869316101</v>
      </c>
      <c r="S25" s="9" t="n">
        <v>14830.58210849762</v>
      </c>
      <c r="T25" s="9" t="n">
        <v>0.0</v>
      </c>
      <c r="U25">
        <f si="1" t="shared"/>
        <v>23369.294904418621</v>
      </c>
    </row>
    <row r="26" spans="1:21" x14ac:dyDescent="0.25">
      <c r="A26" s="12">
        <v>0.47916666666666669</v>
      </c>
      <c r="B26" s="6" t="n">
        <v>366.139232874788</v>
      </c>
      <c r="C26" s="6" t="n">
        <v>1150.2071724161497</v>
      </c>
      <c r="D26" s="6" t="n">
        <v>17.74219552077559</v>
      </c>
      <c r="E26" s="6" t="n">
        <v>2688.02608286446</v>
      </c>
      <c r="F26" s="6" t="n">
        <v>2010.2404085161497</v>
      </c>
      <c r="G26" s="6" t="n">
        <v>551.3467092912977</v>
      </c>
      <c r="H26" s="6" t="n">
        <v>3097.922297835827</v>
      </c>
      <c r="I26" s="6" t="n">
        <v>748.5016714819669</v>
      </c>
      <c r="J26" s="6">
        <f si="0" t="shared"/>
        <v>10630.125770801415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4076.638466835022</v>
      </c>
      <c r="R26" s="9" t="n">
        <v>687.7315082550049</v>
      </c>
      <c r="S26" s="9" t="n">
        <v>10170.39633178711</v>
      </c>
      <c r="T26" s="9" t="n">
        <v>0.0</v>
      </c>
      <c r="U26">
        <f si="1" t="shared"/>
        <v>16915.518706749746</v>
      </c>
    </row>
    <row r="27" spans="1:21" x14ac:dyDescent="0.25">
      <c r="A27" s="12">
        <v>0.5</v>
      </c>
      <c r="B27" s="6" t="n">
        <v>280.0654908576247</v>
      </c>
      <c r="C27" s="6" t="n">
        <v>1020.2217613529602</v>
      </c>
      <c r="D27" s="6" t="n">
        <v>8.74889776804497</v>
      </c>
      <c r="E27" s="6" t="n">
        <v>2276.7148462026053</v>
      </c>
      <c r="F27" s="6" t="n">
        <v>1960.6526323680037</v>
      </c>
      <c r="G27" s="6" t="n">
        <v>401.2324013437916</v>
      </c>
      <c r="H27" s="6" t="n">
        <v>2013.704252711654</v>
      </c>
      <c r="I27" s="6" t="n">
        <v>414.06455229020116</v>
      </c>
      <c r="J27" s="6">
        <f si="0" t="shared"/>
        <v>8375.4048348948854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3724.4185972213745</v>
      </c>
      <c r="R27" s="9" t="n">
        <v>373.645320892334</v>
      </c>
      <c r="S27" s="9" t="n">
        <v>7075.849265098572</v>
      </c>
      <c r="T27" s="9" t="n">
        <v>0.0</v>
      </c>
      <c r="U27">
        <f si="1" t="shared"/>
        <v>12681.627450743517</v>
      </c>
    </row>
    <row r="28" spans="1:21" x14ac:dyDescent="0.25">
      <c r="A28" s="12">
        <v>0.52083333333333337</v>
      </c>
      <c r="B28" s="6" t="n">
        <v>193.53188553671495</v>
      </c>
      <c r="C28" s="6" t="n">
        <v>903.3472250492</v>
      </c>
      <c r="D28" s="6" t="n">
        <v>8.004279277431955</v>
      </c>
      <c r="E28" s="6" t="n">
        <v>1958.637032974156</v>
      </c>
      <c r="F28" s="6" t="n">
        <v>1917.674850115564</v>
      </c>
      <c r="G28" s="6" t="n">
        <v>275.80864874965346</v>
      </c>
      <c r="H28" s="6" t="n">
        <v>1609.8101725263596</v>
      </c>
      <c r="I28" s="6" t="n">
        <v>289.9462806296348</v>
      </c>
      <c r="J28" s="6">
        <f si="0" t="shared"/>
        <v>7156.7603748587153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3500.2710933685303</v>
      </c>
      <c r="R28" s="9" t="n">
        <v>214.78234386444092</v>
      </c>
      <c r="S28" s="9" t="n">
        <v>5031.394101142883</v>
      </c>
      <c r="T28" s="9" t="n">
        <v>0.0</v>
      </c>
      <c r="U28">
        <f si="1" t="shared"/>
        <v>9903.8495233550293</v>
      </c>
    </row>
    <row r="29" spans="1:21" x14ac:dyDescent="0.25">
      <c r="A29" s="12">
        <v>0.54166666666666663</v>
      </c>
      <c r="B29" s="6" t="n">
        <v>124.13890047677819</v>
      </c>
      <c r="C29" s="6" t="n">
        <v>765.0395106165802</v>
      </c>
      <c r="D29" s="6" t="n">
        <v>15.149541205075645</v>
      </c>
      <c r="E29" s="6" t="n">
        <v>1652.3472905955982</v>
      </c>
      <c r="F29" s="6" t="n">
        <v>1821.9878627534372</v>
      </c>
      <c r="G29" s="6" t="n">
        <v>196.85070298013287</v>
      </c>
      <c r="H29" s="6" t="n">
        <v>1378.1855540261272</v>
      </c>
      <c r="I29" s="6" t="n">
        <v>261.3651524566412</v>
      </c>
      <c r="J29" s="6">
        <f si="0" t="shared"/>
        <v>6215.0645151103708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3367.236618041992</v>
      </c>
      <c r="R29" s="9" t="n">
        <v>137.7484884262085</v>
      </c>
      <c r="S29" s="9" t="n">
        <v>3660.9900226593018</v>
      </c>
      <c r="T29" s="9" t="n">
        <v>0.0</v>
      </c>
      <c r="U29">
        <f si="1" t="shared"/>
        <v>8052.0465859863798</v>
      </c>
    </row>
    <row r="30" spans="1:21" x14ac:dyDescent="0.25">
      <c r="A30" s="12">
        <v>0.5625</v>
      </c>
      <c r="B30" s="6" t="n">
        <v>76.5919369363207</v>
      </c>
      <c r="C30" s="6" t="n">
        <v>607.6696378299628</v>
      </c>
      <c r="D30" s="6" t="n">
        <v>29.597016661724716</v>
      </c>
      <c r="E30" s="6" t="n">
        <v>1327.4773477587985</v>
      </c>
      <c r="F30" s="6" t="n">
        <v>1664.2654241720138</v>
      </c>
      <c r="G30" s="6" t="n">
        <v>174.31011683212597</v>
      </c>
      <c r="H30" s="6" t="n">
        <v>1174.07394754231</v>
      </c>
      <c r="I30" s="6" t="n">
        <v>265.09091368019585</v>
      </c>
      <c r="J30" s="6">
        <f si="0" t="shared"/>
        <v>5319.0763414134517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3305.732431411743</v>
      </c>
      <c r="R30" s="9" t="n">
        <v>102.86390399932861</v>
      </c>
      <c r="S30" s="9" t="n">
        <v>2737.820697784424</v>
      </c>
      <c r="T30" s="9" t="n">
        <v>0.0</v>
      </c>
      <c r="U30">
        <f si="1" t="shared"/>
        <v>6822.8796392853737</v>
      </c>
    </row>
    <row r="31" spans="1:21" x14ac:dyDescent="0.25">
      <c r="A31" s="12">
        <v>0.58333333333333337</v>
      </c>
      <c r="B31" s="6" t="n">
        <v>47.53454079413328</v>
      </c>
      <c r="C31" s="6" t="n">
        <v>458.42542139358693</v>
      </c>
      <c r="D31" s="6" t="n">
        <v>48.94049759960382</v>
      </c>
      <c r="E31" s="6" t="n">
        <v>1023.4135350552108</v>
      </c>
      <c r="F31" s="6" t="n">
        <v>1489.2197827723714</v>
      </c>
      <c r="G31" s="6" t="n">
        <v>193.78715862127788</v>
      </c>
      <c r="H31" s="6" t="n">
        <v>1002.5214013028146</v>
      </c>
      <c r="I31" s="6" t="n">
        <v>271.5378758759499</v>
      </c>
      <c r="J31" s="6">
        <f si="0" t="shared"/>
        <v>4535.3802134149482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3304.757942199707</v>
      </c>
      <c r="R31" s="9" t="n">
        <v>89.61274337768555</v>
      </c>
      <c r="S31" s="9" t="n">
        <v>2126.0607404708862</v>
      </c>
      <c r="T31" s="9" t="n">
        <v>0.0</v>
      </c>
      <c r="U31">
        <f si="1" t="shared"/>
        <v>6036.0003905547601</v>
      </c>
    </row>
    <row r="32" spans="1:21" x14ac:dyDescent="0.25">
      <c r="A32" s="12">
        <v>0.60416666666666663</v>
      </c>
      <c r="B32" s="6" t="n">
        <v>34.212121965672836</v>
      </c>
      <c r="C32" s="6" t="n">
        <v>348.83377903755036</v>
      </c>
      <c r="D32" s="6" t="n">
        <v>68.39942005772555</v>
      </c>
      <c r="E32" s="6" t="n">
        <v>801.5597750780596</v>
      </c>
      <c r="F32" s="6" t="n">
        <v>1357.4662895193926</v>
      </c>
      <c r="G32" s="6" t="n">
        <v>227.4888426581823</v>
      </c>
      <c r="H32" s="6" t="n">
        <v>883.2728639944793</v>
      </c>
      <c r="I32" s="6" t="n">
        <v>265.1689631580114</v>
      </c>
      <c r="J32" s="6">
        <f si="0" t="shared"/>
        <v>3986.4020554690746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3354.504328727722</v>
      </c>
      <c r="R32" s="9" t="n">
        <v>86.68615436553955</v>
      </c>
      <c r="S32" s="9" t="n">
        <v>1730.4506740570068</v>
      </c>
      <c r="T32" s="9" t="n">
        <v>0.0</v>
      </c>
      <c r="U32">
        <f si="1" t="shared"/>
        <v>5554.2728570891586</v>
      </c>
    </row>
    <row r="33" spans="1:21" x14ac:dyDescent="0.25">
      <c r="A33" s="12">
        <v>0.625</v>
      </c>
      <c r="B33" s="6" t="n">
        <v>39.088670508950756</v>
      </c>
      <c r="C33" s="6" t="n">
        <v>294.5185148460295</v>
      </c>
      <c r="D33" s="6" t="n">
        <v>83.38852155503656</v>
      </c>
      <c r="E33" s="6" t="n">
        <v>688.8191087242784</v>
      </c>
      <c r="F33" s="6" t="n">
        <v>1301.3657049718672</v>
      </c>
      <c r="G33" s="6" t="n">
        <v>251.14473365442294</v>
      </c>
      <c r="H33" s="6" t="n">
        <v>805.9940187764169</v>
      </c>
      <c r="I33" s="6" t="n">
        <v>237.42355176055432</v>
      </c>
      <c r="J33" s="6">
        <f si="0" t="shared"/>
        <v>3701.7428247975568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3450.212480545044</v>
      </c>
      <c r="R33" s="9" t="n">
        <v>87.14412498474121</v>
      </c>
      <c r="S33" s="9" t="n">
        <v>1475.495120048523</v>
      </c>
      <c r="T33" s="9" t="n">
        <v>0.0</v>
      </c>
      <c r="U33">
        <f si="1" t="shared"/>
        <v>5263.4280757372662</v>
      </c>
    </row>
    <row r="34" spans="1:21" x14ac:dyDescent="0.25">
      <c r="A34" s="12">
        <v>0.64583333333333337</v>
      </c>
      <c r="B34" s="6" t="n">
        <v>68.97655914480956</v>
      </c>
      <c r="C34" s="6" t="n">
        <v>285.6118267831887</v>
      </c>
      <c r="D34" s="6" t="n">
        <v>92.94901941226404</v>
      </c>
      <c r="E34" s="6" t="n">
        <v>663.739285404969</v>
      </c>
      <c r="F34" s="6" t="n">
        <v>1312.3887318981347</v>
      </c>
      <c r="G34" s="6" t="n">
        <v>253.79193264006767</v>
      </c>
      <c r="H34" s="6" t="n">
        <v>744.3408027094604</v>
      </c>
      <c r="I34" s="6" t="n">
        <v>188.78905595457553</v>
      </c>
      <c r="J34" s="6">
        <f si="0" t="shared"/>
        <v>3610.5872139474691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3601.0939292907715</v>
      </c>
      <c r="R34" s="9" t="n">
        <v>86.7353744506836</v>
      </c>
      <c r="S34" s="9" t="n">
        <v>1303.3861484527588</v>
      </c>
      <c r="T34" s="9" t="n">
        <v>0.0</v>
      </c>
      <c r="U34">
        <f si="1" t="shared"/>
        <v>5084.9849807632409</v>
      </c>
    </row>
    <row r="35" spans="1:21" x14ac:dyDescent="0.25">
      <c r="A35" s="12">
        <v>0.66666666666666663</v>
      </c>
      <c r="B35" s="6" t="n">
        <v>130.27031157724733</v>
      </c>
      <c r="C35" s="6" t="n">
        <v>294.64654660470603</v>
      </c>
      <c r="D35" s="6" t="n">
        <v>99.52899308923173</v>
      </c>
      <c r="E35" s="6" t="n">
        <v>681.4085683005942</v>
      </c>
      <c r="F35" s="6" t="n">
        <v>1358.232011642498</v>
      </c>
      <c r="G35" s="6" t="n">
        <v>236.710678987145</v>
      </c>
      <c r="H35" s="6" t="n">
        <v>683.2355140714645</v>
      </c>
      <c r="I35" s="6" t="n">
        <v>129.84726829230786</v>
      </c>
      <c r="J35" s="6">
        <f si="0" t="shared"/>
        <v>3613.879892565195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3827.34512424469</v>
      </c>
      <c r="R35" s="9" t="n">
        <v>83.40518093109131</v>
      </c>
      <c r="S35" s="9" t="n">
        <v>1174.7741947174072</v>
      </c>
      <c r="T35" s="9" t="n">
        <v>0.0</v>
      </c>
      <c r="U35">
        <f si="1" t="shared"/>
        <v>4981.1067801394183</v>
      </c>
    </row>
    <row r="36" spans="1:21" x14ac:dyDescent="0.25">
      <c r="A36" s="12">
        <v>0.6875</v>
      </c>
      <c r="B36" s="6" t="n">
        <v>221.7634210127891</v>
      </c>
      <c r="C36" s="6" t="n">
        <v>294.9758660618668</v>
      </c>
      <c r="D36" s="6" t="n">
        <v>104.57379351642626</v>
      </c>
      <c r="E36" s="6" t="n">
        <v>701.4684824152494</v>
      </c>
      <c r="F36" s="6" t="n">
        <v>1399.5180839738907</v>
      </c>
      <c r="G36" s="6" t="n">
        <v>206.15111058092117</v>
      </c>
      <c r="H36" s="6" t="n">
        <v>627.1375033283234</v>
      </c>
      <c r="I36" s="6" t="n">
        <v>75.54960353660584</v>
      </c>
      <c r="J36" s="6">
        <f si="0" t="shared"/>
        <v>3631.1378644260726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4134.929087638855</v>
      </c>
      <c r="R36" s="9" t="n">
        <v>76.82320308685303</v>
      </c>
      <c r="S36" s="9" t="n">
        <v>1065.274941444397</v>
      </c>
      <c r="T36" s="9" t="n">
        <v>0.0</v>
      </c>
      <c r="U36">
        <f si="1" t="shared"/>
        <v>4931.801792833432</v>
      </c>
    </row>
    <row r="37" spans="1:21" x14ac:dyDescent="0.25">
      <c r="A37" s="12">
        <v>0.70833333333333337</v>
      </c>
      <c r="B37" s="6" t="n">
        <v>328.04127531163743</v>
      </c>
      <c r="C37" s="6" t="n">
        <v>274.08760062534475</v>
      </c>
      <c r="D37" s="6" t="n">
        <v>105.20306953943003</v>
      </c>
      <c r="E37" s="6" t="n">
        <v>699.5680094798602</v>
      </c>
      <c r="F37" s="6" t="n">
        <v>1392.8022543712882</v>
      </c>
      <c r="G37" s="6" t="n">
        <v>167.65194721639156</v>
      </c>
      <c r="H37" s="6" t="n">
        <v>586.8534228247404</v>
      </c>
      <c r="I37" s="6" t="n">
        <v>36.42376606941223</v>
      </c>
      <c r="J37" s="6">
        <f si="0" t="shared"/>
        <v>3590.6313454381047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4481.123170852661</v>
      </c>
      <c r="R37" s="9" t="n">
        <v>67.65646743774414</v>
      </c>
      <c r="S37" s="9" t="n">
        <v>959.2784099578857</v>
      </c>
      <c r="T37" s="9" t="n">
        <v>0.0</v>
      </c>
      <c r="U37">
        <f si="1" t="shared"/>
        <v>4898.8352195224143</v>
      </c>
    </row>
    <row r="38" spans="1:21" x14ac:dyDescent="0.25">
      <c r="A38" s="12">
        <v>0.72916666666666663</v>
      </c>
      <c r="B38" s="6" t="n">
        <v>419.37371602899435</v>
      </c>
      <c r="C38" s="6" t="n">
        <v>233.79520166628052</v>
      </c>
      <c r="D38" s="6" t="n">
        <v>96.58721003937049</v>
      </c>
      <c r="E38" s="6" t="n">
        <v>667.069335172351</v>
      </c>
      <c r="F38" s="6" t="n">
        <v>1297.7131149568177</v>
      </c>
      <c r="G38" s="6" t="n">
        <v>125.54651940917968</v>
      </c>
      <c r="H38" s="6" t="n">
        <v>562.5953470799924</v>
      </c>
      <c r="I38" s="6" t="n">
        <v>14.229017102718352</v>
      </c>
      <c r="J38" s="6">
        <f si="0" t="shared"/>
        <v>3416.9094614557043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4764.773948669434</v>
      </c>
      <c r="R38" s="9" t="n">
        <v>56.878872871398926</v>
      </c>
      <c r="S38" s="9" t="n">
        <v>845.754225730896</v>
      </c>
      <c r="T38" s="9" t="n">
        <v>0.0</v>
      </c>
      <c r="U38">
        <f si="1" t="shared"/>
        <v>4810.1589183259648</v>
      </c>
    </row>
    <row r="39" spans="1:21" x14ac:dyDescent="0.25">
      <c r="A39" s="12">
        <v>0.75</v>
      </c>
      <c r="B39" s="6" t="n">
        <v>462.90702771430267</v>
      </c>
      <c r="C39" s="6" t="n">
        <v>182.75202046475272</v>
      </c>
      <c r="D39" s="6" t="n">
        <v>77.56400890054837</v>
      </c>
      <c r="E39" s="6" t="n">
        <v>606.4671019705492</v>
      </c>
      <c r="F39" s="6" t="n">
        <v>1100.6633607076337</v>
      </c>
      <c r="G39" s="6" t="n">
        <v>84.70410970330238</v>
      </c>
      <c r="H39" s="6" t="n">
        <v>539.184232833624</v>
      </c>
      <c r="I39" s="6" t="n">
        <v>4.3796567852497095</v>
      </c>
      <c r="J39" s="6">
        <f si="0" t="shared"/>
        <v>3058.621519079963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4866.729608535767</v>
      </c>
      <c r="R39" s="9" t="n">
        <v>45.437153816223145</v>
      </c>
      <c r="S39" s="9" t="n">
        <v>718.7367134094238</v>
      </c>
      <c r="T39" s="9" t="n">
        <v>0.0</v>
      </c>
      <c r="U39">
        <f si="1" t="shared"/>
        <v>4586.7026958828155</v>
      </c>
    </row>
    <row r="40" spans="1:21" x14ac:dyDescent="0.25">
      <c r="A40" s="12">
        <v>0.77083333333333337</v>
      </c>
      <c r="B40" s="6" t="n">
        <v>441.42866941994265</v>
      </c>
      <c r="C40" s="6" t="n">
        <v>130.22351483604007</v>
      </c>
      <c r="D40" s="6" t="n">
        <v>52.94351923675183</v>
      </c>
      <c r="E40" s="6" t="n">
        <v>524.3307854923125</v>
      </c>
      <c r="F40" s="6" t="n">
        <v>833.8816713684718</v>
      </c>
      <c r="G40" s="6" t="n">
        <v>50.34244831085205</v>
      </c>
      <c r="H40" s="6" t="n">
        <v>495.46998244643225</v>
      </c>
      <c r="I40" s="6" t="n">
        <v>1.0220418049097062</v>
      </c>
      <c r="J40" s="6">
        <f si="0" t="shared"/>
        <v>2529.642632915713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4721.974138259888</v>
      </c>
      <c r="R40" s="9" t="n">
        <v>34.252129554748535</v>
      </c>
      <c r="S40" s="9" t="n">
        <v>580.5308113098145</v>
      </c>
      <c r="T40" s="9" t="n">
        <v>0.0</v>
      </c>
      <c r="U40">
        <f si="1" t="shared"/>
        <v>4195.1065312268011</v>
      </c>
    </row>
    <row r="41" spans="1:21" x14ac:dyDescent="0.25">
      <c r="A41" s="12">
        <v>0.79166666666666663</v>
      </c>
      <c r="B41" s="6" t="n">
        <v>366.03669885500364</v>
      </c>
      <c r="C41" s="6" t="n">
        <v>83.6804163248615</v>
      </c>
      <c r="D41" s="6" t="n">
        <v>30.124737605945995</v>
      </c>
      <c r="E41" s="6" t="n">
        <v>426.0958553416811</v>
      </c>
      <c r="F41" s="6" t="n">
        <v>561.8935436475193</v>
      </c>
      <c r="G41" s="6" t="n">
        <v>25.823769475817684</v>
      </c>
      <c r="H41" s="6" t="n">
        <v>419.3077339355947</v>
      </c>
      <c r="I41" s="6" t="n">
        <v>0.1919787907600403</v>
      </c>
      <c r="J41" s="6">
        <f si="0" t="shared"/>
        <v>1913.1547339771837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4363.560969352722</v>
      </c>
      <c r="R41" s="9" t="n">
        <v>24.248316764831543</v>
      </c>
      <c r="S41" s="9" t="n">
        <v>442.40325927734375</v>
      </c>
      <c r="T41" s="9" t="n">
        <v>0.0</v>
      </c>
      <c r="U41">
        <f si="1" t="shared"/>
        <v>3678.2102023509005</v>
      </c>
    </row>
    <row r="42" spans="1:21" x14ac:dyDescent="0.25">
      <c r="A42" s="12">
        <v>0.8125</v>
      </c>
      <c r="B42" s="6" t="n">
        <v>270.10121405953265</v>
      </c>
      <c r="C42" s="6" t="n">
        <v>47.86708578638478</v>
      </c>
      <c r="D42" s="6" t="n">
        <v>14.053346845149882</v>
      </c>
      <c r="E42" s="6" t="n">
        <v>317.85871667176355</v>
      </c>
      <c r="F42" s="6" t="n">
        <v>342.6066205350371</v>
      </c>
      <c r="G42" s="6" t="n">
        <v>11.211257547140121</v>
      </c>
      <c r="H42" s="6" t="n">
        <v>317.4658111827374</v>
      </c>
      <c r="I42" s="6" t="n">
        <v>0.2336232054233551</v>
      </c>
      <c r="J42" s="6">
        <f si="0" t="shared"/>
        <v>1321.3976758331689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3892.962562561035</v>
      </c>
      <c r="R42" s="9" t="n">
        <v>16.1783390045166</v>
      </c>
      <c r="S42" s="9" t="n">
        <v>319.45794010162354</v>
      </c>
      <c r="T42" s="9" t="n">
        <v>0.0</v>
      </c>
      <c r="U42">
        <f si="1" t="shared"/>
        <v>3128.1214032846005</v>
      </c>
    </row>
    <row r="43" spans="1:21" x14ac:dyDescent="0.25">
      <c r="A43" s="12">
        <v>0.83333333333333337</v>
      </c>
      <c r="B43" s="6" t="n">
        <v>187.43986804428576</v>
      </c>
      <c r="C43" s="6" t="n">
        <v>24.092838207802338</v>
      </c>
      <c r="D43" s="6" t="n">
        <v>5.275425642805715</v>
      </c>
      <c r="E43" s="6" t="n">
        <v>211.15034287575784</v>
      </c>
      <c r="F43" s="6" t="n">
        <v>198.27988925519963</v>
      </c>
      <c r="G43" s="6" t="n">
        <v>4.030072354316712</v>
      </c>
      <c r="H43" s="6" t="n">
        <v>215.2427794712782</v>
      </c>
      <c r="I43" s="6" t="n">
        <v>1.2959699016809463</v>
      </c>
      <c r="J43" s="6">
        <f si="0" t="shared"/>
        <v>846.8071857531271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3400.4354791641235</v>
      </c>
      <c r="R43" s="9" t="n">
        <v>10.341920852661133</v>
      </c>
      <c r="S43" s="9" t="n">
        <v>222.45307159423828</v>
      </c>
      <c r="T43" s="9" t="n">
        <v>0.0</v>
      </c>
      <c r="U43">
        <f si="1" t="shared"/>
        <v>2621.0374878606076</v>
      </c>
    </row>
    <row r="44" spans="1:21" x14ac:dyDescent="0.25">
      <c r="A44" s="12">
        <v>0.85416666666666663</v>
      </c>
      <c r="B44" s="6" t="n">
        <v>132.85005458285374</v>
      </c>
      <c r="C44" s="6" t="n">
        <v>10.5696497902308</v>
      </c>
      <c r="D44" s="6" t="n">
        <v>1.5537988533919858</v>
      </c>
      <c r="E44" s="6" t="n">
        <v>121.43584344765947</v>
      </c>
      <c r="F44" s="6" t="n">
        <v>117.22082745435142</v>
      </c>
      <c r="G44" s="6" t="n">
        <v>1.1657676637172698</v>
      </c>
      <c r="H44" s="6" t="n">
        <v>149.5066103413105</v>
      </c>
      <c r="I44" s="6" t="n">
        <v>5.5040946060419085</v>
      </c>
      <c r="J44" s="6">
        <f si="0" t="shared"/>
        <v>539.8066467395571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2909.811926841736</v>
      </c>
      <c r="R44" s="9" t="n">
        <v>6.494655609130859</v>
      </c>
      <c r="S44" s="9" t="n">
        <v>152.95264530181885</v>
      </c>
      <c r="T44" s="9" t="n">
        <v>0.0</v>
      </c>
      <c r="U44">
        <f si="1" t="shared"/>
        <v>2172.7274651908551</v>
      </c>
    </row>
    <row r="45" spans="1:21" x14ac:dyDescent="0.25">
      <c r="A45" s="12">
        <v>0.875</v>
      </c>
      <c r="B45" s="6" t="n">
        <v>100.35295403796344</v>
      </c>
      <c r="C45" s="6" t="n">
        <v>4.00277364642504</v>
      </c>
      <c r="D45" s="6" t="n">
        <v>0.3458028040912819</v>
      </c>
      <c r="E45" s="6" t="n">
        <v>59.87661079753222</v>
      </c>
      <c r="F45" s="6" t="n">
        <v>74.70559395197267</v>
      </c>
      <c r="G45" s="6" t="n">
        <v>0.2604265022277832</v>
      </c>
      <c r="H45" s="6" t="n">
        <v>162.18780317723753</v>
      </c>
      <c r="I45" s="6" t="n">
        <v>17.61310273933411</v>
      </c>
      <c r="J45" s="6">
        <f si="0" t="shared"/>
        <v>419.34506765678412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2394.934091567993</v>
      </c>
      <c r="R45" s="9" t="n">
        <v>4.067656517028809</v>
      </c>
      <c r="S45" s="9" t="n">
        <v>105.10162830352783</v>
      </c>
      <c r="T45" s="9" t="n">
        <v>0.0</v>
      </c>
      <c r="U45">
        <f si="1" t="shared"/>
        <v>1752.2070095077397</v>
      </c>
    </row>
    <row r="46" spans="1:21" x14ac:dyDescent="0.25">
      <c r="A46" s="12">
        <v>0.89583333333333337</v>
      </c>
      <c r="B46" s="6" t="n">
        <v>76.51373116539526</v>
      </c>
      <c r="C46" s="6" t="n">
        <v>1.2896922317096486</v>
      </c>
      <c r="D46" s="6" t="n">
        <v>0.054681627488756185</v>
      </c>
      <c r="E46" s="6" t="n">
        <v>27.364005995851443</v>
      </c>
      <c r="F46" s="6" t="n">
        <v>50.71635570428927</v>
      </c>
      <c r="G46" s="6" t="n">
        <v>0.042094305276870726</v>
      </c>
      <c r="H46" s="6" t="n">
        <v>291.4737332911492</v>
      </c>
      <c r="I46" s="6" t="n">
        <v>44.032756848335275</v>
      </c>
      <c r="J46" s="6">
        <f si="0" t="shared"/>
        <v>491.48705116949571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1840.6710777282715</v>
      </c>
      <c r="R46" s="9" t="n">
        <v>2.506267547607422</v>
      </c>
      <c r="S46" s="9" t="n">
        <v>71.22289657592773</v>
      </c>
      <c r="T46" s="9" t="n">
        <v>0.0</v>
      </c>
      <c r="U46">
        <f si="1" t="shared"/>
        <v>1332.2940994430458</v>
      </c>
    </row>
    <row r="47" spans="1:21" x14ac:dyDescent="0.25">
      <c r="A47" s="12">
        <v>0.91666666666666663</v>
      </c>
      <c r="B47" s="6" t="n">
        <v>53.6067496165241</v>
      </c>
      <c r="C47" s="6" t="n">
        <v>0.34469717807336386</v>
      </c>
      <c r="D47" s="6" t="n">
        <v>0.005476281222625733</v>
      </c>
      <c r="E47" s="6" t="n">
        <v>16.36233681777306</v>
      </c>
      <c r="F47" s="6" t="n">
        <v>34.97226996139133</v>
      </c>
      <c r="G47" s="6" t="n">
        <v>0.004371876716613769</v>
      </c>
      <c r="H47" s="6" t="n">
        <v>548.3772723946571</v>
      </c>
      <c r="I47" s="6" t="n">
        <v>88.06551369667055</v>
      </c>
      <c r="J47" s="6">
        <f si="0" t="shared"/>
        <v>741.73868782302873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1282.7420282363892</v>
      </c>
      <c r="R47" s="9" t="n">
        <v>1.462514877319336</v>
      </c>
      <c r="S47" s="9" t="n">
        <v>46.10093307495117</v>
      </c>
      <c r="T47" s="9" t="n">
        <v>0.0</v>
      </c>
      <c r="U47">
        <f si="1" t="shared"/>
        <v>924.6098696046505</v>
      </c>
    </row>
    <row r="48" spans="1:21" x14ac:dyDescent="0.25">
      <c r="A48" s="12">
        <v>0.9375</v>
      </c>
      <c r="B48" s="6" t="n">
        <v>32.244747898325414</v>
      </c>
      <c r="C48" s="6" t="n">
        <v>0.07321814252403089</v>
      </c>
      <c r="D48" s="6" t="n">
        <v>2.6116189030361175E-4</v>
      </c>
      <c r="E48" s="6" t="n">
        <v>16.84406134000156</v>
      </c>
      <c r="F48" s="6" t="n">
        <v>23.74502328827832</v>
      </c>
      <c r="G48" s="6" t="n">
        <v>2.185938358306885E-4</v>
      </c>
      <c r="H48" s="6" t="n">
        <v>882.615024843216</v>
      </c>
      <c r="I48" s="6" t="n">
        <v>143.10645975708962</v>
      </c>
      <c r="J48" s="6">
        <f si="0" t="shared"/>
        <v>1098.6290150251612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791.9574956893921</v>
      </c>
      <c r="R48" s="9" t="n">
        <v>0.7750425338745117</v>
      </c>
      <c r="S48" s="9" t="n">
        <v>27.600974082946777</v>
      </c>
      <c r="T48" s="9" t="n">
        <v>0.0</v>
      </c>
      <c r="U48">
        <f si="1" t="shared"/>
        <v>570.97929450434901</v>
      </c>
    </row>
    <row r="49" spans="1:21" x14ac:dyDescent="0.25">
      <c r="A49" s="12">
        <v>0.95833333333333337</v>
      </c>
      <c r="B49" s="6" t="n">
        <v>16.016999221046486</v>
      </c>
      <c r="C49" s="6" t="n">
        <v>0.011518518718782426</v>
      </c>
      <c r="D49" s="6" t="n">
        <v>0.0</v>
      </c>
      <c r="E49" s="6" t="n">
        <v>20.546520010692078</v>
      </c>
      <c r="F49" s="6" t="n">
        <v>15.715802910206074</v>
      </c>
      <c r="G49" s="6" t="n">
        <v>0.0</v>
      </c>
      <c r="H49" s="6" t="n">
        <v>1175.2028288246395</v>
      </c>
      <c r="I49" s="6" t="n">
        <v>190.8086130094528</v>
      </c>
      <c r="J49" s="6">
        <f si="0" t="shared"/>
        <v>1418.3022824947557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426.4567279815674</v>
      </c>
      <c r="R49" s="9" t="n">
        <v>0.3605794906616211</v>
      </c>
      <c r="S49" s="9" t="n">
        <v>14.986477851867676</v>
      </c>
      <c r="T49" s="9" t="n">
        <v>0.0</v>
      </c>
      <c r="U49">
        <f si="1" t="shared"/>
        <v>308.63725335188138</v>
      </c>
    </row>
    <row r="50" spans="1:21" x14ac:dyDescent="0.25">
      <c r="A50" s="12">
        <v>0.97916666666666663</v>
      </c>
      <c r="B50" s="6" t="n">
        <v>6.397251487283302</v>
      </c>
      <c r="C50" s="6" t="n">
        <v>0.0011838331342144015</v>
      </c>
      <c r="D50" s="6" t="n">
        <v>0.0</v>
      </c>
      <c r="E50" s="6" t="n">
        <v>22.330237905971902</v>
      </c>
      <c r="F50" s="6" t="n">
        <v>10.022251428365708</v>
      </c>
      <c r="G50" s="6" t="n">
        <v>0.0</v>
      </c>
      <c r="H50" s="6" t="n">
        <v>1292.5003897743227</v>
      </c>
      <c r="I50" s="6" t="n">
        <v>209.88947431039813</v>
      </c>
      <c r="J50" s="6">
        <f si="0" t="shared"/>
        <v>1541.140788739476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198.9072380065918</v>
      </c>
      <c r="R50" s="9" t="n">
        <v>0.1434478759765625</v>
      </c>
      <c r="S50" s="9" t="n">
        <v>7.358424186706543</v>
      </c>
      <c r="T50" s="9" t="n">
        <v>0.0</v>
      </c>
      <c r="U50">
        <f si="1" t="shared"/>
        <v>145.0632535224299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5.99294889330864</v>
      </c>
      <c r="G51" s="6" t="n">
        <v>0.0</v>
      </c>
      <c r="H51" s="6" t="n">
        <v>1174.9806510030032</v>
      </c>
      <c r="I51" s="6" t="n">
        <v>190.80861300945287</v>
      </c>
      <c r="J51" s="6">
        <f si="0" t="shared"/>
        <v>1394.0566082987384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80.83661079406738</v>
      </c>
      <c r="R51" s="9" t="n">
        <v>0.04761219024658203</v>
      </c>
      <c r="S51" s="9" t="n">
        <v>3.313553810119629</v>
      </c>
      <c r="T51" s="9" t="n">
        <v>0.0</v>
      </c>
      <c r="U51">
        <f si="1" t="shared"/>
        <v>59.665805282425886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3.2358472406864163</v>
      </c>
      <c r="G52" s="6" t="n">
        <v>0.0</v>
      </c>
      <c r="H52" s="6" t="n">
        <v>881.2346489167214</v>
      </c>
      <c r="I52" s="6" t="n">
        <v>143.10645975708962</v>
      </c>
      <c r="J52" s="6">
        <f si="0" t="shared"/>
        <v>1043.2528781890896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29.376349449157715</v>
      </c>
      <c r="R52" s="9" t="n">
        <v>0.012803077697753906</v>
      </c>
      <c r="S52" s="9" t="n">
        <v>1.4011211395263672</v>
      </c>
      <c r="T52" s="9" t="n">
        <v>0.0</v>
      </c>
      <c r="U52">
        <f si="1" t="shared"/>
        <v>22.007365009532545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1.5200758039951323</v>
      </c>
      <c r="G53" s="6" t="n">
        <v>0.0</v>
      </c>
      <c r="H53" s="6" t="n">
        <v>542.2982454872132</v>
      </c>
      <c r="I53" s="6" t="n">
        <v>88.06551369667054</v>
      </c>
      <c r="J53" s="6">
        <f si="0" t="shared"/>
        <v>641.31952955287488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9.987995147705078</v>
      </c>
      <c r="R53" s="9" t="n">
        <v>0.0026760101318359375</v>
      </c>
      <c r="S53" s="9" t="n">
        <v>0.5631504058837891</v>
      </c>
      <c r="T53" s="9" t="n">
        <v>0.0</v>
      </c>
      <c r="U53">
        <f si="1" t="shared"/>
        <v>7.5690124003496395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271.1491227436066</v>
      </c>
      <c r="I54" s="6" t="n">
        <v>44.03275684833527</v>
      </c>
      <c r="J54" s="6">
        <f si="0" t="shared"/>
        <v>320.4704705284226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3.2865753173828125</v>
      </c>
      <c r="R54" s="9" t="n">
        <v>4.0721893310546875E-4</v>
      </c>
      <c r="S54" s="9" t="n">
        <v>0.21065902709960938</v>
      </c>
      <c r="T54" s="9" t="n">
        <v>0.0</v>
      </c>
      <c r="U54">
        <f si="1" t="shared"/>
        <v>2.488912572074502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108.45964909744262</v>
      </c>
      <c r="I55" s="6" t="n">
        <v>17.613102739334106</v>
      </c>
      <c r="J55" s="6">
        <f si="0" t="shared"/>
        <v>128.13958259405601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1.0212936401367188</v>
      </c>
      <c r="R55" s="9" t="n">
        <v>4.00543212890625E-5</v>
      </c>
      <c r="S55" s="9" t="n">
        <v>0.06962108612060547</v>
      </c>
      <c r="T55" s="9" t="n">
        <v>0.0</v>
      </c>
      <c r="U55">
        <f si="1" t="shared"/>
        <v>0.76215270274469782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33.886644751548765</v>
      </c>
      <c r="I56" s="6" t="n">
        <v>5.502958570003509</v>
      </c>
      <c r="J56" s="6">
        <f si="0" t="shared"/>
        <v>40.024438388542634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0.27672290802001953</v>
      </c>
      <c r="R56" s="9" t="n">
        <v>1.9073486328125E-6</v>
      </c>
      <c r="S56" s="9" t="n">
        <v>0.019080162048339844</v>
      </c>
      <c r="T56" s="9" t="n">
        <v>0.0</v>
      </c>
      <c r="U56">
        <f si="1" t="shared"/>
        <v>0.20196600805683892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7.8350623703002915</v>
      </c>
      <c r="I57" s="6" t="n">
        <v>1.2723603630065918</v>
      </c>
      <c r="J57" s="6">
        <f si="0" t="shared"/>
        <v>9.2523155989229569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0.05869007110595703</v>
      </c>
      <c r="R57" s="9" t="n">
        <v>0.0</v>
      </c>
      <c r="S57" s="9" t="n">
        <v>0.004004478454589844</v>
      </c>
      <c r="T57" s="9" t="n">
        <v>0.0</v>
      </c>
      <c r="U57">
        <f si="1" t="shared"/>
        <v>4.1859371191226347E-2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4843.0</v>
      </c>
      <c r="N8" s="9" t="n">
        <v>911.0</v>
      </c>
      <c r="O8" s="9" t="n">
        <v>309.0</v>
      </c>
      <c r="P8" s="9" t="n">
        <v>831.0</v>
      </c>
      <c r="Q8" s="9" t="n">
        <v>807.0</v>
      </c>
      <c r="R8" s="9" t="n">
        <v>145.0</v>
      </c>
      <c r="S8" s="9" t="n">
        <v>880.0</v>
      </c>
      <c r="T8" s="9" t="n">
        <v>476.0</v>
      </c>
      <c r="U8">
        <f>SUM(M8:T8)</f>
        <v>7952.5489812731857</v>
      </c>
      <c r="W8" s="5"/>
      <c r="X8" s="16"/>
      <c r="Y8" s="16"/>
      <c r="Z8" s="5"/>
    </row>
    <row r="9" spans="1:26" x14ac:dyDescent="0.25">
      <c r="A9" s="12">
        <v>0.125</v>
      </c>
      <c r="B9" s="6" t="n">
        <v>766.0866876684747</v>
      </c>
      <c r="C9" s="6" t="n">
        <v>172.158250418381</v>
      </c>
      <c r="D9" s="6" t="n">
        <v>79.59609796582683</v>
      </c>
      <c r="E9" s="6" t="n">
        <v>321.97951758052955</v>
      </c>
      <c r="F9" s="6" t="n">
        <v>43.8035883086844</v>
      </c>
      <c r="G9" s="6" t="n">
        <v>4.877309799194336E-4</v>
      </c>
      <c r="H9" s="6" t="n">
        <v>222.94884768342973</v>
      </c>
      <c r="I9" s="6" t="n">
        <v>71.2615394706726</v>
      </c>
      <c r="J9" s="6">
        <f ref="J9:J58" si="0" t="shared">SUM(B9:I9)</f>
        <v>1677.8350168269787</v>
      </c>
      <c r="L9" s="12">
        <v>0.125</v>
      </c>
      <c r="M9" s="9" t="n">
        <v>4818.622230529785</v>
      </c>
      <c r="N9" s="9" t="n">
        <v>903.752631187439</v>
      </c>
      <c r="O9" s="9" t="n">
        <v>568.3972806930542</v>
      </c>
      <c r="P9" s="9" t="n">
        <v>950.2376184463501</v>
      </c>
      <c r="Q9" s="9" t="n">
        <v>572.0090293884277</v>
      </c>
      <c r="R9" s="9" t="n">
        <v>115.4954662322998</v>
      </c>
      <c r="S9" s="9" t="n">
        <v>828.8611059188843</v>
      </c>
      <c r="T9" s="9" t="n">
        <v>542.4441413879395</v>
      </c>
      <c r="U9">
        <f ref="U9:U58" si="1" t="shared">SUM(M9:T9)</f>
        <v>8918.0958020170492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1602.0883520287696</v>
      </c>
      <c r="C10" s="6" t="n">
        <v>322.1623445212124</v>
      </c>
      <c r="D10" s="6" t="n">
        <v>186.2050519697929</v>
      </c>
      <c r="E10" s="6" t="n">
        <v>667.6414701295136</v>
      </c>
      <c r="F10" s="6" t="n">
        <v>89.18078893177355</v>
      </c>
      <c r="G10" s="6" t="n">
        <v>0.011217751497606275</v>
      </c>
      <c r="H10" s="6" t="n">
        <v>410.8152789127827</v>
      </c>
      <c r="I10" s="6" t="n">
        <v>148.51731208622456</v>
      </c>
      <c r="J10" s="6">
        <f si="0" t="shared"/>
        <v>3426.6218163315662</v>
      </c>
      <c r="L10" s="12">
        <v>0.14583333333333334</v>
      </c>
      <c r="M10" s="9" t="n">
        <v>4771.611566543579</v>
      </c>
      <c r="N10" s="9" t="n">
        <v>909.7011394500732</v>
      </c>
      <c r="O10" s="9" t="n">
        <v>809.4199409484863</v>
      </c>
      <c r="P10" s="9" t="n">
        <v>1073.2786388397217</v>
      </c>
      <c r="Q10" s="9" t="n">
        <v>376.4794158935547</v>
      </c>
      <c r="R10" s="9" t="n">
        <v>91.3533124923706</v>
      </c>
      <c r="S10" s="9" t="n">
        <v>794.8144874572754</v>
      </c>
      <c r="T10" s="9" t="n">
        <v>614.6968240737915</v>
      </c>
      <c r="U10">
        <f si="1" t="shared"/>
        <v>9583.7121753919564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2578.909242163688</v>
      </c>
      <c r="C11" s="6" t="n">
        <v>471.28968838108943</v>
      </c>
      <c r="D11" s="6" t="n">
        <v>360.1401773861351</v>
      </c>
      <c r="E11" s="6" t="n">
        <v>1081.5753075278901</v>
      </c>
      <c r="F11" s="6" t="n">
        <v>136.77925592862374</v>
      </c>
      <c r="G11" s="6" t="n">
        <v>0.12193152416904449</v>
      </c>
      <c r="H11" s="6" t="n">
        <v>531.5682743198872</v>
      </c>
      <c r="I11" s="6" t="n">
        <v>233.89970362353324</v>
      </c>
      <c r="J11" s="6">
        <f si="0" t="shared"/>
        <v>5394.2835808550162</v>
      </c>
      <c r="L11" s="12">
        <v>0.16666666666666666</v>
      </c>
      <c r="M11" s="9" t="n">
        <v>4789.544720649719</v>
      </c>
      <c r="N11" s="9" t="n">
        <v>967.8051137924194</v>
      </c>
      <c r="O11" s="9" t="n">
        <v>1067.9403018951416</v>
      </c>
      <c r="P11" s="9" t="n">
        <v>1250.611520767212</v>
      </c>
      <c r="Q11" s="9" t="n">
        <v>245.96544933319092</v>
      </c>
      <c r="R11" s="9" t="n">
        <v>76.7798433303833</v>
      </c>
      <c r="S11" s="9" t="n">
        <v>809.8198223114014</v>
      </c>
      <c r="T11" s="9" t="n">
        <v>726.5203685760498</v>
      </c>
      <c r="U11">
        <f si="1" t="shared"/>
        <v>10137.6856148723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3777.5783622664812</v>
      </c>
      <c r="C12" s="6" t="n">
        <v>700.5364726648729</v>
      </c>
      <c r="D12" s="6" t="n">
        <v>660.7614418595108</v>
      </c>
      <c r="E12" s="6" t="n">
        <v>1661.4073840060878</v>
      </c>
      <c r="F12" s="6" t="n">
        <v>188.52439447763112</v>
      </c>
      <c r="G12" s="6" t="n">
        <v>0.834175173213253</v>
      </c>
      <c r="H12" s="6" t="n">
        <v>575.9617655388117</v>
      </c>
      <c r="I12" s="6" t="n">
        <v>339.66962238037576</v>
      </c>
      <c r="J12" s="6">
        <f si="0" t="shared"/>
        <v>7905.2736183669849</v>
      </c>
      <c r="L12" s="12">
        <v>0.1875</v>
      </c>
      <c r="M12" s="9" t="n">
        <v>5091.2917404174805</v>
      </c>
      <c r="N12" s="9" t="n">
        <v>1153.415810585022</v>
      </c>
      <c r="O12" s="9" t="n">
        <v>1458.1582612991333</v>
      </c>
      <c r="P12" s="9" t="n">
        <v>1602.6578178405762</v>
      </c>
      <c r="Q12" s="9" t="n">
        <v>188.25118827819824</v>
      </c>
      <c r="R12" s="9" t="n">
        <v>74.32887363433838</v>
      </c>
      <c r="S12" s="9" t="n">
        <v>924.9681158065796</v>
      </c>
      <c r="T12" s="9" t="n">
        <v>953.470781326294</v>
      </c>
      <c r="U12">
        <f si="1" t="shared"/>
        <v>11365.636374665397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5296.249810415318</v>
      </c>
      <c r="C13" s="6" t="n">
        <v>1131.5369534384731</v>
      </c>
      <c r="D13" s="6" t="n">
        <v>1167.2187620484697</v>
      </c>
      <c r="E13" s="6" t="n">
        <v>2598.1769646998982</v>
      </c>
      <c r="F13" s="6" t="n">
        <v>253.1006578115337</v>
      </c>
      <c r="G13" s="6" t="n">
        <v>4.0343628678928</v>
      </c>
      <c r="H13" s="6" t="n">
        <v>584.3279906255008</v>
      </c>
      <c r="I13" s="6" t="n">
        <v>520.9142904980181</v>
      </c>
      <c r="J13" s="6">
        <f si="0" t="shared"/>
        <v>11555.559792405105</v>
      </c>
      <c r="L13" s="12">
        <v>0.20833333333333334</v>
      </c>
      <c r="M13" s="9" t="n">
        <v>5929.270171165466</v>
      </c>
      <c r="N13" s="9" t="n">
        <v>1565.744210243225</v>
      </c>
      <c r="O13" s="9" t="n">
        <v>2154.3061599731445</v>
      </c>
      <c r="P13" s="9" t="n">
        <v>2306.8689699172974</v>
      </c>
      <c r="Q13" s="9" t="n">
        <v>199.5875883102417</v>
      </c>
      <c r="R13" s="9" t="n">
        <v>84.75292682647705</v>
      </c>
      <c r="S13" s="9" t="n">
        <v>1197.6856594085693</v>
      </c>
      <c r="T13" s="9" t="n">
        <v>1405.4692211151123</v>
      </c>
      <c r="U13">
        <f si="1" t="shared"/>
        <v>14334.478906962686</v>
      </c>
    </row>
    <row r="14" spans="1:26" x14ac:dyDescent="0.25">
      <c r="A14" s="12">
        <v>0.22916666666666666</v>
      </c>
      <c r="B14" s="6" t="n">
        <v>7228.143525851221</v>
      </c>
      <c r="C14" s="6" t="n">
        <v>1884.1708862077112</v>
      </c>
      <c r="D14" s="6" t="n">
        <v>1984.1891533190405</v>
      </c>
      <c r="E14" s="6" t="n">
        <v>4197.946731938642</v>
      </c>
      <c r="F14" s="6" t="n">
        <v>349.6858883193672</v>
      </c>
      <c r="G14" s="6" t="n">
        <v>14.682833993573315</v>
      </c>
      <c r="H14" s="6" t="n">
        <v>654.4210478166342</v>
      </c>
      <c r="I14" s="6" t="n">
        <v>906.1240065203904</v>
      </c>
      <c r="J14" s="6">
        <f si="0" t="shared"/>
        <v>17219.364073966579</v>
      </c>
      <c r="L14" s="12">
        <v>0.22916666666666666</v>
      </c>
      <c r="M14" s="9" t="n">
        <v>7428.87641620636</v>
      </c>
      <c r="N14" s="9" t="n">
        <v>2297.2587242126465</v>
      </c>
      <c r="O14" s="9" t="n">
        <v>3341.8622426986694</v>
      </c>
      <c r="P14" s="9" t="n">
        <v>3554.288860321045</v>
      </c>
      <c r="Q14" s="9" t="n">
        <v>272.98634815216064</v>
      </c>
      <c r="R14" s="9" t="n">
        <v>106.61654853820801</v>
      </c>
      <c r="S14" s="9" t="n">
        <v>1665.5837297439575</v>
      </c>
      <c r="T14" s="9" t="n">
        <v>2201.9143228530884</v>
      </c>
      <c r="U14">
        <f si="1" t="shared"/>
        <v>19922.071962548376</v>
      </c>
    </row>
    <row r="15" spans="1:26" x14ac:dyDescent="0.25">
      <c r="A15" s="12">
        <v>0.25</v>
      </c>
      <c r="B15" s="6" t="n">
        <v>9595.272269661518</v>
      </c>
      <c r="C15" s="6" t="n">
        <v>3030.454002885279</v>
      </c>
      <c r="D15" s="6" t="n">
        <v>3254.6946102461484</v>
      </c>
      <c r="E15" s="6" t="n">
        <v>6834.957501485102</v>
      </c>
      <c r="F15" s="6" t="n">
        <v>502.2724895238178</v>
      </c>
      <c r="G15" s="6" t="n">
        <v>41.7890683704369</v>
      </c>
      <c r="H15" s="6" t="n">
        <v>915.8131461503505</v>
      </c>
      <c r="I15" s="6" t="n">
        <v>1693.8035764247177</v>
      </c>
      <c r="J15" s="6">
        <f si="0" t="shared"/>
        <v>25869.056664747368</v>
      </c>
      <c r="L15" s="12">
        <v>0.25</v>
      </c>
      <c r="M15" s="9" t="n">
        <v>9475.529147148132</v>
      </c>
      <c r="N15" s="9" t="n">
        <v>3401.64186668396</v>
      </c>
      <c r="O15" s="9" t="n">
        <v>5164.052263259888</v>
      </c>
      <c r="P15" s="9" t="n">
        <v>5496.630632400513</v>
      </c>
      <c r="Q15" s="9" t="n">
        <v>401.9994354248047</v>
      </c>
      <c r="R15" s="9" t="n">
        <v>136.04989433288574</v>
      </c>
      <c r="S15" s="9" t="n">
        <v>2322.3830852508545</v>
      </c>
      <c r="T15" s="9" t="n">
        <v>3441.051152229309</v>
      </c>
      <c r="U15">
        <f si="1" t="shared"/>
        <v>28497.136707496436</v>
      </c>
    </row>
    <row r="16" spans="1:26" x14ac:dyDescent="0.25">
      <c r="A16" s="12">
        <v>0.27083333333333331</v>
      </c>
      <c r="B16" s="6" t="n">
        <v>12264.910587907389</v>
      </c>
      <c r="C16" s="6" t="n">
        <v>4560.635240849608</v>
      </c>
      <c r="D16" s="6" t="n">
        <v>5161.432064415214</v>
      </c>
      <c r="E16" s="6" t="n">
        <v>10792.949847318037</v>
      </c>
      <c r="F16" s="6" t="n">
        <v>723.0878838144185</v>
      </c>
      <c r="G16" s="6" t="n">
        <v>95.42867488060723</v>
      </c>
      <c r="H16" s="6" t="n">
        <v>1476.2581774004695</v>
      </c>
      <c r="I16" s="6" t="n">
        <v>3091.027357727646</v>
      </c>
      <c r="J16" s="6">
        <f si="0" t="shared"/>
        <v>38165.729834313388</v>
      </c>
      <c r="L16" s="12">
        <v>0.27083333333333331</v>
      </c>
      <c r="M16" s="9" t="n">
        <v>11734.473090171814</v>
      </c>
      <c r="N16" s="9" t="n">
        <v>4876.08909034729</v>
      </c>
      <c r="O16" s="9" t="n">
        <v>7683.425981521606</v>
      </c>
      <c r="P16" s="9" t="n">
        <v>8204.276358604431</v>
      </c>
      <c r="Q16" s="9" t="n">
        <v>579.6893758773804</v>
      </c>
      <c r="R16" s="9" t="n">
        <v>167.63067054748535</v>
      </c>
      <c r="S16" s="9" t="n">
        <v>3113.1664333343506</v>
      </c>
      <c r="T16" s="9" t="n">
        <v>5173.543507575989</v>
      </c>
      <c r="U16">
        <f si="1" t="shared"/>
        <v>39862.188517502378</v>
      </c>
    </row>
    <row r="17" spans="1:21" x14ac:dyDescent="0.25">
      <c r="A17" s="12">
        <v>0.29166666666666669</v>
      </c>
      <c r="B17" s="6" t="n">
        <v>14913.784373250663</v>
      </c>
      <c r="C17" s="6" t="n">
        <v>6371.199885938999</v>
      </c>
      <c r="D17" s="6" t="n">
        <v>7883.265074359756</v>
      </c>
      <c r="E17" s="6" t="n">
        <v>16024.501431562592</v>
      </c>
      <c r="F17" s="6" t="n">
        <v>996.193565860231</v>
      </c>
      <c r="G17" s="6" t="n">
        <v>178.09788178068598</v>
      </c>
      <c r="H17" s="6" t="n">
        <v>2357.4344143775697</v>
      </c>
      <c r="I17" s="6" t="n">
        <v>5197.77613864243</v>
      </c>
      <c r="J17" s="6">
        <f si="0" t="shared"/>
        <v>53922.252765772922</v>
      </c>
      <c r="L17" s="12">
        <v>0.29166666666666669</v>
      </c>
      <c r="M17" s="9" t="n">
        <v>13793.305849075317</v>
      </c>
      <c r="N17" s="9" t="n">
        <v>6659.872537612915</v>
      </c>
      <c r="O17" s="9" t="n">
        <v>10858.973720550537</v>
      </c>
      <c r="P17" s="9" t="n">
        <v>11638.92960357666</v>
      </c>
      <c r="Q17" s="9" t="n">
        <v>795.6304655075073</v>
      </c>
      <c r="R17" s="9" t="n">
        <v>196.4088830947876</v>
      </c>
      <c r="S17" s="9" t="n">
        <v>3952.7494506835938</v>
      </c>
      <c r="T17" s="9" t="n">
        <v>7381.292633056641</v>
      </c>
      <c r="U17">
        <f si="1" t="shared"/>
        <v>53367.905232752069</v>
      </c>
    </row>
    <row r="18" spans="1:21" x14ac:dyDescent="0.25">
      <c r="A18" s="12">
        <v>0.3125</v>
      </c>
      <c r="B18" s="6" t="n">
        <v>17099.078686117973</v>
      </c>
      <c r="C18" s="6" t="n">
        <v>8279.950555730435</v>
      </c>
      <c r="D18" s="6" t="n">
        <v>11486.897667894165</v>
      </c>
      <c r="E18" s="6" t="n">
        <v>21984.47122443952</v>
      </c>
      <c r="F18" s="6" t="n">
        <v>1277.4813606108542</v>
      </c>
      <c r="G18" s="6" t="n">
        <v>275.7583964705261</v>
      </c>
      <c r="H18" s="6" t="n">
        <v>3449.714600238561</v>
      </c>
      <c r="I18" s="6" t="n">
        <v>7886.098760015606</v>
      </c>
      <c r="J18" s="6">
        <f si="0" t="shared"/>
        <v>71739.451251517632</v>
      </c>
      <c r="L18" s="12">
        <v>0.3125</v>
      </c>
      <c r="M18" s="9" t="n">
        <v>15328.706555366516</v>
      </c>
      <c r="N18" s="9" t="n">
        <v>8638.61953163147</v>
      </c>
      <c r="O18" s="9" t="n">
        <v>14527.586590766907</v>
      </c>
      <c r="P18" s="9" t="n">
        <v>15631.655024528503</v>
      </c>
      <c r="Q18" s="9" t="n">
        <v>1033.0127334594727</v>
      </c>
      <c r="R18" s="9" t="n">
        <v>219.68422412872314</v>
      </c>
      <c r="S18" s="9" t="n">
        <v>4753.215061187744</v>
      </c>
      <c r="T18" s="9" t="n">
        <v>9958.303604125977</v>
      </c>
      <c r="U18">
        <f si="1" t="shared"/>
        <v>68036.440820035496</v>
      </c>
    </row>
    <row r="19" spans="1:21" x14ac:dyDescent="0.25">
      <c r="A19" s="12">
        <v>0.33333333333333331</v>
      </c>
      <c r="B19" s="6" t="n">
        <v>18434.714383709834</v>
      </c>
      <c r="C19" s="6" t="n">
        <v>10068.025035994171</v>
      </c>
      <c r="D19" s="6" t="n">
        <v>15787.244193347688</v>
      </c>
      <c r="E19" s="6" t="n">
        <v>27742.631260339556</v>
      </c>
      <c r="F19" s="6" t="n">
        <v>1516.03809991273</v>
      </c>
      <c r="G19" s="6" t="n">
        <v>360.0157352147763</v>
      </c>
      <c r="H19" s="6" t="n">
        <v>4525.550101212859</v>
      </c>
      <c r="I19" s="6" t="n">
        <v>10761.943898174879</v>
      </c>
      <c r="J19" s="6">
        <f si="0" t="shared"/>
        <v>89196.162707906507</v>
      </c>
      <c r="L19" s="12">
        <v>0.33333333333333331</v>
      </c>
      <c r="M19" s="9" t="n">
        <v>16194.108887672424</v>
      </c>
      <c r="N19" s="9" t="n">
        <v>10647.151222229004</v>
      </c>
      <c r="O19" s="9" t="n">
        <v>18390.70117378235</v>
      </c>
      <c r="P19" s="9" t="n">
        <v>19867.445246696472</v>
      </c>
      <c r="Q19" s="9" t="n">
        <v>1267.31480884552</v>
      </c>
      <c r="R19" s="9" t="n">
        <v>237.21842002868652</v>
      </c>
      <c r="S19" s="9" t="n">
        <v>5442.314978599548</v>
      </c>
      <c r="T19" s="9" t="n">
        <v>12698.73853111267</v>
      </c>
      <c r="U19">
        <f si="1" t="shared"/>
        <v>82616.28367710553</v>
      </c>
    </row>
    <row r="20" spans="1:21" x14ac:dyDescent="0.25">
      <c r="A20" s="12">
        <v>0.35416666666666669</v>
      </c>
      <c r="B20" s="6" t="n">
        <v>18785.022281449757</v>
      </c>
      <c r="C20" s="6" t="n">
        <v>11538.226042793967</v>
      </c>
      <c r="D20" s="6" t="n">
        <v>20279.255339810625</v>
      </c>
      <c r="E20" s="6" t="n">
        <v>32404.41943058101</v>
      </c>
      <c r="F20" s="6" t="n">
        <v>1684.0663298390011</v>
      </c>
      <c r="G20" s="6" t="n">
        <v>406.5780716090263</v>
      </c>
      <c r="H20" s="6" t="n">
        <v>5329.0199591627115</v>
      </c>
      <c r="I20" s="6" t="n">
        <v>13277.788323826313</v>
      </c>
      <c r="J20" s="6">
        <f si="0" t="shared"/>
        <v>103704.37577907242</v>
      </c>
      <c r="L20" s="12">
        <v>0.35416666666666669</v>
      </c>
      <c r="M20" s="9" t="n">
        <v>16402.36747455597</v>
      </c>
      <c r="N20" s="9" t="n">
        <v>12479.421116828918</v>
      </c>
      <c r="O20" s="9" t="n">
        <v>22031.83345222473</v>
      </c>
      <c r="P20" s="9" t="n">
        <v>23902.92873954773</v>
      </c>
      <c r="Q20" s="9" t="n">
        <v>1468.6597747802734</v>
      </c>
      <c r="R20" s="9" t="n">
        <v>250.06380558013916</v>
      </c>
      <c r="S20" s="9" t="n">
        <v>5967.457452774048</v>
      </c>
      <c r="T20" s="9" t="n">
        <v>15310.369540214539</v>
      </c>
      <c r="U20">
        <f si="1" t="shared"/>
        <v>95644.929557201292</v>
      </c>
    </row>
    <row r="21" spans="1:21" x14ac:dyDescent="0.25">
      <c r="A21" s="12">
        <v>0.375</v>
      </c>
      <c r="B21" s="6" t="n">
        <v>18342.334876314573</v>
      </c>
      <c r="C21" s="6" t="n">
        <v>12567.070391963623</v>
      </c>
      <c r="D21" s="6" t="n">
        <v>24250.471514927125</v>
      </c>
      <c r="E21" s="6" t="n">
        <v>35554.74437241201</v>
      </c>
      <c r="F21" s="6" t="n">
        <v>1794.800233315651</v>
      </c>
      <c r="G21" s="6" t="n">
        <v>417.3703672274779</v>
      </c>
      <c r="H21" s="6" t="n">
        <v>5699.2631812558175</v>
      </c>
      <c r="I21" s="6" t="n">
        <v>14961.882990049719</v>
      </c>
      <c r="J21" s="6">
        <f si="0" t="shared"/>
        <v>113587.937927466</v>
      </c>
      <c r="L21" s="12">
        <v>0.375</v>
      </c>
      <c r="M21" s="9" t="n">
        <v>16058.696269989014</v>
      </c>
      <c r="N21" s="9" t="n">
        <v>13922.335705757141</v>
      </c>
      <c r="O21" s="9" t="n">
        <v>24994.98174381256</v>
      </c>
      <c r="P21" s="9" t="n">
        <v>27249.3058052063</v>
      </c>
      <c r="Q21" s="9" t="n">
        <v>1609.0864419937134</v>
      </c>
      <c r="R21" s="9" t="n">
        <v>259.30937480926514</v>
      </c>
      <c r="S21" s="9" t="n">
        <v>6295.275743484497</v>
      </c>
      <c r="T21" s="9" t="n">
        <v>17471.041430473328</v>
      </c>
      <c r="U21">
        <f si="1" t="shared"/>
        <v>105664.98118688328</v>
      </c>
    </row>
    <row r="22" spans="1:21" x14ac:dyDescent="0.25">
      <c r="A22" s="12">
        <v>0.39583333333333331</v>
      </c>
      <c r="B22" s="6" t="n">
        <v>17513.211296415837</v>
      </c>
      <c r="C22" s="6" t="n">
        <v>13128.645041456211</v>
      </c>
      <c r="D22" s="6" t="n">
        <v>27066.36299385121</v>
      </c>
      <c r="E22" s="6" t="n">
        <v>37344.01542218044</v>
      </c>
      <c r="F22" s="6" t="n">
        <v>1894.3871227729055</v>
      </c>
      <c r="G22" s="6" t="n">
        <v>423.8523723942923</v>
      </c>
      <c r="H22" s="6" t="n">
        <v>5643.783985367895</v>
      </c>
      <c r="I22" s="6" t="n">
        <v>15620.410640140293</v>
      </c>
      <c r="J22" s="6">
        <f si="0" t="shared"/>
        <v>118634.66887457909</v>
      </c>
      <c r="L22" s="12">
        <v>0.39583333333333331</v>
      </c>
      <c r="M22" s="9" t="n">
        <v>15313.04746723175</v>
      </c>
      <c r="N22" s="9" t="n">
        <v>14816.4745388031</v>
      </c>
      <c r="O22" s="9" t="n">
        <v>26917.963854789734</v>
      </c>
      <c r="P22" s="9" t="n">
        <v>29515.37922000885</v>
      </c>
      <c r="Q22" s="9" t="n">
        <v>1672.3497438430786</v>
      </c>
      <c r="R22" s="9" t="n">
        <v>265.718656539917</v>
      </c>
      <c r="S22" s="9" t="n">
        <v>6417.66700553894</v>
      </c>
      <c r="T22" s="9" t="n">
        <v>18922.040937423706</v>
      </c>
      <c r="U22">
        <f si="1" t="shared"/>
        <v>111630.98204802125</v>
      </c>
    </row>
    <row r="23" spans="1:21" x14ac:dyDescent="0.25">
      <c r="A23" s="12">
        <v>0.41666666666666669</v>
      </c>
      <c r="B23" s="6" t="n">
        <v>16678.882674768076</v>
      </c>
      <c r="C23" s="6" t="n">
        <v>13287.083018046416</v>
      </c>
      <c r="D23" s="6" t="n">
        <v>28459.75736765602</v>
      </c>
      <c r="E23" s="6" t="n">
        <v>38162.280246398666</v>
      </c>
      <c r="F23" s="6" t="n">
        <v>2029.264078660622</v>
      </c>
      <c r="G23" s="6" t="n">
        <v>462.927665031296</v>
      </c>
      <c r="H23" s="6" t="n">
        <v>5312.654469921232</v>
      </c>
      <c r="I23" s="6" t="n">
        <v>15374.653948754429</v>
      </c>
      <c r="J23" s="6">
        <f si="0" t="shared"/>
        <v>119767.50346923675</v>
      </c>
      <c r="L23" s="12">
        <v>0.41666666666666669</v>
      </c>
      <c r="M23" s="9" t="n">
        <v>14351.823328018188</v>
      </c>
      <c r="N23" s="9" t="n">
        <v>15119.540179252625</v>
      </c>
      <c r="O23" s="9" t="n">
        <v>27663.22496700287</v>
      </c>
      <c r="P23" s="9" t="n">
        <v>30549.925077438354</v>
      </c>
      <c r="Q23" s="9" t="n">
        <v>1660.6735725402832</v>
      </c>
      <c r="R23" s="9" t="n">
        <v>270.2159090042114</v>
      </c>
      <c r="S23" s="9" t="n">
        <v>6362.676801681519</v>
      </c>
      <c r="T23" s="9" t="n">
        <v>19559.67672252655</v>
      </c>
      <c r="U23">
        <f si="1" t="shared"/>
        <v>113338.43987707158</v>
      </c>
    </row>
    <row r="24" spans="1:21" x14ac:dyDescent="0.25">
      <c r="A24" s="12">
        <v>0.4375</v>
      </c>
      <c r="B24" s="6" t="n">
        <v>16000.179407309732</v>
      </c>
      <c r="C24" s="6" t="n">
        <v>13172.975019193662</v>
      </c>
      <c r="D24" s="6" t="n">
        <v>28627.70319618321</v>
      </c>
      <c r="E24" s="6" t="n">
        <v>38272.91630380657</v>
      </c>
      <c r="F24" s="6" t="n">
        <v>2209.7068786790514</v>
      </c>
      <c r="G24" s="6" t="n">
        <v>543.2899021327876</v>
      </c>
      <c r="H24" s="6" t="n">
        <v>4908.775064815283</v>
      </c>
      <c r="I24" s="6" t="n">
        <v>14529.75015522146</v>
      </c>
      <c r="J24" s="6">
        <f si="0" t="shared"/>
        <v>118265.29592734177</v>
      </c>
      <c r="L24" s="12">
        <v>0.4375</v>
      </c>
      <c r="M24" s="9" t="n">
        <v>13398.643529891968</v>
      </c>
      <c r="N24" s="9" t="n">
        <v>14933.508079528809</v>
      </c>
      <c r="O24" s="9" t="n">
        <v>27371.19697856903</v>
      </c>
      <c r="P24" s="9" t="n">
        <v>30501.772032737732</v>
      </c>
      <c r="Q24" s="9" t="n">
        <v>1593.9706830978394</v>
      </c>
      <c r="R24" s="9" t="n">
        <v>274.6596784591675</v>
      </c>
      <c r="S24" s="9" t="n">
        <v>6198.768027305603</v>
      </c>
      <c r="T24" s="9" t="n">
        <v>19474.077052116394</v>
      </c>
      <c r="U24">
        <f si="1" t="shared"/>
        <v>111599.03047807585</v>
      </c>
    </row>
    <row r="25" spans="1:21" x14ac:dyDescent="0.25">
      <c r="A25" s="12">
        <v>0.45833333333333331</v>
      </c>
      <c r="B25" s="6" t="n">
        <v>15405.195686751695</v>
      </c>
      <c r="C25" s="6" t="n">
        <v>12957.540096557488</v>
      </c>
      <c r="D25" s="6" t="n">
        <v>28083.90660104161</v>
      </c>
      <c r="E25" s="6" t="n">
        <v>37782.86714115378</v>
      </c>
      <c r="F25" s="6" t="n">
        <v>2400.646519205531</v>
      </c>
      <c r="G25" s="6" t="n">
        <v>632.1292439196645</v>
      </c>
      <c r="H25" s="6" t="n">
        <v>4608.494464591504</v>
      </c>
      <c r="I25" s="6" t="n">
        <v>13400.817503190516</v>
      </c>
      <c r="J25" s="6">
        <f si="0" t="shared"/>
        <v>115271.5972564118</v>
      </c>
      <c r="L25" s="12">
        <v>0.45833333333333331</v>
      </c>
      <c r="M25" s="9" t="n">
        <v>12690.029202461243</v>
      </c>
      <c r="N25" s="9" t="n">
        <v>14471.138904571533</v>
      </c>
      <c r="O25" s="9" t="n">
        <v>26399.23305416107</v>
      </c>
      <c r="P25" s="9" t="n">
        <v>29755.06273651123</v>
      </c>
      <c r="Q25" s="9" t="n">
        <v>1501.9544191360474</v>
      </c>
      <c r="R25" s="9" t="n">
        <v>282.49162769317627</v>
      </c>
      <c r="S25" s="9" t="n">
        <v>6024.7717628479</v>
      </c>
      <c r="T25" s="9" t="n">
        <v>18908.062878608704</v>
      </c>
      <c r="U25">
        <f si="1" t="shared"/>
        <v>107993.35613137532</v>
      </c>
    </row>
    <row r="26" spans="1:21" x14ac:dyDescent="0.25">
      <c r="A26" s="12">
        <v>0.47916666666666669</v>
      </c>
      <c r="B26" s="6" t="n">
        <v>14756.33734297055</v>
      </c>
      <c r="C26" s="6" t="n">
        <v>12824.245625667292</v>
      </c>
      <c r="D26" s="6" t="n">
        <v>27372.471650103842</v>
      </c>
      <c r="E26" s="6" t="n">
        <v>36898.07820752484</v>
      </c>
      <c r="F26" s="6" t="n">
        <v>2554.132239101238</v>
      </c>
      <c r="G26" s="6" t="n">
        <v>676.9896481514205</v>
      </c>
      <c r="H26" s="6" t="n">
        <v>4524.660135098935</v>
      </c>
      <c r="I26" s="6" t="n">
        <v>12223.226438002228</v>
      </c>
      <c r="J26" s="6">
        <f si="0" t="shared"/>
        <v>111830.14128662033</v>
      </c>
      <c r="L26" s="12">
        <v>0.47916666666666669</v>
      </c>
      <c r="M26" s="9" t="n">
        <v>12424.224708557129</v>
      </c>
      <c r="N26" s="9" t="n">
        <v>13972.773577690125</v>
      </c>
      <c r="O26" s="9" t="n">
        <v>25173.448803901672</v>
      </c>
      <c r="P26" s="9" t="n">
        <v>28767.536275863647</v>
      </c>
      <c r="Q26" s="9" t="n">
        <v>1413.854793548584</v>
      </c>
      <c r="R26" s="9" t="n">
        <v>299.0771818161011</v>
      </c>
      <c r="S26" s="9" t="n">
        <v>5949.027418136597</v>
      </c>
      <c r="T26" s="9" t="n">
        <v>18153.913336753845</v>
      </c>
      <c r="U26">
        <f si="1" t="shared"/>
        <v>104280.75085513756</v>
      </c>
    </row>
    <row r="27" spans="1:21" x14ac:dyDescent="0.25">
      <c r="A27" s="12">
        <v>0.5</v>
      </c>
      <c r="B27" s="6" t="n">
        <v>14060.29235180173</v>
      </c>
      <c r="C27" s="6" t="n">
        <v>12932.523501845526</v>
      </c>
      <c r="D27" s="6" t="n">
        <v>26797.092293671627</v>
      </c>
      <c r="E27" s="6" t="n">
        <v>36082.60578699824</v>
      </c>
      <c r="F27" s="6" t="n">
        <v>2657.6264760081144</v>
      </c>
      <c r="G27" s="6" t="n">
        <v>648.1694700622297</v>
      </c>
      <c r="H27" s="6" t="n">
        <v>4692.947330554247</v>
      </c>
      <c r="I27" s="6" t="n">
        <v>11168.975265144109</v>
      </c>
      <c r="J27" s="6">
        <f si="0" t="shared"/>
        <v>109040.23247608583</v>
      </c>
      <c r="L27" s="12">
        <v>0.5</v>
      </c>
      <c r="M27" s="9" t="n">
        <v>12710.260003089905</v>
      </c>
      <c r="N27" s="9" t="n">
        <v>13614.628860473633</v>
      </c>
      <c r="O27" s="9" t="n">
        <v>24026.467978477478</v>
      </c>
      <c r="P27" s="9" t="n">
        <v>27892.40358543396</v>
      </c>
      <c r="Q27" s="9" t="n">
        <v>1350.8380165100098</v>
      </c>
      <c r="R27" s="9" t="n">
        <v>331.5713233947754</v>
      </c>
      <c r="S27" s="9" t="n">
        <v>6067.30294418335</v>
      </c>
      <c r="T27" s="9" t="n">
        <v>17440.427877426147</v>
      </c>
      <c r="U27">
        <f si="1" t="shared"/>
        <v>101756.470735711</v>
      </c>
    </row>
    <row r="28" spans="1:21" x14ac:dyDescent="0.25">
      <c r="A28" s="12">
        <v>0.52083333333333337</v>
      </c>
      <c r="B28" s="6" t="n">
        <v>13556.874224875286</v>
      </c>
      <c r="C28" s="6" t="n">
        <v>13376.230896066103</v>
      </c>
      <c r="D28" s="6" t="n">
        <v>26302.108941837876</v>
      </c>
      <c r="E28" s="6" t="n">
        <v>35876.547549491894</v>
      </c>
      <c r="F28" s="6" t="n">
        <v>2748.6030253917343</v>
      </c>
      <c r="G28" s="6" t="n">
        <v>568.6744328749145</v>
      </c>
      <c r="H28" s="6" t="n">
        <v>5071.65465206325</v>
      </c>
      <c r="I28" s="6" t="n">
        <v>10393.48257485652</v>
      </c>
      <c r="J28" s="6">
        <f si="0" t="shared"/>
        <v>107894.17629745758</v>
      </c>
      <c r="L28" s="12">
        <v>0.52083333333333337</v>
      </c>
      <c r="M28" s="9" t="n">
        <v>13548.783761024475</v>
      </c>
      <c r="N28" s="9" t="n">
        <v>13455.76120853424</v>
      </c>
      <c r="O28" s="9" t="n">
        <v>23098.85258293152</v>
      </c>
      <c r="P28" s="9" t="n">
        <v>27271.96115207672</v>
      </c>
      <c r="Q28" s="9" t="n">
        <v>1323.6614141464233</v>
      </c>
      <c r="R28" s="9" t="n">
        <v>388.19193840026855</v>
      </c>
      <c r="S28" s="9" t="n">
        <v>6447.396737098694</v>
      </c>
      <c r="T28" s="9" t="n">
        <v>16866.28710079193</v>
      </c>
      <c r="U28">
        <f si="1" t="shared"/>
        <v>100888.6349906712</v>
      </c>
    </row>
    <row r="29" spans="1:21" x14ac:dyDescent="0.25">
      <c r="A29" s="12">
        <v>0.54166666666666663</v>
      </c>
      <c r="B29" s="6" t="n">
        <v>13616.802030641284</v>
      </c>
      <c r="C29" s="6" t="n">
        <v>14146.429022271555</v>
      </c>
      <c r="D29" s="6" t="n">
        <v>25585.84098511278</v>
      </c>
      <c r="E29" s="6" t="n">
        <v>36514.93201665256</v>
      </c>
      <c r="F29" s="6" t="n">
        <v>2874.309745489281</v>
      </c>
      <c r="G29" s="6" t="n">
        <v>507.40978448140044</v>
      </c>
      <c r="H29" s="6" t="n">
        <v>5578.074316455482</v>
      </c>
      <c r="I29" s="6" t="n">
        <v>10025.529484843613</v>
      </c>
      <c r="J29" s="6">
        <f si="0" t="shared"/>
        <v>108849.32738594795</v>
      </c>
      <c r="L29" s="12">
        <v>0.54166666666666663</v>
      </c>
      <c r="M29" s="9" t="n">
        <v>14861.903381347656</v>
      </c>
      <c r="N29" s="9" t="n">
        <v>13449.69481086731</v>
      </c>
      <c r="O29" s="9" t="n">
        <v>22347.433906555176</v>
      </c>
      <c r="P29" s="9" t="n">
        <v>26851.614914894104</v>
      </c>
      <c r="Q29" s="9" t="n">
        <v>1335.3259763717651</v>
      </c>
      <c r="R29" s="9" t="n">
        <v>477.10866260528564</v>
      </c>
      <c r="S29" s="9" t="n">
        <v>7125.2432651519775</v>
      </c>
      <c r="T29" s="9" t="n">
        <v>16408.399618148804</v>
      </c>
      <c r="U29">
        <f si="1" t="shared"/>
        <v>101415.95382533276</v>
      </c>
    </row>
    <row r="30" spans="1:21" x14ac:dyDescent="0.25">
      <c r="A30" s="12">
        <v>0.5625</v>
      </c>
      <c r="B30" s="6" t="n">
        <v>14529.529343465323</v>
      </c>
      <c r="C30" s="6" t="n">
        <v>15109.17222461587</v>
      </c>
      <c r="D30" s="6" t="n">
        <v>24380.40459525294</v>
      </c>
      <c r="E30" s="6" t="n">
        <v>37695.5285296701</v>
      </c>
      <c r="F30" s="6" t="n">
        <v>3034.2601795441806</v>
      </c>
      <c r="G30" s="6" t="n">
        <v>539.3673689615296</v>
      </c>
      <c r="H30" s="6" t="n">
        <v>6168.6980257697105</v>
      </c>
      <c r="I30" s="6" t="n">
        <v>10087.263293624523</v>
      </c>
      <c r="J30" s="6">
        <f si="0" t="shared"/>
        <v>111544.22356090417</v>
      </c>
      <c r="L30" s="12">
        <v>0.5625</v>
      </c>
      <c r="M30" s="9" t="n">
        <v>16565.81607723236</v>
      </c>
      <c r="N30" s="9" t="n">
        <v>13509.472081184387</v>
      </c>
      <c r="O30" s="9" t="n">
        <v>21644.31936264038</v>
      </c>
      <c r="P30" s="9" t="n">
        <v>26492.73546218872</v>
      </c>
      <c r="Q30" s="9" t="n">
        <v>1386.656506538391</v>
      </c>
      <c r="R30" s="9" t="n">
        <v>605.5252552032471</v>
      </c>
      <c r="S30" s="9" t="n">
        <v>8114.315732955933</v>
      </c>
      <c r="T30" s="9" t="n">
        <v>15990.515389442444</v>
      </c>
      <c r="U30">
        <f si="1" t="shared"/>
        <v>102816.74554163827</v>
      </c>
    </row>
    <row r="31" spans="1:21" x14ac:dyDescent="0.25">
      <c r="A31" s="12">
        <v>0.58333333333333337</v>
      </c>
      <c r="B31" s="6" t="n">
        <v>16357.572987822037</v>
      </c>
      <c r="C31" s="6" t="n">
        <v>16016.550213981602</v>
      </c>
      <c r="D31" s="6" t="n">
        <v>22675.914046050013</v>
      </c>
      <c r="E31" s="6" t="n">
        <v>38715.92464562438</v>
      </c>
      <c r="F31" s="6" t="n">
        <v>3166.816863873698</v>
      </c>
      <c r="G31" s="6" t="n">
        <v>699.7228314586773</v>
      </c>
      <c r="H31" s="6" t="n">
        <v>6917.249827785254</v>
      </c>
      <c r="I31" s="6" t="n">
        <v>10426.749692762733</v>
      </c>
      <c r="J31" s="6">
        <f si="0" t="shared"/>
        <v>114976.5011093584</v>
      </c>
      <c r="L31" s="12">
        <v>0.58333333333333337</v>
      </c>
      <c r="M31" s="9" t="n">
        <v>18653.48090648651</v>
      </c>
      <c r="N31" s="9" t="n">
        <v>13582.237187385559</v>
      </c>
      <c r="O31" s="9" t="n">
        <v>20896.463042259216</v>
      </c>
      <c r="P31" s="9" t="n">
        <v>26100.938981056213</v>
      </c>
      <c r="Q31" s="9" t="n">
        <v>1481.5915660858154</v>
      </c>
      <c r="R31" s="9" t="n">
        <v>779.2320175170898</v>
      </c>
      <c r="S31" s="9" t="n">
        <v>9421.072551727295</v>
      </c>
      <c r="T31" s="9" t="n">
        <v>15561.940389633179</v>
      </c>
      <c r="U31">
        <f si="1" t="shared"/>
        <v>104824.32038985932</v>
      </c>
    </row>
    <row r="32" spans="1:21" x14ac:dyDescent="0.25">
      <c r="A32" s="12">
        <v>0.60416666666666663</v>
      </c>
      <c r="B32" s="6" t="n">
        <v>18987.23094104316</v>
      </c>
      <c r="C32" s="6" t="n">
        <v>16580.373466357385</v>
      </c>
      <c r="D32" s="6" t="n">
        <v>20709.697754357487</v>
      </c>
      <c r="E32" s="6" t="n">
        <v>38899.81300163425</v>
      </c>
      <c r="F32" s="6" t="n">
        <v>3198.9784667351996</v>
      </c>
      <c r="G32" s="6" t="n">
        <v>960.9819680526591</v>
      </c>
      <c r="H32" s="6" t="n">
        <v>8023.18066070354</v>
      </c>
      <c r="I32" s="6" t="n">
        <v>10768.50652409041</v>
      </c>
      <c r="J32" s="6">
        <f si="0" t="shared"/>
        <v>118128.7627829741</v>
      </c>
      <c r="L32" s="12">
        <v>0.60416666666666663</v>
      </c>
      <c r="M32" s="9" t="n">
        <v>21239.445140838623</v>
      </c>
      <c r="N32" s="9" t="n">
        <v>13683.909804344177</v>
      </c>
      <c r="O32" s="9" t="n">
        <v>20105.969920158386</v>
      </c>
      <c r="P32" s="9" t="n">
        <v>25680.996465682983</v>
      </c>
      <c r="Q32" s="9" t="n">
        <v>1628.8622751235962</v>
      </c>
      <c r="R32" s="9" t="n">
        <v>1001.6419706344604</v>
      </c>
      <c r="S32" s="9" t="n">
        <v>11046.602877616882</v>
      </c>
      <c r="T32" s="9" t="n">
        <v>15133.072256088257</v>
      </c>
      <c r="U32">
        <f si="1" t="shared"/>
        <v>107632.70339855949</v>
      </c>
    </row>
    <row r="33" spans="1:21" x14ac:dyDescent="0.25">
      <c r="A33" s="12">
        <v>0.625</v>
      </c>
      <c r="B33" s="6" t="n">
        <v>22336.78047449753</v>
      </c>
      <c r="C33" s="6" t="n">
        <v>16614.139738097754</v>
      </c>
      <c r="D33" s="6" t="n">
        <v>18779.349986702782</v>
      </c>
      <c r="E33" s="6" t="n">
        <v>38011.18627535834</v>
      </c>
      <c r="F33" s="6" t="n">
        <v>3114.9388162806613</v>
      </c>
      <c r="G33" s="6" t="n">
        <v>1247.1742697001591</v>
      </c>
      <c r="H33" s="6" t="n">
        <v>9720.795832577824</v>
      </c>
      <c r="I33" s="6" t="n">
        <v>10890.149649451017</v>
      </c>
      <c r="J33" s="6">
        <f si="0" t="shared"/>
        <v>120714.51504266608</v>
      </c>
      <c r="L33" s="12">
        <v>0.625</v>
      </c>
      <c r="M33" s="9" t="n">
        <v>24534.487362861633</v>
      </c>
      <c r="N33" s="9" t="n">
        <v>13874.115421295166</v>
      </c>
      <c r="O33" s="9" t="n">
        <v>19339.302763938904</v>
      </c>
      <c r="P33" s="9" t="n">
        <v>25292.14625453949</v>
      </c>
      <c r="Q33" s="9" t="n">
        <v>1838.6242685317993</v>
      </c>
      <c r="R33" s="9" t="n">
        <v>1270.5922374725342</v>
      </c>
      <c r="S33" s="9" t="n">
        <v>12957.825061798096</v>
      </c>
      <c r="T33" s="9" t="n">
        <v>14749.578043937683</v>
      </c>
      <c r="U33">
        <f si="1" t="shared"/>
        <v>111666.26450908883</v>
      </c>
    </row>
    <row r="34" spans="1:21" x14ac:dyDescent="0.25">
      <c r="A34" s="12">
        <v>0.64583333333333337</v>
      </c>
      <c r="B34" s="6" t="n">
        <v>26524.330755892002</v>
      </c>
      <c r="C34" s="6" t="n">
        <v>16170.688266538133</v>
      </c>
      <c r="D34" s="6" t="n">
        <v>17086.867027045933</v>
      </c>
      <c r="E34" s="6" t="n">
        <v>36375.3299962932</v>
      </c>
      <c r="F34" s="6" t="n">
        <v>2981.350612098066</v>
      </c>
      <c r="G34" s="6" t="n">
        <v>1476.8703771838764</v>
      </c>
      <c r="H34" s="6" t="n">
        <v>12123.58676344621</v>
      </c>
      <c r="I34" s="6" t="n">
        <v>10790.489957421423</v>
      </c>
      <c r="J34" s="6">
        <f si="0" t="shared"/>
        <v>123529.51375591883</v>
      </c>
      <c r="L34" s="12">
        <v>0.64583333333333337</v>
      </c>
      <c r="M34" s="9" t="n">
        <v>28758.925003051758</v>
      </c>
      <c r="N34" s="9" t="n">
        <v>14196.697772026062</v>
      </c>
      <c r="O34" s="9" t="n">
        <v>18645.044421195984</v>
      </c>
      <c r="P34" s="9" t="n">
        <v>24958.863001823425</v>
      </c>
      <c r="Q34" s="9" t="n">
        <v>2115.9430084228516</v>
      </c>
      <c r="R34" s="9" t="n">
        <v>1573.166826248169</v>
      </c>
      <c r="S34" s="9" t="n">
        <v>15041.603527069092</v>
      </c>
      <c r="T34" s="9" t="n">
        <v>14435.525380134583</v>
      </c>
      <c r="U34">
        <f si="1" t="shared"/>
        <v>117124.25347470392</v>
      </c>
    </row>
    <row r="35" spans="1:21" x14ac:dyDescent="0.25">
      <c r="A35" s="12">
        <v>0.66666666666666663</v>
      </c>
      <c r="B35" s="6" t="n">
        <v>31796.10342077151</v>
      </c>
      <c r="C35" s="6" t="n">
        <v>15543.465031142214</v>
      </c>
      <c r="D35" s="6" t="n">
        <v>15716.199576301311</v>
      </c>
      <c r="E35" s="6" t="n">
        <v>34647.75310096839</v>
      </c>
      <c r="F35" s="6" t="n">
        <v>2907.812311702372</v>
      </c>
      <c r="G35" s="6" t="n">
        <v>1606.8673954694095</v>
      </c>
      <c r="H35" s="6" t="n">
        <v>15084.523798426746</v>
      </c>
      <c r="I35" s="6" t="n">
        <v>10680.303506165623</v>
      </c>
      <c r="J35" s="6">
        <f si="0" t="shared"/>
        <v>127983.02814094757</v>
      </c>
      <c r="L35" s="12">
        <v>0.66666666666666663</v>
      </c>
      <c r="M35" s="9" t="n">
        <v>34028.740324020386</v>
      </c>
      <c r="N35" s="9" t="n">
        <v>14633.457399368286</v>
      </c>
      <c r="O35" s="9" t="n">
        <v>17994.79636478424</v>
      </c>
      <c r="P35" s="9" t="n">
        <v>24619.68719959259</v>
      </c>
      <c r="Q35" s="9" t="n">
        <v>2454.8688764572144</v>
      </c>
      <c r="R35" s="9" t="n">
        <v>1882.3378582000732</v>
      </c>
      <c r="S35" s="9" t="n">
        <v>17083.913457870483</v>
      </c>
      <c r="T35" s="9" t="n">
        <v>14156.72121334076</v>
      </c>
      <c r="U35">
        <f si="1" t="shared"/>
        <v>123661.97592998562</v>
      </c>
    </row>
    <row r="36" spans="1:21" x14ac:dyDescent="0.25">
      <c r="A36" s="12">
        <v>0.6875</v>
      </c>
      <c r="B36" s="6" t="n">
        <v>38196.928055398435</v>
      </c>
      <c r="C36" s="6" t="n">
        <v>15070.446797514634</v>
      </c>
      <c r="D36" s="6" t="n">
        <v>14670.977071639903</v>
      </c>
      <c r="E36" s="6" t="n">
        <v>33396.51473776103</v>
      </c>
      <c r="F36" s="6" t="n">
        <v>2974.287096794741</v>
      </c>
      <c r="G36" s="6" t="n">
        <v>1645.3863023482027</v>
      </c>
      <c r="H36" s="6" t="n">
        <v>18153.201239319562</v>
      </c>
      <c r="I36" s="6" t="n">
        <v>10769.881873004913</v>
      </c>
      <c r="J36" s="6">
        <f si="0" t="shared"/>
        <v>134877.62317378141</v>
      </c>
      <c r="L36" s="12">
        <v>0.6875</v>
      </c>
      <c r="M36" s="9" t="n">
        <v>40232.21726226807</v>
      </c>
      <c r="N36" s="9" t="n">
        <v>15097.0318069458</v>
      </c>
      <c r="O36" s="9" t="n">
        <v>17289.383311271667</v>
      </c>
      <c r="P36" s="9" t="n">
        <v>24146.444885253906</v>
      </c>
      <c r="Q36" s="9" t="n">
        <v>2834.996976852417</v>
      </c>
      <c r="R36" s="9" t="n">
        <v>2159.606282234192</v>
      </c>
      <c r="S36" s="9" t="n">
        <v>18802.13516998291</v>
      </c>
      <c r="T36" s="9" t="n">
        <v>13829.585854530334</v>
      </c>
      <c r="U36">
        <f si="1" t="shared"/>
        <v>130379.3100550395</v>
      </c>
    </row>
    <row r="37" spans="1:21" x14ac:dyDescent="0.25">
      <c r="A37" s="12">
        <v>0.70833333333333337</v>
      </c>
      <c r="B37" s="6" t="n">
        <v>45190.13630214528</v>
      </c>
      <c r="C37" s="6" t="n">
        <v>14863.531412846667</v>
      </c>
      <c r="D37" s="6" t="n">
        <v>13879.107916014647</v>
      </c>
      <c r="E37" s="6" t="n">
        <v>32743.373147109844</v>
      </c>
      <c r="F37" s="6" t="n">
        <v>3177.410979230551</v>
      </c>
      <c r="G37" s="6" t="n">
        <v>1627.7846473341313</v>
      </c>
      <c r="H37" s="6" t="n">
        <v>20668.516588420032</v>
      </c>
      <c r="I37" s="6" t="n">
        <v>11026.453987664225</v>
      </c>
      <c r="J37" s="6">
        <f si="0" t="shared"/>
        <v>143176.31498076537</v>
      </c>
      <c r="L37" s="12">
        <v>0.70833333333333337</v>
      </c>
      <c r="M37" s="9" t="n">
        <v>46908.019453048706</v>
      </c>
      <c r="N37" s="9" t="n">
        <v>15450.347162246704</v>
      </c>
      <c r="O37" s="9" t="n">
        <v>16409.14713382721</v>
      </c>
      <c r="P37" s="9" t="n">
        <v>23396.354375839233</v>
      </c>
      <c r="Q37" s="9" t="n">
        <v>3220.01616191864</v>
      </c>
      <c r="R37" s="9" t="n">
        <v>2363.566575050354</v>
      </c>
      <c r="S37" s="9" t="n">
        <v>19912.814599990845</v>
      </c>
      <c r="T37" s="9" t="n">
        <v>13356.829350471497</v>
      </c>
      <c r="U37">
        <f si="1" t="shared"/>
        <v>135988.77053199668</v>
      </c>
    </row>
    <row r="38" spans="1:21" x14ac:dyDescent="0.25">
      <c r="A38" s="12">
        <v>0.72916666666666663</v>
      </c>
      <c r="B38" s="6" t="n">
        <v>51527.195570536074</v>
      </c>
      <c r="C38" s="6" t="n">
        <v>14694.54872721195</v>
      </c>
      <c r="D38" s="6" t="n">
        <v>13172.722066318938</v>
      </c>
      <c r="E38" s="6" t="n">
        <v>32262.006023137983</v>
      </c>
      <c r="F38" s="6" t="n">
        <v>3427.9878749248746</v>
      </c>
      <c r="G38" s="6" t="n">
        <v>1581.369010949973</v>
      </c>
      <c r="H38" s="6" t="n">
        <v>21967.64574189627</v>
      </c>
      <c r="I38" s="6" t="n">
        <v>11126.41481052959</v>
      </c>
      <c r="J38" s="6">
        <f si="0" t="shared"/>
        <v>149759.88982550564</v>
      </c>
      <c r="L38" s="12">
        <v>0.72916666666666663</v>
      </c>
      <c r="M38" s="9" t="n">
        <v>53200.37077331543</v>
      </c>
      <c r="N38" s="9" t="n">
        <v>15533.451810836792</v>
      </c>
      <c r="O38" s="9" t="n">
        <v>15261.9485912323</v>
      </c>
      <c r="P38" s="9" t="n">
        <v>22250.570302963257</v>
      </c>
      <c r="Q38" s="9" t="n">
        <v>3559.924398422241</v>
      </c>
      <c r="R38" s="9" t="n">
        <v>2460.5841102600098</v>
      </c>
      <c r="S38" s="9" t="n">
        <v>20199.43928718567</v>
      </c>
      <c r="T38" s="9" t="n">
        <v>12658.545928955078</v>
      </c>
      <c r="U38">
        <f si="1" t="shared"/>
        <v>139019.3573650906</v>
      </c>
    </row>
    <row r="39" spans="1:21" x14ac:dyDescent="0.25">
      <c r="A39" s="12">
        <v>0.75</v>
      </c>
      <c r="B39" s="6" t="n">
        <v>55556.58543633089</v>
      </c>
      <c r="C39" s="6" t="n">
        <v>14153.13090845456</v>
      </c>
      <c r="D39" s="6" t="n">
        <v>12310.039482051558</v>
      </c>
      <c r="E39" s="6" t="n">
        <v>31208.367088670864</v>
      </c>
      <c r="F39" s="6" t="n">
        <v>3595.839569384246</v>
      </c>
      <c r="G39" s="6" t="n">
        <v>1512.617041448919</v>
      </c>
      <c r="H39" s="6" t="n">
        <v>21635.747139778494</v>
      </c>
      <c r="I39" s="6" t="n">
        <v>10662.601206848145</v>
      </c>
      <c r="J39" s="6">
        <f si="0" t="shared"/>
        <v>150634.92787296767</v>
      </c>
      <c r="L39" s="12">
        <v>0.75</v>
      </c>
      <c r="M39" s="9" t="n">
        <v>58023.155544281006</v>
      </c>
      <c r="N39" s="9" t="n">
        <v>15203.010866165161</v>
      </c>
      <c r="O39" s="9" t="n">
        <v>13811.686037063599</v>
      </c>
      <c r="P39" s="9" t="n">
        <v>20641.287276268005</v>
      </c>
      <c r="Q39" s="9" t="n">
        <v>3802.0380334854126</v>
      </c>
      <c r="R39" s="9" t="n">
        <v>2434.3607215881348</v>
      </c>
      <c r="S39" s="9" t="n">
        <v>19569.584856987</v>
      </c>
      <c r="T39" s="9" t="n">
        <v>11692.405032157898</v>
      </c>
      <c r="U39">
        <f si="1" t="shared"/>
        <v>138137.9946102284</v>
      </c>
    </row>
    <row r="40" spans="1:21" x14ac:dyDescent="0.25">
      <c r="A40" s="12">
        <v>0.77083333333333337</v>
      </c>
      <c r="B40" s="6" t="n">
        <v>55894.89807465823</v>
      </c>
      <c r="C40" s="6" t="n">
        <v>12948.8052743772</v>
      </c>
      <c r="D40" s="6" t="n">
        <v>11070.065769393252</v>
      </c>
      <c r="E40" s="6" t="n">
        <v>28966.107208804522</v>
      </c>
      <c r="F40" s="6" t="n">
        <v>3572.655351529019</v>
      </c>
      <c r="G40" s="6" t="n">
        <v>1421.4347271997965</v>
      </c>
      <c r="H40" s="6" t="n">
        <v>19679.48986983347</v>
      </c>
      <c r="I40" s="6" t="n">
        <v>9436.814319673897</v>
      </c>
      <c r="J40" s="6">
        <f si="0" t="shared"/>
        <v>142990.2705954694</v>
      </c>
      <c r="L40" s="12">
        <v>0.77083333333333337</v>
      </c>
      <c r="M40" s="9" t="n">
        <v>60446.088846206665</v>
      </c>
      <c r="N40" s="9" t="n">
        <v>14390.351448059082</v>
      </c>
      <c r="O40" s="9" t="n">
        <v>12096.76665687561</v>
      </c>
      <c r="P40" s="9" t="n">
        <v>18588.89480495453</v>
      </c>
      <c r="Q40" s="9" t="n">
        <v>3910.4602584838867</v>
      </c>
      <c r="R40" s="9" t="n">
        <v>2292.2205867767334</v>
      </c>
      <c r="S40" s="9" t="n">
        <v>18099.806579589844</v>
      </c>
      <c r="T40" s="9" t="n">
        <v>10472.693119049072</v>
      </c>
      <c r="U40">
        <f si="1" t="shared"/>
        <v>132656.45834913341</v>
      </c>
    </row>
    <row r="41" spans="1:21" x14ac:dyDescent="0.25">
      <c r="A41" s="12">
        <v>0.79166666666666663</v>
      </c>
      <c r="B41" s="6" t="n">
        <v>52101.956603261366</v>
      </c>
      <c r="C41" s="6" t="n">
        <v>11109.304015558948</v>
      </c>
      <c r="D41" s="6" t="n">
        <v>9380.72779192287</v>
      </c>
      <c r="E41" s="6" t="n">
        <v>25419.045703168544</v>
      </c>
      <c r="F41" s="6" t="n">
        <v>3319.5762532192375</v>
      </c>
      <c r="G41" s="6" t="n">
        <v>1318.2442568432418</v>
      </c>
      <c r="H41" s="6" t="n">
        <v>16522.813785096645</v>
      </c>
      <c r="I41" s="6" t="n">
        <v>7597.7092410274745</v>
      </c>
      <c r="J41" s="6">
        <f si="0" t="shared"/>
        <v>126769.37765009834</v>
      </c>
      <c r="L41" s="12">
        <v>0.79166666666666663</v>
      </c>
      <c r="M41" s="9" t="n">
        <v>60068.259048461914</v>
      </c>
      <c r="N41" s="9" t="n">
        <v>13144.295866966248</v>
      </c>
      <c r="O41" s="9" t="n">
        <v>10232.948488235474</v>
      </c>
      <c r="P41" s="9" t="n">
        <v>16226.4614610672</v>
      </c>
      <c r="Q41" s="9" t="n">
        <v>3880.680853843689</v>
      </c>
      <c r="R41" s="9" t="n">
        <v>2064.194065093994</v>
      </c>
      <c r="S41" s="9" t="n">
        <v>16035.235495567322</v>
      </c>
      <c r="T41" s="9" t="n">
        <v>9079.417734146118</v>
      </c>
      <c r="U41">
        <f si="1" t="shared"/>
        <v>122921.65318333617</v>
      </c>
    </row>
    <row r="42" spans="1:21" x14ac:dyDescent="0.25">
      <c r="A42" s="12">
        <v>0.8125</v>
      </c>
      <c r="B42" s="6" t="n">
        <v>44924.934425160835</v>
      </c>
      <c r="C42" s="6" t="n">
        <v>8941.122396900453</v>
      </c>
      <c r="D42" s="6" t="n">
        <v>7391.593331245413</v>
      </c>
      <c r="E42" s="6" t="n">
        <v>20997.111953438885</v>
      </c>
      <c r="F42" s="6" t="n">
        <v>2878.258402622934</v>
      </c>
      <c r="G42" s="6" t="n">
        <v>1223.165503049082</v>
      </c>
      <c r="H42" s="6" t="n">
        <v>12822.31931095278</v>
      </c>
      <c r="I42" s="6" t="n">
        <v>5536.1443181890245</v>
      </c>
      <c r="J42" s="6">
        <f si="0" t="shared"/>
        <v>104714.6496415594</v>
      </c>
      <c r="L42" s="12">
        <v>0.8125</v>
      </c>
      <c r="M42" s="9" t="n">
        <v>57080.46232318878</v>
      </c>
      <c r="N42" s="9" t="n">
        <v>11609.730134010315</v>
      </c>
      <c r="O42" s="9" t="n">
        <v>8378.911839485168</v>
      </c>
      <c r="P42" s="9" t="n">
        <v>13762.027869224548</v>
      </c>
      <c r="Q42" s="9" t="n">
        <v>3733.787928581238</v>
      </c>
      <c r="R42" s="9" t="n">
        <v>1791.7393970489502</v>
      </c>
      <c r="S42" s="9" t="n">
        <v>13706.574449539185</v>
      </c>
      <c r="T42" s="9" t="n">
        <v>7634.527450561523</v>
      </c>
      <c r="U42">
        <f si="1" t="shared"/>
        <v>110145.05767391644</v>
      </c>
    </row>
    <row r="43" spans="1:21" x14ac:dyDescent="0.25">
      <c r="A43" s="12">
        <v>0.83333333333333337</v>
      </c>
      <c r="B43" s="6" t="n">
        <v>35940.75186237706</v>
      </c>
      <c r="C43" s="6" t="n">
        <v>6828.058661717669</v>
      </c>
      <c r="D43" s="6" t="n">
        <v>5415.921511493252</v>
      </c>
      <c r="E43" s="6" t="n">
        <v>16401.907057488494</v>
      </c>
      <c r="F43" s="6" t="n">
        <v>2343.3747132440885</v>
      </c>
      <c r="G43" s="6" t="n">
        <v>1150.405595922205</v>
      </c>
      <c r="H43" s="6" t="n">
        <v>9216.383301820755</v>
      </c>
      <c r="I43" s="6" t="n">
        <v>3656.646148794293</v>
      </c>
      <c r="J43" s="6">
        <f si="0" t="shared"/>
        <v>80953.448852857808</v>
      </c>
      <c r="L43" s="12">
        <v>0.83333333333333337</v>
      </c>
      <c r="M43" s="9" t="n">
        <v>51995.71084403992</v>
      </c>
      <c r="N43" s="9" t="n">
        <v>9947.476964950562</v>
      </c>
      <c r="O43" s="9" t="n">
        <v>6671.6566734313965</v>
      </c>
      <c r="P43" s="9" t="n">
        <v>11384.872911453247</v>
      </c>
      <c r="Q43" s="9" t="n">
        <v>3493.210268974304</v>
      </c>
      <c r="R43" s="9" t="n">
        <v>1510.7260417938232</v>
      </c>
      <c r="S43" s="9" t="n">
        <v>11395.531866073608</v>
      </c>
      <c r="T43" s="9" t="n">
        <v>6249.586977005005</v>
      </c>
      <c r="U43">
        <f si="1" t="shared"/>
        <v>95710.232327166799</v>
      </c>
    </row>
    <row r="44" spans="1:21" x14ac:dyDescent="0.25">
      <c r="A44" s="12">
        <v>0.85416666666666663</v>
      </c>
      <c r="B44" s="6" t="n">
        <v>26853.353950501183</v>
      </c>
      <c r="C44" s="6" t="n">
        <v>5042.5557065802695</v>
      </c>
      <c r="D44" s="6" t="n">
        <v>3761.4505756336903</v>
      </c>
      <c r="E44" s="6" t="n">
        <v>12251.767280310884</v>
      </c>
      <c r="F44" s="6" t="n">
        <v>1814.6610053526174</v>
      </c>
      <c r="G44" s="6" t="n">
        <v>1094.1255796523228</v>
      </c>
      <c r="H44" s="6" t="n">
        <v>6146.480097866535</v>
      </c>
      <c r="I44" s="6" t="n">
        <v>2204.4671253017186</v>
      </c>
      <c r="J44" s="6">
        <f si="0" t="shared"/>
        <v>59168.86132119922</v>
      </c>
      <c r="L44" s="12">
        <v>0.85416666666666663</v>
      </c>
      <c r="M44" s="9" t="n">
        <v>45349.264494895935</v>
      </c>
      <c r="N44" s="9" t="n">
        <v>8265.13749885559</v>
      </c>
      <c r="O44" s="9" t="n">
        <v>5178.766983032227</v>
      </c>
      <c r="P44" s="9" t="n">
        <v>9192.85392665863</v>
      </c>
      <c r="Q44" s="9" t="n">
        <v>3167.079436302185</v>
      </c>
      <c r="R44" s="9" t="n">
        <v>1240.4259939193726</v>
      </c>
      <c r="S44" s="9" t="n">
        <v>9245.355724334717</v>
      </c>
      <c r="T44" s="9" t="n">
        <v>4985.501893043518</v>
      </c>
      <c r="U44">
        <f si="1" t="shared"/>
        <v>80570.200426019146</v>
      </c>
    </row>
    <row r="45" spans="1:21" x14ac:dyDescent="0.25">
      <c r="A45" s="12">
        <v>0.875</v>
      </c>
      <c r="B45" s="6" t="n">
        <v>18903.825328485596</v>
      </c>
      <c r="C45" s="6" t="n">
        <v>3679.3155706695807</v>
      </c>
      <c r="D45" s="6" t="n">
        <v>2571.8926662504646</v>
      </c>
      <c r="E45" s="6" t="n">
        <v>8874.809967955838</v>
      </c>
      <c r="F45" s="6" t="n">
        <v>1357.349142092117</v>
      </c>
      <c r="G45" s="6" t="n">
        <v>1027.828651367065</v>
      </c>
      <c r="H45" s="6" t="n">
        <v>3807.5230910340542</v>
      </c>
      <c r="I45" s="6" t="n">
        <v>1229.0329103481768</v>
      </c>
      <c r="J45" s="6">
        <f si="0" t="shared"/>
        <v>41451.577328202897</v>
      </c>
      <c r="L45" s="12">
        <v>0.875</v>
      </c>
      <c r="M45" s="9" t="n">
        <v>37643.11614513397</v>
      </c>
      <c r="N45" s="9" t="n">
        <v>6615.860352516174</v>
      </c>
      <c r="O45" s="9" t="n">
        <v>3903.947159767151</v>
      </c>
      <c r="P45" s="9" t="n">
        <v>7201.963356018066</v>
      </c>
      <c r="Q45" s="9" t="n">
        <v>2754.938217163086</v>
      </c>
      <c r="R45" s="9" t="n">
        <v>986.0369176864624</v>
      </c>
      <c r="S45" s="9" t="n">
        <v>7280.226134300232</v>
      </c>
      <c r="T45" s="9" t="n">
        <v>3856.1896171569824</v>
      </c>
      <c r="U45">
        <f si="1" t="shared"/>
        <v>65245.055775257541</v>
      </c>
    </row>
    <row r="46" spans="1:21" x14ac:dyDescent="0.25">
      <c r="A46" s="12">
        <v>0.89583333333333337</v>
      </c>
      <c r="B46" s="6" t="n">
        <v>12665.154766188061</v>
      </c>
      <c r="C46" s="6" t="n">
        <v>2698.120082707431</v>
      </c>
      <c r="D46" s="6" t="n">
        <v>1795.5444414800227</v>
      </c>
      <c r="E46" s="6" t="n">
        <v>6302.48060940178</v>
      </c>
      <c r="F46" s="6" t="n">
        <v>991.1482045466266</v>
      </c>
      <c r="G46" s="6" t="n">
        <v>919.6634579990675</v>
      </c>
      <c r="H46" s="6" t="n">
        <v>2193.1809238991736</v>
      </c>
      <c r="I46" s="6" t="n">
        <v>646.8051655281781</v>
      </c>
      <c r="J46" s="6">
        <f si="0" t="shared"/>
        <v>28212.09765175034</v>
      </c>
      <c r="L46" s="12">
        <v>0.89583333333333337</v>
      </c>
      <c r="M46" s="9" t="n">
        <v>29480.721877098083</v>
      </c>
      <c r="N46" s="9" t="n">
        <v>5046.332144737244</v>
      </c>
      <c r="O46" s="9" t="n">
        <v>2829.4073753356934</v>
      </c>
      <c r="P46" s="9" t="n">
        <v>5412.6944189071655</v>
      </c>
      <c r="Q46" s="9" t="n">
        <v>2270.912568092346</v>
      </c>
      <c r="R46" s="9" t="n">
        <v>749.7534465789795</v>
      </c>
      <c r="S46" s="9" t="n">
        <v>5494.899790763855</v>
      </c>
      <c r="T46" s="9" t="n">
        <v>2862.5900564193726</v>
      </c>
      <c r="U46">
        <f si="1" t="shared"/>
        <v>50259.476558587281</v>
      </c>
    </row>
    <row r="47" spans="1:21" x14ac:dyDescent="0.25">
      <c r="A47" s="12">
        <v>0.91666666666666663</v>
      </c>
      <c r="B47" s="6" t="n">
        <v>8164.476867912281</v>
      </c>
      <c r="C47" s="6" t="n">
        <v>2000.8944334731032</v>
      </c>
      <c r="D47" s="6" t="n">
        <v>1280.717108338155</v>
      </c>
      <c r="E47" s="6" t="n">
        <v>4387.024899949698</v>
      </c>
      <c r="F47" s="6" t="n">
        <v>705.5487766544335</v>
      </c>
      <c r="G47" s="6" t="n">
        <v>755.4882819353272</v>
      </c>
      <c r="H47" s="6" t="n">
        <v>1176.7477712290286</v>
      </c>
      <c r="I47" s="6" t="n">
        <v>328.79528356027595</v>
      </c>
      <c r="J47" s="6">
        <f si="0" t="shared"/>
        <v>18799.6934230523</v>
      </c>
      <c r="L47" s="12">
        <v>0.91666666666666663</v>
      </c>
      <c r="M47" s="9" t="n">
        <v>21618.37616252899</v>
      </c>
      <c r="N47" s="9" t="n">
        <v>3629.2180318832397</v>
      </c>
      <c r="O47" s="9" t="n">
        <v>1948.5704641342163</v>
      </c>
      <c r="P47" s="9" t="n">
        <v>3857.2176609039307</v>
      </c>
      <c r="Q47" s="9" t="n">
        <v>1756.9226894378662</v>
      </c>
      <c r="R47" s="9" t="n">
        <v>538.5791835784912</v>
      </c>
      <c r="S47" s="9" t="n">
        <v>3920.9400424957275</v>
      </c>
      <c r="T47" s="9" t="n">
        <v>2017.4350881576538</v>
      </c>
      <c r="U47">
        <f si="1" t="shared"/>
        <v>36431.749610697254</v>
      </c>
    </row>
    <row r="48" spans="1:21" x14ac:dyDescent="0.25">
      <c r="A48" s="12">
        <v>0.9375</v>
      </c>
      <c r="B48" s="6" t="n">
        <v>5121.148106129392</v>
      </c>
      <c r="C48" s="6" t="n">
        <v>1487.9122968186177</v>
      </c>
      <c r="D48" s="6" t="n">
        <v>896.4504831786926</v>
      </c>
      <c r="E48" s="6" t="n">
        <v>2945.1367512959596</v>
      </c>
      <c r="F48" s="6" t="n">
        <v>482.73188333003253</v>
      </c>
      <c r="G48" s="6" t="n">
        <v>552.6363532114711</v>
      </c>
      <c r="H48" s="6" t="n">
        <v>588.9409239935875</v>
      </c>
      <c r="I48" s="6" t="n">
        <v>162.88913495182987</v>
      </c>
      <c r="J48" s="6">
        <f si="0" t="shared"/>
        <v>12237.845932909582</v>
      </c>
      <c r="L48" s="12">
        <v>0.9375</v>
      </c>
      <c r="M48" s="9" t="n">
        <v>14789.827223777771</v>
      </c>
      <c r="N48" s="9" t="n">
        <v>2445.5513620376587</v>
      </c>
      <c r="O48" s="9" t="n">
        <v>1264.882815361023</v>
      </c>
      <c r="P48" s="9" t="n">
        <v>2587.3143796920776</v>
      </c>
      <c r="Q48" s="9" t="n">
        <v>1270.4816856384277</v>
      </c>
      <c r="R48" s="9" t="n">
        <v>362.70794582366943</v>
      </c>
      <c r="S48" s="9" t="n">
        <v>2619.8666467666626</v>
      </c>
      <c r="T48" s="9" t="n">
        <v>1340.4476346969604</v>
      </c>
      <c r="U48">
        <f si="1" t="shared"/>
        <v>24684.755900008935</v>
      </c>
    </row>
    <row r="49" spans="1:21" x14ac:dyDescent="0.25">
      <c r="A49" s="12">
        <v>0.95833333333333337</v>
      </c>
      <c r="B49" s="6" t="n">
        <v>3151.085840635124</v>
      </c>
      <c r="C49" s="6" t="n">
        <v>1084.3794682588211</v>
      </c>
      <c r="D49" s="6" t="n">
        <v>586.5448473314394</v>
      </c>
      <c r="E49" s="6" t="n">
        <v>1852.977989648085</v>
      </c>
      <c r="F49" s="6" t="n">
        <v>310.995729863624</v>
      </c>
      <c r="G49" s="6" t="n">
        <v>351.4018458659742</v>
      </c>
      <c r="H49" s="6" t="n">
        <v>274.123599830389</v>
      </c>
      <c r="I49" s="6" t="n">
        <v>76.94498640120028</v>
      </c>
      <c r="J49" s="6">
        <f si="0" t="shared"/>
        <v>7688.454307834656</v>
      </c>
      <c r="L49" s="12">
        <v>0.95833333333333337</v>
      </c>
      <c r="M49" s="9" t="n">
        <v>9444.885856628418</v>
      </c>
      <c r="N49" s="9" t="n">
        <v>1542.3725299835205</v>
      </c>
      <c r="O49" s="9" t="n">
        <v>772.0768613815308</v>
      </c>
      <c r="P49" s="9" t="n">
        <v>1630.6357097625732</v>
      </c>
      <c r="Q49" s="9" t="n">
        <v>858.7035121917725</v>
      </c>
      <c r="R49" s="9" t="n">
        <v>228.66139698028564</v>
      </c>
      <c r="S49" s="9" t="n">
        <v>1633.3592319488525</v>
      </c>
      <c r="T49" s="9" t="n">
        <v>838.1473340988159</v>
      </c>
      <c r="U49">
        <f si="1" t="shared"/>
        <v>15607.704568025249</v>
      </c>
    </row>
    <row r="50" spans="1:21" x14ac:dyDescent="0.25">
      <c r="A50" s="12">
        <v>0.97916666666666663</v>
      </c>
      <c r="B50" s="6" t="n">
        <v>1898.3773600805785</v>
      </c>
      <c r="C50" s="6" t="n">
        <v>749.5952823743678</v>
      </c>
      <c r="D50" s="6" t="n">
        <v>348.20448035997606</v>
      </c>
      <c r="E50" s="6" t="n">
        <v>1058.0419099430885</v>
      </c>
      <c r="F50" s="6" t="n">
        <v>185.02532915772827</v>
      </c>
      <c r="G50" s="6" t="n">
        <v>190.35427526891232</v>
      </c>
      <c r="H50" s="6" t="n">
        <v>117.1721816470623</v>
      </c>
      <c r="I50" s="6" t="n">
        <v>33.01520112693309</v>
      </c>
      <c r="J50" s="6">
        <f si="0" t="shared"/>
        <v>4579.7860199586476</v>
      </c>
      <c r="L50" s="12">
        <v>0.97916666666666663</v>
      </c>
      <c r="M50" s="9" t="n">
        <v>5638.040260314941</v>
      </c>
      <c r="N50" s="9" t="n">
        <v>911.1889543533325</v>
      </c>
      <c r="O50" s="9" t="n">
        <v>443.39781284332275</v>
      </c>
      <c r="P50" s="9" t="n">
        <v>965.9625196456909</v>
      </c>
      <c r="Q50" s="9" t="n">
        <v>542.0094652175903</v>
      </c>
      <c r="R50" s="9" t="n">
        <v>135.13812351226807</v>
      </c>
      <c r="S50" s="9" t="n">
        <v>950.1117267608643</v>
      </c>
      <c r="T50" s="9" t="n">
        <v>493.2713088989258</v>
      </c>
      <c r="U50">
        <f si="1" t="shared"/>
        <v>9213.5169518384137</v>
      </c>
    </row>
    <row r="51" spans="1:21" x14ac:dyDescent="0.25">
      <c r="A51" s="12">
        <v>1</v>
      </c>
      <c r="B51" s="6" t="n">
        <v>1100.3680543500286</v>
      </c>
      <c r="C51" s="6" t="n">
        <v>474.2529065298328</v>
      </c>
      <c r="D51" s="6" t="n">
        <v>186.76024233286623</v>
      </c>
      <c r="E51" s="6" t="n">
        <v>532.8076358602639</v>
      </c>
      <c r="F51" s="6" t="n">
        <v>100.17762790064619</v>
      </c>
      <c r="G51" s="6" t="n">
        <v>86.15462887096405</v>
      </c>
      <c r="H51" s="6" t="n">
        <v>44.86420870769024</v>
      </c>
      <c r="I51" s="6" t="n">
        <v>12.15975024473667</v>
      </c>
      <c r="J51" s="6">
        <f si="0" t="shared"/>
        <v>2537.5450547970286</v>
      </c>
      <c r="L51" s="12">
        <v>1</v>
      </c>
      <c r="M51" s="9" t="n">
        <v>3134.3608560562134</v>
      </c>
      <c r="N51" s="9" t="n">
        <v>502.4595489501953</v>
      </c>
      <c r="O51" s="9" t="n">
        <v>238.8154296875</v>
      </c>
      <c r="P51" s="9" t="n">
        <v>535.6290035247803</v>
      </c>
      <c r="Q51" s="9" t="n">
        <v>317.02624130249023</v>
      </c>
      <c r="R51" s="9" t="n">
        <v>74.68161106109619</v>
      </c>
      <c r="S51" s="9" t="n">
        <v>514.3922882080078</v>
      </c>
      <c r="T51" s="9" t="n">
        <v>272.05887508392334</v>
      </c>
      <c r="U51">
        <f si="1" t="shared"/>
        <v>5062.0168795178943</v>
      </c>
    </row>
    <row r="52" spans="1:21" x14ac:dyDescent="0.25">
      <c r="A52" s="12">
        <v>1.0208333333333333</v>
      </c>
      <c r="B52" s="6" t="n">
        <v>595.0554978047613</v>
      </c>
      <c r="C52" s="6" t="n">
        <v>265.58658266330247</v>
      </c>
      <c r="D52" s="6" t="n">
        <v>92.14034928501914</v>
      </c>
      <c r="E52" s="6" t="n">
        <v>231.23247396795932</v>
      </c>
      <c r="F52" s="6" t="n">
        <v>48.84328201838173</v>
      </c>
      <c r="G52" s="6" t="n">
        <v>31.87395443403721</v>
      </c>
      <c r="H52" s="6" t="n">
        <v>14.850387590169907</v>
      </c>
      <c r="I52" s="6" t="n">
        <v>3.641708212614059</v>
      </c>
      <c r="J52" s="6">
        <f si="0" t="shared"/>
        <v>1283.2242359762449</v>
      </c>
      <c r="L52" s="12">
        <v>1.0208333333333333</v>
      </c>
      <c r="M52" s="9" t="n">
        <v>1600.6552200317383</v>
      </c>
      <c r="N52" s="9" t="n">
        <v>255.16987133026123</v>
      </c>
      <c r="O52" s="9" t="n">
        <v>119.02218723297119</v>
      </c>
      <c r="P52" s="9" t="n">
        <v>274.0313787460327</v>
      </c>
      <c r="Q52" s="9" t="n">
        <v>168.8290786743164</v>
      </c>
      <c r="R52" s="9" t="n">
        <v>38.09632587432861</v>
      </c>
      <c r="S52" s="9" t="n">
        <v>256.36993408203125</v>
      </c>
      <c r="T52" s="9" t="n">
        <v>138.5914831161499</v>
      </c>
      <c r="U52">
        <f si="1" t="shared"/>
        <v>2556.7981447581437</v>
      </c>
    </row>
    <row r="53" spans="1:21" x14ac:dyDescent="0.25">
      <c r="A53" s="12">
        <v>4.1666666666666664E-2</v>
      </c>
      <c r="B53" s="6" t="n">
        <v>289.63937948794097</v>
      </c>
      <c r="C53" s="6" t="n">
        <v>127.80556014209488</v>
      </c>
      <c r="D53" s="6" t="n">
        <v>42.94785059433308</v>
      </c>
      <c r="E53" s="6" t="n">
        <v>84.86038590082927</v>
      </c>
      <c r="F53" s="6" t="n">
        <v>21.232505400189034</v>
      </c>
      <c r="G53" s="6" t="n">
        <v>9.371365899205207</v>
      </c>
      <c r="H53" s="6" t="n">
        <v>4.067620559096337</v>
      </c>
      <c r="I53" s="6" t="n">
        <v>0.8390510423183439</v>
      </c>
      <c r="J53" s="6">
        <f si="0" t="shared"/>
        <v>580.76371902600715</v>
      </c>
      <c r="L53" s="12">
        <v>4.1666666666666664E-2</v>
      </c>
      <c r="M53" s="9" t="n">
        <v>733.0459814071655</v>
      </c>
      <c r="N53" s="9" t="n">
        <v>116.49561309814453</v>
      </c>
      <c r="O53" s="9" t="n">
        <v>53.53576374053955</v>
      </c>
      <c r="P53" s="9" t="n">
        <v>126.12010669708252</v>
      </c>
      <c r="Q53" s="9" t="n">
        <v>79.77879810333252</v>
      </c>
      <c r="R53" s="9" t="n">
        <v>17.503491401672363</v>
      </c>
      <c r="S53" s="9" t="n">
        <v>115.08940601348877</v>
      </c>
      <c r="T53" s="9" t="n">
        <v>63.57768535614014</v>
      </c>
      <c r="U53">
        <f si="1" t="shared"/>
        <v>1160.5146278814107</v>
      </c>
    </row>
    <row r="54" spans="1:21" x14ac:dyDescent="0.25">
      <c r="A54" s="12">
        <v>6.25E-2</v>
      </c>
      <c r="B54" s="6" t="n">
        <v>122.5950199464271</v>
      </c>
      <c r="C54" s="6" t="n">
        <v>51.429702077844055</v>
      </c>
      <c r="D54" s="6" t="n">
        <v>19.079086129448687</v>
      </c>
      <c r="E54" s="6" t="n">
        <v>25.868140139010965</v>
      </c>
      <c r="F54" s="6" t="n">
        <v>8.111658431666978</v>
      </c>
      <c r="G54" s="6" t="n">
        <v>2.103479503393173</v>
      </c>
      <c r="H54" s="6" t="n">
        <v>0.873926684498787</v>
      </c>
      <c r="I54" s="6" t="n">
        <v>0.1385001935958862</v>
      </c>
      <c r="J54" s="6">
        <f si="0" t="shared"/>
        <v>230.19951310588564</v>
      </c>
      <c r="L54" s="12">
        <v>6.25E-2</v>
      </c>
      <c r="M54" s="9" t="n">
        <v>291.92729473114014</v>
      </c>
      <c r="N54" s="9" t="n">
        <v>46.33984661102295</v>
      </c>
      <c r="O54" s="9" t="n">
        <v>21.035354614257812</v>
      </c>
      <c r="P54" s="9" t="n">
        <v>50.562950134277344</v>
      </c>
      <c r="Q54" s="9" t="n">
        <v>32.46338081359863</v>
      </c>
      <c r="R54" s="9" t="n">
        <v>7.013331413269043</v>
      </c>
      <c r="S54" s="9" t="n">
        <v>45.15720176696777</v>
      </c>
      <c r="T54" s="9" t="n">
        <v>25.430954933166504</v>
      </c>
      <c r="U54">
        <f si="1" t="shared"/>
        <v>459.20787596990181</v>
      </c>
    </row>
    <row r="55" spans="1:21" x14ac:dyDescent="0.25">
      <c r="A55" s="12">
        <v>8.3333333333333329E-2</v>
      </c>
      <c r="B55" s="6" t="n">
        <v>43.71817825936854</v>
      </c>
      <c r="C55" s="6" t="n">
        <v>16.829623599851814</v>
      </c>
      <c r="D55" s="6" t="n">
        <v>7.846680818239626</v>
      </c>
      <c r="E55" s="6" t="n">
        <v>6.411574182874215</v>
      </c>
      <c r="F55" s="6" t="n">
        <v>2.6606537353978523</v>
      </c>
      <c r="G55" s="6" t="n">
        <v>0.3382453405857086</v>
      </c>
      <c r="H55" s="6" t="n">
        <v>0.13687226259708404</v>
      </c>
      <c r="I55" s="6" t="n">
        <v>0.01452797174453735</v>
      </c>
      <c r="J55" s="6">
        <f si="0" t="shared"/>
        <v>77.956356170659404</v>
      </c>
      <c r="L55" s="12">
        <v>8.3333333333333329E-2</v>
      </c>
      <c r="M55" s="9" t="n">
        <v>97.68205833435059</v>
      </c>
      <c r="N55" s="9" t="n">
        <v>15.509015083312988</v>
      </c>
      <c r="O55" s="9" t="n">
        <v>6.9637861251831055</v>
      </c>
      <c r="P55" s="9" t="n">
        <v>17.042980194091797</v>
      </c>
      <c r="Q55" s="9" t="n">
        <v>11.014662742614746</v>
      </c>
      <c r="R55" s="9" t="n">
        <v>2.3641529083251953</v>
      </c>
      <c r="S55" s="9" t="n">
        <v>14.954179763793945</v>
      </c>
      <c r="T55" s="9" t="n">
        <v>8.559980392456055</v>
      </c>
      <c r="U55">
        <f si="1" t="shared"/>
        <v>153.02026921588779</v>
      </c>
    </row>
    <row r="56" spans="1:21" x14ac:dyDescent="0.25">
      <c r="A56" s="12">
        <v>0.10416666666666667</v>
      </c>
      <c r="B56" s="6" t="n">
        <v>12.72665246984922</v>
      </c>
      <c r="C56" s="6" t="n">
        <v>4.333283431083786</v>
      </c>
      <c r="D56" s="6" t="n">
        <v>2.820706032506556</v>
      </c>
      <c r="E56" s="6" t="n">
        <v>1.2513255410560817</v>
      </c>
      <c r="F56" s="6" t="n">
        <v>0.7230925366720284</v>
      </c>
      <c r="G56" s="6" t="n">
        <v>0.034673759818077084</v>
      </c>
      <c r="H56" s="6" t="n">
        <v>0.0138164849281311</v>
      </c>
      <c r="I56" s="6" t="n">
        <v>7.263985872268677E-4</v>
      </c>
      <c r="J56" s="6">
        <f si="0" t="shared"/>
        <v>21.904276654501107</v>
      </c>
      <c r="L56" s="12">
        <v>0.10416666666666667</v>
      </c>
      <c r="M56" s="9" t="n">
        <v>26.430646896362305</v>
      </c>
      <c r="N56" s="9" t="n">
        <v>4.200782775878906</v>
      </c>
      <c r="O56" s="9" t="n">
        <v>1.8669519424438477</v>
      </c>
      <c r="P56" s="9" t="n">
        <v>4.644895553588867</v>
      </c>
      <c r="Q56" s="9" t="n">
        <v>3.0056400299072266</v>
      </c>
      <c r="R56" s="9" t="n">
        <v>0.6444845199584961</v>
      </c>
      <c r="S56" s="9" t="n">
        <v>4.018052101135254</v>
      </c>
      <c r="T56" s="9" t="n">
        <v>2.331509590148926</v>
      </c>
      <c r="U56">
        <f si="1" t="shared"/>
        <v>41.30363562959112</v>
      </c>
    </row>
    <row r="57" spans="1:21" x14ac:dyDescent="0.25">
      <c r="A57" s="12">
        <v>0.125</v>
      </c>
      <c r="B57" s="6" t="n">
        <v>2.861245386056162</v>
      </c>
      <c r="C57" s="6" t="n">
        <v>0.8303910381096157</v>
      </c>
      <c r="D57" s="6" t="n">
        <v>0.8044239481506091</v>
      </c>
      <c r="E57" s="6" t="n">
        <v>0.18087089040321003</v>
      </c>
      <c r="F57" s="6" t="n">
        <v>0.15242300672232068</v>
      </c>
      <c r="G57" s="6" t="n">
        <v>0.0017013391256332398</v>
      </c>
      <c r="H57" s="6" t="n">
        <v>6.722594499588013E-4</v>
      </c>
      <c r="I57" s="6" t="n">
        <v>0.0</v>
      </c>
      <c r="J57" s="6">
        <f si="0" t="shared"/>
        <v>4.8317278680175102</v>
      </c>
      <c r="L57" s="12">
        <v>0.125</v>
      </c>
      <c r="M57" s="9" t="n">
        <v>5.439935684204102</v>
      </c>
      <c r="N57" s="9" t="n">
        <v>0.8658809661865234</v>
      </c>
      <c r="O57" s="9" t="n">
        <v>0.3811054229736328</v>
      </c>
      <c r="P57" s="9" t="n">
        <v>0.9623546600341797</v>
      </c>
      <c r="Q57" s="9" t="n">
        <v>0.6215410232543945</v>
      </c>
      <c r="R57" s="9" t="n">
        <v>0.13353538513183594</v>
      </c>
      <c r="S57" s="9" t="n">
        <v>0.8232002258300781</v>
      </c>
      <c r="T57" s="9" t="n">
        <v>0.4830665588378906</v>
      </c>
      <c r="U57">
        <f si="1" t="shared"/>
        <v>8.4906094317696432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20.0</v>
      </c>
      <c r="N8" s="9" t="n">
        <v>14.0</v>
      </c>
      <c r="O8" s="9" t="n">
        <v>0.0</v>
      </c>
      <c r="P8" s="9" t="n">
        <v>0.0</v>
      </c>
      <c r="Q8" s="9" t="n">
        <v>18.0</v>
      </c>
      <c r="R8" s="9" t="n">
        <v>0.0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1.1780282153673922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4.2118758157721343</v>
      </c>
      <c r="L9" s="12">
        <v>0.125</v>
      </c>
      <c r="M9" s="9" t="n">
        <v>49.47481918334961</v>
      </c>
      <c r="N9" s="9" t="n">
        <v>11.33925724029541</v>
      </c>
      <c r="O9" s="9" t="n">
        <v>0.0</v>
      </c>
      <c r="P9" s="9" t="n">
        <v>0.0</v>
      </c>
      <c r="Q9" s="9" t="n">
        <v>14.746590614318848</v>
      </c>
      <c r="R9" s="9" t="n">
        <v>1.8310546875E-4</v>
      </c>
      <c r="S9" s="9" t="n">
        <v>0.04837989807128906</v>
      </c>
      <c r="T9" s="9" t="n">
        <v>0.0</v>
      </c>
      <c r="U9">
        <f ref="U9:U58" si="1" t="shared">SUM(M9:T9)</f>
        <v>139.07941593642249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4.959481633257519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11.964854599680525</v>
      </c>
      <c r="L10" s="12">
        <v>0.14583333333333334</v>
      </c>
      <c r="M10" s="9" t="n">
        <v>85.18025398254395</v>
      </c>
      <c r="N10" s="9" t="n">
        <v>10.064047813415527</v>
      </c>
      <c r="O10" s="9" t="n">
        <v>0.0</v>
      </c>
      <c r="P10" s="9" t="n">
        <v>0.0</v>
      </c>
      <c r="Q10" s="9" t="n">
        <v>11.900033950805664</v>
      </c>
      <c r="R10" s="9" t="n">
        <v>0.0011491775512695312</v>
      </c>
      <c r="S10" s="9" t="n">
        <v>0.1201772689819336</v>
      </c>
      <c r="T10" s="9" t="n">
        <v>0.0</v>
      </c>
      <c r="U10">
        <f si="1" t="shared"/>
        <v>201.05697489222564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16.091203132496346</v>
      </c>
      <c r="C11" s="6" t="n">
        <v>12.258352589328707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28.349667833511681</v>
      </c>
      <c r="L11" s="12">
        <v>0.16666666666666666</v>
      </c>
      <c r="M11" s="9" t="n">
        <v>135.3800392150879</v>
      </c>
      <c r="N11" s="9" t="n">
        <v>11.31493854522705</v>
      </c>
      <c r="O11" s="9" t="n">
        <v>0.0</v>
      </c>
      <c r="P11" s="9" t="n">
        <v>0.0</v>
      </c>
      <c r="Q11" s="9" t="n">
        <v>10.112787246704102</v>
      </c>
      <c r="R11" s="9" t="n">
        <v>0.005261421203613281</v>
      </c>
      <c r="S11" s="9" t="n">
        <v>0.229644775390625</v>
      </c>
      <c r="T11" s="9" t="n">
        <v>0.0</v>
      </c>
      <c r="U11">
        <f si="1" t="shared"/>
        <v>238.63460733911123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43.03552292448004</v>
      </c>
      <c r="C12" s="6" t="n">
        <v>18.5882914074032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61.626056565615727</v>
      </c>
      <c r="L12" s="12">
        <v>0.1875</v>
      </c>
      <c r="M12" s="9" t="n">
        <v>210.47240829467773</v>
      </c>
      <c r="N12" s="9" t="n">
        <v>16.088841438293457</v>
      </c>
      <c r="O12" s="9" t="n">
        <v>0.0</v>
      </c>
      <c r="P12" s="9" t="n">
        <v>0.0</v>
      </c>
      <c r="Q12" s="9" t="n">
        <v>10.244290351867676</v>
      </c>
      <c r="R12" s="9" t="n">
        <v>0.018993377685546875</v>
      </c>
      <c r="S12" s="9" t="n">
        <v>0.3772134780883789</v>
      </c>
      <c r="T12" s="9" t="n">
        <v>0.0</v>
      </c>
      <c r="U12">
        <f si="1" t="shared"/>
        <v>277.32289256614661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99.05452689566883</v>
      </c>
      <c r="C13" s="6" t="n">
        <v>25.880323518891625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124.95678716524954</v>
      </c>
      <c r="L13" s="12">
        <v>0.20833333333333334</v>
      </c>
      <c r="M13" s="9" t="n">
        <v>323.14089012145996</v>
      </c>
      <c r="N13" s="9" t="n">
        <v>25.75275707244873</v>
      </c>
      <c r="O13" s="9" t="n">
        <v>0.0</v>
      </c>
      <c r="P13" s="9" t="n">
        <v>0.0</v>
      </c>
      <c r="Q13" s="9" t="n">
        <v>13.215616226196289</v>
      </c>
      <c r="R13" s="9" t="n">
        <v>0.056671142578125</v>
      </c>
      <c r="S13" s="9" t="n">
        <v>0.5542850494384766</v>
      </c>
      <c r="T13" s="9" t="n">
        <v>0.0</v>
      </c>
      <c r="U13">
        <f si="1" t="shared"/>
        <v>351.87428173059914</v>
      </c>
    </row>
    <row r="14" spans="1:26" x14ac:dyDescent="0.25">
      <c r="A14" s="12">
        <v>0.22916666666666666</v>
      </c>
      <c r="B14" s="6" t="n">
        <v>204.210413995909</v>
      </c>
      <c r="C14" s="6" t="n">
        <v>34.445471891338016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238.79640381460746</v>
      </c>
      <c r="L14" s="12">
        <v>0.22916666666666666</v>
      </c>
      <c r="M14" s="9" t="n">
        <v>492.43258476257324</v>
      </c>
      <c r="N14" s="9" t="n">
        <v>42.73618984222412</v>
      </c>
      <c r="O14" s="9" t="n">
        <v>0.0</v>
      </c>
      <c r="P14" s="9" t="n">
        <v>0.0</v>
      </c>
      <c r="Q14" s="9" t="n">
        <v>20.177534103393555</v>
      </c>
      <c r="R14" s="9" t="n">
        <v>0.14410114288330078</v>
      </c>
      <c r="S14" s="9" t="n">
        <v>0.7589235305786133</v>
      </c>
      <c r="T14" s="9" t="n">
        <v>0.0</v>
      </c>
      <c r="U14">
        <f si="1" t="shared"/>
        <v>494.27386776016755</v>
      </c>
    </row>
    <row r="15" spans="1:26" x14ac:dyDescent="0.25">
      <c r="A15" s="12">
        <v>0.25</v>
      </c>
      <c r="B15" s="6" t="n">
        <v>388.936975030472</v>
      </c>
      <c r="C15" s="6" t="n">
        <v>44.38579474292244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433.98685656641271</v>
      </c>
      <c r="L15" s="12">
        <v>0.25</v>
      </c>
      <c r="M15" s="9" t="n">
        <v>750.8510818481445</v>
      </c>
      <c r="N15" s="9" t="n">
        <v>70.94919967651367</v>
      </c>
      <c r="O15" s="9" t="n">
        <v>0.0</v>
      </c>
      <c r="P15" s="9" t="n">
        <v>0.0</v>
      </c>
      <c r="Q15" s="9" t="n">
        <v>33.02045917510986</v>
      </c>
      <c r="R15" s="9" t="n">
        <v>0.31809234619140625</v>
      </c>
      <c r="S15" s="9" t="n">
        <v>1.0166797637939453</v>
      </c>
      <c r="T15" s="9" t="n">
        <v>0.0</v>
      </c>
      <c r="U15">
        <f si="1" t="shared"/>
        <v>737.07025133767604</v>
      </c>
    </row>
    <row r="16" spans="1:26" x14ac:dyDescent="0.25">
      <c r="A16" s="12">
        <v>0.27083333333333331</v>
      </c>
      <c r="B16" s="6" t="n">
        <v>694.5046074476193</v>
      </c>
      <c r="C16" s="6" t="n">
        <v>54.89165336922828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751.86400614578849</v>
      </c>
      <c r="L16" s="12">
        <v>0.27083333333333331</v>
      </c>
      <c r="M16" s="9" t="n">
        <v>1146.7115125656128</v>
      </c>
      <c r="N16" s="9" t="n">
        <v>115.41150665283203</v>
      </c>
      <c r="O16" s="9" t="n">
        <v>0.0</v>
      </c>
      <c r="P16" s="9" t="n">
        <v>0.0</v>
      </c>
      <c r="Q16" s="9" t="n">
        <v>54.710771560668945</v>
      </c>
      <c r="R16" s="9" t="n">
        <v>0.6163864135742188</v>
      </c>
      <c r="S16" s="9" t="n">
        <v>1.3943119049072266</v>
      </c>
      <c r="T16" s="9" t="n">
        <v>0.0</v>
      </c>
      <c r="U16">
        <f si="1" t="shared"/>
        <v>1121.3184615442203</v>
      </c>
    </row>
    <row r="17" spans="1:21" x14ac:dyDescent="0.25">
      <c r="A17" s="12">
        <v>0.29166666666666669</v>
      </c>
      <c r="B17" s="6" t="n">
        <v>1161.9312366747515</v>
      </c>
      <c r="C17" s="6" t="n">
        <v>65.15966221704095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1234.5857169203505</v>
      </c>
      <c r="L17" s="12">
        <v>0.29166666666666669</v>
      </c>
      <c r="M17" s="9" t="n">
        <v>1736.9697036743164</v>
      </c>
      <c r="N17" s="9" t="n">
        <v>181.10599613189697</v>
      </c>
      <c r="O17" s="9" t="n">
        <v>0.0</v>
      </c>
      <c r="P17" s="9" t="n">
        <v>0.0</v>
      </c>
      <c r="Q17" s="9" t="n">
        <v>89.10027599334717</v>
      </c>
      <c r="R17" s="9" t="n">
        <v>1.0584144592285156</v>
      </c>
      <c r="S17" s="9" t="n">
        <v>1.9924888610839844</v>
      </c>
      <c r="T17" s="9" t="n">
        <v>0.0</v>
      </c>
      <c r="U17">
        <f si="1" t="shared"/>
        <v>1696.4227975949532</v>
      </c>
    </row>
    <row r="18" spans="1:21" x14ac:dyDescent="0.25">
      <c r="A18" s="12">
        <v>0.3125</v>
      </c>
      <c r="B18" s="6" t="n">
        <v>1810.751638357055</v>
      </c>
      <c r="C18" s="6" t="n">
        <v>76.71828092277883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1906.594945917851</v>
      </c>
      <c r="L18" s="12">
        <v>0.3125</v>
      </c>
      <c r="M18" s="9" t="n">
        <v>2579.544280052185</v>
      </c>
      <c r="N18" s="9" t="n">
        <v>272.1051025390625</v>
      </c>
      <c r="O18" s="9" t="n">
        <v>0.0</v>
      </c>
      <c r="P18" s="9" t="n">
        <v>0.0</v>
      </c>
      <c r="Q18" s="9" t="n">
        <v>140.6735496520996</v>
      </c>
      <c r="R18" s="9" t="n">
        <v>1.6319513320922852</v>
      </c>
      <c r="S18" s="9" t="n">
        <v>2.9125261306762695</v>
      </c>
      <c r="T18" s="9" t="n">
        <v>0.0</v>
      </c>
      <c r="U18">
        <f si="1" t="shared"/>
        <v>2516.7454544438824</v>
      </c>
    </row>
    <row r="19" spans="1:21" x14ac:dyDescent="0.25">
      <c r="A19" s="12">
        <v>0.33333333333333331</v>
      </c>
      <c r="B19" s="6" t="n">
        <v>2630.522818537714</v>
      </c>
      <c r="C19" s="6" t="n">
        <v>94.46050651751685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2767.0319300754336</v>
      </c>
      <c r="L19" s="12">
        <v>0.33333333333333331</v>
      </c>
      <c r="M19" s="9" t="n">
        <v>3736.9032440185547</v>
      </c>
      <c r="N19" s="9" t="n">
        <v>391.9258232116699</v>
      </c>
      <c r="O19" s="9" t="n">
        <v>0.0</v>
      </c>
      <c r="P19" s="9" t="n">
        <v>0.0</v>
      </c>
      <c r="Q19" s="9" t="n">
        <v>214.7679319381714</v>
      </c>
      <c r="R19" s="9" t="n">
        <v>2.3071365356445312</v>
      </c>
      <c r="S19" s="9" t="n">
        <v>4.212248802185059</v>
      </c>
      <c r="T19" s="9" t="n">
        <v>0.0</v>
      </c>
      <c r="U19">
        <f si="1" t="shared"/>
        <v>3645.9164395133271</v>
      </c>
    </row>
    <row r="20" spans="1:21" x14ac:dyDescent="0.25">
      <c r="A20" s="12">
        <v>0.35416666666666669</v>
      </c>
      <c r="B20" s="6" t="n">
        <v>3614.862512261572</v>
      </c>
      <c r="C20" s="6" t="n">
        <v>124.53583436139019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3821.2816847476474</v>
      </c>
      <c r="L20" s="12">
        <v>0.35416666666666669</v>
      </c>
      <c r="M20" s="9" t="n">
        <v>5278.15535068512</v>
      </c>
      <c r="N20" s="9" t="n">
        <v>543.8056449890137</v>
      </c>
      <c r="O20" s="9" t="n">
        <v>0.0</v>
      </c>
      <c r="P20" s="9" t="n">
        <v>0.0</v>
      </c>
      <c r="Q20" s="9" t="n">
        <v>317.31903553009033</v>
      </c>
      <c r="R20" s="9" t="n">
        <v>3.0760021209716797</v>
      </c>
      <c r="S20" s="9" t="n">
        <v>5.877772331237793</v>
      </c>
      <c r="T20" s="9" t="n">
        <v>0.0</v>
      </c>
      <c r="U20">
        <f si="1" t="shared"/>
        <v>5156.3113199357304</v>
      </c>
    </row>
    <row r="21" spans="1:21" x14ac:dyDescent="0.25">
      <c r="A21" s="12">
        <v>0.375</v>
      </c>
      <c r="B21" s="6" t="n">
        <v>4834.009244089642</v>
      </c>
      <c r="C21" s="6" t="n">
        <v>170.98286557424694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5150.4024097322999</v>
      </c>
      <c r="L21" s="12">
        <v>0.375</v>
      </c>
      <c r="M21" s="9" t="n">
        <v>7246.14449596405</v>
      </c>
      <c r="N21" s="9" t="n">
        <v>728.0434446334839</v>
      </c>
      <c r="O21" s="9" t="n">
        <v>0.0</v>
      </c>
      <c r="P21" s="9" t="n">
        <v>0.0</v>
      </c>
      <c r="Q21" s="9" t="n">
        <v>452.21125411987305</v>
      </c>
      <c r="R21" s="9" t="n">
        <v>3.978199005126953</v>
      </c>
      <c r="S21" s="9" t="n">
        <v>7.822226524353027</v>
      </c>
      <c r="T21" s="9" t="n">
        <v>0.0</v>
      </c>
      <c r="U21">
        <f si="1" t="shared"/>
        <v>7092.1054677575939</v>
      </c>
    </row>
    <row r="22" spans="1:21" x14ac:dyDescent="0.25">
      <c r="A22" s="12">
        <v>0.39583333333333331</v>
      </c>
      <c r="B22" s="6" t="n">
        <v>6478.575607291268</v>
      </c>
      <c r="C22" s="6" t="n">
        <v>234.5266631648327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6953.8890029457925</v>
      </c>
      <c r="L22" s="12">
        <v>0.39583333333333331</v>
      </c>
      <c r="M22" s="9" t="n">
        <v>9586.2411403656</v>
      </c>
      <c r="N22" s="9" t="n">
        <v>936.5377893447876</v>
      </c>
      <c r="O22" s="9" t="n">
        <v>0.0</v>
      </c>
      <c r="P22" s="9" t="n">
        <v>0.0</v>
      </c>
      <c r="Q22" s="9" t="n">
        <v>616.4862565994263</v>
      </c>
      <c r="R22" s="9" t="n">
        <v>5.074109077453613</v>
      </c>
      <c r="S22" s="9" t="n">
        <v>9.89810562133789</v>
      </c>
      <c r="T22" s="9" t="n">
        <v>0.0</v>
      </c>
      <c r="U22">
        <f si="1" t="shared"/>
        <v>9396.217941978126</v>
      </c>
    </row>
    <row r="23" spans="1:21" x14ac:dyDescent="0.25">
      <c r="A23" s="12">
        <v>0.41666666666666669</v>
      </c>
      <c r="B23" s="6" t="n">
        <v>8775.349848173752</v>
      </c>
      <c r="C23" s="6" t="n">
        <v>313.93054730923967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9462.8965369938742</v>
      </c>
      <c r="L23" s="12">
        <v>0.41666666666666669</v>
      </c>
      <c r="M23" s="9" t="n">
        <v>12090.86716556549</v>
      </c>
      <c r="N23" s="9" t="n">
        <v>1149.4446382522583</v>
      </c>
      <c r="O23" s="9" t="n">
        <v>0.0</v>
      </c>
      <c r="P23" s="9" t="n">
        <v>0.0</v>
      </c>
      <c r="Q23" s="9" t="n">
        <v>797.0387134552002</v>
      </c>
      <c r="R23" s="9" t="n">
        <v>6.379772186279297</v>
      </c>
      <c r="S23" s="9" t="n">
        <v>11.90987491607666</v>
      </c>
      <c r="T23" s="9" t="n">
        <v>0.0</v>
      </c>
      <c r="U23">
        <f si="1" t="shared"/>
        <v>11857.574883042525</v>
      </c>
    </row>
    <row r="24" spans="1:21" x14ac:dyDescent="0.25">
      <c r="A24" s="12">
        <v>0.4375</v>
      </c>
      <c r="B24" s="6" t="n">
        <v>11749.708545852529</v>
      </c>
      <c r="C24" s="6" t="n">
        <v>406.6533019989484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12692.132178399366</v>
      </c>
      <c r="L24" s="12">
        <v>0.4375</v>
      </c>
      <c r="M24" s="9" t="n">
        <v>14415.703784942627</v>
      </c>
      <c r="N24" s="9" t="n">
        <v>1338.1204347610474</v>
      </c>
      <c r="O24" s="9" t="n">
        <v>0.0</v>
      </c>
      <c r="P24" s="9" t="n">
        <v>0.0</v>
      </c>
      <c r="Q24" s="9" t="n">
        <v>971.9312477111816</v>
      </c>
      <c r="R24" s="9" t="n">
        <v>7.821059226989746</v>
      </c>
      <c r="S24" s="9" t="n">
        <v>13.628244400024414</v>
      </c>
      <c r="T24" s="9" t="n">
        <v>0.0</v>
      </c>
      <c r="U24">
        <f si="1" t="shared"/>
        <v>14132.970213979444</v>
      </c>
    </row>
    <row r="25" spans="1:21" x14ac:dyDescent="0.25">
      <c r="A25" s="12">
        <v>0.45833333333333331</v>
      </c>
      <c r="B25" s="6" t="n">
        <v>14981.78570816961</v>
      </c>
      <c r="C25" s="6" t="n">
        <v>506.07825192552184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16182.114053263607</v>
      </c>
      <c r="L25" s="12">
        <v>0.45833333333333331</v>
      </c>
      <c r="M25" s="9" t="n">
        <v>16160.79210472107</v>
      </c>
      <c r="N25" s="9" t="n">
        <v>1472.4197626113892</v>
      </c>
      <c r="O25" s="9" t="n">
        <v>0.0</v>
      </c>
      <c r="P25" s="9" t="n">
        <v>0.0</v>
      </c>
      <c r="Q25" s="9" t="n">
        <v>1115.30482006073</v>
      </c>
      <c r="R25" s="9" t="n">
        <v>9.239943504333496</v>
      </c>
      <c r="S25" s="9" t="n">
        <v>14.810254096984863</v>
      </c>
      <c r="T25" s="9" t="n">
        <v>0.0</v>
      </c>
      <c r="U25">
        <f si="1" t="shared"/>
        <v>15831.740897259735</v>
      </c>
    </row>
    <row r="26" spans="1:21" x14ac:dyDescent="0.25">
      <c r="A26" s="12">
        <v>0.47916666666666669</v>
      </c>
      <c r="B26" s="6" t="n">
        <v>17615.34637972101</v>
      </c>
      <c r="C26" s="6" t="n">
        <v>596.9735759615361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19008.887228717143</v>
      </c>
      <c r="L26" s="12">
        <v>0.47916666666666669</v>
      </c>
      <c r="M26" s="9" t="n">
        <v>16974.035348892212</v>
      </c>
      <c r="N26" s="9" t="n">
        <v>1528.054693222046</v>
      </c>
      <c r="O26" s="9" t="n">
        <v>0.0</v>
      </c>
      <c r="P26" s="9" t="n">
        <v>0.0</v>
      </c>
      <c r="Q26" s="9" t="n">
        <v>1203.321689605713</v>
      </c>
      <c r="R26" s="9" t="n">
        <v>10.434584617614746</v>
      </c>
      <c r="S26" s="9" t="n">
        <v>15.232969284057617</v>
      </c>
      <c r="T26" s="9" t="n">
        <v>0.0</v>
      </c>
      <c r="U26">
        <f si="1" t="shared"/>
        <v>16616.594016659976</v>
      </c>
    </row>
    <row r="27" spans="1:21" x14ac:dyDescent="0.25">
      <c r="A27" s="12">
        <v>0.5</v>
      </c>
      <c r="B27" s="6" t="n">
        <v>18736.856313378274</v>
      </c>
      <c r="C27" s="6" t="n">
        <v>655.0828768956588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20190.769153367415</v>
      </c>
      <c r="L27" s="12">
        <v>0.5</v>
      </c>
      <c r="M27" s="9" t="n">
        <v>16660.47804260254</v>
      </c>
      <c r="N27" s="9" t="n">
        <v>1493.557204246521</v>
      </c>
      <c r="O27" s="9" t="n">
        <v>0.0</v>
      </c>
      <c r="P27" s="9" t="n">
        <v>0.0</v>
      </c>
      <c r="Q27" s="9" t="n">
        <v>1221.0201196670532</v>
      </c>
      <c r="R27" s="9" t="n">
        <v>11.21381664276123</v>
      </c>
      <c r="S27" s="9" t="n">
        <v>14.760910034179688</v>
      </c>
      <c r="T27" s="9" t="n">
        <v>0.0</v>
      </c>
      <c r="U27">
        <f si="1" t="shared"/>
        <v>16304.885419008677</v>
      </c>
    </row>
    <row r="28" spans="1:21" x14ac:dyDescent="0.25">
      <c r="A28" s="12">
        <v>0.52083333333333337</v>
      </c>
      <c r="B28" s="6" t="n">
        <v>17903.576247858877</v>
      </c>
      <c r="C28" s="6" t="n">
        <v>656.2490024161891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19256.815803111182</v>
      </c>
      <c r="L28" s="12">
        <v>0.52083333333333337</v>
      </c>
      <c r="M28" s="9" t="n">
        <v>15281.491756439209</v>
      </c>
      <c r="N28" s="9" t="n">
        <v>1377.1030082702637</v>
      </c>
      <c r="O28" s="9" t="n">
        <v>0.0</v>
      </c>
      <c r="P28" s="9" t="n">
        <v>0.0</v>
      </c>
      <c r="Q28" s="9" t="n">
        <v>1169.5561361312866</v>
      </c>
      <c r="R28" s="9" t="n">
        <v>11.474337577819824</v>
      </c>
      <c r="S28" s="9" t="n">
        <v>13.44015884399414</v>
      </c>
      <c r="T28" s="9" t="n">
        <v>0.0</v>
      </c>
      <c r="U28">
        <f si="1" t="shared"/>
        <v>14960.612454304111</v>
      </c>
    </row>
    <row r="29" spans="1:21" x14ac:dyDescent="0.25">
      <c r="A29" s="12">
        <v>0.54166666666666663</v>
      </c>
      <c r="B29" s="6" t="n">
        <v>15411.918024954708</v>
      </c>
      <c r="C29" s="6" t="n">
        <v>592.572073319206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16536.320669446111</v>
      </c>
      <c r="L29" s="12">
        <v>0.54166666666666663</v>
      </c>
      <c r="M29" s="9" t="n">
        <v>13172.374500274658</v>
      </c>
      <c r="N29" s="9" t="n">
        <v>1207.6784572601318</v>
      </c>
      <c r="O29" s="9" t="n">
        <v>0.0</v>
      </c>
      <c r="P29" s="9" t="n">
        <v>0.0</v>
      </c>
      <c r="Q29" s="9" t="n">
        <v>1068.351640701294</v>
      </c>
      <c r="R29" s="9" t="n">
        <v>11.280317306518555</v>
      </c>
      <c r="S29" s="9" t="n">
        <v>11.540771484375</v>
      </c>
      <c r="T29" s="9" t="n">
        <v>0.0</v>
      </c>
      <c r="U29">
        <f si="1" t="shared"/>
        <v>12911.401104979921</v>
      </c>
    </row>
    <row r="30" spans="1:21" x14ac:dyDescent="0.25">
      <c r="A30" s="12">
        <v>0.5625</v>
      </c>
      <c r="B30" s="6" t="n">
        <v>12101.369981584376</v>
      </c>
      <c r="C30" s="6" t="n">
        <v>482.7781427110729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12945.717997265619</v>
      </c>
      <c r="L30" s="12">
        <v>0.5625</v>
      </c>
      <c r="M30" s="9" t="n">
        <v>10812.48497390747</v>
      </c>
      <c r="N30" s="9" t="n">
        <v>1024.3476257324219</v>
      </c>
      <c r="O30" s="9" t="n">
        <v>0.0</v>
      </c>
      <c r="P30" s="9" t="n">
        <v>0.0</v>
      </c>
      <c r="Q30" s="9" t="n">
        <v>946.689845085144</v>
      </c>
      <c r="R30" s="9" t="n">
        <v>10.863682746887207</v>
      </c>
      <c r="S30" s="9" t="n">
        <v>9.464190483093262</v>
      </c>
      <c r="T30" s="9" t="n">
        <v>0.0</v>
      </c>
      <c r="U30">
        <f si="1" t="shared"/>
        <v>10624.098103597215</v>
      </c>
    </row>
    <row r="31" spans="1:21" x14ac:dyDescent="0.25">
      <c r="A31" s="12">
        <v>0.58333333333333337</v>
      </c>
      <c r="B31" s="6" t="n">
        <v>8878.24930827537</v>
      </c>
      <c r="C31" s="6" t="n">
        <v>364.2596796095437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9469.6463423414552</v>
      </c>
      <c r="L31" s="12">
        <v>0.58333333333333337</v>
      </c>
      <c r="M31" s="9" t="n">
        <v>8609.16732120514</v>
      </c>
      <c r="N31" s="9" t="n">
        <v>858.3144884109497</v>
      </c>
      <c r="O31" s="9" t="n">
        <v>0.0</v>
      </c>
      <c r="P31" s="9" t="n">
        <v>0.0</v>
      </c>
      <c r="Q31" s="9" t="n">
        <v>828.9842710494995</v>
      </c>
      <c r="R31" s="9" t="n">
        <v>10.49844741821289</v>
      </c>
      <c r="S31" s="9" t="n">
        <v>7.554346084594727</v>
      </c>
      <c r="T31" s="9" t="n">
        <v>0.0</v>
      </c>
      <c r="U31">
        <f si="1" t="shared"/>
        <v>8494.6752022777036</v>
      </c>
    </row>
    <row r="32" spans="1:21" x14ac:dyDescent="0.25">
      <c r="A32" s="12">
        <v>0.60416666666666663</v>
      </c>
      <c r="B32" s="6" t="n">
        <v>6316.313359143593</v>
      </c>
      <c r="C32" s="6" t="n">
        <v>270.1727724536199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6724.7062579125404</v>
      </c>
      <c r="L32" s="12">
        <v>0.60416666666666663</v>
      </c>
      <c r="M32" s="9" t="n">
        <v>6757.345809936523</v>
      </c>
      <c r="N32" s="9" t="n">
        <v>721.8334093093872</v>
      </c>
      <c r="O32" s="9" t="n">
        <v>0.0</v>
      </c>
      <c r="P32" s="9" t="n">
        <v>0.0</v>
      </c>
      <c r="Q32" s="9" t="n">
        <v>725.738284111023</v>
      </c>
      <c r="R32" s="9" t="n">
        <v>10.339980125427246</v>
      </c>
      <c r="S32" s="9" t="n">
        <v>5.963702201843262</v>
      </c>
      <c r="T32" s="9" t="n">
        <v>0.0</v>
      </c>
      <c r="U32">
        <f si="1" t="shared"/>
        <v>6710.6309668389276</v>
      </c>
    </row>
    <row r="33" spans="1:21" x14ac:dyDescent="0.25">
      <c r="A33" s="12">
        <v>0.625</v>
      </c>
      <c r="B33" s="6" t="n">
        <v>4542.985292607633</v>
      </c>
      <c r="C33" s="6" t="n">
        <v>210.75602481947365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4837.4662256163729</v>
      </c>
      <c r="L33" s="12">
        <v>0.625</v>
      </c>
      <c r="M33" s="9" t="n">
        <v>5263.533052444458</v>
      </c>
      <c r="N33" s="9" t="n">
        <v>611.747013092041</v>
      </c>
      <c r="O33" s="9" t="n">
        <v>0.0</v>
      </c>
      <c r="P33" s="9" t="n">
        <v>0.0</v>
      </c>
      <c r="Q33" s="9" t="n">
        <v>636.5421829223633</v>
      </c>
      <c r="R33" s="9" t="n">
        <v>10.377614974975586</v>
      </c>
      <c r="S33" s="9" t="n">
        <v>4.67227840423584</v>
      </c>
      <c r="T33" s="9" t="n">
        <v>0.0</v>
      </c>
      <c r="U33">
        <f si="1" t="shared"/>
        <v>5275.6063335281042</v>
      </c>
    </row>
    <row r="34" spans="1:21" x14ac:dyDescent="0.25">
      <c r="A34" s="12">
        <v>0.64583333333333337</v>
      </c>
      <c r="B34" s="6" t="n">
        <v>3376.8972713395274</v>
      </c>
      <c r="C34" s="6" t="n">
        <v>174.20636055044088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3600.459947079647</v>
      </c>
      <c r="L34" s="12">
        <v>0.64583333333333337</v>
      </c>
      <c r="M34" s="9" t="n">
        <v>4063.608922958374</v>
      </c>
      <c r="N34" s="9" t="n">
        <v>520.9375991821289</v>
      </c>
      <c r="O34" s="9" t="n">
        <v>0.0</v>
      </c>
      <c r="P34" s="9" t="n">
        <v>0.0</v>
      </c>
      <c r="Q34" s="9" t="n">
        <v>559.0836534500122</v>
      </c>
      <c r="R34" s="9" t="n">
        <v>10.52597427368164</v>
      </c>
      <c r="S34" s="9" t="n">
        <v>3.6024866104125977</v>
      </c>
      <c r="T34" s="9" t="n">
        <v>0.0</v>
      </c>
      <c r="U34">
        <f si="1" t="shared"/>
        <v>4127.0362554692429</v>
      </c>
    </row>
    <row r="35" spans="1:21" x14ac:dyDescent="0.25">
      <c r="A35" s="12">
        <v>0.66666666666666663</v>
      </c>
      <c r="B35" s="6" t="n">
        <v>2554.6717320617763</v>
      </c>
      <c r="C35" s="6" t="n">
        <v>142.88252267217746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2724.2737674152131</v>
      </c>
      <c r="L35" s="12">
        <v>0.66666666666666663</v>
      </c>
      <c r="M35" s="9" t="n">
        <v>3109.048812866211</v>
      </c>
      <c r="N35" s="9" t="n">
        <v>445.86971282958984</v>
      </c>
      <c r="O35" s="9" t="n">
        <v>0.0</v>
      </c>
      <c r="P35" s="9" t="n">
        <v>0.0</v>
      </c>
      <c r="Q35" s="9" t="n">
        <v>494.1523246765137</v>
      </c>
      <c r="R35" s="9" t="n">
        <v>10.731719017028809</v>
      </c>
      <c r="S35" s="9" t="n">
        <v>2.7057876586914062</v>
      </c>
      <c r="T35" s="9" t="n">
        <v>0.0</v>
      </c>
      <c r="U35">
        <f si="1" t="shared"/>
        <v>3220.4857296297737</v>
      </c>
    </row>
    <row r="36" spans="1:21" x14ac:dyDescent="0.25">
      <c r="A36" s="12">
        <v>0.6875</v>
      </c>
      <c r="B36" s="6" t="n">
        <v>1896.1306434182784</v>
      </c>
      <c r="C36" s="6" t="n">
        <v>107.97793537702843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2016.6320843655403</v>
      </c>
      <c r="L36" s="12">
        <v>0.6875</v>
      </c>
      <c r="M36" s="9" t="n">
        <v>2375.4057989120483</v>
      </c>
      <c r="N36" s="9" t="n">
        <v>385.9145803451538</v>
      </c>
      <c r="O36" s="9" t="n">
        <v>0.0</v>
      </c>
      <c r="P36" s="9" t="n">
        <v>0.0</v>
      </c>
      <c r="Q36" s="9" t="n">
        <v>443.48301792144775</v>
      </c>
      <c r="R36" s="9" t="n">
        <v>10.980862617492676</v>
      </c>
      <c r="S36" s="9" t="n">
        <v>1.969839096069336</v>
      </c>
      <c r="T36" s="9" t="n">
        <v>0.0</v>
      </c>
      <c r="U36">
        <f si="1" t="shared"/>
        <v>2533.9294769624371</v>
      </c>
    </row>
    <row r="37" spans="1:21" x14ac:dyDescent="0.25">
      <c r="A37" s="12">
        <v>0.70833333333333337</v>
      </c>
      <c r="B37" s="6" t="n">
        <v>1344.4614485341167</v>
      </c>
      <c r="C37" s="6" t="n">
        <v>71.88160260702648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1421.1936513757878</v>
      </c>
      <c r="L37" s="12">
        <v>0.70833333333333337</v>
      </c>
      <c r="M37" s="9" t="n">
        <v>1833.6828298568726</v>
      </c>
      <c r="N37" s="9" t="n">
        <v>338.9145383834839</v>
      </c>
      <c r="O37" s="9" t="n">
        <v>0.0</v>
      </c>
      <c r="P37" s="9" t="n">
        <v>0.0</v>
      </c>
      <c r="Q37" s="9" t="n">
        <v>405.01339626312256</v>
      </c>
      <c r="R37" s="9" t="n">
        <v>11.219337463378906</v>
      </c>
      <c r="S37" s="9" t="n">
        <v>1.3877620697021484</v>
      </c>
      <c r="T37" s="9" t="n">
        <v>0.0</v>
      </c>
      <c r="U37">
        <f si="1" t="shared"/>
        <v>2035.43690659292</v>
      </c>
    </row>
    <row r="38" spans="1:21" x14ac:dyDescent="0.25">
      <c r="A38" s="12">
        <v>0.72916666666666663</v>
      </c>
      <c r="B38" s="6" t="n">
        <v>913.9780620917111</v>
      </c>
      <c r="C38" s="6" t="n">
        <v>41.36988106845421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956.83946270762897</v>
      </c>
      <c r="L38" s="12">
        <v>0.72916666666666663</v>
      </c>
      <c r="M38" s="9" t="n">
        <v>1435.808458328247</v>
      </c>
      <c r="N38" s="9" t="n">
        <v>299.12534618377686</v>
      </c>
      <c r="O38" s="9" t="n">
        <v>0.0</v>
      </c>
      <c r="P38" s="9" t="n">
        <v>0.0</v>
      </c>
      <c r="Q38" s="9" t="n">
        <v>371.49469089508057</v>
      </c>
      <c r="R38" s="9" t="n">
        <v>11.292807579040527</v>
      </c>
      <c r="S38" s="9" t="n">
        <v>0.9434528350830078</v>
      </c>
      <c r="T38" s="9" t="n">
        <v>0.0</v>
      </c>
      <c r="U38">
        <f si="1" t="shared"/>
        <v>1669.1297292118199</v>
      </c>
    </row>
    <row r="39" spans="1:21" x14ac:dyDescent="0.25">
      <c r="A39" s="12">
        <v>0.75</v>
      </c>
      <c r="B39" s="6" t="n">
        <v>621.5167155202605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642.72201434620558</v>
      </c>
      <c r="L39" s="12">
        <v>0.75</v>
      </c>
      <c r="M39" s="9" t="n">
        <v>1127.8410625457764</v>
      </c>
      <c r="N39" s="9" t="n">
        <v>259.77913093566895</v>
      </c>
      <c r="O39" s="9" t="n">
        <v>0.0</v>
      </c>
      <c r="P39" s="9" t="n">
        <v>0.0</v>
      </c>
      <c r="Q39" s="9" t="n">
        <v>334.5394983291626</v>
      </c>
      <c r="R39" s="9" t="n">
        <v>11.002116203308105</v>
      </c>
      <c r="S39" s="9" t="n">
        <v>0.6199827194213867</v>
      </c>
      <c r="T39" s="9" t="n">
        <v>0.0</v>
      </c>
      <c r="U39">
        <f si="1" t="shared"/>
        <v>1373.3303803770614</v>
      </c>
    </row>
    <row r="40" spans="1:21" x14ac:dyDescent="0.25">
      <c r="A40" s="12">
        <v>0.77083333333333337</v>
      </c>
      <c r="B40" s="6" t="n">
        <v>452.1348758379045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462.85353539471589</v>
      </c>
      <c r="L40" s="12">
        <v>0.77083333333333337</v>
      </c>
      <c r="M40" s="9" t="n">
        <v>873.5872764587402</v>
      </c>
      <c r="N40" s="9" t="n">
        <v>217.8392448425293</v>
      </c>
      <c r="O40" s="9" t="n">
        <v>0.0</v>
      </c>
      <c r="P40" s="9" t="n">
        <v>0.0</v>
      </c>
      <c r="Q40" s="9" t="n">
        <v>291.111759185791</v>
      </c>
      <c r="R40" s="9" t="n">
        <v>10.268546104431152</v>
      </c>
      <c r="S40" s="9" t="n">
        <v>0.40587806701660156</v>
      </c>
      <c r="T40" s="9" t="n">
        <v>0.0</v>
      </c>
      <c r="U40">
        <f si="1" t="shared"/>
        <v>1110.0343887776401</v>
      </c>
    </row>
    <row r="41" spans="1:21" x14ac:dyDescent="0.25">
      <c r="A41" s="12">
        <v>0.79166666666666663</v>
      </c>
      <c r="B41" s="6" t="n">
        <v>362.5280081933958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371.32564010995594</v>
      </c>
      <c r="L41" s="12">
        <v>0.79166666666666663</v>
      </c>
      <c r="M41" s="9" t="n">
        <v>665.5941677093506</v>
      </c>
      <c r="N41" s="9" t="n">
        <v>176.35646724700928</v>
      </c>
      <c r="O41" s="9" t="n">
        <v>0.0</v>
      </c>
      <c r="P41" s="9" t="n">
        <v>0.0</v>
      </c>
      <c r="Q41" s="9" t="n">
        <v>246.6051950454712</v>
      </c>
      <c r="R41" s="9" t="n">
        <v>9.264098167419434</v>
      </c>
      <c r="S41" s="9" t="n">
        <v>0.2859792709350586</v>
      </c>
      <c r="T41" s="9" t="n">
        <v>0.0</v>
      </c>
      <c r="U41">
        <f si="1" t="shared"/>
        <v>878.16174774783474</v>
      </c>
    </row>
    <row r="42" spans="1:21" x14ac:dyDescent="0.25">
      <c r="A42" s="12">
        <v>0.8125</v>
      </c>
      <c r="B42" s="6" t="n">
        <v>303.2074536640177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315.91776831151395</v>
      </c>
      <c r="L42" s="12">
        <v>0.8125</v>
      </c>
      <c r="M42" s="9" t="n">
        <v>513.7873916625977</v>
      </c>
      <c r="N42" s="9" t="n">
        <v>141.7664041519165</v>
      </c>
      <c r="O42" s="9" t="n">
        <v>0.0</v>
      </c>
      <c r="P42" s="9" t="n">
        <v>0.0</v>
      </c>
      <c r="Q42" s="9" t="n">
        <v>210.77569961547852</v>
      </c>
      <c r="R42" s="9" t="n">
        <v>8.332091331481934</v>
      </c>
      <c r="S42" s="9" t="n">
        <v>0.23060321807861328</v>
      </c>
      <c r="T42" s="9" t="n">
        <v>0.0</v>
      </c>
      <c r="U42">
        <f si="1" t="shared"/>
        <v>698.76361067457071</v>
      </c>
    </row>
    <row r="43" spans="1:21" x14ac:dyDescent="0.25">
      <c r="A43" s="12">
        <v>0.83333333333333337</v>
      </c>
      <c r="B43" s="6" t="n">
        <v>241.2018984260543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260.75056107983846</v>
      </c>
      <c r="L43" s="12">
        <v>0.83333333333333337</v>
      </c>
      <c r="M43" s="9" t="n">
        <v>422.03142070770264</v>
      </c>
      <c r="N43" s="9" t="n">
        <v>118.1837043762207</v>
      </c>
      <c r="O43" s="9" t="n">
        <v>0.0</v>
      </c>
      <c r="P43" s="9" t="n">
        <v>0.0</v>
      </c>
      <c r="Q43" s="9" t="n">
        <v>189.20804500579834</v>
      </c>
      <c r="R43" s="9" t="n">
        <v>7.7102203369140625</v>
      </c>
      <c r="S43" s="9" t="n">
        <v>0.20082855224609375</v>
      </c>
      <c r="T43" s="9" t="n">
        <v>0.0</v>
      </c>
      <c r="U43">
        <f si="1" t="shared"/>
        <v>584.64535561869741</v>
      </c>
    </row>
    <row r="44" spans="1:21" x14ac:dyDescent="0.25">
      <c r="A44" s="12">
        <v>0.85416666666666663</v>
      </c>
      <c r="B44" s="6" t="n">
        <v>169.9707215583477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195.8359718533693</v>
      </c>
      <c r="L44" s="12">
        <v>0.85416666666666663</v>
      </c>
      <c r="M44" s="9" t="n">
        <v>373.5467071533203</v>
      </c>
      <c r="N44" s="9" t="n">
        <v>103.77823162078857</v>
      </c>
      <c r="O44" s="9" t="n">
        <v>0.0</v>
      </c>
      <c r="P44" s="9" t="n">
        <v>0.0</v>
      </c>
      <c r="Q44" s="9" t="n">
        <v>177.85665035247803</v>
      </c>
      <c r="R44" s="9" t="n">
        <v>7.308625221252441</v>
      </c>
      <c r="S44" s="9" t="n">
        <v>0.16703414916992188</v>
      </c>
      <c r="T44" s="9" t="n">
        <v>0.0</v>
      </c>
      <c r="U44">
        <f si="1" t="shared"/>
        <v>520.61200473380393</v>
      </c>
    </row>
    <row r="45" spans="1:21" x14ac:dyDescent="0.25">
      <c r="A45" s="12">
        <v>0.875</v>
      </c>
      <c r="B45" s="6" t="n">
        <v>101.64812287984077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130.0730407690902</v>
      </c>
      <c r="L45" s="12">
        <v>0.875</v>
      </c>
      <c r="M45" s="9" t="n">
        <v>337.3577489852905</v>
      </c>
      <c r="N45" s="9" t="n">
        <v>92.35647869110107</v>
      </c>
      <c r="O45" s="9" t="n">
        <v>0.0</v>
      </c>
      <c r="P45" s="9" t="n">
        <v>0.0</v>
      </c>
      <c r="Q45" s="9" t="n">
        <v>165.87676239013672</v>
      </c>
      <c r="R45" s="9" t="n">
        <v>6.781339645385742</v>
      </c>
      <c r="S45" s="9" t="n">
        <v>0.12158679962158203</v>
      </c>
      <c r="T45" s="9" t="n">
        <v>0.0</v>
      </c>
      <c r="U45">
        <f si="1" t="shared"/>
        <v>470.5928092331983</v>
      </c>
    </row>
    <row r="46" spans="1:21" x14ac:dyDescent="0.25">
      <c r="A46" s="12">
        <v>0.89583333333333337</v>
      </c>
      <c r="B46" s="6" t="n">
        <v>50.17436933259909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76.012821528062972</v>
      </c>
      <c r="L46" s="12">
        <v>0.89583333333333337</v>
      </c>
      <c r="M46" s="9" t="n">
        <v>288.11834144592285</v>
      </c>
      <c r="N46" s="9" t="n">
        <v>78.32518005371094</v>
      </c>
      <c r="O46" s="9" t="n">
        <v>0.0</v>
      </c>
      <c r="P46" s="9" t="n">
        <v>0.0</v>
      </c>
      <c r="Q46" s="9" t="n">
        <v>144.2033290863037</v>
      </c>
      <c r="R46" s="9" t="n">
        <v>5.834623336791992</v>
      </c>
      <c r="S46" s="9" t="n">
        <v>0.07414817810058594</v>
      </c>
      <c r="T46" s="9" t="n">
        <v>0.0</v>
      </c>
      <c r="U46">
        <f si="1" t="shared"/>
        <v>403.08587895892924</v>
      </c>
    </row>
    <row r="47" spans="1:21" x14ac:dyDescent="0.25">
      <c r="A47" s="12">
        <v>0.91666666666666663</v>
      </c>
      <c r="B47" s="6" t="n">
        <v>19.958440465880113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39.337175625405045</v>
      </c>
      <c r="L47" s="12">
        <v>0.91666666666666663</v>
      </c>
      <c r="M47" s="9" t="n">
        <v>220.5500364303589</v>
      </c>
      <c r="N47" s="9" t="n">
        <v>60.426185607910156</v>
      </c>
      <c r="O47" s="9" t="n">
        <v>0.0</v>
      </c>
      <c r="P47" s="9" t="n">
        <v>0.0</v>
      </c>
      <c r="Q47" s="9" t="n">
        <v>112.0911693572998</v>
      </c>
      <c r="R47" s="9" t="n">
        <v>4.4760284423828125</v>
      </c>
      <c r="S47" s="9" t="n">
        <v>0.03698539733886719</v>
      </c>
      <c r="T47" s="9" t="n">
        <v>0.0</v>
      </c>
      <c r="U47">
        <f si="1" t="shared"/>
        <v>311.06575635338379</v>
      </c>
    </row>
    <row r="48" spans="1:21" x14ac:dyDescent="0.25">
      <c r="A48" s="12">
        <v>0.9375</v>
      </c>
      <c r="B48" s="6" t="n">
        <v>6.223153183015394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18.148528665799969</v>
      </c>
      <c r="L48" s="12">
        <v>0.9375</v>
      </c>
      <c r="M48" s="9" t="n">
        <v>147.228253364563</v>
      </c>
      <c r="N48" s="9" t="n">
        <v>41.465054512023926</v>
      </c>
      <c r="O48" s="9" t="n">
        <v>0.0</v>
      </c>
      <c r="P48" s="9" t="n">
        <v>0.0</v>
      </c>
      <c r="Q48" s="9" t="n">
        <v>76.39076328277588</v>
      </c>
      <c r="R48" s="9" t="n">
        <v>2.9914560317993164</v>
      </c>
      <c r="S48" s="9" t="n">
        <v>0.014786720275878906</v>
      </c>
      <c r="T48" s="9" t="n">
        <v>0.0</v>
      </c>
      <c r="U48">
        <f si="1" t="shared"/>
        <v>210.69948835852603</v>
      </c>
    </row>
    <row r="49" spans="1:21" x14ac:dyDescent="0.25">
      <c r="A49" s="12">
        <v>0.95833333333333337</v>
      </c>
      <c r="B49" s="6" t="n">
        <v>1.4631555881433156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7.4258433295356037</v>
      </c>
      <c r="L49" s="12">
        <v>0.95833333333333337</v>
      </c>
      <c r="M49" s="9" t="n">
        <v>84.83916473388672</v>
      </c>
      <c r="N49" s="9" t="n">
        <v>25.228740692138672</v>
      </c>
      <c r="O49" s="9" t="n">
        <v>0.0</v>
      </c>
      <c r="P49" s="9" t="n">
        <v>0.0</v>
      </c>
      <c r="Q49" s="9" t="n">
        <v>45.485941886901855</v>
      </c>
      <c r="R49" s="9" t="n">
        <v>1.7181720733642578</v>
      </c>
      <c r="S49" s="9" t="n">
        <v>0.004620552062988281</v>
      </c>
      <c r="T49" s="9" t="n">
        <v>0.0</v>
      </c>
      <c r="U49">
        <f si="1" t="shared"/>
        <v>124.20777644061771</v>
      </c>
    </row>
    <row r="50" spans="1:21" x14ac:dyDescent="0.25">
      <c r="A50" s="12">
        <v>0.97916666666666663</v>
      </c>
      <c r="B50" s="6" t="n">
        <v>0.24381553680534362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2.6288906333622588</v>
      </c>
      <c r="L50" s="12">
        <v>0.97916666666666663</v>
      </c>
      <c r="M50" s="9" t="n">
        <v>42.2992582321167</v>
      </c>
      <c r="N50" s="9" t="n">
        <v>13.766993522644043</v>
      </c>
      <c r="O50" s="9" t="n">
        <v>0.0</v>
      </c>
      <c r="P50" s="9" t="n">
        <v>0.0</v>
      </c>
      <c r="Q50" s="9" t="n">
        <v>23.908395767211914</v>
      </c>
      <c r="R50" s="9" t="n">
        <v>0.8402395248413086</v>
      </c>
      <c r="S50" s="9" t="n">
        <v>0.001087188720703125</v>
      </c>
      <c r="T50" s="9" t="n">
        <v>0.0</v>
      </c>
      <c r="U50">
        <f si="1" t="shared"/>
        <v>64.063181542609044</v>
      </c>
    </row>
    <row r="51" spans="1:21" x14ac:dyDescent="0.25">
      <c r="A51" s="12">
        <v>1</v>
      </c>
      <c r="B51" s="6" t="n">
        <v>0.02566479334793091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0.7710007610219668</v>
      </c>
      <c r="L51" s="12">
        <v>1</v>
      </c>
      <c r="M51" s="9" t="n">
        <v>18.52957820892334</v>
      </c>
      <c r="N51" s="9" t="n">
        <v>6.877235412597656</v>
      </c>
      <c r="O51" s="9" t="n">
        <v>0.0</v>
      </c>
      <c r="P51" s="9" t="n">
        <v>0.0</v>
      </c>
      <c r="Q51" s="9" t="n">
        <v>11.353226661682129</v>
      </c>
      <c r="R51" s="9" t="n">
        <v>0.3470926284790039</v>
      </c>
      <c r="S51" s="9" t="n">
        <v>1.811981201171875E-4</v>
      </c>
      <c r="T51" s="9" t="n">
        <v>0.0</v>
      </c>
      <c r="U51">
        <f si="1" t="shared"/>
        <v>29.457857516457846</v>
      </c>
    </row>
    <row r="52" spans="1:21" x14ac:dyDescent="0.25">
      <c r="A52" s="12">
        <v>1.0208333333333333</v>
      </c>
      <c r="B52" s="6" t="n">
        <v>0.0012832396673965454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0.17665640853187559</v>
      </c>
      <c r="L52" s="12">
        <v>1.0208333333333333</v>
      </c>
      <c r="M52" s="9" t="n">
        <v>7.336094856262207</v>
      </c>
      <c r="N52" s="9" t="n">
        <v>3.1990928649902344</v>
      </c>
      <c r="O52" s="9" t="n">
        <v>0.0</v>
      </c>
      <c r="P52" s="9" t="n">
        <v>0.0</v>
      </c>
      <c r="Q52" s="9" t="n">
        <v>5.010464668273926</v>
      </c>
      <c r="R52" s="9" t="n">
        <v>0.12012195587158203</v>
      </c>
      <c r="S52" s="9" t="n">
        <v>1.9073486328125E-5</v>
      </c>
      <c r="T52" s="9" t="n">
        <v>0.0</v>
      </c>
      <c r="U52">
        <f si="1" t="shared"/>
        <v>12.426462408526335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2.9228861477413173E-2</v>
      </c>
      <c r="L53" s="12">
        <v>4.1666666666666664E-2</v>
      </c>
      <c r="M53" s="9" t="n">
        <v>2.7025623321533203</v>
      </c>
      <c r="N53" s="9" t="n">
        <v>1.380824089050293</v>
      </c>
      <c r="O53" s="9" t="n">
        <v>0.0</v>
      </c>
      <c r="P53" s="9" t="n">
        <v>0.0</v>
      </c>
      <c r="Q53" s="9" t="n">
        <v>2.08174991607666</v>
      </c>
      <c r="R53" s="9" t="n">
        <v>0.03447723388671875</v>
      </c>
      <c r="S53" s="9" t="n">
        <v>9.5367431640625E-7</v>
      </c>
      <c r="T53" s="9" t="n">
        <v>0.0</v>
      </c>
      <c r="U53">
        <f si="1" t="shared"/>
        <v>4.9148290049495014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3.0767222607803349E-3</v>
      </c>
      <c r="L54" s="12">
        <v>6.25E-2</v>
      </c>
      <c r="M54" s="9" t="n">
        <v>0.9290304183959961</v>
      </c>
      <c r="N54" s="9" t="n">
        <v>0.5363445281982422</v>
      </c>
      <c r="O54" s="9" t="n">
        <v>0.0</v>
      </c>
      <c r="P54" s="9" t="n">
        <v>0.0</v>
      </c>
      <c r="Q54" s="9" t="n">
        <v>0.7970504760742188</v>
      </c>
      <c r="R54" s="9" t="n">
        <v>0.008083343505859375</v>
      </c>
      <c r="S54" s="9" t="n">
        <v>0.0</v>
      </c>
      <c r="T54" s="9" t="n">
        <v>0.0</v>
      </c>
      <c r="U54">
        <f si="1" t="shared"/>
        <v>1.8060201274129266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1.5383611303901673E-4</v>
      </c>
      <c r="L55" s="12">
        <v>8.3333333333333329E-2</v>
      </c>
      <c r="M55" s="9" t="n">
        <v>0.2864494323730469</v>
      </c>
      <c r="N55" s="9" t="n">
        <v>0.17879676818847656</v>
      </c>
      <c r="O55" s="9" t="n">
        <v>0.0</v>
      </c>
      <c r="P55" s="9" t="n">
        <v>0.0</v>
      </c>
      <c r="Q55" s="9" t="n">
        <v>0.26741695404052734</v>
      </c>
      <c r="R55" s="9" t="n">
        <v>0.001506805419921875</v>
      </c>
      <c r="S55" s="9" t="n">
        <v>0.0</v>
      </c>
      <c r="T55" s="9" t="n">
        <v>0.0</v>
      </c>
      <c r="U55">
        <f si="1" t="shared"/>
        <v>0.58938320187026172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0.07409191131591797</v>
      </c>
      <c r="N56" s="9" t="n">
        <v>0.048553466796875</v>
      </c>
      <c r="O56" s="9" t="n">
        <v>0.0</v>
      </c>
      <c r="P56" s="9" t="n">
        <v>0.0</v>
      </c>
      <c r="Q56" s="9" t="n">
        <v>0.07402610778808594</v>
      </c>
      <c r="R56" s="9" t="n">
        <v>2.117156982421875E-4</v>
      </c>
      <c r="S56" s="9" t="n">
        <v>0.0</v>
      </c>
      <c r="T56" s="9" t="n">
        <v>0.0</v>
      </c>
      <c r="U56">
        <f si="1" t="shared"/>
        <v>0.16037926105422778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0.014738082885742188</v>
      </c>
      <c r="N57" s="9" t="n">
        <v>0.010016441345214844</v>
      </c>
      <c r="O57" s="9" t="n">
        <v>0.0</v>
      </c>
      <c r="P57" s="9" t="n">
        <v>0.0</v>
      </c>
      <c r="Q57" s="9" t="n">
        <v>0.015654563903808594</v>
      </c>
      <c r="R57" s="9" t="n">
        <v>2.002716064453125E-5</v>
      </c>
      <c r="S57" s="9" t="n">
        <v>0.0</v>
      </c>
      <c r="T57" s="9" t="n">
        <v>0.0</v>
      </c>
      <c r="U57">
        <f si="1" t="shared"/>
        <v>3.3533087107054785E-2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7594.0</v>
      </c>
      <c r="N8" s="9" t="n">
        <v>2673.0</v>
      </c>
      <c r="O8" s="9" t="n">
        <v>0.0</v>
      </c>
      <c r="P8" s="9" t="n">
        <v>0.0</v>
      </c>
      <c r="Q8" s="9" t="n">
        <v>4431.0</v>
      </c>
      <c r="R8" s="9" t="n">
        <v>233.0</v>
      </c>
      <c r="S8" s="9" t="n">
        <v>11.0</v>
      </c>
      <c r="T8" s="9" t="n">
        <v>0.0</v>
      </c>
      <c r="U8">
        <f>SUM(M8:T8)</f>
        <v>12499.496154576724</v>
      </c>
      <c r="W8" s="5"/>
      <c r="X8" s="16"/>
      <c r="Y8" s="16"/>
      <c r="Z8" s="5"/>
    </row>
    <row r="9" spans="1:26" x14ac:dyDescent="0.25">
      <c r="A9" s="12">
        <v>0.125</v>
      </c>
      <c r="B9" s="6" t="n">
        <v>0.5004121641004206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17.111504571594544</v>
      </c>
      <c r="L9" s="12">
        <v>0.125</v>
      </c>
      <c r="M9" s="9" t="n">
        <v>5075.413764953613</v>
      </c>
      <c r="N9" s="9" t="n">
        <v>1780.8728981018066</v>
      </c>
      <c r="O9" s="9" t="n">
        <v>0.0</v>
      </c>
      <c r="P9" s="9" t="n">
        <v>0.0</v>
      </c>
      <c r="Q9" s="9" t="n">
        <v>2942.283408164978</v>
      </c>
      <c r="R9" s="9" t="n">
        <v>154.6244077682495</v>
      </c>
      <c r="S9" s="9" t="n">
        <v>7.392425537109375</v>
      </c>
      <c r="T9" s="9" t="n">
        <v>0.0</v>
      </c>
      <c r="U9">
        <f ref="U9:U58" si="1" t="shared">SUM(M9:T9)</f>
        <v>8356.9091720781671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2.406016310030728</v>
      </c>
      <c r="C10" s="6" t="n">
        <v>12.975267976454933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35.245056805670806</v>
      </c>
      <c r="L10" s="12">
        <v>0.14583333333333334</v>
      </c>
      <c r="M10" s="9" t="n">
        <v>2988.824038505554</v>
      </c>
      <c r="N10" s="9" t="n">
        <v>1040.2415704727173</v>
      </c>
      <c r="O10" s="9" t="n">
        <v>0.0</v>
      </c>
      <c r="P10" s="9" t="n">
        <v>0.0</v>
      </c>
      <c r="Q10" s="9" t="n">
        <v>1702.0550107955933</v>
      </c>
      <c r="R10" s="9" t="n">
        <v>89.31190872192383</v>
      </c>
      <c r="S10" s="9" t="n">
        <v>4.380292892456055</v>
      </c>
      <c r="T10" s="9" t="n">
        <v>0.0</v>
      </c>
      <c r="U10">
        <f si="1" t="shared"/>
        <v>4908.4301371760948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8.944642264792968</v>
      </c>
      <c r="C11" s="6" t="n">
        <v>18.581991732993217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56.561725492164996</v>
      </c>
      <c r="L11" s="12">
        <v>0.16666666666666666</v>
      </c>
      <c r="M11" s="9" t="n">
        <v>1574.815432548523</v>
      </c>
      <c r="N11" s="9" t="n">
        <v>534.6756229400635</v>
      </c>
      <c r="O11" s="9" t="n">
        <v>0.0</v>
      </c>
      <c r="P11" s="9" t="n">
        <v>0.0</v>
      </c>
      <c r="Q11" s="9" t="n">
        <v>844.6443872451782</v>
      </c>
      <c r="R11" s="9" t="n">
        <v>44.09846591949463</v>
      </c>
      <c r="S11" s="9" t="n">
        <v>2.3036394119262695</v>
      </c>
      <c r="T11" s="9" t="n">
        <v>0.0</v>
      </c>
      <c r="U11">
        <f si="1" t="shared"/>
        <v>2539.5541984756451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27.304755565799475</v>
      </c>
      <c r="C12" s="6" t="n">
        <v>23.840458066176165</v>
      </c>
      <c r="D12" s="6" t="n">
        <v>0.0</v>
      </c>
      <c r="E12" s="6" t="n">
        <v>29.84624134415482</v>
      </c>
      <c r="F12" s="6" t="n">
        <v>9.32538916316102</v>
      </c>
      <c r="G12" s="6" t="n">
        <v>0.0</v>
      </c>
      <c r="H12" s="6" t="n">
        <v>0.0</v>
      </c>
      <c r="I12" s="6" t="n">
        <v>0.0</v>
      </c>
      <c r="J12" s="6">
        <f si="0" t="shared"/>
        <v>90.316844139291476</v>
      </c>
      <c r="L12" s="12">
        <v>0.1875</v>
      </c>
      <c r="M12" s="9" t="n">
        <v>832.7905149459839</v>
      </c>
      <c r="N12" s="9" t="n">
        <v>261.6112871170044</v>
      </c>
      <c r="O12" s="9" t="n">
        <v>0.0</v>
      </c>
      <c r="P12" s="9" t="n">
        <v>0.0</v>
      </c>
      <c r="Q12" s="9" t="n">
        <v>357.9085474014282</v>
      </c>
      <c r="R12" s="9" t="n">
        <v>18.274365425109863</v>
      </c>
      <c r="S12" s="9" t="n">
        <v>1.1788568496704102</v>
      </c>
      <c r="T12" s="9" t="n">
        <v>0.0</v>
      </c>
      <c r="U12">
        <f si="1" t="shared"/>
        <v>1242.0661723033957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70.77650495346667</v>
      </c>
      <c r="C13" s="6" t="n">
        <v>33.360674911864365</v>
      </c>
      <c r="D13" s="6" t="n">
        <v>0.001603926628627777</v>
      </c>
      <c r="E13" s="6" t="n">
        <v>30.66992022581313</v>
      </c>
      <c r="F13" s="6" t="n">
        <v>27.75024978911297</v>
      </c>
      <c r="G13" s="6" t="n">
        <v>0.0</v>
      </c>
      <c r="H13" s="6" t="n">
        <v>0.0</v>
      </c>
      <c r="I13" s="6" t="n">
        <v>0.0</v>
      </c>
      <c r="J13" s="6">
        <f si="0" t="shared"/>
        <v>162.55895380688577</v>
      </c>
      <c r="L13" s="12">
        <v>0.20833333333333334</v>
      </c>
      <c r="M13" s="9" t="n">
        <v>619.8854112625122</v>
      </c>
      <c r="N13" s="9" t="n">
        <v>166.5132999420166</v>
      </c>
      <c r="O13" s="9" t="n">
        <v>0.0</v>
      </c>
      <c r="P13" s="9" t="n">
        <v>0.0</v>
      </c>
      <c r="Q13" s="9" t="n">
        <v>138.11466789245605</v>
      </c>
      <c r="R13" s="9" t="n">
        <v>6.261897087097168</v>
      </c>
      <c r="S13" s="9" t="n">
        <v>0.8281345367431641</v>
      </c>
      <c r="T13" s="9" t="n">
        <v>0.0</v>
      </c>
      <c r="U13">
        <f si="1" t="shared"/>
        <v>766.92134299658767</v>
      </c>
    </row>
    <row r="14" spans="1:26" x14ac:dyDescent="0.25">
      <c r="A14" s="12">
        <v>0.22916666666666666</v>
      </c>
      <c r="B14" s="6" t="n">
        <v>160.16282649841892</v>
      </c>
      <c r="C14" s="6" t="n">
        <v>58.447202705211645</v>
      </c>
      <c r="D14" s="6" t="n">
        <v>0.032596588541657444</v>
      </c>
      <c r="E14" s="6" t="n">
        <v>34.0103994610231</v>
      </c>
      <c r="F14" s="6" t="n">
        <v>68.61676153093171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321.26989098878175</v>
      </c>
      <c r="L14" s="12">
        <v>0.22916666666666666</v>
      </c>
      <c r="M14" s="9" t="n">
        <v>786.6016826629639</v>
      </c>
      <c r="N14" s="9" t="n">
        <v>190.64508247375488</v>
      </c>
      <c r="O14" s="9" t="n">
        <v>0.0</v>
      </c>
      <c r="P14" s="9" t="n">
        <v>0.0</v>
      </c>
      <c r="Q14" s="9" t="n">
        <v>70.33730888366699</v>
      </c>
      <c r="R14" s="9" t="n">
        <v>1.855290412902832</v>
      </c>
      <c r="S14" s="9" t="n">
        <v>1.064610481262207</v>
      </c>
      <c r="T14" s="9" t="n">
        <v>0.0</v>
      </c>
      <c r="U14">
        <f si="1" t="shared"/>
        <v>843.46871817963358</v>
      </c>
    </row>
    <row r="15" spans="1:26" x14ac:dyDescent="0.25">
      <c r="A15" s="12">
        <v>0.25</v>
      </c>
      <c r="B15" s="6" t="n">
        <v>324.23921069585043</v>
      </c>
      <c r="C15" s="6" t="n">
        <v>115.57793137236904</v>
      </c>
      <c r="D15" s="6" t="n">
        <v>0.3151071788213158</v>
      </c>
      <c r="E15" s="6" t="n">
        <v>48.3933345202863</v>
      </c>
      <c r="F15" s="6" t="n">
        <v>139.25295867041874</v>
      </c>
      <c r="G15" s="6" t="n">
        <v>0.0</v>
      </c>
      <c r="H15" s="6" t="n">
        <v>0.0</v>
      </c>
      <c r="I15" s="6" t="n">
        <v>0.00208409309387207</v>
      </c>
      <c r="J15" s="6">
        <f si="0" t="shared"/>
        <v>627.78062653083975</v>
      </c>
      <c r="L15" s="12">
        <v>0.25</v>
      </c>
      <c r="M15" s="9" t="n">
        <v>1245.281328201294</v>
      </c>
      <c r="N15" s="9" t="n">
        <v>296.41047954559326</v>
      </c>
      <c r="O15" s="9" t="n">
        <v>0.0</v>
      </c>
      <c r="P15" s="9" t="n">
        <v>0.0</v>
      </c>
      <c r="Q15" s="9" t="n">
        <v>76.13501930236816</v>
      </c>
      <c r="R15" s="9" t="n">
        <v>0.7617053985595703</v>
      </c>
      <c r="S15" s="9" t="n">
        <v>1.8012456893920898</v>
      </c>
      <c r="T15" s="9" t="n">
        <v>0.0</v>
      </c>
      <c r="U15">
        <f si="1" t="shared"/>
        <v>1301.1136870707446</v>
      </c>
    </row>
    <row r="16" spans="1:26" x14ac:dyDescent="0.25">
      <c r="A16" s="12">
        <v>0.27083333333333331</v>
      </c>
      <c r="B16" s="6" t="n">
        <v>599.3013825068392</v>
      </c>
      <c r="C16" s="6" t="n">
        <v>219.88322089075376</v>
      </c>
      <c r="D16" s="6" t="n">
        <v>1.9272183570805956</v>
      </c>
      <c r="E16" s="6" t="n">
        <v>80.61724617011453</v>
      </c>
      <c r="F16" s="6" t="n">
        <v>234.4104595486029</v>
      </c>
      <c r="G16" s="6" t="n">
        <v>0.0</v>
      </c>
      <c r="H16" s="6" t="n">
        <v>0.0</v>
      </c>
      <c r="I16" s="6" t="n">
        <v>0.019798884391784666</v>
      </c>
      <c r="J16" s="6">
        <f si="0" t="shared"/>
        <v>1136.1593263577829</v>
      </c>
      <c r="L16" s="12">
        <v>0.27083333333333331</v>
      </c>
      <c r="M16" s="9" t="n">
        <v>1963.3858757019043</v>
      </c>
      <c r="N16" s="9" t="n">
        <v>466.34235286712646</v>
      </c>
      <c r="O16" s="9" t="n">
        <v>0.0</v>
      </c>
      <c r="P16" s="9" t="n">
        <v>0.0</v>
      </c>
      <c r="Q16" s="9" t="n">
        <v>118.26687812805176</v>
      </c>
      <c r="R16" s="9" t="n">
        <v>0.8705682754516602</v>
      </c>
      <c r="S16" s="9" t="n">
        <v>3.0618953704833984</v>
      </c>
      <c r="T16" s="9" t="n">
        <v>0.0</v>
      </c>
      <c r="U16">
        <f si="1" t="shared"/>
        <v>2069.8284927235613</v>
      </c>
    </row>
    <row r="17" spans="1:21" x14ac:dyDescent="0.25">
      <c r="A17" s="12">
        <v>0.29166666666666669</v>
      </c>
      <c r="B17" s="6" t="n">
        <v>1025.7395568363927</v>
      </c>
      <c r="C17" s="6" t="n">
        <v>378.2673569149681</v>
      </c>
      <c r="D17" s="6" t="n">
        <v>8.369324354447832</v>
      </c>
      <c r="E17" s="6" t="n">
        <v>130.89232385246666</v>
      </c>
      <c r="F17" s="6" t="n">
        <v>334.5549928512412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1877.9423481158672</v>
      </c>
      <c r="L17" s="12">
        <v>0.29166666666666669</v>
      </c>
      <c r="M17" s="9" t="n">
        <v>2947.030885696411</v>
      </c>
      <c r="N17" s="9" t="n">
        <v>695.508620262146</v>
      </c>
      <c r="O17" s="9" t="n">
        <v>0.0</v>
      </c>
      <c r="P17" s="9" t="n">
        <v>0.0</v>
      </c>
      <c r="Q17" s="9" t="n">
        <v>186.1122236251831</v>
      </c>
      <c r="R17" s="9" t="n">
        <v>1.425811767578125</v>
      </c>
      <c r="S17" s="9" t="n">
        <v>4.955097198486328</v>
      </c>
      <c r="T17" s="9" t="n">
        <v>0.0</v>
      </c>
      <c r="U17">
        <f si="1" t="shared"/>
        <v>3145.2988251760448</v>
      </c>
    </row>
    <row r="18" spans="1:21" x14ac:dyDescent="0.25">
      <c r="A18" s="12">
        <v>0.3125</v>
      </c>
      <c r="B18" s="6" t="n">
        <v>1638.465765840053</v>
      </c>
      <c r="C18" s="6" t="n">
        <v>589.9148446475826</v>
      </c>
      <c r="D18" s="6" t="n">
        <v>27.466845359323457</v>
      </c>
      <c r="E18" s="6" t="n">
        <v>193.540471179171</v>
      </c>
      <c r="F18" s="6" t="n">
        <v>420.5592489800579</v>
      </c>
      <c r="G18" s="6" t="n">
        <v>0.0</v>
      </c>
      <c r="H18" s="6" t="n">
        <v>0.0</v>
      </c>
      <c r="I18" s="6" t="n">
        <v>0.5048715519905089</v>
      </c>
      <c r="J18" s="6">
        <f si="0" t="shared"/>
        <v>2870.4520475581789</v>
      </c>
      <c r="L18" s="12">
        <v>0.3125</v>
      </c>
      <c r="M18" s="9" t="n">
        <v>4269.615581512451</v>
      </c>
      <c r="N18" s="9" t="n">
        <v>994.2611312866211</v>
      </c>
      <c r="O18" s="9" t="n">
        <v>0.0</v>
      </c>
      <c r="P18" s="9" t="n">
        <v>0.0</v>
      </c>
      <c r="Q18" s="9" t="n">
        <v>284.3157606124878</v>
      </c>
      <c r="R18" s="9" t="n">
        <v>2.2573623657226562</v>
      </c>
      <c r="S18" s="9" t="n">
        <v>7.674297332763672</v>
      </c>
      <c r="T18" s="9" t="n">
        <v>0.0</v>
      </c>
      <c r="U18">
        <f si="1" t="shared"/>
        <v>4599.7294293425466</v>
      </c>
    </row>
    <row r="19" spans="1:21" x14ac:dyDescent="0.25">
      <c r="A19" s="12">
        <v>0.33333333333333331</v>
      </c>
      <c r="B19" s="6" t="n">
        <v>2457.0354661674414</v>
      </c>
      <c r="C19" s="6" t="n">
        <v>855.7106447410895</v>
      </c>
      <c r="D19" s="6" t="n">
        <v>70.85362107110495</v>
      </c>
      <c r="E19" s="6" t="n">
        <v>264.1336165264362</v>
      </c>
      <c r="F19" s="6" t="n">
        <v>495.3557140615936</v>
      </c>
      <c r="G19" s="6" t="n">
        <v>0.0</v>
      </c>
      <c r="H19" s="6" t="n">
        <v>0.0</v>
      </c>
      <c r="I19" s="6" t="n">
        <v>1.6156259809732434</v>
      </c>
      <c r="J19" s="6">
        <f si="0" t="shared"/>
        <v>4144.7046885486388</v>
      </c>
      <c r="L19" s="12">
        <v>0.33333333333333331</v>
      </c>
      <c r="M19" s="9" t="n">
        <v>6122.054161071777</v>
      </c>
      <c r="N19" s="9" t="n">
        <v>1397.373405456543</v>
      </c>
      <c r="O19" s="9" t="n">
        <v>0.0</v>
      </c>
      <c r="P19" s="9" t="n">
        <v>0.0</v>
      </c>
      <c r="Q19" s="9" t="n">
        <v>429.12251472473145</v>
      </c>
      <c r="R19" s="9" t="n">
        <v>3.439075469970703</v>
      </c>
      <c r="S19" s="9" t="n">
        <v>11.527539253234863</v>
      </c>
      <c r="T19" s="9" t="n">
        <v>0.0</v>
      </c>
      <c r="U19">
        <f si="1" t="shared"/>
        <v>6627.3984496576104</v>
      </c>
    </row>
    <row r="20" spans="1:21" x14ac:dyDescent="0.25">
      <c r="A20" s="12">
        <v>0.35416666666666669</v>
      </c>
      <c r="B20" s="6" t="n">
        <v>3496.3247122461676</v>
      </c>
      <c r="C20" s="6" t="n">
        <v>1187.302900422265</v>
      </c>
      <c r="D20" s="6" t="n">
        <v>147.7991627266317</v>
      </c>
      <c r="E20" s="6" t="n">
        <v>345.32413031618654</v>
      </c>
      <c r="F20" s="6" t="n">
        <v>587.7468690413074</v>
      </c>
      <c r="G20" s="6" t="n">
        <v>0.0</v>
      </c>
      <c r="H20" s="6" t="n">
        <v>0.0</v>
      </c>
      <c r="I20" s="6" t="n">
        <v>4.039712707996368</v>
      </c>
      <c r="J20" s="6">
        <f si="0" t="shared"/>
        <v>5768.5374874605541</v>
      </c>
      <c r="L20" s="12">
        <v>0.35416666666666669</v>
      </c>
      <c r="M20" s="9" t="n">
        <v>8789.100673675537</v>
      </c>
      <c r="N20" s="9" t="n">
        <v>1958.0730419158936</v>
      </c>
      <c r="O20" s="9" t="n">
        <v>0.0</v>
      </c>
      <c r="P20" s="9" t="n">
        <v>0.0</v>
      </c>
      <c r="Q20" s="9" t="n">
        <v>643.8031482696533</v>
      </c>
      <c r="R20" s="9" t="n">
        <v>5.200197219848633</v>
      </c>
      <c r="S20" s="9" t="n">
        <v>16.919352531433105</v>
      </c>
      <c r="T20" s="9" t="n">
        <v>0.0</v>
      </c>
      <c r="U20">
        <f si="1" t="shared"/>
        <v>9524.0829930039145</v>
      </c>
    </row>
    <row r="21" spans="1:21" x14ac:dyDescent="0.25">
      <c r="A21" s="12">
        <v>0.375</v>
      </c>
      <c r="B21" s="6" t="n">
        <v>4809.76590996888</v>
      </c>
      <c r="C21" s="6" t="n">
        <v>1606.9860242207205</v>
      </c>
      <c r="D21" s="6" t="n">
        <v>255.50424995901122</v>
      </c>
      <c r="E21" s="6" t="n">
        <v>442.73724981940546</v>
      </c>
      <c r="F21" s="6" t="n">
        <v>727.3760794792237</v>
      </c>
      <c r="G21" s="6" t="n">
        <v>0.0</v>
      </c>
      <c r="H21" s="6" t="n">
        <v>0.0</v>
      </c>
      <c r="I21" s="6" t="n">
        <v>8.084977606534956</v>
      </c>
      <c r="J21" s="6">
        <f si="0" t="shared"/>
        <v>7850.4544910537752</v>
      </c>
      <c r="L21" s="12">
        <v>0.375</v>
      </c>
      <c r="M21" s="9" t="n">
        <v>12484.559115409851</v>
      </c>
      <c r="N21" s="9" t="n">
        <v>2712.2556896209717</v>
      </c>
      <c r="O21" s="9" t="n">
        <v>0.0</v>
      </c>
      <c r="P21" s="9" t="n">
        <v>0.0</v>
      </c>
      <c r="Q21" s="9" t="n">
        <v>945.5258626937866</v>
      </c>
      <c r="R21" s="9" t="n">
        <v>7.828460693359375</v>
      </c>
      <c r="S21" s="9" t="n">
        <v>24.198389053344727</v>
      </c>
      <c r="T21" s="9" t="n">
        <v>0.0</v>
      </c>
      <c r="U21">
        <f si="1" t="shared"/>
        <v>13518.301338936635</v>
      </c>
    </row>
    <row r="22" spans="1:21" x14ac:dyDescent="0.25">
      <c r="A22" s="12">
        <v>0.39583333333333331</v>
      </c>
      <c r="B22" s="6" t="n">
        <v>6527.833287282372</v>
      </c>
      <c r="C22" s="6" t="n">
        <v>2143.0288989337782</v>
      </c>
      <c r="D22" s="6" t="n">
        <v>376.10576217867236</v>
      </c>
      <c r="E22" s="6" t="n">
        <v>554.2619860341606</v>
      </c>
      <c r="F22" s="6" t="n">
        <v>914.2658466557891</v>
      </c>
      <c r="G22" s="6" t="n">
        <v>0.0</v>
      </c>
      <c r="H22" s="6" t="n">
        <v>0.0</v>
      </c>
      <c r="I22" s="6" t="n">
        <v>13.168856999874112</v>
      </c>
      <c r="J22" s="6">
        <f si="0" t="shared"/>
        <v>10528.664638084647</v>
      </c>
      <c r="L22" s="12">
        <v>0.39583333333333331</v>
      </c>
      <c r="M22" s="9" t="n">
        <v>17126.14521598816</v>
      </c>
      <c r="N22" s="9" t="n">
        <v>3631.030544281006</v>
      </c>
      <c r="O22" s="9" t="n">
        <v>0.0</v>
      </c>
      <c r="P22" s="9" t="n">
        <v>0.0</v>
      </c>
      <c r="Q22" s="9" t="n">
        <v>1328.307029724121</v>
      </c>
      <c r="R22" s="9" t="n">
        <v>11.472180366516113</v>
      </c>
      <c r="S22" s="9" t="n">
        <v>33.41026210784912</v>
      </c>
      <c r="T22" s="9" t="n">
        <v>0.0</v>
      </c>
      <c r="U22">
        <f si="1" t="shared"/>
        <v>18528.997178016434</v>
      </c>
    </row>
    <row r="23" spans="1:21" x14ac:dyDescent="0.25">
      <c r="A23" s="12">
        <v>0.41666666666666669</v>
      </c>
      <c r="B23" s="6" t="n">
        <v>8816.537905768822</v>
      </c>
      <c r="C23" s="6" t="n">
        <v>2828.5796717319054</v>
      </c>
      <c r="D23" s="6" t="n">
        <v>488.94863375392254</v>
      </c>
      <c r="E23" s="6" t="n">
        <v>666.3335574620726</v>
      </c>
      <c r="F23" s="6" t="n">
        <v>1117.3777707034687</v>
      </c>
      <c r="G23" s="6" t="n">
        <v>0.0</v>
      </c>
      <c r="H23" s="6" t="n">
        <v>0.0</v>
      </c>
      <c r="I23" s="6" t="n">
        <v>17.681549556851383</v>
      </c>
      <c r="J23" s="6">
        <f si="0" t="shared"/>
        <v>13935.459088977044</v>
      </c>
      <c r="L23" s="12">
        <v>0.41666666666666669</v>
      </c>
      <c r="M23" s="9" t="n">
        <v>22259.73643398285</v>
      </c>
      <c r="N23" s="9" t="n">
        <v>4606.823226928711</v>
      </c>
      <c r="O23" s="9" t="n">
        <v>0.0</v>
      </c>
      <c r="P23" s="9" t="n">
        <v>0.0</v>
      </c>
      <c r="Q23" s="9" t="n">
        <v>1757.3865585327148</v>
      </c>
      <c r="R23" s="9" t="n">
        <v>15.967114448547363</v>
      </c>
      <c r="S23" s="9" t="n">
        <v>44.150418281555176</v>
      </c>
      <c r="T23" s="9" t="n">
        <v>0.0</v>
      </c>
      <c r="U23">
        <f si="1" t="shared"/>
        <v>24073.03524826084</v>
      </c>
    </row>
    <row r="24" spans="1:21" x14ac:dyDescent="0.25">
      <c r="A24" s="12">
        <v>0.4375</v>
      </c>
      <c r="B24" s="6" t="n">
        <v>11736.88133007877</v>
      </c>
      <c r="C24" s="6" t="n">
        <v>3695.9579160793755</v>
      </c>
      <c r="D24" s="6" t="n">
        <v>589.9458535231672</v>
      </c>
      <c r="E24" s="6" t="n">
        <v>763.7430726248874</v>
      </c>
      <c r="F24" s="6" t="n">
        <v>1304.3787704590334</v>
      </c>
      <c r="G24" s="6" t="n">
        <v>0.0</v>
      </c>
      <c r="H24" s="6" t="n">
        <v>0.0</v>
      </c>
      <c r="I24" s="6" t="n">
        <v>19.826309597015378</v>
      </c>
      <c r="J24" s="6">
        <f si="0" t="shared"/>
        <v>18110.733252362246</v>
      </c>
      <c r="L24" s="12">
        <v>0.4375</v>
      </c>
      <c r="M24" s="9" t="n">
        <v>27266.162943840027</v>
      </c>
      <c r="N24" s="9" t="n">
        <v>5499.949929237366</v>
      </c>
      <c r="O24" s="9" t="n">
        <v>0.0</v>
      </c>
      <c r="P24" s="9" t="n">
        <v>0.0</v>
      </c>
      <c r="Q24" s="9" t="n">
        <v>2185.0951375961304</v>
      </c>
      <c r="R24" s="9" t="n">
        <v>20.88328456878662</v>
      </c>
      <c r="S24" s="9" t="n">
        <v>55.69225883483887</v>
      </c>
      <c r="T24" s="9" t="n">
        <v>0.0</v>
      </c>
      <c r="U24">
        <f si="1" t="shared"/>
        <v>29475.980507326578</v>
      </c>
    </row>
    <row r="25" spans="1:21" x14ac:dyDescent="0.25">
      <c r="A25" s="12">
        <v>0.45833333333333331</v>
      </c>
      <c r="B25" s="6" t="n">
        <v>15122.07656986852</v>
      </c>
      <c r="C25" s="6" t="n">
        <v>4753.074633967128</v>
      </c>
      <c r="D25" s="6" t="n">
        <v>696.0574858755188</v>
      </c>
      <c r="E25" s="6" t="n">
        <v>844.2405059217442</v>
      </c>
      <c r="F25" s="6" t="n">
        <v>1468.6599775998102</v>
      </c>
      <c r="G25" s="6" t="n">
        <v>0.0</v>
      </c>
      <c r="H25" s="6" t="n">
        <v>0.0</v>
      </c>
      <c r="I25" s="6" t="n">
        <v>18.936899838447566</v>
      </c>
      <c r="J25" s="6">
        <f si="0" t="shared"/>
        <v>22903.046073071171</v>
      </c>
      <c r="L25" s="12">
        <v>0.45833333333333331</v>
      </c>
      <c r="M25" s="9" t="n">
        <v>31725.403483390808</v>
      </c>
      <c r="N25" s="9" t="n">
        <v>6216.4496784210205</v>
      </c>
      <c r="O25" s="9" t="n">
        <v>0.0</v>
      </c>
      <c r="P25" s="9" t="n">
        <v>0.0</v>
      </c>
      <c r="Q25" s="9" t="n">
        <v>2578.8975553512573</v>
      </c>
      <c r="R25" s="9" t="n">
        <v>25.81177806854248</v>
      </c>
      <c r="S25" s="9" t="n">
        <v>67.349684715271</v>
      </c>
      <c r="T25" s="9" t="n">
        <v>0.0</v>
      </c>
      <c r="U25">
        <f si="1" t="shared"/>
        <v>34263.094811177754</v>
      </c>
    </row>
    <row r="26" spans="1:21" x14ac:dyDescent="0.25">
      <c r="A26" s="12">
        <v>0.47916666666666669</v>
      </c>
      <c r="B26" s="6" t="n">
        <v>18653.824034914753</v>
      </c>
      <c r="C26" s="6" t="n">
        <v>5957.460398268867</v>
      </c>
      <c r="D26" s="6" t="n">
        <v>824.932054652675</v>
      </c>
      <c r="E26" s="6" t="n">
        <v>925.9604639709529</v>
      </c>
      <c r="F26" s="6" t="n">
        <v>1627.255180748432</v>
      </c>
      <c r="G26" s="6" t="n">
        <v>0.0</v>
      </c>
      <c r="H26" s="6" t="n">
        <v>0.0</v>
      </c>
      <c r="I26" s="6" t="n">
        <v>15.996032423973082</v>
      </c>
      <c r="J26" s="6">
        <f si="0" t="shared"/>
        <v>28005.428164979654</v>
      </c>
      <c r="L26" s="12">
        <v>0.47916666666666669</v>
      </c>
      <c r="M26" s="9" t="n">
        <v>35650.45548629761</v>
      </c>
      <c r="N26" s="9" t="n">
        <v>6754.686852455139</v>
      </c>
      <c r="O26" s="9" t="n">
        <v>0.0</v>
      </c>
      <c r="P26" s="9" t="n">
        <v>0.0</v>
      </c>
      <c r="Q26" s="9" t="n">
        <v>2939.816533088684</v>
      </c>
      <c r="R26" s="9" t="n">
        <v>30.66476535797119</v>
      </c>
      <c r="S26" s="9" t="n">
        <v>78.85314178466797</v>
      </c>
      <c r="T26" s="9" t="n">
        <v>0.0</v>
      </c>
      <c r="U26">
        <f si="1" t="shared"/>
        <v>38421.79494202949</v>
      </c>
    </row>
    <row r="27" spans="1:21" x14ac:dyDescent="0.25">
      <c r="A27" s="12">
        <v>0.5</v>
      </c>
      <c r="B27" s="6" t="n">
        <v>22187.369037017463</v>
      </c>
      <c r="C27" s="6" t="n">
        <v>7225.87054375077</v>
      </c>
      <c r="D27" s="6" t="n">
        <v>969.1029853707777</v>
      </c>
      <c r="E27" s="6" t="n">
        <v>1043.6323411829896</v>
      </c>
      <c r="F27" s="6" t="n">
        <v>1802.8855509234977</v>
      </c>
      <c r="G27" s="6" t="n">
        <v>0.0</v>
      </c>
      <c r="H27" s="6" t="n">
        <v>0.0</v>
      </c>
      <c r="I27" s="6" t="n">
        <v>12.740674449205397</v>
      </c>
      <c r="J27" s="6">
        <f si="0" t="shared"/>
        <v>33241.601132694705</v>
      </c>
      <c r="L27" s="12">
        <v>0.5</v>
      </c>
      <c r="M27" s="9" t="n">
        <v>39443.32221221924</v>
      </c>
      <c r="N27" s="9" t="n">
        <v>7189.869184494019</v>
      </c>
      <c r="O27" s="9" t="n">
        <v>0.0</v>
      </c>
      <c r="P27" s="9" t="n">
        <v>0.0</v>
      </c>
      <c r="Q27" s="9" t="n">
        <v>3299.727210998535</v>
      </c>
      <c r="R27" s="9" t="n">
        <v>35.75280570983887</v>
      </c>
      <c r="S27" s="9" t="n">
        <v>90.57529163360596</v>
      </c>
      <c r="T27" s="9" t="n">
        <v>0.0</v>
      </c>
      <c r="U27">
        <f si="1" t="shared"/>
        <v>42366.17903956028</v>
      </c>
    </row>
    <row r="28" spans="1:21" x14ac:dyDescent="0.25">
      <c r="A28" s="12">
        <v>0.52083333333333337</v>
      </c>
      <c r="B28" s="6" t="n">
        <v>26136.07278160979</v>
      </c>
      <c r="C28" s="6" t="n">
        <v>8484.35465453721</v>
      </c>
      <c r="D28" s="6" t="n">
        <v>1094.3643415730076</v>
      </c>
      <c r="E28" s="6" t="n">
        <v>1233.2349767125006</v>
      </c>
      <c r="F28" s="6" t="n">
        <v>2020.4508343664393</v>
      </c>
      <c r="G28" s="6" t="n">
        <v>0.0</v>
      </c>
      <c r="H28" s="6" t="n">
        <v>0.0</v>
      </c>
      <c r="I28" s="6" t="n">
        <v>10.255945239067076</v>
      </c>
      <c r="J28" s="6">
        <f si="0" t="shared"/>
        <v>38978.733534038016</v>
      </c>
      <c r="L28" s="12">
        <v>0.52083333333333337</v>
      </c>
      <c r="M28" s="9" t="n">
        <v>43714.84754943848</v>
      </c>
      <c r="N28" s="9" t="n">
        <v>7627.0973472595215</v>
      </c>
      <c r="O28" s="9" t="n">
        <v>0.0</v>
      </c>
      <c r="P28" s="9" t="n">
        <v>0.0</v>
      </c>
      <c r="Q28" s="9" t="n">
        <v>3707.9234685897827</v>
      </c>
      <c r="R28" s="9" t="n">
        <v>41.669782638549805</v>
      </c>
      <c r="S28" s="9" t="n">
        <v>103.64099979400635</v>
      </c>
      <c r="T28" s="9" t="n">
        <v>0.0</v>
      </c>
      <c r="U28">
        <f si="1" t="shared"/>
        <v>46743.164341432057</v>
      </c>
    </row>
    <row r="29" spans="1:21" x14ac:dyDescent="0.25">
      <c r="A29" s="12">
        <v>0.54166666666666663</v>
      </c>
      <c r="B29" s="6" t="n">
        <v>31614.619295027274</v>
      </c>
      <c r="C29" s="6" t="n">
        <v>9706.268604368714</v>
      </c>
      <c r="D29" s="6" t="n">
        <v>1166.412397305077</v>
      </c>
      <c r="E29" s="6" t="n">
        <v>1505.8625633869576</v>
      </c>
      <c r="F29" s="6" t="n">
        <v>2320.648427887134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46322.266202809653</v>
      </c>
      <c r="L29" s="12">
        <v>0.54166666666666663</v>
      </c>
      <c r="M29" s="9" t="n">
        <v>49197.124457359314</v>
      </c>
      <c r="N29" s="9" t="n">
        <v>8173.089416503906</v>
      </c>
      <c r="O29" s="9" t="n">
        <v>0.0</v>
      </c>
      <c r="P29" s="9" t="n">
        <v>0.0</v>
      </c>
      <c r="Q29" s="9" t="n">
        <v>4224.474853515625</v>
      </c>
      <c r="R29" s="9" t="n">
        <v>49.20952606201172</v>
      </c>
      <c r="S29" s="9" t="n">
        <v>119.97691249847412</v>
      </c>
      <c r="T29" s="9" t="n">
        <v>0.0</v>
      </c>
      <c r="U29">
        <f si="1" t="shared"/>
        <v>52321.904011248698</v>
      </c>
    </row>
    <row r="30" spans="1:21" x14ac:dyDescent="0.25">
      <c r="A30" s="12">
        <v>0.5625</v>
      </c>
      <c r="B30" s="6" t="n">
        <v>40162.89630038561</v>
      </c>
      <c r="C30" s="6" t="n">
        <v>10884.831291053231</v>
      </c>
      <c r="D30" s="6" t="n">
        <v>1177.6396022871927</v>
      </c>
      <c r="E30" s="6" t="n">
        <v>1823.5573783964246</v>
      </c>
      <c r="F30" s="6" t="n">
        <v>2758.5811787369507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56814.240710487989</v>
      </c>
      <c r="L30" s="12">
        <v>0.5625</v>
      </c>
      <c r="M30" s="9" t="n">
        <v>56749.23542499542</v>
      </c>
      <c r="N30" s="9" t="n">
        <v>8934.967567443848</v>
      </c>
      <c r="O30" s="9" t="n">
        <v>0.0</v>
      </c>
      <c r="P30" s="9" t="n">
        <v>0.0</v>
      </c>
      <c r="Q30" s="9" t="n">
        <v>4920.903699874878</v>
      </c>
      <c r="R30" s="9" t="n">
        <v>59.38345813751221</v>
      </c>
      <c r="S30" s="9" t="n">
        <v>142.05293560028076</v>
      </c>
      <c r="T30" s="9" t="n">
        <v>0.0</v>
      </c>
      <c r="U30">
        <f si="1" t="shared"/>
        <v>59979.025862592825</v>
      </c>
    </row>
    <row r="31" spans="1:21" x14ac:dyDescent="0.25">
      <c r="A31" s="12">
        <v>0.58333333333333337</v>
      </c>
      <c r="B31" s="6" t="n">
        <v>53099.3010732885</v>
      </c>
      <c r="C31" s="6" t="n">
        <v>11957.11342268517</v>
      </c>
      <c r="D31" s="6" t="n">
        <v>1146.5913306535817</v>
      </c>
      <c r="E31" s="6" t="n">
        <v>2103.522947206423</v>
      </c>
      <c r="F31" s="6" t="n">
        <v>3361.5185967011903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71672.953488366329</v>
      </c>
      <c r="L31" s="12">
        <v>0.58333333333333337</v>
      </c>
      <c r="M31" s="9" t="n">
        <v>67201.8440694809</v>
      </c>
      <c r="N31" s="9" t="n">
        <v>10007.424551010132</v>
      </c>
      <c r="O31" s="9" t="n">
        <v>0.0</v>
      </c>
      <c r="P31" s="9" t="n">
        <v>0.0</v>
      </c>
      <c r="Q31" s="9" t="n">
        <v>5868.615551948547</v>
      </c>
      <c r="R31" s="9" t="n">
        <v>73.3298511505127</v>
      </c>
      <c r="S31" s="9" t="n">
        <v>171.8471155166626</v>
      </c>
      <c r="T31" s="9" t="n">
        <v>0.0</v>
      </c>
      <c r="U31">
        <f si="1" t="shared"/>
        <v>70531.911857762621</v>
      </c>
    </row>
    <row r="32" spans="1:21" x14ac:dyDescent="0.25">
      <c r="A32" s="12">
        <v>0.60416666666666663</v>
      </c>
      <c r="B32" s="6" t="n">
        <v>70713.52980871359</v>
      </c>
      <c r="C32" s="6" t="n">
        <v>12759.855937439343</v>
      </c>
      <c r="D32" s="6" t="n">
        <v>1094.9342736674407</v>
      </c>
      <c r="E32" s="6" t="n">
        <v>2263.552720763697</v>
      </c>
      <c r="F32" s="6" t="n">
        <v>4068.244045022655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90903.75492016277</v>
      </c>
      <c r="L32" s="12">
        <v>0.60416666666666663</v>
      </c>
      <c r="M32" s="9" t="n">
        <v>80856.682346344</v>
      </c>
      <c r="N32" s="9" t="n">
        <v>11418.196437835693</v>
      </c>
      <c r="O32" s="9" t="n">
        <v>0.0</v>
      </c>
      <c r="P32" s="9" t="n">
        <v>0.0</v>
      </c>
      <c r="Q32" s="9" t="n">
        <v>7099.855639457703</v>
      </c>
      <c r="R32" s="9" t="n">
        <v>91.92358875274658</v>
      </c>
      <c r="S32" s="9" t="n">
        <v>209.05695152282715</v>
      </c>
      <c r="T32" s="9" t="n">
        <v>0.0</v>
      </c>
      <c r="U32">
        <f si="1" t="shared"/>
        <v>84243.659253005288</v>
      </c>
    </row>
    <row r="33" spans="1:21" x14ac:dyDescent="0.25">
      <c r="A33" s="12">
        <v>0.625</v>
      </c>
      <c r="B33" s="6" t="n">
        <v>91588.33106040009</v>
      </c>
      <c r="C33" s="6" t="n">
        <v>13079.200588041662</v>
      </c>
      <c r="D33" s="6" t="n">
        <v>1030.1865072552303</v>
      </c>
      <c r="E33" s="6" t="n">
        <v>2279.4862017001387</v>
      </c>
      <c r="F33" s="6" t="n">
        <v>4711.560207849053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112693.40665059799</v>
      </c>
      <c r="L33" s="12">
        <v>0.625</v>
      </c>
      <c r="M33" s="9" t="n">
        <v>96830.1658706665</v>
      </c>
      <c r="N33" s="9" t="n">
        <v>13056.921732902527</v>
      </c>
      <c r="O33" s="9" t="n">
        <v>0.0</v>
      </c>
      <c r="P33" s="9" t="n">
        <v>0.0</v>
      </c>
      <c r="Q33" s="9" t="n">
        <v>8554.508407592773</v>
      </c>
      <c r="R33" s="9" t="n">
        <v>115.18395042419434</v>
      </c>
      <c r="S33" s="9" t="n">
        <v>249.60345554351807</v>
      </c>
      <c r="T33" s="9" t="n">
        <v>0.0</v>
      </c>
      <c r="U33">
        <f si="1" t="shared"/>
        <v>100193.50200984099</v>
      </c>
    </row>
    <row r="34" spans="1:21" x14ac:dyDescent="0.25">
      <c r="A34" s="12">
        <v>0.64583333333333337</v>
      </c>
      <c r="B34" s="6" t="n">
        <v>112395.49317445367</v>
      </c>
      <c r="C34" s="6" t="n">
        <v>12770.774675243778</v>
      </c>
      <c r="D34" s="6" t="n">
        <v>949.9586734317138</v>
      </c>
      <c r="E34" s="6" t="n">
        <v>2200.611840415284</v>
      </c>
      <c r="F34" s="6" t="n">
        <v>5083.522416595777</v>
      </c>
      <c r="G34" s="6" t="n">
        <v>10.37010915327072</v>
      </c>
      <c r="H34" s="6" t="n">
        <v>0.06806702589988708</v>
      </c>
      <c r="I34" s="6" t="n">
        <v>0.5742863615751266</v>
      </c>
      <c r="J34" s="6">
        <f si="0" t="shared"/>
        <v>133411.37324268094</v>
      </c>
      <c r="L34" s="12">
        <v>0.64583333333333337</v>
      </c>
      <c r="M34" s="9" t="n">
        <v>112721.39405536652</v>
      </c>
      <c r="N34" s="9" t="n">
        <v>14648.69135761261</v>
      </c>
      <c r="O34" s="9" t="n">
        <v>0.0</v>
      </c>
      <c r="P34" s="9" t="n">
        <v>0.0</v>
      </c>
      <c r="Q34" s="9" t="n">
        <v>10049.582803726196</v>
      </c>
      <c r="R34" s="9" t="n">
        <v>141.7331771850586</v>
      </c>
      <c r="S34" s="9" t="n">
        <v>285.8279151916504</v>
      </c>
      <c r="T34" s="9" t="n">
        <v>0.0</v>
      </c>
      <c r="U34">
        <f si="1" t="shared"/>
        <v>115980.69417258899</v>
      </c>
    </row>
    <row r="35" spans="1:21" x14ac:dyDescent="0.25">
      <c r="A35" s="12">
        <v>0.66666666666666663</v>
      </c>
      <c r="B35" s="6" t="n">
        <v>128497.69191095384</v>
      </c>
      <c r="C35" s="6" t="n">
        <v>11859.550656223553</v>
      </c>
      <c r="D35" s="6" t="n">
        <v>855.8930398599806</v>
      </c>
      <c r="E35" s="6" t="n">
        <v>2101.879883043068</v>
      </c>
      <c r="F35" s="6" t="n">
        <v>5048.1265972316</v>
      </c>
      <c r="G35" s="6" t="n">
        <v>26.654690462350846</v>
      </c>
      <c r="H35" s="6" t="n">
        <v>0.4238345813751221</v>
      </c>
      <c r="I35" s="6" t="n">
        <v>0.18549060404300688</v>
      </c>
      <c r="J35" s="6">
        <f si="0" t="shared"/>
        <v>148390.40610295979</v>
      </c>
      <c r="L35" s="12">
        <v>0.66666666666666663</v>
      </c>
      <c r="M35" s="9" t="n">
        <v>125002.01846790314</v>
      </c>
      <c r="N35" s="9" t="n">
        <v>15811.935457229614</v>
      </c>
      <c r="O35" s="9" t="n">
        <v>0.0</v>
      </c>
      <c r="P35" s="9" t="n">
        <v>0.0</v>
      </c>
      <c r="Q35" s="9" t="n">
        <v>11303.480129241943</v>
      </c>
      <c r="R35" s="9" t="n">
        <v>168.5177230834961</v>
      </c>
      <c r="S35" s="9" t="n">
        <v>308.75916385650635</v>
      </c>
      <c r="T35" s="9" t="n">
        <v>0.0</v>
      </c>
      <c r="U35">
        <f si="1" t="shared"/>
        <v>128130.45367303333</v>
      </c>
    </row>
    <row r="36" spans="1:21" x14ac:dyDescent="0.25">
      <c r="A36" s="12">
        <v>0.6875</v>
      </c>
      <c r="B36" s="6" t="n">
        <v>135438.1893248763</v>
      </c>
      <c r="C36" s="6" t="n">
        <v>10544.560958986605</v>
      </c>
      <c r="D36" s="6" t="n">
        <v>758.6475631752642</v>
      </c>
      <c r="E36" s="6" t="n">
        <v>2016.4144200072647</v>
      </c>
      <c r="F36" s="6" t="n">
        <v>4613.637783724435</v>
      </c>
      <c r="G36" s="6" t="n">
        <v>56.18049249887466</v>
      </c>
      <c r="H36" s="6" t="n">
        <v>1.9170401656627656</v>
      </c>
      <c r="I36" s="6" t="n">
        <v>0.10066771864891051</v>
      </c>
      <c r="J36" s="6">
        <f si="0" t="shared"/>
        <v>153429.64825115306</v>
      </c>
      <c r="L36" s="12">
        <v>0.6875</v>
      </c>
      <c r="M36" s="9" t="n">
        <v>130143.20590782166</v>
      </c>
      <c r="N36" s="9" t="n">
        <v>16187.239143371582</v>
      </c>
      <c r="O36" s="9" t="n">
        <v>0.0</v>
      </c>
      <c r="P36" s="9" t="n">
        <v>0.0</v>
      </c>
      <c r="Q36" s="9" t="n">
        <v>12019.494101524353</v>
      </c>
      <c r="R36" s="9" t="n">
        <v>191.0919532775879</v>
      </c>
      <c r="S36" s="9" t="n">
        <v>311.39216804504395</v>
      </c>
      <c r="T36" s="9" t="n">
        <v>0.0</v>
      </c>
      <c r="U36">
        <f si="1" t="shared"/>
        <v>133196.32736857553</v>
      </c>
    </row>
    <row r="37" spans="1:21" x14ac:dyDescent="0.25">
      <c r="A37" s="12">
        <v>0.70833333333333337</v>
      </c>
      <c r="B37" s="6" t="n">
        <v>130839.65111679204</v>
      </c>
      <c r="C37" s="6" t="n">
        <v>9110.140508342633</v>
      </c>
      <c r="D37" s="6" t="n">
        <v>670.6874912112231</v>
      </c>
      <c r="E37" s="6" t="n">
        <v>1914.5476135231947</v>
      </c>
      <c r="F37" s="6" t="n">
        <v>3910.6981129976093</v>
      </c>
      <c r="G37" s="6" t="n">
        <v>100.02652277505399</v>
      </c>
      <c r="H37" s="6" t="n">
        <v>6.720960717201234</v>
      </c>
      <c r="I37" s="6" t="n">
        <v>0.3578591978549957</v>
      </c>
      <c r="J37" s="6">
        <f si="0" t="shared"/>
        <v>146552.83018555684</v>
      </c>
      <c r="L37" s="12">
        <v>0.70833333333333337</v>
      </c>
      <c r="M37" s="9" t="n">
        <v>126056.54220485687</v>
      </c>
      <c r="N37" s="9" t="n">
        <v>15582.831756591797</v>
      </c>
      <c r="O37" s="9" t="n">
        <v>0.0</v>
      </c>
      <c r="P37" s="9" t="n">
        <v>0.0</v>
      </c>
      <c r="Q37" s="9" t="n">
        <v>12000.274662017822</v>
      </c>
      <c r="R37" s="9" t="n">
        <v>204.85489177703857</v>
      </c>
      <c r="S37" s="9" t="n">
        <v>291.42889976501465</v>
      </c>
      <c r="T37" s="9" t="n">
        <v>0.0</v>
      </c>
      <c r="U37">
        <f si="1" t="shared"/>
        <v>129148.31303228319</v>
      </c>
    </row>
    <row r="38" spans="1:21" x14ac:dyDescent="0.25">
      <c r="A38" s="12">
        <v>0.72916666666666663</v>
      </c>
      <c r="B38" s="6" t="n">
        <v>115677.17361003508</v>
      </c>
      <c r="C38" s="6" t="n">
        <v>7808.825771601688</v>
      </c>
      <c r="D38" s="6" t="n">
        <v>596.3153794843222</v>
      </c>
      <c r="E38" s="6" t="n">
        <v>1746.3240607617267</v>
      </c>
      <c r="F38" s="6" t="n">
        <v>3109.8124491584344</v>
      </c>
      <c r="G38" s="6" t="n">
        <v>154.58077688407897</v>
      </c>
      <c r="H38" s="6" t="n">
        <v>19.00152249455452</v>
      </c>
      <c r="I38" s="6" t="n">
        <v>1.491752590537071</v>
      </c>
      <c r="J38" s="6">
        <f si="0" t="shared"/>
        <v>129113.52532301041</v>
      </c>
      <c r="L38" s="12">
        <v>0.72916666666666663</v>
      </c>
      <c r="M38" s="9" t="n">
        <v>113132.23982429504</v>
      </c>
      <c r="N38" s="9" t="n">
        <v>14067.84616947174</v>
      </c>
      <c r="O38" s="9" t="n">
        <v>0.0</v>
      </c>
      <c r="P38" s="9" t="n">
        <v>0.0</v>
      </c>
      <c r="Q38" s="9" t="n">
        <v>11239.84350013733</v>
      </c>
      <c r="R38" s="9" t="n">
        <v>207.0868434906006</v>
      </c>
      <c r="S38" s="9" t="n">
        <v>252.37683010101318</v>
      </c>
      <c r="T38" s="9" t="n">
        <v>0.0</v>
      </c>
      <c r="U38">
        <f si="1" t="shared"/>
        <v>116370.63047343239</v>
      </c>
    </row>
    <row r="39" spans="1:21" x14ac:dyDescent="0.25">
      <c r="A39" s="12">
        <v>0.75</v>
      </c>
      <c r="B39" s="6" t="n">
        <v>93979.4272699139</v>
      </c>
      <c r="C39" s="6" t="n">
        <v>6784.341324016051</v>
      </c>
      <c r="D39" s="6" t="n">
        <v>527.8190708987629</v>
      </c>
      <c r="E39" s="6" t="n">
        <v>1499.4696998885297</v>
      </c>
      <c r="F39" s="6" t="n">
        <v>2352.832317378935</v>
      </c>
      <c r="G39" s="6" t="n">
        <v>212.06500195217131</v>
      </c>
      <c r="H39" s="6" t="n">
        <v>44.411911033630375</v>
      </c>
      <c r="I39" s="6" t="n">
        <v>4.771276369690894</v>
      </c>
      <c r="J39" s="6">
        <f si="0" t="shared"/>
        <v>105405.13787145168</v>
      </c>
      <c r="L39" s="12">
        <v>0.75</v>
      </c>
      <c r="M39" s="9" t="n">
        <v>94219.26949977875</v>
      </c>
      <c r="N39" s="9" t="n">
        <v>11958.049215316772</v>
      </c>
      <c r="O39" s="9" t="n">
        <v>0.0</v>
      </c>
      <c r="P39" s="9" t="n">
        <v>0.0</v>
      </c>
      <c r="Q39" s="9" t="n">
        <v>9937.439157485962</v>
      </c>
      <c r="R39" s="9" t="n">
        <v>198.57270622253418</v>
      </c>
      <c r="S39" s="9" t="n">
        <v>202.49191284179688</v>
      </c>
      <c r="T39" s="9" t="n">
        <v>0.0</v>
      </c>
      <c r="U39">
        <f si="1" t="shared"/>
        <v>97646.805244077259</v>
      </c>
    </row>
    <row r="40" spans="1:21" x14ac:dyDescent="0.25">
      <c r="A40" s="12">
        <v>0.77083333333333337</v>
      </c>
      <c r="B40" s="6" t="n">
        <v>70991.00793048574</v>
      </c>
      <c r="C40" s="6" t="n">
        <v>6058.505664797328</v>
      </c>
      <c r="D40" s="6" t="n">
        <v>451.20450421790025</v>
      </c>
      <c r="E40" s="6" t="n">
        <v>1216.6120005306425</v>
      </c>
      <c r="F40" s="6" t="n">
        <v>1730.0851389484853</v>
      </c>
      <c r="G40" s="6" t="n">
        <v>261.6773021316528</v>
      </c>
      <c r="H40" s="6" t="n">
        <v>87.12337620019912</v>
      </c>
      <c r="I40" s="6" t="n">
        <v>11.9280983877182</v>
      </c>
      <c r="J40" s="6">
        <f si="0" t="shared"/>
        <v>80808.144015699654</v>
      </c>
      <c r="L40" s="12">
        <v>0.77083333333333337</v>
      </c>
      <c r="M40" s="9" t="n">
        <v>73441.34620571136</v>
      </c>
      <c r="N40" s="9" t="n">
        <v>9688.852728843689</v>
      </c>
      <c r="O40" s="9" t="n">
        <v>0.0</v>
      </c>
      <c r="P40" s="9" t="n">
        <v>0.0</v>
      </c>
      <c r="Q40" s="9" t="n">
        <v>8414.007818222046</v>
      </c>
      <c r="R40" s="9" t="n">
        <v>183.3410930633545</v>
      </c>
      <c r="S40" s="9" t="n">
        <v>151.76736640930176</v>
      </c>
      <c r="T40" s="9" t="n">
        <v>0.0</v>
      </c>
      <c r="U40">
        <f si="1" t="shared"/>
        <v>77020.367641795878</v>
      </c>
    </row>
    <row r="41" spans="1:21" x14ac:dyDescent="0.25">
      <c r="A41" s="12">
        <v>0.79166666666666663</v>
      </c>
      <c r="B41" s="6" t="n">
        <v>50958.134356862334</v>
      </c>
      <c r="C41" s="6" t="n">
        <v>5560.18731811867</v>
      </c>
      <c r="D41" s="6" t="n">
        <v>358.67822221951377</v>
      </c>
      <c r="E41" s="6" t="n">
        <v>963.7886350550655</v>
      </c>
      <c r="F41" s="6" t="n">
        <v>1279.5543624540642</v>
      </c>
      <c r="G41" s="6" t="n">
        <v>290.5778360688686</v>
      </c>
      <c r="H41" s="6" t="n">
        <v>144.64835068702698</v>
      </c>
      <c r="I41" s="6" t="n">
        <v>23.856196775436395</v>
      </c>
      <c r="J41" s="6">
        <f si="0" t="shared"/>
        <v>59579.425278240982</v>
      </c>
      <c r="L41" s="12">
        <v>0.79166666666666663</v>
      </c>
      <c r="M41" s="9" t="n">
        <v>54503.03199958801</v>
      </c>
      <c r="N41" s="9" t="n">
        <v>7640.343802452087</v>
      </c>
      <c r="O41" s="9" t="n">
        <v>0.0</v>
      </c>
      <c r="P41" s="9" t="n">
        <v>0.0</v>
      </c>
      <c r="Q41" s="9" t="n">
        <v>6974.495596885681</v>
      </c>
      <c r="R41" s="9" t="n">
        <v>166.41629028320312</v>
      </c>
      <c r="S41" s="9" t="n">
        <v>108.25185871124268</v>
      </c>
      <c r="T41" s="9" t="n">
        <v>0.0</v>
      </c>
      <c r="U41">
        <f si="1" t="shared"/>
        <v>58146.818679963719</v>
      </c>
    </row>
    <row r="42" spans="1:21" x14ac:dyDescent="0.25">
      <c r="A42" s="12">
        <v>0.8125</v>
      </c>
      <c r="B42" s="6" t="n">
        <v>35887.64753658904</v>
      </c>
      <c r="C42" s="6" t="n">
        <v>5166.182187045459</v>
      </c>
      <c r="D42" s="6" t="n">
        <v>257.9954231929063</v>
      </c>
      <c r="E42" s="6" t="n">
        <v>786.3309473074787</v>
      </c>
      <c r="F42" s="6" t="n">
        <v>987.3575061106071</v>
      </c>
      <c r="G42" s="6" t="n">
        <v>287.30474533939355</v>
      </c>
      <c r="H42" s="6" t="n">
        <v>203.97524806737903</v>
      </c>
      <c r="I42" s="6" t="n">
        <v>38.766319760084144</v>
      </c>
      <c r="J42" s="6">
        <f si="0" t="shared"/>
        <v>43615.559913412348</v>
      </c>
      <c r="L42" s="12">
        <v>0.8125</v>
      </c>
      <c r="M42" s="9" t="n">
        <v>39478.607869148254</v>
      </c>
      <c r="N42" s="9" t="n">
        <v>6013.929202079773</v>
      </c>
      <c r="O42" s="9" t="n">
        <v>0.0</v>
      </c>
      <c r="P42" s="9" t="n">
        <v>0.0</v>
      </c>
      <c r="Q42" s="9" t="n">
        <v>5798.215553283691</v>
      </c>
      <c r="R42" s="9" t="n">
        <v>151.28594303131104</v>
      </c>
      <c r="S42" s="9" t="n">
        <v>75.65441131591797</v>
      </c>
      <c r="T42" s="9" t="n">
        <v>0.0</v>
      </c>
      <c r="U42">
        <f si="1" t="shared"/>
        <v>43095.800349646102</v>
      </c>
    </row>
    <row r="43" spans="1:21" x14ac:dyDescent="0.25">
      <c r="A43" s="12">
        <v>0.83333333333333337</v>
      </c>
      <c r="B43" s="6" t="n">
        <v>25723.594740456356</v>
      </c>
      <c r="C43" s="6" t="n">
        <v>4746.494216391766</v>
      </c>
      <c r="D43" s="6" t="n">
        <v>169.02837067204996</v>
      </c>
      <c r="E43" s="6" t="n">
        <v>688.4010329017015</v>
      </c>
      <c r="F43" s="6" t="n">
        <v>801.2319531758711</v>
      </c>
      <c r="G43" s="6" t="n">
        <v>248.79171246099466</v>
      </c>
      <c r="H43" s="6" t="n">
        <v>244.34182249069215</v>
      </c>
      <c r="I43" s="6" t="n">
        <v>51.68842634677886</v>
      </c>
      <c r="J43" s="6">
        <f si="0" t="shared"/>
        <v>32673.572274896211</v>
      </c>
      <c r="L43" s="12">
        <v>0.83333333333333337</v>
      </c>
      <c r="M43" s="9" t="n">
        <v>28657.8492269516</v>
      </c>
      <c r="N43" s="9" t="n">
        <v>4821.574604034424</v>
      </c>
      <c r="O43" s="9" t="n">
        <v>0.0</v>
      </c>
      <c r="P43" s="9" t="n">
        <v>0.0</v>
      </c>
      <c r="Q43" s="9" t="n">
        <v>4916.763319015503</v>
      </c>
      <c r="R43" s="9" t="n">
        <v>139.01666736602783</v>
      </c>
      <c r="S43" s="9" t="n">
        <v>53.43404006958008</v>
      </c>
      <c r="T43" s="9" t="n">
        <v>0.0</v>
      </c>
      <c r="U43">
        <f si="1" t="shared"/>
        <v>32179.070767359171</v>
      </c>
    </row>
    <row r="44" spans="1:21" x14ac:dyDescent="0.25">
      <c r="A44" s="12">
        <v>0.85416666666666663</v>
      </c>
      <c r="B44" s="6" t="n">
        <v>19344.35855760297</v>
      </c>
      <c r="C44" s="6" t="n">
        <v>4216.012799823109</v>
      </c>
      <c r="D44" s="6" t="n">
        <v>109.50198349423745</v>
      </c>
      <c r="E44" s="6" t="n">
        <v>643.4290565667143</v>
      </c>
      <c r="F44" s="6" t="n">
        <v>665.6090228704871</v>
      </c>
      <c r="G44" s="6" t="n">
        <v>185.39917745876306</v>
      </c>
      <c r="H44" s="6" t="n">
        <v>248.05712354040148</v>
      </c>
      <c r="I44" s="6" t="n">
        <v>56.85726898145675</v>
      </c>
      <c r="J44" s="6">
        <f si="0" t="shared"/>
        <v>25469.224990338138</v>
      </c>
      <c r="L44" s="12">
        <v>0.85416666666666663</v>
      </c>
      <c r="M44" s="9" t="n">
        <v>21234.554431915283</v>
      </c>
      <c r="N44" s="9" t="n">
        <v>3966.1675128936768</v>
      </c>
      <c r="O44" s="9" t="n">
        <v>0.0</v>
      </c>
      <c r="P44" s="9" t="n">
        <v>0.0</v>
      </c>
      <c r="Q44" s="9" t="n">
        <v>4271.166560173035</v>
      </c>
      <c r="R44" s="9" t="n">
        <v>129.2557191848755</v>
      </c>
      <c r="S44" s="9" t="n">
        <v>38.812374114990234</v>
      </c>
      <c r="T44" s="9" t="n">
        <v>0.0</v>
      </c>
      <c r="U44">
        <f si="1" t="shared"/>
        <v>24616.923331486152</v>
      </c>
    </row>
    <row r="45" spans="1:21" x14ac:dyDescent="0.25">
      <c r="A45" s="12">
        <v>0.875</v>
      </c>
      <c r="B45" s="6" t="n">
        <v>15496.634415688372</v>
      </c>
      <c r="C45" s="6" t="n">
        <v>3572.7494664759292</v>
      </c>
      <c r="D45" s="6" t="n">
        <v>82.60350974207363</v>
      </c>
      <c r="E45" s="6" t="n">
        <v>617.7830821976802</v>
      </c>
      <c r="F45" s="6" t="n">
        <v>553.7598689659053</v>
      </c>
      <c r="G45" s="6" t="n">
        <v>116.93659777522083</v>
      </c>
      <c r="H45" s="6" t="n">
        <v>212.4666206455231</v>
      </c>
      <c r="I45" s="6" t="n">
        <v>51.68842634677886</v>
      </c>
      <c r="J45" s="6">
        <f si="0" t="shared"/>
        <v>20704.621987837483</v>
      </c>
      <c r="L45" s="12">
        <v>0.875</v>
      </c>
      <c r="M45" s="9" t="n">
        <v>16157.36182975769</v>
      </c>
      <c r="N45" s="9" t="n">
        <v>3336.196340560913</v>
      </c>
      <c r="O45" s="9" t="n">
        <v>0.0</v>
      </c>
      <c r="P45" s="9" t="n">
        <v>0.0</v>
      </c>
      <c r="Q45" s="9" t="n">
        <v>3786.059334754944</v>
      </c>
      <c r="R45" s="9" t="n">
        <v>121.56769466400146</v>
      </c>
      <c r="S45" s="9" t="n">
        <v>28.987269401550293</v>
      </c>
      <c r="T45" s="9" t="n">
        <v>0.0</v>
      </c>
      <c r="U45">
        <f si="1" t="shared"/>
        <v>19379.43655077531</v>
      </c>
    </row>
    <row r="46" spans="1:21" x14ac:dyDescent="0.25">
      <c r="A46" s="12">
        <v>0.89583333333333337</v>
      </c>
      <c r="B46" s="6" t="n">
        <v>13208.38310628755</v>
      </c>
      <c r="C46" s="6" t="n">
        <v>2889.2911893471555</v>
      </c>
      <c r="D46" s="6" t="n">
        <v>76.53524557948933</v>
      </c>
      <c r="E46" s="6" t="n">
        <v>586.5522853599255</v>
      </c>
      <c r="F46" s="6" t="n">
        <v>467.4581258343311</v>
      </c>
      <c r="G46" s="6" t="n">
        <v>61.43570225715636</v>
      </c>
      <c r="H46" s="6" t="n">
        <v>152.51956508874895</v>
      </c>
      <c r="I46" s="6" t="n">
        <v>38.76631976008415</v>
      </c>
      <c r="J46" s="6">
        <f si="0" t="shared"/>
        <v>17480.941539514442</v>
      </c>
      <c r="L46" s="12">
        <v>0.89583333333333337</v>
      </c>
      <c r="M46" s="9" t="n">
        <v>12607.538907051086</v>
      </c>
      <c r="N46" s="9" t="n">
        <v>2851.267725944519</v>
      </c>
      <c r="O46" s="9" t="n">
        <v>0.0</v>
      </c>
      <c r="P46" s="9" t="n">
        <v>0.0</v>
      </c>
      <c r="Q46" s="9" t="n">
        <v>3403.337812423706</v>
      </c>
      <c r="R46" s="9" t="n">
        <v>115.57477855682373</v>
      </c>
      <c r="S46" s="9" t="n">
        <v>22.18379306793213</v>
      </c>
      <c r="T46" s="9" t="n">
        <v>0.0</v>
      </c>
      <c r="U46">
        <f si="1" t="shared"/>
        <v>15659.259431112076</v>
      </c>
    </row>
    <row r="47" spans="1:21" x14ac:dyDescent="0.25">
      <c r="A47" s="12">
        <v>0.91666666666666663</v>
      </c>
      <c r="B47" s="6" t="n">
        <v>11764.01161861041</v>
      </c>
      <c r="C47" s="6" t="n">
        <v>2255.923552219664</v>
      </c>
      <c r="D47" s="6" t="n">
        <v>74.44877756025635</v>
      </c>
      <c r="E47" s="6" t="n">
        <v>535.2622004552484</v>
      </c>
      <c r="F47" s="6" t="n">
        <v>410.41194372435314</v>
      </c>
      <c r="G47" s="6" t="n">
        <v>26.431004830360408</v>
      </c>
      <c r="H47" s="6" t="n">
        <v>90.91586757659913</v>
      </c>
      <c r="I47" s="6" t="n">
        <v>23.856196775436402</v>
      </c>
      <c r="J47" s="6">
        <f si="0" t="shared"/>
        <v>15181.261161752327</v>
      </c>
      <c r="L47" s="12">
        <v>0.91666666666666663</v>
      </c>
      <c r="M47" s="9" t="n">
        <v>10039.274244308472</v>
      </c>
      <c r="N47" s="9" t="n">
        <v>2454.11683177948</v>
      </c>
      <c r="O47" s="9" t="n">
        <v>0.0</v>
      </c>
      <c r="P47" s="9" t="n">
        <v>0.0</v>
      </c>
      <c r="Q47" s="9" t="n">
        <v>3070.3692684173584</v>
      </c>
      <c r="R47" s="9" t="n">
        <v>110.0481128692627</v>
      </c>
      <c r="S47" s="9" t="n">
        <v>17.45526123046875</v>
      </c>
      <c r="T47" s="9" t="n">
        <v>0.0</v>
      </c>
      <c r="U47">
        <f si="1" t="shared"/>
        <v>12900.911783778631</v>
      </c>
    </row>
    <row r="48" spans="1:21" x14ac:dyDescent="0.25">
      <c r="A48" s="12">
        <v>0.9375</v>
      </c>
      <c r="B48" s="6" t="n">
        <v>10571.569373080943</v>
      </c>
      <c r="C48" s="6" t="n">
        <v>1721.3216292728084</v>
      </c>
      <c r="D48" s="6" t="n">
        <v>65.4306564009185</v>
      </c>
      <c r="E48" s="6" t="n">
        <v>457.13986165326526</v>
      </c>
      <c r="F48" s="6" t="n">
        <v>369.3317057327791</v>
      </c>
      <c r="G48" s="6" t="n">
        <v>9.122499453544615</v>
      </c>
      <c r="H48" s="6" t="n">
        <v>44.43337372899056</v>
      </c>
      <c r="I48" s="6" t="n">
        <v>11.9280983877182</v>
      </c>
      <c r="J48" s="6">
        <f si="0" t="shared"/>
        <v>13250.277197710968</v>
      </c>
      <c r="L48" s="12">
        <v>0.9375</v>
      </c>
      <c r="M48" s="9" t="n">
        <v>8049.052995681763</v>
      </c>
      <c r="N48" s="9" t="n">
        <v>2090.5443449020386</v>
      </c>
      <c r="O48" s="9" t="n">
        <v>0.0</v>
      </c>
      <c r="P48" s="9" t="n">
        <v>0.0</v>
      </c>
      <c r="Q48" s="9" t="n">
        <v>2723.8803873062134</v>
      </c>
      <c r="R48" s="9" t="n">
        <v>102.48848915100098</v>
      </c>
      <c r="S48" s="9" t="n">
        <v>14.080829620361328</v>
      </c>
      <c r="T48" s="9" t="n">
        <v>0.0</v>
      </c>
      <c r="U48">
        <f si="1" t="shared"/>
        <v>10664.202391835584</v>
      </c>
    </row>
    <row r="49" spans="1:21" x14ac:dyDescent="0.25">
      <c r="A49" s="12">
        <v>0.95833333333333337</v>
      </c>
      <c r="B49" s="6" t="n">
        <v>9167.923369177406</v>
      </c>
      <c r="C49" s="6" t="n">
        <v>1279.6741156142589</v>
      </c>
      <c r="D49" s="6" t="n">
        <v>48.67580694708941</v>
      </c>
      <c r="E49" s="6" t="n">
        <v>354.95320027376397</v>
      </c>
      <c r="F49" s="6" t="n">
        <v>321.5483282296833</v>
      </c>
      <c r="G49" s="6" t="n">
        <v>2.457674785971641</v>
      </c>
      <c r="H49" s="6" t="n">
        <v>17.492097710609436</v>
      </c>
      <c r="I49" s="6" t="n">
        <v>4.771239355087279</v>
      </c>
      <c r="J49" s="6">
        <f si="0" t="shared"/>
        <v>11197.495832093869</v>
      </c>
      <c r="L49" s="12">
        <v>0.95833333333333337</v>
      </c>
      <c r="M49" s="9" t="n">
        <v>6323.490836143494</v>
      </c>
      <c r="N49" s="9" t="n">
        <v>1713.4572925567627</v>
      </c>
      <c r="O49" s="9" t="n">
        <v>0.0</v>
      </c>
      <c r="P49" s="9" t="n">
        <v>0.0</v>
      </c>
      <c r="Q49" s="9" t="n">
        <v>2305.8196926116943</v>
      </c>
      <c r="R49" s="9" t="n">
        <v>90.28650093078613</v>
      </c>
      <c r="S49" s="9" t="n">
        <v>11.334012031555176</v>
      </c>
      <c r="T49" s="9" t="n">
        <v>0.0</v>
      </c>
      <c r="U49">
        <f si="1" t="shared"/>
        <v>8591.7554687130159</v>
      </c>
    </row>
    <row r="50" spans="1:21" x14ac:dyDescent="0.25">
      <c r="A50" s="12">
        <v>0.97916666666666663</v>
      </c>
      <c r="B50" s="6" t="n">
        <v>7355.764548893037</v>
      </c>
      <c r="C50" s="6" t="n">
        <v>904.5440910061423</v>
      </c>
      <c r="D50" s="6" t="n">
        <v>29.904126588037116</v>
      </c>
      <c r="E50" s="6" t="n">
        <v>243.43838637203527</v>
      </c>
      <c r="F50" s="6" t="n">
        <v>255.0847777447683</v>
      </c>
      <c r="G50" s="6" t="n">
        <v>0.4966238665580748</v>
      </c>
      <c r="H50" s="6" t="n">
        <v>5.407686413526535</v>
      </c>
      <c r="I50" s="6" t="n">
        <v>1.491012298464775</v>
      </c>
      <c r="J50" s="6">
        <f si="0" t="shared"/>
        <v>8796.1312531825697</v>
      </c>
      <c r="L50" s="12">
        <v>0.97916666666666663</v>
      </c>
      <c r="M50" s="9" t="n">
        <v>4694.406378746033</v>
      </c>
      <c r="N50" s="9" t="n">
        <v>1307.0257396697998</v>
      </c>
      <c r="O50" s="9" t="n">
        <v>0.0</v>
      </c>
      <c r="P50" s="9" t="n">
        <v>0.0</v>
      </c>
      <c r="Q50" s="9" t="n">
        <v>1802.1677541732788</v>
      </c>
      <c r="R50" s="9" t="n">
        <v>72.75366878509521</v>
      </c>
      <c r="S50" s="9" t="n">
        <v>8.693942070007324</v>
      </c>
      <c r="T50" s="9" t="n">
        <v>0.0</v>
      </c>
      <c r="U50">
        <f si="1" t="shared"/>
        <v>6505.2295992502504</v>
      </c>
    </row>
    <row r="51" spans="1:21" x14ac:dyDescent="0.25">
      <c r="A51" s="12">
        <v>1</v>
      </c>
      <c r="B51" s="6" t="n">
        <v>5280.945080406052</v>
      </c>
      <c r="C51" s="6" t="n">
        <v>586.0090601930551</v>
      </c>
      <c r="D51" s="6" t="n">
        <v>14.948019953195441</v>
      </c>
      <c r="E51" s="6" t="n">
        <v>143.69814152250416</v>
      </c>
      <c r="F51" s="6" t="n">
        <v>177.21559740025498</v>
      </c>
      <c r="G51" s="6" t="n">
        <v>0.07061739563941953</v>
      </c>
      <c r="H51" s="6" t="n">
        <v>1.263689317703247</v>
      </c>
      <c r="I51" s="6" t="n">
        <v>0.35082642316818236</v>
      </c>
      <c r="J51" s="6">
        <f si="0" t="shared"/>
        <v>6204.5010326115726</v>
      </c>
      <c r="L51" s="12">
        <v>1</v>
      </c>
      <c r="M51" s="9" t="n">
        <v>3176.6472539901733</v>
      </c>
      <c r="N51" s="9" t="n">
        <v>899.2748928070068</v>
      </c>
      <c r="O51" s="9" t="n">
        <v>0.0</v>
      </c>
      <c r="P51" s="9" t="n">
        <v>0.0</v>
      </c>
      <c r="Q51" s="9" t="n">
        <v>1262.401623725891</v>
      </c>
      <c r="R51" s="9" t="n">
        <v>52.13081741333008</v>
      </c>
      <c r="S51" s="9" t="n">
        <v>6.071552276611328</v>
      </c>
      <c r="T51" s="9" t="n">
        <v>0.0</v>
      </c>
      <c r="U51">
        <f si="1" t="shared"/>
        <v>4469.5085684740916</v>
      </c>
    </row>
    <row r="52" spans="1:21" x14ac:dyDescent="0.25">
      <c r="A52" s="12">
        <v>1.0208333333333333</v>
      </c>
      <c r="B52" s="6" t="n">
        <v>3309.1192634870013</v>
      </c>
      <c r="C52" s="6" t="n">
        <v>335.5164441436301</v>
      </c>
      <c r="D52" s="6" t="n">
        <v>5.9790523863266145</v>
      </c>
      <c r="E52" s="6" t="n">
        <v>71.35877860339087</v>
      </c>
      <c r="F52" s="6" t="n">
        <v>105.3694102681028</v>
      </c>
      <c r="G52" s="6" t="n">
        <v>0.006282049655914304</v>
      </c>
      <c r="H52" s="6" t="n">
        <v>0.2097925126552582</v>
      </c>
      <c r="I52" s="6" t="n">
        <v>0.05847107052803039</v>
      </c>
      <c r="J52" s="6">
        <f si="0" t="shared"/>
        <v>3827.6174945212911</v>
      </c>
      <c r="L52" s="12">
        <v>1.0208333333333333</v>
      </c>
      <c r="M52" s="9" t="n">
        <v>1900.280839920044</v>
      </c>
      <c r="N52" s="9" t="n">
        <v>543.4467372894287</v>
      </c>
      <c r="O52" s="9" t="n">
        <v>0.0</v>
      </c>
      <c r="P52" s="9" t="n">
        <v>0.0</v>
      </c>
      <c r="Q52" s="9" t="n">
        <v>773.0978527069092</v>
      </c>
      <c r="R52" s="9" t="n">
        <v>32.46341896057129</v>
      </c>
      <c r="S52" s="9" t="n">
        <v>3.7265281677246094</v>
      </c>
      <c r="T52" s="9" t="n">
        <v>0.0</v>
      </c>
      <c r="U52">
        <f si="1" t="shared"/>
        <v>2705.7011704840347</v>
      </c>
    </row>
    <row r="53" spans="1:21" x14ac:dyDescent="0.25">
      <c r="A53" s="12">
        <v>4.1666666666666664E-2</v>
      </c>
      <c r="B53" s="6" t="n">
        <v>1774.5251565949534</v>
      </c>
      <c r="C53" s="6" t="n">
        <v>164.6295605637818</v>
      </c>
      <c r="D53" s="6" t="n">
        <v>1.868453870727067</v>
      </c>
      <c r="E53" s="6" t="n">
        <v>29.16790799242731</v>
      </c>
      <c r="F53" s="6" t="n">
        <v>52.79593899598394</v>
      </c>
      <c r="G53" s="6" t="n">
        <v>2.620171308517456E-4</v>
      </c>
      <c r="H53" s="6" t="n">
        <v>0.0220463228225708</v>
      </c>
      <c r="I53" s="6" t="n">
        <v>0.006154849529266356</v>
      </c>
      <c r="J53" s="6">
        <f si="0" t="shared"/>
        <v>2023.0154812073561</v>
      </c>
      <c r="L53" s="12">
        <v>4.1666666666666664E-2</v>
      </c>
      <c r="M53" s="9" t="n">
        <v>979.5420303344727</v>
      </c>
      <c r="N53" s="9" t="n">
        <v>281.93203926086426</v>
      </c>
      <c r="O53" s="9" t="n">
        <v>0.0</v>
      </c>
      <c r="P53" s="9" t="n">
        <v>0.0</v>
      </c>
      <c r="Q53" s="9" t="n">
        <v>405.0830326080322</v>
      </c>
      <c r="R53" s="9" t="n">
        <v>17.223231315612793</v>
      </c>
      <c r="S53" s="9" t="n">
        <v>1.9580068588256836</v>
      </c>
      <c r="T53" s="9" t="n">
        <v>0.0</v>
      </c>
      <c r="U53">
        <f si="1" t="shared"/>
        <v>1408.0365327420332</v>
      </c>
    </row>
    <row r="54" spans="1:21" x14ac:dyDescent="0.25">
      <c r="A54" s="12">
        <v>6.25E-2</v>
      </c>
      <c r="B54" s="6" t="n">
        <v>799.8401184395725</v>
      </c>
      <c r="C54" s="6" t="n">
        <v>67.42556722302183</v>
      </c>
      <c r="D54" s="6" t="n">
        <v>0.4396362048769569</v>
      </c>
      <c r="E54" s="6" t="n">
        <v>9.581141235177181</v>
      </c>
      <c r="F54" s="6" t="n">
        <v>21.969555639691116</v>
      </c>
      <c r="G54" s="6" t="n">
        <v>0.0</v>
      </c>
      <c r="H54" s="6" t="n">
        <v>0.00110231614112854</v>
      </c>
      <c r="I54" s="6" t="n">
        <v>3.0774247646331787E-4</v>
      </c>
      <c r="J54" s="6">
        <f si="0" t="shared"/>
        <v>899.25742880095709</v>
      </c>
      <c r="L54" s="12">
        <v>6.25E-2</v>
      </c>
      <c r="M54" s="9" t="n">
        <v>425.04200077056885</v>
      </c>
      <c r="N54" s="9" t="n">
        <v>122.85502433776855</v>
      </c>
      <c r="O54" s="9" t="n">
        <v>0.0</v>
      </c>
      <c r="P54" s="9" t="n">
        <v>0.0</v>
      </c>
      <c r="Q54" s="9" t="n">
        <v>177.85037422180176</v>
      </c>
      <c r="R54" s="9" t="n">
        <v>7.633143424987793</v>
      </c>
      <c r="S54" s="9" t="n">
        <v>0.8612432479858398</v>
      </c>
      <c r="T54" s="9" t="n">
        <v>0.0</v>
      </c>
      <c r="U54">
        <f si="1" t="shared"/>
        <v>615.7161813436835</v>
      </c>
    </row>
    <row r="55" spans="1:21" x14ac:dyDescent="0.25">
      <c r="A55" s="12">
        <v>8.3333333333333329E-2</v>
      </c>
      <c r="B55" s="6" t="n">
        <v>297.19207402102666</v>
      </c>
      <c r="C55" s="6" t="n">
        <v>22.458308119252834</v>
      </c>
      <c r="D55" s="6" t="n">
        <v>0.07327270081282616</v>
      </c>
      <c r="E55" s="6" t="n">
        <v>2.4538979658029083</v>
      </c>
      <c r="F55" s="6" t="n">
        <v>7.456574468226233</v>
      </c>
      <c r="G55" s="6" t="n">
        <v>0.0</v>
      </c>
      <c r="H55" s="6" t="n">
        <v>0.0</v>
      </c>
      <c r="I55" s="6" t="n">
        <v>0.0</v>
      </c>
      <c r="J55" s="6">
        <f si="0" t="shared"/>
        <v>329.63412727512144</v>
      </c>
      <c r="L55" s="12">
        <v>8.3333333333333329E-2</v>
      </c>
      <c r="M55" s="9" t="n">
        <v>151.4661045074463</v>
      </c>
      <c r="N55" s="9" t="n">
        <v>43.91049098968506</v>
      </c>
      <c r="O55" s="9" t="n">
        <v>0.0</v>
      </c>
      <c r="P55" s="9" t="n">
        <v>0.0</v>
      </c>
      <c r="Q55" s="9" t="n">
        <v>63.92844200134277</v>
      </c>
      <c r="R55" s="9" t="n">
        <v>2.7633752822875977</v>
      </c>
      <c r="S55" s="9" t="n">
        <v>0.30983638763427734</v>
      </c>
      <c r="T55" s="9" t="n">
        <v>0.0</v>
      </c>
      <c r="U55">
        <f si="1" t="shared"/>
        <v>220.82068146967279</v>
      </c>
    </row>
    <row r="56" spans="1:21" x14ac:dyDescent="0.25">
      <c r="A56" s="12">
        <v>0.10416666666666667</v>
      </c>
      <c r="B56" s="6" t="n">
        <v>88.84807314199568</v>
      </c>
      <c r="C56" s="6" t="n">
        <v>5.900676828284037</v>
      </c>
      <c r="D56" s="6" t="n">
        <v>0.007712915875034333</v>
      </c>
      <c r="E56" s="6" t="n">
        <v>0.4695267639362831</v>
      </c>
      <c r="F56" s="6" t="n">
        <v>2.012237164474615</v>
      </c>
      <c r="G56" s="6" t="n">
        <v>0.0</v>
      </c>
      <c r="H56" s="6" t="n">
        <v>0.0</v>
      </c>
      <c r="I56" s="6" t="n">
        <v>0.0</v>
      </c>
      <c r="J56" s="6">
        <f si="0" t="shared"/>
        <v>97.23822681456565</v>
      </c>
      <c r="L56" s="12">
        <v>0.10416666666666667</v>
      </c>
      <c r="M56" s="9" t="n">
        <v>43.00638484954834</v>
      </c>
      <c r="N56" s="9" t="n">
        <v>12.495625495910645</v>
      </c>
      <c r="O56" s="9" t="n">
        <v>0.0</v>
      </c>
      <c r="P56" s="9" t="n">
        <v>0.0</v>
      </c>
      <c r="Q56" s="9" t="n">
        <v>18.269631385803223</v>
      </c>
      <c r="R56" s="9" t="n">
        <v>0.7940139770507812</v>
      </c>
      <c r="S56" s="9" t="n">
        <v>0.0885610580444336</v>
      </c>
      <c r="T56" s="9" t="n">
        <v>0.0</v>
      </c>
      <c r="U56">
        <f si="1" t="shared"/>
        <v>63.035928500204918</v>
      </c>
    </row>
    <row r="57" spans="1:21" x14ac:dyDescent="0.25">
      <c r="A57" s="12">
        <v>0.125</v>
      </c>
      <c r="B57" s="6" t="n">
        <v>20.2839490274429</v>
      </c>
      <c r="C57" s="6" t="n">
        <v>1.158909145774129</v>
      </c>
      <c r="D57" s="6" t="n">
        <v>3.856457937517166E-4</v>
      </c>
      <c r="E57" s="6" t="n">
        <v>0.06254610788137817</v>
      </c>
      <c r="F57" s="6" t="n">
        <v>0.4098514908867798</v>
      </c>
      <c r="G57" s="6" t="n">
        <v>0.0</v>
      </c>
      <c r="H57" s="6" t="n">
        <v>0.0</v>
      </c>
      <c r="I57" s="6" t="n">
        <v>0.0</v>
      </c>
      <c r="J57" s="6">
        <f si="0" t="shared"/>
        <v>21.915641417778939</v>
      </c>
      <c r="L57" s="12">
        <v>0.125</v>
      </c>
      <c r="M57" s="9" t="n">
        <v>9.194514274597168</v>
      </c>
      <c r="N57" s="9" t="n">
        <v>2.6762351989746094</v>
      </c>
      <c r="O57" s="9" t="n">
        <v>0.0</v>
      </c>
      <c r="P57" s="9" t="n">
        <v>0.0</v>
      </c>
      <c r="Q57" s="9" t="n">
        <v>3.924920082092285</v>
      </c>
      <c r="R57" s="9" t="n">
        <v>0.1712646484375</v>
      </c>
      <c r="S57" s="9" t="n">
        <v>0.01902294158935547</v>
      </c>
      <c r="T57" s="9" t="n">
        <v>0.0</v>
      </c>
      <c r="U57">
        <f si="1" t="shared"/>
        <v>13.537186437052412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66.0</v>
      </c>
      <c r="R8" s="9" t="n">
        <v>0.0</v>
      </c>
      <c r="S8" s="9" t="n">
        <v>13.0</v>
      </c>
      <c r="T8" s="9" t="n">
        <v>0.0</v>
      </c>
      <c r="U8">
        <f>SUM(M8:T8)</f>
        <v>99.052388544717346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3.8800589823722853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53.49098491668701</v>
      </c>
      <c r="R9" s="9" t="n">
        <v>0.13139820098876953</v>
      </c>
      <c r="S9" s="9" t="n">
        <v>8.745920181274414</v>
      </c>
      <c r="T9" s="9" t="n">
        <v>0.0</v>
      </c>
      <c r="U9">
        <f ref="U9:U58" si="1" t="shared">SUM(M9:T9)</f>
        <v>100.27904348079321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7.856837511062622E-4</v>
      </c>
      <c r="I10" s="6" t="n">
        <v>3.826677799224854E-4</v>
      </c>
      <c r="J10" s="6">
        <f si="0" t="shared"/>
        <v>6.5841558886466158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40.72648620605469</v>
      </c>
      <c r="R10" s="9" t="n">
        <v>0.44902896881103516</v>
      </c>
      <c r="S10" s="9" t="n">
        <v>5.438985824584961</v>
      </c>
      <c r="T10" s="9" t="n">
        <v>0.0</v>
      </c>
      <c r="U10">
        <f si="1" t="shared"/>
        <v>91.835550490404898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0.016385934472084043</v>
      </c>
      <c r="I11" s="6" t="n">
        <v>0.007653355598449706</v>
      </c>
      <c r="J11" s="6">
        <f si="0" t="shared"/>
        <v>7.5746084498600306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29.8721981048584</v>
      </c>
      <c r="R11" s="9" t="n">
        <v>1.5374841690063477</v>
      </c>
      <c r="S11" s="9" t="n">
        <v>4.188716888427734</v>
      </c>
      <c r="T11" s="9" t="n">
        <v>0.0</v>
      </c>
      <c r="U11">
        <f si="1" t="shared"/>
        <v>74.147854357858094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0.16272510170936583</v>
      </c>
      <c r="I12" s="6" t="n">
        <v>0.07270687818527222</v>
      </c>
      <c r="J12" s="6">
        <f si="0" t="shared"/>
        <v>7.2727811017920931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26.614219665527344</v>
      </c>
      <c r="R12" s="9" t="n">
        <v>4.846866607666016</v>
      </c>
      <c r="S12" s="9" t="n">
        <v>6.857182502746582</v>
      </c>
      <c r="T12" s="9" t="n">
        <v>0.0</v>
      </c>
      <c r="U12">
        <f si="1" t="shared"/>
        <v>59.674714171496582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1.0234087717533111</v>
      </c>
      <c r="I13" s="6" t="n">
        <v>0.43624126911163325</v>
      </c>
      <c r="J13" s="6">
        <f si="0" t="shared"/>
        <v>7.6503792779090949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39.913068771362305</v>
      </c>
      <c r="R13" s="9" t="n">
        <v>12.8755521774292</v>
      </c>
      <c r="S13" s="9" t="n">
        <v>16.869519233703613</v>
      </c>
      <c r="T13" s="9" t="n">
        <v>0.0</v>
      </c>
      <c r="U13">
        <f si="1" t="shared"/>
        <v>67.464817525127458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6.107607342101986</v>
      </c>
      <c r="G14" s="6" t="n">
        <v>1.064669622182846</v>
      </c>
      <c r="H14" s="6" t="n">
        <v>4.575872631907463</v>
      </c>
      <c r="I14" s="6" t="n">
        <v>1.8546958636045456</v>
      </c>
      <c r="J14" s="6">
        <f si="0" t="shared"/>
        <v>14.971829899058152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80.58960628509521</v>
      </c>
      <c r="R14" s="9" t="n">
        <v>28.35279083251953</v>
      </c>
      <c r="S14" s="9" t="n">
        <v>39.308950424194336</v>
      </c>
      <c r="T14" s="9" t="n">
        <v>0.0</v>
      </c>
      <c r="U14">
        <f si="1" t="shared"/>
        <v>116.33643949718972</v>
      </c>
    </row>
    <row r="15" spans="1:26" x14ac:dyDescent="0.25">
      <c r="A15" s="12">
        <v>0.25</v>
      </c>
      <c r="B15" s="6" t="n">
        <v>0.004227262910919189</v>
      </c>
      <c r="C15" s="6" t="n">
        <v>4.322094801072091</v>
      </c>
      <c r="D15" s="6" t="n">
        <v>0.0</v>
      </c>
      <c r="E15" s="6" t="n">
        <v>2.6797119350080427</v>
      </c>
      <c r="F15" s="6" t="n">
        <v>14.055272460673283</v>
      </c>
      <c r="G15" s="6" t="n">
        <v>4.903136854410171</v>
      </c>
      <c r="H15" s="6" t="n">
        <v>15.500224427342413</v>
      </c>
      <c r="I15" s="6" t="n">
        <v>5.948480041503906</v>
      </c>
      <c r="J15" s="6">
        <f si="0" t="shared"/>
        <v>47.413147782920824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158.12352657318115</v>
      </c>
      <c r="R15" s="9" t="n">
        <v>52.24248123168945</v>
      </c>
      <c r="S15" s="9" t="n">
        <v>79.57104587554932</v>
      </c>
      <c r="T15" s="9" t="n">
        <v>0.0</v>
      </c>
      <c r="U15">
        <f si="1" t="shared"/>
        <v>219.47927841350682</v>
      </c>
    </row>
    <row r="16" spans="1:26" x14ac:dyDescent="0.25">
      <c r="A16" s="12">
        <v>0.27083333333333331</v>
      </c>
      <c r="B16" s="6" t="n">
        <v>0.04043639614861049</v>
      </c>
      <c r="C16" s="6" t="n">
        <v>16.71163758217532</v>
      </c>
      <c r="D16" s="6" t="n">
        <v>0.0</v>
      </c>
      <c r="E16" s="6" t="n">
        <v>10.962138490197503</v>
      </c>
      <c r="F16" s="6" t="n">
        <v>47.16426060103628</v>
      </c>
      <c r="G16" s="6" t="n">
        <v>17.061246358036993</v>
      </c>
      <c r="H16" s="6" t="n">
        <v>41.52130581712723</v>
      </c>
      <c r="I16" s="6" t="n">
        <v>15.00656043612957</v>
      </c>
      <c r="J16" s="6">
        <f si="0" t="shared"/>
        <v>148.46758568085153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276.2816171646118</v>
      </c>
      <c r="R16" s="9" t="n">
        <v>81.97719860076904</v>
      </c>
      <c r="S16" s="9" t="n">
        <v>141.6848316192627</v>
      </c>
      <c r="T16" s="9" t="n">
        <v>0.0</v>
      </c>
      <c r="U16">
        <f si="1" t="shared"/>
        <v>381.04016846320781</v>
      </c>
    </row>
    <row r="17" spans="1:21" x14ac:dyDescent="0.25">
      <c r="A17" s="12">
        <v>0.29166666666666669</v>
      </c>
      <c r="B17" s="6" t="n">
        <v>0.24677708424075512</v>
      </c>
      <c r="C17" s="6" t="n">
        <v>51.49294828108714</v>
      </c>
      <c r="D17" s="6" t="n">
        <v>4.466760902166367E-4</v>
      </c>
      <c r="E17" s="6" t="n">
        <v>35.43526318533084</v>
      </c>
      <c r="F17" s="6" t="n">
        <v>143.4845732987696</v>
      </c>
      <c r="G17" s="6" t="n">
        <v>46.61187982952594</v>
      </c>
      <c r="H17" s="6" t="n">
        <v>91.28577776873111</v>
      </c>
      <c r="I17" s="6" t="n">
        <v>30.9130445458889</v>
      </c>
      <c r="J17" s="6">
        <f si="0" t="shared"/>
        <v>399.47071066966453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431.6174478530884</v>
      </c>
      <c r="R17" s="9" t="n">
        <v>112.35943794250488</v>
      </c>
      <c r="S17" s="9" t="n">
        <v>229.64669036865234</v>
      </c>
      <c r="T17" s="9" t="n">
        <v>0.0</v>
      </c>
      <c r="U17">
        <f si="1" t="shared"/>
        <v>599.62984436473175</v>
      </c>
    </row>
    <row r="18" spans="1:21" x14ac:dyDescent="0.25">
      <c r="A18" s="12">
        <v>0.3125</v>
      </c>
      <c r="B18" s="6" t="n">
        <v>1.082421501023038</v>
      </c>
      <c r="C18" s="6" t="n">
        <v>129.0418444828175</v>
      </c>
      <c r="D18" s="6" t="n">
        <v>0.008933521804332732</v>
      </c>
      <c r="E18" s="6" t="n">
        <v>93.67268534330782</v>
      </c>
      <c r="F18" s="6" t="n">
        <v>361.37020835888114</v>
      </c>
      <c r="G18" s="6" t="n">
        <v>102.67459289896487</v>
      </c>
      <c r="H18" s="6" t="n">
        <v>171.98038227164744</v>
      </c>
      <c r="I18" s="6" t="n">
        <v>54.64940935683251</v>
      </c>
      <c r="J18" s="6">
        <f si="0" t="shared"/>
        <v>914.48047773527867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619.1692361831665</v>
      </c>
      <c r="R18" s="9" t="n">
        <v>139.95345973968506</v>
      </c>
      <c r="S18" s="9" t="n">
        <v>354.35830879211426</v>
      </c>
      <c r="T18" s="9" t="n">
        <v>0.0</v>
      </c>
      <c r="U18">
        <f si="1" t="shared"/>
        <v>884.78650429384356</v>
      </c>
    </row>
    <row r="19" spans="1:21" x14ac:dyDescent="0.25">
      <c r="A19" s="12">
        <v>0.33333333333333331</v>
      </c>
      <c r="B19" s="6" t="n">
        <v>3.649137839976707</v>
      </c>
      <c r="C19" s="6" t="n">
        <v>268.551045324368</v>
      </c>
      <c r="D19" s="6" t="n">
        <v>0.08486845714116098</v>
      </c>
      <c r="E19" s="6" t="n">
        <v>208.4419672823214</v>
      </c>
      <c r="F19" s="6" t="n">
        <v>752.9864175378092</v>
      </c>
      <c r="G19" s="6" t="n">
        <v>186.25368290412385</v>
      </c>
      <c r="H19" s="6" t="n">
        <v>294.327971219182</v>
      </c>
      <c r="I19" s="6" t="n">
        <v>89.83575602436066</v>
      </c>
      <c r="J19" s="6">
        <f si="0" t="shared"/>
        <v>1804.1308465892832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842.4944610595703</v>
      </c>
      <c r="R19" s="9" t="n">
        <v>168.1266689300537</v>
      </c>
      <c r="S19" s="9" t="n">
        <v>542.7599582672119</v>
      </c>
      <c r="T19" s="9" t="n">
        <v>0.0</v>
      </c>
      <c r="U19">
        <f si="1" t="shared"/>
        <v>1279.1902657630646</v>
      </c>
    </row>
    <row r="20" spans="1:21" x14ac:dyDescent="0.25">
      <c r="A20" s="12">
        <v>0.35416666666666669</v>
      </c>
      <c r="B20" s="6" t="n">
        <v>9.889833109032852</v>
      </c>
      <c r="C20" s="6" t="n">
        <v>474.58278083048464</v>
      </c>
      <c r="D20" s="6" t="n">
        <v>0.5092107428469659</v>
      </c>
      <c r="E20" s="6" t="n">
        <v>400.7337170849894</v>
      </c>
      <c r="F20" s="6" t="n">
        <v>1312.8812079041254</v>
      </c>
      <c r="G20" s="6" t="n">
        <v>284.2860524843851</v>
      </c>
      <c r="H20" s="6" t="n">
        <v>489.23397829067704</v>
      </c>
      <c r="I20" s="6" t="n">
        <v>151.79989288222788</v>
      </c>
      <c r="J20" s="6">
        <f si="0" t="shared"/>
        <v>3123.9166733287693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1116.0632610321045</v>
      </c>
      <c r="R20" s="9" t="n">
        <v>208.0238494873047</v>
      </c>
      <c r="S20" s="9" t="n">
        <v>838.93798828125</v>
      </c>
      <c r="T20" s="9" t="n">
        <v>0.0</v>
      </c>
      <c r="U20">
        <f si="1" t="shared"/>
        <v>1862.0107981304752</v>
      </c>
    </row>
    <row r="21" spans="1:21" x14ac:dyDescent="0.25">
      <c r="A21" s="12">
        <v>0.375</v>
      </c>
      <c r="B21" s="6" t="n">
        <v>22.290743926025065</v>
      </c>
      <c r="C21" s="6" t="n">
        <v>730.3340488491081</v>
      </c>
      <c r="D21" s="6" t="n">
        <v>2.1641456570996054</v>
      </c>
      <c r="E21" s="6" t="n">
        <v>681.4331635535302</v>
      </c>
      <c r="F21" s="6" t="n">
        <v>1940.8946979655718</v>
      </c>
      <c r="G21" s="6" t="n">
        <v>376.07783302990924</v>
      </c>
      <c r="H21" s="6" t="n">
        <v>822.0681840676069</v>
      </c>
      <c r="I21" s="6" t="n">
        <v>275.65879535531997</v>
      </c>
      <c r="J21" s="6">
        <f si="0" t="shared"/>
        <v>4850.9216124041704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1450.7086486816406</v>
      </c>
      <c r="R21" s="9" t="n">
        <v>273.8272771835327</v>
      </c>
      <c r="S21" s="9" t="n">
        <v>1290.6439790725708</v>
      </c>
      <c r="T21" s="9" t="n">
        <v>0.0</v>
      </c>
      <c r="U21">
        <f si="1" t="shared"/>
        <v>2716.4287602776822</v>
      </c>
    </row>
    <row r="22" spans="1:21" x14ac:dyDescent="0.25">
      <c r="A22" s="12">
        <v>0.39583333333333331</v>
      </c>
      <c r="B22" s="6" t="n">
        <v>42.95878127358935</v>
      </c>
      <c r="C22" s="6" t="n">
        <v>1007.0513648738287</v>
      </c>
      <c r="D22" s="6" t="n">
        <v>6.925266102718736</v>
      </c>
      <c r="E22" s="6" t="n">
        <v>1045.6040342363501</v>
      </c>
      <c r="F22" s="6" t="n">
        <v>2471.1695733953484</v>
      </c>
      <c r="G22" s="6" t="n">
        <v>452.9717726361953</v>
      </c>
      <c r="H22" s="6" t="n">
        <v>1375.6180069544314</v>
      </c>
      <c r="I22" s="6" t="n">
        <v>509.3885809223651</v>
      </c>
      <c r="J22" s="6">
        <f si="0" t="shared"/>
        <v>6911.6873803948265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1832.1996002197266</v>
      </c>
      <c r="R22" s="9" t="n">
        <v>377.066686630249</v>
      </c>
      <c r="S22" s="9" t="n">
        <v>1934.7198209762573</v>
      </c>
      <c r="T22" s="9" t="n">
        <v>0.0</v>
      </c>
      <c r="U22">
        <f si="1" t="shared"/>
        <v>3889.5245525498699</v>
      </c>
    </row>
    <row r="23" spans="1:21" x14ac:dyDescent="0.25">
      <c r="A23" s="12">
        <v>0.41666666666666669</v>
      </c>
      <c r="B23" s="6" t="n">
        <v>72.45532746676909</v>
      </c>
      <c r="C23" s="6" t="n">
        <v>1281.7142566042237</v>
      </c>
      <c r="D23" s="6" t="n">
        <v>17.31316525679684</v>
      </c>
      <c r="E23" s="6" t="n">
        <v>1471.1852455893813</v>
      </c>
      <c r="F23" s="6" t="n">
        <v>2766.6978114217964</v>
      </c>
      <c r="G23" s="6" t="n">
        <v>536.9600750453138</v>
      </c>
      <c r="H23" s="6" t="n">
        <v>2195.2734855275157</v>
      </c>
      <c r="I23" s="6" t="n">
        <v>883.0228460158108</v>
      </c>
      <c r="J23" s="6">
        <f si="0" t="shared"/>
        <v>9224.6222129276066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2220.386001586914</v>
      </c>
      <c r="R23" s="9" t="n">
        <v>528.5864839553833</v>
      </c>
      <c r="S23" s="9" t="n">
        <v>2815.4030380249023</v>
      </c>
      <c r="T23" s="9" t="n">
        <v>0.0</v>
      </c>
      <c r="U23">
        <f si="1" t="shared"/>
        <v>5416.0173303215352</v>
      </c>
    </row>
    <row r="24" spans="1:21" x14ac:dyDescent="0.25">
      <c r="A24" s="12">
        <v>0.4375</v>
      </c>
      <c r="B24" s="6" t="n">
        <v>108.95326895524407</v>
      </c>
      <c r="C24" s="6" t="n">
        <v>1545.388316603107</v>
      </c>
      <c r="D24" s="6" t="n">
        <v>34.62633051359368</v>
      </c>
      <c r="E24" s="6" t="n">
        <v>1925.4688452867858</v>
      </c>
      <c r="F24" s="6" t="n">
        <v>2803.82456569575</v>
      </c>
      <c r="G24" s="6" t="n">
        <v>684.210991256345</v>
      </c>
      <c r="H24" s="6" t="n">
        <v>3253.5998574002983</v>
      </c>
      <c r="I24" s="6" t="n">
        <v>1366.7238196648357</v>
      </c>
      <c r="J24" s="6">
        <f si="0" t="shared"/>
        <v>11722.79599537596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2584.379982948303</v>
      </c>
      <c r="R24" s="9" t="n">
        <v>752.2332391738892</v>
      </c>
      <c r="S24" s="9" t="n">
        <v>4055.9106483459473</v>
      </c>
      <c r="T24" s="9" t="n">
        <v>0.0</v>
      </c>
      <c r="U24">
        <f si="1" t="shared"/>
        <v>7447.9908988141287</v>
      </c>
    </row>
    <row r="25" spans="1:21" x14ac:dyDescent="0.25">
      <c r="A25" s="12">
        <v>0.45833333333333331</v>
      </c>
      <c r="B25" s="6" t="n">
        <v>148.03986303188813</v>
      </c>
      <c r="C25" s="6" t="n">
        <v>1798.540943260868</v>
      </c>
      <c r="D25" s="6" t="n">
        <v>56.26778708458973</v>
      </c>
      <c r="E25" s="6" t="n">
        <v>2384.4967502613526</v>
      </c>
      <c r="F25" s="6" t="n">
        <v>2668.8598844510257</v>
      </c>
      <c r="G25" s="6" t="n">
        <v>979.8811754114347</v>
      </c>
      <c r="H25" s="6" t="n">
        <v>4536.9845650759935</v>
      </c>
      <c r="I25" s="6" t="n">
        <v>1852.8248067280053</v>
      </c>
      <c r="J25" s="6">
        <f si="0" t="shared"/>
        <v>14425.895775305158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2949.508586883545</v>
      </c>
      <c r="R25" s="9" t="n">
        <v>1101.4167699813843</v>
      </c>
      <c r="S25" s="9" t="n">
        <v>5941.362542152405</v>
      </c>
      <c r="T25" s="9" t="n">
        <v>0.0</v>
      </c>
      <c r="U25">
        <f si="1" t="shared"/>
        <v>10412.258592248443</v>
      </c>
    </row>
    <row r="26" spans="1:21" x14ac:dyDescent="0.25">
      <c r="A26" s="12">
        <v>0.47916666666666669</v>
      </c>
      <c r="B26" s="6" t="n">
        <v>183.60544663520992</v>
      </c>
      <c r="C26" s="6" t="n">
        <v>2045.990853428204</v>
      </c>
      <c r="D26" s="6" t="n">
        <v>75.0237161127863</v>
      </c>
      <c r="E26" s="6" t="n">
        <v>2857.9131898177006</v>
      </c>
      <c r="F26" s="6" t="n">
        <v>2476.6361776372</v>
      </c>
      <c r="G26" s="6" t="n">
        <v>1541.0064232429902</v>
      </c>
      <c r="H26" s="6" t="n">
        <v>6298.662214742899</v>
      </c>
      <c r="I26" s="6" t="n">
        <v>2193.3708736807107</v>
      </c>
      <c r="J26" s="6">
        <f si="0" t="shared"/>
        <v>17672.208895297699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3405.8235216140747</v>
      </c>
      <c r="R26" s="9" t="n">
        <v>1658.7440166473389</v>
      </c>
      <c r="S26" s="9" t="n">
        <v>8910.038506507874</v>
      </c>
      <c r="T26" s="9" t="n">
        <v>0.0</v>
      </c>
      <c r="U26">
        <f si="1" t="shared"/>
        <v>15008.320344077774</v>
      </c>
    </row>
    <row r="27" spans="1:21" x14ac:dyDescent="0.25">
      <c r="A27" s="12">
        <v>0.5</v>
      </c>
      <c r="B27" s="6" t="n">
        <v>210.82530964533697</v>
      </c>
      <c r="C27" s="6" t="n">
        <v>2296.436886378877</v>
      </c>
      <c r="D27" s="6" t="n">
        <v>82.52608772406494</v>
      </c>
      <c r="E27" s="6" t="n">
        <v>3390.0999936823873</v>
      </c>
      <c r="F27" s="6" t="n">
        <v>2295.753803661082</v>
      </c>
      <c r="G27" s="6" t="n">
        <v>2514.3655729914594</v>
      </c>
      <c r="H27" s="6" t="n">
        <v>9336.070965268373</v>
      </c>
      <c r="I27" s="6" t="n">
        <v>2285.1223198662997</v>
      </c>
      <c r="J27" s="6">
        <f si="0" t="shared"/>
        <v>22411.200939217881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4054.189507484436</v>
      </c>
      <c r="R27" s="9" t="n">
        <v>2505.640336036682</v>
      </c>
      <c r="S27" s="9" t="n">
        <v>13383.030066490173</v>
      </c>
      <c r="T27" s="9" t="n">
        <v>0.0</v>
      </c>
      <c r="U27">
        <f si="1" t="shared"/>
        <v>21924.297094332556</v>
      </c>
    </row>
    <row r="28" spans="1:21" x14ac:dyDescent="0.25">
      <c r="A28" s="12">
        <v>0.52083333333333337</v>
      </c>
      <c r="B28" s="6" t="n">
        <v>231.21032484694837</v>
      </c>
      <c r="C28" s="6" t="n">
        <v>2555.10410847021</v>
      </c>
      <c r="D28" s="6" t="n">
        <v>75.0237161127863</v>
      </c>
      <c r="E28" s="6" t="n">
        <v>4013.180264311682</v>
      </c>
      <c r="F28" s="6" t="n">
        <v>2139.925807162217</v>
      </c>
      <c r="G28" s="6" t="n">
        <v>4014.695791119416</v>
      </c>
      <c r="H28" s="6" t="n">
        <v>14950.219703808665</v>
      </c>
      <c r="I28" s="6" t="n">
        <v>2146.5037482851744</v>
      </c>
      <c r="J28" s="6">
        <f si="0" t="shared"/>
        <v>30125.863464117097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4927.137775421143</v>
      </c>
      <c r="R28" s="9" t="n">
        <v>3674.3973989486694</v>
      </c>
      <c r="S28" s="9" t="n">
        <v>19503.48824119568</v>
      </c>
      <c r="T28" s="9" t="n">
        <v>0.0</v>
      </c>
      <c r="U28">
        <f si="1" t="shared"/>
        <v>31396.386984485856</v>
      </c>
    </row>
    <row r="29" spans="1:21" x14ac:dyDescent="0.25">
      <c r="A29" s="12">
        <v>0.54166666666666663</v>
      </c>
      <c r="B29" s="6" t="n">
        <v>255.66507441462196</v>
      </c>
      <c r="C29" s="6" t="n">
        <v>2805.589071649401</v>
      </c>
      <c r="D29" s="6" t="n">
        <v>56.26778708458973</v>
      </c>
      <c r="E29" s="6" t="n">
        <v>4675.894146588061</v>
      </c>
      <c r="F29" s="6" t="n">
        <v>2004.089627845595</v>
      </c>
      <c r="G29" s="6" t="n">
        <v>5977.7483725054535</v>
      </c>
      <c r="H29" s="6" t="n">
        <v>24272.27305077684</v>
      </c>
      <c r="I29" s="6" t="n">
        <v>1924.5497745683194</v>
      </c>
      <c r="J29" s="6">
        <f si="0" t="shared"/>
        <v>41972.076905432878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5951.741533279419</v>
      </c>
      <c r="R29" s="9" t="n">
        <v>5112.896144866943</v>
      </c>
      <c r="S29" s="9" t="n">
        <v>26958.685698509216</v>
      </c>
      <c r="T29" s="9" t="n">
        <v>0.0</v>
      </c>
      <c r="U29">
        <f si="1" t="shared"/>
        <v>42913.731173421591</v>
      </c>
    </row>
    <row r="30" spans="1:21" x14ac:dyDescent="0.25">
      <c r="A30" s="12">
        <v>0.5625</v>
      </c>
      <c r="B30" s="6" t="n">
        <v>298.81517282097013</v>
      </c>
      <c r="C30" s="6" t="n">
        <v>3000.277266818066</v>
      </c>
      <c r="D30" s="6" t="n">
        <v>34.62633051359368</v>
      </c>
      <c r="E30" s="6" t="n">
        <v>5219.500699653124</v>
      </c>
      <c r="F30" s="6" t="n">
        <v>1890.4094564789514</v>
      </c>
      <c r="G30" s="6" t="n">
        <v>8025.38873008569</v>
      </c>
      <c r="H30" s="6" t="n">
        <v>37086.31477445316</v>
      </c>
      <c r="I30" s="6" t="n">
        <v>1821.7593863644602</v>
      </c>
      <c r="J30" s="6">
        <f si="0" t="shared"/>
        <v>57377.091817188018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6980.561754226685</v>
      </c>
      <c r="R30" s="9" t="n">
        <v>6677.101154327393</v>
      </c>
      <c r="S30" s="9" t="n">
        <v>34972.63248920441</v>
      </c>
      <c r="T30" s="9" t="n">
        <v>0.0</v>
      </c>
      <c r="U30">
        <f si="1" t="shared"/>
        <v>55227.072945094471</v>
      </c>
    </row>
    <row r="31" spans="1:21" x14ac:dyDescent="0.25">
      <c r="A31" s="12">
        <v>0.58333333333333337</v>
      </c>
      <c r="B31" s="6" t="n">
        <v>364.1641264074792</v>
      </c>
      <c r="C31" s="6" t="n">
        <v>3079.3944047052896</v>
      </c>
      <c r="D31" s="6" t="n">
        <v>17.313165256796836</v>
      </c>
      <c r="E31" s="6" t="n">
        <v>5450.641058609954</v>
      </c>
      <c r="F31" s="6" t="n">
        <v>1804.3098836298273</v>
      </c>
      <c r="G31" s="6" t="n">
        <v>9524.120921253412</v>
      </c>
      <c r="H31" s="6" t="n">
        <v>50949.82717714631</v>
      </c>
      <c r="I31" s="6" t="n">
        <v>1997.834160978794</v>
      </c>
      <c r="J31" s="6">
        <f si="0" t="shared"/>
        <v>73187.604897987854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7849.897744178772</v>
      </c>
      <c r="R31" s="9" t="n">
        <v>8139.886198997498</v>
      </c>
      <c r="S31" s="9" t="n">
        <v>42393.92348098755</v>
      </c>
      <c r="T31" s="9" t="n">
        <v>0.0</v>
      </c>
      <c r="U31">
        <f si="1" t="shared"/>
        <v>66532.694738195263</v>
      </c>
    </row>
    <row r="32" spans="1:21" x14ac:dyDescent="0.25">
      <c r="A32" s="12">
        <v>0.60416666666666663</v>
      </c>
      <c r="B32" s="6" t="n">
        <v>432.679084082832</v>
      </c>
      <c r="C32" s="6" t="n">
        <v>3008.755329562914</v>
      </c>
      <c r="D32" s="6" t="n">
        <v>6.925266102718735</v>
      </c>
      <c r="E32" s="6" t="n">
        <v>5270.727580997275</v>
      </c>
      <c r="F32" s="6" t="n">
        <v>1741.7100580482947</v>
      </c>
      <c r="G32" s="6" t="n">
        <v>9897.722960594958</v>
      </c>
      <c r="H32" s="6" t="n">
        <v>61644.37208861088</v>
      </c>
      <c r="I32" s="6" t="n">
        <v>2512.88779292357</v>
      </c>
      <c r="J32" s="6">
        <f si="0" t="shared"/>
        <v>84515.780160923445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8415.284041404724</v>
      </c>
      <c r="R32" s="9" t="n">
        <v>9213.170519828796</v>
      </c>
      <c r="S32" s="9" t="n">
        <v>47824.874923706055</v>
      </c>
      <c r="T32" s="9" t="n">
        <v>0.0</v>
      </c>
      <c r="U32">
        <f si="1" t="shared"/>
        <v>74707.401528163347</v>
      </c>
    </row>
    <row r="33" spans="1:21" x14ac:dyDescent="0.25">
      <c r="A33" s="12">
        <v>0.625</v>
      </c>
      <c r="B33" s="6" t="n">
        <v>470.41045059759807</v>
      </c>
      <c r="C33" s="6" t="n">
        <v>2801.5523629513286</v>
      </c>
      <c r="D33" s="6" t="n">
        <v>2.164521999436428</v>
      </c>
      <c r="E33" s="6" t="n">
        <v>4751.776228254081</v>
      </c>
      <c r="F33" s="6" t="n">
        <v>1689.532068170743</v>
      </c>
      <c r="G33" s="6" t="n">
        <v>8991.78244322476</v>
      </c>
      <c r="H33" s="6" t="n">
        <v>65184.37278943716</v>
      </c>
      <c r="I33" s="6" t="n">
        <v>3325.5424609667066</v>
      </c>
      <c r="J33" s="6">
        <f si="0" t="shared"/>
        <v>87217.133325601812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8567.78925895691</v>
      </c>
      <c r="R33" s="9" t="n">
        <v>9611.954663276672</v>
      </c>
      <c r="S33" s="9" t="n">
        <v>49910.85384559631</v>
      </c>
      <c r="T33" s="9" t="n">
        <v>0.0</v>
      </c>
      <c r="U33">
        <f si="1" t="shared"/>
        <v>77744.585856346763</v>
      </c>
    </row>
    <row r="34" spans="1:21" x14ac:dyDescent="0.25">
      <c r="A34" s="12">
        <v>0.64583333333333337</v>
      </c>
      <c r="B34" s="6" t="n">
        <v>453.2512437290443</v>
      </c>
      <c r="C34" s="6" t="n">
        <v>2503.2530617346943</v>
      </c>
      <c r="D34" s="6" t="n">
        <v>0.5172517948902922</v>
      </c>
      <c r="E34" s="6" t="n">
        <v>4087.8496509749216</v>
      </c>
      <c r="F34" s="6" t="n">
        <v>1637.4529576849832</v>
      </c>
      <c r="G34" s="6" t="n">
        <v>7181.046765993942</v>
      </c>
      <c r="H34" s="6" t="n">
        <v>60178.15294293272</v>
      </c>
      <c r="I34" s="6" t="n">
        <v>4306.094558490872</v>
      </c>
      <c r="J34" s="6">
        <f si="0" t="shared"/>
        <v>80347.618433336072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8265.340370178223</v>
      </c>
      <c r="R34" s="9" t="n">
        <v>9172.322052955627</v>
      </c>
      <c r="S34" s="9" t="n">
        <v>47868.571928977966</v>
      </c>
      <c r="T34" s="9" t="n">
        <v>0.0</v>
      </c>
      <c r="U34">
        <f si="1" t="shared"/>
        <v>74519.993668610012</v>
      </c>
    </row>
    <row r="35" spans="1:21" x14ac:dyDescent="0.25">
      <c r="A35" s="12">
        <v>0.66666666666666663</v>
      </c>
      <c r="B35" s="6" t="n">
        <v>386.34845058787806</v>
      </c>
      <c r="C35" s="6" t="n">
        <v>2158.011126994538</v>
      </c>
      <c r="D35" s="6" t="n">
        <v>0.1666576072747612</v>
      </c>
      <c r="E35" s="6" t="n">
        <v>3468.963413290011</v>
      </c>
      <c r="F35" s="6" t="n">
        <v>1585.1659319939126</v>
      </c>
      <c r="G35" s="6" t="n">
        <v>5123.086493394699</v>
      </c>
      <c r="H35" s="6" t="n">
        <v>48697.940926023366</v>
      </c>
      <c r="I35" s="6" t="n">
        <v>5238.899182550669</v>
      </c>
      <c r="J35" s="6">
        <f si="0" t="shared"/>
        <v>66658.582182442347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7573.112836837769</v>
      </c>
      <c r="R35" s="9" t="n">
        <v>7959.923674583435</v>
      </c>
      <c r="S35" s="9" t="n">
        <v>41987.461362838745</v>
      </c>
      <c r="T35" s="9" t="n">
        <v>0.0</v>
      </c>
      <c r="U35">
        <f si="1" t="shared"/>
        <v>65518.048820894313</v>
      </c>
    </row>
    <row r="36" spans="1:21" x14ac:dyDescent="0.25">
      <c r="A36" s="12">
        <v>0.6875</v>
      </c>
      <c r="B36" s="6" t="n">
        <v>299.3364484025866</v>
      </c>
      <c r="C36" s="6" t="n">
        <v>1792.6429195588034</v>
      </c>
      <c r="D36" s="6" t="n">
        <v>0.5356627940859318</v>
      </c>
      <c r="E36" s="6" t="n">
        <v>2990.2613160556702</v>
      </c>
      <c r="F36" s="6" t="n">
        <v>1537.676633399763</v>
      </c>
      <c r="G36" s="6" t="n">
        <v>3374.1950324162444</v>
      </c>
      <c r="H36" s="6" t="n">
        <v>34915.96701809335</v>
      </c>
      <c r="I36" s="6" t="n">
        <v>5848.150242543817</v>
      </c>
      <c r="J36" s="6">
        <f si="0" t="shared"/>
        <v>50758.765273264326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6662.404058456421</v>
      </c>
      <c r="R36" s="9" t="n">
        <v>6269.98890209198</v>
      </c>
      <c r="S36" s="9" t="n">
        <v>33649.33326148987</v>
      </c>
      <c r="T36" s="9" t="n">
        <v>0.0</v>
      </c>
      <c r="U36">
        <f si="1" t="shared"/>
        <v>52851.609239625002</v>
      </c>
    </row>
    <row r="37" spans="1:21" x14ac:dyDescent="0.25">
      <c r="A37" s="12">
        <v>0.70833333333333337</v>
      </c>
      <c r="B37" s="6" t="n">
        <v>224.19626971410048</v>
      </c>
      <c r="C37" s="6" t="n">
        <v>1427.8219046897193</v>
      </c>
      <c r="D37" s="6" t="n">
        <v>2.410019347817001</v>
      </c>
      <c r="E37" s="6" t="n">
        <v>2653.3989519694715</v>
      </c>
      <c r="F37" s="6" t="n">
        <v>1496.6338080202793</v>
      </c>
      <c r="G37" s="6" t="n">
        <v>2162.67705777256</v>
      </c>
      <c r="H37" s="6" t="n">
        <v>22662.93533995474</v>
      </c>
      <c r="I37" s="6" t="n">
        <v>5892.404363363266</v>
      </c>
      <c r="J37" s="6">
        <f si="0" t="shared"/>
        <v>36522.477714831955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5744.635816574097</v>
      </c>
      <c r="R37" s="9" t="n">
        <v>4496.642159461975</v>
      </c>
      <c r="S37" s="9" t="n">
        <v>24742.36524772644</v>
      </c>
      <c r="T37" s="9" t="n">
        <v>0.0</v>
      </c>
      <c r="U37">
        <f si="1" t="shared"/>
        <v>39382.147677882022</v>
      </c>
    </row>
    <row r="38" spans="1:21" x14ac:dyDescent="0.25">
      <c r="A38" s="12">
        <v>0.72916666666666663</v>
      </c>
      <c r="B38" s="6" t="n">
        <v>178.4907038849036</v>
      </c>
      <c r="C38" s="6" t="n">
        <v>1091.7530237868264</v>
      </c>
      <c r="D38" s="6" t="n">
        <v>8.32613630183367</v>
      </c>
      <c r="E38" s="6" t="n">
        <v>2418.7880378275922</v>
      </c>
      <c r="F38" s="6" t="n">
        <v>1459.4032880862558</v>
      </c>
      <c r="G38" s="6" t="n">
        <v>1422.4755824589647</v>
      </c>
      <c r="H38" s="6" t="n">
        <v>13804.865917348268</v>
      </c>
      <c r="I38" s="6" t="n">
        <v>5296.055827759505</v>
      </c>
      <c r="J38" s="6">
        <f si="0" t="shared"/>
        <v>25680.158517454151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4984.053029060364</v>
      </c>
      <c r="R38" s="9" t="n">
        <v>2962.4884090423584</v>
      </c>
      <c r="S38" s="9" t="n">
        <v>16866.86315536499</v>
      </c>
      <c r="T38" s="9" t="n">
        <v>0.0</v>
      </c>
      <c r="U38">
        <f si="1" t="shared"/>
        <v>27526.001576457857</v>
      </c>
    </row>
    <row r="39" spans="1:21" x14ac:dyDescent="0.25">
      <c r="A39" s="12">
        <v>0.75</v>
      </c>
      <c r="B39" s="6" t="n">
        <v>165.5873897309861</v>
      </c>
      <c r="C39" s="6" t="n">
        <v>814.4315591890738</v>
      </c>
      <c r="D39" s="6" t="n">
        <v>22.55926805279006</v>
      </c>
      <c r="E39" s="6" t="n">
        <v>2242.536324231677</v>
      </c>
      <c r="F39" s="6" t="n">
        <v>1426.6356516871683</v>
      </c>
      <c r="G39" s="6" t="n">
        <v>970.3299559249872</v>
      </c>
      <c r="H39" s="6" t="n">
        <v>8274.473838224174</v>
      </c>
      <c r="I39" s="6" t="n">
        <v>4211.894708207965</v>
      </c>
      <c r="J39" s="6">
        <f si="0" t="shared"/>
        <v>18128.448695248822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4451.332081794739</v>
      </c>
      <c r="R39" s="9" t="n">
        <v>1821.9663562774658</v>
      </c>
      <c r="S39" s="9" t="n">
        <v>10854.029171943665</v>
      </c>
      <c r="T39" s="9" t="n">
        <v>0.0</v>
      </c>
      <c r="U39">
        <f si="1" t="shared"/>
        <v>18528.842018656407</v>
      </c>
    </row>
    <row r="40" spans="1:21" x14ac:dyDescent="0.25">
      <c r="A40" s="12">
        <v>0.77083333333333337</v>
      </c>
      <c r="B40" s="6" t="n">
        <v>183.44316492018046</v>
      </c>
      <c r="C40" s="6" t="n">
        <v>610.7292165837697</v>
      </c>
      <c r="D40" s="6" t="n">
        <v>49.104655644336425</v>
      </c>
      <c r="E40" s="6" t="n">
        <v>2082.9893550007437</v>
      </c>
      <c r="F40" s="6" t="n">
        <v>1407.5613024123454</v>
      </c>
      <c r="G40" s="6" t="n">
        <v>657.4998713331222</v>
      </c>
      <c r="H40" s="6" t="n">
        <v>5092.0910436681515</v>
      </c>
      <c r="I40" s="6" t="n">
        <v>2947.251144326091</v>
      </c>
      <c r="J40" s="6">
        <f si="0" t="shared"/>
        <v>13030.669753888742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4133.901518821716</v>
      </c>
      <c r="R40" s="9" t="n">
        <v>1072.829532623291</v>
      </c>
      <c r="S40" s="9" t="n">
        <v>6776.915614128113</v>
      </c>
      <c r="T40" s="9" t="n">
        <v>0.0</v>
      </c>
      <c r="U40">
        <f si="1" t="shared"/>
        <v>12482.736462003953</v>
      </c>
    </row>
    <row r="41" spans="1:21" x14ac:dyDescent="0.25">
      <c r="A41" s="12">
        <v>0.79166666666666663</v>
      </c>
      <c r="B41" s="6" t="n">
        <v>228.84989485239484</v>
      </c>
      <c r="C41" s="6" t="n">
        <v>473.5961907026447</v>
      </c>
      <c r="D41" s="6" t="n">
        <v>87.26903955721477</v>
      </c>
      <c r="E41" s="6" t="n">
        <v>1902.0322145526266</v>
      </c>
      <c r="F41" s="6" t="n">
        <v>1413.218925688883</v>
      </c>
      <c r="G41" s="6" t="n">
        <v>418.52112176394456</v>
      </c>
      <c r="H41" s="6" t="n">
        <v>3280.3993713468317</v>
      </c>
      <c r="I41" s="6" t="n">
        <v>1805.9797000368835</v>
      </c>
      <c r="J41" s="6">
        <f si="0" t="shared"/>
        <v>9609.866458501423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3971.464684486389</v>
      </c>
      <c r="R41" s="9" t="n">
        <v>627.7682962417603</v>
      </c>
      <c r="S41" s="9" t="n">
        <v>4258.611898422241</v>
      </c>
      <c r="T41" s="9" t="n">
        <v>0.0</v>
      </c>
      <c r="U41">
        <f si="1" t="shared"/>
        <v>8793.6120893712068</v>
      </c>
    </row>
    <row r="42" spans="1:21" x14ac:dyDescent="0.25">
      <c r="A42" s="12">
        <v>0.8125</v>
      </c>
      <c r="B42" s="6" t="n">
        <v>294.2897883023013</v>
      </c>
      <c r="C42" s="6" t="n">
        <v>382.8966149740986</v>
      </c>
      <c r="D42" s="6" t="n">
        <v>127.98490139765894</v>
      </c>
      <c r="E42" s="6" t="n">
        <v>1674.8133377736922</v>
      </c>
      <c r="F42" s="6" t="n">
        <v>1439.745176507514</v>
      </c>
      <c r="G42" s="6" t="n">
        <v>243.14020232248302</v>
      </c>
      <c r="H42" s="6" t="n">
        <v>2201.8898696273563</v>
      </c>
      <c r="I42" s="6" t="n">
        <v>964.0206528321505</v>
      </c>
      <c r="J42" s="6">
        <f si="0" t="shared"/>
        <v>7328.7805437372544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3886.179295539856</v>
      </c>
      <c r="R42" s="9" t="n">
        <v>383.2077350616455</v>
      </c>
      <c r="S42" s="9" t="n">
        <v>2797.584087371826</v>
      </c>
      <c r="T42" s="9" t="n">
        <v>0.0</v>
      </c>
      <c r="U42">
        <f si="1" t="shared"/>
        <v>6675.5364063694187</v>
      </c>
    </row>
    <row r="43" spans="1:21" x14ac:dyDescent="0.25">
      <c r="A43" s="12">
        <v>0.83333333333333337</v>
      </c>
      <c r="B43" s="6" t="n">
        <v>363.6088153082942</v>
      </c>
      <c r="C43" s="6" t="n">
        <v>318.41959274357737</v>
      </c>
      <c r="D43" s="6" t="n">
        <v>155.89742812187583</v>
      </c>
      <c r="E43" s="6" t="n">
        <v>1398.5051707491448</v>
      </c>
      <c r="F43" s="6" t="n">
        <v>1455.9942354814439</v>
      </c>
      <c r="G43" s="6" t="n">
        <v>132.77230313706394</v>
      </c>
      <c r="H43" s="6" t="n">
        <v>1510.946476128936</v>
      </c>
      <c r="I43" s="6" t="n">
        <v>447.08166466963297</v>
      </c>
      <c r="J43" s="6">
        <f si="0" t="shared"/>
        <v>5783.2256863399689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3805.7024059295654</v>
      </c>
      <c r="R43" s="9" t="n">
        <v>256.2750129699707</v>
      </c>
      <c r="S43" s="9" t="n">
        <v>1965.6388664245605</v>
      </c>
      <c r="T43" s="9" t="n">
        <v>0.0</v>
      </c>
      <c r="U43">
        <f si="1" t="shared"/>
        <v>5455.9266095939229</v>
      </c>
    </row>
    <row r="44" spans="1:21" x14ac:dyDescent="0.25">
      <c r="A44" s="12">
        <v>0.85416666666666663</v>
      </c>
      <c r="B44" s="6" t="n">
        <v>413.10391332486785</v>
      </c>
      <c r="C44" s="6" t="n">
        <v>266.51799541082687</v>
      </c>
      <c r="D44" s="6" t="n">
        <v>158.21297456656094</v>
      </c>
      <c r="E44" s="6" t="n">
        <v>1091.89589730628</v>
      </c>
      <c r="F44" s="6" t="n">
        <v>1411.6757833671024</v>
      </c>
      <c r="G44" s="6" t="n">
        <v>78.64227748954296</v>
      </c>
      <c r="H44" s="6" t="n">
        <v>1036.3093868895771</v>
      </c>
      <c r="I44" s="6" t="n">
        <v>188.52547125756743</v>
      </c>
      <c r="J44" s="6">
        <f si="0" t="shared"/>
        <v>4644.8836996123255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3686.1801414489746</v>
      </c>
      <c r="R44" s="9" t="n">
        <v>193.55678272247314</v>
      </c>
      <c r="S44" s="9" t="n">
        <v>1476.0895099639893</v>
      </c>
      <c r="T44" s="9" t="n">
        <v>0.0</v>
      </c>
      <c r="U44">
        <f si="1" t="shared"/>
        <v>4689.8600763029654</v>
      </c>
    </row>
    <row r="45" spans="1:21" x14ac:dyDescent="0.25">
      <c r="A45" s="12">
        <v>0.875</v>
      </c>
      <c r="B45" s="6" t="n">
        <v>420.11628149975536</v>
      </c>
      <c r="C45" s="6" t="n">
        <v>219.838724261549</v>
      </c>
      <c r="D45" s="6" t="n">
        <v>133.7737675093717</v>
      </c>
      <c r="E45" s="6" t="n">
        <v>788.0256317796049</v>
      </c>
      <c r="F45" s="6" t="n">
        <v>1267.901333302543</v>
      </c>
      <c r="G45" s="6" t="n">
        <v>63.1155849584341</v>
      </c>
      <c r="H45" s="6" t="n">
        <v>712.8579360259772</v>
      </c>
      <c r="I45" s="6" t="n">
        <v>103.48054502749444</v>
      </c>
      <c r="J45" s="6">
        <f si="0" t="shared"/>
        <v>3709.1098043647303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3523.9593782424927</v>
      </c>
      <c r="R45" s="9" t="n">
        <v>165.40262126922607</v>
      </c>
      <c r="S45" s="9" t="n">
        <v>1172.154990196228</v>
      </c>
      <c r="T45" s="9" t="n">
        <v>0.0</v>
      </c>
      <c r="U45">
        <f si="1" t="shared"/>
        <v>4150.058466518446</v>
      </c>
    </row>
    <row r="46" spans="1:21" x14ac:dyDescent="0.25">
      <c r="A46" s="12">
        <v>0.89583333333333337</v>
      </c>
      <c r="B46" s="6" t="n">
        <v>375.3568045103373</v>
      </c>
      <c r="C46" s="6" t="n">
        <v>174.90431880427053</v>
      </c>
      <c r="D46" s="6" t="n">
        <v>93.94850045534491</v>
      </c>
      <c r="E46" s="6" t="n">
        <v>522.6475665021803</v>
      </c>
      <c r="F46" s="6" t="n">
        <v>1028.834349794693</v>
      </c>
      <c r="G46" s="6" t="n">
        <v>69.25014922726153</v>
      </c>
      <c r="H46" s="6" t="n">
        <v>536.7846771386862</v>
      </c>
      <c r="I46" s="6" t="n">
        <v>131.4599307075739</v>
      </c>
      <c r="J46" s="6">
        <f si="0" t="shared"/>
        <v>2933.1862971403471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3337.42271900177</v>
      </c>
      <c r="R46" s="9" t="n">
        <v>155.9937286376953</v>
      </c>
      <c r="S46" s="9" t="n">
        <v>980.0950565338135</v>
      </c>
      <c r="T46" s="9" t="n">
        <v>0.0</v>
      </c>
      <c r="U46">
        <f si="1" t="shared"/>
        <v>3745.7462145422046</v>
      </c>
    </row>
    <row r="47" spans="1:21" x14ac:dyDescent="0.25">
      <c r="A47" s="12">
        <v>0.91666666666666663</v>
      </c>
      <c r="B47" s="6" t="n">
        <v>290.17360756011055</v>
      </c>
      <c r="C47" s="6" t="n">
        <v>130.9004675371226</v>
      </c>
      <c r="D47" s="6" t="n">
        <v>54.448224362840534</v>
      </c>
      <c r="E47" s="6" t="n">
        <v>320.54791902865304</v>
      </c>
      <c r="F47" s="6" t="n">
        <v>745.2348340746968</v>
      </c>
      <c r="G47" s="6" t="n">
        <v>86.02299738204479</v>
      </c>
      <c r="H47" s="6" t="n">
        <v>512.7779413883686</v>
      </c>
      <c r="I47" s="6" t="n">
        <v>235.8318587682247</v>
      </c>
      <c r="J47" s="6">
        <f si="0" t="shared"/>
        <v>2375.9378501020615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3127.4639253616333</v>
      </c>
      <c r="R47" s="9" t="n">
        <v>154.7441234588623</v>
      </c>
      <c r="S47" s="9" t="n">
        <v>858.7524242401123</v>
      </c>
      <c r="T47" s="9" t="n">
        <v>0.0</v>
      </c>
      <c r="U47">
        <f si="1" t="shared"/>
        <v>3421.4723825919391</v>
      </c>
    </row>
    <row r="48" spans="1:21" x14ac:dyDescent="0.25">
      <c r="A48" s="12">
        <v>0.9375</v>
      </c>
      <c r="B48" s="6" t="n">
        <v>191.36864627124652</v>
      </c>
      <c r="C48" s="6" t="n">
        <v>89.5761202212613</v>
      </c>
      <c r="D48" s="6" t="n">
        <v>25.765409283892524</v>
      </c>
      <c r="E48" s="6" t="n">
        <v>186.55105733845397</v>
      </c>
      <c r="F48" s="6" t="n">
        <v>483.7133342337204</v>
      </c>
      <c r="G48" s="6" t="n">
        <v>106.13915574574472</v>
      </c>
      <c r="H48" s="6" t="n">
        <v>605.132729232788</v>
      </c>
      <c r="I48" s="6" t="n">
        <v>378.6421008439064</v>
      </c>
      <c r="J48" s="6">
        <f si="0" t="shared"/>
        <v>2066.8885531710139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2856.1030349731445</v>
      </c>
      <c r="R48" s="9" t="n">
        <v>152.1200008392334</v>
      </c>
      <c r="S48" s="9" t="n">
        <v>768.9590606689453</v>
      </c>
      <c r="T48" s="9" t="n">
        <v>0.0</v>
      </c>
      <c r="U48">
        <f si="1" t="shared"/>
        <v>3097.1520180234706</v>
      </c>
    </row>
    <row r="49" spans="1:21" x14ac:dyDescent="0.25">
      <c r="A49" s="12">
        <v>0.95833333333333337</v>
      </c>
      <c r="B49" s="6" t="n">
        <v>106.11503614980344</v>
      </c>
      <c r="C49" s="6" t="n">
        <v>54.43921530521031</v>
      </c>
      <c r="D49" s="6" t="n">
        <v>9.7956176994223</v>
      </c>
      <c r="E49" s="6" t="n">
        <v>107.73163515370679</v>
      </c>
      <c r="F49" s="6" t="n">
        <v>288.12344159304575</v>
      </c>
      <c r="G49" s="6" t="n">
        <v>121.5445873451233</v>
      </c>
      <c r="H49" s="6" t="n">
        <v>725.8582779035569</v>
      </c>
      <c r="I49" s="6" t="n">
        <v>504.28213766014574</v>
      </c>
      <c r="J49" s="6">
        <f si="0" t="shared"/>
        <v>1917.8899488100144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2472.2403411865234</v>
      </c>
      <c r="R49" s="9" t="n">
        <v>140.44956588745117</v>
      </c>
      <c r="S49" s="9" t="n">
        <v>671.9996881484985</v>
      </c>
      <c r="T49" s="9" t="n">
        <v>0.0</v>
      </c>
      <c r="U49">
        <f si="1" t="shared"/>
        <v>2683.6879446283288</v>
      </c>
    </row>
    <row r="50" spans="1:21" x14ac:dyDescent="0.25">
      <c r="A50" s="12">
        <v>0.97916666666666663</v>
      </c>
      <c r="B50" s="6" t="n">
        <v>48.66862669556844</v>
      </c>
      <c r="C50" s="6" t="n">
        <v>28.578516623241544</v>
      </c>
      <c r="D50" s="6" t="n">
        <v>2.920354975701442</v>
      </c>
      <c r="E50" s="6" t="n">
        <v>64.16382661335363</v>
      </c>
      <c r="F50" s="6" t="n">
        <v>164.385038679429</v>
      </c>
      <c r="G50" s="6" t="n">
        <v>123.51373622155191</v>
      </c>
      <c r="H50" s="6" t="n">
        <v>774.1601115891933</v>
      </c>
      <c r="I50" s="6" t="n">
        <v>554.6633792473077</v>
      </c>
      <c r="J50" s="6">
        <f si="0" t="shared"/>
        <v>1761.053590645347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1965.327431678772</v>
      </c>
      <c r="R50" s="9" t="n">
        <v>117.09019470214844</v>
      </c>
      <c r="S50" s="9" t="n">
        <v>545.8297328948975</v>
      </c>
      <c r="T50" s="9" t="n">
        <v>0.0</v>
      </c>
      <c r="U50">
        <f si="1" t="shared"/>
        <v>2144.1068350418932</v>
      </c>
    </row>
    <row r="51" spans="1:21" x14ac:dyDescent="0.25">
      <c r="A51" s="12">
        <v>1</v>
      </c>
      <c r="B51" s="6" t="n">
        <v>18.091796633769096</v>
      </c>
      <c r="C51" s="6" t="n">
        <v>12.620243681118362</v>
      </c>
      <c r="D51" s="6" t="n">
        <v>0.6576990938135624</v>
      </c>
      <c r="E51" s="6" t="n">
        <v>39.15839820431839</v>
      </c>
      <c r="F51" s="6" t="n">
        <v>93.49590427726096</v>
      </c>
      <c r="G51" s="6" t="n">
        <v>107.97105929279329</v>
      </c>
      <c r="H51" s="6" t="n">
        <v>697.8477065303325</v>
      </c>
      <c r="I51" s="6" t="n">
        <v>504.23755988121025</v>
      </c>
      <c r="J51" s="6">
        <f si="0" t="shared"/>
        <v>1474.0803675946163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1394.6067399978638</v>
      </c>
      <c r="R51" s="9" t="n">
        <v>85.79695796966553</v>
      </c>
      <c r="S51" s="9" t="n">
        <v>396.4255704879761</v>
      </c>
      <c r="T51" s="9" t="n">
        <v>0.0</v>
      </c>
      <c r="U51">
        <f si="1" t="shared"/>
        <v>1529.8566043535336</v>
      </c>
    </row>
    <row r="52" spans="1:21" x14ac:dyDescent="0.25">
      <c r="A52" s="12">
        <v>1.0208333333333333</v>
      </c>
      <c r="B52" s="6" t="n">
        <v>5.304929664498954</v>
      </c>
      <c r="C52" s="6" t="n">
        <v>4.562030816049909</v>
      </c>
      <c r="D52" s="6" t="n">
        <v>0.10522585503931997</v>
      </c>
      <c r="E52" s="6" t="n">
        <v>23.212795462538153</v>
      </c>
      <c r="F52" s="6" t="n">
        <v>53.00855783966119</v>
      </c>
      <c r="G52" s="6" t="n">
        <v>79.4955724811554</v>
      </c>
      <c r="H52" s="6" t="n">
        <v>522.2570370901823</v>
      </c>
      <c r="I52" s="6" t="n">
        <v>378.17816991090774</v>
      </c>
      <c r="J52" s="6">
        <f si="0" t="shared"/>
        <v>1066.1243191200329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862.6438446044922</v>
      </c>
      <c r="R52" s="9" t="n">
        <v>54.174771308898926</v>
      </c>
      <c r="S52" s="9" t="n">
        <v>250.35255813598633</v>
      </c>
      <c r="T52" s="9" t="n">
        <v>0.0</v>
      </c>
      <c r="U52">
        <f si="1" t="shared"/>
        <v>950.68539543432144</v>
      </c>
    </row>
    <row r="53" spans="1:21" x14ac:dyDescent="0.25">
      <c r="A53" s="12">
        <v>4.1666666666666664E-2</v>
      </c>
      <c r="B53" s="6" t="n">
        <v>1.1795950693956196</v>
      </c>
      <c r="C53" s="6" t="n">
        <v>1.3078006881305169</v>
      </c>
      <c r="D53" s="6" t="n">
        <v>0.010660448473965646</v>
      </c>
      <c r="E53" s="6" t="n">
        <v>12.527513478789523</v>
      </c>
      <c r="F53" s="6" t="n">
        <v>28.62287590604238</v>
      </c>
      <c r="G53" s="6" t="n">
        <v>48.5178033399582</v>
      </c>
      <c r="H53" s="6" t="n">
        <v>321.23281790041926</v>
      </c>
      <c r="I53" s="6" t="n">
        <v>232.72502763748167</v>
      </c>
      <c r="J53" s="6">
        <f si="0" t="shared"/>
        <v>646.12409446869106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455.6076488494873</v>
      </c>
      <c r="R53" s="9" t="n">
        <v>28.980761528015137</v>
      </c>
      <c r="S53" s="9" t="n">
        <v>134.52910041809082</v>
      </c>
      <c r="T53" s="9" t="n">
        <v>0.0</v>
      </c>
      <c r="U53">
        <f si="1" t="shared"/>
        <v>503.85948146679004</v>
      </c>
    </row>
    <row r="54" spans="1:21" x14ac:dyDescent="0.25">
      <c r="A54" s="12">
        <v>6.25E-2</v>
      </c>
      <c r="B54" s="6" t="n">
        <v>0.1867809039244986</v>
      </c>
      <c r="C54" s="6" t="n">
        <v>0.28501933404251223</v>
      </c>
      <c r="D54" s="6" t="n">
        <v>5.142053068571091E-4</v>
      </c>
      <c r="E54" s="6" t="n">
        <v>5.836717427879977</v>
      </c>
      <c r="F54" s="6" t="n">
        <v>13.887187057571435</v>
      </c>
      <c r="G54" s="6" t="n">
        <v>24.17583601236344</v>
      </c>
      <c r="H54" s="6" t="n">
        <v>160.60248215019703</v>
      </c>
      <c r="I54" s="6" t="n">
        <v>116.36251381874084</v>
      </c>
      <c r="J54" s="6">
        <f si="0" t="shared"/>
        <v>321.33705091002662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201.3364143371582</v>
      </c>
      <c r="R54" s="9" t="n">
        <v>12.905702590942383</v>
      </c>
      <c r="S54" s="9" t="n">
        <v>60.29207134246826</v>
      </c>
      <c r="T54" s="9" t="n">
        <v>0.0</v>
      </c>
      <c r="U54">
        <f si="1" t="shared"/>
        <v>223.22117805625226</v>
      </c>
    </row>
    <row r="55" spans="1:21" x14ac:dyDescent="0.25">
      <c r="A55" s="12">
        <v>8.3333333333333329E-2</v>
      </c>
      <c r="B55" s="6" t="n">
        <v>0.01875393531549235</v>
      </c>
      <c r="C55" s="6" t="n">
        <v>0.04426921522078515</v>
      </c>
      <c r="D55" s="6" t="n">
        <v>0.0</v>
      </c>
      <c r="E55" s="6" t="n">
        <v>2.251556658481891</v>
      </c>
      <c r="F55" s="6" t="n">
        <v>5.774918319669421</v>
      </c>
      <c r="G55" s="6" t="n">
        <v>9.658093150138857</v>
      </c>
      <c r="H55" s="6" t="n">
        <v>64.24039290618897</v>
      </c>
      <c r="I55" s="6" t="n">
        <v>46.54500552749633</v>
      </c>
      <c r="J55" s="6">
        <f si="0" t="shared"/>
        <v>128.53298971251175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72.76557064056396</v>
      </c>
      <c r="R55" s="9" t="n">
        <v>4.685080528259277</v>
      </c>
      <c r="S55" s="9" t="n">
        <v>22.041504859924316</v>
      </c>
      <c r="T55" s="9" t="n">
        <v>0.0</v>
      </c>
      <c r="U55">
        <f si="1" t="shared"/>
        <v>80.822014568216488</v>
      </c>
    </row>
    <row r="56" spans="1:21" x14ac:dyDescent="0.25">
      <c r="A56" s="12">
        <v>0.10416666666666667</v>
      </c>
      <c r="B56" s="6" t="n">
        <v>8.971250463158608E-4</v>
      </c>
      <c r="C56" s="6" t="n">
        <v>0.004359170927521706</v>
      </c>
      <c r="D56" s="6" t="n">
        <v>0.0</v>
      </c>
      <c r="E56" s="6" t="n">
        <v>0.6915265548201048</v>
      </c>
      <c r="F56" s="6" t="n">
        <v>1.983423547408829</v>
      </c>
      <c r="G56" s="6" t="n">
        <v>3.0163838317394265</v>
      </c>
      <c r="H56" s="6" t="n">
        <v>20.07097931098938</v>
      </c>
      <c r="I56" s="6" t="n">
        <v>14.54231209850311</v>
      </c>
      <c r="J56" s="6">
        <f si="0" t="shared"/>
        <v>40.309881639434685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20.892004013061523</v>
      </c>
      <c r="R56" s="9" t="n">
        <v>1.3484210968017578</v>
      </c>
      <c r="S56" s="9" t="n">
        <v>6.388317108154297</v>
      </c>
      <c r="T56" s="9" t="n">
        <v>0.0</v>
      </c>
      <c r="U56">
        <f si="1" t="shared"/>
        <v>23.236472285531885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0.1588026600760261</v>
      </c>
      <c r="F57" s="6" t="n">
        <v>0.5277030873298646</v>
      </c>
      <c r="G57" s="6" t="n">
        <v>0.6973792457580568</v>
      </c>
      <c r="H57" s="6" t="n">
        <v>4.6406888580322265</v>
      </c>
      <c r="I57" s="6" t="n">
        <v>3.362384300231934</v>
      </c>
      <c r="J57" s="6">
        <f si="0" t="shared"/>
        <v>9.3871625047772973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4.505928993225098</v>
      </c>
      <c r="R57" s="9" t="n">
        <v>0.2911720275878906</v>
      </c>
      <c r="S57" s="9" t="n">
        <v>1.388411521911621</v>
      </c>
      <c r="T57" s="9" t="n">
        <v>0.0</v>
      </c>
      <c r="U57">
        <f si="1" t="shared"/>
        <v>5.0167104373071876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9473.0</v>
      </c>
      <c r="N8" s="9" t="n">
        <v>1850.0</v>
      </c>
      <c r="O8" s="9" t="n">
        <v>878.0</v>
      </c>
      <c r="P8" s="9" t="n">
        <v>1842.0</v>
      </c>
      <c r="Q8" s="9" t="n">
        <v>1615.0</v>
      </c>
      <c r="R8" s="9" t="n">
        <v>376.0</v>
      </c>
      <c r="S8" s="9" t="n">
        <v>1901.0</v>
      </c>
      <c r="T8" s="9" t="n">
        <v>1471.0</v>
      </c>
      <c r="U8">
        <f>SUM(M8:T8)</f>
        <v>17444.952287918524</v>
      </c>
      <c r="W8" s="5"/>
      <c r="X8" s="16"/>
      <c r="Y8" s="16"/>
      <c r="Z8" s="5"/>
    </row>
    <row r="9" spans="1:26" x14ac:dyDescent="0.25">
      <c r="A9" s="12">
        <v>0.125</v>
      </c>
      <c r="B9" s="6" t="n">
        <v>435.1926364188754</v>
      </c>
      <c r="C9" s="6" t="n">
        <v>79.65022134983923</v>
      </c>
      <c r="D9" s="6" t="n">
        <v>5.364556403967057</v>
      </c>
      <c r="E9" s="6" t="n">
        <v>177.47680199564843</v>
      </c>
      <c r="F9" s="6" t="n">
        <v>30.446986498524026</v>
      </c>
      <c r="G9" s="6" t="n">
        <v>0.0</v>
      </c>
      <c r="H9" s="6" t="n">
        <v>200.80318999695777</v>
      </c>
      <c r="I9" s="6" t="n">
        <v>69.71268826055527</v>
      </c>
      <c r="J9" s="6">
        <f ref="J9:J58" si="0" t="shared">SUM(B9:I9)</f>
        <v>998.64708092436717</v>
      </c>
      <c r="L9" s="12">
        <v>0.125</v>
      </c>
      <c r="M9" s="9" t="n">
        <v>7513.090273857117</v>
      </c>
      <c r="N9" s="9" t="n">
        <v>1440.647364616394</v>
      </c>
      <c r="O9" s="9" t="n">
        <v>807.3156499862671</v>
      </c>
      <c r="P9" s="9" t="n">
        <v>1507.8251943588257</v>
      </c>
      <c r="Q9" s="9" t="n">
        <v>1096.9393672943115</v>
      </c>
      <c r="R9" s="9" t="n">
        <v>262.38852310180664</v>
      </c>
      <c r="S9" s="9" t="n">
        <v>1427.0785760879517</v>
      </c>
      <c r="T9" s="9" t="n">
        <v>1108.6010656356812</v>
      </c>
      <c r="U9">
        <f ref="U9:U58" si="1" t="shared">SUM(M9:T9)</f>
        <v>14359.622612905539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946.2762634704903</v>
      </c>
      <c r="C10" s="6" t="n">
        <v>165.60395984830737</v>
      </c>
      <c r="D10" s="6" t="n">
        <v>21.20775657125814</v>
      </c>
      <c r="E10" s="6" t="n">
        <v>374.7805321118069</v>
      </c>
      <c r="F10" s="6" t="n">
        <v>60.3541586001683</v>
      </c>
      <c r="G10" s="6" t="n">
        <v>4.877309799194336E-4</v>
      </c>
      <c r="H10" s="6" t="n">
        <v>382.8511730870008</v>
      </c>
      <c r="I10" s="6" t="n">
        <v>141.30897556304933</v>
      </c>
      <c r="J10" s="6">
        <f si="0" t="shared"/>
        <v>2092.3833069830616</v>
      </c>
      <c r="L10" s="12">
        <v>0.14583333333333334</v>
      </c>
      <c r="M10" s="9" t="n">
        <v>5936.603772163391</v>
      </c>
      <c r="N10" s="9" t="n">
        <v>1115.6587886810303</v>
      </c>
      <c r="O10" s="9" t="n">
        <v>772.2360172271729</v>
      </c>
      <c r="P10" s="9" t="n">
        <v>1252.5701446533203</v>
      </c>
      <c r="Q10" s="9" t="n">
        <v>665.3485593795776</v>
      </c>
      <c r="R10" s="9" t="n">
        <v>168.87841987609863</v>
      </c>
      <c r="S10" s="9" t="n">
        <v>1047.9714336395264</v>
      </c>
      <c r="T10" s="9" t="n">
        <v>821.7898464202881</v>
      </c>
      <c r="U10">
        <f si="1" t="shared"/>
        <v>11738.193028296799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1633.3089398820441</v>
      </c>
      <c r="C11" s="6" t="n">
        <v>278.27523209119863</v>
      </c>
      <c r="D11" s="6" t="n">
        <v>67.54651703091969</v>
      </c>
      <c r="E11" s="6" t="n">
        <v>619.6257428881601</v>
      </c>
      <c r="F11" s="6" t="n">
        <v>90.58556932842745</v>
      </c>
      <c r="G11" s="6" t="n">
        <v>0.010791682884178158</v>
      </c>
      <c r="H11" s="6" t="n">
        <v>517.4362611621618</v>
      </c>
      <c r="I11" s="6" t="n">
        <v>206.86514761638642</v>
      </c>
      <c r="J11" s="6">
        <f si="0" t="shared"/>
        <v>3413.6542016821822</v>
      </c>
      <c r="L11" s="12">
        <v>0.16666666666666666</v>
      </c>
      <c r="M11" s="9" t="n">
        <v>4985.844104766846</v>
      </c>
      <c r="N11" s="9" t="n">
        <v>932.5892677307129</v>
      </c>
      <c r="O11" s="9" t="n">
        <v>805.0682411193848</v>
      </c>
      <c r="P11" s="9" t="n">
        <v>1136.241909980774</v>
      </c>
      <c r="Q11" s="9" t="n">
        <v>368.72439670562744</v>
      </c>
      <c r="R11" s="9" t="n">
        <v>106.88162040710449</v>
      </c>
      <c r="S11" s="9" t="n">
        <v>823.0892324447632</v>
      </c>
      <c r="T11" s="9" t="n">
        <v>659.3778209686279</v>
      </c>
      <c r="U11">
        <f si="1" t="shared"/>
        <v>9998.9475189580608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2622.191567126386</v>
      </c>
      <c r="C12" s="6" t="n">
        <v>458.8195877137356</v>
      </c>
      <c r="D12" s="6" t="n">
        <v>181.46832117534453</v>
      </c>
      <c r="E12" s="6" t="n">
        <v>969.1991645726625</v>
      </c>
      <c r="F12" s="6" t="n">
        <v>125.05607020860549</v>
      </c>
      <c r="G12" s="6" t="n">
        <v>0.11357694715423582</v>
      </c>
      <c r="H12" s="6" t="n">
        <v>580.3377960374355</v>
      </c>
      <c r="I12" s="6" t="n">
        <v>254.28148072361944</v>
      </c>
      <c r="J12" s="6">
        <f si="0" t="shared"/>
        <v>5191.4675645049429</v>
      </c>
      <c r="L12" s="12">
        <v>0.1875</v>
      </c>
      <c r="M12" s="9" t="n">
        <v>4738.194766044617</v>
      </c>
      <c r="N12" s="9" t="n">
        <v>921.6173448562622</v>
      </c>
      <c r="O12" s="9" t="n">
        <v>945.0650501251221</v>
      </c>
      <c r="P12" s="9" t="n">
        <v>1207.45143699646</v>
      </c>
      <c r="Q12" s="9" t="n">
        <v>207.17175674438477</v>
      </c>
      <c r="R12" s="9" t="n">
        <v>76.77736568450928</v>
      </c>
      <c r="S12" s="9" t="n">
        <v>771.0349130630493</v>
      </c>
      <c r="T12" s="9" t="n">
        <v>642.9543743133545</v>
      </c>
      <c r="U12">
        <f si="1" t="shared"/>
        <v>9511.6121078978449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4033.8960760522286</v>
      </c>
      <c r="C13" s="6" t="n">
        <v>770.0242888694856</v>
      </c>
      <c r="D13" s="6" t="n">
        <v>417.8332323487666</v>
      </c>
      <c r="E13" s="6" t="n">
        <v>1543.688804418968</v>
      </c>
      <c r="F13" s="6" t="n">
        <v>172.28128814100992</v>
      </c>
      <c r="G13" s="6" t="n">
        <v>0.7567890310237827</v>
      </c>
      <c r="H13" s="6" t="n">
        <v>582.1462666983604</v>
      </c>
      <c r="I13" s="6" t="n">
        <v>289.9280509605407</v>
      </c>
      <c r="J13" s="6">
        <f si="0" t="shared"/>
        <v>7810.5547965203841</v>
      </c>
      <c r="L13" s="12">
        <v>0.20833333333333334</v>
      </c>
      <c r="M13" s="9" t="n">
        <v>5182.084969520569</v>
      </c>
      <c r="N13" s="9" t="n">
        <v>1107.3289070129395</v>
      </c>
      <c r="O13" s="9" t="n">
        <v>1257.1553955078125</v>
      </c>
      <c r="P13" s="9" t="n">
        <v>1531.4929332733154</v>
      </c>
      <c r="Q13" s="9" t="n">
        <v>151.13733100891113</v>
      </c>
      <c r="R13" s="9" t="n">
        <v>72.03428268432617</v>
      </c>
      <c r="S13" s="9" t="n">
        <v>891.3526296615601</v>
      </c>
      <c r="T13" s="9" t="n">
        <v>791.1593856811523</v>
      </c>
      <c r="U13">
        <f si="1" t="shared"/>
        <v>10630.396198079352</v>
      </c>
    </row>
    <row r="14" spans="1:26" x14ac:dyDescent="0.25">
      <c r="A14" s="12">
        <v>0.22916666666666666</v>
      </c>
      <c r="B14" s="6" t="n">
        <v>5926.829087099945</v>
      </c>
      <c r="C14" s="6" t="n">
        <v>1292.2914354767677</v>
      </c>
      <c r="D14" s="6" t="n">
        <v>841.0131283782031</v>
      </c>
      <c r="E14" s="6" t="n">
        <v>2547.6164942627956</v>
      </c>
      <c r="F14" s="6" t="n">
        <v>245.77619608031065</v>
      </c>
      <c r="G14" s="6" t="n">
        <v>3.5854432635138314</v>
      </c>
      <c r="H14" s="6" t="n">
        <v>581.8477720614671</v>
      </c>
      <c r="I14" s="6" t="n">
        <v>363.25245550632474</v>
      </c>
      <c r="J14" s="6">
        <f si="0" t="shared"/>
        <v>11802.212012129328</v>
      </c>
      <c r="L14" s="12">
        <v>0.22916666666666666</v>
      </c>
      <c r="M14" s="9" t="n">
        <v>6275.744756698608</v>
      </c>
      <c r="N14" s="9" t="n">
        <v>1525.6733198165894</v>
      </c>
      <c r="O14" s="9" t="n">
        <v>1839.3155307769775</v>
      </c>
      <c r="P14" s="9" t="n">
        <v>2207.6993446350098</v>
      </c>
      <c r="Q14" s="9" t="n">
        <v>168.05294609069824</v>
      </c>
      <c r="R14" s="9" t="n">
        <v>84.6704216003418</v>
      </c>
      <c r="S14" s="9" t="n">
        <v>1184.0940952301025</v>
      </c>
      <c r="T14" s="9" t="n">
        <v>1143.1763610839844</v>
      </c>
      <c r="U14">
        <f si="1" t="shared"/>
        <v>13698.894956228902</v>
      </c>
    </row>
    <row r="15" spans="1:26" x14ac:dyDescent="0.25">
      <c r="A15" s="12">
        <v>0.25</v>
      </c>
      <c r="B15" s="6" t="n">
        <v>8231.01410845352</v>
      </c>
      <c r="C15" s="6" t="n">
        <v>2103.877085490319</v>
      </c>
      <c r="D15" s="6" t="n">
        <v>1516.8477813253126</v>
      </c>
      <c r="E15" s="6" t="n">
        <v>4241.24318983864</v>
      </c>
      <c r="F15" s="6" t="n">
        <v>360.98736504474107</v>
      </c>
      <c r="G15" s="6" t="n">
        <v>12.861833003903445</v>
      </c>
      <c r="H15" s="6" t="n">
        <v>665.044342826128</v>
      </c>
      <c r="I15" s="6" t="n">
        <v>570.9872804076672</v>
      </c>
      <c r="J15" s="6">
        <f si="0" t="shared"/>
        <v>17702.862986390232</v>
      </c>
      <c r="L15" s="12">
        <v>0.25</v>
      </c>
      <c r="M15" s="9" t="n">
        <v>7920.452253341675</v>
      </c>
      <c r="N15" s="9" t="n">
        <v>2217.448143005371</v>
      </c>
      <c r="O15" s="9" t="n">
        <v>2804.936429977417</v>
      </c>
      <c r="P15" s="9" t="n">
        <v>3353.8569536209106</v>
      </c>
      <c r="Q15" s="9" t="n">
        <v>236.90683364868164</v>
      </c>
      <c r="R15" s="9" t="n">
        <v>107.76140880584717</v>
      </c>
      <c r="S15" s="9" t="n">
        <v>1646.025094985962</v>
      </c>
      <c r="T15" s="9" t="n">
        <v>1759.5719270706177</v>
      </c>
      <c r="U15">
        <f si="1" t="shared"/>
        <v>18968.213731337644</v>
      </c>
    </row>
    <row r="16" spans="1:26" x14ac:dyDescent="0.25">
      <c r="A16" s="12">
        <v>0.27083333333333331</v>
      </c>
      <c r="B16" s="6" t="n">
        <v>10705.324683674922</v>
      </c>
      <c r="C16" s="6" t="n">
        <v>3237.40890999942</v>
      </c>
      <c r="D16" s="6" t="n">
        <v>2518.236422291086</v>
      </c>
      <c r="E16" s="6" t="n">
        <v>6836.510639508951</v>
      </c>
      <c r="F16" s="6" t="n">
        <v>526.448010522103</v>
      </c>
      <c r="G16" s="6" t="n">
        <v>36.337348231408114</v>
      </c>
      <c r="H16" s="6" t="n">
        <v>901.423254617691</v>
      </c>
      <c r="I16" s="6" t="n">
        <v>1026.3432522903681</v>
      </c>
      <c r="J16" s="6">
        <f si="0" t="shared"/>
        <v>25788.032521135949</v>
      </c>
      <c r="L16" s="12">
        <v>0.27083333333333331</v>
      </c>
      <c r="M16" s="9" t="n">
        <v>9900.667441368103</v>
      </c>
      <c r="N16" s="9" t="n">
        <v>3205.3412733078003</v>
      </c>
      <c r="O16" s="9" t="n">
        <v>4247.020857810974</v>
      </c>
      <c r="P16" s="9" t="n">
        <v>5065.1669816970825</v>
      </c>
      <c r="Q16" s="9" t="n">
        <v>347.5685329437256</v>
      </c>
      <c r="R16" s="9" t="n">
        <v>135.1528673171997</v>
      </c>
      <c r="S16" s="9" t="n">
        <v>2251.35942363739</v>
      </c>
      <c r="T16" s="9" t="n">
        <v>2700.556305885315</v>
      </c>
      <c r="U16">
        <f si="1" t="shared"/>
        <v>26458.315914272782</v>
      </c>
    </row>
    <row r="17" spans="1:21" x14ac:dyDescent="0.25">
      <c r="A17" s="12">
        <v>0.29166666666666669</v>
      </c>
      <c r="B17" s="6" t="n">
        <v>12958.756639082603</v>
      </c>
      <c r="C17" s="6" t="n">
        <v>4631.6638550017515</v>
      </c>
      <c r="D17" s="6" t="n">
        <v>3936.3195338529745</v>
      </c>
      <c r="E17" s="6" t="n">
        <v>10340.08283631464</v>
      </c>
      <c r="F17" s="6" t="n">
        <v>732.5398703947317</v>
      </c>
      <c r="G17" s="6" t="n">
        <v>83.07475155083517</v>
      </c>
      <c r="H17" s="6" t="n">
        <v>1310.4108616449832</v>
      </c>
      <c r="I17" s="6" t="n">
        <v>1802.1356891185048</v>
      </c>
      <c r="J17" s="6">
        <f si="0" t="shared"/>
        <v>35794.984036961025</v>
      </c>
      <c r="L17" s="12">
        <v>0.29166666666666669</v>
      </c>
      <c r="M17" s="9" t="n">
        <v>11890.135638237</v>
      </c>
      <c r="N17" s="9" t="n">
        <v>4474.954875946045</v>
      </c>
      <c r="O17" s="9" t="n">
        <v>6205.036261558533</v>
      </c>
      <c r="P17" s="9" t="n">
        <v>7373.726543426514</v>
      </c>
      <c r="Q17" s="9" t="n">
        <v>493.6362552642822</v>
      </c>
      <c r="R17" s="9" t="n">
        <v>161.06669521331787</v>
      </c>
      <c r="S17" s="9" t="n">
        <v>2941.5811100006104</v>
      </c>
      <c r="T17" s="9" t="n">
        <v>3998.1095085144043</v>
      </c>
      <c r="U17">
        <f si="1" t="shared"/>
        <v>35874.829638275281</v>
      </c>
    </row>
    <row r="18" spans="1:21" x14ac:dyDescent="0.25">
      <c r="A18" s="12">
        <v>0.3125</v>
      </c>
      <c r="B18" s="6" t="n">
        <v>14566.869058718887</v>
      </c>
      <c r="C18" s="6" t="n">
        <v>6119.922117363792</v>
      </c>
      <c r="D18" s="6" t="n">
        <v>5861.625803548342</v>
      </c>
      <c r="E18" s="6" t="n">
        <v>14437.54141469132</v>
      </c>
      <c r="F18" s="6" t="n">
        <v>949.4917802941409</v>
      </c>
      <c r="G18" s="6" t="n">
        <v>156.82954632948474</v>
      </c>
      <c r="H18" s="6" t="n">
        <v>1851.286742936492</v>
      </c>
      <c r="I18" s="6" t="n">
        <v>2886.643905478836</v>
      </c>
      <c r="J18" s="6">
        <f si="0" t="shared"/>
        <v>46830.210369361295</v>
      </c>
      <c r="L18" s="12">
        <v>0.3125</v>
      </c>
      <c r="M18" s="9" t="n">
        <v>13554.01946735382</v>
      </c>
      <c r="N18" s="9" t="n">
        <v>5971.813181877136</v>
      </c>
      <c r="O18" s="9" t="n">
        <v>8649.81293296814</v>
      </c>
      <c r="P18" s="9" t="n">
        <v>10227.84572505951</v>
      </c>
      <c r="Q18" s="9" t="n">
        <v>667.0341091156006</v>
      </c>
      <c r="R18" s="9" t="n">
        <v>181.07563018798828</v>
      </c>
      <c r="S18" s="9" t="n">
        <v>3638.5667877197266</v>
      </c>
      <c r="T18" s="9" t="n">
        <v>5637.546711921692</v>
      </c>
      <c r="U18">
        <f si="1" t="shared"/>
        <v>46661.213926076336</v>
      </c>
    </row>
    <row r="19" spans="1:21" x14ac:dyDescent="0.25">
      <c r="A19" s="12">
        <v>0.33333333333333331</v>
      </c>
      <c r="B19" s="6" t="n">
        <v>15261.998706121623</v>
      </c>
      <c r="C19" s="6" t="n">
        <v>7483.168791437475</v>
      </c>
      <c r="D19" s="6" t="n">
        <v>8318.9266755845</v>
      </c>
      <c r="E19" s="6" t="n">
        <v>18548.350362398283</v>
      </c>
      <c r="F19" s="6" t="n">
        <v>1143.1405831019572</v>
      </c>
      <c r="G19" s="6" t="n">
        <v>248.50076996783508</v>
      </c>
      <c r="H19" s="6" t="n">
        <v>2437.5129713600872</v>
      </c>
      <c r="I19" s="6" t="n">
        <v>4196.795464051128</v>
      </c>
      <c r="J19" s="6">
        <f si="0" t="shared"/>
        <v>57638.394324022884</v>
      </c>
      <c r="L19" s="12">
        <v>0.33333333333333331</v>
      </c>
      <c r="M19" s="9" t="n">
        <v>14677.1684217453</v>
      </c>
      <c r="N19" s="9" t="n">
        <v>7609.695261955261</v>
      </c>
      <c r="O19" s="9" t="n">
        <v>11483.411992073059</v>
      </c>
      <c r="P19" s="9" t="n">
        <v>13490.668481826782</v>
      </c>
      <c r="Q19" s="9" t="n">
        <v>856.3498229980469</v>
      </c>
      <c r="R19" s="9" t="n">
        <v>193.5263214111328</v>
      </c>
      <c r="S19" s="9" t="n">
        <v>4271.8642501831055</v>
      </c>
      <c r="T19" s="9" t="n">
        <v>7552.018612861633</v>
      </c>
      <c r="U19">
        <f si="1" t="shared"/>
        <v>58137.644337893384</v>
      </c>
    </row>
    <row r="20" spans="1:21" x14ac:dyDescent="0.25">
      <c r="A20" s="12">
        <v>0.35416666666666669</v>
      </c>
      <c r="B20" s="6" t="n">
        <v>15093.19585019439</v>
      </c>
      <c r="C20" s="6" t="n">
        <v>8553.46530276871</v>
      </c>
      <c r="D20" s="6" t="n">
        <v>11208.366578393503</v>
      </c>
      <c r="E20" s="6" t="n">
        <v>22097.78297977579</v>
      </c>
      <c r="F20" s="6" t="n">
        <v>1298.5444132577236</v>
      </c>
      <c r="G20" s="6" t="n">
        <v>335.3598220592828</v>
      </c>
      <c r="H20" s="6" t="n">
        <v>2969.969226575017</v>
      </c>
      <c r="I20" s="6" t="n">
        <v>5648.274971388459</v>
      </c>
      <c r="J20" s="6">
        <f si="0" t="shared"/>
        <v>67204.959144412875</v>
      </c>
      <c r="L20" s="12">
        <v>0.35416666666666669</v>
      </c>
      <c r="M20" s="9" t="n">
        <v>15220.875500679016</v>
      </c>
      <c r="N20" s="9" t="n">
        <v>9278.32764339447</v>
      </c>
      <c r="O20" s="9" t="n">
        <v>14539.585360527039</v>
      </c>
      <c r="P20" s="9" t="n">
        <v>16946.215474128723</v>
      </c>
      <c r="Q20" s="9" t="n">
        <v>1047.1030597686768</v>
      </c>
      <c r="R20" s="9" t="n">
        <v>199.80741786956787</v>
      </c>
      <c r="S20" s="9" t="n">
        <v>4798.438060760498</v>
      </c>
      <c r="T20" s="9" t="n">
        <v>9623.75900554657</v>
      </c>
      <c r="U20">
        <f si="1" t="shared"/>
        <v>69594.13281727671</v>
      </c>
    </row>
    <row r="21" spans="1:21" x14ac:dyDescent="0.25">
      <c r="A21" s="12">
        <v>0.375</v>
      </c>
      <c r="B21" s="6" t="n">
        <v>14421.375759717132</v>
      </c>
      <c r="C21" s="6" t="n">
        <v>9309.870690743215</v>
      </c>
      <c r="D21" s="6" t="n">
        <v>14330.726674102416</v>
      </c>
      <c r="E21" s="6" t="n">
        <v>24856.69142987531</v>
      </c>
      <c r="F21" s="6" t="n">
        <v>1428.9521714752532</v>
      </c>
      <c r="G21" s="6" t="n">
        <v>391.3328387571469</v>
      </c>
      <c r="H21" s="6" t="n">
        <v>3380.6632864714866</v>
      </c>
      <c r="I21" s="6" t="n">
        <v>7216.215651114822</v>
      </c>
      <c r="J21" s="6">
        <f si="0" t="shared"/>
        <v>75335.828502256787</v>
      </c>
      <c r="L21" s="12">
        <v>0.375</v>
      </c>
      <c r="M21" s="9" t="n">
        <v>15275.901531219482</v>
      </c>
      <c r="N21" s="9" t="n">
        <v>10846.569332122803</v>
      </c>
      <c r="O21" s="9" t="n">
        <v>17581.44459629059</v>
      </c>
      <c r="P21" s="9" t="n">
        <v>20309.82681941986</v>
      </c>
      <c r="Q21" s="9" t="n">
        <v>1222.5575523376465</v>
      </c>
      <c r="R21" s="9" t="n">
        <v>203.06703186035156</v>
      </c>
      <c r="S21" s="9" t="n">
        <v>5202.060781478882</v>
      </c>
      <c r="T21" s="9" t="n">
        <v>11688.487087249756</v>
      </c>
      <c r="U21">
        <f si="1" t="shared"/>
        <v>80272.672288075308</v>
      </c>
    </row>
    <row r="22" spans="1:21" x14ac:dyDescent="0.25">
      <c r="A22" s="12">
        <v>0.39583333333333331</v>
      </c>
      <c r="B22" s="6" t="n">
        <v>13718.238275876995</v>
      </c>
      <c r="C22" s="6" t="n">
        <v>9895.291007810632</v>
      </c>
      <c r="D22" s="6" t="n">
        <v>17485.755969831756</v>
      </c>
      <c r="E22" s="6" t="n">
        <v>27066.687298289486</v>
      </c>
      <c r="F22" s="6" t="n">
        <v>1560.9045497257812</v>
      </c>
      <c r="G22" s="6" t="n">
        <v>402.7296763280134</v>
      </c>
      <c r="H22" s="6" t="n">
        <v>3666.7549457559585</v>
      </c>
      <c r="I22" s="6" t="n">
        <v>8910.670000528931</v>
      </c>
      <c r="J22" s="6">
        <f si="0" t="shared"/>
        <v>82707.031724147557</v>
      </c>
      <c r="L22" s="12">
        <v>0.39583333333333331</v>
      </c>
      <c r="M22" s="9" t="n">
        <v>14968.757704734802</v>
      </c>
      <c r="N22" s="9" t="n">
        <v>12171.621581077576</v>
      </c>
      <c r="O22" s="9" t="n">
        <v>20316.97732257843</v>
      </c>
      <c r="P22" s="9" t="n">
        <v>23259.175630569458</v>
      </c>
      <c r="Q22" s="9" t="n">
        <v>1365.5377082824707</v>
      </c>
      <c r="R22" s="9" t="n">
        <v>206.3256025314331</v>
      </c>
      <c r="S22" s="9" t="n">
        <v>5479.437470436096</v>
      </c>
      <c r="T22" s="9" t="n">
        <v>13551.374873161316</v>
      </c>
      <c r="U22">
        <f si="1" t="shared"/>
        <v>89334.895562084697</v>
      </c>
    </row>
    <row r="23" spans="1:21" x14ac:dyDescent="0.25">
      <c r="A23" s="12">
        <v>0.41666666666666669</v>
      </c>
      <c r="B23" s="6" t="n">
        <v>13311.699683190982</v>
      </c>
      <c r="C23" s="6" t="n">
        <v>10520.205168154791</v>
      </c>
      <c r="D23" s="6" t="n">
        <v>20527.009358789088</v>
      </c>
      <c r="E23" s="6" t="n">
        <v>29192.165159793913</v>
      </c>
      <c r="F23" s="6" t="n">
        <v>1710.6758500842514</v>
      </c>
      <c r="G23" s="6" t="n">
        <v>377.9004152075311</v>
      </c>
      <c r="H23" s="6" t="n">
        <v>3887.242222873926</v>
      </c>
      <c r="I23" s="6" t="n">
        <v>10669.821744998932</v>
      </c>
      <c r="J23" s="6">
        <f si="0" t="shared"/>
        <v>90196.719603093428</v>
      </c>
      <c r="L23" s="12">
        <v>0.41666666666666669</v>
      </c>
      <c r="M23" s="9" t="n">
        <v>14405.79645729065</v>
      </c>
      <c r="N23" s="9" t="n">
        <v>13128.15256023407</v>
      </c>
      <c r="O23" s="9" t="n">
        <v>22458.766097068787</v>
      </c>
      <c r="P23" s="9" t="n">
        <v>25505.036167144775</v>
      </c>
      <c r="Q23" s="9" t="n">
        <v>1462.0721817016602</v>
      </c>
      <c r="R23" s="9" t="n">
        <v>211.18721389770508</v>
      </c>
      <c r="S23" s="9" t="n">
        <v>5631.170322418213</v>
      </c>
      <c r="T23" s="9" t="n">
        <v>15027.670185089111</v>
      </c>
      <c r="U23">
        <f si="1" t="shared"/>
        <v>95985.524460479865</v>
      </c>
    </row>
    <row r="24" spans="1:21" x14ac:dyDescent="0.25">
      <c r="A24" s="12">
        <v>0.4375</v>
      </c>
      <c r="B24" s="6" t="n">
        <v>13274.105920402802</v>
      </c>
      <c r="C24" s="6" t="n">
        <v>11303.44859350143</v>
      </c>
      <c r="D24" s="6" t="n">
        <v>23304.2660813099</v>
      </c>
      <c r="E24" s="6" t="n">
        <v>31475.1977136359</v>
      </c>
      <c r="F24" s="6" t="n">
        <v>1872.438619899319</v>
      </c>
      <c r="G24" s="6" t="n">
        <v>343.4872157578569</v>
      </c>
      <c r="H24" s="6" t="n">
        <v>4114.87209176302</v>
      </c>
      <c r="I24" s="6" t="n">
        <v>12271.815841599702</v>
      </c>
      <c r="J24" s="6">
        <f si="0" t="shared"/>
        <v>97959.632077869916</v>
      </c>
      <c r="L24" s="12">
        <v>0.4375</v>
      </c>
      <c r="M24" s="9" t="n">
        <v>13686.783179283142</v>
      </c>
      <c r="N24" s="9" t="n">
        <v>13654.308776855469</v>
      </c>
      <c r="O24" s="9" t="n">
        <v>23821.43881893158</v>
      </c>
      <c r="P24" s="9" t="n">
        <v>26890.611033439636</v>
      </c>
      <c r="Q24" s="9" t="n">
        <v>1506.0744371414185</v>
      </c>
      <c r="R24" s="9" t="n">
        <v>217.76605033874512</v>
      </c>
      <c r="S24" s="9" t="n">
        <v>5667.735866546631</v>
      </c>
      <c r="T24" s="9" t="n">
        <v>16003.976684570312</v>
      </c>
      <c r="U24">
        <f si="1" t="shared"/>
        <v>99786.498403413891</v>
      </c>
    </row>
    <row r="25" spans="1:21" x14ac:dyDescent="0.25">
      <c r="A25" s="12">
        <v>0.45833333333333331</v>
      </c>
      <c r="B25" s="6" t="n">
        <v>13501.674293436059</v>
      </c>
      <c r="C25" s="6" t="n">
        <v>12168.624440992378</v>
      </c>
      <c r="D25" s="6" t="n">
        <v>25594.721410898335</v>
      </c>
      <c r="E25" s="6" t="n">
        <v>33696.93513558776</v>
      </c>
      <c r="F25" s="6" t="n">
        <v>2022.9680284324897</v>
      </c>
      <c r="G25" s="6" t="n">
        <v>328.9835530122773</v>
      </c>
      <c r="H25" s="6" t="n">
        <v>4378.137634784698</v>
      </c>
      <c r="I25" s="6" t="n">
        <v>13378.72594155693</v>
      </c>
      <c r="J25" s="6">
        <f si="0" t="shared"/>
        <v>105070.77043870091</v>
      </c>
      <c r="L25" s="12">
        <v>0.45833333333333331</v>
      </c>
      <c r="M25" s="9" t="n">
        <v>12946.540312767029</v>
      </c>
      <c r="N25" s="9" t="n">
        <v>13787.433544158936</v>
      </c>
      <c r="O25" s="9" t="n">
        <v>24402.709732055664</v>
      </c>
      <c r="P25" s="9" t="n">
        <v>27464.661445617676</v>
      </c>
      <c r="Q25" s="9" t="n">
        <v>1502.4621696472168</v>
      </c>
      <c r="R25" s="9" t="n">
        <v>225.72537231445312</v>
      </c>
      <c r="S25" s="9" t="n">
        <v>5623.001667976379</v>
      </c>
      <c r="T25" s="9" t="n">
        <v>16487.66601085663</v>
      </c>
      <c r="U25">
        <f si="1" t="shared"/>
        <v>100957.90136620219</v>
      </c>
    </row>
    <row r="26" spans="1:21" x14ac:dyDescent="0.25">
      <c r="A26" s="12">
        <v>0.47916666666666669</v>
      </c>
      <c r="B26" s="6" t="n">
        <v>13856.576849517332</v>
      </c>
      <c r="C26" s="6" t="n">
        <v>12890.530684229887</v>
      </c>
      <c r="D26" s="6" t="n">
        <v>27170.040215070054</v>
      </c>
      <c r="E26" s="6" t="n">
        <v>35394.40500498982</v>
      </c>
      <c r="F26" s="6" t="n">
        <v>2135.6215641363133</v>
      </c>
      <c r="G26" s="6" t="n">
        <v>348.71232618510476</v>
      </c>
      <c r="H26" s="6" t="n">
        <v>4647.239494300723</v>
      </c>
      <c r="I26" s="6" t="n">
        <v>13722.204821148156</v>
      </c>
      <c r="J26" s="6">
        <f si="0" t="shared"/>
        <v>110165.3309595774</v>
      </c>
      <c r="L26" s="12">
        <v>0.47916666666666669</v>
      </c>
      <c r="M26" s="9" t="n">
        <v>12362.851791381836</v>
      </c>
      <c r="N26" s="9" t="n">
        <v>13657.996480941772</v>
      </c>
      <c r="O26" s="9" t="n">
        <v>24384.42299556732</v>
      </c>
      <c r="P26" s="9" t="n">
        <v>27466.485815048218</v>
      </c>
      <c r="Q26" s="9" t="n">
        <v>1466.2302875518799</v>
      </c>
      <c r="R26" s="9" t="n">
        <v>235.82611846923828</v>
      </c>
      <c r="S26" s="9" t="n">
        <v>5559.230155944824</v>
      </c>
      <c r="T26" s="9" t="n">
        <v>16604.52046108246</v>
      </c>
      <c r="U26">
        <f si="1" t="shared"/>
        <v>100384.20925620485</v>
      </c>
    </row>
    <row r="27" spans="1:21" x14ac:dyDescent="0.25">
      <c r="A27" s="12">
        <v>0.5</v>
      </c>
      <c r="B27" s="6" t="n">
        <v>14243.996364930563</v>
      </c>
      <c r="C27" s="6" t="n">
        <v>13273.968315493086</v>
      </c>
      <c r="D27" s="6" t="n">
        <v>27964.360756686863</v>
      </c>
      <c r="E27" s="6" t="n">
        <v>36345.01303815795</v>
      </c>
      <c r="F27" s="6" t="n">
        <v>2197.5509620328958</v>
      </c>
      <c r="G27" s="6" t="n">
        <v>394.22137233412764</v>
      </c>
      <c r="H27" s="6" t="n">
        <v>4880.607013815761</v>
      </c>
      <c r="I27" s="6" t="n">
        <v>13303.586542415738</v>
      </c>
      <c r="J27" s="6">
        <f si="0" t="shared"/>
        <v>112603.30436586699</v>
      </c>
      <c r="L27" s="12">
        <v>0.5</v>
      </c>
      <c r="M27" s="9" t="n">
        <v>12113.635892868042</v>
      </c>
      <c r="N27" s="9" t="n">
        <v>13437.460970878601</v>
      </c>
      <c r="O27" s="9" t="n">
        <v>24042.615800857544</v>
      </c>
      <c r="P27" s="9" t="n">
        <v>27216.1266040802</v>
      </c>
      <c r="Q27" s="9" t="n">
        <v>1417.474765777588</v>
      </c>
      <c r="R27" s="9" t="n">
        <v>251.23673725128174</v>
      </c>
      <c r="S27" s="9" t="n">
        <v>5556.705339431763</v>
      </c>
      <c r="T27" s="9" t="n">
        <v>16537.373249053955</v>
      </c>
      <c r="U27">
        <f si="1" t="shared"/>
        <v>99259.498695727685</v>
      </c>
    </row>
    <row r="28" spans="1:21" x14ac:dyDescent="0.25">
      <c r="A28" s="12">
        <v>0.52083333333333337</v>
      </c>
      <c r="B28" s="6" t="n">
        <v>14630.824670588534</v>
      </c>
      <c r="C28" s="6" t="n">
        <v>13339.532163662629</v>
      </c>
      <c r="D28" s="6" t="n">
        <v>28140.906752122377</v>
      </c>
      <c r="E28" s="6" t="n">
        <v>36845.30021376538</v>
      </c>
      <c r="F28" s="6" t="n">
        <v>2225.9146156037204</v>
      </c>
      <c r="G28" s="6" t="n">
        <v>445.866740526806</v>
      </c>
      <c r="H28" s="6" t="n">
        <v>5087.858042545915</v>
      </c>
      <c r="I28" s="6" t="n">
        <v>12445.261292679788</v>
      </c>
      <c r="J28" s="6">
        <f si="0" t="shared"/>
        <v>113161.46449149514</v>
      </c>
      <c r="L28" s="12">
        <v>0.52083333333333337</v>
      </c>
      <c r="M28" s="9" t="n">
        <v>12322.746232032776</v>
      </c>
      <c r="N28" s="9" t="n">
        <v>13272.428433418274</v>
      </c>
      <c r="O28" s="9" t="n">
        <v>23627.2345123291</v>
      </c>
      <c r="P28" s="9" t="n">
        <v>26979.63413143158</v>
      </c>
      <c r="Q28" s="9" t="n">
        <v>1375.3366661071777</v>
      </c>
      <c r="R28" s="9" t="n">
        <v>278.057653427124</v>
      </c>
      <c r="S28" s="9" t="n">
        <v>5697.000412940979</v>
      </c>
      <c r="T28" s="9" t="n">
        <v>16445.978678703308</v>
      </c>
      <c r="U28">
        <f si="1" t="shared"/>
        <v>98619.284052541727</v>
      </c>
    </row>
    <row r="29" spans="1:21" x14ac:dyDescent="0.25">
      <c r="A29" s="12">
        <v>0.54166666666666663</v>
      </c>
      <c r="B29" s="6" t="n">
        <v>15067.76966354535</v>
      </c>
      <c r="C29" s="6" t="n">
        <v>13369.181096392655</v>
      </c>
      <c r="D29" s="6" t="n">
        <v>27953.456444139018</v>
      </c>
      <c r="E29" s="6" t="n">
        <v>37496.25532512234</v>
      </c>
      <c r="F29" s="6" t="n">
        <v>2272.8693528649646</v>
      </c>
      <c r="G29" s="6" t="n">
        <v>496.1429795326403</v>
      </c>
      <c r="H29" s="6" t="n">
        <v>5347.470065065503</v>
      </c>
      <c r="I29" s="6" t="n">
        <v>11641.056246126293</v>
      </c>
      <c r="J29" s="6">
        <f si="0" t="shared"/>
        <v>113644.20117278876</v>
      </c>
      <c r="L29" s="12">
        <v>0.54166666666666663</v>
      </c>
      <c r="M29" s="9" t="n">
        <v>13041.751433372498</v>
      </c>
      <c r="N29" s="9" t="n">
        <v>13245.90565109253</v>
      </c>
      <c r="O29" s="9" t="n">
        <v>23289.08163166046</v>
      </c>
      <c r="P29" s="9" t="n">
        <v>26896.569697380066</v>
      </c>
      <c r="Q29" s="9" t="n">
        <v>1354.3625526428223</v>
      </c>
      <c r="R29" s="9" t="n">
        <v>324.74208641052246</v>
      </c>
      <c r="S29" s="9" t="n">
        <v>6052.074275016785</v>
      </c>
      <c r="T29" s="9" t="n">
        <v>16420.377046585083</v>
      </c>
      <c r="U29">
        <f si="1" t="shared"/>
        <v>99079.683891573179</v>
      </c>
    </row>
    <row r="30" spans="1:21" x14ac:dyDescent="0.25">
      <c r="A30" s="12">
        <v>0.5625</v>
      </c>
      <c r="B30" s="6" t="n">
        <v>15699.27409484289</v>
      </c>
      <c r="C30" s="6" t="n">
        <v>13743.32827809848</v>
      </c>
      <c r="D30" s="6" t="n">
        <v>27537.31560685163</v>
      </c>
      <c r="E30" s="6" t="n">
        <v>38688.191042029095</v>
      </c>
      <c r="F30" s="6" t="n">
        <v>2404.857613547045</v>
      </c>
      <c r="G30" s="6" t="n">
        <v>561.8705456360408</v>
      </c>
      <c r="H30" s="6" t="n">
        <v>5760.241475610376</v>
      </c>
      <c r="I30" s="6" t="n">
        <v>11305.372207888482</v>
      </c>
      <c r="J30" s="6">
        <f si="0" t="shared"/>
        <v>115700.45086450406</v>
      </c>
      <c r="L30" s="12">
        <v>0.5625</v>
      </c>
      <c r="M30" s="9" t="n">
        <v>14271.016731262207</v>
      </c>
      <c r="N30" s="9" t="n">
        <v>13376.209781646729</v>
      </c>
      <c r="O30" s="9" t="n">
        <v>23073.56683731079</v>
      </c>
      <c r="P30" s="9" t="n">
        <v>26988.659742355347</v>
      </c>
      <c r="Q30" s="9" t="n">
        <v>1363.9401054382324</v>
      </c>
      <c r="R30" s="9" t="n">
        <v>400.18588066101074</v>
      </c>
      <c r="S30" s="9" t="n">
        <v>6677.6321630477905</v>
      </c>
      <c r="T30" s="9" t="n">
        <v>16480.332693099976</v>
      </c>
      <c r="U30">
        <f si="1" t="shared"/>
        <v>100848.69807275181</v>
      </c>
    </row>
    <row r="31" spans="1:21" x14ac:dyDescent="0.25">
      <c r="A31" s="12">
        <v>0.58333333333333337</v>
      </c>
      <c r="B31" s="6" t="n">
        <v>16701.984977386062</v>
      </c>
      <c r="C31" s="6" t="n">
        <v>14648.142566549603</v>
      </c>
      <c r="D31" s="6" t="n">
        <v>26828.591125882485</v>
      </c>
      <c r="E31" s="6" t="n">
        <v>40251.825106015414</v>
      </c>
      <c r="F31" s="6" t="n">
        <v>2654.7216813307814</v>
      </c>
      <c r="G31" s="6" t="n">
        <v>669.2606766704548</v>
      </c>
      <c r="H31" s="6" t="n">
        <v>6375.448635905029</v>
      </c>
      <c r="I31" s="6" t="n">
        <v>11577.164088968038</v>
      </c>
      <c r="J31" s="6">
        <f si="0" t="shared"/>
        <v>119707.13885870787</v>
      </c>
      <c r="L31" s="12">
        <v>0.58333333333333337</v>
      </c>
      <c r="M31" s="9" t="n">
        <v>15983.400241851807</v>
      </c>
      <c r="N31" s="9" t="n">
        <v>13630.056876182556</v>
      </c>
      <c r="O31" s="9" t="n">
        <v>22937.730186462402</v>
      </c>
      <c r="P31" s="9" t="n">
        <v>27192.317848205566</v>
      </c>
      <c r="Q31" s="9" t="n">
        <v>1408.472469329834</v>
      </c>
      <c r="R31" s="9" t="n">
        <v>510.71404361724854</v>
      </c>
      <c r="S31" s="9" t="n">
        <v>7598.632239341736</v>
      </c>
      <c r="T31" s="9" t="n">
        <v>16589.44884777069</v>
      </c>
      <c r="U31">
        <f si="1" t="shared"/>
        <v>103803.65302112007</v>
      </c>
    </row>
    <row r="32" spans="1:21" x14ac:dyDescent="0.25">
      <c r="A32" s="12">
        <v>0.60416666666666663</v>
      </c>
      <c r="B32" s="6" t="n">
        <v>18179.597859450678</v>
      </c>
      <c r="C32" s="6" t="n">
        <v>15864.41469797654</v>
      </c>
      <c r="D32" s="6" t="n">
        <v>25655.655525496884</v>
      </c>
      <c r="E32" s="6" t="n">
        <v>41554.18818232308</v>
      </c>
      <c r="F32" s="6" t="n">
        <v>2975.8213864911263</v>
      </c>
      <c r="G32" s="6" t="n">
        <v>823.5920816230936</v>
      </c>
      <c r="H32" s="6" t="n">
        <v>7147.806251019717</v>
      </c>
      <c r="I32" s="6" t="n">
        <v>12279.552158199906</v>
      </c>
      <c r="J32" s="6">
        <f si="0" t="shared"/>
        <v>124480.62814258103</v>
      </c>
      <c r="L32" s="12">
        <v>0.60416666666666663</v>
      </c>
      <c r="M32" s="9" t="n">
        <v>18128.37159061432</v>
      </c>
      <c r="N32" s="9" t="n">
        <v>13930.956292152405</v>
      </c>
      <c r="O32" s="9" t="n">
        <v>22758.83106994629</v>
      </c>
      <c r="P32" s="9" t="n">
        <v>27369.709986686707</v>
      </c>
      <c r="Q32" s="9" t="n">
        <v>1486.8644332885742</v>
      </c>
      <c r="R32" s="9" t="n">
        <v>657.2560729980469</v>
      </c>
      <c r="S32" s="9" t="n">
        <v>8787.36399936676</v>
      </c>
      <c r="T32" s="9" t="n">
        <v>16660.97393131256</v>
      </c>
      <c r="U32">
        <f si="1" t="shared"/>
        <v>107492.22455166584</v>
      </c>
    </row>
    <row r="33" spans="1:21" x14ac:dyDescent="0.25">
      <c r="A33" s="12">
        <v>0.625</v>
      </c>
      <c r="B33" s="6" t="n">
        <v>20125.103483014555</v>
      </c>
      <c r="C33" s="6" t="n">
        <v>16839.541412665014</v>
      </c>
      <c r="D33" s="6" t="n">
        <v>23900.112544792173</v>
      </c>
      <c r="E33" s="6" t="n">
        <v>41917.0779923316</v>
      </c>
      <c r="F33" s="6" t="n">
        <v>3246.313789779517</v>
      </c>
      <c r="G33" s="6" t="n">
        <v>993.7628449222864</v>
      </c>
      <c r="H33" s="6" t="n">
        <v>7964.072207296014</v>
      </c>
      <c r="I33" s="6" t="n">
        <v>13042.674274996876</v>
      </c>
      <c r="J33" s="6">
        <f si="0" t="shared"/>
        <v>128028.65854979804</v>
      </c>
      <c r="L33" s="12">
        <v>0.625</v>
      </c>
      <c r="M33" s="9" t="n">
        <v>20641.005511283875</v>
      </c>
      <c r="N33" s="9" t="n">
        <v>14176.380311012268</v>
      </c>
      <c r="O33" s="9" t="n">
        <v>22363.932369232178</v>
      </c>
      <c r="P33" s="9" t="n">
        <v>27329.479228019714</v>
      </c>
      <c r="Q33" s="9" t="n">
        <v>1593.401177406311</v>
      </c>
      <c r="R33" s="9" t="n">
        <v>834.5482358932495</v>
      </c>
      <c r="S33" s="9" t="n">
        <v>10156.775569915771</v>
      </c>
      <c r="T33" s="9" t="n">
        <v>16576.073194503784</v>
      </c>
      <c r="U33">
        <f si="1" t="shared"/>
        <v>111199.33937386407</v>
      </c>
    </row>
    <row r="34" spans="1:21" x14ac:dyDescent="0.25">
      <c r="A34" s="12">
        <v>0.64583333333333337</v>
      </c>
      <c r="B34" s="6" t="n">
        <v>22496.41742874228</v>
      </c>
      <c r="C34" s="6" t="n">
        <v>17037.70598832578</v>
      </c>
      <c r="D34" s="6" t="n">
        <v>21616.702376517773</v>
      </c>
      <c r="E34" s="6" t="n">
        <v>41021.30585739559</v>
      </c>
      <c r="F34" s="6" t="n">
        <v>3341.932847232296</v>
      </c>
      <c r="G34" s="6" t="n">
        <v>1129.2065129576958</v>
      </c>
      <c r="H34" s="6" t="n">
        <v>8735.40970937264</v>
      </c>
      <c r="I34" s="6" t="n">
        <v>13514.985854281305</v>
      </c>
      <c r="J34" s="6">
        <f si="0" t="shared"/>
        <v>128893.66657482536</v>
      </c>
      <c r="L34" s="12">
        <v>0.64583333333333337</v>
      </c>
      <c r="M34" s="9" t="n">
        <v>23488.258650779724</v>
      </c>
      <c r="N34" s="9" t="n">
        <v>14282.821300506592</v>
      </c>
      <c r="O34" s="9" t="n">
        <v>21614.761766433716</v>
      </c>
      <c r="P34" s="9" t="n">
        <v>26906.02094936371</v>
      </c>
      <c r="Q34" s="9" t="n">
        <v>1722.417239189148</v>
      </c>
      <c r="R34" s="9" t="n">
        <v>1033.0518207550049</v>
      </c>
      <c r="S34" s="9" t="n">
        <v>11588.857917785645</v>
      </c>
      <c r="T34" s="9" t="n">
        <v>16240.165824890137</v>
      </c>
      <c r="U34">
        <f si="1" t="shared"/>
        <v>114267.45326579484</v>
      </c>
    </row>
    <row r="35" spans="1:21" x14ac:dyDescent="0.25">
      <c r="A35" s="12">
        <v>0.66666666666666663</v>
      </c>
      <c r="B35" s="6" t="n">
        <v>25318.670095291134</v>
      </c>
      <c r="C35" s="6" t="n">
        <v>16311.125080044249</v>
      </c>
      <c r="D35" s="6" t="n">
        <v>19056.50322956247</v>
      </c>
      <c r="E35" s="6" t="n">
        <v>39048.57186300229</v>
      </c>
      <c r="F35" s="6" t="n">
        <v>3228.7622411659104</v>
      </c>
      <c r="G35" s="6" t="n">
        <v>1195.3481566345467</v>
      </c>
      <c r="H35" s="6" t="n">
        <v>9505.36368101895</v>
      </c>
      <c r="I35" s="6" t="n">
        <v>13540.805296680688</v>
      </c>
      <c r="J35" s="6">
        <f si="0" t="shared"/>
        <v>127205.14964340023</v>
      </c>
      <c r="L35" s="12">
        <v>0.66666666666666663</v>
      </c>
      <c r="M35" s="9" t="n">
        <v>26733.82648086548</v>
      </c>
      <c r="N35" s="9" t="n">
        <v>14240.391144752502</v>
      </c>
      <c r="O35" s="9" t="n">
        <v>20506.67244911194</v>
      </c>
      <c r="P35" s="9" t="n">
        <v>26066.450979232788</v>
      </c>
      <c r="Q35" s="9" t="n">
        <v>1874.814570426941</v>
      </c>
      <c r="R35" s="9" t="n">
        <v>1242.3638181686401</v>
      </c>
      <c r="S35" s="9" t="n">
        <v>12985.058701515198</v>
      </c>
      <c r="T35" s="9" t="n">
        <v>15650.860058784485</v>
      </c>
      <c r="U35">
        <f si="1" t="shared"/>
        <v>116535.90917370765</v>
      </c>
    </row>
    <row r="36" spans="1:21" x14ac:dyDescent="0.25">
      <c r="A36" s="12">
        <v>0.6875</v>
      </c>
      <c r="B36" s="6" t="n">
        <v>28699.370951492172</v>
      </c>
      <c r="C36" s="6" t="n">
        <v>14992.879404678646</v>
      </c>
      <c r="D36" s="6" t="n">
        <v>16583.73638318236</v>
      </c>
      <c r="E36" s="6" t="n">
        <v>36534.676738441085</v>
      </c>
      <c r="F36" s="6" t="n">
        <v>2995.564170506841</v>
      </c>
      <c r="G36" s="6" t="n">
        <v>1195.7917744495396</v>
      </c>
      <c r="H36" s="6" t="n">
        <v>10497.194127183913</v>
      </c>
      <c r="I36" s="6" t="n">
        <v>13204.806681162954</v>
      </c>
      <c r="J36" s="6">
        <f si="0" t="shared"/>
        <v>124704.02023109751</v>
      </c>
      <c r="L36" s="12">
        <v>0.6875</v>
      </c>
      <c r="M36" s="9" t="n">
        <v>30554.632405281067</v>
      </c>
      <c r="N36" s="9" t="n">
        <v>14129.926703453064</v>
      </c>
      <c r="O36" s="9" t="n">
        <v>19192.099756240845</v>
      </c>
      <c r="P36" s="9" t="n">
        <v>24950.279266357422</v>
      </c>
      <c r="Q36" s="9" t="n">
        <v>2061.0831632614136</v>
      </c>
      <c r="R36" s="9" t="n">
        <v>1454.116696357727</v>
      </c>
      <c r="S36" s="9" t="n">
        <v>14300.575650215149</v>
      </c>
      <c r="T36" s="9" t="n">
        <v>14916.135199546814</v>
      </c>
      <c r="U36">
        <f si="1" t="shared"/>
        <v>118511.87750069973</v>
      </c>
    </row>
    <row r="37" spans="1:21" x14ac:dyDescent="0.25">
      <c r="A37" s="12">
        <v>0.70833333333333337</v>
      </c>
      <c r="B37" s="6" t="n">
        <v>32729.550267583076</v>
      </c>
      <c r="C37" s="6" t="n">
        <v>13648.702497763436</v>
      </c>
      <c r="D37" s="6" t="n">
        <v>14528.897454024283</v>
      </c>
      <c r="E37" s="6" t="n">
        <v>34072.42697020857</v>
      </c>
      <c r="F37" s="6" t="n">
        <v>2795.7976263760747</v>
      </c>
      <c r="G37" s="6" t="n">
        <v>1163.0937162331597</v>
      </c>
      <c r="H37" s="6" t="n">
        <v>12036.030333825467</v>
      </c>
      <c r="I37" s="6" t="n">
        <v>12731.191603193285</v>
      </c>
      <c r="J37" s="6">
        <f si="0" t="shared"/>
        <v>123705.69046920736</v>
      </c>
      <c r="L37" s="12">
        <v>0.70833333333333337</v>
      </c>
      <c r="M37" s="9" t="n">
        <v>35155.3527135849</v>
      </c>
      <c r="N37" s="9" t="n">
        <v>14078.773345947266</v>
      </c>
      <c r="O37" s="9" t="n">
        <v>17896.281905174255</v>
      </c>
      <c r="P37" s="9" t="n">
        <v>23793.86969280243</v>
      </c>
      <c r="Q37" s="9" t="n">
        <v>2297.1289768218994</v>
      </c>
      <c r="R37" s="9" t="n">
        <v>1662.7390975952148</v>
      </c>
      <c r="S37" s="9" t="n">
        <v>15535.311809539795</v>
      </c>
      <c r="T37" s="9" t="n">
        <v>14198.56066608429</v>
      </c>
      <c r="U37">
        <f si="1" t="shared"/>
        <v>121059.1584787161</v>
      </c>
    </row>
    <row r="38" spans="1:21" x14ac:dyDescent="0.25">
      <c r="A38" s="12">
        <v>0.72916666666666663</v>
      </c>
      <c r="B38" s="6" t="n">
        <v>37326.48464826516</v>
      </c>
      <c r="C38" s="6" t="n">
        <v>12710.334143710803</v>
      </c>
      <c r="D38" s="6" t="n">
        <v>13066.496890732573</v>
      </c>
      <c r="E38" s="6" t="n">
        <v>32043.311287215874</v>
      </c>
      <c r="F38" s="6" t="n">
        <v>2750.8069376943195</v>
      </c>
      <c r="G38" s="6" t="n">
        <v>1132.6828257056704</v>
      </c>
      <c r="H38" s="6" t="n">
        <v>14335.474673365354</v>
      </c>
      <c r="I38" s="6" t="n">
        <v>12309.022548481465</v>
      </c>
      <c r="J38" s="6">
        <f si="0" t="shared"/>
        <v>125674.61395517123</v>
      </c>
      <c r="L38" s="12">
        <v>0.72916666666666663</v>
      </c>
      <c r="M38" s="9" t="n">
        <v>40589.98769187927</v>
      </c>
      <c r="N38" s="9" t="n">
        <v>14179.537355422974</v>
      </c>
      <c r="O38" s="9" t="n">
        <v>16787.872009277344</v>
      </c>
      <c r="P38" s="9" t="n">
        <v>22791.022562980652</v>
      </c>
      <c r="Q38" s="9" t="n">
        <v>2593.392336845398</v>
      </c>
      <c r="R38" s="9" t="n">
        <v>1862.9768047332764</v>
      </c>
      <c r="S38" s="9" t="n">
        <v>16685.654894828796</v>
      </c>
      <c r="T38" s="9" t="n">
        <v>13624.649542808533</v>
      </c>
      <c r="U38">
        <f si="1" t="shared"/>
        <v>124775.03176256128</v>
      </c>
    </row>
    <row r="39" spans="1:21" x14ac:dyDescent="0.25">
      <c r="A39" s="12">
        <v>0.75</v>
      </c>
      <c r="B39" s="6" t="n">
        <v>42107.193995077</v>
      </c>
      <c r="C39" s="6" t="n">
        <v>12268.070796394453</v>
      </c>
      <c r="D39" s="6" t="n">
        <v>12185.138012760739</v>
      </c>
      <c r="E39" s="6" t="n">
        <v>30498.130321855264</v>
      </c>
      <c r="F39" s="6" t="n">
        <v>2887.5606294083923</v>
      </c>
      <c r="G39" s="6" t="n">
        <v>1130.6864709849056</v>
      </c>
      <c r="H39" s="6" t="n">
        <v>17233.697665012</v>
      </c>
      <c r="I39" s="6" t="n">
        <v>11948.643463572384</v>
      </c>
      <c r="J39" s="6">
        <f si="0" t="shared"/>
        <v>130259.12135506514</v>
      </c>
      <c r="L39" s="12">
        <v>0.75</v>
      </c>
      <c r="M39" s="9" t="n">
        <v>46565.69056606293</v>
      </c>
      <c r="N39" s="9" t="n">
        <v>14419.3902759552</v>
      </c>
      <c r="O39" s="9" t="n">
        <v>15891.970048904419</v>
      </c>
      <c r="P39" s="9" t="n">
        <v>21981.230467796326</v>
      </c>
      <c r="Q39" s="9" t="n">
        <v>2941.1993293762207</v>
      </c>
      <c r="R39" s="9" t="n">
        <v>2044.5228443145752</v>
      </c>
      <c r="S39" s="9" t="n">
        <v>17685.423372268677</v>
      </c>
      <c r="T39" s="9" t="n">
        <v>13216.747334480286</v>
      </c>
      <c r="U39">
        <f si="1" t="shared"/>
        <v>129418.10062873526</v>
      </c>
    </row>
    <row r="40" spans="1:21" x14ac:dyDescent="0.25">
      <c r="A40" s="12">
        <v>0.77083333333333337</v>
      </c>
      <c r="B40" s="6" t="n">
        <v>46382.972163628954</v>
      </c>
      <c r="C40" s="6" t="n">
        <v>12113.71338388482</v>
      </c>
      <c r="D40" s="6" t="n">
        <v>11737.342398286484</v>
      </c>
      <c r="E40" s="6" t="n">
        <v>29207.404011497645</v>
      </c>
      <c r="F40" s="6" t="n">
        <v>3137.403941890786</v>
      </c>
      <c r="G40" s="6" t="n">
        <v>1183.6076015360618</v>
      </c>
      <c r="H40" s="6" t="n">
        <v>20063.728986868977</v>
      </c>
      <c r="I40" s="6" t="n">
        <v>11460.083505708815</v>
      </c>
      <c r="J40" s="6">
        <f si="0" t="shared"/>
        <v>135286.25599330253</v>
      </c>
      <c r="L40" s="12">
        <v>0.77083333333333337</v>
      </c>
      <c r="M40" s="9" t="n">
        <v>52344.377031326294</v>
      </c>
      <c r="N40" s="9" t="n">
        <v>14658.130722045898</v>
      </c>
      <c r="O40" s="9" t="n">
        <v>15085.750512123108</v>
      </c>
      <c r="P40" s="9" t="n">
        <v>21223.629139900208</v>
      </c>
      <c r="Q40" s="9" t="n">
        <v>3303.2725162506104</v>
      </c>
      <c r="R40" s="9" t="n">
        <v>2187.3275995254517</v>
      </c>
      <c r="S40" s="9" t="n">
        <v>18374.66468524933</v>
      </c>
      <c r="T40" s="9" t="n">
        <v>12878.094199180603</v>
      </c>
      <c r="U40">
        <f si="1" t="shared"/>
        <v>133695.248095116</v>
      </c>
    </row>
    <row r="41" spans="1:21" x14ac:dyDescent="0.25">
      <c r="A41" s="12">
        <v>0.79166666666666663</v>
      </c>
      <c r="B41" s="6" t="n">
        <v>49305.30733934415</v>
      </c>
      <c r="C41" s="6" t="n">
        <v>11926.847136344868</v>
      </c>
      <c r="D41" s="6" t="n">
        <v>11503.181124531027</v>
      </c>
      <c r="E41" s="6" t="n">
        <v>27823.659445959143</v>
      </c>
      <c r="F41" s="6" t="n">
        <v>3375.974049303918</v>
      </c>
      <c r="G41" s="6" t="n">
        <v>1321.8840319789347</v>
      </c>
      <c r="H41" s="6" t="n">
        <v>21836.591433235284</v>
      </c>
      <c r="I41" s="6" t="n">
        <v>10581.025663110377</v>
      </c>
      <c r="J41" s="6">
        <f si="0" t="shared"/>
        <v>137674.4702238077</v>
      </c>
      <c r="L41" s="12">
        <v>0.79166666666666663</v>
      </c>
      <c r="M41" s="9" t="n">
        <v>56848.09845161438</v>
      </c>
      <c r="N41" s="9" t="n">
        <v>14670.67402935028</v>
      </c>
      <c r="O41" s="9" t="n">
        <v>14166.19778251648</v>
      </c>
      <c r="P41" s="9" t="n">
        <v>20264.09140586853</v>
      </c>
      <c r="Q41" s="9" t="n">
        <v>3616.818012237549</v>
      </c>
      <c r="R41" s="9" t="n">
        <v>2263.2699337005615</v>
      </c>
      <c r="S41" s="9" t="n">
        <v>18530.01329421997</v>
      </c>
      <c r="T41" s="9" t="n">
        <v>12433.25927066803</v>
      </c>
      <c r="U41">
        <f si="1" t="shared"/>
        <v>135571.83937940377</v>
      </c>
    </row>
    <row r="42" spans="1:21" x14ac:dyDescent="0.25">
      <c r="A42" s="12">
        <v>0.8125</v>
      </c>
      <c r="B42" s="6" t="n">
        <v>50091.038461378936</v>
      </c>
      <c r="C42" s="6" t="n">
        <v>11455.451720870155</v>
      </c>
      <c r="D42" s="6" t="n">
        <v>11229.559500502044</v>
      </c>
      <c r="E42" s="6" t="n">
        <v>26064.737528548627</v>
      </c>
      <c r="F42" s="6" t="n">
        <v>3478.2497003372077</v>
      </c>
      <c r="G42" s="6" t="n">
        <v>1551.8462203785411</v>
      </c>
      <c r="H42" s="6" t="n">
        <v>21718.338517748474</v>
      </c>
      <c r="I42" s="6" t="n">
        <v>9176.135659813286</v>
      </c>
      <c r="J42" s="6">
        <f si="0" t="shared"/>
        <v>134765.35730957729</v>
      </c>
      <c r="L42" s="12">
        <v>0.8125</v>
      </c>
      <c r="M42" s="9" t="n">
        <v>58990.90189743042</v>
      </c>
      <c r="N42" s="9" t="n">
        <v>14241.564768791199</v>
      </c>
      <c r="O42" s="9" t="n">
        <v>12955.41018295288</v>
      </c>
      <c r="P42" s="9" t="n">
        <v>18864.260025024414</v>
      </c>
      <c r="Q42" s="9" t="n">
        <v>3813.2362146377563</v>
      </c>
      <c r="R42" s="9" t="n">
        <v>2246.6370182037354</v>
      </c>
      <c r="S42" s="9" t="n">
        <v>17959.745385169983</v>
      </c>
      <c r="T42" s="9" t="n">
        <v>11709.297222137451</v>
      </c>
      <c r="U42">
        <f si="1" t="shared"/>
        <v>133065.57894154475</v>
      </c>
    </row>
    <row r="43" spans="1:21" x14ac:dyDescent="0.25">
      <c r="A43" s="12">
        <v>0.83333333333333337</v>
      </c>
      <c r="B43" s="6" t="n">
        <v>48233.81795542179</v>
      </c>
      <c r="C43" s="6" t="n">
        <v>10611.024292922217</v>
      </c>
      <c r="D43" s="6" t="n">
        <v>10669.225421731835</v>
      </c>
      <c r="E43" s="6" t="n">
        <v>23826.575379759845</v>
      </c>
      <c r="F43" s="6" t="n">
        <v>3370.096891403262</v>
      </c>
      <c r="G43" s="6" t="n">
        <v>1817.1618686110035</v>
      </c>
      <c r="H43" s="6" t="n">
        <v>19510.47089156878</v>
      </c>
      <c r="I43" s="6" t="n">
        <v>7358.208190966249</v>
      </c>
      <c r="J43" s="6">
        <f si="0" t="shared"/>
        <v>125396.58089238498</v>
      </c>
      <c r="L43" s="12">
        <v>0.83333333333333337</v>
      </c>
      <c r="M43" s="9" t="n">
        <v>58117.97434043884</v>
      </c>
      <c r="N43" s="9" t="n">
        <v>13268.384877204895</v>
      </c>
      <c r="O43" s="9" t="n">
        <v>11395.827660560608</v>
      </c>
      <c r="P43" s="9" t="n">
        <v>16930.873017311096</v>
      </c>
      <c r="Q43" s="9" t="n">
        <v>3847.3120975494385</v>
      </c>
      <c r="R43" s="9" t="n">
        <v>2128.350389480591</v>
      </c>
      <c r="S43" s="9" t="n">
        <v>16617.067838668823</v>
      </c>
      <c r="T43" s="9" t="n">
        <v>10624.187410354614</v>
      </c>
      <c r="U43">
        <f si="1" t="shared"/>
        <v>125194.84202674939</v>
      </c>
    </row>
    <row r="44" spans="1:21" x14ac:dyDescent="0.25">
      <c r="A44" s="12">
        <v>0.85416666666666663</v>
      </c>
      <c r="B44" s="6" t="n">
        <v>43683.70699822178</v>
      </c>
      <c r="C44" s="6" t="n">
        <v>9466.060229091543</v>
      </c>
      <c r="D44" s="6" t="n">
        <v>9653.572962881626</v>
      </c>
      <c r="E44" s="6" t="n">
        <v>21167.952950741732</v>
      </c>
      <c r="F44" s="6" t="n">
        <v>3055.7339719855454</v>
      </c>
      <c r="G44" s="6" t="n">
        <v>2001.784565487695</v>
      </c>
      <c r="H44" s="6" t="n">
        <v>15777.022932721855</v>
      </c>
      <c r="I44" s="6" t="n">
        <v>5434.179674382925</v>
      </c>
      <c r="J44" s="6">
        <f si="0" t="shared"/>
        <v>110240.01428551471</v>
      </c>
      <c r="L44" s="12">
        <v>0.85416666666666663</v>
      </c>
      <c r="M44" s="9" t="n">
        <v>54313.840324401855</v>
      </c>
      <c r="N44" s="9" t="n">
        <v>11815.93077659607</v>
      </c>
      <c r="O44" s="9" t="n">
        <v>9584.836720466614</v>
      </c>
      <c r="P44" s="9" t="n">
        <v>14573.429312705994</v>
      </c>
      <c r="Q44" s="9" t="n">
        <v>3718.2023134231567</v>
      </c>
      <c r="R44" s="9" t="n">
        <v>1923.920002937317</v>
      </c>
      <c r="S44" s="9" t="n">
        <v>14655.441591262817</v>
      </c>
      <c r="T44" s="9" t="n">
        <v>9234.19737815857</v>
      </c>
      <c r="U44">
        <f si="1" t="shared"/>
        <v>112536.33177627673</v>
      </c>
    </row>
    <row r="45" spans="1:21" x14ac:dyDescent="0.25">
      <c r="A45" s="12">
        <v>0.875</v>
      </c>
      <c r="B45" s="6" t="n">
        <v>36974.130077609494</v>
      </c>
      <c r="C45" s="6" t="n">
        <v>8179.631337445538</v>
      </c>
      <c r="D45" s="6" t="n">
        <v>8174.643154372163</v>
      </c>
      <c r="E45" s="6" t="n">
        <v>18199.60287901928</v>
      </c>
      <c r="F45" s="6" t="n">
        <v>2605.6532973693265</v>
      </c>
      <c r="G45" s="6" t="n">
        <v>1992.6360812843814</v>
      </c>
      <c r="H45" s="6" t="n">
        <v>11520.989925185444</v>
      </c>
      <c r="I45" s="6" t="n">
        <v>3725.740073922634</v>
      </c>
      <c r="J45" s="6">
        <f si="0" t="shared"/>
        <v>91373.026826208239</v>
      </c>
      <c r="L45" s="12">
        <v>0.875</v>
      </c>
      <c r="M45" s="9" t="n">
        <v>48361.61876773834</v>
      </c>
      <c r="N45" s="9" t="n">
        <v>10084.489442825317</v>
      </c>
      <c r="O45" s="9" t="n">
        <v>7725.258895874023</v>
      </c>
      <c r="P45" s="9" t="n">
        <v>12051.726554870605</v>
      </c>
      <c r="Q45" s="9" t="n">
        <v>3465.6705808639526</v>
      </c>
      <c r="R45" s="9" t="n">
        <v>1668.1694707870483</v>
      </c>
      <c r="S45" s="9" t="n">
        <v>12376.877963066101</v>
      </c>
      <c r="T45" s="9" t="n">
        <v>7706.199736595154</v>
      </c>
      <c r="U45">
        <f si="1" t="shared"/>
        <v>96975.028200618704</v>
      </c>
    </row>
    <row r="46" spans="1:21" x14ac:dyDescent="0.25">
      <c r="A46" s="12">
        <v>0.89583333333333337</v>
      </c>
      <c r="B46" s="6" t="n">
        <v>29165.898961070212</v>
      </c>
      <c r="C46" s="6" t="n">
        <v>6901.560514649029</v>
      </c>
      <c r="D46" s="6" t="n">
        <v>6404.213688506921</v>
      </c>
      <c r="E46" s="6" t="n">
        <v>15002.088836286965</v>
      </c>
      <c r="F46" s="6" t="n">
        <v>2113.0716231737224</v>
      </c>
      <c r="G46" s="6" t="n">
        <v>1755.050206303481</v>
      </c>
      <c r="H46" s="6" t="n">
        <v>7666.652372941256</v>
      </c>
      <c r="I46" s="6" t="n">
        <v>2412.308691026926</v>
      </c>
      <c r="J46" s="6">
        <f si="0" t="shared"/>
        <v>71420.844893958507</v>
      </c>
      <c r="L46" s="12">
        <v>0.89583333333333337</v>
      </c>
      <c r="M46" s="9" t="n">
        <v>41344.297474861145</v>
      </c>
      <c r="N46" s="9" t="n">
        <v>8309.017169952393</v>
      </c>
      <c r="O46" s="9" t="n">
        <v>6021.301481246948</v>
      </c>
      <c r="P46" s="9" t="n">
        <v>9644.558530807495</v>
      </c>
      <c r="Q46" s="9" t="n">
        <v>3141.5561361312866</v>
      </c>
      <c r="R46" s="9" t="n">
        <v>1399.2318725585938</v>
      </c>
      <c r="S46" s="9" t="n">
        <v>10098.327679634094</v>
      </c>
      <c r="T46" s="9" t="n">
        <v>6228.906843185425</v>
      </c>
      <c r="U46">
        <f si="1" t="shared"/>
        <v>80747.419194449496</v>
      </c>
    </row>
    <row r="47" spans="1:21" x14ac:dyDescent="0.25">
      <c r="A47" s="12">
        <v>0.91666666666666663</v>
      </c>
      <c r="B47" s="6" t="n">
        <v>21505.559506274654</v>
      </c>
      <c r="C47" s="6" t="n">
        <v>5708.403803528128</v>
      </c>
      <c r="D47" s="6" t="n">
        <v>4615.053025935285</v>
      </c>
      <c r="E47" s="6" t="n">
        <v>11665.611825241791</v>
      </c>
      <c r="F47" s="6" t="n">
        <v>1648.7542123061085</v>
      </c>
      <c r="G47" s="6" t="n">
        <v>1355.2252582940187</v>
      </c>
      <c r="H47" s="6" t="n">
        <v>4712.178245148301</v>
      </c>
      <c r="I47" s="6" t="n">
        <v>1500.3951578631402</v>
      </c>
      <c r="J47" s="6">
        <f si="0" t="shared"/>
        <v>52711.181034591427</v>
      </c>
      <c r="L47" s="12">
        <v>0.91666666666666663</v>
      </c>
      <c r="M47" s="9" t="n">
        <v>34149.61807060242</v>
      </c>
      <c r="N47" s="9" t="n">
        <v>6655.15530872345</v>
      </c>
      <c r="O47" s="9" t="n">
        <v>4588.210276603699</v>
      </c>
      <c r="P47" s="9" t="n">
        <v>7526.706839561462</v>
      </c>
      <c r="Q47" s="9" t="n">
        <v>2777.3813304901123</v>
      </c>
      <c r="R47" s="9" t="n">
        <v>1142.657485961914</v>
      </c>
      <c r="S47" s="9" t="n">
        <v>8024.49399471283</v>
      </c>
      <c r="T47" s="9" t="n">
        <v>4922.963133811951</v>
      </c>
      <c r="U47">
        <f si="1" t="shared"/>
        <v>65421.685672652864</v>
      </c>
    </row>
    <row r="48" spans="1:21" x14ac:dyDescent="0.25">
      <c r="A48" s="12">
        <v>0.9375</v>
      </c>
      <c r="B48" s="6" t="n">
        <v>14951.366366612154</v>
      </c>
      <c r="C48" s="6" t="n">
        <v>4598.867889124086</v>
      </c>
      <c r="D48" s="6" t="n">
        <v>3055.0305264332446</v>
      </c>
      <c r="E48" s="6" t="n">
        <v>8387.351906856136</v>
      </c>
      <c r="F48" s="6" t="n">
        <v>1242.1707006958277</v>
      </c>
      <c r="G48" s="6" t="n">
        <v>914.1080287738505</v>
      </c>
      <c r="H48" s="6" t="n">
        <v>2711.248367669344</v>
      </c>
      <c r="I48" s="6" t="n">
        <v>899.2248760471344</v>
      </c>
      <c r="J48" s="6">
        <f si="0" t="shared"/>
        <v>36759.368662211775</v>
      </c>
      <c r="L48" s="12">
        <v>0.9375</v>
      </c>
      <c r="M48" s="9" t="n">
        <v>27223.290842056274</v>
      </c>
      <c r="N48" s="9" t="n">
        <v>5179.725715637207</v>
      </c>
      <c r="O48" s="9" t="n">
        <v>3430.9772844314575</v>
      </c>
      <c r="P48" s="9" t="n">
        <v>5732.3127517700195</v>
      </c>
      <c r="Q48" s="9" t="n">
        <v>2374.5921020507812</v>
      </c>
      <c r="R48" s="9" t="n">
        <v>906.421685218811</v>
      </c>
      <c r="S48" s="9" t="n">
        <v>6210.236499786377</v>
      </c>
      <c r="T48" s="9" t="n">
        <v>3810.071662902832</v>
      </c>
      <c r="U48">
        <f si="1" t="shared"/>
        <v>51514.813054933038</v>
      </c>
    </row>
    <row r="49" spans="1:21" x14ac:dyDescent="0.25">
      <c r="A49" s="12">
        <v>0.95833333333333337</v>
      </c>
      <c r="B49" s="6" t="n">
        <v>9896.572959786088</v>
      </c>
      <c r="C49" s="6" t="n">
        <v>3541.214485926834</v>
      </c>
      <c r="D49" s="6" t="n">
        <v>1859.6207926199654</v>
      </c>
      <c r="E49" s="6" t="n">
        <v>5472.480308320097</v>
      </c>
      <c r="F49" s="6" t="n">
        <v>893.8547048907938</v>
      </c>
      <c r="G49" s="6" t="n">
        <v>537.345276171896</v>
      </c>
      <c r="H49" s="6" t="n">
        <v>1468.819198110819</v>
      </c>
      <c r="I49" s="6" t="n">
        <v>509.92970970773695</v>
      </c>
      <c r="J49" s="6">
        <f si="0" t="shared"/>
        <v>24179.837435534224</v>
      </c>
      <c r="L49" s="12">
        <v>0.95833333333333337</v>
      </c>
      <c r="M49" s="9" t="n">
        <v>20697.890144348145</v>
      </c>
      <c r="N49" s="9" t="n">
        <v>3870.3325338363647</v>
      </c>
      <c r="O49" s="9" t="n">
        <v>2491.7981510162354</v>
      </c>
      <c r="P49" s="9" t="n">
        <v>4211.911295890808</v>
      </c>
      <c r="Q49" s="9" t="n">
        <v>1925.2322359085083</v>
      </c>
      <c r="R49" s="9" t="n">
        <v>688.6486949920654</v>
      </c>
      <c r="S49" s="9" t="n">
        <v>4622.423658370972</v>
      </c>
      <c r="T49" s="9" t="n">
        <v>2851.9068174362183</v>
      </c>
      <c r="U49">
        <f si="1" t="shared"/>
        <v>38904.686692252064</v>
      </c>
    </row>
    <row r="50" spans="1:21" x14ac:dyDescent="0.25">
      <c r="A50" s="12">
        <v>0.97916666666666663</v>
      </c>
      <c r="B50" s="6" t="n">
        <v>6251.327755456365</v>
      </c>
      <c r="C50" s="6" t="n">
        <v>2534.9830238317654</v>
      </c>
      <c r="D50" s="6" t="n">
        <v>1042.1513420036006</v>
      </c>
      <c r="E50" s="6" t="n">
        <v>3197.213899851988</v>
      </c>
      <c r="F50" s="6" t="n">
        <v>599.8787686801243</v>
      </c>
      <c r="G50" s="6" t="n">
        <v>274.23756482018354</v>
      </c>
      <c r="H50" s="6" t="n">
        <v>743.2445598378181</v>
      </c>
      <c r="I50" s="6" t="n">
        <v>264.8476111963987</v>
      </c>
      <c r="J50" s="6">
        <f si="0" t="shared"/>
        <v>14907.884525678244</v>
      </c>
      <c r="L50" s="12">
        <v>0.97916666666666663</v>
      </c>
      <c r="M50" s="9" t="n">
        <v>14698.903573036194</v>
      </c>
      <c r="N50" s="9" t="n">
        <v>2715.7265968322754</v>
      </c>
      <c r="O50" s="9" t="n">
        <v>1716.671543121338</v>
      </c>
      <c r="P50" s="9" t="n">
        <v>2919.6953563690186</v>
      </c>
      <c r="Q50" s="9" t="n">
        <v>1442.966360092163</v>
      </c>
      <c r="R50" s="9" t="n">
        <v>489.6128349304199</v>
      </c>
      <c r="S50" s="9" t="n">
        <v>3233.905216217041</v>
      </c>
      <c r="T50" s="9" t="n">
        <v>2014.8455820083618</v>
      </c>
      <c r="U50">
        <f si="1" t="shared"/>
        <v>27540.111912154691</v>
      </c>
    </row>
    <row r="51" spans="1:21" x14ac:dyDescent="0.25">
      <c r="A51" s="12">
        <v>1</v>
      </c>
      <c r="B51" s="6" t="n">
        <v>3724.5291025365686</v>
      </c>
      <c r="C51" s="6" t="n">
        <v>1636.6366043741828</v>
      </c>
      <c r="D51" s="6" t="n">
        <v>537.4737257681523</v>
      </c>
      <c r="E51" s="6" t="n">
        <v>1661.8308237906444</v>
      </c>
      <c r="F51" s="6" t="n">
        <v>364.6404241187777</v>
      </c>
      <c r="G51" s="6" t="n">
        <v>120.58047850286627</v>
      </c>
      <c r="H51" s="6" t="n">
        <v>344.01226429641247</v>
      </c>
      <c r="I51" s="6" t="n">
        <v>121.68607252192497</v>
      </c>
      <c r="J51" s="6">
        <f si="0" t="shared"/>
        <v>8511.3894959095287</v>
      </c>
      <c r="L51" s="12">
        <v>1</v>
      </c>
      <c r="M51" s="9" t="n">
        <v>9510.109199523926</v>
      </c>
      <c r="N51" s="9" t="n">
        <v>1742.563913345337</v>
      </c>
      <c r="O51" s="9" t="n">
        <v>1089.1597347259521</v>
      </c>
      <c r="P51" s="9" t="n">
        <v>1857.7635526657104</v>
      </c>
      <c r="Q51" s="9" t="n">
        <v>974.3183441162109</v>
      </c>
      <c r="R51" s="9" t="n">
        <v>317.23066902160645</v>
      </c>
      <c r="S51" s="9" t="n">
        <v>2069.3527488708496</v>
      </c>
      <c r="T51" s="9" t="n">
        <v>1304.8410196304321</v>
      </c>
      <c r="U51">
        <f si="1" t="shared"/>
        <v>17791.164479866216</v>
      </c>
    </row>
    <row r="52" spans="1:21" x14ac:dyDescent="0.25">
      <c r="A52" s="12">
        <v>1.0208333333333333</v>
      </c>
      <c r="B52" s="6" t="n">
        <v>2042.0906451711191</v>
      </c>
      <c r="C52" s="6" t="n">
        <v>926.217792994749</v>
      </c>
      <c r="D52" s="6" t="n">
        <v>254.23705484150938</v>
      </c>
      <c r="E52" s="6" t="n">
        <v>768.3847033683833</v>
      </c>
      <c r="F52" s="6" t="n">
        <v>195.20573993049942</v>
      </c>
      <c r="G52" s="6" t="n">
        <v>45.06001695592886</v>
      </c>
      <c r="H52" s="6" t="n">
        <v>141.82523327100276</v>
      </c>
      <c r="I52" s="6" t="n">
        <v>47.954711225271225</v>
      </c>
      <c r="J52" s="6">
        <f si="0" t="shared"/>
        <v>4420.9758977584634</v>
      </c>
      <c r="L52" s="12">
        <v>1.0208333333333333</v>
      </c>
      <c r="M52" s="9" t="n">
        <v>5466.97038269043</v>
      </c>
      <c r="N52" s="9" t="n">
        <v>995.8434114456177</v>
      </c>
      <c r="O52" s="9" t="n">
        <v>618.099907875061</v>
      </c>
      <c r="P52" s="9" t="n">
        <v>1055.6842317581177</v>
      </c>
      <c r="Q52" s="9" t="n">
        <v>578.8155107498169</v>
      </c>
      <c r="R52" s="9" t="n">
        <v>182.54047966003418</v>
      </c>
      <c r="S52" s="9" t="n">
        <v>1179.1451921463013</v>
      </c>
      <c r="T52" s="9" t="n">
        <v>752.9473924636841</v>
      </c>
      <c r="U52">
        <f si="1" t="shared"/>
        <v>10217.89344893307</v>
      </c>
    </row>
    <row r="53" spans="1:21" x14ac:dyDescent="0.25">
      <c r="A53" s="12">
        <v>4.1666666666666664E-2</v>
      </c>
      <c r="B53" s="6" t="n">
        <v>998.882242222288</v>
      </c>
      <c r="C53" s="6" t="n">
        <v>447.8492607182626</v>
      </c>
      <c r="D53" s="6" t="n">
        <v>109.4765410207309</v>
      </c>
      <c r="E53" s="6" t="n">
        <v>316.9607748101119</v>
      </c>
      <c r="F53" s="6" t="n">
        <v>89.79714874028606</v>
      </c>
      <c r="G53" s="6" t="n">
        <v>14.008931676857483</v>
      </c>
      <c r="H53" s="6" t="n">
        <v>50.80385481727123</v>
      </c>
      <c r="I53" s="6" t="n">
        <v>15.758797005295756</v>
      </c>
      <c r="J53" s="6">
        <f si="0" t="shared"/>
        <v>2043.5375510111037</v>
      </c>
      <c r="L53" s="12">
        <v>4.1666666666666664E-2</v>
      </c>
      <c r="M53" s="9" t="n">
        <v>2726.390347480774</v>
      </c>
      <c r="N53" s="9" t="n">
        <v>494.4594964981079</v>
      </c>
      <c r="O53" s="9" t="n">
        <v>305.51254177093506</v>
      </c>
      <c r="P53" s="9" t="n">
        <v>522.1917877197266</v>
      </c>
      <c r="Q53" s="9" t="n">
        <v>296.0029602050781</v>
      </c>
      <c r="R53" s="9" t="n">
        <v>91.06184959411621</v>
      </c>
      <c r="S53" s="9" t="n">
        <v>583.6161727905273</v>
      </c>
      <c r="T53" s="9" t="n">
        <v>377.2503881454468</v>
      </c>
      <c r="U53">
        <f si="1" t="shared"/>
        <v>5091.4843808878031</v>
      </c>
    </row>
    <row r="54" spans="1:21" x14ac:dyDescent="0.25">
      <c r="A54" s="12">
        <v>6.25E-2</v>
      </c>
      <c r="B54" s="6" t="n">
        <v>422.19622128412425</v>
      </c>
      <c r="C54" s="6" t="n">
        <v>180.5919343759885</v>
      </c>
      <c r="D54" s="6" t="n">
        <v>42.36590543455135</v>
      </c>
      <c r="E54" s="6" t="n">
        <v>116.562685540694</v>
      </c>
      <c r="F54" s="6" t="n">
        <v>34.711972346584</v>
      </c>
      <c r="G54" s="6" t="n">
        <v>3.512037698813992</v>
      </c>
      <c r="H54" s="6" t="n">
        <v>15.516236245393753</v>
      </c>
      <c r="I54" s="6" t="n">
        <v>4.188655927538873</v>
      </c>
      <c r="J54" s="6">
        <f si="0" t="shared"/>
        <v>819.64564885368884</v>
      </c>
      <c r="L54" s="12">
        <v>6.25E-2</v>
      </c>
      <c r="M54" s="9" t="n">
        <v>1151.9362497329712</v>
      </c>
      <c r="N54" s="9" t="n">
        <v>208.2134017944336</v>
      </c>
      <c r="O54" s="9" t="n">
        <v>128.24841785430908</v>
      </c>
      <c r="P54" s="9" t="n">
        <v>219.32721996307373</v>
      </c>
      <c r="Q54" s="9" t="n">
        <v>127.50476932525635</v>
      </c>
      <c r="R54" s="9" t="n">
        <v>38.46317768096924</v>
      </c>
      <c r="S54" s="9" t="n">
        <v>244.92931652069092</v>
      </c>
      <c r="T54" s="9" t="n">
        <v>160.12087059020996</v>
      </c>
      <c r="U54">
        <f si="1" t="shared"/>
        <v>2149.3518551402876</v>
      </c>
    </row>
    <row r="55" spans="1:21" x14ac:dyDescent="0.25">
      <c r="A55" s="12">
        <v>8.3333333333333329E-2</v>
      </c>
      <c r="B55" s="6" t="n">
        <v>149.35334806306622</v>
      </c>
      <c r="C55" s="6" t="n">
        <v>59.197278716561314</v>
      </c>
      <c r="D55" s="6" t="n">
        <v>14.45091995805969</v>
      </c>
      <c r="E55" s="6" t="n">
        <v>37.74563325594853</v>
      </c>
      <c r="F55" s="6" t="n">
        <v>11.022352570658775</v>
      </c>
      <c r="G55" s="6" t="n">
        <v>0.6785502932165424</v>
      </c>
      <c r="H55" s="6" t="n">
        <v>3.992462234616279</v>
      </c>
      <c r="I55" s="6" t="n">
        <v>0.864906876087189</v>
      </c>
      <c r="J55" s="6">
        <f si="0" t="shared"/>
        <v>277.30545196821447</v>
      </c>
      <c r="L55" s="12">
        <v>8.3333333333333329E-2</v>
      </c>
      <c r="M55" s="9" t="n">
        <v>401.89137077331543</v>
      </c>
      <c r="N55" s="9" t="n">
        <v>72.45127010345459</v>
      </c>
      <c r="O55" s="9" t="n">
        <v>44.5251350402832</v>
      </c>
      <c r="P55" s="9" t="n">
        <v>76.17872142791748</v>
      </c>
      <c r="Q55" s="9" t="n">
        <v>45.158138275146484</v>
      </c>
      <c r="R55" s="9" t="n">
        <v>13.408379554748535</v>
      </c>
      <c r="S55" s="9" t="n">
        <v>84.93211555480957</v>
      </c>
      <c r="T55" s="9" t="n">
        <v>56.08907890319824</v>
      </c>
      <c r="U55">
        <f si="1" t="shared"/>
        <v>749.17922347477293</v>
      </c>
    </row>
    <row r="56" spans="1:21" x14ac:dyDescent="0.25">
      <c r="A56" s="12">
        <v>0.10416666666666667</v>
      </c>
      <c r="B56" s="6" t="n">
        <v>42.705295873330144</v>
      </c>
      <c r="C56" s="6" t="n">
        <v>15.292783422225174</v>
      </c>
      <c r="D56" s="6" t="n">
        <v>4.227448420619014</v>
      </c>
      <c r="E56" s="6" t="n">
        <v>10.452574442187434</v>
      </c>
      <c r="F56" s="6" t="n">
        <v>2.799376180727294</v>
      </c>
      <c r="G56" s="6" t="n">
        <v>0.09424293410778048</v>
      </c>
      <c r="H56" s="6" t="n">
        <v>0.8589751352071762</v>
      </c>
      <c r="I56" s="6" t="n">
        <v>0.1302623763084412</v>
      </c>
      <c r="J56" s="6">
        <f si="0" t="shared"/>
        <v>76.56095878471244</v>
      </c>
      <c r="L56" s="12">
        <v>0.10416666666666667</v>
      </c>
      <c r="M56" s="9" t="n">
        <v>112.20717906951904</v>
      </c>
      <c r="N56" s="9" t="n">
        <v>20.18669891357422</v>
      </c>
      <c r="O56" s="9" t="n">
        <v>12.384422302246094</v>
      </c>
      <c r="P56" s="9" t="n">
        <v>21.194759368896484</v>
      </c>
      <c r="Q56" s="9" t="n">
        <v>12.758700370788574</v>
      </c>
      <c r="R56" s="9" t="n">
        <v>3.739138603210449</v>
      </c>
      <c r="S56" s="9" t="n">
        <v>23.582242012023926</v>
      </c>
      <c r="T56" s="9" t="n">
        <v>15.712629318237305</v>
      </c>
      <c r="U56">
        <f si="1" t="shared"/>
        <v>208.96844999681363</v>
      </c>
    </row>
    <row r="57" spans="1:21" x14ac:dyDescent="0.25">
      <c r="A57" s="12">
        <v>0.125</v>
      </c>
      <c r="B57" s="6" t="n">
        <v>9.298724445677475</v>
      </c>
      <c r="C57" s="6" t="n">
        <v>2.9497144359124503</v>
      </c>
      <c r="D57" s="6" t="n">
        <v>0.9979524848221097</v>
      </c>
      <c r="E57" s="6" t="n">
        <v>2.3177421067967625</v>
      </c>
      <c r="F57" s="6" t="n">
        <v>0.5416879250106036</v>
      </c>
      <c r="G57" s="6" t="n">
        <v>0.008320667266845704</v>
      </c>
      <c r="H57" s="6" t="n">
        <v>0.15038446485996246</v>
      </c>
      <c r="I57" s="6" t="n">
        <v>0.01273629713058472</v>
      </c>
      <c r="J57" s="6">
        <f si="0" t="shared"/>
        <v>16.277262827476793</v>
      </c>
      <c r="L57" s="12">
        <v>0.125</v>
      </c>
      <c r="M57" s="9" t="n">
        <v>23.6766996383667</v>
      </c>
      <c r="N57" s="9" t="n">
        <v>4.2529497146606445</v>
      </c>
      <c r="O57" s="9" t="n">
        <v>2.605663299560547</v>
      </c>
      <c r="P57" s="9" t="n">
        <v>4.459803581237793</v>
      </c>
      <c r="Q57" s="9" t="n">
        <v>2.717432975769043</v>
      </c>
      <c r="R57" s="9" t="n">
        <v>0.7878608703613281</v>
      </c>
      <c r="S57" s="9" t="n">
        <v>4.95194149017334</v>
      </c>
      <c r="T57" s="9" t="n">
        <v>3.3241844177246094</v>
      </c>
      <c r="U57">
        <f si="1" t="shared"/>
        <v>44.052449375775275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20.0</v>
      </c>
      <c r="N8" s="9" t="n">
        <v>14.0</v>
      </c>
      <c r="O8" s="9" t="n">
        <v>0.0</v>
      </c>
      <c r="P8" s="9" t="n">
        <v>0.0</v>
      </c>
      <c r="Q8" s="9" t="n">
        <v>18.0</v>
      </c>
      <c r="R8" s="9" t="n">
        <v>0.0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0.3093536923081639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3.343201292712906</v>
      </c>
      <c r="L9" s="12">
        <v>0.125</v>
      </c>
      <c r="M9" s="9" t="n">
        <v>39.41371822357178</v>
      </c>
      <c r="N9" s="9" t="n">
        <v>10.314274787902832</v>
      </c>
      <c r="O9" s="9" t="n">
        <v>0.0</v>
      </c>
      <c r="P9" s="9" t="n">
        <v>0.0</v>
      </c>
      <c r="Q9" s="9" t="n">
        <v>14.42823314666748</v>
      </c>
      <c r="R9" s="9" t="n">
        <v>2.09808349609375E-5</v>
      </c>
      <c r="S9" s="9" t="n">
        <v>0.004291534423828125</v>
      </c>
      <c r="T9" s="9" t="n">
        <v>0.0</v>
      </c>
      <c r="U9">
        <f ref="U9:U58" si="1" t="shared">SUM(M9:T9)</f>
        <v>130.64374958380455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1.4483939005265405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8.4537668669495449</v>
      </c>
      <c r="L10" s="12">
        <v>0.14583333333333334</v>
      </c>
      <c r="M10" s="9" t="n">
        <v>64.353684425354</v>
      </c>
      <c r="N10" s="9" t="n">
        <v>7.987963676452637</v>
      </c>
      <c r="O10" s="9" t="n">
        <v>0.0</v>
      </c>
      <c r="P10" s="9" t="n">
        <v>0.0</v>
      </c>
      <c r="Q10" s="9" t="n">
        <v>11.193010330200195</v>
      </c>
      <c r="R10" s="9" t="n">
        <v>2.231597900390625E-4</v>
      </c>
      <c r="S10" s="9" t="n">
        <v>0.0186614990234375</v>
      </c>
      <c r="T10" s="9" t="n">
        <v>0.0</v>
      </c>
      <c r="U10">
        <f si="1" t="shared"/>
        <v>183.24199147604645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5.252119533181551</v>
      </c>
      <c r="C11" s="6" t="n">
        <v>12.258269132064173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17.51050077693235</v>
      </c>
      <c r="L11" s="12">
        <v>0.16666666666666666</v>
      </c>
      <c r="M11" s="9" t="n">
        <v>103.22703838348389</v>
      </c>
      <c r="N11" s="9" t="n">
        <v>8.176487922668457</v>
      </c>
      <c r="O11" s="9" t="n">
        <v>0.0</v>
      </c>
      <c r="P11" s="9" t="n">
        <v>0.0</v>
      </c>
      <c r="Q11" s="9" t="n">
        <v>8.915124893188477</v>
      </c>
      <c r="R11" s="9" t="n">
        <v>0.001529693603515625</v>
      </c>
      <c r="S11" s="9" t="n">
        <v>0.060273170471191406</v>
      </c>
      <c r="T11" s="9" t="n">
        <v>0.0</v>
      </c>
      <c r="U11">
        <f si="1" t="shared"/>
        <v>210.29800912006962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15.791101723814442</v>
      </c>
      <c r="C12" s="6" t="n">
        <v>18.586568723908215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34.379912681455146</v>
      </c>
      <c r="L12" s="12">
        <v>0.1875</v>
      </c>
      <c r="M12" s="9" t="n">
        <v>166.0179033279419</v>
      </c>
      <c r="N12" s="9" t="n">
        <v>11.717851638793945</v>
      </c>
      <c r="O12" s="9" t="n">
        <v>0.0</v>
      </c>
      <c r="P12" s="9" t="n">
        <v>0.0</v>
      </c>
      <c r="Q12" s="9" t="n">
        <v>8.402917861938477</v>
      </c>
      <c r="R12" s="9" t="n">
        <v>0.007596015930175781</v>
      </c>
      <c r="S12" s="9" t="n">
        <v>0.1529407501220703</v>
      </c>
      <c r="T12" s="9" t="n">
        <v>0.0</v>
      </c>
      <c r="U12">
        <f si="1" t="shared"/>
        <v>236.50047726130393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40.92288436148369</v>
      </c>
      <c r="C13" s="6" t="n">
        <v>25.862954530135056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66.807140112077391</v>
      </c>
      <c r="L13" s="12">
        <v>0.20833333333333334</v>
      </c>
      <c r="M13" s="9" t="n">
        <v>259.8382291793823</v>
      </c>
      <c r="N13" s="9" t="n">
        <v>19.119481086730957</v>
      </c>
      <c r="O13" s="9" t="n">
        <v>0.0</v>
      </c>
      <c r="P13" s="9" t="n">
        <v>0.0</v>
      </c>
      <c r="Q13" s="9" t="n">
        <v>10.292078018188477</v>
      </c>
      <c r="R13" s="9" t="n">
        <v>0.029102325439453125</v>
      </c>
      <c r="S13" s="9" t="n">
        <v>0.3136911392211914</v>
      </c>
      <c r="T13" s="9" t="n">
        <v>0.0</v>
      </c>
      <c r="U13">
        <f si="1" t="shared"/>
        <v>290.93897428113115</v>
      </c>
    </row>
    <row r="14" spans="1:26" x14ac:dyDescent="0.25">
      <c r="A14" s="12">
        <v>0.22916666666666666</v>
      </c>
      <c r="B14" s="6" t="n">
        <v>93.91877592270131</v>
      </c>
      <c r="C14" s="6" t="n">
        <v>34.3317100720512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128.378365195486</v>
      </c>
      <c r="L14" s="12">
        <v>0.22916666666666666</v>
      </c>
      <c r="M14" s="9" t="n">
        <v>387.8295545578003</v>
      </c>
      <c r="N14" s="9" t="n">
        <v>30.756890296936035</v>
      </c>
      <c r="O14" s="9" t="n">
        <v>0.0</v>
      </c>
      <c r="P14" s="9" t="n">
        <v>0.0</v>
      </c>
      <c r="Q14" s="9" t="n">
        <v>14.929390907287598</v>
      </c>
      <c r="R14" s="9" t="n">
        <v>0.08940887451171875</v>
      </c>
      <c r="S14" s="9" t="n">
        <v>0.5333824157714844</v>
      </c>
      <c r="T14" s="9" t="n">
        <v>0.0</v>
      </c>
      <c r="U14">
        <f si="1" t="shared"/>
        <v>390.56938280844759</v>
      </c>
    </row>
    <row r="15" spans="1:26" x14ac:dyDescent="0.25">
      <c r="A15" s="12">
        <v>0.25</v>
      </c>
      <c r="B15" s="6" t="n">
        <v>194.20765414929494</v>
      </c>
      <c r="C15" s="6" t="n">
        <v>43.84354638552034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238.59581921614119</v>
      </c>
      <c r="L15" s="12">
        <v>0.25</v>
      </c>
      <c r="M15" s="9" t="n">
        <v>556.9730415344238</v>
      </c>
      <c r="N15" s="9" t="n">
        <v>47.5152473449707</v>
      </c>
      <c r="O15" s="9" t="n">
        <v>0.0</v>
      </c>
      <c r="P15" s="9" t="n">
        <v>0.0</v>
      </c>
      <c r="Q15" s="9" t="n">
        <v>22.826297760009766</v>
      </c>
      <c r="R15" s="9" t="n">
        <v>0.22593212127685547</v>
      </c>
      <c r="S15" s="9" t="n">
        <v>0.7757081985473633</v>
      </c>
      <c r="T15" s="9" t="n">
        <v>0.0</v>
      </c>
      <c r="U15">
        <f si="1" t="shared"/>
        <v>544.35616764009887</v>
      </c>
    </row>
    <row r="16" spans="1:26" x14ac:dyDescent="0.25">
      <c r="A16" s="12">
        <v>0.27083333333333331</v>
      </c>
      <c r="B16" s="6" t="n">
        <v>365.89864028497135</v>
      </c>
      <c r="C16" s="6" t="n">
        <v>52.895110595373865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420.54764488659538</v>
      </c>
      <c r="L16" s="12">
        <v>0.27083333333333331</v>
      </c>
      <c r="M16" s="9" t="n">
        <v>791.546085357666</v>
      </c>
      <c r="N16" s="9" t="n">
        <v>71.75430870056152</v>
      </c>
      <c r="O16" s="9" t="n">
        <v>0.0</v>
      </c>
      <c r="P16" s="9" t="n">
        <v>0.0</v>
      </c>
      <c r="Q16" s="9" t="n">
        <v>35.43769645690918</v>
      </c>
      <c r="R16" s="9" t="n">
        <v>0.47810935974121094</v>
      </c>
      <c r="S16" s="9" t="n">
        <v>1.0144977569580078</v>
      </c>
      <c r="T16" s="9" t="n">
        <v>0.0</v>
      </c>
      <c r="U16">
        <f si="1" t="shared"/>
        <v>770.82592777358332</v>
      </c>
    </row>
    <row r="17" spans="1:21" x14ac:dyDescent="0.25">
      <c r="A17" s="12">
        <v>0.29166666666666669</v>
      </c>
      <c r="B17" s="6" t="n">
        <v>634.3213920591752</v>
      </c>
      <c r="C17" s="6" t="n">
        <v>59.270073827384316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698.06210575377622</v>
      </c>
      <c r="L17" s="12">
        <v>0.29166666666666669</v>
      </c>
      <c r="M17" s="9" t="n">
        <v>1141.2718563079834</v>
      </c>
      <c r="N17" s="9" t="n">
        <v>107.9008150100708</v>
      </c>
      <c r="O17" s="9" t="n">
        <v>0.0</v>
      </c>
      <c r="P17" s="9" t="n">
        <v>0.0</v>
      </c>
      <c r="Q17" s="9" t="n">
        <v>55.69132137298584</v>
      </c>
      <c r="R17" s="9" t="n">
        <v>0.8597650527954102</v>
      </c>
      <c r="S17" s="9" t="n">
        <v>1.2913227081298828</v>
      </c>
      <c r="T17" s="9" t="n">
        <v>0.0</v>
      </c>
      <c r="U17">
        <f si="1" t="shared"/>
        <v>1110.7149486643502</v>
      </c>
    </row>
    <row r="18" spans="1:21" x14ac:dyDescent="0.25">
      <c r="A18" s="12">
        <v>0.3125</v>
      </c>
      <c r="B18" s="6" t="n">
        <v>1023.8408932666766</v>
      </c>
      <c r="C18" s="6" t="n">
        <v>62.43593372291965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1095.7495012863437</v>
      </c>
      <c r="L18" s="12">
        <v>0.3125</v>
      </c>
      <c r="M18" s="9" t="n">
        <v>1677.8892879486084</v>
      </c>
      <c r="N18" s="9" t="n">
        <v>162.11118698120117</v>
      </c>
      <c r="O18" s="9" t="n">
        <v>0.0</v>
      </c>
      <c r="P18" s="9" t="n">
        <v>0.0</v>
      </c>
      <c r="Q18" s="9" t="n">
        <v>88.00084590911865</v>
      </c>
      <c r="R18" s="9" t="n">
        <v>1.3344554901123047</v>
      </c>
      <c r="S18" s="9" t="n">
        <v>1.738973617553711</v>
      </c>
      <c r="T18" s="9" t="n">
        <v>0.0</v>
      </c>
      <c r="U18">
        <f si="1" t="shared"/>
        <v>1627.1110785809951</v>
      </c>
    </row>
    <row r="19" spans="1:21" x14ac:dyDescent="0.25">
      <c r="A19" s="12">
        <v>0.33333333333333331</v>
      </c>
      <c r="B19" s="6" t="n">
        <v>1560.8306256608782</v>
      </c>
      <c r="C19" s="6" t="n">
        <v>65.37600717221673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1644.200576727291</v>
      </c>
      <c r="L19" s="12">
        <v>0.33333333333333331</v>
      </c>
      <c r="M19" s="9" t="n">
        <v>2485.404026031494</v>
      </c>
      <c r="N19" s="9" t="n">
        <v>241.2403335571289</v>
      </c>
      <c r="O19" s="9" t="n">
        <v>0.0</v>
      </c>
      <c r="P19" s="9" t="n">
        <v>0.0</v>
      </c>
      <c r="Q19" s="9" t="n">
        <v>137.9692840576172</v>
      </c>
      <c r="R19" s="9" t="n">
        <v>1.8283348083496094</v>
      </c>
      <c r="S19" s="9" t="n">
        <v>2.529961585998535</v>
      </c>
      <c r="T19" s="9" t="n">
        <v>0.0</v>
      </c>
      <c r="U19">
        <f si="1" t="shared"/>
        <v>2399.861948101865</v>
      </c>
    </row>
    <row r="20" spans="1:21" x14ac:dyDescent="0.25">
      <c r="A20" s="12">
        <v>0.35416666666666669</v>
      </c>
      <c r="B20" s="6" t="n">
        <v>2283.0608505330256</v>
      </c>
      <c r="C20" s="6" t="n">
        <v>73.78795452235725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2390.9460869850791</v>
      </c>
      <c r="L20" s="12">
        <v>0.35416666666666669</v>
      </c>
      <c r="M20" s="9" t="n">
        <v>3648.0264749526978</v>
      </c>
      <c r="N20" s="9" t="n">
        <v>351.4290428161621</v>
      </c>
      <c r="O20" s="9" t="n">
        <v>0.0</v>
      </c>
      <c r="P20" s="9" t="n">
        <v>0.0</v>
      </c>
      <c r="Q20" s="9" t="n">
        <v>211.75388431549072</v>
      </c>
      <c r="R20" s="9" t="n">
        <v>2.293938636779785</v>
      </c>
      <c r="S20" s="9" t="n">
        <v>3.771265983581543</v>
      </c>
      <c r="T20" s="9" t="n">
        <v>0.0</v>
      </c>
      <c r="U20">
        <f si="1" t="shared"/>
        <v>3516.5771213402081</v>
      </c>
    </row>
    <row r="21" spans="1:21" x14ac:dyDescent="0.25">
      <c r="A21" s="12">
        <v>0.375</v>
      </c>
      <c r="B21" s="6" t="n">
        <v>3255.3606219695052</v>
      </c>
      <c r="C21" s="6" t="n">
        <v>93.57195588099853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3418.0121355582742</v>
      </c>
      <c r="L21" s="12">
        <v>0.375</v>
      </c>
      <c r="M21" s="9" t="n">
        <v>5225.928864479065</v>
      </c>
      <c r="N21" s="9" t="n">
        <v>495.84075355529785</v>
      </c>
      <c r="O21" s="9" t="n">
        <v>0.0</v>
      </c>
      <c r="P21" s="9" t="n">
        <v>0.0</v>
      </c>
      <c r="Q21" s="9" t="n">
        <v>314.4066095352173</v>
      </c>
      <c r="R21" s="9" t="n">
        <v>2.7803239822387695</v>
      </c>
      <c r="S21" s="9" t="n">
        <v>5.421844482421875</v>
      </c>
      <c r="T21" s="9" t="n">
        <v>0.0</v>
      </c>
      <c r="U21">
        <f si="1" t="shared"/>
        <v>5046.6738551217568</v>
      </c>
    </row>
    <row r="22" spans="1:21" x14ac:dyDescent="0.25">
      <c r="A22" s="12">
        <v>0.39583333333333331</v>
      </c>
      <c r="B22" s="6" t="n">
        <v>4587.677795564078</v>
      </c>
      <c r="C22" s="6" t="n">
        <v>129.33450889674873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4860.3116103932789</v>
      </c>
      <c r="L22" s="12">
        <v>0.39583333333333331</v>
      </c>
      <c r="M22" s="9" t="n">
        <v>7211.715596199036</v>
      </c>
      <c r="N22" s="9" t="n">
        <v>671.4520998001099</v>
      </c>
      <c r="O22" s="9" t="n">
        <v>0.0</v>
      </c>
      <c r="P22" s="9" t="n">
        <v>0.0</v>
      </c>
      <c r="Q22" s="9" t="n">
        <v>446.94335556030273</v>
      </c>
      <c r="R22" s="9" t="n">
        <v>3.432168960571289</v>
      </c>
      <c r="S22" s="9" t="n">
        <v>7.304281234741211</v>
      </c>
      <c r="T22" s="9" t="n">
        <v>0.0</v>
      </c>
      <c r="U22">
        <f si="1" t="shared"/>
        <v>6991.2860277641685</v>
      </c>
    </row>
    <row r="23" spans="1:21" x14ac:dyDescent="0.25">
      <c r="A23" s="12">
        <v>0.41666666666666669</v>
      </c>
      <c r="B23" s="6" t="n">
        <v>6431.240471317411</v>
      </c>
      <c r="C23" s="6" t="n">
        <v>184.7828439240596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6893.2369420997684</v>
      </c>
      <c r="L23" s="12">
        <v>0.41666666666666669</v>
      </c>
      <c r="M23" s="9" t="n">
        <v>9489.236227989197</v>
      </c>
      <c r="N23" s="9" t="n">
        <v>866.8293409347534</v>
      </c>
      <c r="O23" s="9" t="n">
        <v>0.0</v>
      </c>
      <c r="P23" s="9" t="n">
        <v>0.0</v>
      </c>
      <c r="Q23" s="9" t="n">
        <v>603.5994148254395</v>
      </c>
      <c r="R23" s="9" t="n">
        <v>4.394021034240723</v>
      </c>
      <c r="S23" s="9" t="n">
        <v>9.207691192626953</v>
      </c>
      <c r="T23" s="9" t="n">
        <v>0.0</v>
      </c>
      <c r="U23">
        <f si="1" t="shared"/>
        <v>9235.8536476148147</v>
      </c>
    </row>
    <row r="24" spans="1:21" x14ac:dyDescent="0.25">
      <c r="A24" s="12">
        <v>0.4375</v>
      </c>
      <c r="B24" s="6" t="n">
        <v>8903.554928539555</v>
      </c>
      <c r="C24" s="6" t="n">
        <v>262.69843977715044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9636.1007074408008</v>
      </c>
      <c r="L24" s="12">
        <v>0.4375</v>
      </c>
      <c r="M24" s="9" t="n">
        <v>11831.146889686584</v>
      </c>
      <c r="N24" s="9" t="n">
        <v>1063.3596458435059</v>
      </c>
      <c r="O24" s="9" t="n">
        <v>0.0</v>
      </c>
      <c r="P24" s="9" t="n">
        <v>0.0</v>
      </c>
      <c r="Q24" s="9" t="n">
        <v>771.3980798721313</v>
      </c>
      <c r="R24" s="9" t="n">
        <v>5.695005416870117</v>
      </c>
      <c r="S24" s="9" t="n">
        <v>10.988804817199707</v>
      </c>
      <c r="T24" s="9" t="n">
        <v>0.0</v>
      </c>
      <c r="U24">
        <f si="1" t="shared"/>
        <v>11547.686975501538</v>
      </c>
    </row>
    <row r="25" spans="1:21" x14ac:dyDescent="0.25">
      <c r="A25" s="12">
        <v>0.45833333333333331</v>
      </c>
      <c r="B25" s="6" t="n">
        <v>11923.557608114023</v>
      </c>
      <c r="C25" s="6" t="n">
        <v>361.9192139481155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12965.416414670262</v>
      </c>
      <c r="L25" s="12">
        <v>0.45833333333333331</v>
      </c>
      <c r="M25" s="9" t="n">
        <v>13942.813849449158</v>
      </c>
      <c r="N25" s="9" t="n">
        <v>1239.5464897155762</v>
      </c>
      <c r="O25" s="9" t="n">
        <v>0.0</v>
      </c>
      <c r="P25" s="9" t="n">
        <v>0.0</v>
      </c>
      <c r="Q25" s="9" t="n">
        <v>932.4322671890259</v>
      </c>
      <c r="R25" s="9" t="n">
        <v>7.214388847351074</v>
      </c>
      <c r="S25" s="9" t="n">
        <v>12.56894302368164</v>
      </c>
      <c r="T25" s="9" t="n">
        <v>0.0</v>
      </c>
      <c r="U25">
        <f si="1" t="shared"/>
        <v>13626.800726748081</v>
      </c>
    </row>
    <row r="26" spans="1:21" x14ac:dyDescent="0.25">
      <c r="A26" s="12">
        <v>0.47916666666666669</v>
      </c>
      <c r="B26" s="6" t="n">
        <v>15052.382330493832</v>
      </c>
      <c r="C26" s="6" t="n">
        <v>472.4958345697652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16358.99189181293</v>
      </c>
      <c r="L26" s="12">
        <v>0.47916666666666669</v>
      </c>
      <c r="M26" s="9" t="n">
        <v>15525.261687278748</v>
      </c>
      <c r="N26" s="9" t="n">
        <v>1375.3414087295532</v>
      </c>
      <c r="O26" s="9" t="n">
        <v>0.0</v>
      </c>
      <c r="P26" s="9" t="n">
        <v>0.0</v>
      </c>
      <c r="Q26" s="9" t="n">
        <v>1067.416184425354</v>
      </c>
      <c r="R26" s="9" t="n">
        <v>8.742918014526367</v>
      </c>
      <c r="S26" s="9" t="n">
        <v>13.8372220993042</v>
      </c>
      <c r="T26" s="9" t="n">
        <v>0.0</v>
      </c>
      <c r="U26">
        <f si="1" t="shared"/>
        <v>15176.7667021459</v>
      </c>
    </row>
    <row r="27" spans="1:21" x14ac:dyDescent="0.25">
      <c r="A27" s="12">
        <v>0.5</v>
      </c>
      <c r="B27" s="6" t="n">
        <v>17525.11545032275</v>
      </c>
      <c r="C27" s="6" t="n">
        <v>573.962980211842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18966.572975855775</v>
      </c>
      <c r="L27" s="12">
        <v>0.5</v>
      </c>
      <c r="M27" s="9" t="n">
        <v>16335.719644546509</v>
      </c>
      <c r="N27" s="9" t="n">
        <v>1454.9209241867065</v>
      </c>
      <c r="O27" s="9" t="n">
        <v>0.0</v>
      </c>
      <c r="P27" s="9" t="n">
        <v>0.0</v>
      </c>
      <c r="Q27" s="9" t="n">
        <v>1159.4600534439087</v>
      </c>
      <c r="R27" s="9" t="n">
        <v>10.069945335388184</v>
      </c>
      <c r="S27" s="9" t="n">
        <v>14.592977523803711</v>
      </c>
      <c r="T27" s="9" t="n">
        <v>0.0</v>
      </c>
      <c r="U27">
        <f si="1" t="shared"/>
        <v>15966.557273040289</v>
      </c>
    </row>
    <row r="28" spans="1:21" x14ac:dyDescent="0.25">
      <c r="A28" s="12">
        <v>0.52083333333333337</v>
      </c>
      <c r="B28" s="6" t="n">
        <v>18562.201219793344</v>
      </c>
      <c r="C28" s="6" t="n">
        <v>640.6318510521647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19970.294967943548</v>
      </c>
      <c r="L28" s="12">
        <v>0.52083333333333337</v>
      </c>
      <c r="M28" s="9" t="n">
        <v>16245.929973602295</v>
      </c>
      <c r="N28" s="9" t="n">
        <v>1469.08740234375</v>
      </c>
      <c r="O28" s="9" t="n">
        <v>0.0</v>
      </c>
      <c r="P28" s="9" t="n">
        <v>0.0</v>
      </c>
      <c r="Q28" s="9" t="n">
        <v>1197.930763244629</v>
      </c>
      <c r="R28" s="9" t="n">
        <v>11.040986061096191</v>
      </c>
      <c r="S28" s="9" t="n">
        <v>14.628761291503906</v>
      </c>
      <c r="T28" s="9" t="n">
        <v>0.0</v>
      </c>
      <c r="U28">
        <f si="1" t="shared"/>
        <v>15882.018281268041</v>
      </c>
    </row>
    <row r="29" spans="1:21" x14ac:dyDescent="0.25">
      <c r="A29" s="12">
        <v>0.54166666666666663</v>
      </c>
      <c r="B29" s="6" t="n">
        <v>17792.85275679335</v>
      </c>
      <c r="C29" s="6" t="n">
        <v>652.4097539673728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19026.890127122184</v>
      </c>
      <c r="L29" s="12">
        <v>0.54166666666666663</v>
      </c>
      <c r="M29" s="9" t="n">
        <v>15286.44538116455</v>
      </c>
      <c r="N29" s="9" t="n">
        <v>1417.737696647644</v>
      </c>
      <c r="O29" s="9" t="n">
        <v>0.0</v>
      </c>
      <c r="P29" s="9" t="n">
        <v>0.0</v>
      </c>
      <c r="Q29" s="9" t="n">
        <v>1181.2585344314575</v>
      </c>
      <c r="R29" s="9" t="n">
        <v>11.589909553527832</v>
      </c>
      <c r="S29" s="9" t="n">
        <v>13.884599685668945</v>
      </c>
      <c r="T29" s="9" t="n">
        <v>0.0</v>
      </c>
      <c r="U29">
        <f si="1" t="shared"/>
        <v>14961.535118984953</v>
      </c>
    </row>
    <row r="30" spans="1:21" x14ac:dyDescent="0.25">
      <c r="A30" s="12">
        <v>0.5625</v>
      </c>
      <c r="B30" s="6" t="n">
        <v>15473.171208689204</v>
      </c>
      <c r="C30" s="6" t="n">
        <v>605.2110126096808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16462.009376382146</v>
      </c>
      <c r="L30" s="12">
        <v>0.5625</v>
      </c>
      <c r="M30" s="9" t="n">
        <v>13642.41185092926</v>
      </c>
      <c r="N30" s="9" t="n">
        <v>1310.3445138931274</v>
      </c>
      <c r="O30" s="9" t="n">
        <v>0.0</v>
      </c>
      <c r="P30" s="9" t="n">
        <v>0.0</v>
      </c>
      <c r="Q30" s="9" t="n">
        <v>1116.6599197387695</v>
      </c>
      <c r="R30" s="9" t="n">
        <v>11.754895210266113</v>
      </c>
      <c r="S30" s="9" t="n">
        <v>12.507641792297363</v>
      </c>
      <c r="T30" s="9" t="n">
        <v>0.0</v>
      </c>
      <c r="U30">
        <f si="1" t="shared"/>
        <v>13388.196573027288</v>
      </c>
    </row>
    <row r="31" spans="1:21" x14ac:dyDescent="0.25">
      <c r="A31" s="12">
        <v>0.58333333333333337</v>
      </c>
      <c r="B31" s="6" t="n">
        <v>12332.745602782623</v>
      </c>
      <c r="C31" s="6" t="n">
        <v>514.7153953430646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13076.505273147379</v>
      </c>
      <c r="L31" s="12">
        <v>0.58333333333333337</v>
      </c>
      <c r="M31" s="9" t="n">
        <v>11589.780945777893</v>
      </c>
      <c r="N31" s="9" t="n">
        <v>1163.271159172058</v>
      </c>
      <c r="O31" s="9" t="n">
        <v>0.0</v>
      </c>
      <c r="P31" s="9" t="n">
        <v>0.0</v>
      </c>
      <c r="Q31" s="9" t="n">
        <v>1016.9017238616943</v>
      </c>
      <c r="R31" s="9" t="n">
        <v>11.657750129699707</v>
      </c>
      <c r="S31" s="9" t="n">
        <v>10.759282112121582</v>
      </c>
      <c r="T31" s="9" t="n">
        <v>0.0</v>
      </c>
      <c r="U31">
        <f si="1" t="shared"/>
        <v>11427.524317366395</v>
      </c>
    </row>
    <row r="32" spans="1:21" x14ac:dyDescent="0.25">
      <c r="A32" s="12">
        <v>0.60416666666666663</v>
      </c>
      <c r="B32" s="6" t="n">
        <v>9186.275015097033</v>
      </c>
      <c r="C32" s="6" t="n">
        <v>409.9810438786933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9731.7998523256429</v>
      </c>
      <c r="L32" s="12">
        <v>0.60416666666666663</v>
      </c>
      <c r="M32" s="9" t="n">
        <v>9411.798355102539</v>
      </c>
      <c r="N32" s="9" t="n">
        <v>995.9011659622192</v>
      </c>
      <c r="O32" s="9" t="n">
        <v>0.0</v>
      </c>
      <c r="P32" s="9" t="n">
        <v>0.0</v>
      </c>
      <c r="Q32" s="9" t="n">
        <v>896.9085578918457</v>
      </c>
      <c r="R32" s="9" t="n">
        <v>11.441970825195312</v>
      </c>
      <c r="S32" s="9" t="n">
        <v>8.881373405456543</v>
      </c>
      <c r="T32" s="9" t="n">
        <v>0.0</v>
      </c>
      <c r="U32">
        <f si="1" t="shared"/>
        <v>9347.0107851945904</v>
      </c>
    </row>
    <row r="33" spans="1:21" x14ac:dyDescent="0.25">
      <c r="A33" s="12">
        <v>0.625</v>
      </c>
      <c r="B33" s="6" t="n">
        <v>6591.294375130872</v>
      </c>
      <c r="C33" s="6" t="n">
        <v>318.7230220862865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7001.4524718558378</v>
      </c>
      <c r="L33" s="12">
        <v>0.625</v>
      </c>
      <c r="M33" s="9" t="n">
        <v>7342.936142921448</v>
      </c>
      <c r="N33" s="9" t="n">
        <v>827.660514831543</v>
      </c>
      <c r="O33" s="9" t="n">
        <v>0.0</v>
      </c>
      <c r="P33" s="9" t="n">
        <v>0.0</v>
      </c>
      <c r="Q33" s="9" t="n">
        <v>771.9252548217773</v>
      </c>
      <c r="R33" s="9" t="n">
        <v>11.211773872375488</v>
      </c>
      <c r="S33" s="9" t="n">
        <v>7.045554161071777</v>
      </c>
      <c r="T33" s="9" t="n">
        <v>0.0</v>
      </c>
      <c r="U33">
        <f si="1" t="shared"/>
        <v>7364.2129070148894</v>
      </c>
    </row>
    <row r="34" spans="1:21" x14ac:dyDescent="0.25">
      <c r="A34" s="12">
        <v>0.64583333333333337</v>
      </c>
      <c r="B34" s="6" t="n">
        <v>4726.5888723910175</v>
      </c>
      <c r="C34" s="6" t="n">
        <v>253.10969393956827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5054.1677434776666</v>
      </c>
      <c r="L34" s="12">
        <v>0.64583333333333337</v>
      </c>
      <c r="M34" s="9" t="n">
        <v>5546.610288619995</v>
      </c>
      <c r="N34" s="9" t="n">
        <v>675.3533058166504</v>
      </c>
      <c r="O34" s="9" t="n">
        <v>0.0</v>
      </c>
      <c r="P34" s="9" t="n">
        <v>0.0</v>
      </c>
      <c r="Q34" s="9" t="n">
        <v>655.8977241516113</v>
      </c>
      <c r="R34" s="9" t="n">
        <v>11.014655113220215</v>
      </c>
      <c r="S34" s="9" t="n">
        <v>5.376836776733398</v>
      </c>
      <c r="T34" s="9" t="n">
        <v>0.0</v>
      </c>
      <c r="U34">
        <f si="1" t="shared"/>
        <v>5631.0937067988107</v>
      </c>
    </row>
    <row r="35" spans="1:21" x14ac:dyDescent="0.25">
      <c r="A35" s="12">
        <v>0.66666666666666663</v>
      </c>
      <c r="B35" s="6" t="n">
        <v>3477.969157724405</v>
      </c>
      <c r="C35" s="6" t="n">
        <v>207.006348150161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3750.5121469600608</v>
      </c>
      <c r="L35" s="12">
        <v>0.66666666666666663</v>
      </c>
      <c r="M35" s="9" t="n">
        <v>4107.500212669373</v>
      </c>
      <c r="N35" s="9" t="n">
        <v>549.9205083847046</v>
      </c>
      <c r="O35" s="9" t="n">
        <v>0.0</v>
      </c>
      <c r="P35" s="9" t="n">
        <v>0.0</v>
      </c>
      <c r="Q35" s="9" t="n">
        <v>558.7563457489014</v>
      </c>
      <c r="R35" s="9" t="n">
        <v>10.860115051269531</v>
      </c>
      <c r="S35" s="9" t="n">
        <v>3.9661970138549805</v>
      </c>
      <c r="T35" s="9" t="n">
        <v>0.0</v>
      </c>
      <c r="U35">
        <f si="1" t="shared"/>
        <v>4232.1119895245292</v>
      </c>
    </row>
    <row r="36" spans="1:21" x14ac:dyDescent="0.25">
      <c r="A36" s="12">
        <v>0.6875</v>
      </c>
      <c r="B36" s="6" t="n">
        <v>2615.708695511583</v>
      </c>
      <c r="C36" s="6" t="n">
        <v>166.63027721844333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2836.6502234399336</v>
      </c>
      <c r="L36" s="12">
        <v>0.6875</v>
      </c>
      <c r="M36" s="9" t="n">
        <v>3032.5994186401367</v>
      </c>
      <c r="N36" s="9" t="n">
        <v>454.1120615005493</v>
      </c>
      <c r="O36" s="9" t="n">
        <v>0.0</v>
      </c>
      <c r="P36" s="9" t="n">
        <v>0.0</v>
      </c>
      <c r="Q36" s="9" t="n">
        <v>483.9202013015747</v>
      </c>
      <c r="R36" s="9" t="n">
        <v>10.735542297363281</v>
      </c>
      <c r="S36" s="9" t="n">
        <v>2.849445343017578</v>
      </c>
      <c r="T36" s="9" t="n">
        <v>0.0</v>
      </c>
      <c r="U36">
        <f si="1" t="shared"/>
        <v>3183.8052214764512</v>
      </c>
    </row>
    <row r="37" spans="1:21" x14ac:dyDescent="0.25">
      <c r="A37" s="12">
        <v>0.70833333333333337</v>
      </c>
      <c r="B37" s="6" t="n">
        <v>1947.7985482891597</v>
      </c>
      <c r="C37" s="6" t="n">
        <v>124.06421985417266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2111.0762188842709</v>
      </c>
      <c r="L37" s="12">
        <v>0.70833333333333337</v>
      </c>
      <c r="M37" s="9" t="n">
        <v>2268.2265949249268</v>
      </c>
      <c r="N37" s="9" t="n">
        <v>383.1243553161621</v>
      </c>
      <c r="O37" s="9" t="n">
        <v>0.0</v>
      </c>
      <c r="P37" s="9" t="n">
        <v>0.0</v>
      </c>
      <c r="Q37" s="9" t="n">
        <v>428.05775260925293</v>
      </c>
      <c r="R37" s="9" t="n">
        <v>10.599381446838379</v>
      </c>
      <c r="S37" s="9" t="n">
        <v>2.0024538040161133</v>
      </c>
      <c r="T37" s="9" t="n">
        <v>0.0</v>
      </c>
      <c r="U37">
        <f si="1" t="shared"/>
        <v>2442.6234585452612</v>
      </c>
    </row>
    <row r="38" spans="1:21" x14ac:dyDescent="0.25">
      <c r="A38" s="12">
        <v>0.72916666666666663</v>
      </c>
      <c r="B38" s="6" t="n">
        <v>1384.6571089726867</v>
      </c>
      <c r="C38" s="6" t="n">
        <v>81.72605916089057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1490.1432036914516</v>
      </c>
      <c r="L38" s="12">
        <v>0.72916666666666663</v>
      </c>
      <c r="M38" s="9" t="n">
        <v>1730.7522420883179</v>
      </c>
      <c r="N38" s="9" t="n">
        <v>328.01878452301025</v>
      </c>
      <c r="O38" s="9" t="n">
        <v>0.0</v>
      </c>
      <c r="P38" s="9" t="n">
        <v>0.0</v>
      </c>
      <c r="Q38" s="9" t="n">
        <v>383.3600730895996</v>
      </c>
      <c r="R38" s="9" t="n">
        <v>10.371402740478516</v>
      </c>
      <c r="S38" s="9" t="n">
        <v>1.3768348693847656</v>
      </c>
      <c r="T38" s="9" t="n">
        <v>0.0</v>
      </c>
      <c r="U38">
        <f si="1" t="shared"/>
        <v>1926.8706231923534</v>
      </c>
    </row>
    <row r="39" spans="1:21" x14ac:dyDescent="0.25">
      <c r="A39" s="12">
        <v>0.75</v>
      </c>
      <c r="B39" s="6" t="n">
        <v>918.01509387336</v>
      </c>
      <c r="C39" s="6" t="n">
        <v>46.891448705480926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976.71477863599137</v>
      </c>
      <c r="L39" s="12">
        <v>0.75</v>
      </c>
      <c r="M39" s="9" t="n">
        <v>1338.1187467575073</v>
      </c>
      <c r="N39" s="9" t="n">
        <v>280.0964765548706</v>
      </c>
      <c r="O39" s="9" t="n">
        <v>0.0</v>
      </c>
      <c r="P39" s="9" t="n">
        <v>0.0</v>
      </c>
      <c r="Q39" s="9" t="n">
        <v>341.4228630065918</v>
      </c>
      <c r="R39" s="9" t="n">
        <v>9.960566520690918</v>
      </c>
      <c r="S39" s="9" t="n">
        <v>0.9371280670166016</v>
      </c>
      <c r="T39" s="9" t="n">
        <v>0.0</v>
      </c>
      <c r="U39">
        <f si="1" t="shared"/>
        <v>1548.154289667222</v>
      </c>
    </row>
    <row r="40" spans="1:21" x14ac:dyDescent="0.25">
      <c r="A40" s="12">
        <v>0.77083333333333337</v>
      </c>
      <c r="B40" s="6" t="n">
        <v>565.6730255437559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594.9275849830608</v>
      </c>
      <c r="L40" s="12">
        <v>0.77083333333333337</v>
      </c>
      <c r="M40" s="9" t="n">
        <v>1032.2598180770874</v>
      </c>
      <c r="N40" s="9" t="n">
        <v>234.60711669921875</v>
      </c>
      <c r="O40" s="9" t="n">
        <v>0.0</v>
      </c>
      <c r="P40" s="9" t="n">
        <v>0.0</v>
      </c>
      <c r="Q40" s="9" t="n">
        <v>297.72850799560547</v>
      </c>
      <c r="R40" s="9" t="n">
        <v>9.346151351928711</v>
      </c>
      <c r="S40" s="9" t="n">
        <v>0.6605739593505859</v>
      </c>
      <c r="T40" s="9" t="n">
        <v>0.0</v>
      </c>
      <c r="U40">
        <f si="1" t="shared"/>
        <v>1242.0569094147284</v>
      </c>
    </row>
    <row r="41" spans="1:21" x14ac:dyDescent="0.25">
      <c r="A41" s="12">
        <v>0.79166666666666663</v>
      </c>
      <c r="B41" s="6" t="n">
        <v>333.9943702985268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350.36229505134543</v>
      </c>
      <c r="L41" s="12">
        <v>0.79166666666666663</v>
      </c>
      <c r="M41" s="9" t="n">
        <v>788.0754117965698</v>
      </c>
      <c r="N41" s="9" t="n">
        <v>192.41399669647217</v>
      </c>
      <c r="O41" s="9" t="n">
        <v>0.0</v>
      </c>
      <c r="P41" s="9" t="n">
        <v>0.0</v>
      </c>
      <c r="Q41" s="9" t="n">
        <v>254.68628120422363</v>
      </c>
      <c r="R41" s="9" t="n">
        <v>8.655549049377441</v>
      </c>
      <c r="S41" s="9" t="n">
        <v>0.5122509002685547</v>
      </c>
      <c r="T41" s="9" t="n">
        <v>0.0</v>
      </c>
      <c r="U41">
        <f si="1" t="shared"/>
        <v>985.19230493379428</v>
      </c>
    </row>
    <row r="42" spans="1:21" x14ac:dyDescent="0.25">
      <c r="A42" s="12">
        <v>0.8125</v>
      </c>
      <c r="B42" s="6" t="n">
        <v>211.51601761737214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226.77452631441605</v>
      </c>
      <c r="L42" s="12">
        <v>0.8125</v>
      </c>
      <c r="M42" s="9" t="n">
        <v>606.1590909957886</v>
      </c>
      <c r="N42" s="9" t="n">
        <v>158.34618186950684</v>
      </c>
      <c r="O42" s="9" t="n">
        <v>0.0</v>
      </c>
      <c r="P42" s="9" t="n">
        <v>0.0</v>
      </c>
      <c r="Q42" s="9" t="n">
        <v>220.21886825561523</v>
      </c>
      <c r="R42" s="9" t="n">
        <v>8.130380630493164</v>
      </c>
      <c r="S42" s="9" t="n">
        <v>0.43532848358154297</v>
      </c>
      <c r="T42" s="9" t="n">
        <v>0.0</v>
      </c>
      <c r="U42">
        <f si="1" t="shared"/>
        <v>787.93338800804759</v>
      </c>
    </row>
    <row r="43" spans="1:21" x14ac:dyDescent="0.25">
      <c r="A43" s="12">
        <v>0.83333333333333337</v>
      </c>
      <c r="B43" s="6" t="n">
        <v>175.30406584389434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195.55180956847767</v>
      </c>
      <c r="L43" s="12">
        <v>0.83333333333333337</v>
      </c>
      <c r="M43" s="9" t="n">
        <v>492.2298307418823</v>
      </c>
      <c r="N43" s="9" t="n">
        <v>136.63690567016602</v>
      </c>
      <c r="O43" s="9" t="n">
        <v>0.0</v>
      </c>
      <c r="P43" s="9" t="n">
        <v>0.0</v>
      </c>
      <c r="Q43" s="9" t="n">
        <v>201.28428268432617</v>
      </c>
      <c r="R43" s="9" t="n">
        <v>7.945957183837891</v>
      </c>
      <c r="S43" s="9" t="n">
        <v>0.3716459274291992</v>
      </c>
      <c r="T43" s="9" t="n">
        <v>0.0</v>
      </c>
      <c r="U43">
        <f si="1" t="shared"/>
        <v>665.94540683909941</v>
      </c>
    </row>
    <row r="44" spans="1:21" x14ac:dyDescent="0.25">
      <c r="A44" s="12">
        <v>0.85416666666666663</v>
      </c>
      <c r="B44" s="6" t="n">
        <v>193.60821227306604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219.62534954619946</v>
      </c>
      <c r="L44" s="12">
        <v>0.85416666666666663</v>
      </c>
      <c r="M44" s="9" t="n">
        <v>436.8230838775635</v>
      </c>
      <c r="N44" s="9" t="n">
        <v>126.53223037719727</v>
      </c>
      <c r="O44" s="9" t="n">
        <v>0.0</v>
      </c>
      <c r="P44" s="9" t="n">
        <v>0.0</v>
      </c>
      <c r="Q44" s="9" t="n">
        <v>196.81996822357178</v>
      </c>
      <c r="R44" s="9" t="n">
        <v>8.02200698852539</v>
      </c>
      <c r="S44" s="9" t="n">
        <v>0.2904834747314453</v>
      </c>
      <c r="T44" s="9" t="n">
        <v>0.0</v>
      </c>
      <c r="U44">
        <f si="1" t="shared"/>
        <v>611.64590219697106</v>
      </c>
    </row>
    <row r="45" spans="1:21" x14ac:dyDescent="0.25">
      <c r="A45" s="12">
        <v>0.875</v>
      </c>
      <c r="B45" s="6" t="n">
        <v>227.54910077526856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255.99862723653555</v>
      </c>
      <c r="L45" s="12">
        <v>0.875</v>
      </c>
      <c r="M45" s="9" t="n">
        <v>410.9950170516968</v>
      </c>
      <c r="N45" s="9" t="n">
        <v>121.70879745483398</v>
      </c>
      <c r="O45" s="9" t="n">
        <v>0.0</v>
      </c>
      <c r="P45" s="9" t="n">
        <v>0.0</v>
      </c>
      <c r="Q45" s="9" t="n">
        <v>196.61866283416748</v>
      </c>
      <c r="R45" s="9" t="n">
        <v>8.027602195739746</v>
      </c>
      <c r="S45" s="9" t="n">
        <v>0.1963338851928711</v>
      </c>
      <c r="T45" s="9" t="n">
        <v>0.0</v>
      </c>
      <c r="U45">
        <f si="1" t="shared"/>
        <v>588.69484212012947</v>
      </c>
    </row>
    <row r="46" spans="1:21" x14ac:dyDescent="0.25">
      <c r="A46" s="12">
        <v>0.89583333333333337</v>
      </c>
      <c r="B46" s="6" t="n">
        <v>241.14119248779227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266.98227902243838</v>
      </c>
      <c r="L46" s="12">
        <v>0.89583333333333337</v>
      </c>
      <c r="M46" s="9" t="n">
        <v>380.74837493896484</v>
      </c>
      <c r="N46" s="9" t="n">
        <v>114.13237476348877</v>
      </c>
      <c r="O46" s="9" t="n">
        <v>0.0</v>
      </c>
      <c r="P46" s="9" t="n">
        <v>0.0</v>
      </c>
      <c r="Q46" s="9" t="n">
        <v>187.89488315582275</v>
      </c>
      <c r="R46" s="9" t="n">
        <v>7.6087846755981445</v>
      </c>
      <c r="S46" s="9" t="n">
        <v>0.11126041412353516</v>
      </c>
      <c r="T46" s="9" t="n">
        <v>0.0</v>
      </c>
      <c r="U46">
        <f si="1" t="shared"/>
        <v>552.70531920321878</v>
      </c>
    </row>
    <row r="47" spans="1:21" x14ac:dyDescent="0.25">
      <c r="A47" s="12">
        <v>0.91666666666666663</v>
      </c>
      <c r="B47" s="6" t="n">
        <v>216.78801727090024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236.16689107985582</v>
      </c>
      <c r="L47" s="12">
        <v>0.91666666666666663</v>
      </c>
      <c r="M47" s="9" t="n">
        <v>326.45172023773193</v>
      </c>
      <c r="N47" s="9" t="n">
        <v>99.11810684204102</v>
      </c>
      <c r="O47" s="9" t="n">
        <v>0.0</v>
      </c>
      <c r="P47" s="9" t="n">
        <v>0.0</v>
      </c>
      <c r="Q47" s="9" t="n">
        <v>164.01659965515137</v>
      </c>
      <c r="R47" s="9" t="n">
        <v>6.6349334716796875</v>
      </c>
      <c r="S47" s="9" t="n">
        <v>0.051788330078125</v>
      </c>
      <c r="T47" s="9" t="n">
        <v>0.0</v>
      </c>
      <c r="U47">
        <f si="1" t="shared"/>
        <v>478.51749902177386</v>
      </c>
    </row>
    <row r="48" spans="1:21" x14ac:dyDescent="0.25">
      <c r="A48" s="12">
        <v>0.9375</v>
      </c>
      <c r="B48" s="6" t="n">
        <v>162.01170981989682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173.9370853026814</v>
      </c>
      <c r="L48" s="12">
        <v>0.9375</v>
      </c>
      <c r="M48" s="9" t="n">
        <v>250.63189315795898</v>
      </c>
      <c r="N48" s="9" t="n">
        <v>77.54130268096924</v>
      </c>
      <c r="O48" s="9" t="n">
        <v>0.0</v>
      </c>
      <c r="P48" s="9" t="n">
        <v>0.0</v>
      </c>
      <c r="Q48" s="9" t="n">
        <v>127.99441719055176</v>
      </c>
      <c r="R48" s="9" t="n">
        <v>5.253894805908203</v>
      </c>
      <c r="S48" s="9" t="n">
        <v>0.019408226013183594</v>
      </c>
      <c r="T48" s="9" t="n">
        <v>0.0</v>
      </c>
      <c r="U48">
        <f si="1" t="shared"/>
        <v>371.17797910723851</v>
      </c>
    </row>
    <row r="49" spans="1:21" x14ac:dyDescent="0.25">
      <c r="A49" s="12">
        <v>0.95833333333333337</v>
      </c>
      <c r="B49" s="6" t="n">
        <v>99.57140575793176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105.53409349932404</v>
      </c>
      <c r="L49" s="12">
        <v>0.95833333333333337</v>
      </c>
      <c r="M49" s="9" t="n">
        <v>170.05010890960693</v>
      </c>
      <c r="N49" s="9" t="n">
        <v>54.04270935058594</v>
      </c>
      <c r="O49" s="9" t="n">
        <v>0.0</v>
      </c>
      <c r="P49" s="9" t="n">
        <v>0.0</v>
      </c>
      <c r="Q49" s="9" t="n">
        <v>88.77871608734131</v>
      </c>
      <c r="R49" s="9" t="n">
        <v>3.7572193145751953</v>
      </c>
      <c r="S49" s="9" t="n">
        <v>0.005707740783691406</v>
      </c>
      <c r="T49" s="9" t="n">
        <v>0.0</v>
      </c>
      <c r="U49">
        <f si="1" t="shared"/>
        <v>255.21769579218952</v>
      </c>
    </row>
    <row r="50" spans="1:21" x14ac:dyDescent="0.25">
      <c r="A50" s="12">
        <v>0.97916666666666663</v>
      </c>
      <c r="B50" s="6" t="n">
        <v>49.759081227305515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52.144156323862433</v>
      </c>
      <c r="L50" s="12">
        <v>0.97916666666666663</v>
      </c>
      <c r="M50" s="9" t="n">
        <v>101.59736633300781</v>
      </c>
      <c r="N50" s="9" t="n">
        <v>33.45998287200928</v>
      </c>
      <c r="O50" s="9" t="n">
        <v>0.0</v>
      </c>
      <c r="P50" s="9" t="n">
        <v>0.0</v>
      </c>
      <c r="Q50" s="9" t="n">
        <v>54.82241344451904</v>
      </c>
      <c r="R50" s="9" t="n">
        <v>2.4122934341430664</v>
      </c>
      <c r="S50" s="9" t="n">
        <v>0.0012683868408203125</v>
      </c>
      <c r="T50" s="9" t="n">
        <v>0.0</v>
      </c>
      <c r="U50">
        <f si="1" t="shared"/>
        <v>155.26986128499902</v>
      </c>
    </row>
    <row r="51" spans="1:21" x14ac:dyDescent="0.25">
      <c r="A51" s="12">
        <v>1</v>
      </c>
      <c r="B51" s="6" t="n">
        <v>19.898736299920614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20.644072267594652</v>
      </c>
      <c r="L51" s="12">
        <v>1</v>
      </c>
      <c r="M51" s="9" t="n">
        <v>53.42063617706299</v>
      </c>
      <c r="N51" s="9" t="n">
        <v>18.394286155700684</v>
      </c>
      <c r="O51" s="9" t="n">
        <v>0.0</v>
      </c>
      <c r="P51" s="9" t="n">
        <v>0.0</v>
      </c>
      <c r="Q51" s="9" t="n">
        <v>30.22688102722168</v>
      </c>
      <c r="R51" s="9" t="n">
        <v>1.3752899169921875</v>
      </c>
      <c r="S51" s="9" t="n">
        <v>2.002716064453125E-4</v>
      </c>
      <c r="T51" s="9" t="n">
        <v>0.0</v>
      </c>
      <c r="U51">
        <f si="1" t="shared"/>
        <v>83.671368936665388</v>
      </c>
    </row>
    <row r="52" spans="1:21" x14ac:dyDescent="0.25">
      <c r="A52" s="12">
        <v>1.0208333333333333</v>
      </c>
      <c r="B52" s="6" t="n">
        <v>6.217652872389375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6.3930260412538544</v>
      </c>
      <c r="L52" s="12">
        <v>1.0208333333333333</v>
      </c>
      <c r="M52" s="9" t="n">
        <v>24.674702644348145</v>
      </c>
      <c r="N52" s="9" t="n">
        <v>8.95699691772461</v>
      </c>
      <c r="O52" s="9" t="n">
        <v>0.0</v>
      </c>
      <c r="P52" s="9" t="n">
        <v>0.0</v>
      </c>
      <c r="Q52" s="9" t="n">
        <v>14.864331245422363</v>
      </c>
      <c r="R52" s="9" t="n">
        <v>0.6843385696411133</v>
      </c>
      <c r="S52" s="9" t="n">
        <v>2.002716064453125E-5</v>
      </c>
      <c r="T52" s="9" t="n">
        <v>0.0</v>
      </c>
      <c r="U52">
        <f si="1" t="shared"/>
        <v>39.926188288852387</v>
      </c>
    </row>
    <row r="53" spans="1:21" x14ac:dyDescent="0.25">
      <c r="A53" s="12">
        <v>4.1666666666666664E-2</v>
      </c>
      <c r="B53" s="6" t="n">
        <v>1.4629110550247173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1.4921399165021305</v>
      </c>
      <c r="L53" s="12">
        <v>4.1666666666666664E-2</v>
      </c>
      <c r="M53" s="9" t="n">
        <v>9.947358131408691</v>
      </c>
      <c r="N53" s="9" t="n">
        <v>3.8340396881103516</v>
      </c>
      <c r="O53" s="9" t="n">
        <v>0.0</v>
      </c>
      <c r="P53" s="9" t="n">
        <v>0.0</v>
      </c>
      <c r="Q53" s="9" t="n">
        <v>6.4613237380981445</v>
      </c>
      <c r="R53" s="9" t="n">
        <v>0.2905750274658203</v>
      </c>
      <c r="S53" s="9" t="n">
        <v>9.5367431640625E-7</v>
      </c>
      <c r="T53" s="9" t="n">
        <v>0.0</v>
      </c>
      <c r="U53">
        <f si="1" t="shared"/>
        <v>16.781550626470739</v>
      </c>
    </row>
    <row r="54" spans="1:21" x14ac:dyDescent="0.25">
      <c r="A54" s="12">
        <v>6.25E-2</v>
      </c>
      <c r="B54" s="6" t="n">
        <v>0.24381553680534362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0.24689225906612397</v>
      </c>
      <c r="L54" s="12">
        <v>6.25E-2</v>
      </c>
      <c r="M54" s="9" t="n">
        <v>3.453118324279785</v>
      </c>
      <c r="N54" s="9" t="n">
        <v>1.4211692810058594</v>
      </c>
      <c r="O54" s="9" t="n">
        <v>0.0</v>
      </c>
      <c r="P54" s="9" t="n">
        <v>0.0</v>
      </c>
      <c r="Q54" s="9" t="n">
        <v>2.4373435974121094</v>
      </c>
      <c r="R54" s="9" t="n">
        <v>0.10245513916015625</v>
      </c>
      <c r="S54" s="9" t="n">
        <v>0.0</v>
      </c>
      <c r="T54" s="9" t="n">
        <v>0.0</v>
      </c>
      <c r="U54">
        <f si="1" t="shared"/>
        <v>6.1316478346978194</v>
      </c>
    </row>
    <row r="55" spans="1:21" x14ac:dyDescent="0.25">
      <c r="A55" s="12">
        <v>8.3333333333333329E-2</v>
      </c>
      <c r="B55" s="6" t="n">
        <v>0.02566479334793091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2.5818629460969928E-2</v>
      </c>
      <c r="L55" s="12">
        <v>8.3333333333333329E-2</v>
      </c>
      <c r="M55" s="9" t="n">
        <v>1.009613037109375</v>
      </c>
      <c r="N55" s="9" t="n">
        <v>0.4455547332763672</v>
      </c>
      <c r="O55" s="9" t="n">
        <v>0.0</v>
      </c>
      <c r="P55" s="9" t="n">
        <v>0.0</v>
      </c>
      <c r="Q55" s="9" t="n">
        <v>0.7762613296508789</v>
      </c>
      <c r="R55" s="9" t="n">
        <v>0.029018402099609375</v>
      </c>
      <c r="S55" s="9" t="n">
        <v>0.0</v>
      </c>
      <c r="T55" s="9" t="n">
        <v>0.0</v>
      </c>
      <c r="U55">
        <f si="1" t="shared"/>
        <v>1.9037631820021903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1.2832396673965454E-3</v>
      </c>
      <c r="L56" s="12">
        <v>0.10416666666666667</v>
      </c>
      <c r="M56" s="9" t="n">
        <v>0.24071311950683594</v>
      </c>
      <c r="N56" s="9" t="n">
        <v>0.11426734924316406</v>
      </c>
      <c r="O56" s="9" t="n">
        <v>0.0</v>
      </c>
      <c r="P56" s="9" t="n">
        <v>0.0</v>
      </c>
      <c r="Q56" s="9" t="n">
        <v>0.20128726959228516</v>
      </c>
      <c r="R56" s="9" t="n">
        <v>0.006318092346191406</v>
      </c>
      <c r="S56" s="9" t="n">
        <v>0.0</v>
      </c>
      <c r="T56" s="9" t="n">
        <v>0.0</v>
      </c>
      <c r="U56">
        <f si="1" t="shared"/>
        <v>0.48565544414859813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0.044190406799316406</v>
      </c>
      <c r="N57" s="9" t="n">
        <v>0.022579193115234375</v>
      </c>
      <c r="O57" s="9" t="n">
        <v>0.0</v>
      </c>
      <c r="P57" s="9" t="n">
        <v>0.0</v>
      </c>
      <c r="Q57" s="9" t="n">
        <v>0.03997230529785156</v>
      </c>
      <c r="R57" s="9" t="n">
        <v>9.851455688476562E-4</v>
      </c>
      <c r="S57" s="9" t="n">
        <v>0.0</v>
      </c>
      <c r="T57" s="9" t="n">
        <v>0.0</v>
      </c>
      <c r="U57">
        <f si="1" t="shared"/>
        <v>9.5788467926497242E-2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M32" sqref="M32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99</v>
      </c>
      <c r="C8" t="s">
        <v>100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0.77947916666666661</v>
      </c>
      <c r="G9" t="s">
        <v>105</v>
      </c>
      <c r="H9">
        <v>23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109</v>
      </c>
      <c r="E11">
        <v>-10</v>
      </c>
      <c r="F11">
        <v>0</v>
      </c>
    </row>
    <row r="12" spans="1:11" x14ac:dyDescent="0.25">
      <c r="B12">
        <v>12</v>
      </c>
      <c r="C12" t="s">
        <v>110</v>
      </c>
      <c r="D12" t="s">
        <v>111</v>
      </c>
      <c r="E12">
        <v>-4.9807800000000002</v>
      </c>
      <c r="F12">
        <v>0.19084391923499999</v>
      </c>
    </row>
    <row r="13" spans="1:11" x14ac:dyDescent="0.25">
      <c r="B13">
        <v>13</v>
      </c>
      <c r="C13" t="s">
        <v>112</v>
      </c>
      <c r="D13" t="s">
        <v>111</v>
      </c>
      <c r="E13">
        <v>-2.18872</v>
      </c>
      <c r="F13" s="57">
        <v>7.2995255516100005E-2</v>
      </c>
    </row>
    <row r="14" spans="1:11" x14ac:dyDescent="0.25">
      <c r="B14">
        <v>14</v>
      </c>
      <c r="C14" t="s">
        <v>113</v>
      </c>
      <c r="D14" t="s">
        <v>109</v>
      </c>
      <c r="E14">
        <v>-1.29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-1.46191</v>
      </c>
      <c r="F15" s="57">
        <v>6.9916201179400006E-2</v>
      </c>
    </row>
    <row r="16" spans="1:11" x14ac:dyDescent="0.25">
      <c r="B16">
        <v>16</v>
      </c>
      <c r="C16" t="s">
        <v>115</v>
      </c>
      <c r="D16" t="s">
        <v>111</v>
      </c>
      <c r="E16">
        <v>-1.91828</v>
      </c>
      <c r="F16" s="57">
        <v>9.9670315984699998E-2</v>
      </c>
    </row>
    <row r="17" spans="2:6" x14ac:dyDescent="0.25">
      <c r="B17">
        <v>17</v>
      </c>
      <c r="C17" t="s">
        <v>116</v>
      </c>
      <c r="D17" t="s">
        <v>111</v>
      </c>
      <c r="E17">
        <v>-2.0692599999999999</v>
      </c>
      <c r="F17">
        <v>0.17572866040999999</v>
      </c>
    </row>
    <row r="18" spans="2:6" x14ac:dyDescent="0.25">
      <c r="B18">
        <v>18</v>
      </c>
      <c r="C18" t="s">
        <v>117</v>
      </c>
      <c r="D18" t="s">
        <v>111</v>
      </c>
      <c r="E18">
        <v>-2.19163</v>
      </c>
      <c r="F18">
        <v>0.25258711517100002</v>
      </c>
    </row>
    <row r="19" spans="2:6" x14ac:dyDescent="0.25">
      <c r="B19">
        <v>19</v>
      </c>
      <c r="C19" t="s">
        <v>118</v>
      </c>
      <c r="D19" t="s">
        <v>111</v>
      </c>
      <c r="E19">
        <v>-3.6867000000000001</v>
      </c>
      <c r="F19">
        <v>0.34532247393900001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109</v>
      </c>
      <c r="E21">
        <v>-10</v>
      </c>
      <c r="F21">
        <v>0</v>
      </c>
    </row>
    <row r="22" spans="2:6" x14ac:dyDescent="0.25">
      <c r="B22">
        <v>22</v>
      </c>
      <c r="C22" t="s">
        <v>121</v>
      </c>
      <c r="D22" t="s">
        <v>111</v>
      </c>
      <c r="E22">
        <v>-2.6249699999999998</v>
      </c>
      <c r="F22">
        <v>0.23098752432200001</v>
      </c>
    </row>
    <row r="23" spans="2:6" x14ac:dyDescent="0.25">
      <c r="B23">
        <v>23</v>
      </c>
      <c r="C23" t="s">
        <v>122</v>
      </c>
      <c r="D23" t="s">
        <v>111</v>
      </c>
      <c r="E23">
        <v>-0.84769000000000005</v>
      </c>
      <c r="F23">
        <v>0.149145210443</v>
      </c>
    </row>
    <row r="24" spans="2:6" x14ac:dyDescent="0.25">
      <c r="B24">
        <v>24</v>
      </c>
      <c r="C24" t="s">
        <v>123</v>
      </c>
      <c r="D24" t="s">
        <v>111</v>
      </c>
      <c r="E24">
        <v>0.46710000000000002</v>
      </c>
      <c r="F24">
        <v>0.101520233238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-0.89420999999999995</v>
      </c>
      <c r="F26" s="57">
        <v>9.5037555322300002E-2</v>
      </c>
    </row>
    <row r="27" spans="2:6" x14ac:dyDescent="0.25">
      <c r="B27">
        <v>27</v>
      </c>
      <c r="C27" t="s">
        <v>126</v>
      </c>
      <c r="D27" t="s">
        <v>111</v>
      </c>
      <c r="E27">
        <v>-1.82273</v>
      </c>
      <c r="F27">
        <v>0.11791001973699999</v>
      </c>
    </row>
    <row r="28" spans="2:6" x14ac:dyDescent="0.25">
      <c r="B28">
        <v>28</v>
      </c>
      <c r="C28" t="s">
        <v>127</v>
      </c>
      <c r="D28" t="s">
        <v>111</v>
      </c>
      <c r="E28">
        <v>-2.3654199999999999</v>
      </c>
      <c r="F28">
        <v>0.132091652196</v>
      </c>
    </row>
    <row r="29" spans="2:6" x14ac:dyDescent="0.25">
      <c r="B29">
        <v>29</v>
      </c>
      <c r="C29" t="s">
        <v>128</v>
      </c>
      <c r="D29" t="s">
        <v>111</v>
      </c>
      <c r="E29">
        <v>-3.26417</v>
      </c>
      <c r="F29">
        <v>0.189238751383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130</v>
      </c>
      <c r="D31" t="s">
        <v>111</v>
      </c>
      <c r="E31">
        <v>-0.39251999999999998</v>
      </c>
      <c r="F31">
        <v>0.237170453452</v>
      </c>
    </row>
    <row r="32" spans="2:6" x14ac:dyDescent="0.25">
      <c r="B32">
        <v>32</v>
      </c>
      <c r="C32" t="s">
        <v>131</v>
      </c>
      <c r="D32" t="s">
        <v>111</v>
      </c>
      <c r="E32">
        <v>-2.12E-2</v>
      </c>
      <c r="F32">
        <v>0.190107165818</v>
      </c>
    </row>
    <row r="33" spans="2:6" x14ac:dyDescent="0.25">
      <c r="B33">
        <v>33</v>
      </c>
      <c r="C33" t="s">
        <v>132</v>
      </c>
      <c r="D33" t="s">
        <v>111</v>
      </c>
      <c r="E33">
        <v>0.27398</v>
      </c>
      <c r="F33">
        <v>0.15285170349300001</v>
      </c>
    </row>
    <row r="34" spans="2:6" x14ac:dyDescent="0.25">
      <c r="B34">
        <v>34</v>
      </c>
      <c r="C34" t="s">
        <v>133</v>
      </c>
      <c r="D34" t="s">
        <v>111</v>
      </c>
      <c r="E34">
        <v>0.40205000000000002</v>
      </c>
      <c r="F34">
        <v>0.117301271226</v>
      </c>
    </row>
    <row r="35" spans="2:6" x14ac:dyDescent="0.25">
      <c r="B35">
        <v>35</v>
      </c>
      <c r="C35" t="s">
        <v>134</v>
      </c>
      <c r="D35" t="s">
        <v>109</v>
      </c>
      <c r="E35">
        <v>-0.65956000000000004</v>
      </c>
      <c r="F35">
        <v>0</v>
      </c>
    </row>
    <row r="36" spans="2:6" x14ac:dyDescent="0.25">
      <c r="B36">
        <v>36</v>
      </c>
      <c r="C36" t="s">
        <v>135</v>
      </c>
      <c r="D36" t="s">
        <v>111</v>
      </c>
      <c r="E36">
        <v>-1.0128299999999999</v>
      </c>
      <c r="F36">
        <v>0.14804180768299999</v>
      </c>
    </row>
    <row r="37" spans="2:6" x14ac:dyDescent="0.25">
      <c r="B37">
        <v>37</v>
      </c>
      <c r="C37" t="s">
        <v>136</v>
      </c>
      <c r="D37" t="s">
        <v>111</v>
      </c>
      <c r="E37">
        <v>-2.6750600000000002</v>
      </c>
      <c r="F37">
        <v>0.27910988101</v>
      </c>
    </row>
    <row r="38" spans="2:6" x14ac:dyDescent="0.25">
      <c r="B38">
        <v>38</v>
      </c>
      <c r="C38" t="s">
        <v>137</v>
      </c>
      <c r="D38" t="s">
        <v>111</v>
      </c>
      <c r="E38">
        <v>-3.10283</v>
      </c>
      <c r="F38">
        <v>0.29470290619299999</v>
      </c>
    </row>
    <row r="39" spans="2:6" x14ac:dyDescent="0.25">
      <c r="B39">
        <v>39</v>
      </c>
      <c r="C39" t="s">
        <v>138</v>
      </c>
      <c r="D39" t="s">
        <v>111</v>
      </c>
      <c r="E39">
        <v>-2.8355899999999998</v>
      </c>
      <c r="F39">
        <v>0.48079949040499997</v>
      </c>
    </row>
    <row r="40" spans="2:6" x14ac:dyDescent="0.25">
      <c r="B40">
        <v>40</v>
      </c>
      <c r="C40" t="s">
        <v>139</v>
      </c>
      <c r="D40" t="s">
        <v>109</v>
      </c>
      <c r="E40">
        <v>-10</v>
      </c>
      <c r="F40">
        <v>0</v>
      </c>
    </row>
    <row r="41" spans="2:6" x14ac:dyDescent="0.25">
      <c r="B41">
        <v>41</v>
      </c>
      <c r="C41" t="s">
        <v>140</v>
      </c>
      <c r="D41" t="s">
        <v>111</v>
      </c>
      <c r="E41" s="57">
        <v>4.3589999999999997E-2</v>
      </c>
      <c r="F41" s="57">
        <v>2.9144653828100001E-2</v>
      </c>
    </row>
    <row r="42" spans="2:6" x14ac:dyDescent="0.25">
      <c r="B42">
        <v>42</v>
      </c>
      <c r="C42" t="s">
        <v>141</v>
      </c>
      <c r="D42" t="s">
        <v>111</v>
      </c>
      <c r="E42" s="57">
        <v>-1.3860000000000001E-2</v>
      </c>
      <c r="F42" s="57">
        <v>2.5540181241499999E-2</v>
      </c>
    </row>
    <row r="43" spans="2:6" x14ac:dyDescent="0.25">
      <c r="B43">
        <v>43</v>
      </c>
      <c r="C43" t="s">
        <v>142</v>
      </c>
      <c r="D43" t="s">
        <v>111</v>
      </c>
      <c r="E43">
        <v>0.12146999999999999</v>
      </c>
      <c r="F43" s="57">
        <v>2.16348405658E-2</v>
      </c>
    </row>
    <row r="44" spans="2:6" x14ac:dyDescent="0.25">
      <c r="B44">
        <v>44</v>
      </c>
      <c r="C44" t="s">
        <v>143</v>
      </c>
      <c r="D44" t="s">
        <v>111</v>
      </c>
      <c r="E44" s="57">
        <v>-2.971E-2</v>
      </c>
      <c r="F44" s="57">
        <v>1.9029379502599999E-2</v>
      </c>
    </row>
    <row r="45" spans="2:6" x14ac:dyDescent="0.25">
      <c r="B45">
        <v>45</v>
      </c>
      <c r="C45" t="s">
        <v>144</v>
      </c>
      <c r="D45" t="s">
        <v>111</v>
      </c>
      <c r="E45">
        <v>0.12216</v>
      </c>
      <c r="F45" s="57">
        <v>1.47317799812E-2</v>
      </c>
    </row>
    <row r="46" spans="2:6" x14ac:dyDescent="0.25">
      <c r="B46">
        <v>46</v>
      </c>
      <c r="C46" t="s">
        <v>145</v>
      </c>
      <c r="D46" t="s">
        <v>111</v>
      </c>
      <c r="E46" s="57">
        <v>-8.9099999999999999E-2</v>
      </c>
      <c r="F46" s="57">
        <v>1.18154215857E-2</v>
      </c>
    </row>
    <row r="47" spans="2:6" x14ac:dyDescent="0.25">
      <c r="B47">
        <v>49</v>
      </c>
      <c r="C47" t="s">
        <v>146</v>
      </c>
      <c r="D47" t="s">
        <v>111</v>
      </c>
      <c r="E47">
        <v>-0.22692999999999999</v>
      </c>
      <c r="F47" s="57">
        <v>3.0899816639900001E-2</v>
      </c>
    </row>
    <row r="48" spans="2:6" x14ac:dyDescent="0.25">
      <c r="B48">
        <v>50</v>
      </c>
      <c r="C48" t="s">
        <v>147</v>
      </c>
      <c r="D48" t="s">
        <v>111</v>
      </c>
      <c r="E48" s="57">
        <v>3.2120000000000003E-2</v>
      </c>
      <c r="F48" s="57">
        <v>1.62016296187E-2</v>
      </c>
    </row>
    <row r="49" spans="2:6" x14ac:dyDescent="0.25">
      <c r="B49">
        <v>61</v>
      </c>
      <c r="C49" t="s">
        <v>148</v>
      </c>
      <c r="D49" t="s">
        <v>111</v>
      </c>
      <c r="E49" s="57">
        <v>3.0380000000000001E-2</v>
      </c>
      <c r="F49" s="57">
        <v>4.4872964750799996E-3</v>
      </c>
    </row>
    <row r="50" spans="2:6" x14ac:dyDescent="0.25">
      <c r="B50">
        <v>62</v>
      </c>
      <c r="C50" t="s">
        <v>149</v>
      </c>
      <c r="D50" t="s">
        <v>111</v>
      </c>
      <c r="E50" s="57">
        <v>-3.6940000000000001E-2</v>
      </c>
      <c r="F50" s="57">
        <v>5.1415963050300004E-3</v>
      </c>
    </row>
    <row r="51" spans="2:6" x14ac:dyDescent="0.25">
      <c r="B51">
        <v>65</v>
      </c>
      <c r="C51" t="s">
        <v>150</v>
      </c>
      <c r="D51" t="s">
        <v>111</v>
      </c>
      <c r="E51" s="57">
        <v>-3.7399999999999998E-3</v>
      </c>
      <c r="F51" s="57">
        <v>4.9827426349599996E-3</v>
      </c>
    </row>
    <row r="52" spans="2:6" x14ac:dyDescent="0.25">
      <c r="B52">
        <v>66</v>
      </c>
      <c r="C52" t="s">
        <v>151</v>
      </c>
      <c r="D52" t="s">
        <v>111</v>
      </c>
      <c r="E52" s="57">
        <v>-2.6710000000000001E-2</v>
      </c>
      <c r="F52" s="57">
        <v>6.1033757858199996E-3</v>
      </c>
    </row>
    <row r="53" spans="2:6" x14ac:dyDescent="0.25">
      <c r="B53">
        <v>67</v>
      </c>
      <c r="C53" t="s">
        <v>152</v>
      </c>
      <c r="D53" t="s">
        <v>111</v>
      </c>
      <c r="E53" s="57">
        <v>-2.6689999999999998E-2</v>
      </c>
      <c r="F53" s="57">
        <v>1.67516400993E-2</v>
      </c>
    </row>
    <row r="54" spans="2:6" x14ac:dyDescent="0.25">
      <c r="B54">
        <v>68</v>
      </c>
      <c r="C54" t="s">
        <v>153</v>
      </c>
      <c r="D54" t="s">
        <v>111</v>
      </c>
      <c r="E54" s="57">
        <v>3.2489999999999998E-2</v>
      </c>
      <c r="F54" s="57">
        <v>1.46569282191E-2</v>
      </c>
    </row>
    <row r="55" spans="2:6" x14ac:dyDescent="0.25">
      <c r="B55">
        <v>85</v>
      </c>
      <c r="C55" t="s">
        <v>154</v>
      </c>
      <c r="D55" t="s">
        <v>109</v>
      </c>
      <c r="E55">
        <v>0.25</v>
      </c>
      <c r="F55">
        <v>0</v>
      </c>
    </row>
    <row r="56" spans="2:6" x14ac:dyDescent="0.25">
      <c r="B56">
        <v>86</v>
      </c>
      <c r="C56" t="s">
        <v>155</v>
      </c>
      <c r="D56" t="s">
        <v>109</v>
      </c>
      <c r="E56">
        <v>0.25</v>
      </c>
      <c r="F56">
        <v>0</v>
      </c>
    </row>
    <row r="57" spans="2:6" x14ac:dyDescent="0.25">
      <c r="B57">
        <v>87</v>
      </c>
      <c r="C57" t="s">
        <v>156</v>
      </c>
      <c r="D57" t="s">
        <v>109</v>
      </c>
      <c r="E57">
        <v>0.25</v>
      </c>
      <c r="F57">
        <v>0</v>
      </c>
    </row>
    <row r="58" spans="2:6" x14ac:dyDescent="0.25">
      <c r="B58">
        <v>88</v>
      </c>
      <c r="C58" t="s">
        <v>157</v>
      </c>
      <c r="D58" t="s">
        <v>109</v>
      </c>
      <c r="E58">
        <v>0.25</v>
      </c>
      <c r="F58">
        <v>0</v>
      </c>
    </row>
    <row r="59" spans="2:6" x14ac:dyDescent="0.25">
      <c r="B59">
        <v>91</v>
      </c>
      <c r="C59" t="s">
        <v>158</v>
      </c>
      <c r="D59" t="s">
        <v>109</v>
      </c>
      <c r="E59">
        <v>5</v>
      </c>
      <c r="F59">
        <v>0</v>
      </c>
    </row>
    <row r="60" spans="2:6" x14ac:dyDescent="0.25">
      <c r="B60">
        <v>92</v>
      </c>
      <c r="C60" t="s">
        <v>159</v>
      </c>
      <c r="D60" t="s">
        <v>111</v>
      </c>
      <c r="E60">
        <v>3.1049899999999999</v>
      </c>
      <c r="F60">
        <v>1.3381559598299999</v>
      </c>
    </row>
    <row r="61" spans="2:6" x14ac:dyDescent="0.25">
      <c r="B61">
        <v>93</v>
      </c>
      <c r="C61" t="s">
        <v>160</v>
      </c>
      <c r="D61" t="s">
        <v>111</v>
      </c>
      <c r="E61">
        <v>-0.33954000000000001</v>
      </c>
      <c r="F61" s="57">
        <v>1.9763978037700001E-2</v>
      </c>
    </row>
    <row r="62" spans="2:6" x14ac:dyDescent="0.25">
      <c r="B62">
        <v>94</v>
      </c>
      <c r="C62" t="s">
        <v>161</v>
      </c>
      <c r="D62" t="s">
        <v>111</v>
      </c>
      <c r="E62">
        <v>-0.16217999999999999</v>
      </c>
      <c r="F62" s="57">
        <v>1.6863004336299999E-2</v>
      </c>
    </row>
    <row r="63" spans="2:6" x14ac:dyDescent="0.25">
      <c r="B63">
        <v>95</v>
      </c>
      <c r="C63" t="s">
        <v>162</v>
      </c>
      <c r="D63" t="s">
        <v>111</v>
      </c>
      <c r="E63">
        <v>-0.16872000000000001</v>
      </c>
      <c r="F63" s="57">
        <v>1.76289796486E-2</v>
      </c>
    </row>
    <row r="64" spans="2:6" x14ac:dyDescent="0.25">
      <c r="B64">
        <v>96</v>
      </c>
      <c r="C64" t="s">
        <v>163</v>
      </c>
      <c r="D64" t="s">
        <v>111</v>
      </c>
      <c r="E64" s="57">
        <v>-6.9599999999999995E-2</v>
      </c>
      <c r="F64" s="57">
        <v>1.43135557327E-2</v>
      </c>
    </row>
    <row r="65" spans="2:11" x14ac:dyDescent="0.25">
      <c r="B65">
        <v>97</v>
      </c>
      <c r="C65" t="s">
        <v>164</v>
      </c>
      <c r="D65" t="s">
        <v>111</v>
      </c>
      <c r="E65">
        <v>-152.64789999999999</v>
      </c>
      <c r="F65">
        <v>11.5595556537</v>
      </c>
    </row>
    <row r="66" spans="2:11" x14ac:dyDescent="0.25">
      <c r="B66">
        <v>99</v>
      </c>
      <c r="C66" t="s">
        <v>165</v>
      </c>
      <c r="D66" t="s">
        <v>111</v>
      </c>
      <c r="E66">
        <v>-0.51661000000000001</v>
      </c>
      <c r="F66">
        <v>0.141977347921</v>
      </c>
    </row>
    <row r="67" spans="2:11" x14ac:dyDescent="0.25">
      <c r="B67">
        <v>100</v>
      </c>
      <c r="C67" t="s">
        <v>166</v>
      </c>
      <c r="D67" t="s">
        <v>111</v>
      </c>
      <c r="E67" s="57">
        <v>-2.3E-3</v>
      </c>
      <c r="F67">
        <v>0.19178589278899999</v>
      </c>
    </row>
    <row r="68" spans="2:11" x14ac:dyDescent="0.25">
      <c r="B68">
        <v>124</v>
      </c>
      <c r="C68" t="s">
        <v>167</v>
      </c>
      <c r="D68" t="s">
        <v>111</v>
      </c>
      <c r="E68">
        <v>0.75265000000000004</v>
      </c>
      <c r="F68" s="57">
        <v>8.3114288417399998E-2</v>
      </c>
    </row>
    <row r="69" spans="2:11" x14ac:dyDescent="0.25">
      <c r="B69">
        <v>139</v>
      </c>
      <c r="C69" t="s">
        <v>168</v>
      </c>
      <c r="D69" t="s">
        <v>111</v>
      </c>
      <c r="E69">
        <v>0.17319000000000001</v>
      </c>
      <c r="F69" s="57">
        <v>4.0420156765799999E-2</v>
      </c>
    </row>
    <row r="70" spans="2:11" x14ac:dyDescent="0.25">
      <c r="B70">
        <v>140</v>
      </c>
      <c r="C70" t="s">
        <v>169</v>
      </c>
      <c r="D70" t="s">
        <v>111</v>
      </c>
      <c r="E70" s="57">
        <v>-8.1339999999999996E-2</v>
      </c>
      <c r="F70" s="57">
        <v>4.5223529462399999E-2</v>
      </c>
    </row>
    <row r="71" spans="2:11" x14ac:dyDescent="0.25">
      <c r="B71">
        <v>143</v>
      </c>
      <c r="C71" t="s">
        <v>170</v>
      </c>
      <c r="D71" t="s">
        <v>111</v>
      </c>
      <c r="E71" s="57">
        <v>-7.9009999999999997E-2</v>
      </c>
      <c r="F71" s="57">
        <v>3.2902214837699999E-2</v>
      </c>
    </row>
    <row r="72" spans="2:11" x14ac:dyDescent="0.25">
      <c r="B72">
        <v>144</v>
      </c>
      <c r="C72" t="s">
        <v>171</v>
      </c>
      <c r="D72" t="s">
        <v>111</v>
      </c>
      <c r="E72" s="57">
        <v>6.2170000000000003E-2</v>
      </c>
      <c r="F72" s="57">
        <v>1.8724359684500001E-2</v>
      </c>
    </row>
    <row r="73" spans="2:11" x14ac:dyDescent="0.25">
      <c r="B73">
        <v>-1</v>
      </c>
    </row>
    <row r="74" spans="2:11" x14ac:dyDescent="0.25">
      <c r="B74">
        <v>2724</v>
      </c>
      <c r="C74" s="57">
        <v>-14928.927280100001</v>
      </c>
      <c r="D74" s="57">
        <v>-18805.085161200001</v>
      </c>
      <c r="E74" s="57">
        <v>-15026.3680045</v>
      </c>
    </row>
    <row r="75" spans="2:11" x14ac:dyDescent="0.25">
      <c r="B75">
        <v>7</v>
      </c>
      <c r="C75" t="s">
        <v>172</v>
      </c>
      <c r="D75" t="s">
        <v>105</v>
      </c>
      <c r="E75">
        <v>23</v>
      </c>
      <c r="F75" t="s">
        <v>106</v>
      </c>
      <c r="G75">
        <v>16</v>
      </c>
    </row>
    <row r="76" spans="2:11" x14ac:dyDescent="0.25">
      <c r="B76">
        <v>0</v>
      </c>
      <c r="C76">
        <v>0</v>
      </c>
      <c r="D76">
        <v>27936</v>
      </c>
      <c r="E76">
        <v>0</v>
      </c>
      <c r="F76">
        <v>0</v>
      </c>
      <c r="G76">
        <v>0</v>
      </c>
      <c r="H76">
        <v>0</v>
      </c>
      <c r="I76">
        <v>-2015</v>
      </c>
      <c r="J76">
        <v>13356</v>
      </c>
      <c r="K76">
        <v>0</v>
      </c>
    </row>
    <row r="77" spans="2:11" x14ac:dyDescent="0.25">
      <c r="B77">
        <v>0</v>
      </c>
      <c r="C77">
        <v>-14709</v>
      </c>
      <c r="D77">
        <v>-8465</v>
      </c>
      <c r="E77">
        <v>0</v>
      </c>
      <c r="F77">
        <v>56394</v>
      </c>
      <c r="G77">
        <v>0</v>
      </c>
      <c r="H77">
        <v>-19001</v>
      </c>
      <c r="I77">
        <v>-19060</v>
      </c>
      <c r="J77">
        <v>0</v>
      </c>
      <c r="K77">
        <v>48860</v>
      </c>
    </row>
    <row r="78" spans="2:11" x14ac:dyDescent="0.25">
      <c r="B78">
        <v>83332</v>
      </c>
      <c r="C78">
        <v>0</v>
      </c>
      <c r="D78">
        <v>-19349</v>
      </c>
      <c r="E78">
        <v>-21487</v>
      </c>
      <c r="F78">
        <v>0</v>
      </c>
      <c r="G78">
        <v>43872</v>
      </c>
      <c r="H78">
        <v>77939</v>
      </c>
      <c r="I78">
        <v>88786</v>
      </c>
      <c r="J78">
        <v>0</v>
      </c>
      <c r="K78">
        <v>-15379</v>
      </c>
    </row>
    <row r="79" spans="2:11" x14ac:dyDescent="0.25">
      <c r="B79">
        <v>-17673</v>
      </c>
      <c r="C79">
        <v>0</v>
      </c>
      <c r="D79">
        <v>35412</v>
      </c>
      <c r="E79">
        <v>65066</v>
      </c>
      <c r="F79">
        <v>75946</v>
      </c>
      <c r="G79">
        <v>82838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-11243</v>
      </c>
      <c r="I81">
        <v>-16153</v>
      </c>
      <c r="J81">
        <v>0</v>
      </c>
      <c r="K81">
        <v>17337</v>
      </c>
    </row>
    <row r="82" spans="2:11" x14ac:dyDescent="0.25">
      <c r="B82">
        <v>26892</v>
      </c>
      <c r="C82">
        <v>29102</v>
      </c>
      <c r="D82">
        <v>28742</v>
      </c>
      <c r="E82">
        <v>23845</v>
      </c>
      <c r="F82">
        <v>0</v>
      </c>
      <c r="G82">
        <v>0</v>
      </c>
      <c r="H82">
        <v>0</v>
      </c>
      <c r="I82">
        <v>-9976</v>
      </c>
      <c r="J82">
        <v>-13334</v>
      </c>
      <c r="K82">
        <v>0</v>
      </c>
    </row>
    <row r="83" spans="2:11" x14ac:dyDescent="0.25">
      <c r="B83">
        <v>13549</v>
      </c>
      <c r="C83">
        <v>22625</v>
      </c>
      <c r="D83">
        <v>28665</v>
      </c>
      <c r="E83">
        <v>29039</v>
      </c>
      <c r="F83">
        <v>24901</v>
      </c>
      <c r="G83">
        <v>0</v>
      </c>
      <c r="H83">
        <v>0</v>
      </c>
      <c r="I83">
        <v>81550</v>
      </c>
      <c r="J83">
        <v>0</v>
      </c>
      <c r="K83">
        <v>-9226</v>
      </c>
    </row>
    <row r="84" spans="2:11" x14ac:dyDescent="0.25">
      <c r="B84">
        <v>-11953</v>
      </c>
      <c r="C84">
        <v>0</v>
      </c>
      <c r="D84">
        <v>9412</v>
      </c>
      <c r="E84">
        <v>13278</v>
      </c>
      <c r="F84">
        <v>19610</v>
      </c>
      <c r="G84">
        <v>22293</v>
      </c>
      <c r="H84">
        <v>18609</v>
      </c>
      <c r="I84">
        <v>0</v>
      </c>
      <c r="J84">
        <v>0</v>
      </c>
      <c r="K84">
        <v>67703</v>
      </c>
    </row>
    <row r="85" spans="2:11" x14ac:dyDescent="0.25">
      <c r="B85">
        <v>81562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4662</v>
      </c>
      <c r="I86">
        <v>4120</v>
      </c>
      <c r="J86">
        <v>0</v>
      </c>
      <c r="K86">
        <v>-7255</v>
      </c>
    </row>
    <row r="87" spans="2:11" x14ac:dyDescent="0.25">
      <c r="B87">
        <v>-8911</v>
      </c>
      <c r="C87">
        <v>-9633</v>
      </c>
      <c r="D87">
        <v>-14105</v>
      </c>
      <c r="E87">
        <v>-11082</v>
      </c>
      <c r="F87">
        <v>0</v>
      </c>
      <c r="G87">
        <v>0</v>
      </c>
      <c r="H87">
        <v>-3280</v>
      </c>
      <c r="I87">
        <v>5327</v>
      </c>
      <c r="J87">
        <v>23347</v>
      </c>
      <c r="K87">
        <v>0</v>
      </c>
    </row>
    <row r="88" spans="2:11" x14ac:dyDescent="0.25">
      <c r="B88">
        <v>0</v>
      </c>
      <c r="C88">
        <v>6018</v>
      </c>
      <c r="D88">
        <v>7913</v>
      </c>
      <c r="E88">
        <v>0</v>
      </c>
      <c r="F88">
        <v>-8365</v>
      </c>
      <c r="G88">
        <v>-12199</v>
      </c>
      <c r="H88">
        <v>-12742</v>
      </c>
      <c r="I88">
        <v>-19674</v>
      </c>
      <c r="J88">
        <v>-14484</v>
      </c>
      <c r="K88">
        <v>0</v>
      </c>
    </row>
    <row r="89" spans="2:11" x14ac:dyDescent="0.25">
      <c r="B89">
        <v>0</v>
      </c>
      <c r="C89">
        <v>-18317</v>
      </c>
      <c r="D89">
        <v>-12122</v>
      </c>
      <c r="E89">
        <v>6455</v>
      </c>
      <c r="F89">
        <v>0</v>
      </c>
      <c r="G89">
        <v>52009</v>
      </c>
      <c r="H89">
        <v>0</v>
      </c>
      <c r="I89">
        <v>6549</v>
      </c>
      <c r="J89">
        <v>8625</v>
      </c>
      <c r="K89">
        <v>0</v>
      </c>
    </row>
    <row r="90" spans="2:11" x14ac:dyDescent="0.25">
      <c r="B90">
        <v>-12421</v>
      </c>
      <c r="C90">
        <v>-18734</v>
      </c>
      <c r="D90">
        <v>-19479</v>
      </c>
      <c r="E90">
        <v>-27306</v>
      </c>
      <c r="F90">
        <v>-25997</v>
      </c>
      <c r="G90">
        <v>0</v>
      </c>
      <c r="H90">
        <v>0</v>
      </c>
      <c r="I90">
        <v>-35083</v>
      </c>
      <c r="J90">
        <v>-30640</v>
      </c>
      <c r="K90">
        <v>-8724</v>
      </c>
    </row>
    <row r="91" spans="2:11" x14ac:dyDescent="0.25">
      <c r="B91">
        <v>0</v>
      </c>
      <c r="C91">
        <v>53224</v>
      </c>
      <c r="D91">
        <v>60248</v>
      </c>
      <c r="E91">
        <v>0</v>
      </c>
      <c r="F91">
        <v>7199</v>
      </c>
      <c r="G91">
        <v>9577</v>
      </c>
      <c r="H91">
        <v>0</v>
      </c>
      <c r="I91">
        <v>-12156</v>
      </c>
      <c r="J91">
        <v>-19314</v>
      </c>
      <c r="K91">
        <v>-22522</v>
      </c>
    </row>
    <row r="92" spans="2:11" x14ac:dyDescent="0.25">
      <c r="B92">
        <v>-28507</v>
      </c>
      <c r="C92">
        <v>-33640</v>
      </c>
      <c r="D92">
        <v>0</v>
      </c>
      <c r="E92">
        <v>0</v>
      </c>
      <c r="F92">
        <v>-45559</v>
      </c>
      <c r="G92">
        <v>-44196</v>
      </c>
      <c r="H92">
        <v>-22893</v>
      </c>
      <c r="I92">
        <v>0</v>
      </c>
      <c r="J92">
        <v>44603</v>
      </c>
      <c r="K92">
        <v>53821</v>
      </c>
    </row>
    <row r="93" spans="2:11" x14ac:dyDescent="0.25">
      <c r="B93">
        <v>71716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4583</v>
      </c>
      <c r="D95">
        <v>4276</v>
      </c>
      <c r="E95">
        <v>0</v>
      </c>
      <c r="F95">
        <v>-6217</v>
      </c>
      <c r="G95">
        <v>-6323</v>
      </c>
      <c r="H95">
        <v>-7213</v>
      </c>
      <c r="I95">
        <v>-9933</v>
      </c>
      <c r="J95">
        <v>-13660</v>
      </c>
      <c r="K95">
        <v>0</v>
      </c>
    </row>
    <row r="96" spans="2:11" x14ac:dyDescent="0.25">
      <c r="B96">
        <v>0</v>
      </c>
      <c r="C96">
        <v>-15270</v>
      </c>
      <c r="D96">
        <v>-20617</v>
      </c>
      <c r="E96">
        <v>-16752</v>
      </c>
      <c r="F96">
        <v>0</v>
      </c>
      <c r="G96">
        <v>10290</v>
      </c>
      <c r="H96">
        <v>13040</v>
      </c>
      <c r="I96">
        <v>16523</v>
      </c>
      <c r="J96">
        <v>21409</v>
      </c>
      <c r="K96">
        <v>0</v>
      </c>
    </row>
    <row r="97" spans="2:11" x14ac:dyDescent="0.25">
      <c r="B97">
        <v>0</v>
      </c>
      <c r="C97">
        <v>4962</v>
      </c>
      <c r="D97">
        <v>3765</v>
      </c>
      <c r="E97">
        <v>0</v>
      </c>
      <c r="F97">
        <v>-5834</v>
      </c>
      <c r="G97">
        <v>-5823</v>
      </c>
      <c r="H97">
        <v>-6328</v>
      </c>
      <c r="I97">
        <v>-9894</v>
      </c>
      <c r="J97">
        <v>-12710</v>
      </c>
      <c r="K97">
        <v>0</v>
      </c>
    </row>
    <row r="98" spans="2:11" x14ac:dyDescent="0.25">
      <c r="B98">
        <v>0</v>
      </c>
      <c r="C98">
        <v>-13194</v>
      </c>
      <c r="D98">
        <v>-20731</v>
      </c>
      <c r="E98">
        <v>-18523</v>
      </c>
      <c r="F98">
        <v>0</v>
      </c>
      <c r="G98">
        <v>11434</v>
      </c>
      <c r="H98">
        <v>13843</v>
      </c>
      <c r="I98">
        <v>16725</v>
      </c>
      <c r="J98">
        <v>20919</v>
      </c>
      <c r="K98">
        <v>0</v>
      </c>
    </row>
    <row r="99" spans="2:11" x14ac:dyDescent="0.25">
      <c r="B99">
        <v>94924</v>
      </c>
      <c r="C99">
        <v>0</v>
      </c>
      <c r="D99">
        <v>5595</v>
      </c>
      <c r="E99">
        <v>4367</v>
      </c>
      <c r="F99">
        <v>0</v>
      </c>
      <c r="G99">
        <v>-6149</v>
      </c>
      <c r="H99">
        <v>-3843</v>
      </c>
      <c r="I99">
        <v>-4917</v>
      </c>
      <c r="J99">
        <v>-9485</v>
      </c>
      <c r="K99">
        <v>-11238</v>
      </c>
    </row>
    <row r="100" spans="2:11" x14ac:dyDescent="0.25">
      <c r="B100">
        <v>0</v>
      </c>
      <c r="C100">
        <v>0</v>
      </c>
      <c r="D100">
        <v>-11309</v>
      </c>
      <c r="E100">
        <v>-16376</v>
      </c>
      <c r="F100">
        <v>-20423</v>
      </c>
      <c r="G100">
        <v>0</v>
      </c>
      <c r="H100">
        <v>12503</v>
      </c>
      <c r="I100">
        <v>14162</v>
      </c>
      <c r="J100">
        <v>16055</v>
      </c>
      <c r="K100">
        <v>18839</v>
      </c>
    </row>
    <row r="101" spans="2:11" x14ac:dyDescent="0.25">
      <c r="B101">
        <v>0</v>
      </c>
      <c r="C101">
        <v>85486</v>
      </c>
      <c r="D101">
        <v>89046</v>
      </c>
      <c r="E101">
        <v>0</v>
      </c>
      <c r="F101">
        <v>4748</v>
      </c>
      <c r="G101">
        <v>1255</v>
      </c>
      <c r="H101">
        <v>0</v>
      </c>
      <c r="I101">
        <v>-2737</v>
      </c>
      <c r="J101">
        <v>-1651</v>
      </c>
      <c r="K101">
        <v>-2343</v>
      </c>
    </row>
    <row r="102" spans="2:11" x14ac:dyDescent="0.25">
      <c r="B102">
        <v>-6389</v>
      </c>
      <c r="C102">
        <v>-7312</v>
      </c>
      <c r="D102">
        <v>0</v>
      </c>
      <c r="E102">
        <v>0</v>
      </c>
      <c r="F102">
        <v>-5419</v>
      </c>
      <c r="G102">
        <v>-7577</v>
      </c>
      <c r="H102">
        <v>-8363</v>
      </c>
      <c r="I102">
        <v>0</v>
      </c>
      <c r="J102">
        <v>14102</v>
      </c>
      <c r="K102">
        <v>14717</v>
      </c>
    </row>
    <row r="103" spans="2:11" x14ac:dyDescent="0.25">
      <c r="B103">
        <v>14141</v>
      </c>
      <c r="C103">
        <v>14675</v>
      </c>
      <c r="D103">
        <v>0</v>
      </c>
      <c r="E103">
        <v>67434</v>
      </c>
      <c r="F103">
        <v>74345</v>
      </c>
      <c r="G103">
        <v>80283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1004</v>
      </c>
      <c r="D106">
        <v>-2001</v>
      </c>
      <c r="E106">
        <v>0</v>
      </c>
      <c r="F106">
        <v>66</v>
      </c>
      <c r="G106">
        <v>712</v>
      </c>
      <c r="H106">
        <v>866</v>
      </c>
      <c r="I106">
        <v>2821</v>
      </c>
      <c r="J106">
        <v>4071</v>
      </c>
      <c r="K106">
        <v>0</v>
      </c>
    </row>
    <row r="107" spans="2:11" x14ac:dyDescent="0.25">
      <c r="B107">
        <v>0</v>
      </c>
      <c r="C107">
        <v>127</v>
      </c>
      <c r="D107">
        <v>-89</v>
      </c>
      <c r="E107">
        <v>-2191</v>
      </c>
      <c r="F107">
        <v>0</v>
      </c>
      <c r="G107">
        <v>-4783</v>
      </c>
      <c r="H107">
        <v>-13484</v>
      </c>
      <c r="I107">
        <v>-14441</v>
      </c>
      <c r="J107">
        <v>-11431</v>
      </c>
      <c r="K107">
        <v>0</v>
      </c>
    </row>
    <row r="108" spans="2:11" x14ac:dyDescent="0.25">
      <c r="B108">
        <v>6373</v>
      </c>
      <c r="C108">
        <v>13054</v>
      </c>
      <c r="D108">
        <v>22871</v>
      </c>
      <c r="E108">
        <v>39423</v>
      </c>
      <c r="F108">
        <v>0</v>
      </c>
      <c r="G108">
        <v>0</v>
      </c>
      <c r="H108">
        <v>510</v>
      </c>
      <c r="I108">
        <v>-202</v>
      </c>
      <c r="J108">
        <v>0</v>
      </c>
      <c r="K108">
        <v>617</v>
      </c>
    </row>
    <row r="109" spans="2:11" x14ac:dyDescent="0.25">
      <c r="B109">
        <v>1374</v>
      </c>
      <c r="C109">
        <v>1271</v>
      </c>
      <c r="D109">
        <v>2927</v>
      </c>
      <c r="E109">
        <v>4862</v>
      </c>
      <c r="F109">
        <v>0</v>
      </c>
      <c r="G109">
        <v>0</v>
      </c>
      <c r="H109">
        <v>586</v>
      </c>
      <c r="I109">
        <v>855</v>
      </c>
      <c r="J109">
        <v>-680</v>
      </c>
      <c r="K109">
        <v>0</v>
      </c>
    </row>
    <row r="110" spans="2:11" x14ac:dyDescent="0.25">
      <c r="B110">
        <v>-380</v>
      </c>
      <c r="C110">
        <v>-7539</v>
      </c>
      <c r="D110">
        <v>-14828</v>
      </c>
      <c r="E110">
        <v>-11352</v>
      </c>
      <c r="F110">
        <v>0</v>
      </c>
      <c r="G110">
        <v>-5903</v>
      </c>
      <c r="H110">
        <v>-1964</v>
      </c>
      <c r="I110">
        <v>4661</v>
      </c>
      <c r="J110">
        <v>16360</v>
      </c>
      <c r="K110">
        <v>0</v>
      </c>
    </row>
    <row r="111" spans="2:11" x14ac:dyDescent="0.25">
      <c r="B111">
        <v>28608</v>
      </c>
      <c r="C111">
        <v>0</v>
      </c>
      <c r="D111">
        <v>1011</v>
      </c>
      <c r="E111">
        <v>-433</v>
      </c>
      <c r="F111">
        <v>0</v>
      </c>
      <c r="G111">
        <v>995</v>
      </c>
      <c r="H111">
        <v>1485</v>
      </c>
      <c r="I111">
        <v>1344</v>
      </c>
      <c r="J111">
        <v>3430</v>
      </c>
      <c r="K111">
        <v>8096</v>
      </c>
    </row>
    <row r="112" spans="2:11" x14ac:dyDescent="0.25">
      <c r="B112">
        <v>0</v>
      </c>
      <c r="C112">
        <v>0</v>
      </c>
      <c r="D112">
        <v>721</v>
      </c>
      <c r="E112">
        <v>1623</v>
      </c>
      <c r="F112">
        <v>29</v>
      </c>
      <c r="G112">
        <v>0</v>
      </c>
      <c r="H112">
        <v>-572</v>
      </c>
      <c r="I112">
        <v>-4857</v>
      </c>
      <c r="J112">
        <v>-16391</v>
      </c>
      <c r="K112">
        <v>-20662</v>
      </c>
    </row>
    <row r="113" spans="2:11" x14ac:dyDescent="0.25">
      <c r="B113">
        <v>0</v>
      </c>
      <c r="C113">
        <v>-19241</v>
      </c>
      <c r="D113">
        <v>-15005</v>
      </c>
      <c r="E113">
        <v>-6734</v>
      </c>
      <c r="F113">
        <v>8734</v>
      </c>
      <c r="G113">
        <v>0</v>
      </c>
      <c r="H113">
        <v>31140</v>
      </c>
      <c r="I113">
        <v>23638</v>
      </c>
      <c r="J113">
        <v>0</v>
      </c>
      <c r="K113">
        <v>-524</v>
      </c>
    </row>
    <row r="114" spans="2:11" x14ac:dyDescent="0.25">
      <c r="B114">
        <v>-684</v>
      </c>
      <c r="C114">
        <v>0</v>
      </c>
      <c r="D114">
        <v>1124</v>
      </c>
      <c r="E114">
        <v>882</v>
      </c>
      <c r="F114">
        <v>789</v>
      </c>
      <c r="G114">
        <v>2436</v>
      </c>
      <c r="H114">
        <v>7616</v>
      </c>
      <c r="I114">
        <v>0</v>
      </c>
      <c r="J114">
        <v>0</v>
      </c>
      <c r="K114">
        <v>-937</v>
      </c>
    </row>
    <row r="115" spans="2:11" x14ac:dyDescent="0.25">
      <c r="B115">
        <v>125</v>
      </c>
      <c r="C115">
        <v>-507</v>
      </c>
      <c r="D115">
        <v>0</v>
      </c>
      <c r="E115">
        <v>-585</v>
      </c>
      <c r="F115">
        <v>-3437</v>
      </c>
      <c r="G115">
        <v>-8211</v>
      </c>
      <c r="H115">
        <v>-20190</v>
      </c>
      <c r="I115">
        <v>0</v>
      </c>
      <c r="J115">
        <v>-24919</v>
      </c>
      <c r="K115">
        <v>-21929</v>
      </c>
    </row>
    <row r="116" spans="2:11" x14ac:dyDescent="0.25">
      <c r="B116">
        <v>-15073</v>
      </c>
      <c r="C116">
        <v>-1452</v>
      </c>
      <c r="D116">
        <v>0</v>
      </c>
      <c r="E116">
        <v>22836</v>
      </c>
      <c r="F116">
        <v>18571</v>
      </c>
      <c r="G116">
        <v>28473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4023</v>
      </c>
      <c r="I119">
        <v>5546</v>
      </c>
      <c r="J119">
        <v>0</v>
      </c>
      <c r="K119">
        <v>-6826</v>
      </c>
    </row>
    <row r="120" spans="2:11" x14ac:dyDescent="0.25">
      <c r="B120">
        <v>-15958</v>
      </c>
      <c r="C120">
        <v>-18955</v>
      </c>
      <c r="D120">
        <v>-20211</v>
      </c>
      <c r="E120">
        <v>-22025</v>
      </c>
      <c r="F120">
        <v>0</v>
      </c>
      <c r="G120">
        <v>0</v>
      </c>
      <c r="H120">
        <v>16902</v>
      </c>
      <c r="I120">
        <v>17550</v>
      </c>
      <c r="J120">
        <v>12822</v>
      </c>
      <c r="K120">
        <v>0</v>
      </c>
    </row>
    <row r="121" spans="2:11" x14ac:dyDescent="0.25">
      <c r="B121">
        <v>-5075</v>
      </c>
      <c r="C121">
        <v>-9112</v>
      </c>
      <c r="D121">
        <v>-13646</v>
      </c>
      <c r="E121">
        <v>-17122</v>
      </c>
      <c r="F121">
        <v>0</v>
      </c>
      <c r="G121">
        <v>-3980</v>
      </c>
      <c r="H121">
        <v>-3975</v>
      </c>
      <c r="I121">
        <v>-3320</v>
      </c>
      <c r="J121">
        <v>-2132</v>
      </c>
      <c r="K121">
        <v>0</v>
      </c>
    </row>
    <row r="122" spans="2:11" x14ac:dyDescent="0.25">
      <c r="B122">
        <v>1276</v>
      </c>
      <c r="C122">
        <v>1263</v>
      </c>
      <c r="D122">
        <v>2107</v>
      </c>
      <c r="E122">
        <v>1551</v>
      </c>
      <c r="F122">
        <v>0</v>
      </c>
      <c r="G122">
        <v>0</v>
      </c>
      <c r="H122">
        <v>-208</v>
      </c>
      <c r="I122">
        <v>-118</v>
      </c>
      <c r="J122">
        <v>0</v>
      </c>
      <c r="K122">
        <v>265</v>
      </c>
    </row>
    <row r="123" spans="2:11" x14ac:dyDescent="0.25">
      <c r="B123">
        <v>35</v>
      </c>
      <c r="C123">
        <v>-496</v>
      </c>
      <c r="D123">
        <v>-600</v>
      </c>
      <c r="E123">
        <v>9</v>
      </c>
      <c r="F123">
        <v>0</v>
      </c>
      <c r="G123">
        <v>0</v>
      </c>
      <c r="H123">
        <v>10850</v>
      </c>
      <c r="I123">
        <v>10196</v>
      </c>
      <c r="J123">
        <v>7588</v>
      </c>
      <c r="K123">
        <v>0</v>
      </c>
    </row>
    <row r="124" spans="2:11" x14ac:dyDescent="0.25">
      <c r="B124">
        <v>-3204</v>
      </c>
      <c r="C124">
        <v>-5196</v>
      </c>
      <c r="D124">
        <v>-8369</v>
      </c>
      <c r="E124">
        <v>-10024</v>
      </c>
      <c r="F124">
        <v>0</v>
      </c>
      <c r="G124">
        <v>6786</v>
      </c>
      <c r="H124">
        <v>5096</v>
      </c>
      <c r="I124">
        <v>3439</v>
      </c>
      <c r="J124">
        <v>1690</v>
      </c>
      <c r="K124">
        <v>0</v>
      </c>
    </row>
    <row r="125" spans="2:11" x14ac:dyDescent="0.25">
      <c r="B125">
        <v>-782</v>
      </c>
      <c r="C125">
        <v>-812</v>
      </c>
      <c r="D125">
        <v>-1406</v>
      </c>
      <c r="E125">
        <v>-1911</v>
      </c>
      <c r="F125">
        <v>0</v>
      </c>
      <c r="G125">
        <v>26392</v>
      </c>
      <c r="H125">
        <v>0</v>
      </c>
      <c r="I125">
        <v>2124</v>
      </c>
      <c r="J125">
        <v>3307</v>
      </c>
      <c r="K125">
        <v>0</v>
      </c>
    </row>
    <row r="126" spans="2:11" x14ac:dyDescent="0.25">
      <c r="B126">
        <v>-5495</v>
      </c>
      <c r="C126">
        <v>-16387</v>
      </c>
      <c r="D126">
        <v>-22188</v>
      </c>
      <c r="E126">
        <v>-25211</v>
      </c>
      <c r="F126">
        <v>-27779</v>
      </c>
      <c r="G126">
        <v>0</v>
      </c>
      <c r="H126">
        <v>0</v>
      </c>
      <c r="I126">
        <v>19962</v>
      </c>
      <c r="J126">
        <v>20544</v>
      </c>
      <c r="K126">
        <v>15441</v>
      </c>
    </row>
    <row r="127" spans="2:11" x14ac:dyDescent="0.25">
      <c r="B127">
        <v>0</v>
      </c>
      <c r="C127">
        <v>-6425</v>
      </c>
      <c r="D127">
        <v>-11690</v>
      </c>
      <c r="E127">
        <v>-17425</v>
      </c>
      <c r="F127">
        <v>-22057</v>
      </c>
      <c r="G127">
        <v>0</v>
      </c>
      <c r="H127">
        <v>-5790</v>
      </c>
      <c r="I127">
        <v>-5802</v>
      </c>
      <c r="J127">
        <v>-5099</v>
      </c>
      <c r="K127">
        <v>-3415</v>
      </c>
    </row>
    <row r="128" spans="2:11" x14ac:dyDescent="0.25">
      <c r="B128">
        <v>0</v>
      </c>
      <c r="C128">
        <v>2107</v>
      </c>
      <c r="D128">
        <v>2142</v>
      </c>
      <c r="E128">
        <v>3607</v>
      </c>
      <c r="F128">
        <v>2930</v>
      </c>
      <c r="G128">
        <v>0</v>
      </c>
      <c r="H128">
        <v>26599</v>
      </c>
      <c r="I128">
        <v>6896</v>
      </c>
      <c r="J128">
        <v>0</v>
      </c>
      <c r="K128">
        <v>308</v>
      </c>
    </row>
    <row r="129" spans="2:11" x14ac:dyDescent="0.25">
      <c r="B129">
        <v>636</v>
      </c>
      <c r="C129">
        <v>0</v>
      </c>
      <c r="D129">
        <v>-249</v>
      </c>
      <c r="E129">
        <v>-1004</v>
      </c>
      <c r="F129">
        <v>-1371</v>
      </c>
      <c r="G129">
        <v>-542</v>
      </c>
      <c r="H129">
        <v>925</v>
      </c>
      <c r="I129">
        <v>0</v>
      </c>
      <c r="J129">
        <v>0</v>
      </c>
      <c r="K129">
        <v>10528</v>
      </c>
    </row>
    <row r="130" spans="2:11" x14ac:dyDescent="0.25">
      <c r="B130">
        <v>10380</v>
      </c>
      <c r="C130">
        <v>8545</v>
      </c>
      <c r="D130">
        <v>0</v>
      </c>
      <c r="E130">
        <v>-4402</v>
      </c>
      <c r="F130">
        <v>-7252</v>
      </c>
      <c r="G130">
        <v>-12154</v>
      </c>
      <c r="H130">
        <v>-15046</v>
      </c>
      <c r="I130">
        <v>0</v>
      </c>
      <c r="J130">
        <v>5270</v>
      </c>
      <c r="K130">
        <v>2801</v>
      </c>
    </row>
    <row r="131" spans="2:11" x14ac:dyDescent="0.25">
      <c r="B131">
        <v>787</v>
      </c>
      <c r="C131">
        <v>-443</v>
      </c>
      <c r="D131">
        <v>0</v>
      </c>
      <c r="E131">
        <v>838</v>
      </c>
      <c r="F131">
        <v>1074</v>
      </c>
      <c r="G131">
        <v>2005</v>
      </c>
      <c r="H131">
        <v>1580</v>
      </c>
      <c r="I131">
        <v>0</v>
      </c>
      <c r="J131">
        <v>6577</v>
      </c>
      <c r="K131">
        <v>18624</v>
      </c>
    </row>
    <row r="132" spans="2:11" x14ac:dyDescent="0.25">
      <c r="B132">
        <v>31277</v>
      </c>
      <c r="C132">
        <v>0</v>
      </c>
      <c r="D132">
        <v>2269</v>
      </c>
      <c r="E132">
        <v>3555</v>
      </c>
      <c r="F132">
        <v>0</v>
      </c>
      <c r="G132">
        <v>-6455</v>
      </c>
      <c r="H132">
        <v>-21755</v>
      </c>
      <c r="I132">
        <v>-31503</v>
      </c>
      <c r="J132">
        <v>-37268</v>
      </c>
      <c r="K132">
        <v>-41443</v>
      </c>
    </row>
    <row r="133" spans="2:11" x14ac:dyDescent="0.25">
      <c r="B133">
        <v>0</v>
      </c>
      <c r="C133">
        <v>0</v>
      </c>
      <c r="D133">
        <v>34613</v>
      </c>
      <c r="E133">
        <v>34690</v>
      </c>
      <c r="F133">
        <v>25442</v>
      </c>
      <c r="G133">
        <v>0</v>
      </c>
      <c r="H133">
        <v>-10066</v>
      </c>
      <c r="I133">
        <v>-17993</v>
      </c>
      <c r="J133">
        <v>-26270</v>
      </c>
      <c r="K133">
        <v>-32219</v>
      </c>
    </row>
    <row r="134" spans="2:11" x14ac:dyDescent="0.25">
      <c r="B134">
        <v>0</v>
      </c>
      <c r="C134">
        <v>-5880</v>
      </c>
      <c r="D134">
        <v>-6253</v>
      </c>
      <c r="E134">
        <v>-5502</v>
      </c>
      <c r="F134">
        <v>-3689</v>
      </c>
      <c r="G134">
        <v>0</v>
      </c>
      <c r="H134">
        <v>2119</v>
      </c>
      <c r="I134">
        <v>1983</v>
      </c>
      <c r="J134">
        <v>3079</v>
      </c>
      <c r="K134">
        <v>1841</v>
      </c>
    </row>
    <row r="135" spans="2:11" x14ac:dyDescent="0.25">
      <c r="B135">
        <v>0</v>
      </c>
      <c r="C135">
        <v>39922</v>
      </c>
      <c r="D135">
        <v>9745</v>
      </c>
      <c r="E135">
        <v>55795</v>
      </c>
      <c r="F135">
        <v>12580</v>
      </c>
      <c r="G135">
        <v>0</v>
      </c>
      <c r="H135">
        <v>-107</v>
      </c>
      <c r="I135">
        <v>482</v>
      </c>
      <c r="J135">
        <v>0</v>
      </c>
      <c r="K135">
        <v>638</v>
      </c>
    </row>
    <row r="136" spans="2:11" x14ac:dyDescent="0.25">
      <c r="B136">
        <v>-139</v>
      </c>
      <c r="C136">
        <v>-1036</v>
      </c>
      <c r="D136">
        <v>10</v>
      </c>
      <c r="E136">
        <v>2433</v>
      </c>
      <c r="F136">
        <v>0</v>
      </c>
      <c r="G136">
        <v>0</v>
      </c>
      <c r="H136">
        <v>22288</v>
      </c>
      <c r="I136">
        <v>21680</v>
      </c>
      <c r="J136">
        <v>17491</v>
      </c>
      <c r="K136">
        <v>0</v>
      </c>
    </row>
    <row r="137" spans="2:11" x14ac:dyDescent="0.25">
      <c r="B137">
        <v>-8584</v>
      </c>
      <c r="C137">
        <v>-13810</v>
      </c>
      <c r="D137">
        <v>-22731</v>
      </c>
      <c r="E137">
        <v>-27192</v>
      </c>
      <c r="F137">
        <v>0</v>
      </c>
      <c r="G137">
        <v>7362</v>
      </c>
      <c r="H137">
        <v>978</v>
      </c>
      <c r="I137">
        <v>-2877</v>
      </c>
      <c r="J137">
        <v>-3497</v>
      </c>
      <c r="K137">
        <v>0</v>
      </c>
    </row>
    <row r="138" spans="2:11" x14ac:dyDescent="0.25">
      <c r="B138">
        <v>2822</v>
      </c>
      <c r="C138">
        <v>3200</v>
      </c>
      <c r="D138">
        <v>5111</v>
      </c>
      <c r="E138">
        <v>3471</v>
      </c>
      <c r="F138">
        <v>0</v>
      </c>
      <c r="G138">
        <v>11359</v>
      </c>
      <c r="H138">
        <v>30331</v>
      </c>
      <c r="I138">
        <v>15663</v>
      </c>
      <c r="J138">
        <v>42680</v>
      </c>
      <c r="K138">
        <v>28467</v>
      </c>
    </row>
    <row r="139" spans="2:11" x14ac:dyDescent="0.25">
      <c r="B139">
        <v>0</v>
      </c>
      <c r="C139">
        <v>21294</v>
      </c>
      <c r="D139">
        <v>18358</v>
      </c>
      <c r="E139">
        <v>0</v>
      </c>
      <c r="F139">
        <v>-7854</v>
      </c>
      <c r="G139">
        <v>-9649</v>
      </c>
      <c r="H139">
        <v>-9738</v>
      </c>
      <c r="I139">
        <v>-11291</v>
      </c>
      <c r="J139">
        <v>-12463</v>
      </c>
      <c r="K139">
        <v>0</v>
      </c>
    </row>
    <row r="140" spans="2:11" x14ac:dyDescent="0.25">
      <c r="B140">
        <v>0</v>
      </c>
      <c r="C140">
        <v>15598</v>
      </c>
      <c r="D140">
        <v>16115</v>
      </c>
      <c r="E140">
        <v>12543</v>
      </c>
      <c r="F140">
        <v>0</v>
      </c>
      <c r="G140">
        <v>-5397</v>
      </c>
      <c r="H140">
        <v>-9240</v>
      </c>
      <c r="I140">
        <v>-13175</v>
      </c>
      <c r="J140">
        <v>-15348</v>
      </c>
      <c r="K140">
        <v>0</v>
      </c>
    </row>
    <row r="141" spans="2:11" x14ac:dyDescent="0.25">
      <c r="B141">
        <v>-2182</v>
      </c>
      <c r="C141">
        <v>-2514</v>
      </c>
      <c r="D141">
        <v>-2457</v>
      </c>
      <c r="E141">
        <v>-1506</v>
      </c>
      <c r="F141">
        <v>0</v>
      </c>
      <c r="G141">
        <v>703</v>
      </c>
      <c r="H141">
        <v>458</v>
      </c>
      <c r="I141">
        <v>449</v>
      </c>
      <c r="J141">
        <v>170</v>
      </c>
      <c r="K141">
        <v>0</v>
      </c>
    </row>
    <row r="142" spans="2:11" x14ac:dyDescent="0.25">
      <c r="B142">
        <v>16802</v>
      </c>
      <c r="C142">
        <v>4069</v>
      </c>
      <c r="D142">
        <v>22241</v>
      </c>
      <c r="E142">
        <v>5640</v>
      </c>
      <c r="F142">
        <v>32706</v>
      </c>
      <c r="G142">
        <v>9618</v>
      </c>
      <c r="H142">
        <v>0</v>
      </c>
      <c r="I142">
        <v>-128</v>
      </c>
      <c r="J142">
        <v>381</v>
      </c>
      <c r="K142">
        <v>0</v>
      </c>
    </row>
    <row r="143" spans="2:11" x14ac:dyDescent="0.25">
      <c r="B143">
        <v>-878</v>
      </c>
      <c r="C143">
        <v>-1597</v>
      </c>
      <c r="D143">
        <v>-1475</v>
      </c>
      <c r="E143">
        <v>-1923</v>
      </c>
      <c r="F143">
        <v>-1173</v>
      </c>
      <c r="G143">
        <v>0</v>
      </c>
      <c r="H143">
        <v>0</v>
      </c>
      <c r="I143">
        <v>15086</v>
      </c>
      <c r="J143">
        <v>13942</v>
      </c>
      <c r="K143">
        <v>10241</v>
      </c>
    </row>
    <row r="144" spans="2:11" x14ac:dyDescent="0.25">
      <c r="B144">
        <v>0</v>
      </c>
      <c r="C144">
        <v>-3446</v>
      </c>
      <c r="D144">
        <v>-4810</v>
      </c>
      <c r="E144">
        <v>-7532</v>
      </c>
      <c r="F144">
        <v>-9251</v>
      </c>
      <c r="G144">
        <v>0</v>
      </c>
      <c r="H144">
        <v>10017</v>
      </c>
      <c r="I144">
        <v>9730</v>
      </c>
      <c r="J144">
        <v>9338</v>
      </c>
      <c r="K144">
        <v>6530</v>
      </c>
    </row>
    <row r="145" spans="2:11" x14ac:dyDescent="0.25">
      <c r="B145">
        <v>0</v>
      </c>
      <c r="C145">
        <v>-4541</v>
      </c>
      <c r="D145">
        <v>-5151</v>
      </c>
      <c r="E145">
        <v>-9869</v>
      </c>
      <c r="F145">
        <v>-13196</v>
      </c>
      <c r="G145">
        <v>0</v>
      </c>
      <c r="H145">
        <v>7024</v>
      </c>
      <c r="I145">
        <v>20846</v>
      </c>
      <c r="J145">
        <v>9689</v>
      </c>
      <c r="K145">
        <v>28090</v>
      </c>
    </row>
    <row r="146" spans="2:11" x14ac:dyDescent="0.25">
      <c r="B146">
        <v>13689</v>
      </c>
      <c r="C146">
        <v>43809</v>
      </c>
      <c r="D146">
        <v>18428</v>
      </c>
      <c r="E146">
        <v>0</v>
      </c>
      <c r="F146">
        <v>-5161</v>
      </c>
      <c r="G146">
        <v>-6428</v>
      </c>
      <c r="H146">
        <v>0</v>
      </c>
      <c r="I146">
        <v>6313</v>
      </c>
      <c r="J146">
        <v>10010</v>
      </c>
      <c r="K146">
        <v>6057</v>
      </c>
    </row>
    <row r="147" spans="2:11" x14ac:dyDescent="0.25">
      <c r="B147">
        <v>772</v>
      </c>
      <c r="C147">
        <v>-1984</v>
      </c>
      <c r="D147">
        <v>0</v>
      </c>
      <c r="E147">
        <v>0</v>
      </c>
      <c r="F147">
        <v>-865</v>
      </c>
      <c r="G147">
        <v>-2050</v>
      </c>
      <c r="H147">
        <v>-1286</v>
      </c>
      <c r="I147">
        <v>0</v>
      </c>
      <c r="J147">
        <v>425</v>
      </c>
      <c r="K147">
        <v>301</v>
      </c>
    </row>
    <row r="148" spans="2:11" x14ac:dyDescent="0.25">
      <c r="B148">
        <v>537</v>
      </c>
      <c r="C148">
        <v>719</v>
      </c>
      <c r="D148">
        <v>0</v>
      </c>
      <c r="E148">
        <v>-300</v>
      </c>
      <c r="F148">
        <v>-471</v>
      </c>
      <c r="G148">
        <v>-665</v>
      </c>
      <c r="H148">
        <v>-546</v>
      </c>
      <c r="I148">
        <v>0</v>
      </c>
      <c r="J148">
        <v>493</v>
      </c>
      <c r="K148">
        <v>588</v>
      </c>
    </row>
    <row r="149" spans="2:11" x14ac:dyDescent="0.25">
      <c r="B149">
        <v>990</v>
      </c>
      <c r="C149">
        <v>1095</v>
      </c>
      <c r="D149">
        <v>0</v>
      </c>
      <c r="E149">
        <v>-2480</v>
      </c>
      <c r="F149">
        <v>-310</v>
      </c>
      <c r="G149">
        <v>-4</v>
      </c>
      <c r="H149">
        <v>-717</v>
      </c>
      <c r="I149">
        <v>-18045</v>
      </c>
      <c r="J149">
        <v>-8311</v>
      </c>
      <c r="K149">
        <v>-689</v>
      </c>
    </row>
    <row r="150" spans="2:11" x14ac:dyDescent="0.25">
      <c r="B150">
        <v>-119</v>
      </c>
      <c r="C150">
        <v>0</v>
      </c>
      <c r="D150">
        <v>-78</v>
      </c>
      <c r="E150">
        <v>134</v>
      </c>
      <c r="F150">
        <v>0</v>
      </c>
      <c r="G150">
        <v>461</v>
      </c>
      <c r="H150">
        <v>885</v>
      </c>
      <c r="I150">
        <v>1144</v>
      </c>
      <c r="J150">
        <v>1175</v>
      </c>
      <c r="K150">
        <v>1601</v>
      </c>
    </row>
    <row r="151" spans="2:11" x14ac:dyDescent="0.25">
      <c r="B151">
        <v>0</v>
      </c>
      <c r="C151">
        <v>0</v>
      </c>
      <c r="D151">
        <v>-2092</v>
      </c>
      <c r="E151">
        <v>-1393</v>
      </c>
      <c r="F151">
        <v>-14</v>
      </c>
      <c r="G151">
        <v>0</v>
      </c>
      <c r="H151">
        <v>-1025</v>
      </c>
      <c r="I151">
        <v>-2006</v>
      </c>
      <c r="J151">
        <v>-3942</v>
      </c>
      <c r="K151">
        <v>-5089</v>
      </c>
    </row>
    <row r="152" spans="2:11" x14ac:dyDescent="0.25">
      <c r="B152">
        <v>0</v>
      </c>
      <c r="C152">
        <v>-7033</v>
      </c>
      <c r="D152">
        <v>-9600</v>
      </c>
      <c r="E152">
        <v>-10096</v>
      </c>
      <c r="F152">
        <v>-7288</v>
      </c>
      <c r="G152">
        <v>0</v>
      </c>
      <c r="H152">
        <v>5001</v>
      </c>
      <c r="I152">
        <v>5694</v>
      </c>
      <c r="J152">
        <v>10025</v>
      </c>
      <c r="K152">
        <v>10715</v>
      </c>
    </row>
    <row r="153" spans="2:11" x14ac:dyDescent="0.25">
      <c r="B153">
        <v>0</v>
      </c>
      <c r="C153">
        <v>-16</v>
      </c>
      <c r="D153">
        <v>-1586</v>
      </c>
      <c r="E153">
        <v>423</v>
      </c>
      <c r="F153">
        <v>-1210</v>
      </c>
      <c r="G153">
        <v>-5211</v>
      </c>
      <c r="H153">
        <v>-22643</v>
      </c>
      <c r="I153">
        <v>347</v>
      </c>
      <c r="J153">
        <v>-2325</v>
      </c>
      <c r="K153">
        <v>30361</v>
      </c>
    </row>
    <row r="154" spans="2:11" x14ac:dyDescent="0.25">
      <c r="B154">
        <v>0</v>
      </c>
      <c r="C154">
        <v>236</v>
      </c>
      <c r="D154">
        <v>796</v>
      </c>
      <c r="E154">
        <v>0</v>
      </c>
      <c r="F154">
        <v>-1132</v>
      </c>
      <c r="G154">
        <v>-3838</v>
      </c>
      <c r="H154">
        <v>-4854</v>
      </c>
      <c r="I154">
        <v>-7158</v>
      </c>
      <c r="J154">
        <v>-10088</v>
      </c>
      <c r="K154">
        <v>0</v>
      </c>
    </row>
    <row r="155" spans="2:11" x14ac:dyDescent="0.25">
      <c r="B155">
        <v>0</v>
      </c>
      <c r="C155">
        <v>9294</v>
      </c>
      <c r="D155">
        <v>5318</v>
      </c>
      <c r="E155">
        <v>2041</v>
      </c>
      <c r="F155">
        <v>0</v>
      </c>
      <c r="G155">
        <v>280</v>
      </c>
      <c r="H155">
        <v>110</v>
      </c>
      <c r="I155">
        <v>736</v>
      </c>
      <c r="J155">
        <v>1200</v>
      </c>
      <c r="K155">
        <v>0</v>
      </c>
    </row>
    <row r="156" spans="2:11" x14ac:dyDescent="0.25">
      <c r="B156">
        <v>519</v>
      </c>
      <c r="C156">
        <v>964</v>
      </c>
      <c r="D156">
        <v>1218</v>
      </c>
      <c r="E156">
        <v>915</v>
      </c>
      <c r="F156">
        <v>0</v>
      </c>
      <c r="G156">
        <v>-601</v>
      </c>
      <c r="H156">
        <v>-696</v>
      </c>
      <c r="I156">
        <v>-1236</v>
      </c>
      <c r="J156">
        <v>-1366</v>
      </c>
      <c r="K156">
        <v>0</v>
      </c>
    </row>
    <row r="157" spans="2:11" x14ac:dyDescent="0.25">
      <c r="B157">
        <v>-7783</v>
      </c>
      <c r="C157">
        <v>-1690</v>
      </c>
      <c r="D157">
        <v>-9154</v>
      </c>
      <c r="E157">
        <v>-2616</v>
      </c>
      <c r="F157">
        <v>-26781</v>
      </c>
      <c r="G157">
        <v>-8785</v>
      </c>
      <c r="H157">
        <v>-4763</v>
      </c>
      <c r="I157">
        <v>-856</v>
      </c>
      <c r="J157">
        <v>38451</v>
      </c>
      <c r="K157">
        <v>6641</v>
      </c>
    </row>
    <row r="158" spans="2:11" x14ac:dyDescent="0.25">
      <c r="B158">
        <v>0</v>
      </c>
      <c r="C158">
        <v>-376</v>
      </c>
      <c r="D158">
        <v>-124</v>
      </c>
      <c r="E158">
        <v>0</v>
      </c>
      <c r="F158">
        <v>845</v>
      </c>
      <c r="G158">
        <v>927</v>
      </c>
      <c r="H158">
        <v>460</v>
      </c>
      <c r="I158">
        <v>146</v>
      </c>
      <c r="J158">
        <v>1079</v>
      </c>
      <c r="K158">
        <v>0</v>
      </c>
    </row>
    <row r="159" spans="2:11" x14ac:dyDescent="0.25">
      <c r="B159">
        <v>0</v>
      </c>
      <c r="C159">
        <v>8618</v>
      </c>
      <c r="D159">
        <v>5977</v>
      </c>
      <c r="E159">
        <v>3702</v>
      </c>
      <c r="F159">
        <v>0</v>
      </c>
      <c r="G159">
        <v>-1544</v>
      </c>
      <c r="H159">
        <v>-2524</v>
      </c>
      <c r="I159">
        <v>-5108</v>
      </c>
      <c r="J159">
        <v>-6764</v>
      </c>
      <c r="K159">
        <v>0</v>
      </c>
    </row>
    <row r="160" spans="2:11" x14ac:dyDescent="0.25">
      <c r="B160">
        <v>-29</v>
      </c>
      <c r="C160">
        <v>-3041</v>
      </c>
      <c r="D160">
        <v>-3631</v>
      </c>
      <c r="E160">
        <v>-2359</v>
      </c>
      <c r="F160">
        <v>0</v>
      </c>
      <c r="G160">
        <v>1247</v>
      </c>
      <c r="H160">
        <v>1304</v>
      </c>
      <c r="I160">
        <v>1929</v>
      </c>
      <c r="J160">
        <v>1538</v>
      </c>
      <c r="K160">
        <v>0</v>
      </c>
    </row>
    <row r="161" spans="2:11" x14ac:dyDescent="0.25">
      <c r="B161">
        <v>-1176</v>
      </c>
      <c r="C161">
        <v>-4845</v>
      </c>
      <c r="D161">
        <v>-1047</v>
      </c>
      <c r="E161">
        <v>-6279</v>
      </c>
      <c r="F161">
        <v>-4841</v>
      </c>
      <c r="G161">
        <v>-22410</v>
      </c>
      <c r="H161">
        <v>-832</v>
      </c>
      <c r="I161">
        <v>-6218</v>
      </c>
      <c r="J161">
        <v>8233</v>
      </c>
      <c r="K161">
        <v>21848</v>
      </c>
    </row>
    <row r="162" spans="2:11" x14ac:dyDescent="0.25">
      <c r="B162">
        <v>22612</v>
      </c>
      <c r="C162">
        <v>0</v>
      </c>
      <c r="D162">
        <v>2305</v>
      </c>
      <c r="E162">
        <v>2852</v>
      </c>
      <c r="F162">
        <v>0</v>
      </c>
      <c r="G162">
        <v>-2038</v>
      </c>
      <c r="H162">
        <v>-4035</v>
      </c>
      <c r="I162">
        <v>-3273</v>
      </c>
      <c r="J162">
        <v>-2245</v>
      </c>
      <c r="K162">
        <v>-978</v>
      </c>
    </row>
    <row r="163" spans="2:11" x14ac:dyDescent="0.25">
      <c r="B163">
        <v>0</v>
      </c>
      <c r="C163">
        <v>0</v>
      </c>
      <c r="D163">
        <v>2485</v>
      </c>
      <c r="E163">
        <v>3533</v>
      </c>
      <c r="F163">
        <v>2543</v>
      </c>
      <c r="G163">
        <v>0</v>
      </c>
      <c r="H163">
        <v>-1194</v>
      </c>
      <c r="I163">
        <v>-1883</v>
      </c>
      <c r="J163">
        <v>-3156</v>
      </c>
      <c r="K163">
        <v>-4028</v>
      </c>
    </row>
    <row r="164" spans="2:11" x14ac:dyDescent="0.25">
      <c r="B164">
        <v>0</v>
      </c>
      <c r="C164">
        <v>648</v>
      </c>
      <c r="D164">
        <v>361</v>
      </c>
      <c r="E164">
        <v>289</v>
      </c>
      <c r="F164">
        <v>150</v>
      </c>
      <c r="G164">
        <v>0</v>
      </c>
      <c r="H164">
        <v>-59</v>
      </c>
      <c r="I164">
        <v>-63</v>
      </c>
      <c r="J164">
        <v>-70</v>
      </c>
      <c r="K164">
        <v>-186</v>
      </c>
    </row>
    <row r="165" spans="2:11" x14ac:dyDescent="0.25">
      <c r="B165">
        <v>0</v>
      </c>
      <c r="C165">
        <v>-3977</v>
      </c>
      <c r="D165">
        <v>-1484</v>
      </c>
      <c r="E165">
        <v>-3845</v>
      </c>
      <c r="F165">
        <v>-1159</v>
      </c>
      <c r="G165">
        <v>10597</v>
      </c>
      <c r="H165">
        <v>3014</v>
      </c>
      <c r="I165">
        <v>2003</v>
      </c>
      <c r="J165">
        <v>338</v>
      </c>
      <c r="K165">
        <v>-15429</v>
      </c>
    </row>
    <row r="166" spans="2:11" x14ac:dyDescent="0.25">
      <c r="B166">
        <v>-3617</v>
      </c>
      <c r="C166">
        <v>-18199</v>
      </c>
      <c r="D166">
        <v>-4578</v>
      </c>
      <c r="E166">
        <v>0</v>
      </c>
      <c r="F166">
        <v>-49</v>
      </c>
      <c r="G166">
        <v>-117</v>
      </c>
      <c r="H166">
        <v>0</v>
      </c>
      <c r="I166">
        <v>54</v>
      </c>
      <c r="J166">
        <v>64</v>
      </c>
      <c r="K166">
        <v>1</v>
      </c>
    </row>
    <row r="167" spans="2:11" x14ac:dyDescent="0.25">
      <c r="B167">
        <v>-37</v>
      </c>
      <c r="C167">
        <v>278</v>
      </c>
      <c r="D167">
        <v>0</v>
      </c>
      <c r="E167">
        <v>0</v>
      </c>
      <c r="F167">
        <v>2689</v>
      </c>
      <c r="G167">
        <v>2714</v>
      </c>
      <c r="H167">
        <v>1779</v>
      </c>
      <c r="I167">
        <v>0</v>
      </c>
      <c r="J167">
        <v>-542</v>
      </c>
      <c r="K167">
        <v>-715</v>
      </c>
    </row>
    <row r="168" spans="2:11" x14ac:dyDescent="0.25">
      <c r="B168">
        <v>-1048</v>
      </c>
      <c r="C168">
        <v>-1386</v>
      </c>
      <c r="D168">
        <v>0</v>
      </c>
      <c r="E168">
        <v>4462</v>
      </c>
      <c r="F168">
        <v>4931</v>
      </c>
      <c r="G168">
        <v>4541</v>
      </c>
      <c r="H168">
        <v>2913</v>
      </c>
      <c r="I168">
        <v>0</v>
      </c>
      <c r="J168">
        <v>-1736</v>
      </c>
      <c r="K168">
        <v>-1902</v>
      </c>
    </row>
    <row r="169" spans="2:11" x14ac:dyDescent="0.25">
      <c r="B169">
        <v>-3204</v>
      </c>
      <c r="C169">
        <v>-3429</v>
      </c>
      <c r="D169">
        <v>0</v>
      </c>
      <c r="E169">
        <v>-926</v>
      </c>
      <c r="F169">
        <v>-1920</v>
      </c>
      <c r="G169">
        <v>-621</v>
      </c>
      <c r="H169">
        <v>-753</v>
      </c>
      <c r="I169">
        <v>3531</v>
      </c>
      <c r="J169">
        <v>16754</v>
      </c>
      <c r="K169">
        <v>706</v>
      </c>
    </row>
    <row r="170" spans="2:11" x14ac:dyDescent="0.25">
      <c r="B170">
        <v>4336</v>
      </c>
      <c r="C170">
        <v>-5786</v>
      </c>
      <c r="D170">
        <v>-22889</v>
      </c>
      <c r="E170">
        <v>-5484</v>
      </c>
      <c r="F170">
        <v>-21775</v>
      </c>
      <c r="G170">
        <v>22344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14</v>
      </c>
      <c r="J193">
        <v>-144</v>
      </c>
      <c r="K193">
        <v>0</v>
      </c>
    </row>
    <row r="194" spans="2:11" x14ac:dyDescent="0.25">
      <c r="B194">
        <v>42</v>
      </c>
      <c r="C194">
        <v>-139</v>
      </c>
      <c r="D194">
        <v>-184</v>
      </c>
      <c r="E194">
        <v>-202</v>
      </c>
      <c r="F194">
        <v>-122</v>
      </c>
      <c r="G194">
        <v>0</v>
      </c>
      <c r="H194">
        <v>0</v>
      </c>
      <c r="I194">
        <v>280</v>
      </c>
      <c r="J194">
        <v>944</v>
      </c>
      <c r="K194">
        <v>700</v>
      </c>
    </row>
    <row r="195" spans="2:11" x14ac:dyDescent="0.25">
      <c r="B195">
        <v>0</v>
      </c>
      <c r="C195">
        <v>-204</v>
      </c>
      <c r="D195">
        <v>-636</v>
      </c>
      <c r="E195">
        <v>-1276</v>
      </c>
      <c r="F195">
        <v>-1972</v>
      </c>
      <c r="G195">
        <v>0</v>
      </c>
      <c r="H195">
        <v>967</v>
      </c>
      <c r="I195">
        <v>699</v>
      </c>
      <c r="J195">
        <v>526</v>
      </c>
      <c r="K195">
        <v>297</v>
      </c>
    </row>
    <row r="196" spans="2:11" x14ac:dyDescent="0.25">
      <c r="B196">
        <v>0</v>
      </c>
      <c r="C196">
        <v>-105</v>
      </c>
      <c r="D196">
        <v>-79</v>
      </c>
      <c r="E196">
        <v>-86</v>
      </c>
      <c r="F196">
        <v>-145</v>
      </c>
      <c r="G196">
        <v>0</v>
      </c>
      <c r="H196">
        <v>-171</v>
      </c>
      <c r="I196">
        <v>37</v>
      </c>
      <c r="J196">
        <v>153</v>
      </c>
      <c r="K196">
        <v>-169</v>
      </c>
    </row>
    <row r="197" spans="2:11" x14ac:dyDescent="0.25">
      <c r="B197">
        <v>-134</v>
      </c>
      <c r="C197">
        <v>-526</v>
      </c>
      <c r="D197">
        <v>248</v>
      </c>
      <c r="E197">
        <v>-9</v>
      </c>
      <c r="F197">
        <v>-204</v>
      </c>
      <c r="G197">
        <v>-1066</v>
      </c>
      <c r="H197">
        <v>1534</v>
      </c>
      <c r="I197">
        <v>-654</v>
      </c>
      <c r="J197">
        <v>-104</v>
      </c>
      <c r="K197">
        <v>38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14940</v>
      </c>
      <c r="I198">
        <v>19692</v>
      </c>
      <c r="J198">
        <v>0</v>
      </c>
      <c r="K198">
        <v>-19664</v>
      </c>
    </row>
    <row r="199" spans="2:11" x14ac:dyDescent="0.25">
      <c r="B199">
        <v>-38088</v>
      </c>
      <c r="C199">
        <v>-38820</v>
      </c>
      <c r="D199">
        <v>-31220</v>
      </c>
      <c r="E199">
        <v>-13966</v>
      </c>
      <c r="F199">
        <v>0</v>
      </c>
      <c r="G199">
        <v>0</v>
      </c>
      <c r="H199">
        <v>-23499</v>
      </c>
      <c r="I199">
        <v>-19519</v>
      </c>
      <c r="J199">
        <v>-13719</v>
      </c>
      <c r="K199">
        <v>0</v>
      </c>
    </row>
    <row r="200" spans="2:11" x14ac:dyDescent="0.25">
      <c r="B200">
        <v>5169</v>
      </c>
      <c r="C200">
        <v>7569</v>
      </c>
      <c r="D200">
        <v>9018</v>
      </c>
      <c r="E200">
        <v>8542</v>
      </c>
      <c r="F200">
        <v>0</v>
      </c>
      <c r="G200">
        <v>-49091</v>
      </c>
      <c r="H200">
        <v>-47099</v>
      </c>
      <c r="I200">
        <v>-39103</v>
      </c>
      <c r="J200">
        <v>-23483</v>
      </c>
      <c r="K200">
        <v>0</v>
      </c>
    </row>
    <row r="201" spans="2:11" x14ac:dyDescent="0.25">
      <c r="B201">
        <v>13346</v>
      </c>
      <c r="C201">
        <v>14579</v>
      </c>
      <c r="D201">
        <v>25107</v>
      </c>
      <c r="E201">
        <v>26127</v>
      </c>
      <c r="F201">
        <v>0</v>
      </c>
      <c r="G201">
        <v>-5002</v>
      </c>
      <c r="H201">
        <v>5375</v>
      </c>
      <c r="I201">
        <v>-11974</v>
      </c>
      <c r="J201">
        <v>12663</v>
      </c>
      <c r="K201">
        <v>-20907</v>
      </c>
    </row>
    <row r="202" spans="2:11" x14ac:dyDescent="0.25">
      <c r="B202">
        <v>18351</v>
      </c>
      <c r="C202">
        <v>-8423</v>
      </c>
      <c r="D202">
        <v>9554</v>
      </c>
      <c r="E202">
        <v>-14545</v>
      </c>
      <c r="F202">
        <v>16889</v>
      </c>
      <c r="G202">
        <v>1769</v>
      </c>
      <c r="H202">
        <v>-2377</v>
      </c>
      <c r="I202">
        <v>-1493</v>
      </c>
      <c r="J202">
        <v>-766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-1151</v>
      </c>
      <c r="G203">
        <v>0</v>
      </c>
      <c r="H203">
        <v>6263</v>
      </c>
      <c r="I203">
        <v>8837</v>
      </c>
      <c r="J203">
        <v>0</v>
      </c>
      <c r="K203">
        <v>-8160</v>
      </c>
    </row>
    <row r="204" spans="2:11" x14ac:dyDescent="0.25">
      <c r="B204">
        <v>-15526</v>
      </c>
      <c r="C204">
        <v>-18555</v>
      </c>
      <c r="D204">
        <v>-18442</v>
      </c>
      <c r="E204">
        <v>-10709</v>
      </c>
      <c r="F204">
        <v>0</v>
      </c>
      <c r="G204">
        <v>0</v>
      </c>
      <c r="H204">
        <v>-36804</v>
      </c>
      <c r="I204">
        <v>-36562</v>
      </c>
      <c r="J204">
        <v>-26498</v>
      </c>
      <c r="K204">
        <v>0</v>
      </c>
    </row>
    <row r="205" spans="2:11" x14ac:dyDescent="0.25">
      <c r="B205">
        <v>10475</v>
      </c>
      <c r="C205">
        <v>15424</v>
      </c>
      <c r="D205">
        <v>20993</v>
      </c>
      <c r="E205">
        <v>20506</v>
      </c>
      <c r="F205">
        <v>0</v>
      </c>
      <c r="G205">
        <v>-53440</v>
      </c>
      <c r="H205">
        <v>-51429</v>
      </c>
      <c r="I205">
        <v>-42743</v>
      </c>
      <c r="J205">
        <v>-25580</v>
      </c>
      <c r="K205">
        <v>0</v>
      </c>
    </row>
    <row r="206" spans="2:11" x14ac:dyDescent="0.25">
      <c r="B206">
        <v>14765</v>
      </c>
      <c r="C206">
        <v>16310</v>
      </c>
      <c r="D206">
        <v>28336</v>
      </c>
      <c r="E206">
        <v>30086</v>
      </c>
      <c r="F206">
        <v>0</v>
      </c>
      <c r="G206">
        <v>-4737</v>
      </c>
      <c r="H206">
        <v>4768</v>
      </c>
      <c r="I206">
        <v>-3163</v>
      </c>
      <c r="J206">
        <v>14142</v>
      </c>
      <c r="K206">
        <v>-11853</v>
      </c>
    </row>
    <row r="207" spans="2:11" x14ac:dyDescent="0.25">
      <c r="B207">
        <v>17634</v>
      </c>
      <c r="C207">
        <v>-5593</v>
      </c>
      <c r="D207">
        <v>10937</v>
      </c>
      <c r="E207">
        <v>5312</v>
      </c>
      <c r="F207">
        <v>23835</v>
      </c>
      <c r="G207">
        <v>-2773</v>
      </c>
      <c r="H207">
        <v>-6588</v>
      </c>
      <c r="I207">
        <v>-2621</v>
      </c>
      <c r="J207">
        <v>-1449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-1947</v>
      </c>
      <c r="G208">
        <v>78122</v>
      </c>
      <c r="H208">
        <v>0</v>
      </c>
      <c r="I208">
        <v>5701</v>
      </c>
      <c r="J208">
        <v>7752</v>
      </c>
      <c r="K208">
        <v>0</v>
      </c>
    </row>
    <row r="209" spans="2:11" x14ac:dyDescent="0.25">
      <c r="B209">
        <v>-7663</v>
      </c>
      <c r="C209">
        <v>-13113</v>
      </c>
      <c r="D209">
        <v>-16386</v>
      </c>
      <c r="E209">
        <v>-19076</v>
      </c>
      <c r="F209">
        <v>-10467</v>
      </c>
      <c r="G209">
        <v>0</v>
      </c>
      <c r="H209">
        <v>0</v>
      </c>
      <c r="I209">
        <v>-9768</v>
      </c>
      <c r="J209">
        <v>-10424</v>
      </c>
      <c r="K209">
        <v>-8524</v>
      </c>
    </row>
    <row r="210" spans="2:11" x14ac:dyDescent="0.25">
      <c r="B210">
        <v>0</v>
      </c>
      <c r="C210">
        <v>4162</v>
      </c>
      <c r="D210">
        <v>6205</v>
      </c>
      <c r="E210">
        <v>10154</v>
      </c>
      <c r="F210">
        <v>15207</v>
      </c>
      <c r="G210">
        <v>0</v>
      </c>
      <c r="H210">
        <v>-18911</v>
      </c>
      <c r="I210">
        <v>-16024</v>
      </c>
      <c r="J210">
        <v>-12371</v>
      </c>
      <c r="K210">
        <v>-6901</v>
      </c>
    </row>
    <row r="211" spans="2:11" x14ac:dyDescent="0.25">
      <c r="B211">
        <v>0</v>
      </c>
      <c r="C211">
        <v>3712</v>
      </c>
      <c r="D211">
        <v>3908</v>
      </c>
      <c r="E211">
        <v>6210</v>
      </c>
      <c r="F211">
        <v>6417</v>
      </c>
      <c r="G211">
        <v>0</v>
      </c>
      <c r="H211">
        <v>-3781</v>
      </c>
      <c r="I211">
        <v>6306</v>
      </c>
      <c r="J211">
        <v>-3256</v>
      </c>
      <c r="K211">
        <v>7200</v>
      </c>
    </row>
    <row r="212" spans="2:11" x14ac:dyDescent="0.25">
      <c r="B212">
        <v>-13248</v>
      </c>
      <c r="C212">
        <v>11233</v>
      </c>
      <c r="D212">
        <v>-5067</v>
      </c>
      <c r="E212">
        <v>7266</v>
      </c>
      <c r="F212">
        <v>5955</v>
      </c>
      <c r="G212">
        <v>-219</v>
      </c>
      <c r="H212">
        <v>8700</v>
      </c>
      <c r="I212">
        <v>6353</v>
      </c>
      <c r="J212">
        <v>-4846</v>
      </c>
      <c r="K212">
        <v>280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-2130</v>
      </c>
      <c r="H213">
        <v>39567</v>
      </c>
      <c r="I213">
        <v>33575</v>
      </c>
      <c r="J213">
        <v>0</v>
      </c>
      <c r="K213">
        <v>5433</v>
      </c>
    </row>
    <row r="214" spans="2:11" x14ac:dyDescent="0.25">
      <c r="B214">
        <v>7639</v>
      </c>
      <c r="C214">
        <v>0</v>
      </c>
      <c r="D214">
        <v>-7191</v>
      </c>
      <c r="E214">
        <v>-13674</v>
      </c>
      <c r="F214">
        <v>-17879</v>
      </c>
      <c r="G214">
        <v>-17495</v>
      </c>
      <c r="H214">
        <v>-9731</v>
      </c>
      <c r="I214">
        <v>0</v>
      </c>
      <c r="J214">
        <v>0</v>
      </c>
      <c r="K214">
        <v>-12259</v>
      </c>
    </row>
    <row r="215" spans="2:11" x14ac:dyDescent="0.25">
      <c r="B215">
        <v>-16301</v>
      </c>
      <c r="C215">
        <v>-14069</v>
      </c>
      <c r="D215">
        <v>0</v>
      </c>
      <c r="E215">
        <v>7350</v>
      </c>
      <c r="F215">
        <v>11566</v>
      </c>
      <c r="G215">
        <v>19376</v>
      </c>
      <c r="H215">
        <v>25991</v>
      </c>
      <c r="I215">
        <v>0</v>
      </c>
      <c r="J215">
        <v>-21960</v>
      </c>
      <c r="K215">
        <v>-17931</v>
      </c>
    </row>
    <row r="216" spans="2:11" x14ac:dyDescent="0.25">
      <c r="B216">
        <v>-13256</v>
      </c>
      <c r="C216">
        <v>-7017</v>
      </c>
      <c r="D216">
        <v>0</v>
      </c>
      <c r="E216">
        <v>3396</v>
      </c>
      <c r="F216">
        <v>3508</v>
      </c>
      <c r="G216">
        <v>5682</v>
      </c>
      <c r="H216">
        <v>6269</v>
      </c>
      <c r="I216">
        <v>0</v>
      </c>
      <c r="J216">
        <v>-5441</v>
      </c>
      <c r="K216">
        <v>5660</v>
      </c>
    </row>
    <row r="217" spans="2:11" x14ac:dyDescent="0.25">
      <c r="B217">
        <v>-4123</v>
      </c>
      <c r="C217">
        <v>7764</v>
      </c>
      <c r="D217">
        <v>-10581</v>
      </c>
      <c r="E217">
        <v>13729</v>
      </c>
      <c r="F217">
        <v>-6425</v>
      </c>
      <c r="G217">
        <v>9314</v>
      </c>
      <c r="H217">
        <v>-2793</v>
      </c>
      <c r="I217">
        <v>-4179</v>
      </c>
      <c r="J217">
        <v>6053</v>
      </c>
      <c r="K217">
        <v>7227</v>
      </c>
    </row>
    <row r="218" spans="2:11" x14ac:dyDescent="0.25">
      <c r="B218">
        <v>-4114</v>
      </c>
      <c r="C218">
        <v>360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-4853</v>
      </c>
      <c r="J218">
        <v>41450</v>
      </c>
      <c r="K218">
        <v>43844</v>
      </c>
    </row>
    <row r="219" spans="2:11" x14ac:dyDescent="0.25">
      <c r="B219">
        <v>61800</v>
      </c>
      <c r="C219">
        <v>0</v>
      </c>
      <c r="D219">
        <v>-122</v>
      </c>
      <c r="E219">
        <v>4</v>
      </c>
      <c r="F219">
        <v>0</v>
      </c>
      <c r="G219">
        <v>770</v>
      </c>
      <c r="H219">
        <v>1183</v>
      </c>
      <c r="I219">
        <v>1397</v>
      </c>
      <c r="J219">
        <v>1294</v>
      </c>
      <c r="K219">
        <v>806</v>
      </c>
    </row>
    <row r="220" spans="2:11" x14ac:dyDescent="0.25">
      <c r="B220">
        <v>0</v>
      </c>
      <c r="C220">
        <v>0</v>
      </c>
      <c r="D220">
        <v>2361</v>
      </c>
      <c r="E220">
        <v>1770</v>
      </c>
      <c r="F220">
        <v>952</v>
      </c>
      <c r="G220">
        <v>0</v>
      </c>
      <c r="H220">
        <v>-432</v>
      </c>
      <c r="I220">
        <v>-723</v>
      </c>
      <c r="J220">
        <v>-906</v>
      </c>
      <c r="K220">
        <v>216</v>
      </c>
    </row>
    <row r="221" spans="2:11" x14ac:dyDescent="0.25">
      <c r="B221">
        <v>0</v>
      </c>
      <c r="C221">
        <v>-4899</v>
      </c>
      <c r="D221">
        <v>-7522</v>
      </c>
      <c r="E221">
        <v>-8360</v>
      </c>
      <c r="F221">
        <v>-6498</v>
      </c>
      <c r="G221">
        <v>0</v>
      </c>
      <c r="H221">
        <v>4799</v>
      </c>
      <c r="I221">
        <v>5576</v>
      </c>
      <c r="J221">
        <v>10036</v>
      </c>
      <c r="K221">
        <v>11017</v>
      </c>
    </row>
    <row r="222" spans="2:11" x14ac:dyDescent="0.25">
      <c r="B222">
        <v>0</v>
      </c>
      <c r="C222">
        <v>530</v>
      </c>
      <c r="D222">
        <v>-1321</v>
      </c>
      <c r="E222">
        <v>639</v>
      </c>
      <c r="F222">
        <v>2374</v>
      </c>
      <c r="G222">
        <v>245</v>
      </c>
      <c r="H222">
        <v>3395</v>
      </c>
      <c r="I222">
        <v>529</v>
      </c>
      <c r="J222">
        <v>-3305</v>
      </c>
      <c r="K222">
        <v>419</v>
      </c>
    </row>
    <row r="223" spans="2:11" x14ac:dyDescent="0.25">
      <c r="B223">
        <v>30007</v>
      </c>
      <c r="C223">
        <v>653</v>
      </c>
      <c r="D223">
        <v>-35051</v>
      </c>
      <c r="E223">
        <v>304</v>
      </c>
      <c r="F223">
        <v>-3193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-368</v>
      </c>
      <c r="C224">
        <v>19909</v>
      </c>
      <c r="D224">
        <v>23504</v>
      </c>
      <c r="E224">
        <v>1553</v>
      </c>
      <c r="F224">
        <v>1763</v>
      </c>
      <c r="G224">
        <v>0</v>
      </c>
      <c r="H224">
        <v>310</v>
      </c>
      <c r="I224">
        <v>695</v>
      </c>
      <c r="J224">
        <v>0</v>
      </c>
      <c r="K224">
        <v>-1174</v>
      </c>
    </row>
    <row r="225" spans="2:11" x14ac:dyDescent="0.25">
      <c r="B225">
        <v>-3163</v>
      </c>
      <c r="C225">
        <v>-4131</v>
      </c>
      <c r="D225">
        <v>-3279</v>
      </c>
      <c r="E225">
        <v>420</v>
      </c>
      <c r="F225">
        <v>0</v>
      </c>
      <c r="G225">
        <v>0</v>
      </c>
      <c r="H225">
        <v>75</v>
      </c>
      <c r="I225">
        <v>-720</v>
      </c>
      <c r="J225">
        <v>-791</v>
      </c>
      <c r="K225">
        <v>0</v>
      </c>
    </row>
    <row r="226" spans="2:11" x14ac:dyDescent="0.25">
      <c r="B226">
        <v>379</v>
      </c>
      <c r="C226">
        <v>1296</v>
      </c>
      <c r="D226">
        <v>1852</v>
      </c>
      <c r="E226">
        <v>1774</v>
      </c>
      <c r="F226">
        <v>0</v>
      </c>
      <c r="G226">
        <v>-1376</v>
      </c>
      <c r="H226">
        <v>-976</v>
      </c>
      <c r="I226">
        <v>-626</v>
      </c>
      <c r="J226">
        <v>-299</v>
      </c>
      <c r="K226">
        <v>0</v>
      </c>
    </row>
    <row r="227" spans="2:11" x14ac:dyDescent="0.25">
      <c r="B227">
        <v>7</v>
      </c>
      <c r="C227">
        <v>-10</v>
      </c>
      <c r="D227">
        <v>160</v>
      </c>
      <c r="E227">
        <v>310</v>
      </c>
      <c r="F227">
        <v>0</v>
      </c>
      <c r="G227">
        <v>-1344</v>
      </c>
      <c r="H227">
        <v>840</v>
      </c>
      <c r="I227">
        <v>-2031</v>
      </c>
      <c r="J227">
        <v>397</v>
      </c>
      <c r="K227">
        <v>-4326</v>
      </c>
    </row>
    <row r="228" spans="2:11" x14ac:dyDescent="0.25">
      <c r="B228">
        <v>510</v>
      </c>
      <c r="C228">
        <v>-425</v>
      </c>
      <c r="D228">
        <v>717</v>
      </c>
      <c r="E228">
        <v>9946</v>
      </c>
      <c r="F228">
        <v>-1410</v>
      </c>
      <c r="G228">
        <v>14639</v>
      </c>
      <c r="H228">
        <v>-1123</v>
      </c>
      <c r="I228">
        <v>1581</v>
      </c>
      <c r="J228">
        <v>420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2777</v>
      </c>
      <c r="G229">
        <v>5857</v>
      </c>
      <c r="H229">
        <v>2613</v>
      </c>
      <c r="I229">
        <v>38300</v>
      </c>
      <c r="J229">
        <v>2766</v>
      </c>
      <c r="K229">
        <v>1097</v>
      </c>
    </row>
    <row r="230" spans="2:11" x14ac:dyDescent="0.25">
      <c r="B230">
        <v>0</v>
      </c>
      <c r="C230">
        <v>-776</v>
      </c>
      <c r="D230">
        <v>-939</v>
      </c>
      <c r="E230">
        <v>0</v>
      </c>
      <c r="F230">
        <v>1074</v>
      </c>
      <c r="G230">
        <v>1372</v>
      </c>
      <c r="H230">
        <v>144</v>
      </c>
      <c r="I230">
        <v>987</v>
      </c>
      <c r="J230">
        <v>495</v>
      </c>
      <c r="K230">
        <v>0</v>
      </c>
    </row>
    <row r="231" spans="2:11" x14ac:dyDescent="0.25">
      <c r="B231">
        <v>0</v>
      </c>
      <c r="C231">
        <v>-9416</v>
      </c>
      <c r="D231">
        <v>-9903</v>
      </c>
      <c r="E231">
        <v>-8458</v>
      </c>
      <c r="F231">
        <v>0</v>
      </c>
      <c r="G231">
        <v>4856</v>
      </c>
      <c r="H231">
        <v>7782</v>
      </c>
      <c r="I231">
        <v>11535</v>
      </c>
      <c r="J231">
        <v>11513</v>
      </c>
      <c r="K231">
        <v>0</v>
      </c>
    </row>
    <row r="232" spans="2:11" x14ac:dyDescent="0.25">
      <c r="B232">
        <v>-3871</v>
      </c>
      <c r="C232">
        <v>-2542</v>
      </c>
      <c r="D232">
        <v>-1545</v>
      </c>
      <c r="E232">
        <v>-560</v>
      </c>
      <c r="F232">
        <v>0</v>
      </c>
      <c r="G232">
        <v>82</v>
      </c>
      <c r="H232">
        <v>187</v>
      </c>
      <c r="I232">
        <v>788</v>
      </c>
      <c r="J232">
        <v>1333</v>
      </c>
      <c r="K232">
        <v>0</v>
      </c>
    </row>
    <row r="233" spans="2:11" x14ac:dyDescent="0.25">
      <c r="B233">
        <v>-805</v>
      </c>
      <c r="C233">
        <v>-55</v>
      </c>
      <c r="D233">
        <v>237</v>
      </c>
      <c r="E233">
        <v>1424</v>
      </c>
      <c r="F233">
        <v>384</v>
      </c>
      <c r="G233">
        <v>2806</v>
      </c>
      <c r="H233">
        <v>290</v>
      </c>
      <c r="I233">
        <v>2685</v>
      </c>
      <c r="J233">
        <v>-3284</v>
      </c>
      <c r="K233">
        <v>-8605</v>
      </c>
    </row>
    <row r="234" spans="2:11" x14ac:dyDescent="0.25">
      <c r="B234">
        <v>16438</v>
      </c>
      <c r="C234">
        <v>92</v>
      </c>
      <c r="D234">
        <v>872</v>
      </c>
      <c r="E234">
        <v>-1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13847</v>
      </c>
    </row>
    <row r="235" spans="2:11" x14ac:dyDescent="0.25">
      <c r="B235">
        <v>194</v>
      </c>
      <c r="C235">
        <v>15664</v>
      </c>
      <c r="D235">
        <v>4111</v>
      </c>
      <c r="E235">
        <v>36556</v>
      </c>
      <c r="F235">
        <v>693</v>
      </c>
      <c r="G235">
        <v>8252</v>
      </c>
      <c r="H235">
        <v>0</v>
      </c>
      <c r="I235">
        <v>-5120</v>
      </c>
      <c r="J235">
        <v>-8130</v>
      </c>
      <c r="K235">
        <v>0</v>
      </c>
    </row>
    <row r="236" spans="2:11" x14ac:dyDescent="0.25">
      <c r="B236">
        <v>6657</v>
      </c>
      <c r="C236">
        <v>8007</v>
      </c>
      <c r="D236">
        <v>10205</v>
      </c>
      <c r="E236">
        <v>14618</v>
      </c>
      <c r="F236">
        <v>11705</v>
      </c>
      <c r="G236">
        <v>0</v>
      </c>
      <c r="H236">
        <v>0</v>
      </c>
      <c r="I236">
        <v>45650</v>
      </c>
      <c r="J236">
        <v>58810</v>
      </c>
      <c r="K236">
        <v>68796</v>
      </c>
    </row>
    <row r="237" spans="2:11" x14ac:dyDescent="0.25">
      <c r="B237">
        <v>0</v>
      </c>
      <c r="C237">
        <v>39497</v>
      </c>
      <c r="D237">
        <v>24907</v>
      </c>
      <c r="E237">
        <v>14880</v>
      </c>
      <c r="F237">
        <v>2023</v>
      </c>
      <c r="G237">
        <v>0</v>
      </c>
      <c r="H237">
        <v>-9659</v>
      </c>
      <c r="I237">
        <v>-11087</v>
      </c>
      <c r="J237">
        <v>-13783</v>
      </c>
      <c r="K237">
        <v>-11088</v>
      </c>
    </row>
    <row r="238" spans="2:11" x14ac:dyDescent="0.25">
      <c r="B238">
        <v>0</v>
      </c>
      <c r="C238">
        <v>-3531</v>
      </c>
      <c r="D238">
        <v>-1949</v>
      </c>
      <c r="E238">
        <v>-1584</v>
      </c>
      <c r="F238">
        <v>-1285</v>
      </c>
      <c r="G238">
        <v>0</v>
      </c>
      <c r="H238">
        <v>5650</v>
      </c>
      <c r="I238">
        <v>3749</v>
      </c>
      <c r="J238">
        <v>6843</v>
      </c>
      <c r="K238">
        <v>4614</v>
      </c>
    </row>
    <row r="239" spans="2:11" x14ac:dyDescent="0.25">
      <c r="B239">
        <v>11145</v>
      </c>
      <c r="C239">
        <v>9213</v>
      </c>
      <c r="D239">
        <v>6016</v>
      </c>
      <c r="E239">
        <v>4931</v>
      </c>
      <c r="F239">
        <v>-880</v>
      </c>
      <c r="G239">
        <v>158</v>
      </c>
      <c r="H239">
        <v>241</v>
      </c>
      <c r="I239">
        <v>1585</v>
      </c>
      <c r="J239">
        <v>1350</v>
      </c>
      <c r="K239">
        <v>896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618</v>
      </c>
      <c r="H240">
        <v>-7594</v>
      </c>
      <c r="I240">
        <v>-14128</v>
      </c>
      <c r="J240">
        <v>-5388</v>
      </c>
      <c r="K240">
        <v>-8280</v>
      </c>
    </row>
    <row r="241" spans="2:11" x14ac:dyDescent="0.25">
      <c r="B241">
        <v>233</v>
      </c>
      <c r="C241">
        <v>-412</v>
      </c>
      <c r="D241">
        <v>-4146</v>
      </c>
      <c r="E241">
        <v>0</v>
      </c>
      <c r="F241">
        <v>949</v>
      </c>
      <c r="G241">
        <v>1479</v>
      </c>
      <c r="H241">
        <v>0</v>
      </c>
      <c r="I241">
        <v>-2508</v>
      </c>
      <c r="J241">
        <v>-8417</v>
      </c>
      <c r="K241">
        <v>-11956</v>
      </c>
    </row>
    <row r="242" spans="2:11" x14ac:dyDescent="0.25">
      <c r="B242">
        <v>-13905</v>
      </c>
      <c r="C242">
        <v>-18687</v>
      </c>
      <c r="D242">
        <v>0</v>
      </c>
      <c r="E242">
        <v>0</v>
      </c>
      <c r="F242">
        <v>12604</v>
      </c>
      <c r="G242">
        <v>12500</v>
      </c>
      <c r="H242">
        <v>9022</v>
      </c>
      <c r="I242">
        <v>0</v>
      </c>
      <c r="J242">
        <v>-3484</v>
      </c>
      <c r="K242">
        <v>-6532</v>
      </c>
    </row>
    <row r="243" spans="2:11" x14ac:dyDescent="0.25">
      <c r="B243">
        <v>-9636</v>
      </c>
      <c r="C243">
        <v>-13380</v>
      </c>
      <c r="D243">
        <v>0</v>
      </c>
      <c r="E243">
        <v>-3474</v>
      </c>
      <c r="F243">
        <v>-3437</v>
      </c>
      <c r="G243">
        <v>-2936</v>
      </c>
      <c r="H243">
        <v>-1894</v>
      </c>
      <c r="I243">
        <v>0</v>
      </c>
      <c r="J243">
        <v>1170</v>
      </c>
      <c r="K243">
        <v>1202</v>
      </c>
    </row>
    <row r="244" spans="2:11" x14ac:dyDescent="0.25">
      <c r="B244">
        <v>2197</v>
      </c>
      <c r="C244">
        <v>1911</v>
      </c>
      <c r="D244">
        <v>0</v>
      </c>
      <c r="E244">
        <v>13680</v>
      </c>
      <c r="F244">
        <v>3740</v>
      </c>
      <c r="G244">
        <v>19160</v>
      </c>
      <c r="H244">
        <v>4868</v>
      </c>
      <c r="I244">
        <v>28424</v>
      </c>
      <c r="J244">
        <v>8527</v>
      </c>
      <c r="K244">
        <v>10947</v>
      </c>
    </row>
    <row r="245" spans="2:11" x14ac:dyDescent="0.25">
      <c r="B245">
        <v>5014</v>
      </c>
      <c r="C245">
        <v>3550</v>
      </c>
      <c r="D245">
        <v>754</v>
      </c>
      <c r="E245">
        <v>64</v>
      </c>
      <c r="F245">
        <v>803</v>
      </c>
      <c r="G245">
        <v>2100</v>
      </c>
      <c r="H245">
        <v>741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-134</v>
      </c>
      <c r="E246">
        <v>-5510</v>
      </c>
      <c r="F246">
        <v>-2561</v>
      </c>
      <c r="G246">
        <v>-302</v>
      </c>
      <c r="H246">
        <v>-853</v>
      </c>
      <c r="I246">
        <v>158</v>
      </c>
      <c r="J246">
        <v>210</v>
      </c>
      <c r="K246">
        <v>-166</v>
      </c>
    </row>
    <row r="247" spans="2:11" x14ac:dyDescent="0.25">
      <c r="B247">
        <v>3887</v>
      </c>
      <c r="C247">
        <v>0</v>
      </c>
      <c r="D247">
        <v>187</v>
      </c>
      <c r="E247">
        <v>399</v>
      </c>
      <c r="F247">
        <v>0</v>
      </c>
      <c r="G247">
        <v>-6</v>
      </c>
      <c r="H247">
        <v>-197</v>
      </c>
      <c r="I247">
        <v>-460</v>
      </c>
      <c r="J247">
        <v>37</v>
      </c>
      <c r="K247">
        <v>1167</v>
      </c>
    </row>
    <row r="248" spans="2:11" x14ac:dyDescent="0.25">
      <c r="B248">
        <v>0</v>
      </c>
      <c r="C248">
        <v>0</v>
      </c>
      <c r="D248">
        <v>6040</v>
      </c>
      <c r="E248">
        <v>5725</v>
      </c>
      <c r="F248">
        <v>4495</v>
      </c>
      <c r="G248">
        <v>0</v>
      </c>
      <c r="H248">
        <v>-1964</v>
      </c>
      <c r="I248">
        <v>-3173</v>
      </c>
      <c r="J248">
        <v>-6392</v>
      </c>
      <c r="K248">
        <v>-10116</v>
      </c>
    </row>
    <row r="249" spans="2:11" x14ac:dyDescent="0.25">
      <c r="B249">
        <v>0</v>
      </c>
      <c r="C249">
        <v>2264</v>
      </c>
      <c r="D249">
        <v>338</v>
      </c>
      <c r="E249">
        <v>-593</v>
      </c>
      <c r="F249">
        <v>-737</v>
      </c>
      <c r="G249">
        <v>0</v>
      </c>
      <c r="H249">
        <v>836</v>
      </c>
      <c r="I249">
        <v>1128</v>
      </c>
      <c r="J249">
        <v>2413</v>
      </c>
      <c r="K249">
        <v>2354</v>
      </c>
    </row>
    <row r="250" spans="2:11" x14ac:dyDescent="0.25">
      <c r="B250">
        <v>0</v>
      </c>
      <c r="C250">
        <v>2819</v>
      </c>
      <c r="D250">
        <v>7507</v>
      </c>
      <c r="E250">
        <v>4069</v>
      </c>
      <c r="F250">
        <v>10617</v>
      </c>
      <c r="G250">
        <v>5292</v>
      </c>
      <c r="H250">
        <v>17640</v>
      </c>
      <c r="I250">
        <v>2334</v>
      </c>
      <c r="J250">
        <v>10550</v>
      </c>
      <c r="K250">
        <v>334</v>
      </c>
    </row>
    <row r="251" spans="2:11" x14ac:dyDescent="0.25">
      <c r="B251">
        <v>3406</v>
      </c>
      <c r="C251">
        <v>56</v>
      </c>
      <c r="D251">
        <v>342</v>
      </c>
      <c r="E251">
        <v>343</v>
      </c>
      <c r="F251">
        <v>2123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-430</v>
      </c>
      <c r="C252">
        <v>5914</v>
      </c>
      <c r="D252">
        <v>5269</v>
      </c>
      <c r="E252">
        <v>5968</v>
      </c>
      <c r="F252">
        <v>6974</v>
      </c>
      <c r="G252">
        <v>3028</v>
      </c>
      <c r="H252">
        <v>810</v>
      </c>
      <c r="I252">
        <v>1324</v>
      </c>
      <c r="J252">
        <v>2271</v>
      </c>
      <c r="K252">
        <v>30218</v>
      </c>
    </row>
    <row r="253" spans="2:11" x14ac:dyDescent="0.25">
      <c r="B253">
        <v>0</v>
      </c>
      <c r="C253">
        <v>11629</v>
      </c>
      <c r="D253">
        <v>13013</v>
      </c>
      <c r="E253">
        <v>0</v>
      </c>
      <c r="F253">
        <v>-8433</v>
      </c>
      <c r="G253">
        <v>-12761</v>
      </c>
      <c r="H253">
        <v>-12250</v>
      </c>
      <c r="I253">
        <v>-12383</v>
      </c>
      <c r="J253">
        <v>-13395</v>
      </c>
      <c r="K253">
        <v>0</v>
      </c>
    </row>
    <row r="254" spans="2:11" x14ac:dyDescent="0.25">
      <c r="B254">
        <v>0</v>
      </c>
      <c r="C254">
        <v>11744</v>
      </c>
      <c r="D254">
        <v>13031</v>
      </c>
      <c r="E254">
        <v>10527</v>
      </c>
      <c r="F254">
        <v>0</v>
      </c>
      <c r="G254">
        <v>-5023</v>
      </c>
      <c r="H254">
        <v>-8989</v>
      </c>
      <c r="I254">
        <v>-13320</v>
      </c>
      <c r="J254">
        <v>-15564</v>
      </c>
      <c r="K254">
        <v>0</v>
      </c>
    </row>
    <row r="255" spans="2:11" x14ac:dyDescent="0.25">
      <c r="B255">
        <v>-2752</v>
      </c>
      <c r="C255">
        <v>-3088</v>
      </c>
      <c r="D255">
        <v>-3011</v>
      </c>
      <c r="E255">
        <v>-1959</v>
      </c>
      <c r="F255">
        <v>0</v>
      </c>
      <c r="G255">
        <v>1034</v>
      </c>
      <c r="H255">
        <v>840</v>
      </c>
      <c r="I255">
        <v>1267</v>
      </c>
      <c r="J255">
        <v>1380</v>
      </c>
      <c r="K255">
        <v>0</v>
      </c>
    </row>
    <row r="256" spans="2:11" x14ac:dyDescent="0.25">
      <c r="B256">
        <v>16686</v>
      </c>
      <c r="C256">
        <v>3930</v>
      </c>
      <c r="D256">
        <v>22736</v>
      </c>
      <c r="E256">
        <v>5840</v>
      </c>
      <c r="F256">
        <v>32649</v>
      </c>
      <c r="G256">
        <v>9390</v>
      </c>
      <c r="H256">
        <v>19335</v>
      </c>
      <c r="I256">
        <v>6124</v>
      </c>
      <c r="J256">
        <v>-557</v>
      </c>
      <c r="K256">
        <v>589</v>
      </c>
    </row>
    <row r="257" spans="2:11" x14ac:dyDescent="0.25">
      <c r="B257">
        <v>-4489</v>
      </c>
      <c r="C257">
        <v>-621</v>
      </c>
      <c r="D257">
        <v>-921</v>
      </c>
      <c r="E257">
        <v>-202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189</v>
      </c>
    </row>
    <row r="258" spans="2:11" x14ac:dyDescent="0.25">
      <c r="B258">
        <v>-7515</v>
      </c>
      <c r="C258">
        <v>-3180</v>
      </c>
      <c r="D258">
        <v>-5854</v>
      </c>
      <c r="E258">
        <v>-5516</v>
      </c>
      <c r="F258">
        <v>-84</v>
      </c>
      <c r="G258">
        <v>-1489</v>
      </c>
      <c r="H258">
        <v>1578</v>
      </c>
      <c r="I258">
        <v>5194</v>
      </c>
      <c r="J258">
        <v>10995</v>
      </c>
      <c r="K258">
        <v>2389</v>
      </c>
    </row>
    <row r="259" spans="2:11" x14ac:dyDescent="0.25">
      <c r="B259">
        <v>0</v>
      </c>
      <c r="C259">
        <v>275</v>
      </c>
      <c r="D259">
        <v>483</v>
      </c>
      <c r="E259">
        <v>0</v>
      </c>
      <c r="F259">
        <v>-659</v>
      </c>
      <c r="G259">
        <v>-1191</v>
      </c>
      <c r="H259">
        <v>-994</v>
      </c>
      <c r="I259">
        <v>-715</v>
      </c>
      <c r="J259">
        <v>-1</v>
      </c>
      <c r="K259">
        <v>0</v>
      </c>
    </row>
    <row r="260" spans="2:11" x14ac:dyDescent="0.25">
      <c r="B260">
        <v>0</v>
      </c>
      <c r="C260">
        <v>11541</v>
      </c>
      <c r="D260">
        <v>11377</v>
      </c>
      <c r="E260">
        <v>8988</v>
      </c>
      <c r="F260">
        <v>0</v>
      </c>
      <c r="G260">
        <v>-3644</v>
      </c>
      <c r="H260">
        <v>-5471</v>
      </c>
      <c r="I260">
        <v>-8451</v>
      </c>
      <c r="J260">
        <v>-9978</v>
      </c>
      <c r="K260">
        <v>0</v>
      </c>
    </row>
    <row r="261" spans="2:11" x14ac:dyDescent="0.25">
      <c r="B261">
        <v>7974</v>
      </c>
      <c r="C261">
        <v>7616</v>
      </c>
      <c r="D261">
        <v>7471</v>
      </c>
      <c r="E261">
        <v>5543</v>
      </c>
      <c r="F261">
        <v>0</v>
      </c>
      <c r="G261">
        <v>-4354</v>
      </c>
      <c r="H261">
        <v>-5304</v>
      </c>
      <c r="I261">
        <v>-10745</v>
      </c>
      <c r="J261">
        <v>-13961</v>
      </c>
      <c r="K261">
        <v>0</v>
      </c>
    </row>
    <row r="262" spans="2:11" x14ac:dyDescent="0.25">
      <c r="B262">
        <v>6195</v>
      </c>
      <c r="C262">
        <v>17947</v>
      </c>
      <c r="D262">
        <v>8629</v>
      </c>
      <c r="E262">
        <v>24412</v>
      </c>
      <c r="F262">
        <v>11706</v>
      </c>
      <c r="G262">
        <v>36836</v>
      </c>
      <c r="H262">
        <v>5804</v>
      </c>
      <c r="I262">
        <v>31761</v>
      </c>
      <c r="J262">
        <v>-219</v>
      </c>
      <c r="K262">
        <v>-1697</v>
      </c>
    </row>
    <row r="263" spans="2:11" x14ac:dyDescent="0.25">
      <c r="B263">
        <v>-859</v>
      </c>
      <c r="C263">
        <v>-3640</v>
      </c>
      <c r="D263">
        <v>-668</v>
      </c>
      <c r="E263">
        <v>-1068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-184</v>
      </c>
    </row>
    <row r="264" spans="2:11" x14ac:dyDescent="0.25">
      <c r="B264">
        <v>8142</v>
      </c>
      <c r="C264">
        <v>9415</v>
      </c>
      <c r="D264">
        <v>5488</v>
      </c>
      <c r="E264">
        <v>7132</v>
      </c>
      <c r="F264">
        <v>-2498</v>
      </c>
      <c r="G264">
        <v>376</v>
      </c>
      <c r="H264">
        <v>2366</v>
      </c>
      <c r="I264">
        <v>4663</v>
      </c>
      <c r="J264">
        <v>4333</v>
      </c>
      <c r="K264">
        <v>9042</v>
      </c>
    </row>
    <row r="265" spans="2:11" x14ac:dyDescent="0.25">
      <c r="B265">
        <v>21082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topLeftCell="A48" workbookViewId="0">
      <selection activeCell="P29" sqref="P29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179</v>
      </c>
      <c r="C8" t="s">
        <v>180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0.44406250000000003</v>
      </c>
      <c r="G9" t="s">
        <v>105</v>
      </c>
      <c r="H9">
        <v>24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111</v>
      </c>
      <c r="E11">
        <v>-5.5423581828200001</v>
      </c>
      <c r="F11">
        <v>1.2830346315100001</v>
      </c>
    </row>
    <row r="12" spans="1:11" x14ac:dyDescent="0.25">
      <c r="B12">
        <v>12</v>
      </c>
      <c r="C12" t="s">
        <v>110</v>
      </c>
      <c r="D12" t="s">
        <v>109</v>
      </c>
      <c r="E12">
        <v>-5</v>
      </c>
      <c r="F12">
        <v>0</v>
      </c>
    </row>
    <row r="13" spans="1:11" x14ac:dyDescent="0.25">
      <c r="B13">
        <v>13</v>
      </c>
      <c r="C13" t="s">
        <v>112</v>
      </c>
      <c r="D13" t="s">
        <v>111</v>
      </c>
      <c r="E13">
        <v>-0.66069759613599999</v>
      </c>
      <c r="F13" s="57">
        <v>0.49684800828699999</v>
      </c>
    </row>
    <row r="14" spans="1:11" x14ac:dyDescent="0.25">
      <c r="B14">
        <v>14</v>
      </c>
      <c r="C14" t="s">
        <v>113</v>
      </c>
      <c r="D14" t="s">
        <v>109</v>
      </c>
      <c r="E14">
        <v>0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-0.43816094042800002</v>
      </c>
      <c r="F15" s="57">
        <v>0.27860582331099998</v>
      </c>
    </row>
    <row r="16" spans="1:11" x14ac:dyDescent="0.25">
      <c r="B16">
        <v>16</v>
      </c>
      <c r="C16" t="s">
        <v>115</v>
      </c>
      <c r="D16" t="s">
        <v>111</v>
      </c>
      <c r="E16">
        <v>0.35014935706299999</v>
      </c>
      <c r="F16" s="57">
        <v>0.327668009072</v>
      </c>
    </row>
    <row r="17" spans="2:6" x14ac:dyDescent="0.25">
      <c r="B17">
        <v>17</v>
      </c>
      <c r="C17" t="s">
        <v>116</v>
      </c>
      <c r="D17" t="s">
        <v>111</v>
      </c>
      <c r="E17">
        <v>-0.97116272210700005</v>
      </c>
      <c r="F17">
        <v>0.39768692630199998</v>
      </c>
    </row>
    <row r="18" spans="2:6" x14ac:dyDescent="0.25">
      <c r="B18">
        <v>18</v>
      </c>
      <c r="C18" t="s">
        <v>117</v>
      </c>
      <c r="D18" t="s">
        <v>111</v>
      </c>
      <c r="E18">
        <v>-1.40663538516</v>
      </c>
      <c r="F18">
        <v>0.60742399910800005</v>
      </c>
    </row>
    <row r="19" spans="2:6" x14ac:dyDescent="0.25">
      <c r="B19">
        <v>19</v>
      </c>
      <c r="C19" t="s">
        <v>118</v>
      </c>
      <c r="D19" t="s">
        <v>111</v>
      </c>
      <c r="E19">
        <v>-3.9493274113200001</v>
      </c>
      <c r="F19">
        <v>1.89217897237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111</v>
      </c>
      <c r="E21">
        <v>6.9186854038699996</v>
      </c>
      <c r="F21">
        <v>0.93747104692600003</v>
      </c>
    </row>
    <row r="22" spans="2:6" x14ac:dyDescent="0.25">
      <c r="B22">
        <v>22</v>
      </c>
      <c r="C22" t="s">
        <v>121</v>
      </c>
      <c r="D22" t="s">
        <v>111</v>
      </c>
      <c r="E22">
        <v>0.82378831109799999</v>
      </c>
      <c r="F22">
        <v>0.51696166250300002</v>
      </c>
    </row>
    <row r="23" spans="2:6" x14ac:dyDescent="0.25">
      <c r="B23">
        <v>23</v>
      </c>
      <c r="C23" t="s">
        <v>122</v>
      </c>
      <c r="D23" t="s">
        <v>111</v>
      </c>
      <c r="E23">
        <v>1.15129394327</v>
      </c>
      <c r="F23">
        <v>0.38890173731099997</v>
      </c>
    </row>
    <row r="24" spans="2:6" x14ac:dyDescent="0.25">
      <c r="B24">
        <v>24</v>
      </c>
      <c r="C24" t="s">
        <v>123</v>
      </c>
      <c r="D24" t="s">
        <v>111</v>
      </c>
      <c r="E24">
        <v>1.26969878925</v>
      </c>
      <c r="F24">
        <v>0.33669307971700002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-0.32598304645800003</v>
      </c>
      <c r="F26" s="57">
        <v>0.44955767308</v>
      </c>
    </row>
    <row r="27" spans="2:6" x14ac:dyDescent="0.25">
      <c r="B27">
        <v>27</v>
      </c>
      <c r="C27" t="s">
        <v>126</v>
      </c>
      <c r="D27" t="s">
        <v>111</v>
      </c>
      <c r="E27">
        <v>-0.23479195191999999</v>
      </c>
      <c r="F27">
        <v>0.55647595757699997</v>
      </c>
    </row>
    <row r="28" spans="2:6" x14ac:dyDescent="0.25">
      <c r="B28">
        <v>28</v>
      </c>
      <c r="C28" t="s">
        <v>127</v>
      </c>
      <c r="D28" t="s">
        <v>111</v>
      </c>
      <c r="E28">
        <v>-0.63082416318199996</v>
      </c>
      <c r="F28">
        <v>1.12936832791</v>
      </c>
    </row>
    <row r="29" spans="2:6" x14ac:dyDescent="0.25">
      <c r="B29">
        <v>29</v>
      </c>
      <c r="C29" t="s">
        <v>128</v>
      </c>
      <c r="D29" t="s">
        <v>111</v>
      </c>
      <c r="E29">
        <v>1.77974443435</v>
      </c>
      <c r="F29">
        <v>1.8337396107099999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181</v>
      </c>
      <c r="D31" t="s">
        <v>111</v>
      </c>
      <c r="E31">
        <v>2.3787024053099999</v>
      </c>
      <c r="F31">
        <v>0.43267162910599999</v>
      </c>
    </row>
    <row r="32" spans="2:6" x14ac:dyDescent="0.25">
      <c r="B32">
        <v>32</v>
      </c>
      <c r="C32" t="s">
        <v>182</v>
      </c>
      <c r="D32" t="s">
        <v>111</v>
      </c>
      <c r="E32">
        <v>1.49226509696</v>
      </c>
      <c r="F32">
        <v>0.35497345382200002</v>
      </c>
    </row>
    <row r="33" spans="2:6" x14ac:dyDescent="0.25">
      <c r="B33">
        <v>33</v>
      </c>
      <c r="C33" t="s">
        <v>183</v>
      </c>
      <c r="D33" t="s">
        <v>109</v>
      </c>
      <c r="E33">
        <v>0</v>
      </c>
      <c r="F33">
        <v>0</v>
      </c>
    </row>
    <row r="34" spans="2:6" x14ac:dyDescent="0.25">
      <c r="B34">
        <v>34</v>
      </c>
      <c r="C34" t="s">
        <v>131</v>
      </c>
      <c r="D34" t="s">
        <v>111</v>
      </c>
      <c r="E34">
        <v>-0.77591292235700005</v>
      </c>
      <c r="F34">
        <v>0.68914406431599995</v>
      </c>
    </row>
    <row r="35" spans="2:6" x14ac:dyDescent="0.25">
      <c r="B35">
        <v>35</v>
      </c>
      <c r="C35" t="s">
        <v>132</v>
      </c>
      <c r="D35" t="s">
        <v>109</v>
      </c>
      <c r="E35">
        <v>-5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-5</v>
      </c>
      <c r="F36">
        <v>0</v>
      </c>
    </row>
    <row r="37" spans="2:6" x14ac:dyDescent="0.25">
      <c r="B37">
        <v>37</v>
      </c>
      <c r="C37" t="s">
        <v>184</v>
      </c>
      <c r="D37" t="s">
        <v>109</v>
      </c>
      <c r="E37">
        <v>-5.0519999999999996</v>
      </c>
      <c r="F37">
        <v>0</v>
      </c>
    </row>
    <row r="38" spans="2:6" x14ac:dyDescent="0.25">
      <c r="B38">
        <v>38</v>
      </c>
      <c r="C38" t="s">
        <v>137</v>
      </c>
      <c r="D38" t="s">
        <v>109</v>
      </c>
      <c r="E38">
        <v>-10</v>
      </c>
      <c r="F38">
        <v>0</v>
      </c>
    </row>
    <row r="39" spans="2:6" x14ac:dyDescent="0.25">
      <c r="B39">
        <v>39</v>
      </c>
      <c r="C39" t="s">
        <v>138</v>
      </c>
      <c r="D39" t="s">
        <v>109</v>
      </c>
      <c r="E39">
        <v>-10</v>
      </c>
      <c r="F39">
        <v>0</v>
      </c>
    </row>
    <row r="40" spans="2:6" x14ac:dyDescent="0.25">
      <c r="B40">
        <v>41</v>
      </c>
      <c r="C40" t="s">
        <v>140</v>
      </c>
      <c r="D40" t="s">
        <v>111</v>
      </c>
      <c r="E40" s="57">
        <v>-4.90819376318E-2</v>
      </c>
      <c r="F40" s="57">
        <v>6.3693085137099995E-2</v>
      </c>
    </row>
    <row r="41" spans="2:6" x14ac:dyDescent="0.25">
      <c r="B41">
        <v>42</v>
      </c>
      <c r="C41" t="s">
        <v>141</v>
      </c>
      <c r="D41" t="s">
        <v>111</v>
      </c>
      <c r="E41" s="57">
        <v>0.151855759915</v>
      </c>
      <c r="F41" s="57">
        <v>0.136972972591</v>
      </c>
    </row>
    <row r="42" spans="2:6" x14ac:dyDescent="0.25">
      <c r="B42">
        <v>85</v>
      </c>
      <c r="C42" t="s">
        <v>154</v>
      </c>
      <c r="D42" t="s">
        <v>109</v>
      </c>
      <c r="E42" s="57">
        <v>0.25</v>
      </c>
      <c r="F42" s="57">
        <v>0</v>
      </c>
    </row>
    <row r="43" spans="2:6" x14ac:dyDescent="0.25">
      <c r="B43">
        <v>86</v>
      </c>
      <c r="C43" t="s">
        <v>155</v>
      </c>
      <c r="D43" t="s">
        <v>109</v>
      </c>
      <c r="E43">
        <v>0.25</v>
      </c>
      <c r="F43" s="57">
        <v>0</v>
      </c>
    </row>
    <row r="44" spans="2:6" x14ac:dyDescent="0.25">
      <c r="B44">
        <v>87</v>
      </c>
      <c r="C44" t="s">
        <v>156</v>
      </c>
      <c r="D44" t="s">
        <v>109</v>
      </c>
      <c r="E44" s="57">
        <v>0.25</v>
      </c>
      <c r="F44" s="57">
        <v>0</v>
      </c>
    </row>
    <row r="45" spans="2:6" x14ac:dyDescent="0.25">
      <c r="B45">
        <v>88</v>
      </c>
      <c r="C45" t="s">
        <v>157</v>
      </c>
      <c r="D45" t="s">
        <v>109</v>
      </c>
      <c r="E45">
        <v>0.25</v>
      </c>
      <c r="F45" s="57">
        <v>0</v>
      </c>
    </row>
    <row r="46" spans="2:6" x14ac:dyDescent="0.25">
      <c r="B46">
        <v>91</v>
      </c>
      <c r="C46" t="s">
        <v>185</v>
      </c>
      <c r="D46" t="s">
        <v>111</v>
      </c>
      <c r="E46" s="57">
        <v>2.93049427473</v>
      </c>
      <c r="F46" s="57">
        <v>0.89682666168000003</v>
      </c>
    </row>
    <row r="47" spans="2:6" x14ac:dyDescent="0.25">
      <c r="B47">
        <v>92</v>
      </c>
      <c r="C47" t="s">
        <v>186</v>
      </c>
      <c r="D47" t="s">
        <v>111</v>
      </c>
      <c r="E47">
        <v>1.8845449572199999</v>
      </c>
      <c r="F47" s="57">
        <v>0.86863773644300002</v>
      </c>
    </row>
    <row r="48" spans="2:6" x14ac:dyDescent="0.25">
      <c r="B48">
        <v>93</v>
      </c>
      <c r="C48" t="s">
        <v>160</v>
      </c>
      <c r="D48" t="s">
        <v>111</v>
      </c>
      <c r="E48" s="57">
        <v>0.170361034168</v>
      </c>
      <c r="F48" s="57">
        <v>5.2564645727899997E-2</v>
      </c>
    </row>
    <row r="49" spans="2:11" x14ac:dyDescent="0.25">
      <c r="B49">
        <v>94</v>
      </c>
      <c r="C49" t="s">
        <v>161</v>
      </c>
      <c r="D49" t="s">
        <v>111</v>
      </c>
      <c r="E49" s="57">
        <v>0.20205649241699999</v>
      </c>
      <c r="F49" s="57">
        <v>4.4856470046500001E-2</v>
      </c>
    </row>
    <row r="50" spans="2:11" x14ac:dyDescent="0.25">
      <c r="B50">
        <v>124</v>
      </c>
      <c r="C50" t="s">
        <v>167</v>
      </c>
      <c r="D50" t="s">
        <v>111</v>
      </c>
      <c r="E50" s="57">
        <v>0.31620584925299999</v>
      </c>
      <c r="F50" s="57">
        <v>0.35207285999600002</v>
      </c>
    </row>
    <row r="51" spans="2:11" x14ac:dyDescent="0.25">
      <c r="B51">
        <v>145</v>
      </c>
      <c r="C51" t="s">
        <v>187</v>
      </c>
      <c r="D51" t="s">
        <v>111</v>
      </c>
      <c r="E51" s="57">
        <v>5.38855009856E-2</v>
      </c>
      <c r="F51" s="57">
        <v>7.8164015116499994E-2</v>
      </c>
    </row>
    <row r="52" spans="2:11" x14ac:dyDescent="0.25">
      <c r="B52">
        <v>146</v>
      </c>
      <c r="C52" t="s">
        <v>188</v>
      </c>
      <c r="D52" t="s">
        <v>111</v>
      </c>
      <c r="E52" s="57">
        <v>-0.48499658535599999</v>
      </c>
      <c r="F52" s="57">
        <v>0.29825557499700001</v>
      </c>
    </row>
    <row r="53" spans="2:11" x14ac:dyDescent="0.25">
      <c r="B53">
        <v>147</v>
      </c>
      <c r="C53" t="s">
        <v>189</v>
      </c>
      <c r="D53" t="s">
        <v>111</v>
      </c>
      <c r="E53" s="57">
        <v>0.15454188544200001</v>
      </c>
      <c r="F53" s="57">
        <v>4.1460815212999998E-2</v>
      </c>
    </row>
    <row r="54" spans="2:11" x14ac:dyDescent="0.25">
      <c r="B54">
        <v>148</v>
      </c>
      <c r="C54" t="s">
        <v>190</v>
      </c>
      <c r="D54" t="s">
        <v>111</v>
      </c>
      <c r="E54" s="57">
        <v>-0.179774601487</v>
      </c>
      <c r="F54" s="57">
        <v>0.128305180262</v>
      </c>
    </row>
    <row r="55" spans="2:11" x14ac:dyDescent="0.25">
      <c r="B55">
        <v>149</v>
      </c>
      <c r="C55" t="s">
        <v>191</v>
      </c>
      <c r="D55" t="s">
        <v>111</v>
      </c>
      <c r="E55">
        <v>0.13717521613700001</v>
      </c>
      <c r="F55" s="57">
        <v>3.18924666951E-2</v>
      </c>
    </row>
    <row r="56" spans="2:11" x14ac:dyDescent="0.25">
      <c r="B56">
        <v>150</v>
      </c>
      <c r="C56" t="s">
        <v>192</v>
      </c>
      <c r="D56" t="s">
        <v>111</v>
      </c>
      <c r="E56" s="57">
        <v>-8.6513742325400003E-2</v>
      </c>
      <c r="F56" s="57">
        <v>8.6825839095899998E-2</v>
      </c>
    </row>
    <row r="57" spans="2:11" x14ac:dyDescent="0.25">
      <c r="B57">
        <v>151</v>
      </c>
      <c r="C57" t="s">
        <v>193</v>
      </c>
      <c r="D57" t="s">
        <v>111</v>
      </c>
      <c r="E57">
        <v>0.18364478476900001</v>
      </c>
      <c r="F57" s="57">
        <v>4.0878482691299997E-2</v>
      </c>
    </row>
    <row r="58" spans="2:11" x14ac:dyDescent="0.25">
      <c r="B58">
        <v>152</v>
      </c>
      <c r="C58" t="s">
        <v>194</v>
      </c>
      <c r="D58" t="s">
        <v>111</v>
      </c>
      <c r="E58" s="57">
        <v>1.1684688543099999E-2</v>
      </c>
      <c r="F58">
        <v>0.120123669992</v>
      </c>
    </row>
    <row r="59" spans="2:11" x14ac:dyDescent="0.25">
      <c r="B59">
        <v>153</v>
      </c>
      <c r="C59" t="s">
        <v>195</v>
      </c>
      <c r="D59" t="s">
        <v>111</v>
      </c>
      <c r="E59">
        <v>0.10684767663399999</v>
      </c>
      <c r="F59" s="57">
        <v>4.7187194521000002E-2</v>
      </c>
    </row>
    <row r="60" spans="2:11" x14ac:dyDescent="0.25">
      <c r="B60">
        <v>154</v>
      </c>
      <c r="C60" t="s">
        <v>196</v>
      </c>
      <c r="D60" t="s">
        <v>111</v>
      </c>
      <c r="E60" s="57">
        <v>-2.5995997107600002E-2</v>
      </c>
      <c r="F60">
        <v>0.134925145202</v>
      </c>
    </row>
    <row r="61" spans="2:11" x14ac:dyDescent="0.25">
      <c r="B61">
        <v>-1</v>
      </c>
      <c r="F61" s="57"/>
    </row>
    <row r="62" spans="2:11" x14ac:dyDescent="0.25">
      <c r="B62">
        <v>697</v>
      </c>
      <c r="C62" s="57">
        <v>-2567.8479675200001</v>
      </c>
      <c r="D62" s="57">
        <v>-3502.0502298900001</v>
      </c>
      <c r="E62" s="57">
        <v>-2683.6529225099998</v>
      </c>
      <c r="F62" s="57"/>
    </row>
    <row r="63" spans="2:11" x14ac:dyDescent="0.25">
      <c r="B63">
        <v>9</v>
      </c>
      <c r="C63" t="s">
        <v>197</v>
      </c>
      <c r="D63" t="s">
        <v>105</v>
      </c>
      <c r="E63">
        <v>24</v>
      </c>
      <c r="F63" s="57" t="s">
        <v>106</v>
      </c>
      <c r="G63">
        <v>16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E64"/>
  <sheetViews>
    <sheetView workbookViewId="0">
      <selection activeCell="Q16" sqref="Q16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hidden="true" width="9.42578125" collapsed="true"/>
    <col min="14" max="14" customWidth="true" hidden="true" width="12.28515625" collapsed="true"/>
    <col min="15" max="15" customWidth="true" width="22.28515625" collapsed="true"/>
    <col min="22" max="22" bestFit="true" customWidth="true" width="11.140625" collapsed="true"/>
    <col min="24" max="24" bestFit="true" customWidth="true" width="11.28515625" collapsed="true"/>
    <col min="30" max="30" bestFit="true" customWidth="true" width="10.28515625" collapsed="true"/>
  </cols>
  <sheetData>
    <row ht="15.75" r="1" spans="2:30" thickBot="1" x14ac:dyDescent="0.3">
      <c r="B1" s="37" t="s">
        <v>71</v>
      </c>
      <c r="C1" s="1"/>
      <c r="D1" s="1"/>
      <c r="E1" s="1" t="s">
        <v>86</v>
      </c>
      <c r="F1" s="38">
        <v>0.5</v>
      </c>
      <c r="G1" s="1"/>
      <c r="H1" s="1"/>
      <c r="I1" s="1"/>
      <c r="U1" s="58" t="s">
        <v>175</v>
      </c>
      <c r="V1" s="59"/>
      <c r="W1" s="59"/>
      <c r="X1" s="59"/>
      <c r="AA1" s="58" t="s">
        <v>198</v>
      </c>
      <c r="AB1" s="59"/>
      <c r="AC1" s="59"/>
      <c r="AD1" s="59"/>
    </row>
    <row ht="15.75" r="2" spans="2:30" thickBot="1" x14ac:dyDescent="0.3">
      <c r="B2" s="5"/>
      <c r="C2" s="78" t="s">
        <v>87</v>
      </c>
      <c r="D2" s="78"/>
      <c r="E2" s="78" t="s">
        <v>83</v>
      </c>
      <c r="F2" s="78"/>
      <c r="G2" s="11"/>
      <c r="H2" s="11"/>
      <c r="I2" s="11"/>
      <c r="L2" s="1"/>
      <c r="M2" s="1"/>
      <c r="N2" s="1"/>
      <c r="O2" s="1"/>
      <c r="U2" s="59"/>
      <c r="V2" s="59"/>
      <c r="W2" s="60" t="s">
        <v>173</v>
      </c>
      <c r="X2" s="60" t="s">
        <v>174</v>
      </c>
      <c r="AA2" s="59"/>
      <c r="AB2" s="59"/>
      <c r="AC2" s="60" t="s">
        <v>173</v>
      </c>
      <c r="AD2" s="60" t="s">
        <v>174</v>
      </c>
    </row>
    <row r="3" spans="2:3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199</v>
      </c>
      <c r="U3">
        <f>SchoolTourTime!B11</f>
        <v>11</v>
      </c>
      <c r="V3" t="str">
        <f>SchoolTourTime!C11</f>
        <v>arr3-5</v>
      </c>
      <c r="W3">
        <f>VLOOKUP(U3,SchoolTourTime!$B$11:$E$72,4,FALSE)</f>
        <v>-10</v>
      </c>
      <c r="X3" s="64">
        <f>_xlfn.IFNA(VLOOKUP(U3,$L$3:$N$29,3,FALSE),W3)</f>
        <v>-10</v>
      </c>
      <c r="AA3">
        <f>WorkBasedSubtourTime!B11</f>
        <v>11</v>
      </c>
      <c r="AB3" t="str">
        <f>WorkBasedSubtourTime!C11</f>
        <v>arr3-5</v>
      </c>
      <c r="AC3">
        <f>VLOOKUP(AA3,WorkBasedSubtourTime!$B$11:$E$60,4,FALSE)</f>
        <v>-5.5423581828200001</v>
      </c>
      <c r="AD3" s="64">
        <f>_xlfn.IFNA(VLOOKUP(AA3,$L$35:$N$61,3,FALSE),AC3)</f>
        <v>-5.5423581828200001</v>
      </c>
    </row>
    <row r="4" spans="2:30" x14ac:dyDescent="0.25">
      <c r="B4" t="s">
        <v>73</v>
      </c>
      <c r="C4" s="29">
        <f>SUM(Departure_Time!C9:C16)</f>
        <v>243.81454706341063</v>
      </c>
      <c r="D4" s="29">
        <f>SUM(Departure_Time!J9:J16)</f>
        <v>1110.2578663995846</v>
      </c>
      <c r="E4" s="30">
        <f>C4/C$14</f>
        <v>3.0285860900041523E-4</v>
      </c>
      <c r="F4" s="30">
        <f>D4/D$14</f>
        <v>1.4605679752412975E-3</v>
      </c>
      <c r="G4" s="6">
        <f>E4/F4</f>
        <v>0.2073567366492344</v>
      </c>
      <c r="H4" s="6">
        <v>0</v>
      </c>
      <c r="I4" s="31">
        <f>H4*(LN(G4)-LN($G$8))</f>
        <v>0</v>
      </c>
      <c r="L4" s="71">
        <v>21</v>
      </c>
      <c r="M4" s="72">
        <f>VLOOKUP(L4,$U$3:$X$64,3,FALSE)</f>
        <v>-10</v>
      </c>
      <c r="N4" s="73">
        <f>I4+M4</f>
        <v>-10</v>
      </c>
      <c r="O4" s="71" t="str">
        <f>CONCATENATE("Departure ",B4)</f>
        <v>Departure 3-7 am</v>
      </c>
      <c r="U4">
        <f>SchoolTourTime!B12</f>
        <v>12</v>
      </c>
      <c r="V4" t="str">
        <f>SchoolTourTime!C12</f>
        <v>arr=6</v>
      </c>
      <c r="W4">
        <f>VLOOKUP(U4,SchoolTourTime!$B$11:$E$72,4,FALSE)</f>
        <v>-4.9807800000000002</v>
      </c>
      <c r="X4" s="64">
        <f ref="X4:X64" si="0" t="shared">_xlfn.IFNA(VLOOKUP(U4,$L$3:$N$29,3,FALSE),W4)</f>
        <v>-4.9807800000000002</v>
      </c>
      <c r="AA4">
        <f>WorkBasedSubtourTime!B12</f>
        <v>12</v>
      </c>
      <c r="AB4" t="str">
        <f>WorkBasedSubtourTime!C12</f>
        <v>arr=6</v>
      </c>
      <c r="AC4">
        <f>VLOOKUP(AA4,WorkBasedSubtourTime!$B$11:$E$60,4,FALSE)</f>
        <v>-5</v>
      </c>
      <c r="AD4" s="64">
        <f ref="AD4:AD52" si="1" t="shared">_xlfn.IFNA(VLOOKUP(AA4,$L$35:$N$61,3,FALSE),AC4)</f>
        <v>-5</v>
      </c>
    </row>
    <row r="5" spans="2:30" x14ac:dyDescent="0.25">
      <c r="B5" t="s">
        <v>74</v>
      </c>
      <c r="C5" s="29">
        <f>SUM(Departure_Time!C17:C22)</f>
        <v>18004.607701121997</v>
      </c>
      <c r="D5" s="29">
        <f>SUM(Departure_Time!J17:J22)</f>
        <v>11231.570725379668</v>
      </c>
      <c r="E5" s="30">
        <f ref="E5:E14" si="2" t="shared">C5/C$14</f>
        <v>2.2364746113946225E-2</v>
      </c>
      <c r="F5" s="30">
        <f ref="F5:F14" si="3" t="shared">D5/D$14</f>
        <v>1.4775371568719156E-2</v>
      </c>
      <c r="G5" s="6">
        <f ref="G5:G14" si="4" t="shared">E5/F5</f>
        <v>1.5136503342693923</v>
      </c>
      <c r="H5" s="6">
        <f ref="H5:H12" si="5" t="shared">$F$1</f>
        <v>0.5</v>
      </c>
      <c r="I5" s="31">
        <f ref="I5:I13" si="6" t="shared">H5*(LN(G5)-LN($G$8))</f>
        <v>0.21012047239560636</v>
      </c>
      <c r="L5" s="71">
        <v>22</v>
      </c>
      <c r="M5" s="74">
        <f ref="M5:M13" si="7" t="shared">VLOOKUP(L5,$U$3:$X$64,3,FALSE)</f>
        <v>-2.6249699999999998</v>
      </c>
      <c r="N5" s="73">
        <f ref="N5:N13" si="8" t="shared">I5+M5</f>
        <v>-2.4148495276043933</v>
      </c>
      <c r="O5" s="71" t="str">
        <f ref="O5:O13" si="9" t="shared">CONCATENATE("Departure ",B5)</f>
        <v>Departure 7-10 am</v>
      </c>
      <c r="U5">
        <f>SchoolTourTime!B13</f>
        <v>13</v>
      </c>
      <c r="V5" t="str">
        <f>SchoolTourTime!C13</f>
        <v>arr=7</v>
      </c>
      <c r="W5">
        <f>VLOOKUP(U5,SchoolTourTime!$B$11:$E$72,4,FALSE)</f>
        <v>-2.18872</v>
      </c>
      <c r="X5" s="64">
        <f si="0" t="shared"/>
        <v>-2.18872</v>
      </c>
      <c r="AA5">
        <f>WorkBasedSubtourTime!B13</f>
        <v>13</v>
      </c>
      <c r="AB5" t="str">
        <f>WorkBasedSubtourTime!C13</f>
        <v>arr=7</v>
      </c>
      <c r="AC5">
        <f>VLOOKUP(AA5,WorkBasedSubtourTime!$B$11:$E$60,4,FALSE)</f>
        <v>-0.66069759613599999</v>
      </c>
      <c r="AD5" s="64">
        <f si="1" t="shared"/>
        <v>-0.66069759613599999</v>
      </c>
    </row>
    <row r="6" spans="2:30" x14ac:dyDescent="0.25">
      <c r="B6" t="s">
        <v>75</v>
      </c>
      <c r="C6" s="29">
        <f>SUM(Departure_Time!C23:C28)</f>
        <v>105582.58728224141</v>
      </c>
      <c r="D6" s="29">
        <f>SUM(Departure_Time!J23:J28)</f>
        <v>91605.271244280302</v>
      </c>
      <c r="E6" s="30">
        <f si="2" t="shared"/>
        <v>0.13115130292307037</v>
      </c>
      <c r="F6" s="30">
        <f si="3" t="shared"/>
        <v>0.12050869405372439</v>
      </c>
      <c r="G6" s="6">
        <f si="4" t="shared"/>
        <v>1.0883140337127988</v>
      </c>
      <c r="H6" s="6">
        <f si="5" t="shared"/>
        <v>0.5</v>
      </c>
      <c r="I6" s="31">
        <f si="6" t="shared"/>
        <v>4.5173256036137949E-2</v>
      </c>
      <c r="L6" s="71">
        <v>23</v>
      </c>
      <c r="M6" s="74">
        <f si="7" t="shared"/>
        <v>-0.84769000000000005</v>
      </c>
      <c r="N6" s="73">
        <f si="8" t="shared"/>
        <v>-0.80251674396386208</v>
      </c>
      <c r="O6" s="71" t="str">
        <f si="9" t="shared"/>
        <v>Departure 10 am - 1 pm</v>
      </c>
      <c r="U6">
        <f>SchoolTourTime!B14</f>
        <v>14</v>
      </c>
      <c r="V6" t="str">
        <f>SchoolTourTime!C14</f>
        <v>arr=8</v>
      </c>
      <c r="W6">
        <f>VLOOKUP(U6,SchoolTourTime!$B$11:$E$72,4,FALSE)</f>
        <v>-1.29</v>
      </c>
      <c r="X6" s="64">
        <f si="0" t="shared"/>
        <v>-1.29</v>
      </c>
      <c r="AA6">
        <f>WorkBasedSubtourTime!B14</f>
        <v>14</v>
      </c>
      <c r="AB6" t="str">
        <f>WorkBasedSubtourTime!C14</f>
        <v>arr=8</v>
      </c>
      <c r="AC6">
        <f>VLOOKUP(AA6,WorkBasedSubtourTime!$B$11:$E$60,4,FALSE)</f>
        <v>0</v>
      </c>
      <c r="AD6" s="64">
        <f si="1" t="shared"/>
        <v>0</v>
      </c>
    </row>
    <row r="7" spans="2:30" x14ac:dyDescent="0.25">
      <c r="B7" t="s">
        <v>76</v>
      </c>
      <c r="C7" s="29">
        <f>SUM(Departure_Time!C29:C32)</f>
        <v>257052.55378153225</v>
      </c>
      <c r="D7" s="29">
        <f>SUM(Departure_Time!J29:J32)</f>
        <v>239380.90038487467</v>
      </c>
      <c r="E7" s="30">
        <f si="2" t="shared"/>
        <v>0.31930243628175359</v>
      </c>
      <c r="F7" s="30">
        <f si="3" t="shared"/>
        <v>0.31491069558496754</v>
      </c>
      <c r="G7" s="6">
        <f si="4" t="shared"/>
        <v>1.0139459877303567</v>
      </c>
      <c r="H7" s="6">
        <f si="5" t="shared"/>
        <v>0.5</v>
      </c>
      <c r="I7" s="31">
        <f si="6" t="shared"/>
        <v>9.7832042851239403E-3</v>
      </c>
      <c r="L7" s="71">
        <v>24</v>
      </c>
      <c r="M7" s="74">
        <f si="7" t="shared"/>
        <v>0.46710000000000002</v>
      </c>
      <c r="N7" s="73">
        <f si="8" t="shared"/>
        <v>0.47688320428512393</v>
      </c>
      <c r="O7" s="71" t="str">
        <f si="9" t="shared"/>
        <v>Departure 1-3 pm</v>
      </c>
      <c r="U7">
        <f>SchoolTourTime!B15</f>
        <v>15</v>
      </c>
      <c r="V7" t="str">
        <f>SchoolTourTime!C15</f>
        <v>arr=9</v>
      </c>
      <c r="W7">
        <f>VLOOKUP(U7,SchoolTourTime!$B$11:$E$72,4,FALSE)</f>
        <v>-1.46191</v>
      </c>
      <c r="X7" s="64">
        <f si="0" t="shared"/>
        <v>-1.46191</v>
      </c>
      <c r="AA7">
        <f>WorkBasedSubtourTime!B15</f>
        <v>15</v>
      </c>
      <c r="AB7" t="str">
        <f>WorkBasedSubtourTime!C15</f>
        <v>arr=9</v>
      </c>
      <c r="AC7">
        <f>VLOOKUP(AA7,WorkBasedSubtourTime!$B$11:$E$60,4,FALSE)</f>
        <v>-0.43816094042800002</v>
      </c>
      <c r="AD7" s="64">
        <f si="1" t="shared"/>
        <v>-0.43816094042800002</v>
      </c>
    </row>
    <row r="8" spans="2:30" x14ac:dyDescent="0.25">
      <c r="B8" t="s">
        <v>176</v>
      </c>
      <c r="C8" s="29">
        <f>SUM(Departure_Time!C33:C36)</f>
        <v>284982.09921464452</v>
      </c>
      <c r="D8" s="29">
        <f>SUM(Departure_Time!J33:J36)</f>
        <v>270634.23758547608</v>
      </c>
      <c r="E8" s="30">
        <f si="2" t="shared"/>
        <v>0.35399562166288001</v>
      </c>
      <c r="F8" s="30">
        <f si="3" t="shared"/>
        <v>0.35602512928192925</v>
      </c>
      <c r="G8" s="6">
        <f si="4" t="shared"/>
        <v>0.99429953828500095</v>
      </c>
      <c r="H8" s="6">
        <f si="5" t="shared"/>
        <v>0.5</v>
      </c>
      <c r="I8" s="31">
        <f si="6" t="shared"/>
        <v>0</v>
      </c>
      <c r="L8" s="71">
        <v>25</v>
      </c>
      <c r="M8" s="74">
        <f si="7" t="shared"/>
        <v>0</v>
      </c>
      <c r="N8" s="73">
        <f si="8" t="shared"/>
        <v>0</v>
      </c>
      <c r="O8" s="71" t="str">
        <f si="9" t="shared"/>
        <v>Departure 3-5 pm</v>
      </c>
      <c r="U8">
        <f>SchoolTourTime!B16</f>
        <v>16</v>
      </c>
      <c r="V8" t="str">
        <f>SchoolTourTime!C16</f>
        <v>arr10-12</v>
      </c>
      <c r="W8">
        <f>VLOOKUP(U8,SchoolTourTime!$B$11:$E$72,4,FALSE)</f>
        <v>-1.91828</v>
      </c>
      <c r="X8" s="64">
        <f si="0" t="shared"/>
        <v>-1.91828</v>
      </c>
      <c r="AA8">
        <f>WorkBasedSubtourTime!B16</f>
        <v>16</v>
      </c>
      <c r="AB8" t="str">
        <f>WorkBasedSubtourTime!C16</f>
        <v>arr10-12</v>
      </c>
      <c r="AC8">
        <f>VLOOKUP(AA8,WorkBasedSubtourTime!$B$11:$E$60,4,FALSE)</f>
        <v>0.35014935706299999</v>
      </c>
      <c r="AD8" s="64">
        <f si="1" t="shared"/>
        <v>0.35014935706299999</v>
      </c>
    </row>
    <row r="9" spans="2:30" x14ac:dyDescent="0.25">
      <c r="B9" t="s">
        <v>77</v>
      </c>
      <c r="C9" s="29">
        <f>SUM(Departure_Time!C37:C38)</f>
        <v>62202.636232286095</v>
      </c>
      <c r="D9" s="29">
        <f>SUM(Departure_Time!J37:J38)</f>
        <v>66908.149254339893</v>
      </c>
      <c r="E9" s="30">
        <f si="2" t="shared"/>
        <v>7.7266119320474766E-2</v>
      </c>
      <c r="F9" s="30">
        <f si="3" t="shared"/>
        <v>8.8019101724952489E-2</v>
      </c>
      <c r="G9" s="6">
        <f si="4" t="shared"/>
        <v>0.8778335362012748</v>
      </c>
      <c r="H9" s="6">
        <f si="5" t="shared"/>
        <v>0.5</v>
      </c>
      <c r="I9" s="31">
        <f si="6" t="shared"/>
        <v>-6.2290763134000532E-2</v>
      </c>
      <c r="L9" s="71">
        <v>26</v>
      </c>
      <c r="M9" s="74">
        <f si="7" t="shared"/>
        <v>-0.89420999999999995</v>
      </c>
      <c r="N9" s="73">
        <f si="8" t="shared"/>
        <v>-0.95650076313400045</v>
      </c>
      <c r="O9" s="71" t="str">
        <f si="9" t="shared"/>
        <v>Departure 5-6 pm</v>
      </c>
      <c r="U9">
        <f>SchoolTourTime!B17</f>
        <v>17</v>
      </c>
      <c r="V9" t="str">
        <f>SchoolTourTime!C17</f>
        <v>arr13-15</v>
      </c>
      <c r="W9">
        <f>VLOOKUP(U9,SchoolTourTime!$B$11:$E$72,4,FALSE)</f>
        <v>-2.0692599999999999</v>
      </c>
      <c r="X9" s="64">
        <f si="0" t="shared"/>
        <v>-2.0692599999999999</v>
      </c>
      <c r="AA9">
        <f>WorkBasedSubtourTime!B17</f>
        <v>17</v>
      </c>
      <c r="AB9" t="str">
        <f>WorkBasedSubtourTime!C17</f>
        <v>arr13-15</v>
      </c>
      <c r="AC9">
        <f>VLOOKUP(AA9,WorkBasedSubtourTime!$B$11:$E$60,4,FALSE)</f>
        <v>-0.97116272210700005</v>
      </c>
      <c r="AD9" s="64">
        <f si="1" t="shared"/>
        <v>-0.97116272210700005</v>
      </c>
    </row>
    <row r="10" spans="2:30" x14ac:dyDescent="0.25">
      <c r="B10" t="s">
        <v>78</v>
      </c>
      <c r="C10" s="29">
        <f>SUM(Departure_Time!C39:C40)</f>
        <v>31159.118449137553</v>
      </c>
      <c r="D10" s="29">
        <f>SUM(Departure_Time!J39:J40)</f>
        <v>31011.578480660362</v>
      </c>
      <c r="E10" s="30">
        <f si="2" t="shared"/>
        <v>3.8704857379698004E-2</v>
      </c>
      <c r="F10" s="30">
        <f si="3" t="shared"/>
        <v>4.0796394928881402E-2</v>
      </c>
      <c r="G10" s="6">
        <f si="4" t="shared"/>
        <v>0.94873229478169618</v>
      </c>
      <c r="H10" s="6">
        <f si="5" t="shared"/>
        <v>0.5</v>
      </c>
      <c r="I10" s="31">
        <f si="6" t="shared"/>
        <v>-2.3455920357509874E-2</v>
      </c>
      <c r="L10" s="71">
        <v>27</v>
      </c>
      <c r="M10" s="74">
        <f si="7" t="shared"/>
        <v>-1.82273</v>
      </c>
      <c r="N10" s="73">
        <f si="8" t="shared"/>
        <v>-1.8461859203575099</v>
      </c>
      <c r="O10" s="71" t="str">
        <f si="9" t="shared"/>
        <v>Departure 6-7 pm</v>
      </c>
      <c r="U10">
        <f>SchoolTourTime!B18</f>
        <v>18</v>
      </c>
      <c r="V10" t="str">
        <f>SchoolTourTime!C18</f>
        <v>arr16-18</v>
      </c>
      <c r="W10">
        <f>VLOOKUP(U10,SchoolTourTime!$B$11:$E$72,4,FALSE)</f>
        <v>-2.19163</v>
      </c>
      <c r="X10" s="64">
        <f si="0" t="shared"/>
        <v>-2.19163</v>
      </c>
      <c r="AA10">
        <f>WorkBasedSubtourTime!B18</f>
        <v>18</v>
      </c>
      <c r="AB10" t="str">
        <f>WorkBasedSubtourTime!C18</f>
        <v>arr16-18</v>
      </c>
      <c r="AC10">
        <f>VLOOKUP(AA10,WorkBasedSubtourTime!$B$11:$E$60,4,FALSE)</f>
        <v>-1.40663538516</v>
      </c>
      <c r="AD10" s="64">
        <f si="1" t="shared"/>
        <v>-1.40663538516</v>
      </c>
    </row>
    <row r="11" spans="2:30" x14ac:dyDescent="0.25">
      <c r="B11" t="s">
        <v>79</v>
      </c>
      <c r="C11" s="29">
        <f>SUM(Departure_Time!C41:C44)</f>
        <v>27366.75638819097</v>
      </c>
      <c r="D11" s="29">
        <f>SUM(Departure_Time!J41:J44)</f>
        <v>25614.935181637509</v>
      </c>
      <c r="E11" s="30">
        <f si="2" t="shared"/>
        <v>3.3994106883315528E-2</v>
      </c>
      <c r="F11" s="30">
        <f si="3" t="shared"/>
        <v>3.3696995217430484E-2</v>
      </c>
      <c r="G11" s="6">
        <f si="4" t="shared"/>
        <v>1.0088171560688994</v>
      </c>
      <c r="H11" s="6">
        <f si="5" t="shared"/>
        <v>0.5</v>
      </c>
      <c r="I11" s="31">
        <f si="6" t="shared"/>
        <v>7.2476416472568445E-3</v>
      </c>
      <c r="L11" s="71">
        <v>28</v>
      </c>
      <c r="M11" s="74">
        <f si="7" t="shared"/>
        <v>-2.3654199999999999</v>
      </c>
      <c r="N11" s="73">
        <f si="8" t="shared"/>
        <v>-2.3581723583527432</v>
      </c>
      <c r="O11" s="71" t="str">
        <f si="9" t="shared"/>
        <v>Departure 7-9 pm</v>
      </c>
      <c r="U11">
        <f>SchoolTourTime!B19</f>
        <v>19</v>
      </c>
      <c r="V11" t="str">
        <f>SchoolTourTime!C19</f>
        <v>arr19-21</v>
      </c>
      <c r="W11">
        <f>VLOOKUP(U11,SchoolTourTime!$B$11:$E$72,4,FALSE)</f>
        <v>-3.6867000000000001</v>
      </c>
      <c r="X11" s="64">
        <f si="0" t="shared"/>
        <v>-3.6867000000000001</v>
      </c>
      <c r="AA11">
        <f>WorkBasedSubtourTime!B19</f>
        <v>19</v>
      </c>
      <c r="AB11" t="str">
        <f>WorkBasedSubtourTime!C19</f>
        <v>arr19-21</v>
      </c>
      <c r="AC11">
        <f>VLOOKUP(AA11,WorkBasedSubtourTime!$B$11:$E$60,4,FALSE)</f>
        <v>-3.9493274113200001</v>
      </c>
      <c r="AD11" s="64">
        <f si="1" t="shared"/>
        <v>-3.9493274113200001</v>
      </c>
    </row>
    <row r="12" spans="2:30" x14ac:dyDescent="0.25">
      <c r="B12" t="s">
        <v>80</v>
      </c>
      <c r="C12" s="29">
        <f>SUM(Departure_Time!C45:C50)</f>
        <v>14764.066044233514</v>
      </c>
      <c r="D12" s="29">
        <f>SUM(Departure_Time!J45:J50)</f>
        <v>19242.223861346283</v>
      </c>
      <c r="E12" s="30">
        <f si="2" t="shared"/>
        <v>1.8339449221558994E-2</v>
      </c>
      <c r="F12" s="30">
        <f si="3" t="shared"/>
        <v>2.5313557142761477E-2</v>
      </c>
      <c r="G12" s="6">
        <f si="4" t="shared"/>
        <v>0.72449119332101619</v>
      </c>
      <c r="H12" s="6">
        <f si="5" t="shared"/>
        <v>0.5</v>
      </c>
      <c r="I12" s="31">
        <f si="6" t="shared"/>
        <v>-0.15828445073187403</v>
      </c>
      <c r="L12" s="71">
        <v>29</v>
      </c>
      <c r="M12" s="74">
        <f si="7" t="shared"/>
        <v>-3.26417</v>
      </c>
      <c r="N12" s="73">
        <f si="8" t="shared"/>
        <v>-3.4224544507318742</v>
      </c>
      <c r="O12" s="71" t="str">
        <f si="9" t="shared"/>
        <v>Departure 9-12 pm</v>
      </c>
      <c r="U12">
        <f>SchoolTourTime!B20</f>
        <v>20</v>
      </c>
      <c r="V12" t="str">
        <f>SchoolTourTime!C20</f>
        <v>arr22-26</v>
      </c>
      <c r="W12">
        <f>VLOOKUP(U12,SchoolTourTime!$B$11:$E$72,4,FALSE)</f>
        <v>-10</v>
      </c>
      <c r="X12" s="64">
        <f si="0" t="shared"/>
        <v>-10</v>
      </c>
      <c r="AA12">
        <f>WorkBasedSubtourTime!B20</f>
        <v>20</v>
      </c>
      <c r="AB12" t="str">
        <f>WorkBasedSubtourTime!C20</f>
        <v>arr22-26</v>
      </c>
      <c r="AC12">
        <f>VLOOKUP(AA12,WorkBasedSubtourTime!$B$11:$E$60,4,FALSE)</f>
        <v>-10</v>
      </c>
      <c r="AD12" s="64">
        <f si="1" t="shared"/>
        <v>-10</v>
      </c>
    </row>
    <row r="13" spans="2:30" x14ac:dyDescent="0.25">
      <c r="B13" s="23" t="s">
        <v>81</v>
      </c>
      <c r="C13" s="34">
        <f>SUM(Departure_Time!C51:C57)+Departure_Time!C8</f>
        <v>3685.89586595009</v>
      </c>
      <c r="D13" s="34">
        <f>SUM(Departure_Time!J51:J57)+Departure_Time!J8</f>
        <v>3415.7502451466707</v>
      </c>
      <c r="E13" s="35">
        <f si="2" t="shared"/>
        <v>4.57850160430214E-3</v>
      </c>
      <c r="F13" s="35">
        <f si="3" t="shared"/>
        <v>4.4934925213926009E-3</v>
      </c>
      <c r="G13" s="22">
        <f si="4" t="shared"/>
        <v>1.0189182651367124</v>
      </c>
      <c r="H13" s="22">
        <v>0</v>
      </c>
      <c r="I13" s="31">
        <f si="6" t="shared"/>
        <v>0</v>
      </c>
      <c r="L13" s="75">
        <v>30</v>
      </c>
      <c r="M13" s="75">
        <f si="7" t="shared"/>
        <v>-10</v>
      </c>
      <c r="N13" s="76">
        <f si="8" t="shared"/>
        <v>-10</v>
      </c>
      <c r="O13" s="75" t="str">
        <f si="9" t="shared"/>
        <v>Departure 12-3 am</v>
      </c>
      <c r="U13" s="66">
        <f>SchoolTourTime!B21</f>
        <v>21</v>
      </c>
      <c r="V13" s="66" t="str">
        <f>SchoolTourTime!C21</f>
        <v>dep3-6</v>
      </c>
      <c r="W13" s="66">
        <f>VLOOKUP(U13,SchoolTourTime!$B$11:$E$72,4,FALSE)</f>
        <v>-10</v>
      </c>
      <c r="X13" s="67">
        <f si="0" t="shared"/>
        <v>-10</v>
      </c>
      <c r="AA13" s="66">
        <f>WorkBasedSubtourTime!B21</f>
        <v>21</v>
      </c>
      <c r="AB13" s="66" t="str">
        <f>WorkBasedSubtourTime!C21</f>
        <v>dep3-6</v>
      </c>
      <c r="AC13" s="66">
        <f>VLOOKUP(AA13,WorkBasedSubtourTime!$B$11:$E$60,4,FALSE)</f>
        <v>6.9186854038699996</v>
      </c>
      <c r="AD13" s="67">
        <f si="1" t="shared"/>
        <v>6.9186854038699996</v>
      </c>
    </row>
    <row ht="15.75" r="14" spans="2:30" thickBot="1" x14ac:dyDescent="0.3">
      <c r="B14" s="39" t="s">
        <v>82</v>
      </c>
      <c r="C14" s="40">
        <f>SUM(C4:C13)</f>
        <v>805044.13550640177</v>
      </c>
      <c r="D14" s="40">
        <f>SUM(D4:D13)</f>
        <v>760154.87482954096</v>
      </c>
      <c r="E14" s="41">
        <f si="2" t="shared"/>
        <v>1</v>
      </c>
      <c r="F14" s="41">
        <f si="3" t="shared"/>
        <v>1</v>
      </c>
      <c r="G14" s="42">
        <f si="4" t="shared"/>
        <v>1</v>
      </c>
      <c r="H14" s="42"/>
      <c r="I14" s="43"/>
      <c r="U14" s="66">
        <f>SchoolTourTime!B22</f>
        <v>22</v>
      </c>
      <c r="V14" s="66" t="str">
        <f>SchoolTourTime!C22</f>
        <v>dep7-9</v>
      </c>
      <c r="W14" s="66">
        <f>VLOOKUP(U14,SchoolTourTime!$B$11:$E$72,4,FALSE)</f>
        <v>-2.6249699999999998</v>
      </c>
      <c r="X14" s="67">
        <f si="0" t="shared"/>
        <v>-2.4148495276043933</v>
      </c>
      <c r="AA14" s="66">
        <f>WorkBasedSubtourTime!B22</f>
        <v>22</v>
      </c>
      <c r="AB14" s="66" t="str">
        <f>WorkBasedSubtourTime!C22</f>
        <v>dep7-9</v>
      </c>
      <c r="AC14" s="66">
        <f>VLOOKUP(AA14,WorkBasedSubtourTime!$B$11:$E$60,4,FALSE)</f>
        <v>0.82378831109799999</v>
      </c>
      <c r="AD14" s="67">
        <f si="1" t="shared"/>
        <v>0.67756778753127644</v>
      </c>
    </row>
    <row r="15" spans="2:30" x14ac:dyDescent="0.25">
      <c r="U15" s="66">
        <f>SchoolTourTime!B23</f>
        <v>23</v>
      </c>
      <c r="V15" s="66" t="str">
        <f>SchoolTourTime!C23</f>
        <v>dep10-12</v>
      </c>
      <c r="W15" s="66">
        <f>VLOOKUP(U15,SchoolTourTime!$B$11:$E$72,4,FALSE)</f>
        <v>-0.84769000000000005</v>
      </c>
      <c r="X15" s="67">
        <f si="0" t="shared"/>
        <v>-0.80251674396386208</v>
      </c>
      <c r="AA15" s="66">
        <f>WorkBasedSubtourTime!B23</f>
        <v>23</v>
      </c>
      <c r="AB15" s="66" t="str">
        <f>WorkBasedSubtourTime!C23</f>
        <v>dep10-12</v>
      </c>
      <c r="AC15" s="66">
        <f>VLOOKUP(AA15,WorkBasedSubtourTime!$B$11:$E$60,4,FALSE)</f>
        <v>1.15129394327</v>
      </c>
      <c r="AD15" s="67">
        <f si="1" t="shared"/>
        <v>1.2167925230760073</v>
      </c>
    </row>
    <row r="16" spans="2:30" x14ac:dyDescent="0.25">
      <c r="U16" s="66">
        <f>SchoolTourTime!B24</f>
        <v>24</v>
      </c>
      <c r="V16" s="66" t="str">
        <f>SchoolTourTime!C24</f>
        <v>dep13-14</v>
      </c>
      <c r="W16" s="66">
        <f>VLOOKUP(U16,SchoolTourTime!$B$11:$E$72,4,FALSE)</f>
        <v>0.46710000000000002</v>
      </c>
      <c r="X16" s="67">
        <f si="0" t="shared"/>
        <v>0.47688320428512393</v>
      </c>
      <c r="AA16" s="66">
        <f>WorkBasedSubtourTime!B24</f>
        <v>24</v>
      </c>
      <c r="AB16" s="66" t="str">
        <f>WorkBasedSubtourTime!C24</f>
        <v>dep13-14</v>
      </c>
      <c r="AC16" s="66">
        <f>VLOOKUP(AA16,WorkBasedSubtourTime!$B$11:$E$60,4,FALSE)</f>
        <v>1.26969878925</v>
      </c>
      <c r="AD16" s="67">
        <f si="1" t="shared"/>
        <v>1.4006122182309364</v>
      </c>
    </row>
    <row ht="15.75" r="17" spans="2:30" thickBot="1" x14ac:dyDescent="0.3">
      <c r="B17" s="37" t="s">
        <v>61</v>
      </c>
      <c r="C17" s="1"/>
      <c r="D17" s="1"/>
      <c r="E17" s="1" t="s">
        <v>86</v>
      </c>
      <c r="F17" s="38">
        <v>0</v>
      </c>
      <c r="G17" s="1"/>
      <c r="H17" s="1"/>
      <c r="I17" s="1"/>
      <c r="U17" s="66">
        <f>SchoolTourTime!B25</f>
        <v>25</v>
      </c>
      <c r="V17" s="66" t="str">
        <f>SchoolTourTime!C25</f>
        <v>dep=16</v>
      </c>
      <c r="W17" s="66">
        <f>VLOOKUP(U17,SchoolTourTime!$B$11:$E$72,4,FALSE)</f>
        <v>0</v>
      </c>
      <c r="X17" s="67">
        <f si="0" t="shared"/>
        <v>0</v>
      </c>
      <c r="AA17" s="66">
        <f>WorkBasedSubtourTime!B25</f>
        <v>25</v>
      </c>
      <c r="AB17" s="66" t="str">
        <f>WorkBasedSubtourTime!C25</f>
        <v>dep=16</v>
      </c>
      <c r="AC17" s="66">
        <f>VLOOKUP(AA17,WorkBasedSubtourTime!$B$11:$E$60,4,FALSE)</f>
        <v>0</v>
      </c>
      <c r="AD17" s="67">
        <f si="1" t="shared"/>
        <v>0</v>
      </c>
    </row>
    <row ht="15.75" r="18" spans="2:30" thickBot="1" x14ac:dyDescent="0.3">
      <c r="B18" s="8"/>
      <c r="C18" s="77" t="s">
        <v>87</v>
      </c>
      <c r="D18" s="77"/>
      <c r="E18" s="77" t="s">
        <v>83</v>
      </c>
      <c r="F18" s="77"/>
      <c r="G18" s="8"/>
      <c r="H18" s="8"/>
      <c r="I18" s="8"/>
      <c r="L18" s="1"/>
      <c r="M18" s="1"/>
      <c r="N18" s="1"/>
      <c r="U18" s="66">
        <f>SchoolTourTime!B26</f>
        <v>26</v>
      </c>
      <c r="V18" s="66" t="str">
        <f>SchoolTourTime!C26</f>
        <v>dep=17</v>
      </c>
      <c r="W18" s="66">
        <f>VLOOKUP(U18,SchoolTourTime!$B$11:$E$72,4,FALSE)</f>
        <v>-0.89420999999999995</v>
      </c>
      <c r="X18" s="67">
        <f si="0" t="shared"/>
        <v>-0.95650076313400045</v>
      </c>
      <c r="AA18" s="66">
        <f>WorkBasedSubtourTime!B26</f>
        <v>26</v>
      </c>
      <c r="AB18" s="66" t="str">
        <f>WorkBasedSubtourTime!C26</f>
        <v>dep=17</v>
      </c>
      <c r="AC18" s="66">
        <f>VLOOKUP(AA18,WorkBasedSubtourTime!$B$11:$E$60,4,FALSE)</f>
        <v>-0.32598304645800003</v>
      </c>
      <c r="AD18" s="67">
        <f si="1" t="shared"/>
        <v>-0.3773574746878281</v>
      </c>
    </row>
    <row r="19" spans="2:30" x14ac:dyDescent="0.25">
      <c r="B19" s="32" t="s">
        <v>14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33" t="s">
        <v>88</v>
      </c>
      <c r="M19" s="33" t="s">
        <v>89</v>
      </c>
      <c r="N19" s="32" t="s">
        <v>91</v>
      </c>
      <c r="U19" s="66">
        <f>SchoolTourTime!B27</f>
        <v>27</v>
      </c>
      <c r="V19" s="66" t="str">
        <f>SchoolTourTime!C27</f>
        <v>dep=18</v>
      </c>
      <c r="W19" s="66">
        <f>VLOOKUP(U19,SchoolTourTime!$B$11:$E$72,4,FALSE)</f>
        <v>-1.82273</v>
      </c>
      <c r="X19" s="67">
        <f si="0" t="shared"/>
        <v>-1.8461859203575099</v>
      </c>
      <c r="AA19" s="66">
        <f>WorkBasedSubtourTime!B27</f>
        <v>27</v>
      </c>
      <c r="AB19" s="66" t="str">
        <f>WorkBasedSubtourTime!C27</f>
        <v>dep=18</v>
      </c>
      <c r="AC19" s="66">
        <f>VLOOKUP(AA19,WorkBasedSubtourTime!$B$11:$E$60,4,FALSE)</f>
        <v>-0.23479195191999999</v>
      </c>
      <c r="AD19" s="67">
        <f si="1" t="shared"/>
        <v>-0.47647708638117914</v>
      </c>
    </row>
    <row r="20" spans="2:30" x14ac:dyDescent="0.25">
      <c r="B20" t="s">
        <v>62</v>
      </c>
      <c r="C20" s="29">
        <f>SUM(Duration!C8:C13)</f>
        <v>89062.712868095696</v>
      </c>
      <c r="D20" s="29">
        <f>SUM(Duration!J7:J12)</f>
        <v>122568.38331584015</v>
      </c>
      <c r="E20" s="30">
        <f>C20/C$30</f>
        <v>0.11475243355249329</v>
      </c>
      <c r="F20" s="30">
        <f>D20/D$30</f>
        <v>0.15636935730835969</v>
      </c>
      <c r="G20" s="6">
        <f>E20/F20</f>
        <v>0.73385499261343123</v>
      </c>
      <c r="H20" s="6">
        <f>$F$1</f>
        <v>0.5</v>
      </c>
      <c r="I20" s="62">
        <f>H20*(LN(G20)-LN($G$23))</f>
        <v>-0.18069925294654077</v>
      </c>
      <c r="L20">
        <v>31</v>
      </c>
      <c r="M20" s="61">
        <f>VLOOKUP(L20,$U$3:$X$64,3,FALSE)</f>
        <v>-0.39251999999999998</v>
      </c>
      <c r="N20" s="31">
        <f>I20+M20</f>
        <v>-0.57321925294654075</v>
      </c>
      <c r="U20" s="66">
        <f>SchoolTourTime!B28</f>
        <v>28</v>
      </c>
      <c r="V20" s="66" t="str">
        <f>SchoolTourTime!C28</f>
        <v>dep19-20</v>
      </c>
      <c r="W20" s="66">
        <f>VLOOKUP(U20,SchoolTourTime!$B$11:$E$72,4,FALSE)</f>
        <v>-2.3654199999999999</v>
      </c>
      <c r="X20" s="67">
        <f si="0" t="shared"/>
        <v>-2.3581723583527432</v>
      </c>
      <c r="AA20" s="66">
        <f>WorkBasedSubtourTime!B28</f>
        <v>28</v>
      </c>
      <c r="AB20" s="66" t="str">
        <f>WorkBasedSubtourTime!C28</f>
        <v>dep19-20</v>
      </c>
      <c r="AC20" s="66">
        <f>VLOOKUP(AA20,WorkBasedSubtourTime!$B$11:$E$60,4,FALSE)</f>
        <v>-0.63082416318199996</v>
      </c>
      <c r="AD20" s="67">
        <f si="1" t="shared"/>
        <v>-1.1470574112952341</v>
      </c>
    </row>
    <row r="21" spans="2:30" x14ac:dyDescent="0.25">
      <c r="B21" t="s">
        <v>63</v>
      </c>
      <c r="C21" s="29">
        <f>SUM(Duration!C14:C17)</f>
        <v>103112.12834729298</v>
      </c>
      <c r="D21" s="29">
        <f>SUM(Duration!J13:J16)</f>
        <v>111688.9387986495</v>
      </c>
      <c r="E21" s="30">
        <f ref="E21:E30" si="10" t="shared">C21/C$30</f>
        <v>0.13285433685534548</v>
      </c>
      <c r="F21" s="30">
        <f ref="F21:F30" si="11" t="shared">D21/D$30</f>
        <v>0.14248966255346276</v>
      </c>
      <c r="G21" s="6">
        <f ref="G21:G30" si="12" t="shared">E21/F21</f>
        <v>0.93237877383208712</v>
      </c>
      <c r="H21" s="6">
        <f ref="H21:H28" si="13" t="shared">$F$1</f>
        <v>0.5</v>
      </c>
      <c r="I21" s="63">
        <f ref="I21:I29" si="14" t="shared">H21*(LN(G21)-LN($G$23))</f>
        <v>-6.0985407714252024E-2</v>
      </c>
      <c r="L21" s="5">
        <v>32</v>
      </c>
      <c r="M21" s="5">
        <f ref="M21:M29" si="15" t="shared">VLOOKUP(L21,$U$3:$X$64,3,FALSE)</f>
        <v>-2.12E-2</v>
      </c>
      <c r="N21" s="31">
        <f ref="N21:N29" si="16" t="shared">I21+M21</f>
        <v>-8.2185407714252021E-2</v>
      </c>
      <c r="U21" s="66">
        <f>SchoolTourTime!B29</f>
        <v>29</v>
      </c>
      <c r="V21" s="66" t="str">
        <f>SchoolTourTime!C29</f>
        <v>dep21-23</v>
      </c>
      <c r="W21" s="66">
        <f>VLOOKUP(U21,SchoolTourTime!$B$11:$E$72,4,FALSE)</f>
        <v>-3.26417</v>
      </c>
      <c r="X21" s="67">
        <f si="0" t="shared"/>
        <v>-3.4224544507318742</v>
      </c>
      <c r="AA21" s="66">
        <f>WorkBasedSubtourTime!B29</f>
        <v>29</v>
      </c>
      <c r="AB21" s="66" t="str">
        <f>WorkBasedSubtourTime!C29</f>
        <v>dep21-23</v>
      </c>
      <c r="AC21" s="66">
        <f>VLOOKUP(AA21,WorkBasedSubtourTime!$B$11:$E$60,4,FALSE)</f>
        <v>1.77974443435</v>
      </c>
      <c r="AD21" s="67">
        <f si="1" t="shared"/>
        <v>1.4304320574915803</v>
      </c>
    </row>
    <row r="22" spans="2:30" x14ac:dyDescent="0.25">
      <c r="B22" t="s">
        <v>64</v>
      </c>
      <c r="C22" s="29">
        <f>SUM(Duration!C18:C21)</f>
        <v>251116.70356618395</v>
      </c>
      <c r="D22" s="29">
        <f>SUM(Duration!J17:J20)</f>
        <v>217202.22092332243</v>
      </c>
      <c r="E22" s="30">
        <f si="10" t="shared"/>
        <v>0.3235501357630699</v>
      </c>
      <c r="F22" s="30">
        <f si="11" t="shared"/>
        <v>0.27710059293356909</v>
      </c>
      <c r="G22" s="6">
        <f si="12" t="shared"/>
        <v>1.1676270062714604</v>
      </c>
      <c r="H22" s="6">
        <f si="13" t="shared"/>
        <v>0.5</v>
      </c>
      <c r="I22" s="63">
        <f si="14" t="shared"/>
        <v>5.1509405599121497E-2</v>
      </c>
      <c r="L22" s="5">
        <v>33</v>
      </c>
      <c r="M22" s="5">
        <f si="15" t="shared"/>
        <v>0.27398</v>
      </c>
      <c r="N22" s="31">
        <f si="16" t="shared"/>
        <v>0.32548940559912148</v>
      </c>
      <c r="U22" s="66">
        <f>SchoolTourTime!B30</f>
        <v>30</v>
      </c>
      <c r="V22" s="66" t="str">
        <f>SchoolTourTime!C30</f>
        <v>dep24-26</v>
      </c>
      <c r="W22" s="66">
        <f>VLOOKUP(U22,SchoolTourTime!$B$11:$E$72,4,FALSE)</f>
        <v>-10</v>
      </c>
      <c r="X22" s="67">
        <f si="0" t="shared"/>
        <v>-10</v>
      </c>
      <c r="AA22" s="66">
        <f>WorkBasedSubtourTime!B30</f>
        <v>30</v>
      </c>
      <c r="AB22" s="66" t="str">
        <f>WorkBasedSubtourTime!C30</f>
        <v>dep24-26</v>
      </c>
      <c r="AC22" s="66">
        <f>VLOOKUP(AA22,WorkBasedSubtourTime!$B$11:$E$60,4,FALSE)</f>
        <v>-10</v>
      </c>
      <c r="AD22" s="67">
        <f si="1" t="shared"/>
        <v>-10</v>
      </c>
    </row>
    <row r="23" spans="2:30" x14ac:dyDescent="0.25">
      <c r="B23" t="s">
        <v>65</v>
      </c>
      <c r="C23" s="29">
        <f>SUM(Duration!C22:C25)</f>
        <v>240863.79391257506</v>
      </c>
      <c r="D23" s="29">
        <f>SUM(Duration!J21:J24)</f>
        <v>230940.80959415235</v>
      </c>
      <c r="E23" s="30">
        <f si="10" t="shared"/>
        <v>0.31033982253706288</v>
      </c>
      <c r="F23" s="30">
        <f si="11" t="shared"/>
        <v>0.29462790481175349</v>
      </c>
      <c r="G23" s="6">
        <f si="12" t="shared"/>
        <v>1.0533280027747141</v>
      </c>
      <c r="H23" s="6">
        <f si="13" t="shared"/>
        <v>0.5</v>
      </c>
      <c r="I23" s="63">
        <f si="14" t="shared"/>
        <v>0</v>
      </c>
      <c r="L23" s="5">
        <v>34</v>
      </c>
      <c r="M23" s="5">
        <f si="15" t="shared"/>
        <v>0.40205000000000002</v>
      </c>
      <c r="N23" s="31">
        <f si="16" t="shared"/>
        <v>0.40205000000000002</v>
      </c>
      <c r="U23" s="66">
        <f>SchoolTourTime!B31</f>
        <v>31</v>
      </c>
      <c r="V23" s="66" t="str">
        <f>SchoolTourTime!C31</f>
        <v>dur0-2</v>
      </c>
      <c r="W23" s="66">
        <f>VLOOKUP(U23,SchoolTourTime!$B$11:$E$72,4,FALSE)</f>
        <v>-0.39251999999999998</v>
      </c>
      <c r="X23" s="67">
        <f si="0" t="shared"/>
        <v>-0.57321925294654075</v>
      </c>
      <c r="AA23" s="66">
        <f>WorkBasedSubtourTime!B31</f>
        <v>31</v>
      </c>
      <c r="AB23" s="66" t="str">
        <f>WorkBasedSubtourTime!C31</f>
        <v>dur0-0</v>
      </c>
      <c r="AC23" s="66">
        <f>VLOOKUP(AA23,WorkBasedSubtourTime!$B$11:$E$60,4,FALSE)</f>
        <v>2.3787024053099999</v>
      </c>
      <c r="AD23" s="67">
        <f si="1" t="shared"/>
        <v>3.3924765141783162</v>
      </c>
    </row>
    <row r="24" spans="2:30" x14ac:dyDescent="0.25">
      <c r="B24" t="s">
        <v>66</v>
      </c>
      <c r="C24" s="29">
        <f>SUM(Duration!C26:C27)</f>
        <v>46090.733974032097</v>
      </c>
      <c r="D24" s="29">
        <f>SUM(Duration!J25:J26)</f>
        <v>61424.366421954357</v>
      </c>
      <c r="E24" s="30">
        <f si="10" t="shared"/>
        <v>5.9385389434228796E-2</v>
      </c>
      <c r="F24" s="30">
        <f si="11" t="shared"/>
        <v>7.8363509745607463E-2</v>
      </c>
      <c r="G24" s="6">
        <f si="12" t="shared"/>
        <v>0.75781941910223782</v>
      </c>
      <c r="H24" s="6">
        <f si="13" t="shared"/>
        <v>0.5</v>
      </c>
      <c r="I24" s="63">
        <f si="14" t="shared"/>
        <v>-0.16463241667859441</v>
      </c>
      <c r="L24" s="5">
        <v>35</v>
      </c>
      <c r="M24" s="5">
        <f si="15" t="shared"/>
        <v>-0.65956000000000004</v>
      </c>
      <c r="N24" s="31">
        <f si="16" t="shared"/>
        <v>-0.82419241667859444</v>
      </c>
      <c r="U24" s="66">
        <f>SchoolTourTime!B32</f>
        <v>32</v>
      </c>
      <c r="V24" s="66" t="str">
        <f>SchoolTourTime!C32</f>
        <v>dur3-4</v>
      </c>
      <c r="W24" s="66">
        <f>VLOOKUP(U24,SchoolTourTime!$B$11:$E$72,4,FALSE)</f>
        <v>-2.12E-2</v>
      </c>
      <c r="X24" s="67">
        <f si="0" t="shared"/>
        <v>-8.2185407714252021E-2</v>
      </c>
      <c r="AA24" s="66">
        <f>WorkBasedSubtourTime!B32</f>
        <v>32</v>
      </c>
      <c r="AB24" s="66" t="str">
        <f>WorkBasedSubtourTime!C32</f>
        <v>dur1-1</v>
      </c>
      <c r="AC24" s="66">
        <f>VLOOKUP(AA24,WorkBasedSubtourTime!$B$11:$E$60,4,FALSE)</f>
        <v>1.49226509696</v>
      </c>
      <c r="AD24" s="67">
        <f si="1" t="shared"/>
        <v>2.0769006309018128</v>
      </c>
    </row>
    <row r="25" spans="2:30" x14ac:dyDescent="0.25">
      <c r="B25" t="s">
        <v>67</v>
      </c>
      <c r="C25" s="29">
        <f>SUM(Duration!C28:C29)</f>
        <v>22399.003831017068</v>
      </c>
      <c r="D25" s="29">
        <f>SUM(Duration!J27:J28)</f>
        <v>25588.944462809544</v>
      </c>
      <c r="E25" s="30">
        <f si="10" t="shared"/>
        <v>2.8859891148471668E-2</v>
      </c>
      <c r="F25" s="30">
        <f si="11" t="shared"/>
        <v>3.2645668414651635E-2</v>
      </c>
      <c r="G25" s="6">
        <f si="12" t="shared"/>
        <v>0.88403431603560367</v>
      </c>
      <c r="H25" s="6">
        <f si="13" t="shared"/>
        <v>0.5</v>
      </c>
      <c r="I25" s="63">
        <f si="14" t="shared"/>
        <v>-8.7607038157060779E-2</v>
      </c>
      <c r="L25" s="5">
        <v>36</v>
      </c>
      <c r="M25" s="5">
        <f si="15" t="shared"/>
        <v>-1.0128299999999999</v>
      </c>
      <c r="N25" s="31">
        <f si="16" t="shared"/>
        <v>-1.1004370381570607</v>
      </c>
      <c r="U25" s="66">
        <f>SchoolTourTime!B33</f>
        <v>33</v>
      </c>
      <c r="V25" s="66" t="str">
        <f>SchoolTourTime!C33</f>
        <v>dur5-6</v>
      </c>
      <c r="W25" s="66">
        <f>VLOOKUP(U25,SchoolTourTime!$B$11:$E$72,4,FALSE)</f>
        <v>0.27398</v>
      </c>
      <c r="X25" s="67">
        <f si="0" t="shared"/>
        <v>0.32548940559912148</v>
      </c>
      <c r="AA25" s="66">
        <f>WorkBasedSubtourTime!B33</f>
        <v>33</v>
      </c>
      <c r="AB25" s="66" t="str">
        <f>WorkBasedSubtourTime!C33</f>
        <v>dur2-2</v>
      </c>
      <c r="AC25" s="66">
        <f>VLOOKUP(AA25,WorkBasedSubtourTime!$B$11:$E$60,4,FALSE)</f>
        <v>0</v>
      </c>
      <c r="AD25" s="67">
        <f si="1" t="shared"/>
        <v>0</v>
      </c>
    </row>
    <row r="26" spans="2:30" x14ac:dyDescent="0.25">
      <c r="B26" t="s">
        <v>68</v>
      </c>
      <c r="C26" s="29">
        <f>SUM(Duration!C30:C31)</f>
        <v>9909.7743221125202</v>
      </c>
      <c r="D26" s="29">
        <f>SUM(Duration!J29:J30)</f>
        <v>7983.140318030155</v>
      </c>
      <c r="E26" s="30">
        <f si="10" t="shared"/>
        <v>1.2768202121830738E-2</v>
      </c>
      <c r="F26" s="30">
        <f si="11" t="shared"/>
        <v>1.0184669872132537E-2</v>
      </c>
      <c r="G26" s="6">
        <f si="12" t="shared"/>
        <v>1.2536687278168244</v>
      </c>
      <c r="H26" s="6">
        <f si="13" t="shared"/>
        <v>0.5</v>
      </c>
      <c r="I26" s="63">
        <f si="14" t="shared"/>
        <v>8.7059778327594803E-2</v>
      </c>
      <c r="L26" s="5">
        <v>37</v>
      </c>
      <c r="M26" s="5">
        <f si="15" t="shared"/>
        <v>-2.6750600000000002</v>
      </c>
      <c r="N26" s="31">
        <f si="16" t="shared"/>
        <v>-2.5880002216724054</v>
      </c>
      <c r="U26" s="66">
        <f>SchoolTourTime!B34</f>
        <v>34</v>
      </c>
      <c r="V26" s="66" t="str">
        <f>SchoolTourTime!C34</f>
        <v>dur7-8</v>
      </c>
      <c r="W26" s="66">
        <f>VLOOKUP(U26,SchoolTourTime!$B$11:$E$72,4,FALSE)</f>
        <v>0.40205000000000002</v>
      </c>
      <c r="X26" s="67">
        <f si="0" t="shared"/>
        <v>0.40205000000000002</v>
      </c>
      <c r="AA26" s="66">
        <f>WorkBasedSubtourTime!B34</f>
        <v>34</v>
      </c>
      <c r="AB26" s="66" t="str">
        <f>WorkBasedSubtourTime!C34</f>
        <v>dur3-4</v>
      </c>
      <c r="AC26" s="66">
        <f>VLOOKUP(AA26,WorkBasedSubtourTime!$B$11:$E$60,4,FALSE)</f>
        <v>-0.77591292235700005</v>
      </c>
      <c r="AD26" s="67">
        <f si="1" t="shared"/>
        <v>-1.9555460588908593</v>
      </c>
    </row>
    <row r="27" spans="2:30" x14ac:dyDescent="0.25">
      <c r="B27" t="s">
        <v>69</v>
      </c>
      <c r="C27" s="29">
        <f>SUM(Duration!C32:C35)</f>
        <v>6271.6055216290251</v>
      </c>
      <c r="D27" s="29">
        <f>SUM(Duration!J31:J34)</f>
        <v>3483.2589573386686</v>
      </c>
      <c r="E27" s="30">
        <f si="10" t="shared"/>
        <v>8.0806206403576924E-3</v>
      </c>
      <c r="F27" s="30">
        <f si="11" t="shared"/>
        <v>4.4438455477877181E-3</v>
      </c>
      <c r="G27" s="6">
        <f si="12" t="shared"/>
        <v>1.8183846745934884</v>
      </c>
      <c r="H27" s="6">
        <f si="13" t="shared"/>
        <v>0.5</v>
      </c>
      <c r="I27" s="63">
        <f si="14" t="shared"/>
        <v>0.27299694364873306</v>
      </c>
      <c r="L27" s="5">
        <v>38</v>
      </c>
      <c r="M27" s="5">
        <f si="15" t="shared"/>
        <v>-3.10283</v>
      </c>
      <c r="N27" s="31">
        <f si="16" t="shared"/>
        <v>-2.829833056351267</v>
      </c>
      <c r="U27" s="66">
        <f>SchoolTourTime!B35</f>
        <v>35</v>
      </c>
      <c r="V27" s="66" t="str">
        <f>SchoolTourTime!C35</f>
        <v>dur=9</v>
      </c>
      <c r="W27" s="66">
        <f>VLOOKUP(U27,SchoolTourTime!$B$11:$E$72,4,FALSE)</f>
        <v>-0.65956000000000004</v>
      </c>
      <c r="X27" s="67">
        <f si="0" t="shared"/>
        <v>-0.82419241667859444</v>
      </c>
      <c r="AA27" s="66">
        <f>WorkBasedSubtourTime!B35</f>
        <v>35</v>
      </c>
      <c r="AB27" s="66" t="str">
        <f>WorkBasedSubtourTime!C35</f>
        <v>dur5-6</v>
      </c>
      <c r="AC27" s="66">
        <f>VLOOKUP(AA27,WorkBasedSubtourTime!$B$11:$E$60,4,FALSE)</f>
        <v>-5</v>
      </c>
      <c r="AD27" s="67">
        <f si="1" t="shared"/>
        <v>-5</v>
      </c>
    </row>
    <row r="28" spans="2:30" x14ac:dyDescent="0.25">
      <c r="B28" t="s">
        <v>90</v>
      </c>
      <c r="C28" s="29">
        <f>SUM(Duration!C36:C43)</f>
        <v>7132.0191943089476</v>
      </c>
      <c r="D28" s="29">
        <f>SUM(Duration!J35:J42)</f>
        <v>2815.0961064062471</v>
      </c>
      <c r="E28" s="30">
        <f si="10" t="shared"/>
        <v>9.189216590585348E-3</v>
      </c>
      <c r="F28" s="30">
        <f si="11" t="shared"/>
        <v>3.5914218415176069E-3</v>
      </c>
      <c r="G28" s="6">
        <f si="12" t="shared"/>
        <v>2.5586569877022054</v>
      </c>
      <c r="H28" s="6">
        <f si="13" t="shared"/>
        <v>0.5</v>
      </c>
      <c r="I28" s="63">
        <f si="14" t="shared"/>
        <v>0.44376391419674543</v>
      </c>
      <c r="L28" s="5">
        <v>39</v>
      </c>
      <c r="M28" s="5">
        <f si="15" t="shared"/>
        <v>-2.8355899999999998</v>
      </c>
      <c r="N28" s="31">
        <f si="16" t="shared"/>
        <v>-2.3918260858032543</v>
      </c>
      <c r="U28" s="66">
        <f>SchoolTourTime!B36</f>
        <v>36</v>
      </c>
      <c r="V28" s="66" t="str">
        <f>SchoolTourTime!C36</f>
        <v>dur=10</v>
      </c>
      <c r="W28" s="66">
        <f>VLOOKUP(U28,SchoolTourTime!$B$11:$E$72,4,FALSE)</f>
        <v>-1.0128299999999999</v>
      </c>
      <c r="X28" s="67">
        <f si="0" t="shared"/>
        <v>-1.1004370381570607</v>
      </c>
      <c r="AA28" s="66">
        <f>WorkBasedSubtourTime!B36</f>
        <v>36</v>
      </c>
      <c r="AB28" s="66" t="str">
        <f>WorkBasedSubtourTime!C36</f>
        <v>dur7-8</v>
      </c>
      <c r="AC28" s="66">
        <f>VLOOKUP(AA28,WorkBasedSubtourTime!$B$11:$E$60,4,FALSE)</f>
        <v>-5</v>
      </c>
      <c r="AD28" s="67">
        <f si="1" t="shared"/>
        <v>-5</v>
      </c>
    </row>
    <row r="29" spans="2:30" x14ac:dyDescent="0.25">
      <c r="B29" s="23" t="s">
        <v>70</v>
      </c>
      <c r="C29" s="34">
        <f>SUM(Duration!C44:C55)</f>
        <v>170.71066736698151</v>
      </c>
      <c r="D29" s="34">
        <f>SUM(Duration!J43:J54)</f>
        <v>143.7301629628968</v>
      </c>
      <c r="E29" s="35">
        <f si="10" t="shared"/>
        <v>2.1995135655416043E-4</v>
      </c>
      <c r="F29" s="35">
        <f si="11" t="shared"/>
        <v>1.8336697115780114E-4</v>
      </c>
      <c r="G29" s="22">
        <f si="12" t="shared"/>
        <v>1.1995145863257766</v>
      </c>
      <c r="H29" s="22">
        <v>0</v>
      </c>
      <c r="I29" s="36">
        <f si="14" t="shared"/>
        <v>0</v>
      </c>
      <c r="L29" s="23">
        <v>40</v>
      </c>
      <c r="M29" s="23">
        <f si="15" t="shared"/>
        <v>-10</v>
      </c>
      <c r="N29" s="36">
        <f si="16" t="shared"/>
        <v>-10</v>
      </c>
      <c r="U29" s="66">
        <f>SchoolTourTime!B37</f>
        <v>37</v>
      </c>
      <c r="V29" s="66" t="str">
        <f>SchoolTourTime!C37</f>
        <v>dur=11</v>
      </c>
      <c r="W29" s="66">
        <f>VLOOKUP(U29,SchoolTourTime!$B$11:$E$72,4,FALSE)</f>
        <v>-2.6750600000000002</v>
      </c>
      <c r="X29" s="67">
        <f si="0" t="shared"/>
        <v>-2.5880002216724054</v>
      </c>
      <c r="AA29" s="66">
        <f>WorkBasedSubtourTime!B37</f>
        <v>37</v>
      </c>
      <c r="AB29" s="66" t="str">
        <f>WorkBasedSubtourTime!C37</f>
        <v>dur9-11</v>
      </c>
      <c r="AC29" s="66">
        <f>VLOOKUP(AA29,WorkBasedSubtourTime!$B$11:$E$60,4,FALSE)</f>
        <v>-5.0519999999999996</v>
      </c>
      <c r="AD29" s="67">
        <f si="1" t="shared"/>
        <v>-5.0519999999999996</v>
      </c>
    </row>
    <row ht="15.75" r="30" spans="2:30" thickBot="1" x14ac:dyDescent="0.3">
      <c r="B30" s="3" t="s">
        <v>82</v>
      </c>
      <c r="C30" s="44">
        <f>SUM(C20:C29)</f>
        <v>776129.18620461435</v>
      </c>
      <c r="D30" s="44">
        <f>SUM(D20:D29)</f>
        <v>783838.88906146644</v>
      </c>
      <c r="E30" s="45">
        <f si="10" t="shared"/>
        <v>1</v>
      </c>
      <c r="F30" s="45">
        <f si="11" t="shared"/>
        <v>1</v>
      </c>
      <c r="G30" s="46">
        <f si="12" t="shared"/>
        <v>1</v>
      </c>
      <c r="H30" s="46"/>
      <c r="I30" s="1"/>
      <c r="U30" s="66">
        <f>SchoolTourTime!B38</f>
        <v>38</v>
      </c>
      <c r="V30" s="66" t="str">
        <f>SchoolTourTime!C38</f>
        <v>dur12-13</v>
      </c>
      <c r="W30" s="66">
        <f>VLOOKUP(U30,SchoolTourTime!$B$11:$E$72,4,FALSE)</f>
        <v>-3.10283</v>
      </c>
      <c r="X30" s="67">
        <f si="0" t="shared"/>
        <v>-2.829833056351267</v>
      </c>
      <c r="AA30" s="66">
        <f>WorkBasedSubtourTime!B38</f>
        <v>38</v>
      </c>
      <c r="AB30" s="66" t="str">
        <f>WorkBasedSubtourTime!C38</f>
        <v>dur12-13</v>
      </c>
      <c r="AC30" s="66">
        <f>VLOOKUP(AA30,WorkBasedSubtourTime!$B$11:$E$60,4,FALSE)</f>
        <v>-10</v>
      </c>
      <c r="AD30" s="67">
        <f si="1" t="shared"/>
        <v>-10</v>
      </c>
    </row>
    <row r="31" spans="2:30" x14ac:dyDescent="0.25">
      <c r="U31" s="66">
        <f>SchoolTourTime!B39</f>
        <v>39</v>
      </c>
      <c r="V31" s="66" t="str">
        <f>SchoolTourTime!C39</f>
        <v>dur14-17</v>
      </c>
      <c r="W31" s="66">
        <f>VLOOKUP(U31,SchoolTourTime!$B$11:$E$72,4,FALSE)</f>
        <v>-2.8355899999999998</v>
      </c>
      <c r="X31" s="67">
        <f si="0" t="shared"/>
        <v>-2.3918260858032543</v>
      </c>
      <c r="AA31" s="66">
        <f>WorkBasedSubtourTime!B39</f>
        <v>39</v>
      </c>
      <c r="AB31" s="66" t="str">
        <f>WorkBasedSubtourTime!C39</f>
        <v>dur14-17</v>
      </c>
      <c r="AC31" s="66">
        <f>VLOOKUP(AA31,WorkBasedSubtourTime!$B$11:$E$60,4,FALSE)</f>
        <v>-10</v>
      </c>
      <c r="AD31" s="67">
        <f si="1" t="shared"/>
        <v>-10</v>
      </c>
    </row>
    <row r="32" spans="2:30" x14ac:dyDescent="0.25">
      <c r="U32" s="66">
        <f>SchoolTourTime!B40</f>
        <v>40</v>
      </c>
      <c r="V32" s="66" t="str">
        <f>SchoolTourTime!C40</f>
        <v>dur18-23</v>
      </c>
      <c r="W32" s="66">
        <f>VLOOKUP(U32,SchoolTourTime!$B$11:$E$72,4,FALSE)</f>
        <v>-10</v>
      </c>
      <c r="X32" s="67">
        <f si="0" t="shared"/>
        <v>-10</v>
      </c>
      <c r="AA32">
        <f>WorkBasedSubtourTime!B40</f>
        <v>41</v>
      </c>
      <c r="AB32" t="str">
        <f>WorkBasedSubtourTime!C40</f>
        <v>ptwk-arr</v>
      </c>
      <c r="AC32">
        <f>VLOOKUP(AA32,WorkBasedSubtourTime!$B$11:$E$60,4,FALSE)</f>
        <v>-4.90819376318E-2</v>
      </c>
      <c r="AD32" s="64">
        <f si="1" t="shared"/>
        <v>-4.90819376318E-2</v>
      </c>
    </row>
    <row ht="15.75" r="33" spans="2:30" thickBot="1" x14ac:dyDescent="0.3">
      <c r="B33" s="37" t="s">
        <v>177</v>
      </c>
      <c r="C33" s="1"/>
      <c r="D33" s="1"/>
      <c r="E33" s="1" t="s">
        <v>86</v>
      </c>
      <c r="F33" s="38">
        <v>0.5</v>
      </c>
      <c r="G33" s="1"/>
      <c r="H33" s="1"/>
      <c r="I33" s="1"/>
      <c r="U33">
        <f>SchoolTourTime!B41</f>
        <v>41</v>
      </c>
      <c r="V33" t="str">
        <f>SchoolTourTime!C41</f>
        <v>ptwk-arr</v>
      </c>
      <c r="W33">
        <f>VLOOKUP(U33,SchoolTourTime!$B$11:$E$72,4,FALSE)</f>
        <v>4.3589999999999997E-2</v>
      </c>
      <c r="X33" s="64">
        <f si="0" t="shared"/>
        <v>4.3589999999999997E-2</v>
      </c>
      <c r="AA33">
        <f>WorkBasedSubtourTime!B41</f>
        <v>42</v>
      </c>
      <c r="AB33" t="str">
        <f>WorkBasedSubtourTime!C41</f>
        <v>ptwk-dur</v>
      </c>
      <c r="AC33">
        <f>VLOOKUP(AA33,WorkBasedSubtourTime!$B$11:$E$60,4,FALSE)</f>
        <v>0.151855759915</v>
      </c>
      <c r="AD33" s="64">
        <f si="1" t="shared"/>
        <v>0.151855759915</v>
      </c>
    </row>
    <row ht="15.75" r="34" spans="2:30" thickBot="1" x14ac:dyDescent="0.3">
      <c r="B34" s="5"/>
      <c r="C34" s="78" t="s">
        <v>87</v>
      </c>
      <c r="D34" s="78"/>
      <c r="E34" s="78" t="s">
        <v>83</v>
      </c>
      <c r="F34" s="78"/>
      <c r="G34" s="11"/>
      <c r="H34" s="11"/>
      <c r="I34" s="11"/>
      <c r="L34" s="1"/>
      <c r="M34" s="1"/>
      <c r="N34" s="1"/>
      <c r="U34">
        <f>SchoolTourTime!B42</f>
        <v>42</v>
      </c>
      <c r="V34" t="str">
        <f>SchoolTourTime!C42</f>
        <v>ptwk-dur</v>
      </c>
      <c r="W34">
        <f>VLOOKUP(U34,SchoolTourTime!$B$11:$E$72,4,FALSE)</f>
        <v>-1.3860000000000001E-2</v>
      </c>
      <c r="X34" s="64">
        <f si="0" t="shared"/>
        <v>-1.3860000000000001E-2</v>
      </c>
      <c r="AA34">
        <f>WorkBasedSubtourTime!B42</f>
        <v>85</v>
      </c>
      <c r="AB34" t="str">
        <f>WorkBasedSubtourTime!C42</f>
        <v>ctim-out</v>
      </c>
      <c r="AC34">
        <f>VLOOKUP(AA34,WorkBasedSubtourTime!$B$11:$E$60,4,FALSE)</f>
        <v>0.25</v>
      </c>
      <c r="AD34" s="64">
        <f si="1" t="shared"/>
        <v>0.25</v>
      </c>
    </row>
    <row r="35" spans="2:30" x14ac:dyDescent="0.25">
      <c r="B35" s="32" t="s">
        <v>72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33" t="s">
        <v>89</v>
      </c>
      <c r="N35" s="32" t="s">
        <v>91</v>
      </c>
      <c r="U35">
        <f>SchoolTourTime!B43</f>
        <v>43</v>
      </c>
      <c r="V35" t="str">
        <f>SchoolTourTime!C43</f>
        <v>nwad-arr</v>
      </c>
      <c r="W35">
        <f>VLOOKUP(U35,SchoolTourTime!$B$11:$E$72,4,FALSE)</f>
        <v>0.12146999999999999</v>
      </c>
      <c r="X35" s="64">
        <f si="0" t="shared"/>
        <v>0.12146999999999999</v>
      </c>
      <c r="AA35">
        <f>WorkBasedSubtourTime!B43</f>
        <v>86</v>
      </c>
      <c r="AB35" t="str">
        <f>WorkBasedSubtourTime!C43</f>
        <v>ctim-ret</v>
      </c>
      <c r="AC35">
        <f>VLOOKUP(AA35,WorkBasedSubtourTime!$B$11:$E$60,4,FALSE)</f>
        <v>0.25</v>
      </c>
      <c r="AD35" s="64">
        <f si="1" t="shared"/>
        <v>0.25</v>
      </c>
    </row>
    <row r="36" spans="2:30" x14ac:dyDescent="0.25">
      <c r="B36" t="s">
        <v>73</v>
      </c>
      <c r="C36" s="29">
        <f>SUM(Departure_Time!E9:E16)</f>
        <v>918.01635102835007</v>
      </c>
      <c r="D36" s="29">
        <f>SUM(Departure_Time!L9:L16)</f>
        <v>2757.3746799444857</v>
      </c>
      <c r="E36" s="30">
        <f>C36/C$46</f>
        <v>4.9881175319686274E-3</v>
      </c>
      <c r="F36" s="30">
        <f>D36/D$46</f>
        <v>1.4726840213256768E-2</v>
      </c>
      <c r="G36" s="6">
        <f>E36/F36</f>
        <v>0.3387092858845876</v>
      </c>
      <c r="H36" s="6">
        <v>0</v>
      </c>
      <c r="I36" s="62">
        <f>H36*(LN(G36)-LN($G$40))</f>
        <v>0</v>
      </c>
      <c r="L36">
        <v>21</v>
      </c>
      <c r="M36" s="61">
        <f>VLOOKUP(L36,$AA$3:$AD$64,3,FALSE)</f>
        <v>6.9186854038699996</v>
      </c>
      <c r="N36" s="31">
        <f>I36+M36</f>
        <v>6.9186854038699996</v>
      </c>
      <c r="U36">
        <f>SchoolTourTime!B44</f>
        <v>44</v>
      </c>
      <c r="V36" t="str">
        <f>SchoolTourTime!C44</f>
        <v>nwad-dur</v>
      </c>
      <c r="W36">
        <f>VLOOKUP(U36,SchoolTourTime!$B$11:$E$72,4,FALSE)</f>
        <v>-2.971E-2</v>
      </c>
      <c r="X36" s="64">
        <f si="0" t="shared"/>
        <v>-2.971E-2</v>
      </c>
      <c r="AA36">
        <f>WorkBasedSubtourTime!B44</f>
        <v>87</v>
      </c>
      <c r="AB36" t="str">
        <f>WorkBasedSubtourTime!C44</f>
        <v>ttim-out</v>
      </c>
      <c r="AC36">
        <f>VLOOKUP(AA36,WorkBasedSubtourTime!$B$11:$E$60,4,FALSE)</f>
        <v>0.25</v>
      </c>
      <c r="AD36" s="64">
        <f si="1" t="shared"/>
        <v>0.25</v>
      </c>
    </row>
    <row r="37" spans="2:30" x14ac:dyDescent="0.25">
      <c r="B37" t="s">
        <v>74</v>
      </c>
      <c r="C37" s="29">
        <f>SUM(Departure_Time!E17:E22)</f>
        <v>14107.282016704043</v>
      </c>
      <c r="D37" s="29">
        <f>SUM(Departure_Time!L17:L22)</f>
        <v>20692.224979573348</v>
      </c>
      <c r="E37" s="30">
        <f ref="E37:E45" si="17" t="shared">C37/C$46</f>
        <v>7.6653079955624939E-2</v>
      </c>
      <c r="F37" s="30">
        <f ref="F37:F45" si="18" t="shared">D37/D$46</f>
        <v>0.11051493768597025</v>
      </c>
      <c r="G37" s="6">
        <f ref="G37:G46" si="19" t="shared">E37/F37</f>
        <v>0.69359926866570509</v>
      </c>
      <c r="H37" s="6">
        <f>$F$33</f>
        <v>0.5</v>
      </c>
      <c r="I37" s="63">
        <f ref="I37:I45" si="20" t="shared">H37*(LN(G37)-LN($G$40))</f>
        <v>-0.14622052356672349</v>
      </c>
      <c r="L37" s="5">
        <v>22</v>
      </c>
      <c r="M37" s="5">
        <f ref="M37:M45" si="21" t="shared">VLOOKUP(L37,$AA$3:$AD$64,3,FALSE)</f>
        <v>0.82378831109799999</v>
      </c>
      <c r="N37" s="31">
        <f ref="N37:N45" si="22" t="shared">I37+M37</f>
        <v>0.67756778753127644</v>
      </c>
      <c r="U37">
        <f>SchoolTourTime!B45</f>
        <v>45</v>
      </c>
      <c r="V37" t="str">
        <f>SchoolTourTime!C45</f>
        <v>univ-arr</v>
      </c>
      <c r="W37">
        <f>VLOOKUP(U37,SchoolTourTime!$B$11:$E$72,4,FALSE)</f>
        <v>0.12216</v>
      </c>
      <c r="X37" s="64">
        <f si="0" t="shared"/>
        <v>0.12216</v>
      </c>
      <c r="AA37">
        <f>WorkBasedSubtourTime!B45</f>
        <v>88</v>
      </c>
      <c r="AB37" t="str">
        <f>WorkBasedSubtourTime!C45</f>
        <v>ttim-ret</v>
      </c>
      <c r="AC37">
        <f>VLOOKUP(AA37,WorkBasedSubtourTime!$B$11:$E$60,4,FALSE)</f>
        <v>0.25</v>
      </c>
      <c r="AD37" s="64">
        <f si="1" t="shared"/>
        <v>0.25</v>
      </c>
    </row>
    <row r="38" spans="2:30" x14ac:dyDescent="0.25">
      <c r="B38" t="s">
        <v>75</v>
      </c>
      <c r="C38" s="29">
        <f>SUM(Departure_Time!E23:E28)</f>
        <v>84790.613899823074</v>
      </c>
      <c r="D38" s="29">
        <f>SUM(Departure_Time!L23:L28)</f>
        <v>81435.683606318678</v>
      </c>
      <c r="E38" s="30">
        <f si="17" t="shared"/>
        <v>0.46071679144528538</v>
      </c>
      <c r="F38" s="30">
        <f si="18" t="shared"/>
        <v>0.4349391864843461</v>
      </c>
      <c r="G38" s="6">
        <f si="19" t="shared"/>
        <v>1.0592671475966606</v>
      </c>
      <c r="H38" s="6">
        <f ref="H38:H44" si="23" t="shared">$F$33</f>
        <v>0.5</v>
      </c>
      <c r="I38" s="63">
        <f si="20" t="shared"/>
        <v>6.5498579806007276E-2</v>
      </c>
      <c r="L38" s="5">
        <v>23</v>
      </c>
      <c r="M38" s="5">
        <f si="21" t="shared"/>
        <v>1.15129394327</v>
      </c>
      <c r="N38" s="31">
        <f si="22" t="shared"/>
        <v>1.2167925230760073</v>
      </c>
      <c r="U38">
        <f>SchoolTourTime!B46</f>
        <v>46</v>
      </c>
      <c r="V38" t="str">
        <f>SchoolTourTime!C46</f>
        <v>univ-dur</v>
      </c>
      <c r="W38">
        <f>VLOOKUP(U38,SchoolTourTime!$B$11:$E$72,4,FALSE)</f>
        <v>-8.9099999999999999E-2</v>
      </c>
      <c r="X38" s="64">
        <f si="0" t="shared"/>
        <v>-8.9099999999999999E-2</v>
      </c>
      <c r="AA38">
        <f>WorkBasedSubtourTime!B46</f>
        <v>91</v>
      </c>
      <c r="AB38" t="str">
        <f>WorkBasedSubtourTime!C46</f>
        <v>arravail</v>
      </c>
      <c r="AC38">
        <f>VLOOKUP(AA38,WorkBasedSubtourTime!$B$11:$E$60,4,FALSE)</f>
        <v>2.93049427473</v>
      </c>
      <c r="AD38" s="64">
        <f si="1" t="shared"/>
        <v>2.93049427473</v>
      </c>
    </row>
    <row r="39" spans="2:30" x14ac:dyDescent="0.25">
      <c r="B39" t="s">
        <v>76</v>
      </c>
      <c r="C39" s="29">
        <f>SUM(Departure_Time!E29:E32)</f>
        <v>58297.204628977335</v>
      </c>
      <c r="D39" s="29">
        <f>SUM(Departure_Time!L29:L32)</f>
        <v>49124.266794573225</v>
      </c>
      <c r="E39" s="30">
        <f si="17" t="shared"/>
        <v>0.31676266784226836</v>
      </c>
      <c r="F39" s="30">
        <f si="18" t="shared"/>
        <v>0.26236740075224024</v>
      </c>
      <c r="G39" s="6">
        <f si="19" t="shared"/>
        <v>1.2073247931491111</v>
      </c>
      <c r="H39" s="6">
        <f si="23" t="shared"/>
        <v>0.5</v>
      </c>
      <c r="I39" s="63">
        <f si="20" t="shared"/>
        <v>0.13091342898093641</v>
      </c>
      <c r="L39" s="5">
        <v>24</v>
      </c>
      <c r="M39" s="5">
        <f si="21" t="shared"/>
        <v>1.26969878925</v>
      </c>
      <c r="N39" s="31">
        <f si="22" t="shared"/>
        <v>1.4006122182309364</v>
      </c>
      <c r="U39">
        <f>SchoolTourTime!B47</f>
        <v>49</v>
      </c>
      <c r="V39" t="str">
        <f>SchoolTourTime!C47</f>
        <v>dkid-arr</v>
      </c>
      <c r="W39">
        <f>VLOOKUP(U39,SchoolTourTime!$B$11:$E$72,4,FALSE)</f>
        <v>-0.22692999999999999</v>
      </c>
      <c r="X39" s="64">
        <f si="0" t="shared"/>
        <v>-0.22692999999999999</v>
      </c>
      <c r="AA39">
        <f>WorkBasedSubtourTime!B47</f>
        <v>92</v>
      </c>
      <c r="AB39" t="str">
        <f>WorkBasedSubtourTime!C47</f>
        <v>depavail</v>
      </c>
      <c r="AC39">
        <f>VLOOKUP(AA39,WorkBasedSubtourTime!$B$11:$E$60,4,FALSE)</f>
        <v>1.8845449572199999</v>
      </c>
      <c r="AD39" s="64">
        <f si="1" t="shared"/>
        <v>1.8845449572199999</v>
      </c>
    </row>
    <row r="40" spans="2:30" x14ac:dyDescent="0.25">
      <c r="B40" t="s">
        <v>176</v>
      </c>
      <c r="C40" s="29">
        <f>SUM(Departure_Time!E33:E36)</f>
        <v>18642.782585733494</v>
      </c>
      <c r="D40" s="29">
        <f>SUM(Departure_Time!L33:L36)</f>
        <v>20411.223824814682</v>
      </c>
      <c r="E40" s="30">
        <f si="17" t="shared"/>
        <v>0.10129709624061466</v>
      </c>
      <c r="F40" s="30">
        <f si="18" t="shared"/>
        <v>0.10901414088241258</v>
      </c>
      <c r="G40" s="6">
        <f si="19" t="shared"/>
        <v>0.92921060901519315</v>
      </c>
      <c r="H40" s="6">
        <f si="23" t="shared"/>
        <v>0.5</v>
      </c>
      <c r="I40" s="63">
        <f si="20" t="shared"/>
        <v>0</v>
      </c>
      <c r="L40" s="5">
        <v>25</v>
      </c>
      <c r="M40" s="5">
        <f si="21" t="shared"/>
        <v>0</v>
      </c>
      <c r="N40" s="31">
        <f si="22" t="shared"/>
        <v>0</v>
      </c>
      <c r="U40">
        <f>SchoolTourTime!B48</f>
        <v>50</v>
      </c>
      <c r="V40" t="str">
        <f>SchoolTourTime!C48</f>
        <v>dkid-dur</v>
      </c>
      <c r="W40">
        <f>VLOOKUP(U40,SchoolTourTime!$B$11:$E$72,4,FALSE)</f>
        <v>3.2120000000000003E-2</v>
      </c>
      <c r="X40" s="64">
        <f si="0" t="shared"/>
        <v>3.2120000000000003E-2</v>
      </c>
      <c r="AA40">
        <f>WorkBasedSubtourTime!B48</f>
        <v>93</v>
      </c>
      <c r="AB40" t="str">
        <f>WorkBasedSubtourTime!C48</f>
        <v>cempbef1</v>
      </c>
      <c r="AC40">
        <f>VLOOKUP(AA40,WorkBasedSubtourTime!$B$11:$E$60,4,FALSE)</f>
        <v>0.170361034168</v>
      </c>
      <c r="AD40" s="64">
        <f si="1" t="shared"/>
        <v>0.170361034168</v>
      </c>
    </row>
    <row r="41" spans="2:30" x14ac:dyDescent="0.25">
      <c r="B41" t="s">
        <v>77</v>
      </c>
      <c r="C41" s="29">
        <f>SUM(Departure_Time!E37:E38)</f>
        <v>3601.2194225757221</v>
      </c>
      <c r="D41" s="29">
        <f>SUM(Departure_Time!L37:L38)</f>
        <v>4369.4940817376146</v>
      </c>
      <c r="E41" s="30">
        <f si="17" t="shared"/>
        <v>1.9567522646076654E-2</v>
      </c>
      <c r="F41" s="30">
        <f si="18" t="shared"/>
        <v>2.3336995738213021E-2</v>
      </c>
      <c r="G41" s="6">
        <f si="19" t="shared"/>
        <v>0.83847650595556023</v>
      </c>
      <c r="H41" s="6">
        <f si="23" t="shared"/>
        <v>0.5</v>
      </c>
      <c r="I41" s="63">
        <f si="20" t="shared"/>
        <v>-5.1374428229828101E-2</v>
      </c>
      <c r="L41" s="5">
        <v>26</v>
      </c>
      <c r="M41" s="5">
        <f si="21" t="shared"/>
        <v>-0.32598304645800003</v>
      </c>
      <c r="N41" s="31">
        <f si="22" t="shared"/>
        <v>-0.3773574746878281</v>
      </c>
      <c r="U41">
        <f>SchoolTourTime!B49</f>
        <v>61</v>
      </c>
      <c r="V41" t="str">
        <f>SchoolTourTime!C49</f>
        <v>ns*ot-arr</v>
      </c>
      <c r="W41">
        <f>VLOOKUP(U41,SchoolTourTime!$B$11:$E$72,4,FALSE)</f>
        <v>3.0380000000000001E-2</v>
      </c>
      <c r="X41" s="64">
        <f si="0" t="shared"/>
        <v>3.0380000000000001E-2</v>
      </c>
      <c r="AA41">
        <f>WorkBasedSubtourTime!B49</f>
        <v>94</v>
      </c>
      <c r="AB41" t="str">
        <f>WorkBasedSubtourTime!C49</f>
        <v>cempaft1</v>
      </c>
      <c r="AC41">
        <f>VLOOKUP(AA41,WorkBasedSubtourTime!$B$11:$E$60,4,FALSE)</f>
        <v>0.20205649241699999</v>
      </c>
      <c r="AD41" s="64">
        <f si="1" t="shared"/>
        <v>0.20205649241699999</v>
      </c>
    </row>
    <row r="42" spans="2:30" x14ac:dyDescent="0.25">
      <c r="B42" t="s">
        <v>78</v>
      </c>
      <c r="C42" s="29">
        <f>SUM(Departure_Time!E39:E40)</f>
        <v>1571.6423636190523</v>
      </c>
      <c r="D42" s="29">
        <f>SUM(Departure_Time!L39:L40)</f>
        <v>2790.2111990819499</v>
      </c>
      <c r="E42" s="30">
        <f si="17" t="shared"/>
        <v>8.539648361569006E-3</v>
      </c>
      <c r="F42" s="30">
        <f si="18" t="shared"/>
        <v>1.4902216513769806E-2</v>
      </c>
      <c r="G42" s="6">
        <f si="19" t="shared"/>
        <v>0.57304551666379833</v>
      </c>
      <c r="H42" s="6">
        <f si="23" t="shared"/>
        <v>0.5</v>
      </c>
      <c r="I42" s="63">
        <f si="20" t="shared"/>
        <v>-0.24168513446117917</v>
      </c>
      <c r="L42" s="5">
        <v>27</v>
      </c>
      <c r="M42" s="5">
        <f si="21" t="shared"/>
        <v>-0.23479195191999999</v>
      </c>
      <c r="N42" s="31">
        <f si="22" t="shared"/>
        <v>-0.47647708638117914</v>
      </c>
      <c r="U42">
        <f>SchoolTourTime!B50</f>
        <v>62</v>
      </c>
      <c r="V42" t="str">
        <f>SchoolTourTime!C50</f>
        <v>ns*ot-dur</v>
      </c>
      <c r="W42">
        <f>VLOOKUP(U42,SchoolTourTime!$B$11:$E$72,4,FALSE)</f>
        <v>-3.6940000000000001E-2</v>
      </c>
      <c r="X42" s="64">
        <f si="0" t="shared"/>
        <v>-3.6940000000000001E-2</v>
      </c>
      <c r="AA42">
        <f>WorkBasedSubtourTime!B50</f>
        <v>124</v>
      </c>
      <c r="AB42" t="str">
        <f>WorkBasedSubtourTime!C50</f>
        <v>dep15</v>
      </c>
      <c r="AC42">
        <f>VLOOKUP(AA42,WorkBasedSubtourTime!$B$11:$E$60,4,FALSE)</f>
        <v>0.31620584925299999</v>
      </c>
      <c r="AD42" s="64">
        <f si="1" t="shared"/>
        <v>0.31620584925299999</v>
      </c>
    </row>
    <row r="43" spans="2:30" x14ac:dyDescent="0.25">
      <c r="B43" t="s">
        <v>79</v>
      </c>
      <c r="C43" s="29">
        <f>SUM(Departure_Time!E41:E44)</f>
        <v>992.31398048043877</v>
      </c>
      <c r="D43" s="29">
        <f>SUM(Departure_Time!L41:L44)</f>
        <v>3050.7170019779114</v>
      </c>
      <c r="E43" s="30">
        <f si="17" t="shared"/>
        <v>5.3918198272910637E-3</v>
      </c>
      <c r="F43" s="30">
        <f si="18" t="shared"/>
        <v>1.6293549857685267E-2</v>
      </c>
      <c r="G43" s="6">
        <f si="19" t="shared"/>
        <v>0.33091744121971522</v>
      </c>
      <c r="H43" s="6">
        <f si="23" t="shared"/>
        <v>0.5</v>
      </c>
      <c r="I43" s="63">
        <f si="20" t="shared"/>
        <v>-0.51623324811323412</v>
      </c>
      <c r="L43" s="5">
        <v>28</v>
      </c>
      <c r="M43" s="5">
        <f si="21" t="shared"/>
        <v>-0.63082416318199996</v>
      </c>
      <c r="N43" s="31">
        <f si="22" t="shared"/>
        <v>-1.1470574112952341</v>
      </c>
      <c r="U43">
        <f>SchoolTourTime!B51</f>
        <v>65</v>
      </c>
      <c r="V43" t="str">
        <f>SchoolTourTime!C51</f>
        <v>rs*mt-arr</v>
      </c>
      <c r="W43">
        <f>VLOOKUP(U43,SchoolTourTime!$B$11:$E$72,4,FALSE)</f>
        <v>-3.7399999999999998E-3</v>
      </c>
      <c r="X43" s="64">
        <f si="0" t="shared"/>
        <v>-3.7399999999999998E-3</v>
      </c>
      <c r="AA43">
        <f>WorkBasedSubtourTime!B51</f>
        <v>145</v>
      </c>
      <c r="AB43" t="str">
        <f>WorkBasedSubtourTime!C51</f>
        <v>esco-arr</v>
      </c>
      <c r="AC43">
        <f>VLOOKUP(AA43,WorkBasedSubtourTime!$B$11:$E$60,4,FALSE)</f>
        <v>5.38855009856E-2</v>
      </c>
      <c r="AD43" s="64">
        <f si="1" t="shared"/>
        <v>5.38855009856E-2</v>
      </c>
    </row>
    <row r="44" spans="2:30" x14ac:dyDescent="0.25">
      <c r="B44" t="s">
        <v>80</v>
      </c>
      <c r="C44" s="29">
        <f>SUM(Departure_Time!E45:E50)</f>
        <v>1090.7631324646975</v>
      </c>
      <c r="D44" s="29">
        <f>SUM(Departure_Time!L45:L50)</f>
        <v>2401.5831965295492</v>
      </c>
      <c r="E44" s="30">
        <f si="17" t="shared"/>
        <v>5.9267514115379323E-3</v>
      </c>
      <c r="F44" s="30">
        <f si="18" t="shared"/>
        <v>1.2826596345929003E-2</v>
      </c>
      <c r="G44" s="6">
        <f si="19" t="shared"/>
        <v>0.46206735221842443</v>
      </c>
      <c r="H44" s="6">
        <f si="23" t="shared"/>
        <v>0.5</v>
      </c>
      <c r="I44" s="63">
        <f si="20" t="shared"/>
        <v>-0.34931237685841959</v>
      </c>
      <c r="L44" s="5">
        <v>29</v>
      </c>
      <c r="M44" s="5">
        <f si="21" t="shared"/>
        <v>1.77974443435</v>
      </c>
      <c r="N44" s="31">
        <f si="22" t="shared"/>
        <v>1.4304320574915803</v>
      </c>
      <c r="U44">
        <f>SchoolTourTime!B52</f>
        <v>66</v>
      </c>
      <c r="V44" t="str">
        <f>SchoolTourTime!C52</f>
        <v>rs*mt-dur</v>
      </c>
      <c r="W44">
        <f>VLOOKUP(U44,SchoolTourTime!$B$11:$E$72,4,FALSE)</f>
        <v>-2.6710000000000001E-2</v>
      </c>
      <c r="X44" s="64">
        <f si="0" t="shared"/>
        <v>-2.6710000000000001E-2</v>
      </c>
      <c r="AA44">
        <f>WorkBasedSubtourTime!B52</f>
        <v>146</v>
      </c>
      <c r="AB44" t="str">
        <f>WorkBasedSubtourTime!C52</f>
        <v>esco-dur</v>
      </c>
      <c r="AC44">
        <f>VLOOKUP(AA44,WorkBasedSubtourTime!$B$11:$E$60,4,FALSE)</f>
        <v>-0.48499658535599999</v>
      </c>
      <c r="AD44" s="64">
        <f si="1" t="shared"/>
        <v>-0.48499658535599999</v>
      </c>
    </row>
    <row r="45" spans="2:30" x14ac:dyDescent="0.25">
      <c r="B45" s="23" t="s">
        <v>81</v>
      </c>
      <c r="C45" s="34">
        <f>SUM(Departure_Time!E51:E57)+Departure_Time!E8</f>
        <v>28.80323235354512</v>
      </c>
      <c r="D45" s="34">
        <f>SUM(Departure_Time!L51:L57)+Departure_Time!L8</f>
        <v>201.86432108859282</v>
      </c>
      <c r="E45" s="35">
        <f si="17" t="shared"/>
        <v>1.5650473776326833E-4</v>
      </c>
      <c r="F45" s="35">
        <f si="18" t="shared"/>
        <v>1.0781355261770653E-3</v>
      </c>
      <c r="G45" s="22">
        <f si="19" t="shared"/>
        <v>0.14516239745685286</v>
      </c>
      <c r="H45" s="22">
        <v>0</v>
      </c>
      <c r="I45" s="36">
        <f si="20" t="shared"/>
        <v>0</v>
      </c>
      <c r="L45" s="23">
        <v>30</v>
      </c>
      <c r="M45" s="23">
        <f si="21" t="shared"/>
        <v>-10</v>
      </c>
      <c r="N45" s="36">
        <f si="22" t="shared"/>
        <v>-10</v>
      </c>
      <c r="U45">
        <f>SchoolTourTime!B53</f>
        <v>67</v>
      </c>
      <c r="V45" t="str">
        <f>SchoolTourTime!C53</f>
        <v>iescs-arr</v>
      </c>
      <c r="W45">
        <f>VLOOKUP(U45,SchoolTourTime!$B$11:$E$72,4,FALSE)</f>
        <v>-2.6689999999999998E-2</v>
      </c>
      <c r="X45" s="64">
        <f si="0" t="shared"/>
        <v>-2.6689999999999998E-2</v>
      </c>
      <c r="AA45">
        <f>WorkBasedSubtourTime!B53</f>
        <v>147</v>
      </c>
      <c r="AB45" t="str">
        <f>WorkBasedSubtourTime!C53</f>
        <v>shop-arr</v>
      </c>
      <c r="AC45">
        <f>VLOOKUP(AA45,WorkBasedSubtourTime!$B$11:$E$60,4,FALSE)</f>
        <v>0.15454188544200001</v>
      </c>
      <c r="AD45" s="64">
        <f si="1" t="shared"/>
        <v>0.15454188544200001</v>
      </c>
    </row>
    <row ht="15.75" r="46" spans="2:30" thickBot="1" x14ac:dyDescent="0.3">
      <c r="B46" s="39" t="s">
        <v>82</v>
      </c>
      <c r="C46" s="40">
        <f>SUM(C36:C45)</f>
        <v>184040.64161375977</v>
      </c>
      <c r="D46" s="40">
        <f>SUM(D36:D45)</f>
        <v>187234.64368564001</v>
      </c>
      <c r="E46" s="41">
        <f>C46/C$46</f>
        <v>1</v>
      </c>
      <c r="F46" s="41">
        <f>D46/D$46</f>
        <v>1</v>
      </c>
      <c r="G46" s="42">
        <f si="19" t="shared"/>
        <v>1</v>
      </c>
      <c r="H46" s="42"/>
      <c r="I46" s="43"/>
      <c r="U46">
        <f>SchoolTourTime!B54</f>
        <v>68</v>
      </c>
      <c r="V46" t="str">
        <f>SchoolTourTime!C54</f>
        <v>iescs-dur</v>
      </c>
      <c r="W46">
        <f>VLOOKUP(U46,SchoolTourTime!$B$11:$E$72,4,FALSE)</f>
        <v>3.2489999999999998E-2</v>
      </c>
      <c r="X46" s="64">
        <f si="0" t="shared"/>
        <v>3.2489999999999998E-2</v>
      </c>
      <c r="AA46">
        <f>WorkBasedSubtourTime!B54</f>
        <v>148</v>
      </c>
      <c r="AB46" t="str">
        <f>WorkBasedSubtourTime!C54</f>
        <v>shop-dur</v>
      </c>
      <c r="AC46">
        <f>VLOOKUP(AA46,WorkBasedSubtourTime!$B$11:$E$60,4,FALSE)</f>
        <v>-0.179774601487</v>
      </c>
      <c r="AD46" s="64">
        <f si="1" t="shared"/>
        <v>-0.179774601487</v>
      </c>
    </row>
    <row r="47" spans="2:30" x14ac:dyDescent="0.25">
      <c r="U47">
        <f>SchoolTourTime!B55</f>
        <v>85</v>
      </c>
      <c r="V47" t="str">
        <f>SchoolTourTime!C55</f>
        <v>ctim-out</v>
      </c>
      <c r="W47">
        <f>VLOOKUP(U47,SchoolTourTime!$B$11:$E$72,4,FALSE)</f>
        <v>0.25</v>
      </c>
      <c r="X47" s="64">
        <f si="0" t="shared"/>
        <v>0.25</v>
      </c>
      <c r="AA47">
        <f>WorkBasedSubtourTime!B55</f>
        <v>149</v>
      </c>
      <c r="AB47" t="str">
        <f>WorkBasedSubtourTime!C55</f>
        <v>meal-arr</v>
      </c>
      <c r="AC47">
        <f>VLOOKUP(AA47,WorkBasedSubtourTime!$B$11:$E$60,4,FALSE)</f>
        <v>0.13717521613700001</v>
      </c>
      <c r="AD47" s="64">
        <f si="1" t="shared"/>
        <v>0.13717521613700001</v>
      </c>
    </row>
    <row r="48" spans="2:30" x14ac:dyDescent="0.25">
      <c r="U48">
        <f>SchoolTourTime!B56</f>
        <v>86</v>
      </c>
      <c r="V48" t="str">
        <f>SchoolTourTime!C56</f>
        <v>ctim-ret</v>
      </c>
      <c r="W48">
        <f>VLOOKUP(U48,SchoolTourTime!$B$11:$E$72,4,FALSE)</f>
        <v>0.25</v>
      </c>
      <c r="X48" s="64">
        <f si="0" t="shared"/>
        <v>0.25</v>
      </c>
      <c r="AA48">
        <f>WorkBasedSubtourTime!B56</f>
        <v>150</v>
      </c>
      <c r="AB48" t="str">
        <f>WorkBasedSubtourTime!C56</f>
        <v>meal-dur</v>
      </c>
      <c r="AC48">
        <f>VLOOKUP(AA48,WorkBasedSubtourTime!$B$11:$E$60,4,FALSE)</f>
        <v>-8.6513742325400003E-2</v>
      </c>
      <c r="AD48" s="64">
        <f si="1" t="shared"/>
        <v>-8.6513742325400003E-2</v>
      </c>
    </row>
    <row ht="15.75" r="49" spans="2:30" thickBot="1" x14ac:dyDescent="0.3">
      <c r="B49" s="37" t="s">
        <v>178</v>
      </c>
      <c r="C49" s="1"/>
      <c r="D49" s="1"/>
      <c r="E49" s="1" t="s">
        <v>86</v>
      </c>
      <c r="F49" s="38">
        <v>0.5</v>
      </c>
      <c r="G49" s="1"/>
      <c r="H49" s="1"/>
      <c r="I49" s="1"/>
      <c r="U49">
        <f>SchoolTourTime!B57</f>
        <v>87</v>
      </c>
      <c r="V49" t="str">
        <f>SchoolTourTime!C57</f>
        <v>ttim-out</v>
      </c>
      <c r="W49">
        <f>VLOOKUP(U49,SchoolTourTime!$B$11:$E$72,4,FALSE)</f>
        <v>0.25</v>
      </c>
      <c r="X49" s="64">
        <f si="0" t="shared"/>
        <v>0.25</v>
      </c>
      <c r="AA49">
        <f>WorkBasedSubtourTime!B57</f>
        <v>151</v>
      </c>
      <c r="AB49" t="str">
        <f>WorkBasedSubtourTime!C57</f>
        <v>srec-arr</v>
      </c>
      <c r="AC49">
        <f>VLOOKUP(AA49,WorkBasedSubtourTime!$B$11:$E$60,4,FALSE)</f>
        <v>0.18364478476900001</v>
      </c>
      <c r="AD49" s="64">
        <f si="1" t="shared"/>
        <v>0.18364478476900001</v>
      </c>
    </row>
    <row ht="15.75" r="50" spans="2:30" thickBot="1" x14ac:dyDescent="0.3">
      <c r="B50" s="8"/>
      <c r="C50" s="77" t="s">
        <v>87</v>
      </c>
      <c r="D50" s="77"/>
      <c r="E50" s="77" t="s">
        <v>83</v>
      </c>
      <c r="F50" s="77"/>
      <c r="G50" s="8"/>
      <c r="H50" s="8"/>
      <c r="I50" s="8"/>
      <c r="L50" s="1"/>
      <c r="M50" s="1"/>
      <c r="N50" s="1"/>
      <c r="U50">
        <f>SchoolTourTime!B58</f>
        <v>88</v>
      </c>
      <c r="V50" t="str">
        <f>SchoolTourTime!C58</f>
        <v>ttim-ret</v>
      </c>
      <c r="W50">
        <f>VLOOKUP(U50,SchoolTourTime!$B$11:$E$72,4,FALSE)</f>
        <v>0.25</v>
      </c>
      <c r="X50" s="64">
        <f si="0" t="shared"/>
        <v>0.25</v>
      </c>
      <c r="AA50">
        <f>WorkBasedSubtourTime!B58</f>
        <v>152</v>
      </c>
      <c r="AB50" t="str">
        <f>WorkBasedSubtourTime!C58</f>
        <v>srec-dur</v>
      </c>
      <c r="AC50">
        <f>VLOOKUP(AA50,WorkBasedSubtourTime!$B$11:$E$60,4,FALSE)</f>
        <v>1.1684688543099999E-2</v>
      </c>
      <c r="AD50" s="64">
        <f si="1" t="shared"/>
        <v>1.1684688543099999E-2</v>
      </c>
    </row>
    <row r="51" spans="2:30" x14ac:dyDescent="0.25">
      <c r="B51" s="32" t="s">
        <v>14</v>
      </c>
      <c r="C51" s="33" t="s">
        <v>48</v>
      </c>
      <c r="D51" s="33" t="s">
        <v>35</v>
      </c>
      <c r="E51" s="33" t="s">
        <v>48</v>
      </c>
      <c r="F51" s="33" t="s">
        <v>35</v>
      </c>
      <c r="G51" s="33" t="s">
        <v>84</v>
      </c>
      <c r="H51" s="33" t="s">
        <v>86</v>
      </c>
      <c r="I51" s="65" t="s">
        <v>85</v>
      </c>
      <c r="L51" s="33" t="s">
        <v>88</v>
      </c>
      <c r="M51" s="33" t="s">
        <v>89</v>
      </c>
      <c r="N51" s="32" t="s">
        <v>91</v>
      </c>
      <c r="U51">
        <f>SchoolTourTime!B59</f>
        <v>91</v>
      </c>
      <c r="V51" t="str">
        <f>SchoolTourTime!C59</f>
        <v>arrpused</v>
      </c>
      <c r="W51">
        <f>VLOOKUP(U51,SchoolTourTime!$B$11:$E$72,4,FALSE)</f>
        <v>5</v>
      </c>
      <c r="X51" s="64">
        <f si="0" t="shared"/>
        <v>5</v>
      </c>
      <c r="AA51">
        <f>WorkBasedSubtourTime!B59</f>
        <v>153</v>
      </c>
      <c r="AB51" t="str">
        <f>WorkBasedSubtourTime!C59</f>
        <v>pbus-arr</v>
      </c>
      <c r="AC51">
        <f>VLOOKUP(AA51,WorkBasedSubtourTime!$B$11:$E$60,4,FALSE)</f>
        <v>0.10684767663399999</v>
      </c>
      <c r="AD51" s="64">
        <f si="1" t="shared"/>
        <v>0.10684767663399999</v>
      </c>
    </row>
    <row r="52" spans="2:30" x14ac:dyDescent="0.25">
      <c r="B52" t="s">
        <v>62</v>
      </c>
      <c r="C52" s="29">
        <f>SUM(Duration!E8:E13)</f>
        <v>273510.69785961707</v>
      </c>
      <c r="D52" s="29">
        <f>SUM(Duration!L7:L12)</f>
        <v>288376.11320253002</v>
      </c>
      <c r="E52" s="30">
        <f>C52/C$62</f>
        <v>0.97763478857245167</v>
      </c>
      <c r="F52" s="30">
        <f>D52/D$62</f>
        <v>0.94644683120867668</v>
      </c>
      <c r="G52" s="6">
        <f>IFERROR(E52/F52,1)</f>
        <v>1.0329526776733415</v>
      </c>
      <c r="H52" s="6">
        <f>$F$49</f>
        <v>0.5</v>
      </c>
      <c r="I52" s="62">
        <f>IFERROR(H52*(LN(G52)-LN($G$54)),0)</f>
        <v>1.0137741088683165</v>
      </c>
      <c r="L52">
        <v>31</v>
      </c>
      <c r="M52" s="61">
        <f>VLOOKUP(L52,$AA$3:$AD$64,3,FALSE)</f>
        <v>2.3787024053099999</v>
      </c>
      <c r="N52" s="31">
        <f>I52+M52</f>
        <v>3.3924765141783162</v>
      </c>
      <c r="U52">
        <f>SchoolTourTime!B60</f>
        <v>92</v>
      </c>
      <c r="V52" t="str">
        <f>SchoolTourTime!C60</f>
        <v>deppused</v>
      </c>
      <c r="W52">
        <f>VLOOKUP(U52,SchoolTourTime!$B$11:$E$72,4,FALSE)</f>
        <v>3.1049899999999999</v>
      </c>
      <c r="X52" s="64">
        <f si="0" t="shared"/>
        <v>3.1049899999999999</v>
      </c>
      <c r="AA52">
        <f>WorkBasedSubtourTime!B60</f>
        <v>154</v>
      </c>
      <c r="AB52" t="str">
        <f>WorkBasedSubtourTime!C60</f>
        <v>pbus-dur</v>
      </c>
      <c r="AC52">
        <f>VLOOKUP(AA52,WorkBasedSubtourTime!$B$11:$E$60,4,FALSE)</f>
        <v>-2.5995997107600002E-2</v>
      </c>
      <c r="AD52" s="64">
        <f si="1" t="shared"/>
        <v>-2.5995997107600002E-2</v>
      </c>
    </row>
    <row r="53" spans="2:30" x14ac:dyDescent="0.25">
      <c r="B53" t="s">
        <v>63</v>
      </c>
      <c r="C53" s="29">
        <f>SUM(Duration!E14:E17)</f>
        <v>6132.5224614672752</v>
      </c>
      <c r="D53" s="29">
        <f>SUM(Duration!L13:L16)</f>
        <v>15253.487274959372</v>
      </c>
      <c r="E53" s="30">
        <f ref="E53:E62" si="24" t="shared">C53/C$62</f>
        <v>2.1920046809684832E-2</v>
      </c>
      <c r="F53" s="30">
        <f ref="F53:F62" si="25" t="shared">D53/D$62</f>
        <v>5.006175628051468E-2</v>
      </c>
      <c r="G53" s="6">
        <f ref="G53:G62" si="26" t="shared">IFERROR(E53/F53,1)</f>
        <v>0.43786012394089091</v>
      </c>
      <c r="H53" s="6">
        <f ref="H53:H55" si="27" t="shared">$F$49</f>
        <v>0.5</v>
      </c>
      <c r="I53" s="63">
        <f ref="I53:I61" si="28" t="shared">IFERROR(H53*(LN(G53)-LN($G$54)),0)</f>
        <v>0.58463553394181256</v>
      </c>
      <c r="L53" s="5">
        <v>32</v>
      </c>
      <c r="M53" s="5">
        <f ref="M53:M60" si="29" t="shared">VLOOKUP(L53,$AA$3:$AD$64,3,FALSE)</f>
        <v>1.49226509696</v>
      </c>
      <c r="N53" s="31">
        <f ref="N53:N60" si="30" t="shared">I53+M53</f>
        <v>2.0769006309018128</v>
      </c>
      <c r="U53">
        <f>SchoolTourTime!B61</f>
        <v>93</v>
      </c>
      <c r="V53" t="str">
        <f>SchoolTourTime!C61</f>
        <v>cempbef1</v>
      </c>
      <c r="W53">
        <f>VLOOKUP(U53,SchoolTourTime!$B$11:$E$72,4,FALSE)</f>
        <v>-0.33954000000000001</v>
      </c>
      <c r="X53" s="64">
        <f si="0" t="shared"/>
        <v>-0.33954000000000001</v>
      </c>
      <c r="AD53" s="64"/>
    </row>
    <row r="54" spans="2:30" x14ac:dyDescent="0.25">
      <c r="B54" t="s">
        <v>64</v>
      </c>
      <c r="C54" s="29">
        <f>SUM(Duration!E18:E21)</f>
        <v>123.74939184114297</v>
      </c>
      <c r="D54" s="29">
        <f>SUM(Duration!L17:L20)</f>
        <v>991.01685845817747</v>
      </c>
      <c r="E54" s="30">
        <f si="24" t="shared"/>
        <v>4.4232898923273828E-4</v>
      </c>
      <c r="F54" s="30">
        <f si="25" t="shared"/>
        <v>3.2525050530221615E-3</v>
      </c>
      <c r="G54" s="6">
        <f si="26" t="shared"/>
        <v>0.13599640339428073</v>
      </c>
      <c r="H54" s="6">
        <f si="27" t="shared"/>
        <v>0.5</v>
      </c>
      <c r="I54" s="63">
        <f si="28" t="shared"/>
        <v>0</v>
      </c>
      <c r="L54" s="5">
        <v>33</v>
      </c>
      <c r="M54" s="5">
        <f si="29" t="shared"/>
        <v>0</v>
      </c>
      <c r="N54" s="31">
        <f si="30" t="shared"/>
        <v>0</v>
      </c>
      <c r="U54">
        <f>SchoolTourTime!B62</f>
        <v>94</v>
      </c>
      <c r="V54" t="str">
        <f>SchoolTourTime!C62</f>
        <v>cempaft1</v>
      </c>
      <c r="W54">
        <f>VLOOKUP(U54,SchoolTourTime!$B$11:$E$72,4,FALSE)</f>
        <v>-0.16217999999999999</v>
      </c>
      <c r="X54" s="64">
        <f si="0" t="shared"/>
        <v>-0.16217999999999999</v>
      </c>
      <c r="AD54" s="64"/>
    </row>
    <row r="55" spans="2:30" x14ac:dyDescent="0.25">
      <c r="B55" t="s">
        <v>65</v>
      </c>
      <c r="C55" s="29">
        <f>SUM(Duration!E22:E25)</f>
        <v>0.79322053579720875</v>
      </c>
      <c r="D55" s="29">
        <f>SUM(Duration!L21:L24)</f>
        <v>67.227698248974022</v>
      </c>
      <c r="E55" s="30">
        <f si="24" t="shared"/>
        <v>2.8352821183011142E-6</v>
      </c>
      <c r="F55" s="30">
        <f si="25" t="shared"/>
        <v>2.2064047285535139E-4</v>
      </c>
      <c r="G55" s="6">
        <f si="26" t="shared"/>
        <v>1.2850235868375259E-2</v>
      </c>
      <c r="H55" s="6">
        <f si="27" t="shared"/>
        <v>0.5</v>
      </c>
      <c r="I55" s="63">
        <f si="28" t="shared"/>
        <v>-1.1796331365338593</v>
      </c>
      <c r="L55" s="5">
        <v>34</v>
      </c>
      <c r="M55" s="5">
        <f si="29" t="shared"/>
        <v>-0.77591292235700005</v>
      </c>
      <c r="N55" s="31">
        <f si="30" t="shared"/>
        <v>-1.9555460588908593</v>
      </c>
      <c r="U55">
        <f>SchoolTourTime!B63</f>
        <v>95</v>
      </c>
      <c r="V55" t="str">
        <f>SchoolTourTime!C63</f>
        <v>cempbef2</v>
      </c>
      <c r="W55">
        <f>VLOOKUP(U55,SchoolTourTime!$B$11:$E$72,4,FALSE)</f>
        <v>-0.16872000000000001</v>
      </c>
      <c r="X55" s="64">
        <f si="0" t="shared"/>
        <v>-0.16872000000000001</v>
      </c>
      <c r="AD55" s="64"/>
    </row>
    <row r="56" spans="2:30" x14ac:dyDescent="0.25">
      <c r="B56" t="s">
        <v>66</v>
      </c>
      <c r="C56" s="29">
        <f>SUM(Duration!E26:E27)</f>
        <v>9.6943078750610345E-5</v>
      </c>
      <c r="D56" s="29">
        <f>SUM(Duration!L25:L26)</f>
        <v>4.633885775496279</v>
      </c>
      <c r="E56" s="30">
        <f si="24" t="shared"/>
        <v>3.4651268502323793E-10</v>
      </c>
      <c r="F56" s="30">
        <f si="25" t="shared"/>
        <v>1.5208355711907616E-5</v>
      </c>
      <c r="G56" s="6">
        <f si="26" t="shared"/>
        <v>2.2784362201097813E-5</v>
      </c>
      <c r="H56" s="6">
        <v>0</v>
      </c>
      <c r="I56" s="63">
        <f si="28" t="shared"/>
        <v>0</v>
      </c>
      <c r="L56" s="5">
        <v>35</v>
      </c>
      <c r="M56" s="5">
        <f si="29" t="shared"/>
        <v>-5</v>
      </c>
      <c r="N56" s="31">
        <f si="30" t="shared"/>
        <v>-5</v>
      </c>
      <c r="U56">
        <f>SchoolTourTime!B64</f>
        <v>96</v>
      </c>
      <c r="V56" t="str">
        <f>SchoolTourTime!C64</f>
        <v>cempaft2</v>
      </c>
      <c r="W56">
        <f>VLOOKUP(U56,SchoolTourTime!$B$11:$E$72,4,FALSE)</f>
        <v>-6.9599999999999995E-2</v>
      </c>
      <c r="X56" s="64">
        <f si="0" t="shared"/>
        <v>-6.9599999999999995E-2</v>
      </c>
      <c r="AD56" s="64"/>
    </row>
    <row r="57" spans="2:30" x14ac:dyDescent="0.25">
      <c r="B57" t="s">
        <v>67</v>
      </c>
      <c r="C57" s="29">
        <f>SUM(Duration!E28:E29)</f>
        <v>0</v>
      </c>
      <c r="D57" s="29">
        <f>SUM(Duration!L27:L28)</f>
        <v>0.85471292647935349</v>
      </c>
      <c r="E57" s="30">
        <f si="24" t="shared"/>
        <v>0</v>
      </c>
      <c r="F57" s="30">
        <f si="25" t="shared"/>
        <v>2.8051572367623603E-6</v>
      </c>
      <c r="G57" s="6">
        <f si="26" t="shared"/>
        <v>0</v>
      </c>
      <c r="H57" s="6">
        <v>0</v>
      </c>
      <c r="I57" s="63">
        <f si="28" t="shared"/>
        <v>0</v>
      </c>
      <c r="L57" s="5">
        <v>36</v>
      </c>
      <c r="M57" s="5">
        <f si="29" t="shared"/>
        <v>-5</v>
      </c>
      <c r="N57" s="31">
        <f si="30" t="shared"/>
        <v>-5</v>
      </c>
      <c r="U57">
        <f>SchoolTourTime!B65</f>
        <v>97</v>
      </c>
      <c r="V57" t="str">
        <f>SchoolTourTime!C65</f>
        <v>toursdtwin</v>
      </c>
      <c r="W57">
        <f>VLOOKUP(U57,SchoolTourTime!$B$11:$E$72,4,FALSE)</f>
        <v>-152.64789999999999</v>
      </c>
      <c r="X57" s="64">
        <f si="0" t="shared"/>
        <v>-152.64789999999999</v>
      </c>
      <c r="AD57" s="64"/>
    </row>
    <row r="58" spans="2:30" x14ac:dyDescent="0.25">
      <c r="B58" t="s">
        <v>68</v>
      </c>
      <c r="C58" s="29">
        <f>SUM(Duration!E30:E31)</f>
        <v>0</v>
      </c>
      <c r="D58" s="29">
        <f>SUM(Duration!L29:L30)</f>
        <v>7.4969752474764409E-2</v>
      </c>
      <c r="E58" s="30">
        <f si="24" t="shared"/>
        <v>0</v>
      </c>
      <c r="F58" s="30">
        <f si="25" t="shared"/>
        <v>2.4604979891800935E-7</v>
      </c>
      <c r="G58" s="6">
        <f si="26" t="shared"/>
        <v>0</v>
      </c>
      <c r="H58" s="6">
        <v>0</v>
      </c>
      <c r="I58" s="63">
        <f si="28" t="shared"/>
        <v>0</v>
      </c>
      <c r="L58" s="5">
        <v>37</v>
      </c>
      <c r="M58" s="5">
        <f si="29" t="shared"/>
        <v>-5.0519999999999996</v>
      </c>
      <c r="N58" s="31">
        <f si="30" t="shared"/>
        <v>-5.0519999999999996</v>
      </c>
      <c r="U58">
        <f>SchoolTourTime!B66</f>
        <v>99</v>
      </c>
      <c r="V58" t="str">
        <f>SchoolTourTime!C66</f>
        <v>toursdbwin</v>
      </c>
      <c r="W58">
        <f>VLOOKUP(U58,SchoolTourTime!$B$11:$E$72,4,FALSE)</f>
        <v>-0.51661000000000001</v>
      </c>
      <c r="X58" s="64">
        <f si="0" t="shared"/>
        <v>-0.51661000000000001</v>
      </c>
      <c r="AD58" s="64"/>
    </row>
    <row r="59" spans="2:30" x14ac:dyDescent="0.25">
      <c r="B59" t="s">
        <v>69</v>
      </c>
      <c r="C59" s="29">
        <f>SUM(Duration!E32:E35)</f>
        <v>0</v>
      </c>
      <c r="D59" s="29">
        <f>SUM(Duration!L31:L34)</f>
        <v>2.2614904043436837E-3</v>
      </c>
      <c r="E59" s="30">
        <f si="24" t="shared"/>
        <v>0</v>
      </c>
      <c r="F59" s="30">
        <f si="25" t="shared"/>
        <v>7.422183492350122E-9</v>
      </c>
      <c r="G59" s="6">
        <f si="26" t="shared"/>
        <v>0</v>
      </c>
      <c r="H59" s="6">
        <v>0</v>
      </c>
      <c r="I59" s="63">
        <f si="28" t="shared"/>
        <v>0</v>
      </c>
      <c r="L59" s="5">
        <v>38</v>
      </c>
      <c r="M59" s="5">
        <f si="29" t="shared"/>
        <v>-10</v>
      </c>
      <c r="N59" s="31">
        <f si="30" t="shared"/>
        <v>-10</v>
      </c>
      <c r="U59">
        <f>SchoolTourTime!B67</f>
        <v>100</v>
      </c>
      <c r="V59" t="str">
        <f>SchoolTourTime!C67</f>
        <v>toursdawin</v>
      </c>
      <c r="W59">
        <f>VLOOKUP(U59,SchoolTourTime!$B$11:$E$72,4,FALSE)</f>
        <v>-2.3E-3</v>
      </c>
      <c r="X59" s="64">
        <f si="0" t="shared"/>
        <v>-2.3E-3</v>
      </c>
      <c r="AD59" s="64"/>
    </row>
    <row r="60" spans="2:30" x14ac:dyDescent="0.25">
      <c r="B60" t="s">
        <v>90</v>
      </c>
      <c r="C60" s="29">
        <f>SUM(Duration!E36:E43)</f>
        <v>0</v>
      </c>
      <c r="D60" s="29">
        <f>SUM(Duration!L35:L42)</f>
        <v>0</v>
      </c>
      <c r="E60" s="30">
        <f si="24" t="shared"/>
        <v>0</v>
      </c>
      <c r="F60" s="30">
        <f si="25" t="shared"/>
        <v>0</v>
      </c>
      <c r="G60" s="6">
        <f si="26" t="shared"/>
        <v>1</v>
      </c>
      <c r="H60" s="6">
        <v>0</v>
      </c>
      <c r="I60" s="63">
        <f si="28" t="shared"/>
        <v>0</v>
      </c>
      <c r="L60" s="5">
        <v>39</v>
      </c>
      <c r="M60" s="5">
        <f si="29" t="shared"/>
        <v>-10</v>
      </c>
      <c r="N60" s="31">
        <f si="30" t="shared"/>
        <v>-10</v>
      </c>
      <c r="U60">
        <f>SchoolTourTime!B68</f>
        <v>124</v>
      </c>
      <c r="V60" t="str">
        <f>SchoolTourTime!C68</f>
        <v>dep15</v>
      </c>
      <c r="W60">
        <f>VLOOKUP(U60,SchoolTourTime!$B$11:$E$72,4,FALSE)</f>
        <v>0.75265000000000004</v>
      </c>
      <c r="X60" s="64">
        <f si="0" t="shared"/>
        <v>0.75265000000000004</v>
      </c>
    </row>
    <row r="61" spans="2:30" x14ac:dyDescent="0.25">
      <c r="B61" s="23" t="s">
        <v>70</v>
      </c>
      <c r="C61" s="34">
        <f>SUM(Duration!E44:E55)</f>
        <v>0</v>
      </c>
      <c r="D61" s="34">
        <f>SUM(Duration!L43:L54)</f>
        <v>0</v>
      </c>
      <c r="E61" s="35">
        <f si="24" t="shared"/>
        <v>0</v>
      </c>
      <c r="F61" s="35">
        <f si="25" t="shared"/>
        <v>0</v>
      </c>
      <c r="G61" s="22">
        <f si="26" t="shared"/>
        <v>1</v>
      </c>
      <c r="H61" s="22">
        <v>0</v>
      </c>
      <c r="I61" s="36">
        <f si="28" t="shared"/>
        <v>0</v>
      </c>
      <c r="L61" s="23"/>
      <c r="M61" s="23"/>
      <c r="N61" s="36"/>
      <c r="U61">
        <f>SchoolTourTime!B69</f>
        <v>139</v>
      </c>
      <c r="V61" t="str">
        <f>SchoolTourTime!C69</f>
        <v>ftwk-arr</v>
      </c>
      <c r="W61">
        <f>VLOOKUP(U61,SchoolTourTime!$B$11:$E$72,4,FALSE)</f>
        <v>0.17319000000000001</v>
      </c>
      <c r="X61" s="64">
        <f si="0" t="shared"/>
        <v>0.17319000000000001</v>
      </c>
    </row>
    <row ht="15.75" r="62" spans="2:30" thickBot="1" x14ac:dyDescent="0.3">
      <c r="B62" s="3" t="s">
        <v>82</v>
      </c>
      <c r="C62" s="44">
        <f>SUM(C52:C61)</f>
        <v>279767.76303040428</v>
      </c>
      <c r="D62" s="44">
        <f>SUM(D52:D61)</f>
        <v>304693.41086414142</v>
      </c>
      <c r="E62" s="45">
        <f si="24" t="shared"/>
        <v>1</v>
      </c>
      <c r="F62" s="45">
        <f si="25" t="shared"/>
        <v>1</v>
      </c>
      <c r="G62" s="46">
        <f si="26" t="shared"/>
        <v>1</v>
      </c>
      <c r="H62" s="46"/>
      <c r="I62" s="1"/>
      <c r="U62">
        <f>SchoolTourTime!B70</f>
        <v>140</v>
      </c>
      <c r="V62" t="str">
        <f>SchoolTourTime!C70</f>
        <v>ftwk-dur</v>
      </c>
      <c r="W62">
        <f>VLOOKUP(U62,SchoolTourTime!$B$11:$E$72,4,FALSE)</f>
        <v>-8.1339999999999996E-2</v>
      </c>
      <c r="X62" s="64">
        <f si="0" t="shared"/>
        <v>-8.1339999999999996E-2</v>
      </c>
    </row>
    <row r="63" spans="2:30" x14ac:dyDescent="0.25">
      <c r="U63">
        <f>SchoolTourTime!B71</f>
        <v>143</v>
      </c>
      <c r="V63" t="str">
        <f>SchoolTourTime!C71</f>
        <v>pres-arr</v>
      </c>
      <c r="W63">
        <f>VLOOKUP(U63,SchoolTourTime!$B$11:$E$72,4,FALSE)</f>
        <v>-7.9009999999999997E-2</v>
      </c>
      <c r="X63" s="64">
        <f si="0" t="shared"/>
        <v>-7.9009999999999997E-2</v>
      </c>
    </row>
    <row r="64" spans="2:30" x14ac:dyDescent="0.25">
      <c r="U64">
        <f>SchoolTourTime!B72</f>
        <v>144</v>
      </c>
      <c r="V64" t="str">
        <f>SchoolTourTime!C72</f>
        <v>pres-dur</v>
      </c>
      <c r="W64">
        <f>VLOOKUP(U64,SchoolTourTime!$B$11:$E$72,4,FALSE)</f>
        <v>6.2170000000000003E-2</v>
      </c>
      <c r="X64" s="64">
        <f si="0" t="shared"/>
        <v>6.2170000000000003E-2</v>
      </c>
    </row>
  </sheetData>
  <mergeCells count="8">
    <mergeCell ref="C50:D50"/>
    <mergeCell ref="E50:F50"/>
    <mergeCell ref="E2:F2"/>
    <mergeCell ref="C2:D2"/>
    <mergeCell ref="C18:D18"/>
    <mergeCell ref="E18:F18"/>
    <mergeCell ref="C34:D34"/>
    <mergeCell ref="E34:F34"/>
  </mergeCells>
  <pageMargins bottom="0.75" footer="0.3" header="0.3" left="0.7" right="0.7" top="0.75"/>
  <pageSetup orientation="portrait" r:id="rId1"/>
  <ignoredErrors>
    <ignoredError formulaRange="1" sqref="C4:C12 D4:D12 C20:D29 C36:D45 C52:D6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baseType="lpstr" size="44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WorkBasedSubtourTime</vt:lpstr>
      <vt:lpstr>Calibration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2018-07-11T22:44:20Z</dcterms:modified>
</cp:coreProperties>
</file>