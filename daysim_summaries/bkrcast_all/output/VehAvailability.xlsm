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DF908ECD-C663-F43C-BE37-009161E90720}" lastEdited="7" lowestEdited="5" rupBuild="17927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activeTab="2" windowHeight="6180" windowWidth="25230" xWindow="-15" yWindow="-1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Vehicles_by_County!$B$6:$F$12</definedName>
    <definedName name="out3">Vehicles_by_Income!$B$6:$F$9</definedName>
    <definedName name="out5">Vehicles_by_HHDrivers!$B$6:$F$9</definedName>
    <definedName name="out2">Vehicles_by_County!$R$6:$V$12</definedName>
    <definedName name="out4">Vehicles_by_Income!$R$6:$V$9</definedName>
    <definedName name="out6">Vehicles_by_HHDrivers!$R$6:$V$9</definedName>
    <definedName name="out_1">Vehicles_by_County!$B$6:$F$12</definedName>
    <definedName name="out_3">Vehicles_by_Income!$B$6:$F$9</definedName>
    <definedName name="out_5">Vehicles_by_HHDrivers!$B$6:$F$9</definedName>
    <definedName name="out_2">Vehicles_by_County!$R$6:$V$12</definedName>
    <definedName name="out_4">Vehicles_by_Income!$R$6:$V$9</definedName>
    <definedName name="out_6">Vehicles_by_HHDrivers!$R$6:$V$9</definedName>
  </definedNames>
  <calcPr calcId="171027"/>
</workbook>
</file>

<file path=xl/calcChain.xml><?xml version="1.0" encoding="utf-8"?>
<calcChain xmlns="http://schemas.openxmlformats.org/spreadsheetml/2006/main">
  <c i="5" l="1" r="R25"/>
  <c i="5" r="S25"/>
  <c i="5" r="T25"/>
  <c i="5" r="U25"/>
  <c i="5" r="V25"/>
  <c i="5" r="W12"/>
  <c i="5" r="E25" s="1"/>
  <c i="5" r="G12"/>
  <c i="5" l="1" r="W25"/>
  <c i="5" r="AC25"/>
  <c i="5" r="AK25"/>
  <c i="5" r="G25"/>
  <c i="5" r="F25"/>
  <c i="5" r="B25"/>
  <c i="5" r="D25"/>
  <c i="5" r="C25"/>
  <c i="8" r="Z4"/>
  <c i="8" r="S7" s="1"/>
  <c i="8" r="Z5"/>
  <c i="8" r="S8" s="1"/>
  <c i="8" r="Z6"/>
  <c i="8" r="S9" s="1"/>
  <c i="8" r="Z7"/>
  <c i="8" r="S10" s="1"/>
  <c i="8" r="Z8"/>
  <c i="8" r="S11" s="1"/>
  <c i="8" r="Z9"/>
  <c i="8" r="S12" s="1"/>
  <c i="8" r="Z10"/>
  <c i="8" r="S13" s="1"/>
  <c i="8" r="Z11"/>
  <c i="8" r="S14" s="1"/>
  <c i="8" r="Z12"/>
  <c i="8" r="S15" s="1"/>
  <c i="8" r="Z13"/>
  <c i="8" r="S16" s="1"/>
  <c i="8" r="Z14"/>
  <c i="8" r="S17" s="1"/>
  <c i="8" r="Z15"/>
  <c i="8" r="S18" s="1"/>
  <c i="8" r="Z16"/>
  <c i="8" r="S19" s="1"/>
  <c i="8" r="Z17"/>
  <c i="8" r="S20" s="1"/>
  <c i="8" r="Z18"/>
  <c i="8" r="S21" s="1"/>
  <c i="8" r="Z19"/>
  <c i="8" r="S22" s="1"/>
  <c i="8" r="Z20"/>
  <c i="8" r="Z21"/>
  <c i="8" r="Z22"/>
  <c i="8" r="Z23"/>
  <c i="8" r="Z24"/>
  <c i="8" r="Z25"/>
  <c i="8" r="Z26"/>
  <c i="8" r="Z27"/>
  <c i="8" r="Z28"/>
  <c i="8" r="Z29"/>
  <c i="8" r="Z30"/>
  <c i="8" r="Z31"/>
  <c i="8" r="Z32"/>
  <c i="8" r="Z33"/>
  <c i="8" r="Z34"/>
  <c i="8" r="Z35"/>
  <c i="8" r="Z36"/>
  <c i="8" r="Z37"/>
  <c i="8" r="Z38"/>
  <c i="8" r="Z39"/>
  <c i="8" r="Z40"/>
  <c i="8" r="Z41"/>
  <c i="8" r="Z42"/>
  <c i="8" r="Z43"/>
  <c i="8" r="Z44"/>
  <c i="8" r="Z45"/>
  <c i="8" r="Z46"/>
  <c i="8" r="Z47"/>
  <c i="8" r="Z48"/>
  <c i="8" r="Z49"/>
  <c i="8" r="Z50"/>
  <c i="8" r="Z51"/>
  <c i="8" r="Z52"/>
  <c i="8" r="Z53"/>
  <c i="8" r="Z54"/>
  <c i="8" r="Z55"/>
  <c i="8" r="Z56"/>
  <c i="8" r="Z57"/>
  <c i="8" r="Z58"/>
  <c i="8" r="Z59"/>
  <c i="8" r="Z60"/>
  <c i="8" r="Z61"/>
  <c i="8" r="Z62"/>
  <c i="8" r="Z3"/>
  <c i="8" r="S6" s="1"/>
  <c i="5" l="1" r="AI25"/>
  <c i="5" r="AA25"/>
  <c i="5" r="AL25"/>
  <c i="5" r="AJ25"/>
  <c i="5" r="AB25"/>
  <c i="5" r="AD25"/>
  <c i="5" r="Z25"/>
  <c i="5" r="AH25"/>
  <c i="5" r="AM25"/>
  <c i="5" r="AE25"/>
  <c i="5" r="O6"/>
  <c i="5" l="1" r="A39"/>
  <c i="5" r="A37"/>
  <c i="5" r="A36"/>
  <c i="5" r="A35"/>
  <c i="5" r="A34"/>
  <c i="5" r="A33"/>
  <c i="5" r="A32"/>
  <c i="5" r="A26"/>
  <c i="5" r="A25"/>
  <c i="5" r="A38" s="1"/>
  <c i="5" r="Q38" s="1"/>
  <c i="5" r="A24"/>
  <c i="5" r="A23"/>
  <c i="5" r="A22"/>
  <c i="5" r="A21"/>
  <c i="5" r="A20"/>
  <c i="5" r="A19"/>
  <c i="5" r="AG26"/>
  <c i="5" r="AG24"/>
  <c i="5" r="AG23"/>
  <c i="5" r="AG22"/>
  <c i="5" r="AG21"/>
  <c i="5" r="AG20"/>
  <c i="5" r="AG19"/>
  <c i="5" r="Y26"/>
  <c i="5" r="Y24"/>
  <c i="5" r="Y23"/>
  <c i="5" r="Y22"/>
  <c i="5" r="Y21"/>
  <c i="5" r="Y20"/>
  <c i="5" r="Y19"/>
  <c i="5" r="Q52"/>
  <c i="5" r="Q51"/>
  <c i="5" r="Q50"/>
  <c i="5" r="Q49"/>
  <c i="5" r="Q48"/>
  <c i="5" r="Q47"/>
  <c i="5" r="Q46"/>
  <c i="5" r="Q45"/>
  <c i="5" r="Q39"/>
  <c i="5" r="Q37"/>
  <c i="5" r="Q36"/>
  <c i="5" r="Q35"/>
  <c i="5" r="Q34"/>
  <c i="5" r="Q33"/>
  <c i="5" r="Q32"/>
  <c i="5" r="Q26"/>
  <c i="5" r="Q25"/>
  <c i="5" r="Y25" s="1"/>
  <c i="5" r="AG25" s="1"/>
  <c i="5" r="Q24"/>
  <c i="5" r="Q23"/>
  <c i="5" r="Q22"/>
  <c i="5" r="Q21"/>
  <c i="5" r="Q20"/>
  <c i="5" r="Q19"/>
  <c i="5" r="Q13"/>
  <c i="5" r="Q12"/>
  <c i="5" r="Q11"/>
  <c i="5" r="Q10"/>
  <c i="5" r="Q9"/>
  <c i="5" r="Q8"/>
  <c i="5" r="Q7"/>
  <c i="5" r="Q6"/>
  <c i="5" r="I39"/>
  <c i="5" r="I38"/>
  <c i="5" r="I37"/>
  <c i="5" r="I36"/>
  <c i="5" r="I35"/>
  <c i="5" r="I34"/>
  <c i="5" r="I33"/>
  <c i="5" r="I32"/>
  <c i="5" r="I26"/>
  <c i="5" r="I25"/>
  <c i="5" r="I24"/>
  <c i="5" r="I23"/>
  <c i="5" r="I22"/>
  <c i="5" r="I21"/>
  <c i="5" r="I20"/>
  <c i="5" r="I19"/>
  <c i="5" r="O12"/>
  <c i="5" r="K13"/>
  <c i="5" r="L13"/>
  <c i="5" r="M13"/>
  <c i="5" r="N13"/>
  <c i="5" r="J13"/>
  <c i="5" r="I13"/>
  <c i="5" r="C13"/>
  <c i="5" r="D13"/>
  <c i="5" r="E13"/>
  <c i="5" r="F13"/>
  <c i="5" r="B13"/>
  <c i="5" r="S13"/>
  <c i="5" r="T13"/>
  <c i="5" r="U13"/>
  <c i="5" r="V13"/>
  <c i="5" r="R13"/>
  <c i="5" l="1" r="I12"/>
  <c i="5" r="I11"/>
  <c i="5" r="I10"/>
  <c i="5" r="I9"/>
  <c i="5" r="I8"/>
  <c i="5" r="I7"/>
  <c i="5" r="I6"/>
  <c i="5" l="1" r="O7"/>
  <c i="5" r="O8"/>
  <c i="5" r="O9"/>
  <c i="5" r="O10"/>
  <c i="5" r="O11"/>
  <c i="5" l="1" r="O13"/>
  <c i="5" r="W8"/>
  <c i="5" r="W9"/>
  <c i="5" r="W10"/>
  <c i="5" r="G8"/>
  <c i="5" r="G9"/>
  <c i="5" r="G10"/>
  <c i="5" l="1" r="V23"/>
  <c i="5" r="U23"/>
  <c i="5" r="T23"/>
  <c i="5" r="S23"/>
  <c i="5" r="R23"/>
  <c i="5" r="V22"/>
  <c i="5" r="U22"/>
  <c i="5" r="T22"/>
  <c i="5" r="S22"/>
  <c i="5" r="R22"/>
  <c i="5" r="V21"/>
  <c i="5" r="U21"/>
  <c i="5" r="T21"/>
  <c i="5" r="S21"/>
  <c i="5" r="R21"/>
  <c i="5" r="O23"/>
  <c i="5" r="N23"/>
  <c i="5" r="M23"/>
  <c i="5" r="L23"/>
  <c i="5" r="K23"/>
  <c i="5" r="J23"/>
  <c i="5" r="O22"/>
  <c i="5" r="N22"/>
  <c i="5" r="M22"/>
  <c i="5" r="L22"/>
  <c i="5" r="K22"/>
  <c i="5" r="J22"/>
  <c i="5" r="O21"/>
  <c i="5" r="N21"/>
  <c i="5" r="M21"/>
  <c i="5" r="L21"/>
  <c i="5" r="K21"/>
  <c i="5" r="J21"/>
  <c i="5" r="G23"/>
  <c i="5" r="AM23" s="1"/>
  <c i="5" r="G22"/>
  <c i="5" r="AM22" s="1"/>
  <c i="5" r="G21"/>
  <c i="5" r="AM21" s="1"/>
  <c i="5" r="F23"/>
  <c i="5" r="AL23" s="1"/>
  <c i="5" r="E23"/>
  <c i="5" r="AK23" s="1"/>
  <c i="5" r="D23"/>
  <c i="5" r="AJ23" s="1"/>
  <c i="5" r="C23"/>
  <c i="5" r="AI23" s="1"/>
  <c i="5" r="B23"/>
  <c i="5" r="AH23" s="1"/>
  <c i="5" r="F22"/>
  <c i="5" r="AL22" s="1"/>
  <c i="5" r="E22"/>
  <c i="5" r="AK22" s="1"/>
  <c i="5" r="D22"/>
  <c i="5" r="AJ22" s="1"/>
  <c i="5" r="C22"/>
  <c i="5" r="AI22" s="1"/>
  <c i="5" r="B22"/>
  <c i="5" r="AH22" s="1"/>
  <c i="5" r="F21"/>
  <c i="5" r="AL21" s="1"/>
  <c i="5" r="E21"/>
  <c i="5" r="AK21" s="1"/>
  <c i="5" r="D21"/>
  <c i="5" r="AJ21" s="1"/>
  <c i="5" r="C21"/>
  <c i="5" r="AI21" s="1"/>
  <c i="5" r="B21"/>
  <c i="5" r="AH21" s="1"/>
  <c i="5" r="R19"/>
  <c i="5" r="S19"/>
  <c i="5" r="T19"/>
  <c i="5" r="U19"/>
  <c i="5" r="V19"/>
  <c i="5" r="R20"/>
  <c i="5" r="S20"/>
  <c i="5" r="T20"/>
  <c i="5" r="U20"/>
  <c i="5" r="V20"/>
  <c i="5" r="R24"/>
  <c i="5" r="S24"/>
  <c i="5" r="T24"/>
  <c i="5" r="U24"/>
  <c i="5" r="V24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J7" s="1"/>
  <c i="1" r="S17"/>
  <c i="8" r="K7" s="1"/>
  <c i="1" r="T17"/>
  <c i="8" r="L7" s="1"/>
  <c i="1" r="U17"/>
  <c i="8" r="M7" s="1"/>
  <c i="1" r="V17"/>
  <c i="8" r="N7" s="1"/>
  <c i="1" r="R18"/>
  <c i="8" r="J8" s="1"/>
  <c i="1" r="S18"/>
  <c i="8" r="K8" s="1"/>
  <c i="1" r="T18"/>
  <c i="8" r="L8" s="1"/>
  <c i="1" r="U18"/>
  <c i="8" r="M8" s="1"/>
  <c i="1" r="V18"/>
  <c i="8" r="N8" s="1"/>
  <c i="1" r="R19"/>
  <c i="8" r="J9" s="1"/>
  <c i="1" r="S19"/>
  <c i="8" r="K9" s="1"/>
  <c i="1" r="T19"/>
  <c i="8" r="L9" s="1"/>
  <c i="1" r="U19"/>
  <c i="8" r="M9" s="1"/>
  <c i="1" r="V19"/>
  <c i="8" r="N9" s="1"/>
  <c i="1" r="S16"/>
  <c i="8" r="K6" s="1"/>
  <c i="1" r="T16"/>
  <c i="8" r="L6" s="1"/>
  <c i="1" r="U16"/>
  <c i="8" r="M6" s="1"/>
  <c i="1" r="V16"/>
  <c i="8" r="N6" s="1"/>
  <c i="1" r="R16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8" l="1" r="J6"/>
  <c i="1" r="Z34"/>
  <c i="5" r="AD21"/>
  <c i="5" r="Z22"/>
  <c i="5" r="AA22"/>
  <c i="5" r="Z21"/>
  <c i="5" r="AB22"/>
  <c i="5" r="AC22"/>
  <c i="5" r="AD22"/>
  <c i="5" r="Z23"/>
  <c i="5" r="AA21"/>
  <c i="5" r="AA23"/>
  <c i="5" r="AB23"/>
  <c i="5" r="AC23"/>
  <c i="5" r="AD23"/>
  <c i="5" r="AB21"/>
  <c i="5" r="AC21"/>
  <c i="5" r="V26"/>
  <c i="5" r="U26"/>
  <c i="5" r="T26"/>
  <c i="5" r="S26"/>
  <c i="5" r="R26"/>
  <c i="5" r="W22"/>
  <c i="5" r="AE22" s="1"/>
  <c i="5" r="W21"/>
  <c i="5" r="AE21" s="1"/>
  <c i="5" r="W23"/>
  <c i="5" r="AE23" s="1"/>
  <c i="4" r="G10"/>
  <c i="5" r="W24"/>
  <c i="1" r="W19"/>
  <c i="4" r="W10"/>
  <c i="5" r="W20"/>
  <c i="5" r="W19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5" l="1" r="W26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G16"/>
  <c i="5" r="W13"/>
  <c i="5" r="G13"/>
  <c i="5" r="B20"/>
  <c i="5" r="C24"/>
  <c i="5" r="G24"/>
  <c i="5" r="AE24" s="1"/>
  <c i="5" r="M24"/>
  <c i="5" r="B24"/>
  <c i="5" r="F24"/>
  <c i="5" r="L24"/>
  <c i="5" r="E24"/>
  <c i="5" r="K24"/>
  <c i="5" r="O24"/>
  <c i="5" r="J24"/>
  <c i="5" r="D24"/>
  <c i="5" r="N24"/>
  <c i="5" r="C20"/>
  <c i="5" r="G20"/>
  <c i="5" r="AE20" s="1"/>
  <c i="5" r="M20"/>
  <c i="5" r="F20"/>
  <c i="5" r="L20"/>
  <c i="5" r="E20"/>
  <c i="5" r="K20"/>
  <c i="5" r="O20"/>
  <c i="5" r="D20"/>
  <c i="5" r="N20"/>
  <c i="5" r="J20"/>
  <c i="5" r="E19"/>
  <c i="5" r="K19"/>
  <c i="5" r="O19"/>
  <c i="5" r="D19"/>
  <c i="5" r="J19"/>
  <c i="5" r="N19"/>
  <c i="5" r="C19"/>
  <c i="5" r="G19"/>
  <c i="5" r="AE19" s="1"/>
  <c i="5" r="M19"/>
  <c i="5" r="F19"/>
  <c i="5" r="L19"/>
  <c i="5" r="B19"/>
  <c i="1" r="L19"/>
  <c i="1" r="F19"/>
  <c i="8" r="F9" s="1"/>
  <c i="1" r="B19"/>
  <c i="8" r="B9" s="1"/>
  <c i="1" r="M19"/>
  <c i="1" r="G19"/>
  <c i="1" r="N19"/>
  <c i="1" r="J19"/>
  <c i="1" r="D19"/>
  <c i="8" r="D9" s="1"/>
  <c i="1" r="C19"/>
  <c i="8" r="C9" s="1"/>
  <c i="1" r="O19"/>
  <c i="1" r="K19"/>
  <c i="1" r="E19"/>
  <c i="8" r="E9" s="1"/>
  <c i="4" r="G18"/>
  <c i="4" r="C18"/>
  <c i="4" r="O18"/>
  <c i="4" r="K18"/>
  <c i="4" r="L18"/>
  <c i="4" r="E18"/>
  <c i="4" r="M18"/>
  <c i="4" r="D18"/>
  <c i="4" r="F18"/>
  <c i="4" r="B18"/>
  <c i="4" r="N18"/>
  <c i="4" r="J18"/>
  <c i="1" r="N18"/>
  <c i="1" r="J18"/>
  <c i="1" r="D18"/>
  <c i="8" r="D8" s="1"/>
  <c i="1" r="O18"/>
  <c i="1" r="K18"/>
  <c i="1" r="L18"/>
  <c i="1" r="F18"/>
  <c i="8" r="F8" s="1"/>
  <c i="1" r="B18"/>
  <c i="8" r="B8" s="1"/>
  <c i="1" r="M18"/>
  <c i="1" r="G18"/>
  <c i="1" r="C18"/>
  <c i="8" r="C8" s="1"/>
  <c i="1" r="E18"/>
  <c i="8" r="E8" s="1"/>
  <c i="1" r="W10"/>
  <c i="1" r="W28" s="1"/>
  <c i="4" r="E17"/>
  <c i="4" r="M17"/>
  <c i="4" r="F17"/>
  <c i="4" r="G17"/>
  <c i="4" r="C17"/>
  <c i="4" r="O17"/>
  <c i="4" r="K17"/>
  <c i="4" r="J17"/>
  <c i="4" r="D17"/>
  <c i="4" r="L17"/>
  <c i="4" r="B17"/>
  <c i="4" r="N17"/>
  <c i="1" r="G10"/>
  <c i="1" r="L17"/>
  <c i="1" r="F17"/>
  <c i="8" r="F7" s="1"/>
  <c i="1" r="B17"/>
  <c i="8" r="B7" s="1"/>
  <c i="1" r="M17"/>
  <c i="1" r="G17"/>
  <c i="1" r="N17"/>
  <c i="1" r="J17"/>
  <c i="1" r="D17"/>
  <c i="8" r="D7" s="1"/>
  <c i="1" r="C17"/>
  <c i="8" r="C7" s="1"/>
  <c i="1" r="O17"/>
  <c i="1" r="K17"/>
  <c i="1" r="E17"/>
  <c i="8" r="E7" s="1"/>
  <c i="4" r="G16"/>
  <c i="4" r="C16"/>
  <c i="4" r="O16"/>
  <c i="4" r="K16"/>
  <c i="4" r="E16"/>
  <c i="4" r="M16"/>
  <c i="4" r="D16"/>
  <c i="4" r="F16"/>
  <c i="4" r="B16"/>
  <c i="4" r="N16"/>
  <c i="4" r="J16"/>
  <c i="4" r="L16"/>
  <c i="1" r="N16"/>
  <c i="1" r="J16"/>
  <c i="1" r="D16"/>
  <c i="1" r="K16"/>
  <c i="1" r="E16"/>
  <c i="1" r="L16"/>
  <c i="1" r="F16"/>
  <c i="1" r="B16"/>
  <c i="1" r="O16"/>
  <c i="1" r="M16"/>
  <c i="1" r="C16"/>
  <c i="4" r="E19"/>
  <c i="4" r="M19"/>
  <c i="4" r="F19"/>
  <c i="4" r="N19"/>
  <c i="4" r="G19"/>
  <c i="4" r="C19"/>
  <c i="4" r="O19"/>
  <c i="4" r="K19"/>
  <c i="4" r="J19"/>
  <c i="4" r="D19"/>
  <c i="4" r="L19"/>
  <c i="4" r="B19"/>
  <c i="4" r="W28"/>
  <c i="5" l="1" r="W37"/>
  <c i="5" r="R38"/>
  <c i="5" r="S38"/>
  <c i="5" r="U38"/>
  <c i="5" r="T38"/>
  <c i="5" r="V38"/>
  <c i="5" r="W38"/>
  <c i="1" r="Y34"/>
  <c i="8" r="E6"/>
  <c i="8" r="E10" s="1"/>
  <c i="1" r="E20"/>
  <c i="8" r="F6"/>
  <c i="8" r="F10" s="1"/>
  <c i="1" r="F20"/>
  <c i="8" r="C6"/>
  <c i="8" r="C10" s="1"/>
  <c i="1" r="C20"/>
  <c i="8" r="D6"/>
  <c i="8" r="D10" s="1"/>
  <c i="1" r="D20"/>
  <c i="8" r="B6"/>
  <c i="8" r="B10" s="1"/>
  <c i="1" r="B20"/>
  <c i="1" r="G20"/>
  <c i="1" r="G29" s="1"/>
  <c i="8" r="K10"/>
  <c i="8" r="J10"/>
  <c i="8" r="O6"/>
  <c i="8" r="G7"/>
  <c i="8" r="L10"/>
  <c i="8" r="O7"/>
  <c i="8" r="O9"/>
  <c i="8" r="G9"/>
  <c i="8" r="M10"/>
  <c i="8" r="N10"/>
  <c i="8" r="G8"/>
  <c i="8" r="O8"/>
  <c i="5" r="W32"/>
  <c i="5" r="AH24"/>
  <c i="5" r="Z24"/>
  <c i="5" r="AK24"/>
  <c i="5" r="AC24"/>
  <c i="5" r="AL20"/>
  <c i="5" r="AD20"/>
  <c i="5" r="AL19"/>
  <c i="5" r="AD19"/>
  <c i="5" r="AI24"/>
  <c i="5" r="AA24"/>
  <c i="5" r="AH20"/>
  <c i="5" r="Z20"/>
  <c i="5" r="AI19"/>
  <c i="5" r="AA19"/>
  <c i="5" r="AJ20"/>
  <c i="5" r="AB20"/>
  <c i="5" r="AJ24"/>
  <c i="5" r="AB24"/>
  <c i="5" r="W33"/>
  <c i="5" r="AK20"/>
  <c i="5" r="AC20"/>
  <c i="5" r="AH19"/>
  <c i="5" r="Z19"/>
  <c i="5" r="AJ19"/>
  <c i="5" r="AB19"/>
  <c i="5" r="AM24"/>
  <c i="5" r="AL24"/>
  <c i="5" r="AD24"/>
  <c i="5" r="AI20"/>
  <c i="5" r="AA20"/>
  <c i="5" r="AM20"/>
  <c i="5" r="AK19"/>
  <c i="5" r="AC19"/>
  <c i="5" r="AM19"/>
  <c i="5" r="S39"/>
  <c i="5" r="W39"/>
  <c i="5" r="U36"/>
  <c i="5" r="S35"/>
  <c i="5" r="R32"/>
  <c i="5" r="T33"/>
  <c i="5" r="V39"/>
  <c i="5" r="T35"/>
  <c i="5" r="D26"/>
  <c i="5" r="U37"/>
  <c i="5" r="U35"/>
  <c i="5" r="T39"/>
  <c i="5" r="S37"/>
  <c i="5" r="V35"/>
  <c i="5" r="S34"/>
  <c i="5" r="T34"/>
  <c i="5" r="G26"/>
  <c i="5" r="R37"/>
  <c i="5" r="S36"/>
  <c i="5" r="U39"/>
  <c i="5" r="K26"/>
  <c i="5" r="R35"/>
  <c i="5" r="T37"/>
  <c i="5" r="R36"/>
  <c i="5" r="U34"/>
  <c i="5" r="S33"/>
  <c i="5" r="E26"/>
  <c i="5" r="F26"/>
  <c i="5" r="R39"/>
  <c i="5" r="T36"/>
  <c i="5" r="V34"/>
  <c i="5" r="V33"/>
  <c i="5" r="B26"/>
  <c i="5" r="J26"/>
  <c i="5" r="M26"/>
  <c i="5" r="V37"/>
  <c i="5" r="U32"/>
  <c i="5" r="C26"/>
  <c i="5" r="U33"/>
  <c i="5" r="R33"/>
  <c i="5" r="N26"/>
  <c i="5" r="O26"/>
  <c i="5" r="M37" s="1"/>
  <c i="5" r="L26"/>
  <c i="5" r="R34"/>
  <c i="5" r="S32"/>
  <c i="5" r="T32"/>
  <c i="5" r="V32"/>
  <c i="5" r="V36"/>
  <c i="5" r="W36"/>
  <c i="5" r="W34"/>
  <c i="5" r="W35"/>
  <c i="1" r="S29"/>
  <c i="1" r="V29"/>
  <c i="5" r="K25"/>
  <c i="5" r="O25"/>
  <c i="5" r="J25"/>
  <c i="5" r="N25"/>
  <c i="5" r="M25"/>
  <c i="5" r="L25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O20"/>
  <c i="4" r="L28" s="1"/>
  <c i="4" r="K20"/>
  <c i="4" r="E20"/>
  <c i="4" r="M20"/>
  <c i="4" r="D20"/>
  <c i="4" r="F20"/>
  <c i="4" r="B20"/>
  <c i="4" r="N20"/>
  <c i="4" r="J20"/>
  <c i="4" r="L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1" r="AA17"/>
  <c i="1" r="AI17" s="1"/>
  <c i="1" r="Z17"/>
  <c i="1" r="AH17" s="1"/>
  <c i="4" r="AB17"/>
  <c i="4" r="AJ17" s="1"/>
  <c i="4" r="AE17"/>
  <c i="4" r="AM17" s="1"/>
  <c i="4" r="AC17"/>
  <c i="4" r="AK17" s="1"/>
  <c i="1" r="AC18"/>
  <c i="1" r="AK18" s="1"/>
  <c i="1" r="AA18"/>
  <c i="1" r="AI18" s="1"/>
  <c i="1" r="AD18"/>
  <c i="1" r="AL18" s="1"/>
  <c i="4" r="Z18"/>
  <c i="4" r="AH18" s="1"/>
  <c i="4" r="AA18"/>
  <c i="4" r="AI18" s="1"/>
  <c i="1" r="AB19"/>
  <c i="1" r="AJ19" s="1"/>
  <c i="4" r="AB19"/>
  <c i="4" r="AJ19" s="1"/>
  <c i="4" r="AE19"/>
  <c i="4" r="AM19" s="1"/>
  <c i="1" r="AA16"/>
  <c i="1" r="AI16" s="1"/>
  <c i="4" r="Z16"/>
  <c i="4" r="AH16" s="1"/>
  <c i="4" r="AE16"/>
  <c i="4" r="AM16" s="1"/>
  <c i="1" r="AC17"/>
  <c i="1" r="AK17" s="1"/>
  <c i="4" r="AA17"/>
  <c i="4" r="AI17" s="1"/>
  <c i="1" r="N20"/>
  <c i="1" r="J20"/>
  <c i="1" r="R25"/>
  <c i="1" r="O20"/>
  <c i="1" r="K27" s="1"/>
  <c i="1" r="K20"/>
  <c i="1" r="L20"/>
  <c i="1" r="M20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1" r="AB18"/>
  <c i="1" r="AJ18" s="1"/>
  <c i="1" r="Z18"/>
  <c i="1" r="AH18" s="1"/>
  <c i="4" r="AB18"/>
  <c i="4" r="AJ18" s="1"/>
  <c i="1" r="AE19"/>
  <c i="1" r="AM19" s="1"/>
  <c i="1" r="AD19"/>
  <c i="1" r="AL19" s="1"/>
  <c i="4" r="W27"/>
  <c i="4" r="AD19"/>
  <c i="4" r="AL19" s="1"/>
  <c i="1" r="AE16"/>
  <c i="1" r="AM16" s="1"/>
  <c i="1" r="AD16"/>
  <c i="1" r="AL16" s="1"/>
  <c i="4" r="AB16"/>
  <c i="4" r="AJ16" s="1"/>
  <c i="4" r="AA16"/>
  <c i="4" r="AI16" s="1"/>
  <c i="1" r="AB17"/>
  <c i="1" r="AJ17" s="1"/>
  <c i="4" r="AD17"/>
  <c i="4" r="AL17" s="1"/>
  <c i="4" r="Z17"/>
  <c i="4" r="AH17" s="1"/>
  <c i="1" r="AA19"/>
  <c i="1" r="AI19" s="1"/>
  <c i="1" r="Z19"/>
  <c i="1" r="AH19" s="1"/>
  <c i="1" r="U29"/>
  <c i="4" r="AA19"/>
  <c i="4" r="AI19" s="1"/>
  <c i="4" r="Z19"/>
  <c i="4" r="AH19" s="1"/>
  <c i="1" r="AC16"/>
  <c i="1" r="AK16" s="1"/>
  <c i="1" r="AB16"/>
  <c i="1" r="AJ16" s="1"/>
  <c i="1" r="Z16"/>
  <c i="1" r="AH16" s="1"/>
  <c i="1" r="AE17"/>
  <c i="1" r="AM17" s="1"/>
  <c i="1" r="AD17"/>
  <c i="1" r="AL17" s="1"/>
  <c i="1" r="AE18"/>
  <c i="1" r="AM18" s="1"/>
  <c i="4" r="AD18"/>
  <c i="4" r="AL18" s="1"/>
  <c i="4" r="AC18"/>
  <c i="4" r="AK18" s="1"/>
  <c i="4" r="AE18"/>
  <c i="4" r="AM18" s="1"/>
  <c i="1" r="AC19"/>
  <c i="1" r="AK19" s="1"/>
  <c i="4" r="V29"/>
  <c i="4" r="W25"/>
  <c i="4" r="S29"/>
  <c i="4" r="W26"/>
  <c i="4" r="T29"/>
  <c i="5" l="1" r="AM26"/>
  <c i="5" r="E38"/>
  <c i="5" r="C38"/>
  <c i="5" r="F38"/>
  <c i="5" r="D38"/>
  <c i="5" r="B38"/>
  <c i="5" r="G38"/>
  <c i="8" r="G6"/>
  <c i="1" r="Z35"/>
  <c i="1" r="W38"/>
  <c i="8" r="G10"/>
  <c i="8" r="G19" s="1"/>
  <c i="8" r="O10"/>
  <c i="8" r="J19" s="1"/>
  <c i="5" r="AL26"/>
  <c i="5" r="AD26"/>
  <c i="5" r="AI26"/>
  <c i="5" r="AA26"/>
  <c i="5" r="AJ26"/>
  <c i="5" r="AB26"/>
  <c i="5" r="AK26"/>
  <c i="5" r="AC26"/>
  <c i="5" r="E32"/>
  <c i="5" r="AE26"/>
  <c i="5" r="AH26"/>
  <c i="5" r="Z26"/>
  <c i="5" r="N38"/>
  <c i="5" r="V51" s="1"/>
  <c i="5" r="J38"/>
  <c i="5" r="R51" s="1"/>
  <c i="5" r="O38"/>
  <c i="5" r="W51" s="1"/>
  <c i="5" r="K38"/>
  <c i="5" r="S51" s="1"/>
  <c i="5" r="N33"/>
  <c i="5" r="V46" s="1"/>
  <c i="5" r="J32"/>
  <c i="5" r="R45" s="1"/>
  <c i="5" r="F33"/>
  <c i="5" r="K32"/>
  <c i="5" r="S45" s="1"/>
  <c i="5" r="C32"/>
  <c i="5" r="D37"/>
  <c i="5" r="G33"/>
  <c i="5" r="L38"/>
  <c i="5" r="T51" s="1"/>
  <c i="5" r="O37"/>
  <c i="5" r="W50" s="1"/>
  <c i="5" r="O33"/>
  <c i="5" r="W46" s="1"/>
  <c i="5" r="N32"/>
  <c i="5" r="V45" s="1"/>
  <c i="5" r="M38"/>
  <c i="5" r="U51" s="1"/>
  <c i="5" r="K39"/>
  <c i="5" r="S52" s="1"/>
  <c i="5" r="D33"/>
  <c i="5" r="B33"/>
  <c i="5" r="C37"/>
  <c i="5" r="F32"/>
  <c i="5" r="J37"/>
  <c i="5" r="R50" s="1"/>
  <c i="5" r="D39"/>
  <c i="5" r="M33"/>
  <c i="5" r="U46" s="1"/>
  <c i="5" r="M39"/>
  <c i="5" r="U52" s="1"/>
  <c i="5" r="G37"/>
  <c i="5" r="J39"/>
  <c i="5" r="R52" s="1"/>
  <c i="5" r="L32"/>
  <c i="5" r="T45" s="1"/>
  <c i="5" r="G32"/>
  <c i="5" r="B32"/>
  <c i="5" r="G39"/>
  <c i="5" r="B35"/>
  <c i="5" r="F36"/>
  <c i="5" r="G36"/>
  <c i="5" r="B36"/>
  <c i="5" r="C35"/>
  <c i="5" r="E35"/>
  <c i="5" r="B34"/>
  <c i="5" r="D35"/>
  <c i="5" r="C34"/>
  <c i="5" r="F34"/>
  <c i="5" r="C36"/>
  <c i="5" r="E34"/>
  <c i="5" r="F35"/>
  <c i="5" r="G34"/>
  <c i="5" r="D34"/>
  <c i="5" r="D36"/>
  <c i="5" r="G35"/>
  <c i="5" r="E36"/>
  <c i="5" r="N39"/>
  <c i="5" r="V52" s="1"/>
  <c i="5" r="B39"/>
  <c i="5" r="B37"/>
  <c i="5" r="C33"/>
  <c i="5" r="F37"/>
  <c i="5" r="O39"/>
  <c i="5" r="W52" s="1"/>
  <c i="5" r="J34"/>
  <c i="5" r="R47" s="1"/>
  <c i="5" r="K35"/>
  <c i="5" r="S48" s="1"/>
  <c i="5" r="O36"/>
  <c i="5" r="W49" s="1"/>
  <c i="5" r="L34"/>
  <c i="5" r="T47" s="1"/>
  <c i="5" r="O34"/>
  <c i="5" r="W47" s="1"/>
  <c i="5" r="L35"/>
  <c i="5" r="T48" s="1"/>
  <c i="5" r="L36"/>
  <c i="5" r="T49" s="1"/>
  <c i="5" r="J35"/>
  <c i="5" r="R48" s="1"/>
  <c i="5" r="K34"/>
  <c i="5" r="S47" s="1"/>
  <c i="5" r="O35"/>
  <c i="5" r="W48" s="1"/>
  <c i="5" r="M35"/>
  <c i="5" r="U48" s="1"/>
  <c i="5" r="K36"/>
  <c i="5" r="S49" s="1"/>
  <c i="5" r="N36"/>
  <c i="5" r="V49" s="1"/>
  <c i="5" r="N35"/>
  <c i="5" r="V48" s="1"/>
  <c i="5" r="J36"/>
  <c i="5" r="R49" s="1"/>
  <c i="5" r="N34"/>
  <c i="5" r="V47" s="1"/>
  <c i="5" r="M34"/>
  <c i="5" r="U47" s="1"/>
  <c i="5" r="M36"/>
  <c i="5" r="U49" s="1"/>
  <c i="5" r="O32"/>
  <c i="5" r="W45" s="1"/>
  <c i="5" r="K33"/>
  <c i="5" r="S46" s="1"/>
  <c i="5" r="L37"/>
  <c i="5" r="T50" s="1"/>
  <c i="5" r="F39"/>
  <c i="5" r="L33"/>
  <c i="5" r="T46" s="1"/>
  <c i="5" r="E33"/>
  <c i="5" r="L39"/>
  <c i="5" r="T52" s="1"/>
  <c i="5" r="E39"/>
  <c i="5" r="D32"/>
  <c i="5" r="E37"/>
  <c i="5" r="C39"/>
  <c i="5" r="M32"/>
  <c i="5" r="U45" s="1"/>
  <c i="5" r="N37"/>
  <c i="5" r="V50" s="1"/>
  <c i="5" r="K37"/>
  <c i="5" r="S50" s="1"/>
  <c i="5" r="J33"/>
  <c i="5" r="R46" s="1"/>
  <c i="1" r="E25"/>
  <c i="1" r="U34" s="1"/>
  <c i="1" r="D26"/>
  <c i="1" r="T35" s="1"/>
  <c i="1" r="E28"/>
  <c i="1" r="U37" s="1"/>
  <c i="1" r="B28"/>
  <c i="1" r="R37" s="1"/>
  <c i="4" r="C27"/>
  <c i="5" r="U50"/>
  <c i="4" r="C28"/>
  <c i="4" r="G27"/>
  <c i="4" r="F28"/>
  <c i="4" r="K27"/>
  <c i="4" r="S36" s="1"/>
  <c i="1" r="M25"/>
  <c i="1" r="N28"/>
  <c i="1" r="O26"/>
  <c i="1" r="J27"/>
  <c i="4" r="J25"/>
  <c i="4" r="R34" s="1"/>
  <c i="4" r="B25"/>
  <c i="4" r="J26"/>
  <c i="4" r="R35" s="1"/>
  <c i="4" r="L26"/>
  <c i="4" r="T35" s="1"/>
  <c i="4" r="M25"/>
  <c i="4" r="U34" s="1"/>
  <c i="4" r="O27"/>
  <c i="4" r="W36" s="1"/>
  <c i="4" r="N27"/>
  <c i="4" r="V36" s="1"/>
  <c i="4" r="J28"/>
  <c i="4" r="R37" s="1"/>
  <c i="4" r="K28"/>
  <c i="4" r="S37" s="1"/>
  <c i="4" r="N26"/>
  <c i="4" r="V35" s="1"/>
  <c i="4" r="L25"/>
  <c i="4" r="T34" s="1"/>
  <c i="4" r="K26"/>
  <c i="4" r="S35" s="1"/>
  <c i="4" r="O28"/>
  <c i="4" r="W37" s="1"/>
  <c i="4" r="M26"/>
  <c i="4" r="U35" s="1"/>
  <c i="4" r="N28"/>
  <c i="4" r="V37" s="1"/>
  <c i="4" r="O25"/>
  <c i="4" r="W34" s="1"/>
  <c i="4" r="J27"/>
  <c i="4" r="R36" s="1"/>
  <c i="4" r="O26"/>
  <c i="4" r="W35" s="1"/>
  <c i="4" r="N25"/>
  <c i="4" r="V34" s="1"/>
  <c i="4" r="M27"/>
  <c i="4" r="U36" s="1"/>
  <c i="4" r="K25"/>
  <c i="4" r="S34" s="1"/>
  <c i="4" r="L27"/>
  <c i="4" r="T36" s="1"/>
  <c i="4" r="G28"/>
  <c i="4" r="G26"/>
  <c i="4" r="F26"/>
  <c i="4" r="E29"/>
  <c i="4" r="E25"/>
  <c i="4" r="C26"/>
  <c i="4" r="G25"/>
  <c i="1" r="N26"/>
  <c i="4" r="B27"/>
  <c i="1" r="L26"/>
  <c i="1" r="N25"/>
  <c i="1" r="O28"/>
  <c i="4" r="D27"/>
  <c i="4" r="D29"/>
  <c i="4" r="E26"/>
  <c i="1" r="J25"/>
  <c i="4" r="E27"/>
  <c i="4" r="F25"/>
  <c i="1" r="K28"/>
  <c i="1" r="O25"/>
  <c i="4" r="F27"/>
  <c i="4" r="B26"/>
  <c i="4" r="D25"/>
  <c i="4" r="D28"/>
  <c i="4" r="B29"/>
  <c i="4" r="D26"/>
  <c i="4" r="E28"/>
  <c i="1" r="M28"/>
  <c i="1" r="O27"/>
  <c i="1" r="L25"/>
  <c i="4" r="B28"/>
  <c i="1" r="J28"/>
  <c i="1" r="L27"/>
  <c i="4" r="C25"/>
  <c i="1" r="E27"/>
  <c i="1" r="U36" s="1"/>
  <c i="1" r="F26"/>
  <c i="1" r="V35" s="1"/>
  <c i="1" r="D27"/>
  <c i="1" r="T36" s="1"/>
  <c i="1" r="G26"/>
  <c i="1" r="W35" s="1"/>
  <c i="1" r="E26"/>
  <c i="1" r="U35" s="1"/>
  <c i="1" r="B25"/>
  <c i="1" r="R34" s="1"/>
  <c i="1" r="C27"/>
  <c i="1" r="S36" s="1"/>
  <c i="1" r="G27"/>
  <c i="1" r="W36" s="1"/>
  <c i="1" r="K25"/>
  <c i="1" r="D28"/>
  <c i="1" r="T37" s="1"/>
  <c i="1" r="B27"/>
  <c i="1" r="R36" s="1"/>
  <c i="1" r="F27"/>
  <c i="1" r="V36" s="1"/>
  <c i="1" r="C26"/>
  <c i="1" r="S35" s="1"/>
  <c i="1" r="F28"/>
  <c i="1" r="V37" s="1"/>
  <c i="1" r="C25"/>
  <c i="1" r="S34" s="1"/>
  <c i="1" r="E29"/>
  <c i="1" r="U38" s="1"/>
  <c i="1" r="K29"/>
  <c i="1" r="AA20"/>
  <c i="1" r="AI20" s="1"/>
  <c i="1" r="J29"/>
  <c i="1" r="Z20"/>
  <c i="1" r="AH20" s="1"/>
  <c i="1" r="G28"/>
  <c i="1" r="W37" s="1"/>
  <c i="1" r="L28"/>
  <c i="1" r="N27"/>
  <c i="1" r="M29"/>
  <c i="1" r="AC20"/>
  <c i="1" r="AK20" s="1"/>
  <c i="1" r="L29"/>
  <c i="1" r="AB20"/>
  <c i="1" r="AJ20" s="1"/>
  <c i="4" r="N29"/>
  <c i="4" r="V38" s="1"/>
  <c i="4" r="AD20"/>
  <c i="4" r="AL20" s="1"/>
  <c i="4" r="M29"/>
  <c i="4" r="U38" s="1"/>
  <c i="4" r="AC20"/>
  <c i="4" r="AK20" s="1"/>
  <c i="1" r="D29"/>
  <c i="1" r="T38" s="1"/>
  <c i="1" r="G25"/>
  <c i="1" r="W34" s="1"/>
  <c i="1" r="K26"/>
  <c i="4" r="C29"/>
  <c i="4" r="J29"/>
  <c i="4" r="R38" s="1"/>
  <c i="4" r="Z20"/>
  <c i="4" r="AH20" s="1"/>
  <c i="4" r="O29"/>
  <c i="4" r="W38" s="1"/>
  <c i="4" r="AE20"/>
  <c i="4" r="AM20" s="1"/>
  <c i="1" r="F29"/>
  <c i="1" r="V38" s="1"/>
  <c i="1" r="F25"/>
  <c i="1" r="V34" s="1"/>
  <c i="4" r="T37"/>
  <c i="1" r="O29"/>
  <c i="1" r="AE20"/>
  <c i="1" r="AM20" s="1"/>
  <c i="1" r="N29"/>
  <c i="1" r="AD20"/>
  <c i="1" r="AL20" s="1"/>
  <c i="4" r="AB20"/>
  <c i="4" r="AJ20" s="1"/>
  <c i="4" r="L29"/>
  <c i="4" r="T38" s="1"/>
  <c i="4" r="K29"/>
  <c i="4" r="S38" s="1"/>
  <c i="4" r="AA20"/>
  <c i="4" r="AI20" s="1"/>
  <c i="1" r="C29"/>
  <c i="1" r="S38" s="1"/>
  <c i="1" r="B29"/>
  <c i="1" r="R38" s="1"/>
  <c i="1" r="M26"/>
  <c i="1" r="C28"/>
  <c i="1" r="S37" s="1"/>
  <c i="1" r="B26"/>
  <c i="1" r="R35" s="1"/>
  <c i="1" r="D25"/>
  <c i="1" r="T34" s="1"/>
  <c i="1" r="M27"/>
  <c i="1" r="J26"/>
  <c i="4" r="F29"/>
  <c i="4" r="M28"/>
  <c i="4" r="U37" s="1"/>
  <c i="8" l="1" r="G16"/>
  <c i="8" r="K19"/>
  <c i="8" r="L19"/>
  <c i="8" r="O16"/>
  <c i="8" r="O18"/>
  <c i="8" r="G18"/>
  <c i="8" r="D19"/>
  <c i="8" r="E19"/>
  <c i="8" r="C19"/>
  <c i="8" r="M19"/>
  <c i="8" r="F19"/>
  <c i="8" r="O15"/>
  <c i="8" r="N19"/>
  <c i="8" r="O17"/>
  <c i="8" r="G17"/>
  <c i="8" r="B19"/>
  <c i="8" r="G15"/>
  <c i="8" r="M15"/>
  <c i="8" r="K17"/>
  <c i="8" r="K18"/>
  <c i="8" r="K15"/>
  <c i="8" r="M17"/>
  <c i="8" r="N18"/>
  <c i="8" r="N15"/>
  <c i="8" r="L17"/>
  <c i="8" r="J18"/>
  <c i="8" r="J15"/>
  <c i="8" r="M18"/>
  <c i="8" r="N17"/>
  <c i="8" r="M16"/>
  <c i="8" r="L18"/>
  <c i="8" r="L15"/>
  <c i="8" r="L16"/>
  <c i="8" r="N16"/>
  <c i="8" r="K16"/>
  <c i="8" r="J17"/>
  <c i="8" r="J16"/>
  <c i="8" r="D18"/>
  <c i="8" r="C17"/>
  <c i="8" r="E16"/>
  <c i="8" r="C16"/>
  <c i="8" r="B17"/>
  <c i="8" r="F15"/>
  <c i="8" r="F18"/>
  <c i="8" r="B16"/>
  <c i="8" r="B15"/>
  <c i="8" r="E17"/>
  <c i="8" r="E15"/>
  <c i="8" r="F17"/>
  <c i="8" r="C18"/>
  <c i="8" r="D15"/>
  <c i="8" r="E18"/>
  <c i="8" r="F16"/>
  <c i="8" r="D16"/>
  <c i="8" r="B18"/>
  <c i="8" r="D17"/>
  <c i="8" r="C15"/>
  <c i="8" l="1" r="T11"/>
  <c i="8" r="T16"/>
  <c i="8" r="T17"/>
  <c i="8" r="T15"/>
  <c i="8" r="T12"/>
  <c i="8" r="T19"/>
  <c i="8" r="T20"/>
  <c i="8" r="T9"/>
  <c i="8" r="T8"/>
  <c i="8" r="T6"/>
  <c i="8" r="T22"/>
  <c i="8" r="U22" s="1"/>
  <c i="8" r="V22" s="1"/>
  <c i="8" r="AA19" s="1"/>
  <c i="8" r="T18"/>
  <c i="8" r="T13"/>
  <c i="8" r="T21"/>
  <c i="8" r="T10"/>
  <c i="8" r="T7"/>
  <c i="8" r="U7" s="1"/>
  <c i="8" r="V7" s="1"/>
  <c i="8" r="AA4" s="1"/>
  <c i="8" r="T14"/>
  <c i="8" r="U14" s="1"/>
  <c i="8" r="V14" s="1"/>
  <c i="8" r="AA11" s="1"/>
  <c i="8" r="U19"/>
  <c i="8" r="V19" s="1"/>
  <c i="8" r="AA16" s="1"/>
  <c i="8" l="1" r="U10"/>
  <c i="8" r="V10" s="1"/>
  <c i="8" r="AA7" s="1"/>
  <c i="8" r="U21"/>
  <c i="8" r="V21" s="1"/>
  <c i="8" r="AA18" s="1"/>
  <c i="8" r="U12"/>
  <c i="8" r="V12" s="1"/>
  <c i="8" r="AA9" s="1"/>
  <c i="8" r="U15"/>
  <c i="8" r="V15" s="1"/>
  <c i="8" r="AA12" s="1"/>
  <c i="8" r="U13"/>
  <c i="8" r="V13" s="1"/>
  <c i="8" r="AA10" s="1"/>
  <c i="8" r="U18"/>
  <c i="8" r="V18" s="1"/>
  <c i="8" r="AA15" s="1"/>
  <c i="8" r="U11"/>
  <c i="8" r="V11" s="1"/>
  <c i="8" r="AA8" s="1"/>
  <c i="8" r="O19"/>
  <c i="8" r="U17"/>
  <c i="8" r="V17" s="1"/>
  <c i="8" r="AA14" s="1"/>
  <c i="8" r="U20"/>
  <c i="8" r="V20" s="1"/>
  <c i="8" r="AA17" s="1"/>
  <c i="8" r="U16"/>
  <c i="8" r="V16" s="1"/>
  <c i="8" r="AA13" s="1"/>
  <c i="8" r="U6"/>
  <c i="8" r="V6" s="1"/>
  <c i="8" r="AA3" s="1"/>
  <c i="8" r="U8"/>
  <c i="8" r="V8" s="1"/>
  <c i="8" r="AA5" s="1"/>
  <c i="8" r="U9"/>
  <c i="8" r="V9" s="1"/>
  <c i="8" r="AA6" s="1"/>
</calcChain>
</file>

<file path=xl/sharedStrings.xml><?xml version="1.0" encoding="utf-8"?>
<sst xmlns="http://schemas.openxmlformats.org/spreadsheetml/2006/main" count="802" uniqueCount="174">
  <si>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</si>
  <si>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</si>
  <si>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</si>
  <si>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</si>
  <si>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</si>
  <si>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</si>
  <si>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</si>
  <si>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</si>
  <si>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</si>
  <si>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</si>
  <si>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</si>
  <si>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</si>
  <si>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</si>
  <si>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</si>
  <si>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</si>
  <si>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The DaySim total here is less because of some households (1930) with 0 HH potential drivers</t>
  </si>
  <si>
    <t>ACS 2006-08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</si>
  <si>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</si>
  <si>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</si>
  <si>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</si>
  <si>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</si>
  <si>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</si>
  <si>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</si>
  <si>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</si>
  <si>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</si>
  <si>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</si>
  <si>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</si>
  <si>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</si>
  <si>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</si>
  <si>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</si>
  <si>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</si>
  <si>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</si>
  <si>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</si>
  <si>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</si>
  <si>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</si>
  <si>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</si>
  <si>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</si>
  <si>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</si>
  <si>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</si>
  <si>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</si>
  <si>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</si>
  <si>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</si>
  <si>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</si>
  <si>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</si>
  <si>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</si>
  <si>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</si>
  <si>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</si>
  <si>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</si>
  <si>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</si>
  <si>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</si>
  <si>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</si>
  <si>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</si>
  <si>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</si>
  <si>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</si>
  <si>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</si>
  <si>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</si>
  <si>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</si>
  <si>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</si>
  <si>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</si>
  <si>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</si>
  <si>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</si>
  <si>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</si>
  <si>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</si>
  <si>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</si>
  <si>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</si>
  <si>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</si>
  <si>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</si>
  <si>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</si>
  <si>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</si>
  <si>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</si>
  <si>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</si>
  <si>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</si>
  <si>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</si>
  <si>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</si>
  <si>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</si>
  <si>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</si>
  <si>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</si>
  <si>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</si>
  <si>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</si>
  <si>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</si>
  <si>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</si>
  <si>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</si>
  <si>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</si>
  <si>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</si>
  <si>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</si>
  <si>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</si>
  <si>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</si>
  <si>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</si>
  <si>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</si>
  <si>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</si>
  <si>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</si>
  <si>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</si>
  <si>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</si>
  <si>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</si>
  <si>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</si>
  <si>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</si>
  <si>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</si>
  <si>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</si>
  <si>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</si>
  <si>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</si>
  <si>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</si>
  <si>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</si>
  <si>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</si>
  <si>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</si>
  <si>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</si>
  <si>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</si>
  <si>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</si>
  <si>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</si>
  <si>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</si>
  <si>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</si>
  <si>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</si>
  <si>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</si>
  <si>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</si>
  <si>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</si>
  <si>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</si>
  <si>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</si>
  <si>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</si>
  <si>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</si>
  <si>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</si>
  <si>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</si>
  <si>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</si>
  <si>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</si>
  <si>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</si>
  <si>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</si>
  <si>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</si>
  <si>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</si>
  <si>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</si>
  <si>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</si>
  <si>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</si>
  <si>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</si>
  <si>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</si>
  <si>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</si>
  <si>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</si>
  <si>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</si>
  <si>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</si>
  <si>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</si>
  <si>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</si>
  <si>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</si>
  <si>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</si>
  <si>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</si>
  <si>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</si>
  <si>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</si>
  <si>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</si>
  <si>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</si>
  <si>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</si>
  <si>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</si>
  <si>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</si>
  <si>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</si>
  <si>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</si>
  <si>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</si>
  <si>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</si>
  <si>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</si>
  <si>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</si>
  <si>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</si>
  <si>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</si>
  <si>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</si>
  <si>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</si>
  <si>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</si>
  <si>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</si>
  <si>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</si>
  <si>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</si>
  <si>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</si>
  <si>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AutoOwnershipCoefficients_SACOG-v1.5.F12</t>
  </si>
  <si>
    <t>household has at least as many cars as workers</t>
  </si>
  <si>
    <t>Daysim</t>
  </si>
  <si>
    <t>Drivers &lt; Vehicles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</si>
  <si>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</si>
  <si>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</si>
  <si>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</si>
  <si>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</si>
  <si>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</si>
  <si>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</si>
  <si>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</si>
  <si>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HH # of Drivers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</si>
</sst>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/dd/yyyy\ hh:mm:ss"/>
    <numFmt numFmtId="165" formatCode="0.00000000000"/>
    <numFmt numFmtId="166" formatCode="0.0%"/>
  </numFmts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2" fontId="6" numFmtId="0">
      <alignment wrapText="1"/>
    </xf>
    <xf borderId="0" fillId="0" fontId="6" numFmtId="0">
      <alignment wrapText="1"/>
    </xf>
    <xf borderId="0" fillId="0" fontId="6" numFmtId="164">
      <alignment wrapText="1"/>
    </xf>
    <xf borderId="0" fillId="0" fontId="7" numFmtId="0"/>
    <xf borderId="0" fillId="0" fontId="6" numFmtId="0">
      <alignment wrapText="1"/>
    </xf>
    <xf borderId="0" fillId="0" fontId="6" numFmtId="0">
      <alignment wrapText="1"/>
    </xf>
    <xf borderId="0" fillId="0" fontId="6" numFmtId="0">
      <alignment wrapText="1"/>
    </xf>
    <xf borderId="0" fillId="0" fontId="6" numFmtId="164">
      <alignment wrapText="1"/>
    </xf>
    <xf applyAlignment="0" applyBorder="0" applyFill="0" applyFont="0" applyProtection="0" borderId="0" fillId="0" fontId="6" numFmtId="9"/>
  </cellStyleXfs>
  <cellXfs count="98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Border="1" borderId="3" fillId="0" fontId="0" numFmtId="0" xfId="0"/>
    <xf applyAlignment="1" applyBorder="1" borderId="0" fillId="0" fontId="6" numFmtId="0" xfId="2"/>
    <xf applyBorder="1" applyNumberFormat="1" borderId="0" fillId="0" fontId="0" numFmtId="9" xfId="0"/>
    <xf applyBorder="1" borderId="0" fillId="0" fontId="0" numFmtId="0" xfId="0"/>
    <xf applyFont="1" borderId="0" fillId="0" fontId="8" numFmtId="0" xfId="0"/>
    <xf applyFont="1" borderId="0" fillId="0" fontId="9" numFmtId="0" xfId="0"/>
    <xf applyNumberFormat="1" borderId="0" fillId="0" fontId="0" numFmtId="11" xfId="0"/>
    <xf applyFont="1" borderId="0" fillId="0" fontId="10" numFmtId="0" xfId="0"/>
    <xf applyFont="1" borderId="0" fillId="0" fontId="11" numFmtId="0" xfId="0"/>
    <xf applyFont="1" applyNumberFormat="1" borderId="0" fillId="0" fontId="10" numFmtId="11" xfId="0"/>
    <xf applyAlignment="1" applyBorder="1" applyFont="1" borderId="5" fillId="0" fontId="2" numFmtId="0" xfId="0">
      <alignment horizontal="right"/>
    </xf>
    <xf applyAlignment="1" applyNumberFormat="1" borderId="0" fillId="0" fontId="6" numFmtId="3" xfId="2"/>
    <xf applyFont="1" borderId="0" fillId="0" fontId="12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NumberFormat="1" borderId="0" fillId="0" fontId="0" numFmtId="21" xfId="0"/>
    <xf applyFill="1" borderId="0" fillId="3" fontId="0" numFmtId="0" xfId="0"/>
    <xf applyNumberFormat="1" borderId="0" fillId="0" fontId="0" numFmtId="165" xfId="0"/>
    <xf applyFill="1" applyNumberFormat="1" borderId="0" fillId="0" fontId="0" numFmtId="165" xfId="0"/>
    <xf applyFill="1" applyNumberFormat="1" borderId="0" fillId="4" fontId="0" numFmtId="165" xfId="0"/>
    <xf applyFill="1" applyNumberFormat="1" borderId="0" fillId="3" fontId="0" numFmtId="165" xfId="0"/>
    <xf applyBorder="1" applyFont="1" borderId="1" fillId="0" fontId="11" numFmtId="0" xfId="0"/>
    <xf applyBorder="1" applyNumberFormat="1" borderId="1" fillId="0" fontId="0" numFmtId="165" xfId="0"/>
    <xf applyBorder="1" applyNumberFormat="1" borderId="1" fillId="0" fontId="0" numFmtId="2" xfId="0"/>
    <xf applyBorder="1" applyFill="1" borderId="1" fillId="0" fontId="0" numFmtId="0" xfId="0"/>
    <xf applyAlignment="1" applyBorder="1" applyFill="1" applyFont="1" borderId="0" fillId="0" fontId="2" numFmtId="0" xfId="0">
      <alignment horizontal="right"/>
    </xf>
    <xf applyFont="1" borderId="0" fillId="0" fontId="5" numFmtId="0" xfId="0"/>
    <xf applyFont="1" applyNumberFormat="1" borderId="0" fillId="0" fontId="0" numFmtId="166" xfId="9"/>
  </cellXfs>
  <cellStyles count="10"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calcChain.xml" Type="http://schemas.openxmlformats.org/officeDocument/2006/relationships/calcChain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M52"/>
  <sheetViews>
    <sheetView topLeftCell="A19" workbookViewId="0">
      <selection activeCell="I52" sqref="I52"/>
    </sheetView>
  </sheetViews>
  <sheetFormatPr defaultRowHeight="15" x14ac:dyDescent="0.25"/>
  <cols>
    <col min="1" max="23" customWidth="true" width="9.28515625" collapsed="true"/>
  </cols>
  <sheetData>
    <row ht="21" r="1" spans="1:33" x14ac:dyDescent="0.35">
      <c r="A1" s="13" t="s">
        <v>133</v>
      </c>
      <c r="I1" s="13" t="s">
        <v>13</v>
      </c>
      <c r="Q1" s="13" t="s">
        <v>14</v>
      </c>
    </row>
    <row r="2" spans="1:33" x14ac:dyDescent="0.25">
      <c r="A2" s="1"/>
      <c r="I2" s="1" t="s">
        <v>16</v>
      </c>
      <c r="Q2" s="1"/>
    </row>
    <row r="3" spans="1:33" x14ac:dyDescent="0.25">
      <c r="A3" s="1" t="s">
        <v>134</v>
      </c>
      <c r="I3" s="1" t="s">
        <v>18</v>
      </c>
      <c r="Q3" s="16" t="s">
        <v>12</v>
      </c>
    </row>
    <row ht="15.75" r="4" spans="1:3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80">
        <v>0</v>
      </c>
      <c r="K5" s="80">
        <v>1</v>
      </c>
      <c r="L5" s="80">
        <v>2</v>
      </c>
      <c r="M5" s="80">
        <v>3</v>
      </c>
      <c r="N5" s="80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74" t="s">
        <v>167</v>
      </c>
      <c r="B6" s="4" t="n">
        <v>2585.1775</v>
      </c>
      <c r="C6" s="4" t="n">
        <v>22385.9341</v>
      </c>
      <c r="D6" s="4" t="n">
        <v>24798.5071</v>
      </c>
      <c r="E6" s="4" t="n">
        <v>6848.2467</v>
      </c>
      <c r="F6" s="4" t="n">
        <v>5041.6834</v>
      </c>
      <c r="G6" s="4">
        <f>SUM(B6:F6)</f>
        <v>61659.548799999997</v>
      </c>
      <c r="I6" s="3" t="str">
        <f>$A$6</f>
        <v>Bellevue</v>
      </c>
      <c r="J6" s="4"/>
      <c r="K6" s="4"/>
      <c r="L6" s="4"/>
      <c r="M6" s="4"/>
      <c r="N6" s="4"/>
      <c r="O6" s="4">
        <f>SUM(J6:N6)</f>
        <v>0</v>
      </c>
      <c r="Q6" s="3" t="str">
        <f>$A$6</f>
        <v>Bellevue</v>
      </c>
      <c r="R6" s="20" t="n">
        <v>2684.0</v>
      </c>
      <c r="S6" s="22" t="n">
        <v>16286.0</v>
      </c>
      <c r="T6" s="24" t="n">
        <v>27220.0</v>
      </c>
      <c r="U6" s="26" t="n">
        <v>11266.0</v>
      </c>
      <c r="V6" s="28" t="n">
        <v>4784.0</v>
      </c>
      <c r="W6" s="4">
        <f>SUM(R6:V6)</f>
        <v>60466</v>
      </c>
    </row>
    <row r="7" spans="1:33" x14ac:dyDescent="0.25">
      <c r="A7" s="75" t="s">
        <v>168</v>
      </c>
      <c r="B7" s="4" t="n">
        <v>1521.9092</v>
      </c>
      <c r="C7" s="4" t="n">
        <v>3017.3962</v>
      </c>
      <c r="D7" s="4" t="n">
        <v>819.8301</v>
      </c>
      <c r="E7" s="4" t="n">
        <v>262.1739</v>
      </c>
      <c r="F7" s="4" t="n">
        <v>0.0</v>
      </c>
      <c r="G7" s="4">
        <f ref="G7:G12" si="0" t="shared">SUM(B7:F7)</f>
        <v>5621.3094000000001</v>
      </c>
      <c r="I7" s="3" t="str">
        <f>$A$7</f>
        <v>Bellevue Downtown</v>
      </c>
      <c r="J7" s="81"/>
      <c r="K7" s="81"/>
      <c r="L7" s="81"/>
      <c r="M7" s="81"/>
      <c r="N7" s="81"/>
      <c r="O7" s="4">
        <f ref="O7:O11" si="1" t="shared">SUM(J7:N7)</f>
        <v>0</v>
      </c>
      <c r="Q7" s="3" t="str">
        <f>$A$7</f>
        <v>Bellevue Downtown</v>
      </c>
      <c r="R7" s="21" t="n">
        <v>2389.0</v>
      </c>
      <c r="S7" s="23" t="n">
        <v>4113.0</v>
      </c>
      <c r="T7" s="25" t="n">
        <v>1767.0</v>
      </c>
      <c r="U7" s="27" t="n">
        <v>574.0</v>
      </c>
      <c r="V7" s="29" t="n">
        <v>202.0</v>
      </c>
      <c r="W7" s="4">
        <f ref="W7:W12" si="2" t="shared">SUM(R7:V7)</f>
        <v>5960</v>
      </c>
    </row>
    <row r="8" spans="1:33" x14ac:dyDescent="0.25">
      <c r="A8" s="75" t="s">
        <v>169</v>
      </c>
      <c r="B8" s="4" t="n">
        <v>1916.9188000000001</v>
      </c>
      <c r="C8" s="4" t="n">
        <v>16584.2121</v>
      </c>
      <c r="D8" s="4" t="n">
        <v>24943.144</v>
      </c>
      <c r="E8" s="4" t="n">
        <v>8362.5318</v>
      </c>
      <c r="F8" s="4" t="n">
        <v>2762.8184</v>
      </c>
      <c r="G8" s="4">
        <f si="0" t="shared"/>
        <v>54569.625100000005</v>
      </c>
      <c r="I8" s="3" t="str">
        <f>$A$8</f>
        <v>Kirkland</v>
      </c>
      <c r="J8" s="81"/>
      <c r="K8" s="81"/>
      <c r="L8" s="81"/>
      <c r="M8" s="81"/>
      <c r="N8" s="81"/>
      <c r="O8" s="4">
        <f si="1" t="shared"/>
        <v>0</v>
      </c>
      <c r="Q8" s="3" t="str">
        <f>$A$8</f>
        <v>Kirkland</v>
      </c>
      <c r="R8" s="69" t="n">
        <v>2776.0</v>
      </c>
      <c r="S8" s="69" t="n">
        <v>18195.0</v>
      </c>
      <c r="T8" s="69" t="n">
        <v>24841.0</v>
      </c>
      <c r="U8" s="69" t="n">
        <v>9777.0</v>
      </c>
      <c r="V8" s="69" t="n">
        <v>4167.0</v>
      </c>
      <c r="W8" s="4">
        <f si="2" t="shared"/>
        <v>56775</v>
      </c>
    </row>
    <row r="9" spans="1:33" x14ac:dyDescent="0.25">
      <c r="A9" s="75" t="s">
        <v>170</v>
      </c>
      <c r="B9" s="15" t="n">
        <v>2169.7572999999998</v>
      </c>
      <c r="C9" s="15" t="n">
        <v>16798.0605</v>
      </c>
      <c r="D9" s="15" t="n">
        <v>18846.1314</v>
      </c>
      <c r="E9" s="15" t="n">
        <v>7285.3387</v>
      </c>
      <c r="F9" s="15" t="n">
        <v>3255.1835</v>
      </c>
      <c r="G9" s="15">
        <f si="0" t="shared"/>
        <v>48354.471400000002</v>
      </c>
      <c r="I9" s="3" t="str">
        <f>$A$9</f>
        <v>Redmond</v>
      </c>
      <c r="J9" s="81"/>
      <c r="K9" s="81"/>
      <c r="L9" s="81"/>
      <c r="M9" s="81"/>
      <c r="N9" s="81"/>
      <c r="O9" s="4">
        <f si="1" t="shared"/>
        <v>0</v>
      </c>
      <c r="Q9" s="3" t="str">
        <f>$A$9</f>
        <v>Redmond</v>
      </c>
      <c r="R9" s="69" t="n">
        <v>1759.0</v>
      </c>
      <c r="S9" s="69" t="n">
        <v>12401.0</v>
      </c>
      <c r="T9" s="69" t="n">
        <v>19644.0</v>
      </c>
      <c r="U9" s="69" t="n">
        <v>8156.0</v>
      </c>
      <c r="V9" s="69" t="n">
        <v>3451.0</v>
      </c>
      <c r="W9" s="4">
        <f si="2" t="shared"/>
        <v>43203</v>
      </c>
    </row>
    <row r="10" spans="1:33" x14ac:dyDescent="0.25">
      <c r="A10" s="75" t="s">
        <v>166</v>
      </c>
      <c r="B10" s="15" t="n">
        <v>45634.5796</v>
      </c>
      <c r="C10" s="15" t="n">
        <v>125976.8301</v>
      </c>
      <c r="D10" s="15" t="n">
        <v>97789.8361</v>
      </c>
      <c r="E10" s="15" t="n">
        <v>26257.6648</v>
      </c>
      <c r="F10" s="15" t="n">
        <v>10441.2437</v>
      </c>
      <c r="G10" s="15">
        <f si="0" t="shared"/>
        <v>306100.15430000005</v>
      </c>
      <c r="I10" s="3" t="str">
        <f>$A$10</f>
        <v>Seattle</v>
      </c>
      <c r="J10" s="81"/>
      <c r="K10" s="81"/>
      <c r="L10" s="81"/>
      <c r="M10" s="81"/>
      <c r="N10" s="81"/>
      <c r="O10" s="4">
        <f si="1" t="shared"/>
        <v>0</v>
      </c>
      <c r="Q10" s="3" t="str">
        <f>$A$10</f>
        <v>Seattle</v>
      </c>
      <c r="R10" s="69" t="n">
        <v>35469.0</v>
      </c>
      <c r="S10" s="69" t="n">
        <v>118206.0</v>
      </c>
      <c r="T10" s="69" t="n">
        <v>106220.0</v>
      </c>
      <c r="U10" s="69" t="n">
        <v>36556.0</v>
      </c>
      <c r="V10" s="69" t="n">
        <v>15225.0</v>
      </c>
      <c r="W10" s="4">
        <f si="2" t="shared"/>
        <v>287556.00000000006</v>
      </c>
    </row>
    <row r="11" spans="1:33" x14ac:dyDescent="0.25">
      <c r="A11" s="75" t="s">
        <v>171</v>
      </c>
      <c r="B11" s="15" t="n">
        <v>18050.276</v>
      </c>
      <c r="C11" s="15" t="n">
        <v>19068.5606</v>
      </c>
      <c r="D11" s="15" t="n">
        <v>3223.8574</v>
      </c>
      <c r="E11" s="15" t="n">
        <v>323.9387</v>
      </c>
      <c r="F11" s="15" t="n">
        <v>128.9933</v>
      </c>
      <c r="G11" s="15">
        <f si="0" t="shared"/>
        <v>40795.626000000004</v>
      </c>
      <c r="I11" s="14" t="str">
        <f>$A$11</f>
        <v>Seattle Downtown</v>
      </c>
      <c r="J11" s="81"/>
      <c r="K11" s="81"/>
      <c r="L11" s="81"/>
      <c r="M11" s="81"/>
      <c r="N11" s="81"/>
      <c r="O11" s="15">
        <f si="1" t="shared"/>
        <v>0</v>
      </c>
      <c r="Q11" s="14" t="str">
        <f>$A$11</f>
        <v>Seattle Downtown</v>
      </c>
      <c r="R11" s="71" t="n">
        <v>18207.0</v>
      </c>
      <c r="S11" s="71" t="n">
        <v>23358.0</v>
      </c>
      <c r="T11" s="71" t="n">
        <v>7962.0</v>
      </c>
      <c r="U11" s="71" t="n">
        <v>2213.0</v>
      </c>
      <c r="V11" s="71" t="n">
        <v>887.0</v>
      </c>
      <c r="W11" s="15">
        <f si="2" t="shared"/>
        <v>39981</v>
      </c>
    </row>
    <row r="12" spans="1:33" x14ac:dyDescent="0.25">
      <c r="A12" s="75" t="s">
        <v>172</v>
      </c>
      <c r="B12" s="15" t="n">
        <v>57260.516</v>
      </c>
      <c r="C12" s="15" t="n">
        <v>297867.0314</v>
      </c>
      <c r="D12" s="15" t="n">
        <v>399975.4387</v>
      </c>
      <c r="E12" s="15" t="n">
        <v>169678.3299</v>
      </c>
      <c r="F12" s="15" t="n">
        <v>88436.9112</v>
      </c>
      <c r="G12" s="15">
        <f si="0" t="shared"/>
        <v>1013218.2272</v>
      </c>
      <c r="I12" s="14" t="str">
        <f>$A$12</f>
        <v>Rest</v>
      </c>
      <c r="J12" s="81"/>
      <c r="K12" s="81"/>
      <c r="L12" s="81"/>
      <c r="M12" s="81"/>
      <c r="N12" s="81"/>
      <c r="O12" s="15">
        <f>SUM(J12:N12)</f>
        <v>0</v>
      </c>
      <c r="Q12" s="14" t="str">
        <f>$A$12</f>
        <v>Rest</v>
      </c>
      <c r="R12" s="15" t="n">
        <v>50032.0</v>
      </c>
      <c r="S12" s="15" t="n">
        <v>315239.0</v>
      </c>
      <c r="T12" s="15" t="n">
        <v>437496.0</v>
      </c>
      <c r="U12" s="15" t="n">
        <v>182340.0</v>
      </c>
      <c r="V12" s="15" t="n">
        <v>80494.0</v>
      </c>
      <c r="W12" s="15">
        <f si="2" t="shared"/>
        <v>1012758</v>
      </c>
    </row>
    <row ht="15.75" r="13" spans="1:33" thickBot="1" x14ac:dyDescent="0.3">
      <c r="A13" s="7" t="s">
        <v>4</v>
      </c>
      <c r="B13" s="8">
        <f>SUM(B6:B12)</f>
        <v>129139.1344</v>
      </c>
      <c r="C13" s="8">
        <f ref="C13:G13" si="3" t="shared">SUM(C6:C12)</f>
        <v>501698.02500000002</v>
      </c>
      <c r="D13" s="8">
        <f si="3" t="shared"/>
        <v>570396.74479999999</v>
      </c>
      <c r="E13" s="8">
        <f si="3" t="shared"/>
        <v>219018.22450000001</v>
      </c>
      <c r="F13" s="8">
        <f si="3" t="shared"/>
        <v>110066.83350000001</v>
      </c>
      <c r="G13" s="8">
        <f si="3" t="shared"/>
        <v>1530318.9622</v>
      </c>
      <c r="I13" s="7" t="str">
        <f>$A$13</f>
        <v>Total</v>
      </c>
      <c r="J13" s="8">
        <f>SUM(J6:J12)</f>
        <v>0</v>
      </c>
      <c r="K13" s="8">
        <f ref="K13:O13" si="4" t="shared">SUM(K6:K12)</f>
        <v>0</v>
      </c>
      <c r="L13" s="8">
        <f si="4" t="shared"/>
        <v>0</v>
      </c>
      <c r="M13" s="8">
        <f si="4" t="shared"/>
        <v>0</v>
      </c>
      <c r="N13" s="8">
        <f si="4" t="shared"/>
        <v>0</v>
      </c>
      <c r="O13" s="8">
        <f si="4" t="shared"/>
        <v>0</v>
      </c>
      <c r="Q13" s="7" t="str">
        <f>$A$13</f>
        <v>Total</v>
      </c>
      <c r="R13" s="8">
        <f>SUM(R6:R12)</f>
        <v>109955.69254553909</v>
      </c>
      <c r="S13" s="8">
        <f ref="S13:W13" si="5" t="shared">SUM(S6:S12)</f>
        <v>477123.61063724017</v>
      </c>
      <c r="T13" s="8">
        <f si="5" t="shared"/>
        <v>568613.16065976233</v>
      </c>
      <c r="U13" s="8">
        <f si="5" t="shared"/>
        <v>242214.2820788495</v>
      </c>
      <c r="V13" s="8">
        <f si="5" t="shared"/>
        <v>108792.25407860904</v>
      </c>
      <c r="W13" s="8">
        <f si="5" t="shared"/>
        <v>1506699</v>
      </c>
    </row>
    <row r="16" spans="1:33" x14ac:dyDescent="0.25">
      <c r="A16" s="1" t="s">
        <v>135</v>
      </c>
      <c r="I16" s="1" t="s">
        <v>19</v>
      </c>
      <c r="Q16" s="16" t="s">
        <v>12</v>
      </c>
      <c r="Y16" s="1" t="s">
        <v>23</v>
      </c>
      <c r="AG16" s="1" t="s">
        <v>17</v>
      </c>
    </row>
    <row ht="15.75" r="17" spans="1:39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 t="str">
        <f>$A$6</f>
        <v>Bellevue</v>
      </c>
      <c r="B19" s="4">
        <f>($W6/$G6)*B6</f>
        <v>2535.1360131101055</v>
      </c>
      <c r="C19" s="4">
        <f ref="C19:G19" si="6" t="shared">($W6/$G6)*C6</f>
        <v>21952.60778960809</v>
      </c>
      <c r="D19" s="4">
        <f si="6" t="shared"/>
        <v>24318.480421780187</v>
      </c>
      <c r="E19" s="4">
        <f si="6" t="shared"/>
        <v>6715.6846428658919</v>
      </c>
      <c r="F19" s="4">
        <f si="6" t="shared"/>
        <v>4944.0911326357291</v>
      </c>
      <c r="G19" s="4">
        <f si="6" t="shared"/>
        <v>60466</v>
      </c>
      <c r="I19" s="3" t="str">
        <f>$A$6</f>
        <v>Bellevue</v>
      </c>
      <c r="J19" s="4" t="e">
        <f>($W6/$O6)*J6</f>
        <v>#DIV/0!</v>
      </c>
      <c r="K19" s="4" t="e">
        <f ref="K19:O19" si="7" t="shared">($W6/$O6)*K6</f>
        <v>#DIV/0!</v>
      </c>
      <c r="L19" s="4" t="e">
        <f si="7" t="shared"/>
        <v>#DIV/0!</v>
      </c>
      <c r="M19" s="4" t="e">
        <f si="7" t="shared"/>
        <v>#DIV/0!</v>
      </c>
      <c r="N19" s="4" t="e">
        <f si="7" t="shared"/>
        <v>#DIV/0!</v>
      </c>
      <c r="O19" s="4" t="e">
        <f si="7" t="shared"/>
        <v>#DIV/0!</v>
      </c>
      <c r="Q19" s="3" t="str">
        <f>$A$6</f>
        <v>Bellevue</v>
      </c>
      <c r="R19" s="4">
        <f>R6</f>
        <v>2741.75</v>
      </c>
      <c r="S19" s="4">
        <f ref="S19:V19" si="8" t="shared">S6</f>
        <v>17036</v>
      </c>
      <c r="T19" s="4">
        <f si="8" t="shared"/>
        <v>24933.75</v>
      </c>
      <c r="U19" s="4">
        <f si="8" t="shared"/>
        <v>10994</v>
      </c>
      <c r="V19" s="4">
        <f si="8" t="shared"/>
        <v>4760.5</v>
      </c>
      <c r="W19" s="4">
        <f>SUM(R19:V19)</f>
        <v>60466</v>
      </c>
      <c r="Y19" s="3" t="str">
        <f>$A$6</f>
        <v>Bellevue</v>
      </c>
      <c r="Z19" s="4">
        <f>R19-B19</f>
        <v>206.61398688989448</v>
      </c>
      <c r="AA19" s="4">
        <f ref="AA19:AE26" si="9" t="shared">S19-C19</f>
        <v>-4916.6077896080897</v>
      </c>
      <c r="AB19" s="4">
        <f si="9" t="shared"/>
        <v>615.26957821981341</v>
      </c>
      <c r="AC19" s="4">
        <f si="9" t="shared"/>
        <v>4278.3153571341081</v>
      </c>
      <c r="AD19" s="4">
        <f si="9" t="shared"/>
        <v>-183.59113263572908</v>
      </c>
      <c r="AE19" s="4">
        <f si="9" t="shared"/>
        <v>0</v>
      </c>
      <c r="AG19" s="3" t="str">
        <f>$A$6</f>
        <v>Bellevue</v>
      </c>
      <c r="AH19" s="17">
        <f>(R6-B19)/B19</f>
        <v>8.1500158500932021E-2</v>
      </c>
      <c r="AI19" s="17">
        <f ref="AI19:AM19" si="10" t="shared">(S6-C19)/C19</f>
        <v>-0.22396463494125332</v>
      </c>
      <c r="AJ19" s="17">
        <f si="10" t="shared"/>
        <v>2.5300494420233754E-2</v>
      </c>
      <c r="AK19" s="17">
        <f si="10" t="shared"/>
        <v>0.63706317146368474</v>
      </c>
      <c r="AL19" s="17">
        <f si="10" t="shared"/>
        <v>-3.7133444289457376E-2</v>
      </c>
      <c r="AM19" s="17">
        <f si="10" t="shared"/>
        <v>0</v>
      </c>
    </row>
    <row r="20" spans="1:39" x14ac:dyDescent="0.25">
      <c r="A20" s="3" t="str">
        <f>$A$7</f>
        <v>Bellevue Downtown</v>
      </c>
      <c r="B20" s="4">
        <f>($W7/$G7)*B7</f>
        <v>1613.6060455949996</v>
      </c>
      <c r="C20" s="4">
        <f ref="C20:G20" si="11" t="shared">($W7/$G7)*C7</f>
        <v>3199.1979221069028</v>
      </c>
      <c r="D20" s="4">
        <f si="11" t="shared"/>
        <v>869.2258419364</v>
      </c>
      <c r="E20" s="4">
        <f si="11" t="shared"/>
        <v>277.97019036169758</v>
      </c>
      <c r="F20" s="4">
        <f si="11" t="shared"/>
        <v>0</v>
      </c>
      <c r="G20" s="4">
        <f si="11" t="shared"/>
        <v>5960</v>
      </c>
      <c r="I20" s="3" t="str">
        <f>$A$7</f>
        <v>Bellevue Downtown</v>
      </c>
      <c r="J20" s="4" t="e">
        <f ref="J20:O20" si="12" t="shared">($W7/$O7)*J7</f>
        <v>#DIV/0!</v>
      </c>
      <c r="K20" s="4" t="e">
        <f si="12" t="shared"/>
        <v>#DIV/0!</v>
      </c>
      <c r="L20" s="4" t="e">
        <f si="12" t="shared"/>
        <v>#DIV/0!</v>
      </c>
      <c r="M20" s="4" t="e">
        <f si="12" t="shared"/>
        <v>#DIV/0!</v>
      </c>
      <c r="N20" s="4" t="e">
        <f si="12" t="shared"/>
        <v>#DIV/0!</v>
      </c>
      <c r="O20" s="4" t="e">
        <f si="12" t="shared"/>
        <v>#DIV/0!</v>
      </c>
      <c r="Q20" s="3" t="str">
        <f>$A$7</f>
        <v>Bellevue Downtown</v>
      </c>
      <c r="R20" s="4">
        <f ref="R20:V20" si="13" t="shared">R7</f>
        <v>1448</v>
      </c>
      <c r="S20" s="4">
        <f si="13" t="shared"/>
        <v>2773.25</v>
      </c>
      <c r="T20" s="4">
        <f si="13" t="shared"/>
        <v>1217.5</v>
      </c>
      <c r="U20" s="4">
        <f si="13" t="shared"/>
        <v>383.25</v>
      </c>
      <c r="V20" s="4">
        <f si="13" t="shared"/>
        <v>138</v>
      </c>
      <c r="W20" s="4">
        <f ref="W20:W24" si="14" t="shared">SUM(R20:V20)</f>
        <v>5960</v>
      </c>
      <c r="Y20" s="3" t="str">
        <f>$A$7</f>
        <v>Bellevue Downtown</v>
      </c>
      <c r="Z20" s="4">
        <f ref="Z20:Z26" si="15" t="shared">R20-B20</f>
        <v>-165.60604559499961</v>
      </c>
      <c r="AA20" s="4">
        <f si="9" t="shared"/>
        <v>-425.94792210690275</v>
      </c>
      <c r="AB20" s="4">
        <f si="9" t="shared"/>
        <v>348.2741580636</v>
      </c>
      <c r="AC20" s="4">
        <f si="9" t="shared"/>
        <v>105.27980963830242</v>
      </c>
      <c r="AD20" s="4">
        <f si="9" t="shared"/>
        <v>138</v>
      </c>
      <c r="AE20" s="4">
        <f si="9" t="shared"/>
        <v>0</v>
      </c>
      <c r="AG20" s="3" t="str">
        <f>$A$7</f>
        <v>Bellevue Downtown</v>
      </c>
      <c r="AH20" s="17">
        <f ref="AH20:AH26" si="16" t="shared">(R7-B20)/B20</f>
        <v>-0.10263102697655932</v>
      </c>
      <c r="AI20" s="17">
        <f ref="AI20:AI26" si="17" t="shared">(S7-C20)/C20</f>
        <v>-0.13314209763751825</v>
      </c>
      <c r="AJ20" s="17">
        <f ref="AJ20:AJ26" si="18" t="shared">(T7-D20)/D20</f>
        <v>0.40067165661773169</v>
      </c>
      <c r="AK20" s="17">
        <f ref="AK20:AK26" si="19" t="shared">(U7-E20)/E20</f>
        <v>0.37874496362833471</v>
      </c>
      <c r="AL20" s="17" t="e">
        <f ref="AL20:AL26" si="20" t="shared">(V7-F20)/F20</f>
        <v>#DIV/0!</v>
      </c>
      <c r="AM20" s="17">
        <f ref="AM20:AM26" si="21" t="shared">(W7-G20)/G20</f>
        <v>0</v>
      </c>
    </row>
    <row r="21" spans="1:39" x14ac:dyDescent="0.25">
      <c r="A21" s="3" t="str">
        <f>$A$8</f>
        <v>Kirkland</v>
      </c>
      <c r="B21" s="4">
        <f ref="B21:F21" si="22" t="shared">($W8/$G8)*B8</f>
        <v>1994.3890886287213</v>
      </c>
      <c r="C21" s="4">
        <f si="22" t="shared"/>
        <v>17254.445861631913</v>
      </c>
      <c r="D21" s="4">
        <f si="22" t="shared"/>
        <v>25951.195339987775</v>
      </c>
      <c r="E21" s="4">
        <f si="22" t="shared"/>
        <v>8700.4948645872228</v>
      </c>
      <c r="F21" s="4">
        <f si="22" t="shared"/>
        <v>2874.4748451643659</v>
      </c>
      <c r="G21" s="4">
        <f ref="G21" si="23" t="shared">($W8/$G8)*G8</f>
        <v>56775</v>
      </c>
      <c r="I21" s="3" t="str">
        <f>$A$8</f>
        <v>Kirkland</v>
      </c>
      <c r="J21" s="4" t="e">
        <f ref="J21:O21" si="24" t="shared">($W8/$O8)*J8</f>
        <v>#DIV/0!</v>
      </c>
      <c r="K21" s="4" t="e">
        <f si="24" t="shared"/>
        <v>#DIV/0!</v>
      </c>
      <c r="L21" s="4" t="e">
        <f si="24" t="shared"/>
        <v>#DIV/0!</v>
      </c>
      <c r="M21" s="4" t="e">
        <f si="24" t="shared"/>
        <v>#DIV/0!</v>
      </c>
      <c r="N21" s="4" t="e">
        <f si="24" t="shared"/>
        <v>#DIV/0!</v>
      </c>
      <c r="O21" s="4" t="e">
        <f si="24" t="shared"/>
        <v>#DIV/0!</v>
      </c>
      <c r="Q21" s="3" t="str">
        <f>$A$8</f>
        <v>Kirkland</v>
      </c>
      <c r="R21" s="4">
        <f ref="R21:V21" si="25" t="shared">R8</f>
        <v>3022.75</v>
      </c>
      <c r="S21" s="4">
        <f si="25" t="shared"/>
        <v>18080</v>
      </c>
      <c r="T21" s="4">
        <f si="25" t="shared"/>
        <v>22451.25</v>
      </c>
      <c r="U21" s="4">
        <f si="25" t="shared"/>
        <v>9322.5</v>
      </c>
      <c r="V21" s="4">
        <f si="25" t="shared"/>
        <v>3898.5</v>
      </c>
      <c r="W21" s="4">
        <f si="14" t="shared"/>
        <v>56775</v>
      </c>
      <c r="Y21" s="3" t="str">
        <f>$A$8</f>
        <v>Kirkland</v>
      </c>
      <c r="Z21" s="4">
        <f si="15" t="shared"/>
        <v>1028.3609113712787</v>
      </c>
      <c r="AA21" s="4">
        <f si="9" t="shared"/>
        <v>825.55413836808657</v>
      </c>
      <c r="AB21" s="4">
        <f si="9" t="shared"/>
        <v>-3499.9453399877748</v>
      </c>
      <c r="AC21" s="4">
        <f si="9" t="shared"/>
        <v>622.00513541277724</v>
      </c>
      <c r="AD21" s="4">
        <f si="9" t="shared"/>
        <v>1024.0251548356341</v>
      </c>
      <c r="AE21" s="4">
        <f si="9" t="shared"/>
        <v>0</v>
      </c>
      <c r="AG21" s="3" t="str">
        <f>$A$8</f>
        <v>Kirkland</v>
      </c>
      <c r="AH21" s="17">
        <f si="16" t="shared"/>
        <v>0.51562702445306052</v>
      </c>
      <c r="AI21" s="17">
        <f si="17" t="shared"/>
        <v>4.7845879548287402E-2</v>
      </c>
      <c r="AJ21" s="17">
        <f si="18" t="shared"/>
        <v>-0.13486644041381654</v>
      </c>
      <c r="AK21" s="17">
        <f si="19" t="shared"/>
        <v>7.1490776684952045E-2</v>
      </c>
      <c r="AL21" s="17">
        <f si="20" t="shared"/>
        <v>0.35624773567189771</v>
      </c>
      <c r="AM21" s="17">
        <f si="21" t="shared"/>
        <v>0</v>
      </c>
    </row>
    <row r="22" spans="1:39" x14ac:dyDescent="0.25">
      <c r="A22" s="3" t="str">
        <f>$A$9</f>
        <v>Redmond</v>
      </c>
      <c r="B22" s="4">
        <f ref="B22:G22" si="26" t="shared">($W9/$G9)*B9</f>
        <v>1938.6009590811075</v>
      </c>
      <c r="C22" s="4">
        <f si="26" t="shared"/>
        <v>15008.469470757154</v>
      </c>
      <c r="D22" s="4">
        <f si="26" t="shared"/>
        <v>16838.347960395651</v>
      </c>
      <c r="E22" s="4">
        <f si="26" t="shared"/>
        <v>6509.1909546983479</v>
      </c>
      <c r="F22" s="4">
        <f si="26" t="shared"/>
        <v>2908.3906550677334</v>
      </c>
      <c r="G22" s="4">
        <f si="26" t="shared"/>
        <v>43203</v>
      </c>
      <c r="I22" s="3" t="str">
        <f>$A$9</f>
        <v>Redmond</v>
      </c>
      <c r="J22" s="4" t="e">
        <f ref="J22:O22" si="27" t="shared">($W9/$O9)*J9</f>
        <v>#DIV/0!</v>
      </c>
      <c r="K22" s="4" t="e">
        <f si="27" t="shared"/>
        <v>#DIV/0!</v>
      </c>
      <c r="L22" s="4" t="e">
        <f si="27" t="shared"/>
        <v>#DIV/0!</v>
      </c>
      <c r="M22" s="4" t="e">
        <f si="27" t="shared"/>
        <v>#DIV/0!</v>
      </c>
      <c r="N22" s="4" t="e">
        <f si="27" t="shared"/>
        <v>#DIV/0!</v>
      </c>
      <c r="O22" s="4" t="e">
        <f si="27" t="shared"/>
        <v>#DIV/0!</v>
      </c>
      <c r="Q22" s="3" t="str">
        <f>$A$9</f>
        <v>Redmond</v>
      </c>
      <c r="R22" s="4">
        <f ref="R22:V22" si="28" t="shared">R9</f>
        <v>1639.75</v>
      </c>
      <c r="S22" s="4">
        <f si="28" t="shared"/>
        <v>11796.75</v>
      </c>
      <c r="T22" s="4">
        <f si="28" t="shared"/>
        <v>17852.5</v>
      </c>
      <c r="U22" s="4">
        <f si="28" t="shared"/>
        <v>8384.5</v>
      </c>
      <c r="V22" s="4">
        <f si="28" t="shared"/>
        <v>3529.5</v>
      </c>
      <c r="W22" s="4">
        <f si="14" t="shared"/>
        <v>43203</v>
      </c>
      <c r="Y22" s="3" t="str">
        <f>$A$9</f>
        <v>Redmond</v>
      </c>
      <c r="Z22" s="4">
        <f si="15" t="shared"/>
        <v>-298.85095908110748</v>
      </c>
      <c r="AA22" s="4">
        <f si="9" t="shared"/>
        <v>-3211.7194707571543</v>
      </c>
      <c r="AB22" s="4">
        <f si="9" t="shared"/>
        <v>1014.1520396043488</v>
      </c>
      <c r="AC22" s="4">
        <f si="9" t="shared"/>
        <v>1875.3090453016521</v>
      </c>
      <c r="AD22" s="4">
        <f si="9" t="shared"/>
        <v>621.10934493226659</v>
      </c>
      <c r="AE22" s="4">
        <f si="9" t="shared"/>
        <v>0</v>
      </c>
      <c r="AG22" s="3" t="str">
        <f>$A$9</f>
        <v>Redmond</v>
      </c>
      <c r="AH22" s="17">
        <f si="16" t="shared"/>
        <v>-0.15415805799599014</v>
      </c>
      <c r="AI22" s="17">
        <f si="17" t="shared"/>
        <v>-0.21399380376626292</v>
      </c>
      <c r="AJ22" s="17">
        <f si="18" t="shared"/>
        <v>6.0228713766318873E-2</v>
      </c>
      <c r="AK22" s="17">
        <f si="19" t="shared"/>
        <v>0.28810171008242585</v>
      </c>
      <c r="AL22" s="17">
        <f si="20" t="shared"/>
        <v>0.21355774330041011</v>
      </c>
      <c r="AM22" s="17">
        <f si="21" t="shared"/>
        <v>0</v>
      </c>
    </row>
    <row r="23" spans="1:39" x14ac:dyDescent="0.25">
      <c r="A23" s="14" t="str">
        <f>$A$10</f>
        <v>Seattle</v>
      </c>
      <c r="B23" s="15">
        <f ref="B23:G23" si="29" t="shared">($W10/$G10)*B10</f>
        <v>42869.946281035249</v>
      </c>
      <c r="C23" s="15">
        <f si="29" t="shared"/>
        <v>118344.90393863746</v>
      </c>
      <c r="D23" s="15">
        <f si="29" t="shared"/>
        <v>91865.533925905649</v>
      </c>
      <c r="E23" s="15">
        <f si="29" t="shared"/>
        <v>24666.923401249653</v>
      </c>
      <c r="F23" s="15">
        <f si="29" t="shared"/>
        <v>9808.6924531720178</v>
      </c>
      <c r="G23" s="15">
        <f si="29" t="shared"/>
        <v>287556.00000000006</v>
      </c>
      <c r="I23" s="3" t="str">
        <f>$A$10</f>
        <v>Seattle</v>
      </c>
      <c r="J23" s="4" t="e">
        <f ref="J23:O23" si="30" t="shared">($W10/$O10)*J10</f>
        <v>#DIV/0!</v>
      </c>
      <c r="K23" s="4" t="e">
        <f si="30" t="shared"/>
        <v>#DIV/0!</v>
      </c>
      <c r="L23" s="4" t="e">
        <f si="30" t="shared"/>
        <v>#DIV/0!</v>
      </c>
      <c r="M23" s="4" t="e">
        <f si="30" t="shared"/>
        <v>#DIV/0!</v>
      </c>
      <c r="N23" s="4" t="e">
        <f si="30" t="shared"/>
        <v>#DIV/0!</v>
      </c>
      <c r="O23" s="4" t="e">
        <f si="30" t="shared"/>
        <v>#DIV/0!</v>
      </c>
      <c r="Q23" s="3" t="str">
        <f>$A$10</f>
        <v>Seattle</v>
      </c>
      <c r="R23" s="4">
        <f ref="R23:V23" si="31" t="shared">R10</f>
        <v>34262.764133121134</v>
      </c>
      <c r="S23" s="4">
        <f si="31" t="shared"/>
        <v>110828.45774875161</v>
      </c>
      <c r="T23" s="4">
        <f si="31" t="shared"/>
        <v>94596.205477951138</v>
      </c>
      <c r="U23" s="4">
        <f si="31" t="shared"/>
        <v>33802.383316808897</v>
      </c>
      <c r="V23" s="4">
        <f si="31" t="shared"/>
        <v>14066.189323367254</v>
      </c>
      <c r="W23" s="4">
        <f si="14" t="shared"/>
        <v>287556.00000000006</v>
      </c>
      <c r="Y23" s="3" t="str">
        <f>$A$10</f>
        <v>Seattle</v>
      </c>
      <c r="Z23" s="4">
        <f si="15" t="shared"/>
        <v>-8607.1821479141145</v>
      </c>
      <c r="AA23" s="4">
        <f si="9" t="shared"/>
        <v>-7516.4461898858572</v>
      </c>
      <c r="AB23" s="4">
        <f si="9" t="shared"/>
        <v>2730.6715520454891</v>
      </c>
      <c r="AC23" s="4">
        <f si="9" t="shared"/>
        <v>9135.4599155592441</v>
      </c>
      <c r="AD23" s="4">
        <f si="9" t="shared"/>
        <v>4257.4968701952366</v>
      </c>
      <c r="AE23" s="4">
        <f si="9" t="shared"/>
        <v>0</v>
      </c>
      <c r="AG23" s="3" t="str">
        <f>$A$10</f>
        <v>Seattle</v>
      </c>
      <c r="AH23" s="17">
        <f si="16" t="shared"/>
        <v>-0.20077426949615162</v>
      </c>
      <c r="AI23" s="17">
        <f si="17" t="shared"/>
        <v>-6.351305328519409E-2</v>
      </c>
      <c r="AJ23" s="17">
        <f si="18" t="shared"/>
        <v>2.9724657718180992E-2</v>
      </c>
      <c r="AK23" s="17">
        <f si="19" t="shared"/>
        <v>0.3703526283742557</v>
      </c>
      <c r="AL23" s="17">
        <f si="20" t="shared"/>
        <v>0.43405345722899197</v>
      </c>
      <c r="AM23" s="17">
        <f si="21" t="shared"/>
        <v>0</v>
      </c>
    </row>
    <row r="24" spans="1:39" x14ac:dyDescent="0.25">
      <c r="A24" s="14" t="str">
        <f>$A$11</f>
        <v>Seattle Downtown</v>
      </c>
      <c r="B24" s="15">
        <f ref="B24:G25" si="32" t="shared">($W11/$G11)*B11</f>
        <v>17689.839708698182</v>
      </c>
      <c r="C24" s="15">
        <f si="32" t="shared"/>
        <v>18687.790729050215</v>
      </c>
      <c r="D24" s="15">
        <f si="32" t="shared"/>
        <v>3159.4819187086377</v>
      </c>
      <c r="E24" s="15">
        <f si="32" t="shared"/>
        <v>317.47014164459682</v>
      </c>
      <c r="F24" s="15">
        <f si="32" t="shared"/>
        <v>126.41750189836527</v>
      </c>
      <c r="G24" s="15">
        <f si="32" t="shared"/>
        <v>39981</v>
      </c>
      <c r="I24" s="14" t="str">
        <f>$A$11</f>
        <v>Seattle Downtown</v>
      </c>
      <c r="J24" s="15" t="e">
        <f ref="J24:O24" si="33" t="shared">($W11/$O11)*J11</f>
        <v>#DIV/0!</v>
      </c>
      <c r="K24" s="15" t="e">
        <f si="33" t="shared"/>
        <v>#DIV/0!</v>
      </c>
      <c r="L24" s="15" t="e">
        <f si="33" t="shared"/>
        <v>#DIV/0!</v>
      </c>
      <c r="M24" s="15" t="e">
        <f si="33" t="shared"/>
        <v>#DIV/0!</v>
      </c>
      <c r="N24" s="15" t="e">
        <f si="33" t="shared"/>
        <v>#DIV/0!</v>
      </c>
      <c r="O24" s="15" t="e">
        <f si="33" t="shared"/>
        <v>#DIV/0!</v>
      </c>
      <c r="Q24" s="14" t="str">
        <f>$A$11</f>
        <v>Seattle Downtown</v>
      </c>
      <c r="R24" s="15">
        <f ref="R24:V25" si="34" t="shared">R11</f>
        <v>14798.079406187349</v>
      </c>
      <c r="S24" s="15">
        <f si="34" t="shared"/>
        <v>17377.035739010134</v>
      </c>
      <c r="T24" s="15">
        <f si="34" t="shared"/>
        <v>5541.077426997268</v>
      </c>
      <c r="U24" s="15">
        <f si="34" t="shared"/>
        <v>1664.1598356506331</v>
      </c>
      <c r="V24" s="15">
        <f si="34" t="shared"/>
        <v>600.64759215461845</v>
      </c>
      <c r="W24" s="15">
        <f si="14" t="shared"/>
        <v>39981</v>
      </c>
      <c r="Y24" s="14" t="str">
        <f>$A$11</f>
        <v>Seattle Downtown</v>
      </c>
      <c r="Z24" s="4">
        <f si="15" t="shared"/>
        <v>-2891.7603025108328</v>
      </c>
      <c r="AA24" s="4">
        <f si="9" t="shared"/>
        <v>-1310.7549900400809</v>
      </c>
      <c r="AB24" s="4">
        <f si="9" t="shared"/>
        <v>2381.5955082886303</v>
      </c>
      <c r="AC24" s="4">
        <f si="9" t="shared"/>
        <v>1346.6896940060362</v>
      </c>
      <c r="AD24" s="4">
        <f si="9" t="shared"/>
        <v>474.23009025625316</v>
      </c>
      <c r="AE24" s="4">
        <f si="9" t="shared"/>
        <v>0</v>
      </c>
      <c r="AG24" s="14" t="str">
        <f>$A$11</f>
        <v>Seattle Downtown</v>
      </c>
      <c r="AH24" s="17">
        <f si="16" t="shared"/>
        <v>-0.16347012466647393</v>
      </c>
      <c r="AI24" s="17">
        <f si="17" t="shared"/>
        <v>-7.0139644061965503E-2</v>
      </c>
      <c r="AJ24" s="17">
        <f si="18" t="shared"/>
        <v>0.75379304884961973</v>
      </c>
      <c r="AK24" s="17">
        <f si="19" t="shared"/>
        <v>4.2419412642390659</v>
      </c>
      <c r="AL24" s="17">
        <f si="20" t="shared"/>
        <v>3.7513009127289636</v>
      </c>
      <c r="AM24" s="17">
        <f si="21" t="shared"/>
        <v>0</v>
      </c>
    </row>
    <row r="25" spans="1:39" x14ac:dyDescent="0.25">
      <c r="A25" s="14" t="str">
        <f>$A$12</f>
        <v>Rest</v>
      </c>
      <c r="B25" s="15">
        <f si="32" t="shared"/>
        <v>57234.506946627502</v>
      </c>
      <c r="C25" s="15">
        <f si="32" t="shared"/>
        <v>297731.73329130688</v>
      </c>
      <c r="D25" s="15">
        <f si="32" t="shared"/>
        <v>399793.76058636169</v>
      </c>
      <c r="E25" s="15">
        <f si="32" t="shared"/>
        <v>169601.25807028534</v>
      </c>
      <c r="F25" s="15">
        <f si="32" t="shared"/>
        <v>88396.741105418609</v>
      </c>
      <c r="G25" s="15">
        <f si="32" t="shared"/>
        <v>1012758</v>
      </c>
      <c r="I25" s="14" t="str">
        <f>$A$12</f>
        <v>Rest</v>
      </c>
      <c r="J25" s="15" t="e">
        <f ref="J25:O26" si="35" t="shared">($W12/$O12)*J12</f>
        <v>#DIV/0!</v>
      </c>
      <c r="K25" s="15" t="e">
        <f si="35" t="shared"/>
        <v>#DIV/0!</v>
      </c>
      <c r="L25" s="15" t="e">
        <f si="35" t="shared"/>
        <v>#DIV/0!</v>
      </c>
      <c r="M25" s="15" t="e">
        <f si="35" t="shared"/>
        <v>#DIV/0!</v>
      </c>
      <c r="N25" s="15" t="e">
        <f si="35" t="shared"/>
        <v>#DIV/0!</v>
      </c>
      <c r="O25" s="15" t="e">
        <f si="35" t="shared"/>
        <v>#DIV/0!</v>
      </c>
      <c r="Q25" s="14" t="str">
        <f>$A$12</f>
        <v>Rest</v>
      </c>
      <c r="R25" s="15">
        <f si="34" t="shared"/>
        <v>52042.599006230615</v>
      </c>
      <c r="S25" s="15">
        <f si="34" t="shared"/>
        <v>299232.11714947841</v>
      </c>
      <c r="T25" s="15">
        <f si="34" t="shared"/>
        <v>402020.87775481388</v>
      </c>
      <c r="U25" s="15">
        <f si="34" t="shared"/>
        <v>177663.48892638998</v>
      </c>
      <c r="V25" s="15">
        <f si="34" t="shared"/>
        <v>81798.917163087172</v>
      </c>
      <c r="W25" s="15">
        <f ref="W25" si="36" t="shared">SUM(R25:V25)</f>
        <v>1012758</v>
      </c>
      <c r="Y25" s="14" t="str">
        <f>Q25</f>
        <v>Rest</v>
      </c>
      <c r="Z25" s="4">
        <f ref="Z25" si="37" t="shared">R25-B25</f>
        <v>-5191.9079403968863</v>
      </c>
      <c r="AA25" s="4">
        <f ref="AA25" si="38" t="shared">S25-C25</f>
        <v>1500.3838581715245</v>
      </c>
      <c r="AB25" s="4">
        <f ref="AB25" si="39" t="shared">T25-D25</f>
        <v>2227.1171684521833</v>
      </c>
      <c r="AC25" s="4">
        <f ref="AC25" si="40" t="shared">U25-E25</f>
        <v>8062.2308561046375</v>
      </c>
      <c r="AD25" s="4">
        <f ref="AD25" si="41" t="shared">V25-F25</f>
        <v>-6597.8239423314371</v>
      </c>
      <c r="AE25" s="4">
        <f ref="AE25" si="42" t="shared">W25-G25</f>
        <v>0</v>
      </c>
      <c r="AG25" s="14" t="str">
        <f>Y25</f>
        <v>Rest</v>
      </c>
      <c r="AH25" s="17">
        <f ref="AH25" si="43" t="shared">(R12-B25)/B25</f>
        <v>-9.0712897120586014E-2</v>
      </c>
      <c r="AI25" s="17">
        <f ref="AI25" si="44" t="shared">(S12-C25)/C25</f>
        <v>5.039381733298539E-3</v>
      </c>
      <c r="AJ25" s="17">
        <f ref="AJ25" si="45" t="shared">(T12-D25)/D25</f>
        <v>5.5706651479146612E-3</v>
      </c>
      <c r="AK25" s="17">
        <f ref="AK25" si="46" t="shared">(U12-E25)/E25</f>
        <v>4.7536385919752587E-2</v>
      </c>
      <c r="AL25" s="17">
        <f ref="AL25" si="47" t="shared">(V12-F25)/F25</f>
        <v>-7.46387690295406E-2</v>
      </c>
      <c r="AM25" s="17">
        <f ref="AM25" si="48" t="shared">(W12-G25)/G25</f>
        <v>0</v>
      </c>
    </row>
    <row ht="15.75" r="26" spans="1:39" thickBot="1" x14ac:dyDescent="0.3">
      <c r="A26" s="7" t="str">
        <f>$A$13</f>
        <v>Total</v>
      </c>
      <c r="B26" s="8">
        <f ref="B26:G26" si="49" t="shared">($W13/$G13)*B13</f>
        <v>127145.91498077277</v>
      </c>
      <c r="C26" s="8">
        <f si="49" t="shared"/>
        <v>493954.4835037365</v>
      </c>
      <c r="D26" s="8">
        <f si="49" t="shared"/>
        <v>561592.86150248768</v>
      </c>
      <c r="E26" s="8">
        <f si="49" t="shared"/>
        <v>215637.75133618058</v>
      </c>
      <c r="F26" s="8">
        <f si="49" t="shared"/>
        <v>108367.98867682261</v>
      </c>
      <c r="G26" s="8">
        <f si="49" t="shared"/>
        <v>1506699</v>
      </c>
      <c r="I26" s="7" t="str">
        <f>$A$13</f>
        <v>Total</v>
      </c>
      <c r="J26" s="8" t="e">
        <f si="35" t="shared"/>
        <v>#DIV/0!</v>
      </c>
      <c r="K26" s="8" t="e">
        <f si="35" t="shared"/>
        <v>#DIV/0!</v>
      </c>
      <c r="L26" s="8" t="e">
        <f si="35" t="shared"/>
        <v>#DIV/0!</v>
      </c>
      <c r="M26" s="8" t="e">
        <f si="35" t="shared"/>
        <v>#DIV/0!</v>
      </c>
      <c r="N26" s="8" t="e">
        <f si="35" t="shared"/>
        <v>#DIV/0!</v>
      </c>
      <c r="O26" s="8" t="e">
        <f si="35" t="shared"/>
        <v>#DIV/0!</v>
      </c>
      <c r="Q26" s="7" t="str">
        <f>$A$13</f>
        <v>Total</v>
      </c>
      <c r="R26" s="8">
        <f>SUM(R19:R25)</f>
        <v>109955.69254553909</v>
      </c>
      <c r="S26" s="8">
        <f ref="S26:W26" si="50" t="shared">SUM(S19:S25)</f>
        <v>477123.61063724017</v>
      </c>
      <c r="T26" s="8">
        <f si="50" t="shared"/>
        <v>568613.16065976233</v>
      </c>
      <c r="U26" s="8">
        <f si="50" t="shared"/>
        <v>242214.2820788495</v>
      </c>
      <c r="V26" s="8">
        <f si="50" t="shared"/>
        <v>108792.25407860904</v>
      </c>
      <c r="W26" s="8">
        <f si="50" t="shared"/>
        <v>1506699</v>
      </c>
      <c r="Y26" s="7" t="str">
        <f>$A$13</f>
        <v>Total</v>
      </c>
      <c r="Z26" s="4">
        <f si="15" t="shared"/>
        <v>-17190.222435233678</v>
      </c>
      <c r="AA26" s="4">
        <f si="9" t="shared"/>
        <v>-16830.872866496327</v>
      </c>
      <c r="AB26" s="4">
        <f si="9" t="shared"/>
        <v>7020.2991572746541</v>
      </c>
      <c r="AC26" s="4">
        <f si="9" t="shared"/>
        <v>26576.530742668925</v>
      </c>
      <c r="AD26" s="4">
        <f si="9" t="shared"/>
        <v>424.26540178642608</v>
      </c>
      <c r="AE26" s="4">
        <f si="9" t="shared"/>
        <v>0</v>
      </c>
      <c r="AG26" s="7" t="str">
        <f>$A$13</f>
        <v>Total</v>
      </c>
      <c r="AH26" s="17">
        <f si="16" t="shared"/>
        <v>-0.13520074504818511</v>
      </c>
      <c r="AI26" s="17">
        <f si="17" t="shared"/>
        <v>-3.4073732355076415E-2</v>
      </c>
      <c r="AJ26" s="17">
        <f si="18" t="shared"/>
        <v>1.2500691583743638E-2</v>
      </c>
      <c r="AK26" s="17">
        <f si="19" t="shared"/>
        <v>0.12324618754364559</v>
      </c>
      <c r="AL26" s="17">
        <f si="20" t="shared"/>
        <v>3.9150436117410987E-3</v>
      </c>
      <c r="AM26" s="17">
        <f si="21" t="shared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135</v>
      </c>
      <c r="I29" s="1" t="s">
        <v>19</v>
      </c>
      <c r="Q29" s="16" t="s">
        <v>12</v>
      </c>
    </row>
    <row ht="15.75" r="30" spans="1:39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 t="str">
        <f>$A$6</f>
        <v>Bellevue</v>
      </c>
      <c r="B32" s="17">
        <f>B19/$G$26</f>
        <v>1.6825762896969505E-3</v>
      </c>
      <c r="C32" s="17">
        <f ref="C32:G32" si="51" t="shared">C19/$G$26</f>
        <v>1.4570002229780527E-2</v>
      </c>
      <c r="D32" s="17">
        <f si="51" t="shared"/>
        <v>1.6140237978375365E-2</v>
      </c>
      <c r="E32" s="17">
        <f si="51" t="shared"/>
        <v>4.4572171633922185E-3</v>
      </c>
      <c r="F32" s="17">
        <f si="51" t="shared"/>
        <v>3.2814059959127397E-3</v>
      </c>
      <c r="G32" s="17">
        <f si="51" t="shared"/>
        <v>4.0131439657157798E-2</v>
      </c>
      <c r="I32" s="3" t="str">
        <f>$A$6</f>
        <v>Bellevue</v>
      </c>
      <c r="J32" s="17" t="e">
        <f>J19/$O$26</f>
        <v>#DIV/0!</v>
      </c>
      <c r="K32" s="17" t="e">
        <f ref="K32:O32" si="52" t="shared">K19/$O$26</f>
        <v>#DIV/0!</v>
      </c>
      <c r="L32" s="17" t="e">
        <f si="52" t="shared"/>
        <v>#DIV/0!</v>
      </c>
      <c r="M32" s="17" t="e">
        <f si="52" t="shared"/>
        <v>#DIV/0!</v>
      </c>
      <c r="N32" s="17" t="e">
        <f si="52" t="shared"/>
        <v>#DIV/0!</v>
      </c>
      <c r="O32" s="17" t="e">
        <f si="52" t="shared"/>
        <v>#DIV/0!</v>
      </c>
      <c r="Q32" s="3" t="str">
        <f>$A$6</f>
        <v>Bellevue</v>
      </c>
      <c r="R32" s="17">
        <f>R6/$W$13</f>
        <v>1.819706523997162E-3</v>
      </c>
      <c r="S32" s="17">
        <f ref="S32:W32" si="53" t="shared">S6/$W$13</f>
        <v>1.1306836999294485E-2</v>
      </c>
      <c r="T32" s="17">
        <f si="53" t="shared"/>
        <v>1.6548593979288498E-2</v>
      </c>
      <c r="U32" s="17">
        <f si="53" t="shared"/>
        <v>7.296746065405234E-3</v>
      </c>
      <c r="V32" s="17">
        <f si="53" t="shared"/>
        <v>3.1595560891724225E-3</v>
      </c>
      <c r="W32" s="17">
        <f si="53" t="shared"/>
        <v>4.0131439657157798E-2</v>
      </c>
    </row>
    <row r="33" spans="1:23" x14ac:dyDescent="0.25">
      <c r="A33" s="3" t="str">
        <f>$A$7</f>
        <v>Bellevue Downtown</v>
      </c>
      <c r="B33" s="17">
        <f ref="B33:G39" si="54" t="shared">B20/$G$26</f>
        <v>1.0709544810177743E-3</v>
      </c>
      <c r="C33" s="17">
        <f si="54" t="shared"/>
        <v>2.1233158859910988E-3</v>
      </c>
      <c r="D33" s="17">
        <f si="54" t="shared"/>
        <v>5.7690742605948499E-4</v>
      </c>
      <c r="E33" s="17">
        <f si="54" t="shared"/>
        <v>1.8448953000015105E-4</v>
      </c>
      <c r="F33" s="17">
        <f si="54" t="shared"/>
        <v>0</v>
      </c>
      <c r="G33" s="17">
        <f si="54" t="shared"/>
        <v>3.955667323068509E-3</v>
      </c>
      <c r="I33" s="3" t="str">
        <f>$A$7</f>
        <v>Bellevue Downtown</v>
      </c>
      <c r="J33" s="17" t="e">
        <f ref="J33:O39" si="55" t="shared">J20/$O$26</f>
        <v>#DIV/0!</v>
      </c>
      <c r="K33" s="17" t="e">
        <f si="55" t="shared"/>
        <v>#DIV/0!</v>
      </c>
      <c r="L33" s="17" t="e">
        <f si="55" t="shared"/>
        <v>#DIV/0!</v>
      </c>
      <c r="M33" s="17" t="e">
        <f si="55" t="shared"/>
        <v>#DIV/0!</v>
      </c>
      <c r="N33" s="17" t="e">
        <f si="55" t="shared"/>
        <v>#DIV/0!</v>
      </c>
      <c r="O33" s="17" t="e">
        <f si="55" t="shared"/>
        <v>#DIV/0!</v>
      </c>
      <c r="Q33" s="3" t="str">
        <f>$A$7</f>
        <v>Bellevue Downtown</v>
      </c>
      <c r="R33" s="17">
        <f ref="R33:W39" si="56" t="shared">R7/$W$13</f>
        <v>9.6104132278577211E-4</v>
      </c>
      <c r="S33" s="17">
        <f si="56" t="shared"/>
        <v>1.8406131549831785E-3</v>
      </c>
      <c r="T33" s="17">
        <f si="56" t="shared"/>
        <v>8.080578801738104E-4</v>
      </c>
      <c r="U33" s="17">
        <f si="56" t="shared"/>
        <v>2.5436401032986682E-4</v>
      </c>
      <c r="V33" s="17">
        <f si="56" t="shared"/>
        <v>9.1590954795881595E-5</v>
      </c>
      <c r="W33" s="17">
        <f si="56" t="shared"/>
        <v>3.955667323068509E-3</v>
      </c>
    </row>
    <row r="34" spans="1:23" x14ac:dyDescent="0.25">
      <c r="A34" s="3" t="str">
        <f>$A$8</f>
        <v>Kirkland</v>
      </c>
      <c r="B34" s="17">
        <f si="54" t="shared"/>
        <v>1.3236811656666138E-3</v>
      </c>
      <c r="C34" s="17">
        <f si="54" t="shared"/>
        <v>1.1451820079280542E-2</v>
      </c>
      <c r="D34" s="17">
        <f si="54" t="shared"/>
        <v>1.7223875067274734E-2</v>
      </c>
      <c r="E34" s="17">
        <f si="54" t="shared"/>
        <v>5.7745408104652772E-3</v>
      </c>
      <c r="F34" s="17">
        <f si="54" t="shared"/>
        <v>1.9077963449662912E-3</v>
      </c>
      <c r="G34" s="17">
        <f si="54" t="shared"/>
        <v>3.7681713467653456E-2</v>
      </c>
      <c r="I34" s="3" t="str">
        <f>$A$8</f>
        <v>Kirkland</v>
      </c>
      <c r="J34" s="17" t="e">
        <f si="55" t="shared"/>
        <v>#DIV/0!</v>
      </c>
      <c r="K34" s="17" t="e">
        <f si="55" t="shared"/>
        <v>#DIV/0!</v>
      </c>
      <c r="L34" s="17" t="e">
        <f si="55" t="shared"/>
        <v>#DIV/0!</v>
      </c>
      <c r="M34" s="17" t="e">
        <f si="55" t="shared"/>
        <v>#DIV/0!</v>
      </c>
      <c r="N34" s="17" t="e">
        <f si="55" t="shared"/>
        <v>#DIV/0!</v>
      </c>
      <c r="O34" s="17" t="e">
        <f si="55" t="shared"/>
        <v>#DIV/0!</v>
      </c>
      <c r="Q34" s="3" t="str">
        <f>$A$8</f>
        <v>Kirkland</v>
      </c>
      <c r="R34" s="17">
        <f si="56" t="shared"/>
        <v>2.0062069464438486E-3</v>
      </c>
      <c r="S34" s="17">
        <f si="56" t="shared"/>
        <v>1.1999742483402458E-2</v>
      </c>
      <c r="T34" s="17">
        <f si="56" t="shared"/>
        <v>1.4900952346819107E-2</v>
      </c>
      <c r="U34" s="17">
        <f si="56" t="shared"/>
        <v>6.1873672180043924E-3</v>
      </c>
      <c r="V34" s="17">
        <f si="56" t="shared"/>
        <v>2.5874444729836548E-3</v>
      </c>
      <c r="W34" s="17">
        <f si="56" t="shared"/>
        <v>3.7681713467653456E-2</v>
      </c>
    </row>
    <row r="35" spans="1:23" x14ac:dyDescent="0.25">
      <c r="A35" s="14" t="str">
        <f>$A$9</f>
        <v>Redmond</v>
      </c>
      <c r="B35" s="72">
        <f si="54" t="shared"/>
        <v>1.2866544406554378E-3</v>
      </c>
      <c r="C35" s="72">
        <f si="54" t="shared"/>
        <v>9.9611597742861411E-3</v>
      </c>
      <c r="D35" s="72">
        <f si="54" t="shared"/>
        <v>1.1175654832448718E-2</v>
      </c>
      <c r="E35" s="72">
        <f si="54" t="shared"/>
        <v>4.3201667716633169E-3</v>
      </c>
      <c r="F35" s="72">
        <f si="54" t="shared"/>
        <v>1.9303063551961827E-3</v>
      </c>
      <c r="G35" s="72">
        <f si="54" t="shared"/>
        <v>2.8673942174249799E-2</v>
      </c>
      <c r="H35" s="73"/>
      <c r="I35" s="14" t="str">
        <f>$A$9</f>
        <v>Redmond</v>
      </c>
      <c r="J35" s="72" t="e">
        <f si="55" t="shared"/>
        <v>#DIV/0!</v>
      </c>
      <c r="K35" s="72" t="e">
        <f si="55" t="shared"/>
        <v>#DIV/0!</v>
      </c>
      <c r="L35" s="72" t="e">
        <f si="55" t="shared"/>
        <v>#DIV/0!</v>
      </c>
      <c r="M35" s="72" t="e">
        <f si="55" t="shared"/>
        <v>#DIV/0!</v>
      </c>
      <c r="N35" s="72" t="e">
        <f si="55" t="shared"/>
        <v>#DIV/0!</v>
      </c>
      <c r="O35" s="72" t="e">
        <f si="55" t="shared"/>
        <v>#DIV/0!</v>
      </c>
      <c r="Q35" s="3" t="str">
        <f>$A$9</f>
        <v>Redmond</v>
      </c>
      <c r="R35" s="17">
        <f si="56" t="shared"/>
        <v>1.0883062907720785E-3</v>
      </c>
      <c r="S35" s="17">
        <f si="56" t="shared"/>
        <v>7.8295333042631612E-3</v>
      </c>
      <c r="T35" s="17">
        <f si="56" t="shared"/>
        <v>1.1848750148503451E-2</v>
      </c>
      <c r="U35" s="17">
        <f si="56" t="shared"/>
        <v>5.5648142064207914E-3</v>
      </c>
      <c r="V35" s="17">
        <f si="56" t="shared"/>
        <v>2.3425382242903193E-3</v>
      </c>
      <c r="W35" s="17">
        <f si="56" t="shared"/>
        <v>2.8673942174249799E-2</v>
      </c>
    </row>
    <row r="36" spans="1:23" x14ac:dyDescent="0.25">
      <c r="A36" s="14" t="str">
        <f>$A$10</f>
        <v>Seattle</v>
      </c>
      <c r="B36" s="72">
        <f si="54" t="shared"/>
        <v>2.8452893564696897E-2</v>
      </c>
      <c r="C36" s="72">
        <f si="54" t="shared"/>
        <v>7.8545817007005025E-2</v>
      </c>
      <c r="D36" s="72">
        <f si="54" t="shared"/>
        <v>6.0971391051501095E-2</v>
      </c>
      <c r="E36" s="72">
        <f si="54" t="shared"/>
        <v>1.6371500479690802E-2</v>
      </c>
      <c r="F36" s="72">
        <f si="54" t="shared"/>
        <v>6.5100543991679942E-3</v>
      </c>
      <c r="G36" s="72">
        <f si="54" t="shared"/>
        <v>0.19085165650206182</v>
      </c>
      <c r="H36" s="73"/>
      <c r="I36" s="14" t="str">
        <f>$A$10</f>
        <v>Seattle</v>
      </c>
      <c r="J36" s="72" t="e">
        <f si="55" t="shared"/>
        <v>#DIV/0!</v>
      </c>
      <c r="K36" s="72" t="e">
        <f si="55" t="shared"/>
        <v>#DIV/0!</v>
      </c>
      <c r="L36" s="72" t="e">
        <f si="55" t="shared"/>
        <v>#DIV/0!</v>
      </c>
      <c r="M36" s="72" t="e">
        <f si="55" t="shared"/>
        <v>#DIV/0!</v>
      </c>
      <c r="N36" s="72" t="e">
        <f si="55" t="shared"/>
        <v>#DIV/0!</v>
      </c>
      <c r="O36" s="72" t="e">
        <f si="55" t="shared"/>
        <v>#DIV/0!</v>
      </c>
      <c r="Q36" s="3" t="str">
        <f>$A$10</f>
        <v>Seattle</v>
      </c>
      <c r="R36" s="17">
        <f si="56" t="shared"/>
        <v>2.2740284644193122E-2</v>
      </c>
      <c r="S36" s="17">
        <f si="56" t="shared"/>
        <v>7.3557132346110013E-2</v>
      </c>
      <c r="T36" s="17">
        <f si="56" t="shared"/>
        <v>6.2783744781108333E-2</v>
      </c>
      <c r="U36" s="17">
        <f si="56" t="shared"/>
        <v>2.2434728712774681E-2</v>
      </c>
      <c r="V36" s="17">
        <f si="56" t="shared"/>
        <v>9.3357660178756702E-3</v>
      </c>
      <c r="W36" s="17">
        <f si="56" t="shared"/>
        <v>0.19085165650206182</v>
      </c>
    </row>
    <row r="37" spans="1:23" x14ac:dyDescent="0.25">
      <c r="A37" s="14" t="str">
        <f>$A$11</f>
        <v>Seattle Downtown</v>
      </c>
      <c r="B37" s="72">
        <f si="54" t="shared"/>
        <v>1.1740792094969322E-2</v>
      </c>
      <c r="C37" s="72">
        <f si="54" t="shared"/>
        <v>1.2403134752893721E-2</v>
      </c>
      <c r="D37" s="72">
        <f si="54" t="shared"/>
        <v>2.0969562724264352E-3</v>
      </c>
      <c r="E37" s="72">
        <f si="54" t="shared"/>
        <v>2.1070574922037966E-4</v>
      </c>
      <c r="F37" s="72">
        <f si="54" t="shared"/>
        <v>8.3903621027401812E-5</v>
      </c>
      <c r="G37" s="72">
        <f si="54" t="shared"/>
        <v>2.6535492490537261E-2</v>
      </c>
      <c r="H37" s="73"/>
      <c r="I37" s="14" t="str">
        <f>$A$11</f>
        <v>Seattle Downtown</v>
      </c>
      <c r="J37" s="72" t="e">
        <f si="55" t="shared"/>
        <v>#DIV/0!</v>
      </c>
      <c r="K37" s="72" t="e">
        <f si="55" t="shared"/>
        <v>#DIV/0!</v>
      </c>
      <c r="L37" s="72" t="e">
        <f si="55" t="shared"/>
        <v>#DIV/0!</v>
      </c>
      <c r="M37" s="72" t="e">
        <f si="55" t="shared"/>
        <v>#DIV/0!</v>
      </c>
      <c r="N37" s="72" t="e">
        <f si="55" t="shared"/>
        <v>#DIV/0!</v>
      </c>
      <c r="O37" s="72" t="e">
        <f si="55" t="shared"/>
        <v>#DIV/0!</v>
      </c>
      <c r="Q37" s="14" t="str">
        <f>$A$11</f>
        <v>Seattle Downtown</v>
      </c>
      <c r="R37" s="72">
        <f si="56" t="shared"/>
        <v>9.8215233475215345E-3</v>
      </c>
      <c r="S37" s="72">
        <f si="56" t="shared"/>
        <v>1.153318329607316E-2</v>
      </c>
      <c r="T37" s="72">
        <f si="56" t="shared"/>
        <v>3.6776273343230919E-3</v>
      </c>
      <c r="U37" s="72">
        <f si="56" t="shared"/>
        <v>1.1045071614507165E-3</v>
      </c>
      <c r="V37" s="72">
        <f si="56" t="shared"/>
        <v>3.986513511687593E-4</v>
      </c>
      <c r="W37" s="72">
        <f si="56" t="shared"/>
        <v>2.6535492490537261E-2</v>
      </c>
    </row>
    <row r="38" spans="1:23" x14ac:dyDescent="0.25">
      <c r="A38" s="14" t="str">
        <f>A25</f>
        <v>Rest</v>
      </c>
      <c r="B38" s="72">
        <f si="54" t="shared"/>
        <v>3.7986689409515439E-2</v>
      </c>
      <c r="C38" s="72">
        <f si="54" t="shared"/>
        <v>0.19760531684915625</v>
      </c>
      <c r="D38" s="72">
        <f si="54" t="shared"/>
        <v>0.26534414676478957</v>
      </c>
      <c r="E38" s="72">
        <f si="54" t="shared"/>
        <v>0.11256479102347937</v>
      </c>
      <c r="F38" s="72">
        <f si="54" t="shared"/>
        <v>5.8669144338330752E-2</v>
      </c>
      <c r="G38" s="72">
        <f si="54" t="shared"/>
        <v>0.67217008838527137</v>
      </c>
      <c r="H38" s="73"/>
      <c r="I38" s="14" t="str">
        <f>$A$12</f>
        <v>Rest</v>
      </c>
      <c r="J38" s="72" t="e">
        <f si="55" t="shared"/>
        <v>#DIV/0!</v>
      </c>
      <c r="K38" s="72" t="e">
        <f si="55" t="shared"/>
        <v>#DIV/0!</v>
      </c>
      <c r="L38" s="72" t="e">
        <f si="55" t="shared"/>
        <v>#DIV/0!</v>
      </c>
      <c r="M38" s="72" t="e">
        <f si="55" t="shared"/>
        <v>#DIV/0!</v>
      </c>
      <c r="N38" s="72" t="e">
        <f si="55" t="shared"/>
        <v>#DIV/0!</v>
      </c>
      <c r="O38" s="72" t="e">
        <f si="55" t="shared"/>
        <v>#DIV/0!</v>
      </c>
      <c r="Q38" s="14" t="str">
        <f>A38</f>
        <v>Rest</v>
      </c>
      <c r="R38" s="72">
        <f si="56" t="shared"/>
        <v>3.4540806761158407E-2</v>
      </c>
      <c r="S38" s="72">
        <f si="56" t="shared"/>
        <v>0.19860112547328856</v>
      </c>
      <c r="T38" s="72">
        <f si="56" t="shared"/>
        <v>0.26682229015537534</v>
      </c>
      <c r="U38" s="72">
        <f si="56" t="shared"/>
        <v>0.11791571437054779</v>
      </c>
      <c r="V38" s="72">
        <f si="56" t="shared"/>
        <v>5.4290151624901306E-2</v>
      </c>
      <c r="W38" s="72">
        <f si="56" t="shared"/>
        <v>0.67217008838527137</v>
      </c>
    </row>
    <row ht="15.75" r="39" spans="1:23" thickBot="1" x14ac:dyDescent="0.3">
      <c r="A39" s="7" t="str">
        <f>$A$13</f>
        <v>Total</v>
      </c>
      <c r="B39" s="19">
        <f si="54" t="shared"/>
        <v>8.4387070662934507E-2</v>
      </c>
      <c r="C39" s="19">
        <f si="54" t="shared"/>
        <v>0.3278388606508244</v>
      </c>
      <c r="D39" s="19">
        <f si="54" t="shared"/>
        <v>0.37273062602582713</v>
      </c>
      <c r="E39" s="19">
        <f si="54" t="shared"/>
        <v>0.14311932996317153</v>
      </c>
      <c r="F39" s="19">
        <f si="54" t="shared"/>
        <v>7.1924112697242526E-2</v>
      </c>
      <c r="G39" s="19">
        <f si="54" t="shared"/>
        <v>1</v>
      </c>
      <c r="H39" s="73"/>
      <c r="I39" s="7" t="str">
        <f>$A$13</f>
        <v>Total</v>
      </c>
      <c r="J39" s="19" t="e">
        <f si="55" t="shared"/>
        <v>#DIV/0!</v>
      </c>
      <c r="K39" s="19" t="e">
        <f si="55" t="shared"/>
        <v>#DIV/0!</v>
      </c>
      <c r="L39" s="19" t="e">
        <f si="55" t="shared"/>
        <v>#DIV/0!</v>
      </c>
      <c r="M39" s="19" t="e">
        <f si="55" t="shared"/>
        <v>#DIV/0!</v>
      </c>
      <c r="N39" s="19" t="e">
        <f si="55" t="shared"/>
        <v>#DIV/0!</v>
      </c>
      <c r="O39" s="19" t="e">
        <f si="55" t="shared"/>
        <v>#DIV/0!</v>
      </c>
      <c r="Q39" s="7" t="str">
        <f>$A$13</f>
        <v>Total</v>
      </c>
      <c r="R39" s="19">
        <f si="56" t="shared"/>
        <v>7.2977875836871917E-2</v>
      </c>
      <c r="S39" s="19">
        <f si="56" t="shared"/>
        <v>0.31666816705741502</v>
      </c>
      <c r="T39" s="19">
        <f si="56" t="shared"/>
        <v>0.37739001662559168</v>
      </c>
      <c r="U39" s="19">
        <f si="56" t="shared"/>
        <v>0.16075824174493347</v>
      </c>
      <c r="V39" s="19">
        <f si="56" t="shared"/>
        <v>7.2205698735188006E-2</v>
      </c>
      <c r="W39" s="19">
        <f si="56" t="shared"/>
        <v>1</v>
      </c>
    </row>
    <row r="40" spans="1:23" x14ac:dyDescent="0.25">
      <c r="A40" s="14"/>
      <c r="B40" s="17"/>
      <c r="C40" s="72"/>
      <c r="D40" s="72"/>
      <c r="E40" s="72"/>
      <c r="F40" s="72"/>
      <c r="G40" s="72"/>
      <c r="I40" s="14"/>
      <c r="J40" s="72"/>
      <c r="K40" s="72"/>
      <c r="L40" s="72"/>
      <c r="M40" s="72"/>
      <c r="N40" s="72"/>
      <c r="O40" s="72"/>
      <c r="Q40" s="14"/>
      <c r="R40" s="72"/>
      <c r="S40" s="72"/>
      <c r="T40" s="72"/>
      <c r="U40" s="72"/>
      <c r="V40" s="72"/>
      <c r="W40" s="72"/>
    </row>
    <row r="42" spans="1:23" x14ac:dyDescent="0.25">
      <c r="Q42" s="1" t="s">
        <v>20</v>
      </c>
    </row>
    <row ht="15.75" r="43" spans="1:23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 t="str">
        <f>$A$6</f>
        <v>Bellevue</v>
      </c>
      <c r="R45" s="17" t="e">
        <f>R32-J32</f>
        <v>#DIV/0!</v>
      </c>
      <c r="S45" s="17" t="e">
        <f ref="S45:W45" si="57" t="shared">S32-K32</f>
        <v>#DIV/0!</v>
      </c>
      <c r="T45" s="17" t="e">
        <f si="57" t="shared"/>
        <v>#DIV/0!</v>
      </c>
      <c r="U45" s="17" t="e">
        <f si="57" t="shared"/>
        <v>#DIV/0!</v>
      </c>
      <c r="V45" s="17" t="e">
        <f si="57" t="shared"/>
        <v>#DIV/0!</v>
      </c>
      <c r="W45" s="17" t="e">
        <f si="57" t="shared"/>
        <v>#DIV/0!</v>
      </c>
    </row>
    <row r="46" spans="1:23" x14ac:dyDescent="0.25">
      <c r="Q46" s="3" t="str">
        <f>$A$7</f>
        <v>Bellevue Downtown</v>
      </c>
      <c r="R46" s="17" t="e">
        <f ref="R46:W46" si="58" t="shared">R33-J33</f>
        <v>#DIV/0!</v>
      </c>
      <c r="S46" s="17" t="e">
        <f si="58" t="shared"/>
        <v>#DIV/0!</v>
      </c>
      <c r="T46" s="17" t="e">
        <f si="58" t="shared"/>
        <v>#DIV/0!</v>
      </c>
      <c r="U46" s="17" t="e">
        <f si="58" t="shared"/>
        <v>#DIV/0!</v>
      </c>
      <c r="V46" s="17" t="e">
        <f si="58" t="shared"/>
        <v>#DIV/0!</v>
      </c>
      <c r="W46" s="17" t="e">
        <f si="58" t="shared"/>
        <v>#DIV/0!</v>
      </c>
    </row>
    <row r="47" spans="1:23" x14ac:dyDescent="0.25">
      <c r="Q47" s="3" t="str">
        <f>$A$8</f>
        <v>Kirkland</v>
      </c>
      <c r="R47" s="17" t="e">
        <f ref="R47:R49" si="59" t="shared">R34-J34</f>
        <v>#DIV/0!</v>
      </c>
      <c r="S47" s="17" t="e">
        <f ref="S47:S49" si="60" t="shared">S34-K34</f>
        <v>#DIV/0!</v>
      </c>
      <c r="T47" s="17" t="e">
        <f ref="T47:T49" si="61" t="shared">T34-L34</f>
        <v>#DIV/0!</v>
      </c>
      <c r="U47" s="17" t="e">
        <f ref="U47:U49" si="62" t="shared">U34-M34</f>
        <v>#DIV/0!</v>
      </c>
      <c r="V47" s="17" t="e">
        <f ref="V47:V49" si="63" t="shared">V34-N34</f>
        <v>#DIV/0!</v>
      </c>
      <c r="W47" s="17" t="e">
        <f ref="W47:W49" si="64" t="shared">W34-O34</f>
        <v>#DIV/0!</v>
      </c>
    </row>
    <row r="48" spans="1:23" x14ac:dyDescent="0.25">
      <c r="Q48" s="3" t="str">
        <f>$A$9</f>
        <v>Redmond</v>
      </c>
      <c r="R48" s="17" t="e">
        <f si="59" t="shared"/>
        <v>#DIV/0!</v>
      </c>
      <c r="S48" s="17" t="e">
        <f si="60" t="shared"/>
        <v>#DIV/0!</v>
      </c>
      <c r="T48" s="17" t="e">
        <f si="61" t="shared"/>
        <v>#DIV/0!</v>
      </c>
      <c r="U48" s="17" t="e">
        <f si="62" t="shared"/>
        <v>#DIV/0!</v>
      </c>
      <c r="V48" s="17" t="e">
        <f si="63" t="shared"/>
        <v>#DIV/0!</v>
      </c>
      <c r="W48" s="17" t="e">
        <f si="64" t="shared"/>
        <v>#DIV/0!</v>
      </c>
    </row>
    <row r="49" spans="17:23" x14ac:dyDescent="0.25">
      <c r="Q49" s="3" t="str">
        <f>$A$10</f>
        <v>Seattle</v>
      </c>
      <c r="R49" s="17" t="e">
        <f si="59" t="shared"/>
        <v>#DIV/0!</v>
      </c>
      <c r="S49" s="17" t="e">
        <f si="60" t="shared"/>
        <v>#DIV/0!</v>
      </c>
      <c r="T49" s="17" t="e">
        <f si="61" t="shared"/>
        <v>#DIV/0!</v>
      </c>
      <c r="U49" s="17" t="e">
        <f si="62" t="shared"/>
        <v>#DIV/0!</v>
      </c>
      <c r="V49" s="17" t="e">
        <f si="63" t="shared"/>
        <v>#DIV/0!</v>
      </c>
      <c r="W49" s="17" t="e">
        <f si="64" t="shared"/>
        <v>#DIV/0!</v>
      </c>
    </row>
    <row r="50" spans="17:23" x14ac:dyDescent="0.25">
      <c r="Q50" s="14" t="str">
        <f>$A$11</f>
        <v>Seattle Downtown</v>
      </c>
      <c r="R50" s="72" t="e">
        <f ref="R50:W50" si="65" t="shared">R37-J37</f>
        <v>#DIV/0!</v>
      </c>
      <c r="S50" s="72" t="e">
        <f si="65" t="shared"/>
        <v>#DIV/0!</v>
      </c>
      <c r="T50" s="72" t="e">
        <f si="65" t="shared"/>
        <v>#DIV/0!</v>
      </c>
      <c r="U50" s="72" t="e">
        <f si="65" t="shared"/>
        <v>#DIV/0!</v>
      </c>
      <c r="V50" s="72" t="e">
        <f si="65" t="shared"/>
        <v>#DIV/0!</v>
      </c>
      <c r="W50" s="72" t="e">
        <f si="65" t="shared"/>
        <v>#DIV/0!</v>
      </c>
    </row>
    <row r="51" spans="17:23" x14ac:dyDescent="0.25">
      <c r="Q51" s="14" t="str">
        <f>$A$12</f>
        <v>Rest</v>
      </c>
      <c r="R51" s="72" t="e">
        <f ref="R51:W52" si="66" t="shared">R38-J38</f>
        <v>#DIV/0!</v>
      </c>
      <c r="S51" s="72" t="e">
        <f si="66" t="shared"/>
        <v>#DIV/0!</v>
      </c>
      <c r="T51" s="72" t="e">
        <f si="66" t="shared"/>
        <v>#DIV/0!</v>
      </c>
      <c r="U51" s="72" t="e">
        <f si="66" t="shared"/>
        <v>#DIV/0!</v>
      </c>
      <c r="V51" s="72" t="e">
        <f si="66" t="shared"/>
        <v>#DIV/0!</v>
      </c>
      <c r="W51" s="72" t="e">
        <f si="66" t="shared"/>
        <v>#DIV/0!</v>
      </c>
    </row>
    <row ht="15.75" r="52" spans="17:23" thickBot="1" x14ac:dyDescent="0.3">
      <c r="Q52" s="7" t="str">
        <f>$A$13</f>
        <v>Total</v>
      </c>
      <c r="R52" s="19" t="e">
        <f si="66" t="shared"/>
        <v>#DIV/0!</v>
      </c>
      <c r="S52" s="19" t="e">
        <f ref="S52" si="67" t="shared">S39-K39</f>
        <v>#DIV/0!</v>
      </c>
      <c r="T52" s="19" t="e">
        <f ref="T52" si="68" t="shared">T39-L39</f>
        <v>#DIV/0!</v>
      </c>
      <c r="U52" s="19" t="e">
        <f ref="U52" si="69" t="shared">U39-M39</f>
        <v>#DIV/0!</v>
      </c>
      <c r="V52" s="19" t="e">
        <f ref="V52" si="70" t="shared">V39-N39</f>
        <v>#DIV/0!</v>
      </c>
      <c r="W52" s="19" t="e">
        <f ref="W52" si="71" t="shared">W39-O39</f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M38"/>
  <sheetViews>
    <sheetView workbookViewId="0">
      <selection activeCell="N12" sqref="N12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48444.779</v>
      </c>
      <c r="C6" s="4" t="n">
        <v>80655.6379</v>
      </c>
      <c r="D6" s="4" t="n">
        <v>54487.7515</v>
      </c>
      <c r="E6" s="4" t="n">
        <v>23488.9032</v>
      </c>
      <c r="F6" s="4" t="n">
        <v>8085.0096</v>
      </c>
      <c r="G6" s="4">
        <f>SUM(B6:F6)</f>
        <v>215162.08120000002</v>
      </c>
      <c r="I6" s="3" t="s">
        <v>6</v>
      </c>
      <c r="O6" s="4"/>
      <c r="Q6" s="3" t="s">
        <v>6</v>
      </c>
      <c r="R6" s="50" t="n">
        <v>42436.0</v>
      </c>
      <c r="S6" s="54" t="n">
        <v>72243.0</v>
      </c>
      <c r="T6" s="58" t="n">
        <v>14115.0</v>
      </c>
      <c r="U6" s="62" t="n">
        <v>3129.0</v>
      </c>
      <c r="V6" s="66" t="n">
        <v>1247.0</v>
      </c>
      <c r="W6" s="4">
        <f>SUM(R6:V6)</f>
        <v>130700.19045911888</v>
      </c>
    </row>
    <row r="7" spans="1:39" x14ac:dyDescent="0.25">
      <c r="A7" s="3" t="s">
        <v>7</v>
      </c>
      <c r="B7" s="4" t="n">
        <v>65323.1755</v>
      </c>
      <c r="C7" s="4" t="n">
        <v>227458.7833</v>
      </c>
      <c r="D7" s="4" t="n">
        <v>104715.3944</v>
      </c>
      <c r="E7" s="4" t="n">
        <v>27836.1211</v>
      </c>
      <c r="F7" s="4" t="n">
        <v>10937.7289</v>
      </c>
      <c r="G7" s="4">
        <f ref="G7:G10" si="0" t="shared">SUM(B7:F7)</f>
        <v>436271.20319999999</v>
      </c>
      <c r="I7" s="3" t="s">
        <v>7</v>
      </c>
      <c r="O7" s="4"/>
      <c r="Q7" s="3" t="s">
        <v>7</v>
      </c>
      <c r="R7" s="51" t="n">
        <v>45232.0</v>
      </c>
      <c r="S7" s="55" t="n">
        <v>201080.0</v>
      </c>
      <c r="T7" s="59" t="n">
        <v>125292.0</v>
      </c>
      <c r="U7" s="63" t="n">
        <v>30934.0</v>
      </c>
      <c r="V7" s="67" t="n">
        <v>11909.0</v>
      </c>
      <c r="W7" s="4">
        <f ref="W7:W10" si="1" t="shared">SUM(R7:V7)</f>
        <v>414289.80954088119</v>
      </c>
    </row>
    <row r="8" spans="1:39" x14ac:dyDescent="0.25">
      <c r="A8" s="3" t="s">
        <v>8</v>
      </c>
      <c r="B8" s="4" t="n">
        <v>7057.9723</v>
      </c>
      <c r="C8" s="4" t="n">
        <v>93402.6174</v>
      </c>
      <c r="D8" s="4" t="n">
        <v>99877.823</v>
      </c>
      <c r="E8" s="4" t="n">
        <v>34012.2883</v>
      </c>
      <c r="F8" s="4" t="n">
        <v>15173.966</v>
      </c>
      <c r="G8" s="4">
        <f si="0" t="shared"/>
        <v>249524.66700000002</v>
      </c>
      <c r="I8" s="3" t="s">
        <v>8</v>
      </c>
      <c r="O8" s="4"/>
      <c r="Q8" s="3" t="s">
        <v>8</v>
      </c>
      <c r="R8" s="52" t="n">
        <v>11071.0</v>
      </c>
      <c r="S8" s="56" t="n">
        <v>95072.0</v>
      </c>
      <c r="T8" s="60" t="n">
        <v>117544.0</v>
      </c>
      <c r="U8" s="64" t="n">
        <v>41934.0</v>
      </c>
      <c r="V8" s="68" t="n">
        <v>14478.0</v>
      </c>
      <c r="W8" s="4">
        <f si="1" t="shared"/>
        <v>269358.71631679707</v>
      </c>
    </row>
    <row r="9" spans="1:39" x14ac:dyDescent="0.25">
      <c r="A9" s="5" t="s">
        <v>9</v>
      </c>
      <c r="B9" s="4" t="n">
        <v>8313.2076</v>
      </c>
      <c r="C9" s="4" t="n">
        <v>100180.9864</v>
      </c>
      <c r="D9" s="4" t="n">
        <v>311315.7759</v>
      </c>
      <c r="E9" s="4" t="n">
        <v>133680.9119</v>
      </c>
      <c r="F9" s="4" t="n">
        <v>75870.129</v>
      </c>
      <c r="G9" s="6">
        <f si="0" t="shared"/>
        <v>629361.01080000005</v>
      </c>
      <c r="I9" s="5" t="s">
        <v>9</v>
      </c>
      <c r="J9" s="70"/>
      <c r="K9" s="70"/>
      <c r="L9" s="70"/>
      <c r="M9" s="70"/>
      <c r="N9" s="70"/>
      <c r="O9" s="6"/>
      <c r="Q9" s="5" t="s">
        <v>9</v>
      </c>
      <c r="R9" s="53" t="n">
        <v>14577.0</v>
      </c>
      <c r="S9" s="57" t="n">
        <v>139403.0</v>
      </c>
      <c r="T9" s="61" t="n">
        <v>368199.0</v>
      </c>
      <c r="U9" s="65" t="n">
        <v>174885.0</v>
      </c>
      <c r="V9" s="69" t="n">
        <v>81576.0</v>
      </c>
      <c r="W9" s="6">
        <f si="1" t="shared"/>
        <v>692350.28368320293</v>
      </c>
    </row>
    <row ht="15.75" r="10" spans="1:39" thickBot="1" x14ac:dyDescent="0.3">
      <c r="A10" s="7" t="s">
        <v>4</v>
      </c>
      <c r="B10" s="8">
        <f>SUM(B6:B9)</f>
        <v>129139.13439999998</v>
      </c>
      <c r="C10" s="8">
        <f ref="C10:F10" si="2" t="shared">SUM(C6:C9)</f>
        <v>501698.02499999997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109955.6925455391</v>
      </c>
      <c r="S10" s="8">
        <f ref="S10" si="3" t="shared">SUM(S6:S9)</f>
        <v>477123.61063724011</v>
      </c>
      <c r="T10" s="8">
        <f ref="T10" si="4" t="shared">SUM(T6:T9)</f>
        <v>568613.16065976222</v>
      </c>
      <c r="U10" s="8">
        <f ref="U10" si="5" t="shared">SUM(U6:U9)</f>
        <v>242214.2820788495</v>
      </c>
      <c r="V10" s="8">
        <f ref="V10" si="6" t="shared">SUM(V6:V9)</f>
        <v>108792.25407860904</v>
      </c>
      <c r="W10" s="8">
        <f si="1" t="shared"/>
        <v>1506699</v>
      </c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21</v>
      </c>
      <c r="AG13" s="1" t="s">
        <v>22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7" t="shared">($W6/$G6)*B6</f>
        <v>29427.77745379943</v>
      </c>
      <c r="C16" s="4">
        <f si="7" t="shared"/>
        <v>48994.261332380745</v>
      </c>
      <c r="D16" s="4">
        <f si="7" t="shared"/>
        <v>33098.580656130689</v>
      </c>
      <c r="E16" s="4">
        <f si="7" t="shared"/>
        <v>14268.332527710309</v>
      </c>
      <c r="F16" s="4">
        <f si="7" t="shared"/>
        <v>4911.2384890976991</v>
      </c>
      <c r="G16" s="4">
        <f si="7" t="shared"/>
        <v>130700.19045911888</v>
      </c>
      <c r="I16" s="3" t="s">
        <v>6</v>
      </c>
      <c r="J16" s="4" t="e">
        <f ref="J16:O20" si="8" t="shared">($W6/$O6)*J6</f>
        <v>#DIV/0!</v>
      </c>
      <c r="K16" s="4" t="e">
        <f si="8" t="shared"/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 t="s">
        <v>6</v>
      </c>
      <c r="R16" s="4">
        <f ref="R16:V19" si="9" t="shared">R6</f>
        <v>43890.820571728058</v>
      </c>
      <c r="S16" s="4">
        <f si="9" t="shared"/>
        <v>67382.914516043194</v>
      </c>
      <c r="T16" s="4">
        <f si="9" t="shared"/>
        <v>14566.906307838373</v>
      </c>
      <c r="U16" s="4">
        <f si="9" t="shared"/>
        <v>3603.0477093019131</v>
      </c>
      <c r="V16" s="4">
        <f si="9" t="shared"/>
        <v>1256.5013542073239</v>
      </c>
      <c r="W16" s="4">
        <f>SUM(R16:V16)</f>
        <v>130700.19045911888</v>
      </c>
      <c r="Y16" s="3" t="s">
        <v>6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20" si="14" t="shared">W16-O16</f>
        <v>#DIV/0!</v>
      </c>
      <c r="AG16" s="3" t="s">
        <v>6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 t="s">
        <v>7</v>
      </c>
      <c r="B17" s="4">
        <f si="7" t="shared"/>
        <v>62031.88690428916</v>
      </c>
      <c r="C17" s="4">
        <f si="7" t="shared"/>
        <v>215998.34075814055</v>
      </c>
      <c r="D17" s="4">
        <f si="7" t="shared"/>
        <v>99439.340675635642</v>
      </c>
      <c r="E17" s="4">
        <f si="7" t="shared"/>
        <v>26433.606491302573</v>
      </c>
      <c r="F17" s="4">
        <f si="7" t="shared"/>
        <v>10386.634711513299</v>
      </c>
      <c r="G17" s="4">
        <f si="7" t="shared"/>
        <v>414289.80954088119</v>
      </c>
      <c r="I17" s="3" t="s">
        <v>7</v>
      </c>
      <c r="J17" s="4" t="e">
        <f si="8" t="shared"/>
        <v>#DIV/0!</v>
      </c>
      <c r="K17" s="4" t="e">
        <f si="8" t="shared"/>
        <v>#DIV/0!</v>
      </c>
      <c r="L17" s="4" t="e">
        <f si="8" t="shared"/>
        <v>#DIV/0!</v>
      </c>
      <c r="M17" s="4" t="e">
        <f si="8" t="shared"/>
        <v>#DIV/0!</v>
      </c>
      <c r="N17" s="4" t="e">
        <f si="8" t="shared"/>
        <v>#DIV/0!</v>
      </c>
      <c r="O17" s="4" t="e">
        <f si="8" t="shared"/>
        <v>#DIV/0!</v>
      </c>
      <c r="Q17" s="3" t="s">
        <v>7</v>
      </c>
      <c r="R17" s="4">
        <f si="9" t="shared"/>
        <v>45072.210191295526</v>
      </c>
      <c r="S17" s="4">
        <f si="9" t="shared"/>
        <v>198522.83917820096</v>
      </c>
      <c r="T17" s="4">
        <f si="9" t="shared"/>
        <v>125658.19346917432</v>
      </c>
      <c r="U17" s="4">
        <f si="9" t="shared"/>
        <v>32010.157144422563</v>
      </c>
      <c r="V17" s="4">
        <f si="9" t="shared"/>
        <v>13026.4095577878</v>
      </c>
      <c r="W17" s="4">
        <f ref="W17:W20" si="20" t="shared">SUM(R17:V17)</f>
        <v>414289.80954088119</v>
      </c>
      <c r="Y17" s="3" t="s">
        <v>7</v>
      </c>
      <c r="Z17" s="4" t="e">
        <f ref="Z17:Z20" si="21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 t="s">
        <v>7</v>
      </c>
      <c r="AH17" s="17" t="e">
        <f ref="AH17:AH20" si="22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 t="s">
        <v>8</v>
      </c>
      <c r="B18" s="4">
        <f si="7" t="shared"/>
        <v>7618.9916667738171</v>
      </c>
      <c r="C18" s="4">
        <f si="7" t="shared"/>
        <v>100826.94198523038</v>
      </c>
      <c r="D18" s="4">
        <f si="7" t="shared"/>
        <v>107816.84438355053</v>
      </c>
      <c r="E18" s="4">
        <f si="7" t="shared"/>
        <v>36715.834252510256</v>
      </c>
      <c r="F18" s="4">
        <f si="7" t="shared"/>
        <v>16380.104028732052</v>
      </c>
      <c r="G18" s="4">
        <f si="7" t="shared"/>
        <v>269358.71631679707</v>
      </c>
      <c r="I18" s="3" t="s">
        <v>8</v>
      </c>
      <c r="J18" s="4" t="e">
        <f si="8" t="shared"/>
        <v>#DIV/0!</v>
      </c>
      <c r="K18" s="4" t="e">
        <f si="8" t="shared"/>
        <v>#DIV/0!</v>
      </c>
      <c r="L18" s="4" t="e">
        <f si="8" t="shared"/>
        <v>#DIV/0!</v>
      </c>
      <c r="M18" s="4" t="e">
        <f si="8" t="shared"/>
        <v>#DIV/0!</v>
      </c>
      <c r="N18" s="4" t="e">
        <f si="8" t="shared"/>
        <v>#DIV/0!</v>
      </c>
      <c r="O18" s="4" t="e">
        <f si="8" t="shared"/>
        <v>#DIV/0!</v>
      </c>
      <c r="Q18" s="3" t="s">
        <v>8</v>
      </c>
      <c r="R18" s="4">
        <f si="9" t="shared"/>
        <v>9849.7379520726572</v>
      </c>
      <c r="S18" s="4">
        <f si="9" t="shared"/>
        <v>89603.942313244464</v>
      </c>
      <c r="T18" s="4">
        <f si="9" t="shared"/>
        <v>112042.93631658255</v>
      </c>
      <c r="U18" s="4">
        <f si="9" t="shared"/>
        <v>42410.680022109613</v>
      </c>
      <c r="V18" s="4">
        <f si="9" t="shared"/>
        <v>15451.419712787765</v>
      </c>
      <c r="W18" s="4">
        <f si="20" t="shared"/>
        <v>269358.71631679707</v>
      </c>
      <c r="Y18" s="3" t="s">
        <v>8</v>
      </c>
      <c r="Z18" s="4" t="e">
        <f si="21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 t="s">
        <v>8</v>
      </c>
      <c r="AH18" s="17" t="e">
        <f si="22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9</v>
      </c>
      <c r="B19" s="4">
        <f si="7" t="shared"/>
        <v>9145.2307044905319</v>
      </c>
      <c r="C19" s="4">
        <f si="7" t="shared"/>
        <v>110207.54886855326</v>
      </c>
      <c r="D19" s="4">
        <f si="7" t="shared"/>
        <v>342473.65512115613</v>
      </c>
      <c r="E19" s="4">
        <f si="7" t="shared"/>
        <v>147060.29717243847</v>
      </c>
      <c r="F19" s="4">
        <f si="7" t="shared"/>
        <v>83463.551816564475</v>
      </c>
      <c r="G19" s="6">
        <f si="7" t="shared"/>
        <v>692350.28368320293</v>
      </c>
      <c r="I19" s="5" t="s">
        <v>9</v>
      </c>
      <c r="J19" s="6" t="e">
        <f si="8" t="shared"/>
        <v>#DIV/0!</v>
      </c>
      <c r="K19" s="6" t="e">
        <f si="8" t="shared"/>
        <v>#DIV/0!</v>
      </c>
      <c r="L19" s="6" t="e">
        <f si="8" t="shared"/>
        <v>#DIV/0!</v>
      </c>
      <c r="M19" s="6" t="e">
        <f si="8" t="shared"/>
        <v>#DIV/0!</v>
      </c>
      <c r="N19" s="6" t="e">
        <f si="8" t="shared"/>
        <v>#DIV/0!</v>
      </c>
      <c r="O19" s="6" t="e">
        <f si="8" t="shared"/>
        <v>#DIV/0!</v>
      </c>
      <c r="Q19" s="5" t="s">
        <v>9</v>
      </c>
      <c r="R19" s="4">
        <f si="9" t="shared"/>
        <v>11142.923830442853</v>
      </c>
      <c r="S19" s="4">
        <f si="9" t="shared"/>
        <v>121613.91462975153</v>
      </c>
      <c r="T19" s="4">
        <f si="9" t="shared"/>
        <v>316345.12456616701</v>
      </c>
      <c r="U19" s="4">
        <f si="9" t="shared"/>
        <v>164190.39720301543</v>
      </c>
      <c r="V19" s="4">
        <f si="9" t="shared"/>
        <v>79057.923453826152</v>
      </c>
      <c r="W19" s="6">
        <f si="20" t="shared"/>
        <v>692350.28368320293</v>
      </c>
      <c r="Y19" s="5" t="s">
        <v>9</v>
      </c>
      <c r="Z19" s="4" t="e">
        <f si="21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9</v>
      </c>
      <c r="AH19" s="17" t="e">
        <f si="22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 si="7" t="shared"/>
        <v>127145.91498077275</v>
      </c>
      <c r="C20" s="8">
        <f si="7" t="shared"/>
        <v>493954.48350373644</v>
      </c>
      <c r="D20" s="8">
        <f si="7" t="shared"/>
        <v>561592.86150248768</v>
      </c>
      <c r="E20" s="8">
        <f si="7" t="shared"/>
        <v>215637.75133618058</v>
      </c>
      <c r="F20" s="8">
        <f si="7" t="shared"/>
        <v>108367.98867682261</v>
      </c>
      <c r="G20" s="8">
        <f si="7" t="shared"/>
        <v>1506699</v>
      </c>
      <c r="I20" s="7" t="s">
        <v>4</v>
      </c>
      <c r="J20" s="8" t="e">
        <f si="8" t="shared"/>
        <v>#DIV/0!</v>
      </c>
      <c r="K20" s="8" t="e">
        <f si="8" t="shared"/>
        <v>#DIV/0!</v>
      </c>
      <c r="L20" s="8" t="e">
        <f si="8" t="shared"/>
        <v>#DIV/0!</v>
      </c>
      <c r="M20" s="8" t="e">
        <f si="8" t="shared"/>
        <v>#DIV/0!</v>
      </c>
      <c r="N20" s="8" t="e">
        <f si="8" t="shared"/>
        <v>#DIV/0!</v>
      </c>
      <c r="O20" s="8" t="e">
        <f si="8" t="shared"/>
        <v>#DIV/0!</v>
      </c>
      <c r="Q20" s="7" t="s">
        <v>4</v>
      </c>
      <c r="R20" s="8">
        <f>SUM(R16:R19)</f>
        <v>109955.6925455391</v>
      </c>
      <c r="S20" s="8">
        <f ref="S20:V20" si="23" t="shared">SUM(S16:S19)</f>
        <v>477123.61063724011</v>
      </c>
      <c r="T20" s="8">
        <f si="23" t="shared"/>
        <v>568613.16065976222</v>
      </c>
      <c r="U20" s="8">
        <f si="23" t="shared"/>
        <v>242214.2820788495</v>
      </c>
      <c r="V20" s="8">
        <f si="23" t="shared"/>
        <v>108792.25407860904</v>
      </c>
      <c r="W20" s="8">
        <f si="20" t="shared"/>
        <v>1506699</v>
      </c>
      <c r="Y20" s="7" t="s">
        <v>4</v>
      </c>
      <c r="Z20" s="8" t="e">
        <f si="21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 si="14" t="shared"/>
        <v>#DIV/0!</v>
      </c>
      <c r="AG20" s="7" t="s">
        <v>4</v>
      </c>
      <c r="AH20" s="19" t="e">
        <f si="22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 t="s">
        <v>6</v>
      </c>
      <c r="B25" s="17">
        <f>B16/$G$20</f>
        <v>1.9531291554450776E-2</v>
      </c>
      <c r="C25" s="17">
        <f ref="C25:G25" si="24" t="shared">C16/$G$20</f>
        <v>3.2517617209794888E-2</v>
      </c>
      <c r="D25" s="17">
        <f si="24" t="shared"/>
        <v>2.1967613077416716E-2</v>
      </c>
      <c r="E25" s="17">
        <f si="24" t="shared"/>
        <v>9.4699289823052309E-3</v>
      </c>
      <c r="F25" s="17">
        <f si="24" t="shared"/>
        <v>3.2596016119329071E-3</v>
      </c>
      <c r="G25" s="17">
        <f si="24" t="shared"/>
        <v>8.6746052435900528E-2</v>
      </c>
      <c r="I25" s="3" t="s">
        <v>6</v>
      </c>
      <c r="J25" s="17" t="e">
        <f>J16/$O$20</f>
        <v>#DIV/0!</v>
      </c>
      <c r="K25" s="17" t="e">
        <f ref="K25:O25" si="25" t="shared">K16/$O$20</f>
        <v>#DIV/0!</v>
      </c>
      <c r="L25" s="17" t="e">
        <f si="25" t="shared"/>
        <v>#DIV/0!</v>
      </c>
      <c r="M25" s="17" t="e">
        <f si="25" t="shared"/>
        <v>#DIV/0!</v>
      </c>
      <c r="N25" s="17" t="e">
        <f si="25" t="shared"/>
        <v>#DIV/0!</v>
      </c>
      <c r="O25" s="17" t="e">
        <f si="25" t="shared"/>
        <v>#DIV/0!</v>
      </c>
      <c r="Q25" s="3" t="s">
        <v>6</v>
      </c>
      <c r="R25" s="17">
        <f ref="R25:W29" si="26" t="shared">R6/$W$10</f>
        <v>2.9130450456081845E-2</v>
      </c>
      <c r="S25" s="17">
        <f si="26" t="shared"/>
        <v>4.4722213604736709E-2</v>
      </c>
      <c r="T25" s="17">
        <f si="26" t="shared"/>
        <v>9.6680931678048317E-3</v>
      </c>
      <c r="U25" s="17">
        <f si="26" t="shared"/>
        <v>2.3913520280440309E-3</v>
      </c>
      <c r="V25" s="17">
        <f si="26" t="shared"/>
        <v>8.3394317923309426E-4</v>
      </c>
      <c r="W25" s="17">
        <f si="26" t="shared"/>
        <v>8.6746052435900528E-2</v>
      </c>
    </row>
    <row r="26" spans="1:39" x14ac:dyDescent="0.25">
      <c r="A26" s="3" t="s">
        <v>7</v>
      </c>
      <c r="B26" s="17">
        <f ref="B26:G26" si="27" t="shared">B17/$G$20</f>
        <v>4.1170722821405707E-2</v>
      </c>
      <c r="C26" s="17">
        <f si="27" t="shared"/>
        <v>0.14335865408959622</v>
      </c>
      <c r="D26" s="17">
        <f si="27" t="shared"/>
        <v>6.5998146063437776E-2</v>
      </c>
      <c r="E26" s="17">
        <f si="27" t="shared"/>
        <v>1.7544052588674031E-2</v>
      </c>
      <c r="F26" s="17">
        <f si="27" t="shared"/>
        <v>6.8936361619097771E-3</v>
      </c>
      <c r="G26" s="17">
        <f si="27" t="shared"/>
        <v>0.27496521172502353</v>
      </c>
      <c r="I26" s="3" t="s">
        <v>7</v>
      </c>
      <c r="J26" s="17" t="e">
        <f ref="J26:O26" si="28" t="shared">J17/$O$20</f>
        <v>#DIV/0!</v>
      </c>
      <c r="K26" s="17" t="e">
        <f si="28" t="shared"/>
        <v>#DIV/0!</v>
      </c>
      <c r="L26" s="17" t="e">
        <f si="28" t="shared"/>
        <v>#DIV/0!</v>
      </c>
      <c r="M26" s="17" t="e">
        <f si="28" t="shared"/>
        <v>#DIV/0!</v>
      </c>
      <c r="N26" s="17" t="e">
        <f si="28" t="shared"/>
        <v>#DIV/0!</v>
      </c>
      <c r="O26" s="17" t="e">
        <f si="28" t="shared"/>
        <v>#DIV/0!</v>
      </c>
      <c r="Q26" s="3" t="s">
        <v>7</v>
      </c>
      <c r="R26" s="17">
        <f si="26" t="shared"/>
        <v>2.9914541783923349E-2</v>
      </c>
      <c r="S26" s="17">
        <f si="26" t="shared"/>
        <v>0.13176011876174401</v>
      </c>
      <c r="T26" s="17">
        <f si="26" t="shared"/>
        <v>8.3399666070777451E-2</v>
      </c>
      <c r="U26" s="17">
        <f si="26" t="shared"/>
        <v>2.1245223594375893E-2</v>
      </c>
      <c r="V26" s="17">
        <f si="26" t="shared"/>
        <v>8.6456615142027696E-3</v>
      </c>
      <c r="W26" s="17">
        <f si="26" t="shared"/>
        <v>0.27496521172502353</v>
      </c>
    </row>
    <row r="27" spans="1:39" x14ac:dyDescent="0.25">
      <c r="A27" s="3" t="s">
        <v>8</v>
      </c>
      <c r="B27" s="17">
        <f ref="B27:G27" si="29" t="shared">B18/$G$20</f>
        <v>5.0567443575483999E-3</v>
      </c>
      <c r="C27" s="17">
        <f si="29" t="shared"/>
        <v>6.691910062011748E-2</v>
      </c>
      <c r="D27" s="17">
        <f si="29" t="shared"/>
        <v>7.1558316812814327E-2</v>
      </c>
      <c r="E27" s="17">
        <f si="29" t="shared"/>
        <v>2.4368393589237303E-2</v>
      </c>
      <c r="F27" s="17">
        <f si="29" t="shared"/>
        <v>1.0871517156865473E-2</v>
      </c>
      <c r="G27" s="17">
        <f si="29" t="shared"/>
        <v>0.17877407253658301</v>
      </c>
      <c r="I27" s="3" t="s">
        <v>8</v>
      </c>
      <c r="J27" s="17" t="e">
        <f ref="J27:O27" si="30" t="shared">J18/$O$20</f>
        <v>#DIV/0!</v>
      </c>
      <c r="K27" s="17" t="e">
        <f si="30" t="shared"/>
        <v>#DIV/0!</v>
      </c>
      <c r="L27" s="17" t="e">
        <f si="30" t="shared"/>
        <v>#DIV/0!</v>
      </c>
      <c r="M27" s="17" t="e">
        <f si="30" t="shared"/>
        <v>#DIV/0!</v>
      </c>
      <c r="N27" s="17" t="e">
        <f si="30" t="shared"/>
        <v>#DIV/0!</v>
      </c>
      <c r="O27" s="17" t="e">
        <f si="30" t="shared"/>
        <v>#DIV/0!</v>
      </c>
      <c r="Q27" s="3" t="s">
        <v>8</v>
      </c>
      <c r="R27" s="17">
        <f si="26" t="shared"/>
        <v>6.5372964023156961E-3</v>
      </c>
      <c r="S27" s="17">
        <f si="26" t="shared"/>
        <v>5.9470366883660551E-2</v>
      </c>
      <c r="T27" s="17">
        <f si="26" t="shared"/>
        <v>7.4363184893985163E-2</v>
      </c>
      <c r="U27" s="17">
        <f si="26" t="shared"/>
        <v>2.8148077367881452E-2</v>
      </c>
      <c r="V27" s="17">
        <f si="26" t="shared"/>
        <v>1.0255146988740129E-2</v>
      </c>
      <c r="W27" s="17">
        <f si="26" t="shared"/>
        <v>0.17877407253658301</v>
      </c>
    </row>
    <row r="28" spans="1:39" x14ac:dyDescent="0.25">
      <c r="A28" s="5" t="s">
        <v>9</v>
      </c>
      <c r="B28" s="18">
        <f ref="B28:G28" si="31" t="shared">B19/$G$20</f>
        <v>6.0697131308181211E-3</v>
      </c>
      <c r="C28" s="18">
        <f si="31" t="shared"/>
        <v>7.3145033525975164E-2</v>
      </c>
      <c r="D28" s="18">
        <f si="31" t="shared"/>
        <v>0.2273006453984214</v>
      </c>
      <c r="E28" s="18">
        <f si="31" t="shared"/>
        <v>9.7604297323113959E-2</v>
      </c>
      <c r="F28" s="18">
        <f si="31" t="shared"/>
        <v>5.5394973924164335E-2</v>
      </c>
      <c r="G28" s="18">
        <f si="31" t="shared"/>
        <v>0.45951466330249302</v>
      </c>
      <c r="I28" s="5" t="s">
        <v>9</v>
      </c>
      <c r="J28" s="18" t="e">
        <f ref="J28:O28" si="32" t="shared">J19/$O$20</f>
        <v>#DIV/0!</v>
      </c>
      <c r="K28" s="18" t="e">
        <f si="32" t="shared"/>
        <v>#DIV/0!</v>
      </c>
      <c r="L28" s="18" t="e">
        <f si="32" t="shared"/>
        <v>#DIV/0!</v>
      </c>
      <c r="M28" s="18" t="e">
        <f si="32" t="shared"/>
        <v>#DIV/0!</v>
      </c>
      <c r="N28" s="18" t="e">
        <f si="32" t="shared"/>
        <v>#DIV/0!</v>
      </c>
      <c r="O28" s="18" t="e">
        <f si="32" t="shared"/>
        <v>#DIV/0!</v>
      </c>
      <c r="Q28" s="5" t="s">
        <v>9</v>
      </c>
      <c r="R28" s="18">
        <f si="26" t="shared"/>
        <v>7.3955871945510371E-3</v>
      </c>
      <c r="S28" s="18">
        <f si="26" t="shared"/>
        <v>8.0715467807273733E-2</v>
      </c>
      <c r="T28" s="18">
        <f si="26" t="shared"/>
        <v>0.20995907249302417</v>
      </c>
      <c r="U28" s="18">
        <f si="26" t="shared"/>
        <v>0.1089735887546321</v>
      </c>
      <c r="V28" s="18">
        <f si="26" t="shared"/>
        <v>5.2470947053012015E-2</v>
      </c>
      <c r="W28" s="18">
        <f si="26" t="shared"/>
        <v>0.45951466330249302</v>
      </c>
    </row>
    <row ht="15.75" r="29" spans="1:39" thickBot="1" x14ac:dyDescent="0.3">
      <c r="A29" s="7" t="s">
        <v>4</v>
      </c>
      <c r="B29" s="19">
        <f ref="B29:G29" si="33" t="shared">B20/$G$20</f>
        <v>8.4387070662934507E-2</v>
      </c>
      <c r="C29" s="19">
        <f si="33" t="shared"/>
        <v>0.3278388606508244</v>
      </c>
      <c r="D29" s="19">
        <f si="33" t="shared"/>
        <v>0.37273062602582713</v>
      </c>
      <c r="E29" s="19">
        <f si="33" t="shared"/>
        <v>0.14311932996317153</v>
      </c>
      <c r="F29" s="19">
        <f si="33" t="shared"/>
        <v>7.1924112697242526E-2</v>
      </c>
      <c r="G29" s="19">
        <f si="33" t="shared"/>
        <v>1</v>
      </c>
      <c r="I29" s="7" t="s">
        <v>4</v>
      </c>
      <c r="J29" s="19" t="e">
        <f ref="J29:O29" si="34" t="shared">J20/$O$20</f>
        <v>#DIV/0!</v>
      </c>
      <c r="K29" s="19" t="e">
        <f si="34" t="shared"/>
        <v>#DIV/0!</v>
      </c>
      <c r="L29" s="19" t="e">
        <f si="34" t="shared"/>
        <v>#DIV/0!</v>
      </c>
      <c r="M29" s="19" t="e">
        <f si="34" t="shared"/>
        <v>#DIV/0!</v>
      </c>
      <c r="N29" s="19" t="e">
        <f si="34" t="shared"/>
        <v>#DIV/0!</v>
      </c>
      <c r="O29" s="19" t="e">
        <f si="34" t="shared"/>
        <v>#DIV/0!</v>
      </c>
      <c r="Q29" s="7" t="s">
        <v>4</v>
      </c>
      <c r="R29" s="19">
        <f si="26" t="shared"/>
        <v>7.297787583687193E-2</v>
      </c>
      <c r="S29" s="19">
        <f si="26" t="shared"/>
        <v>0.31666816705741502</v>
      </c>
      <c r="T29" s="19">
        <f si="26" t="shared"/>
        <v>0.37739001662559157</v>
      </c>
      <c r="U29" s="19">
        <f si="26" t="shared"/>
        <v>0.16075824174493347</v>
      </c>
      <c r="V29" s="19">
        <f si="26" t="shared"/>
        <v>7.2205698735188006E-2</v>
      </c>
      <c r="W29" s="19">
        <f si="26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</row>
    <row r="33" spans="17:23" x14ac:dyDescent="0.25">
      <c r="Q33" s="11" t="s">
        <v>5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</row>
    <row r="34" spans="17:23" x14ac:dyDescent="0.25">
      <c r="Q34" s="3" t="s">
        <v>6</v>
      </c>
      <c r="R34" s="17" t="e">
        <f>R25-J25</f>
        <v>#DIV/0!</v>
      </c>
      <c r="S34" s="17" t="e">
        <f ref="S34:W34" si="35" t="shared">S25-K25</f>
        <v>#DIV/0!</v>
      </c>
      <c r="T34" s="17" t="e">
        <f si="35" t="shared"/>
        <v>#DIV/0!</v>
      </c>
      <c r="U34" s="17" t="e">
        <f si="35" t="shared"/>
        <v>#DIV/0!</v>
      </c>
      <c r="V34" s="17" t="e">
        <f si="35" t="shared"/>
        <v>#DIV/0!</v>
      </c>
      <c r="W34" s="17" t="e">
        <f si="35" t="shared"/>
        <v>#DIV/0!</v>
      </c>
    </row>
    <row r="35" spans="17:23" x14ac:dyDescent="0.25">
      <c r="Q35" s="3" t="s">
        <v>7</v>
      </c>
      <c r="R35" s="17" t="e">
        <f ref="R35:W38" si="36" t="shared">R26-J26</f>
        <v>#DIV/0!</v>
      </c>
      <c r="S35" s="17" t="e">
        <f si="36" t="shared"/>
        <v>#DIV/0!</v>
      </c>
      <c r="T35" s="17" t="e">
        <f si="36" t="shared"/>
        <v>#DIV/0!</v>
      </c>
      <c r="U35" s="17" t="e">
        <f si="36" t="shared"/>
        <v>#DIV/0!</v>
      </c>
      <c r="V35" s="17" t="e">
        <f si="36" t="shared"/>
        <v>#DIV/0!</v>
      </c>
      <c r="W35" s="17" t="e">
        <f si="36" t="shared"/>
        <v>#DIV/0!</v>
      </c>
    </row>
    <row r="36" spans="17:23" x14ac:dyDescent="0.25">
      <c r="Q36" s="3" t="s">
        <v>8</v>
      </c>
      <c r="R36" s="17" t="e">
        <f si="36" t="shared"/>
        <v>#DIV/0!</v>
      </c>
      <c r="S36" s="17" t="e">
        <f si="36" t="shared"/>
        <v>#DIV/0!</v>
      </c>
      <c r="T36" s="17" t="e">
        <f si="36" t="shared"/>
        <v>#DIV/0!</v>
      </c>
      <c r="U36" s="17" t="e">
        <f si="36" t="shared"/>
        <v>#DIV/0!</v>
      </c>
      <c r="V36" s="17" t="e">
        <f si="36" t="shared"/>
        <v>#DIV/0!</v>
      </c>
      <c r="W36" s="17" t="e">
        <f si="36" t="shared"/>
        <v>#DIV/0!</v>
      </c>
    </row>
    <row r="37" spans="17:23" x14ac:dyDescent="0.25">
      <c r="Q37" s="5" t="s">
        <v>9</v>
      </c>
      <c r="R37" s="18" t="e">
        <f si="36" t="shared"/>
        <v>#DIV/0!</v>
      </c>
      <c r="S37" s="18" t="e">
        <f si="36" t="shared"/>
        <v>#DIV/0!</v>
      </c>
      <c r="T37" s="18" t="e">
        <f si="36" t="shared"/>
        <v>#DIV/0!</v>
      </c>
      <c r="U37" s="18" t="e">
        <f si="36" t="shared"/>
        <v>#DIV/0!</v>
      </c>
      <c r="V37" s="18" t="e">
        <f si="36" t="shared"/>
        <v>#DIV/0!</v>
      </c>
      <c r="W37" s="18" t="e">
        <f si="36" t="shared"/>
        <v>#DIV/0!</v>
      </c>
    </row>
    <row ht="15.75" r="38" spans="17:23" thickBot="1" x14ac:dyDescent="0.3">
      <c r="Q38" s="7" t="s">
        <v>4</v>
      </c>
      <c r="R38" s="19" t="e">
        <f si="36" t="shared"/>
        <v>#DIV/0!</v>
      </c>
      <c r="S38" s="19" t="e">
        <f si="36" t="shared"/>
        <v>#DIV/0!</v>
      </c>
      <c r="T38" s="19" t="e">
        <f si="36" t="shared"/>
        <v>#DIV/0!</v>
      </c>
      <c r="U38" s="19" t="e">
        <f si="36" t="shared"/>
        <v>#DIV/0!</v>
      </c>
      <c r="V38" s="19" t="e">
        <f si="36" t="shared"/>
        <v>#DIV/0!</v>
      </c>
      <c r="W38" s="19" t="e">
        <f si="36" t="shared"/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M38"/>
  <sheetViews>
    <sheetView tabSelected="1" topLeftCell="A7" workbookViewId="0">
      <selection activeCell="AA29" sqref="AA29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" t="s">
        <v>0</v>
      </c>
      <c r="I3" s="1" t="s">
        <v>0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99077.446</v>
      </c>
      <c r="C6" s="4" t="n">
        <v>322825.4227</v>
      </c>
      <c r="D6" s="4" t="n">
        <v>43813.1862</v>
      </c>
      <c r="E6" s="4" t="n">
        <v>7593.2611</v>
      </c>
      <c r="F6" s="4" t="n">
        <v>4120.7077</v>
      </c>
      <c r="G6" s="4">
        <f>SUM(B6:F6)</f>
        <v>477430.02370000002</v>
      </c>
      <c r="I6" s="3">
        <v>1</v>
      </c>
      <c r="O6" s="4"/>
      <c r="Q6" s="3">
        <v>1</v>
      </c>
      <c r="R6" s="30" t="n">
        <v>88166.0</v>
      </c>
      <c r="S6" s="34" t="n">
        <v>348878.0</v>
      </c>
      <c r="T6" s="38" t="n">
        <v>44181.0</v>
      </c>
      <c r="U6" s="42" t="n">
        <v>9624.0</v>
      </c>
      <c r="V6" s="46" t="n">
        <v>4624.0</v>
      </c>
      <c r="W6" s="4">
        <f>SUM(R6:V6)</f>
        <v>466474.83163064456</v>
      </c>
    </row>
    <row r="7" spans="1:39" x14ac:dyDescent="0.25">
      <c r="A7" s="3">
        <v>2</v>
      </c>
      <c r="B7" s="4" t="n">
        <v>25854.0162</v>
      </c>
      <c r="C7" s="4" t="n">
        <v>160502.5256</v>
      </c>
      <c r="D7" s="4" t="n">
        <v>448414.0012</v>
      </c>
      <c r="E7" s="4" t="n">
        <v>127888.8906</v>
      </c>
      <c r="F7" s="4" t="n">
        <v>44949.9495</v>
      </c>
      <c r="G7" s="4">
        <f ref="G7:G10" si="0" t="shared">SUM(B7:F7)</f>
        <v>807609.38310000009</v>
      </c>
      <c r="I7" s="3">
        <v>2</v>
      </c>
      <c r="O7" s="4"/>
      <c r="Q7" s="3">
        <v>2</v>
      </c>
      <c r="R7" s="31" t="n">
        <v>21576.0</v>
      </c>
      <c r="S7" s="35" t="n">
        <v>140781.0</v>
      </c>
      <c r="T7" s="39" t="n">
        <v>481614.0</v>
      </c>
      <c r="U7" s="43" t="n">
        <v>137888.0</v>
      </c>
      <c r="V7" s="47" t="n">
        <v>46917.0</v>
      </c>
      <c r="W7" s="4">
        <f ref="W7:W10" si="1" t="shared">SUM(R7:V7)</f>
        <v>735259.96819019935</v>
      </c>
    </row>
    <row r="8" spans="1:39" x14ac:dyDescent="0.25">
      <c r="A8" s="3">
        <v>3</v>
      </c>
      <c r="B8" s="4" t="n">
        <v>3601.2171</v>
      </c>
      <c r="C8" s="4" t="n">
        <v>15987.585000000001</v>
      </c>
      <c r="D8" s="4" t="n">
        <v>61860.2523</v>
      </c>
      <c r="E8" s="4" t="n">
        <v>56178.9126</v>
      </c>
      <c r="F8" s="4" t="n">
        <v>36022.1079</v>
      </c>
      <c r="G8" s="4">
        <f si="0" t="shared"/>
        <v>173650.07490000001</v>
      </c>
      <c r="I8" s="3">
        <v>3</v>
      </c>
      <c r="O8" s="4"/>
      <c r="Q8" s="3">
        <v>3</v>
      </c>
      <c r="R8" s="32" t="n">
        <v>3100.0</v>
      </c>
      <c r="S8" s="36" t="n">
        <v>15673.0</v>
      </c>
      <c r="T8" s="40" t="n">
        <v>76037.0</v>
      </c>
      <c r="U8" s="44" t="n">
        <v>70123.0</v>
      </c>
      <c r="V8" s="48" t="n">
        <v>25383.0</v>
      </c>
      <c r="W8" s="4">
        <f si="1" t="shared"/>
        <v>199912.09926920035</v>
      </c>
    </row>
    <row r="9" spans="1:39" x14ac:dyDescent="0.25">
      <c r="A9" s="5" t="s">
        <v>3</v>
      </c>
      <c r="B9" s="4" t="n">
        <v>606.4551</v>
      </c>
      <c r="C9" s="4" t="n">
        <v>2382.4917</v>
      </c>
      <c r="D9" s="4" t="n">
        <v>16309.3051</v>
      </c>
      <c r="E9" s="4" t="n">
        <v>27357.1602</v>
      </c>
      <c r="F9" s="4" t="n">
        <v>24974.0684</v>
      </c>
      <c r="G9" s="6">
        <f si="0" t="shared"/>
        <v>71629.480500000005</v>
      </c>
      <c r="I9" s="5" t="s">
        <v>3</v>
      </c>
      <c r="J9" s="70"/>
      <c r="K9" s="70"/>
      <c r="L9" s="70"/>
      <c r="M9" s="70"/>
      <c r="N9" s="70"/>
      <c r="O9" s="6"/>
      <c r="Q9" s="5" t="s">
        <v>3</v>
      </c>
      <c r="R9" s="33" t="n">
        <v>454.0</v>
      </c>
      <c r="S9" s="37" t="n">
        <v>2459.0</v>
      </c>
      <c r="T9" s="41" t="n">
        <v>23293.0</v>
      </c>
      <c r="U9" s="45" t="n">
        <v>33244.0</v>
      </c>
      <c r="V9" s="49" t="n">
        <v>32285.0</v>
      </c>
      <c r="W9" s="6">
        <f si="1" t="shared"/>
        <v>104962.20829076355</v>
      </c>
    </row>
    <row ht="15.75" r="10" spans="1:39" thickBot="1" x14ac:dyDescent="0.3">
      <c r="A10" s="7" t="s">
        <v>4</v>
      </c>
      <c r="B10" s="8">
        <f>SUM(B6:B9)</f>
        <v>129139.1344</v>
      </c>
      <c r="C10" s="8">
        <f ref="C10:F10" si="2" t="shared">SUM(C6:C9)</f>
        <v>501698.02500000002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109945.70765127928</v>
      </c>
      <c r="S10" s="8">
        <f ref="S10" si="3" t="shared">SUM(S6:S9)</f>
        <v>477113.62574298028</v>
      </c>
      <c r="T10" s="8">
        <f ref="T10" si="4" t="shared">SUM(T6:T9)</f>
        <v>568543.23782908963</v>
      </c>
      <c r="U10" s="8">
        <f ref="U10" si="5" t="shared">SUM(U6:U9)</f>
        <v>242214.28207884956</v>
      </c>
      <c r="V10" s="8">
        <f ref="V10" si="6" t="shared">SUM(V6:V9)</f>
        <v>108792.25407860902</v>
      </c>
      <c r="W10" s="8">
        <f si="1" t="shared"/>
        <v>1506609.1073808079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0</v>
      </c>
      <c r="Q13" s="1" t="s">
        <v>0</v>
      </c>
      <c r="Y13" s="1" t="s">
        <v>24</v>
      </c>
      <c r="AG13" s="1" t="s">
        <v>25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96803.997752528187</v>
      </c>
      <c r="C16" s="4">
        <f ref="C16:F16" si="7" t="shared">($W6/$G6)*C6</f>
        <v>315417.81460040621</v>
      </c>
      <c r="D16" s="4">
        <f si="7" t="shared"/>
        <v>42807.841235995307</v>
      </c>
      <c r="E16" s="4">
        <f si="7" t="shared"/>
        <v>7419.0248147773173</v>
      </c>
      <c r="F16" s="4">
        <f si="7" t="shared"/>
        <v>4026.1532269374966</v>
      </c>
      <c r="G16" s="4">
        <f>($W6/$G6)*G6</f>
        <v>466474.83163064456</v>
      </c>
      <c r="I16" s="3">
        <v>1</v>
      </c>
      <c r="J16" s="4" t="e">
        <f>($W6/$O6)*J6</f>
        <v>#DIV/0!</v>
      </c>
      <c r="K16" s="4" t="e">
        <f ref="K16:O16" si="8" t="shared">($W6/$O6)*K6</f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>
        <v>1</v>
      </c>
      <c r="R16" s="4">
        <f>R6</f>
        <v>83304.918526929105</v>
      </c>
      <c r="S16" s="4">
        <f ref="S16:V16" si="9" t="shared">S6</f>
        <v>328587.0973352585</v>
      </c>
      <c r="T16" s="4">
        <f si="9" t="shared"/>
        <v>41355.036582271408</v>
      </c>
      <c r="U16" s="4">
        <f si="9" t="shared"/>
        <v>9067.9432541124952</v>
      </c>
      <c r="V16" s="4">
        <f si="9" t="shared"/>
        <v>4159.8359320730415</v>
      </c>
      <c r="W16" s="4">
        <f>SUM(R16:V16)</f>
        <v>466474.83163064456</v>
      </c>
      <c r="Y16" s="3">
        <v>1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19" si="14" t="shared">W16-O16</f>
        <v>#DIV/0!</v>
      </c>
      <c r="AG16" s="3">
        <v>1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>
        <v>2</v>
      </c>
      <c r="B17" s="4">
        <f ref="B17:G17" si="20" t="shared">($W7/$G7)*B7</f>
        <v>23537.892855867311</v>
      </c>
      <c r="C17" s="4">
        <f si="20" t="shared"/>
        <v>146123.96083626265</v>
      </c>
      <c r="D17" s="4">
        <f si="20" t="shared"/>
        <v>408242.98374642298</v>
      </c>
      <c r="E17" s="4">
        <f si="20" t="shared"/>
        <v>116432.00735669595</v>
      </c>
      <c r="F17" s="4">
        <f si="20" t="shared"/>
        <v>40923.123394950395</v>
      </c>
      <c r="G17" s="4">
        <f si="20" t="shared"/>
        <v>735259.96819019935</v>
      </c>
      <c r="I17" s="3">
        <v>2</v>
      </c>
      <c r="J17" s="4" t="e">
        <f ref="J17:O17" si="21" t="shared">($W7/$O7)*J7</f>
        <v>#DIV/0!</v>
      </c>
      <c r="K17" s="4" t="e">
        <f si="21" t="shared"/>
        <v>#DIV/0!</v>
      </c>
      <c r="L17" s="4" t="e">
        <f si="21" t="shared"/>
        <v>#DIV/0!</v>
      </c>
      <c r="M17" s="4" t="e">
        <f si="21" t="shared"/>
        <v>#DIV/0!</v>
      </c>
      <c r="N17" s="4" t="e">
        <f si="21" t="shared"/>
        <v>#DIV/0!</v>
      </c>
      <c r="O17" s="4" t="e">
        <f si="21" t="shared"/>
        <v>#DIV/0!</v>
      </c>
      <c r="Q17" s="3">
        <v>2</v>
      </c>
      <c r="R17" s="4">
        <f ref="R17:V17" si="22" t="shared">R7</f>
        <v>21641.625619930743</v>
      </c>
      <c r="S17" s="4">
        <f si="22" t="shared"/>
        <v>128483.58917680086</v>
      </c>
      <c r="T17" s="4">
        <f si="22" t="shared"/>
        <v>424082.42514298414</v>
      </c>
      <c r="U17" s="4">
        <f si="22" t="shared"/>
        <v>120171.00463339142</v>
      </c>
      <c r="V17" s="4">
        <f si="22" t="shared"/>
        <v>40881.323617092217</v>
      </c>
      <c r="W17" s="4">
        <f ref="W17:W20" si="23" t="shared">SUM(R17:V17)</f>
        <v>735259.96819019935</v>
      </c>
      <c r="Y17" s="3">
        <v>2</v>
      </c>
      <c r="Z17" s="4" t="e">
        <f ref="Z17:Z20" si="24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>
        <v>2</v>
      </c>
      <c r="AH17" s="17" t="e">
        <f ref="AH17:AH20" si="25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>
        <v>3</v>
      </c>
      <c r="B18" s="4">
        <f ref="B18:G18" si="26" t="shared">($W8/$G8)*B8</f>
        <v>4145.8483147774432</v>
      </c>
      <c r="C18" s="4">
        <f si="26" t="shared"/>
        <v>18405.47250806155</v>
      </c>
      <c r="D18" s="4">
        <f si="26" t="shared"/>
        <v>71215.707253434535</v>
      </c>
      <c r="E18" s="4">
        <f si="26" t="shared"/>
        <v>64675.148334916907</v>
      </c>
      <c r="F18" s="4">
        <f si="26" t="shared"/>
        <v>41469.922858009937</v>
      </c>
      <c r="G18" s="4">
        <f si="26" t="shared"/>
        <v>199912.09926920038</v>
      </c>
      <c r="I18" s="3">
        <v>3</v>
      </c>
      <c r="J18" s="4" t="e">
        <f ref="J18:O18" si="27" t="shared">($W8/$O8)*J8</f>
        <v>#DIV/0!</v>
      </c>
      <c r="K18" s="4" t="e">
        <f si="27" t="shared"/>
        <v>#DIV/0!</v>
      </c>
      <c r="L18" s="4" t="e">
        <f si="27" t="shared"/>
        <v>#DIV/0!</v>
      </c>
      <c r="M18" s="4" t="e">
        <f si="27" t="shared"/>
        <v>#DIV/0!</v>
      </c>
      <c r="N18" s="4" t="e">
        <f si="27" t="shared"/>
        <v>#DIV/0!</v>
      </c>
      <c r="O18" s="4" t="e">
        <f si="27" t="shared"/>
        <v>#DIV/0!</v>
      </c>
      <c r="Q18" s="3">
        <v>3</v>
      </c>
      <c r="R18" s="4">
        <f ref="R18:V18" si="28" t="shared">R8</f>
        <v>4488.3105817329015</v>
      </c>
      <c r="S18" s="4">
        <f si="28" t="shared"/>
        <v>17209.062531749911</v>
      </c>
      <c r="T18" s="4">
        <f si="28" t="shared"/>
        <v>76376.040117070748</v>
      </c>
      <c r="U18" s="4">
        <f si="28" t="shared"/>
        <v>74913.943926101972</v>
      </c>
      <c r="V18" s="4">
        <f si="28" t="shared"/>
        <v>26924.742112544838</v>
      </c>
      <c r="W18" s="4">
        <f si="23" t="shared"/>
        <v>199912.09926920035</v>
      </c>
      <c r="Y18" s="3">
        <v>3</v>
      </c>
      <c r="Z18" s="4" t="e">
        <f si="24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>
        <v>3</v>
      </c>
      <c r="AH18" s="17" t="e">
        <f si="25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3</v>
      </c>
      <c r="B19" s="4">
        <f ref="B19:G19" si="29" t="shared">($W9/$G9)*B9</f>
        <v>888.66854932999047</v>
      </c>
      <c r="C19" s="4">
        <f si="29" t="shared"/>
        <v>3491.1825176006314</v>
      </c>
      <c r="D19" s="4">
        <f si="29" t="shared"/>
        <v>23898.82862523081</v>
      </c>
      <c r="E19" s="4">
        <f si="29" t="shared"/>
        <v>40087.795236155405</v>
      </c>
      <c r="F19" s="4">
        <f si="29" t="shared"/>
        <v>36595.733362446706</v>
      </c>
      <c r="G19" s="6">
        <f si="29" t="shared"/>
        <v>104962.20829076355</v>
      </c>
      <c r="I19" s="5" t="s">
        <v>3</v>
      </c>
      <c r="J19" s="6" t="e">
        <f ref="J19:O19" si="30" t="shared">($W9/$O9)*J9</f>
        <v>#DIV/0!</v>
      </c>
      <c r="K19" s="6" t="e">
        <f si="30" t="shared"/>
        <v>#DIV/0!</v>
      </c>
      <c r="L19" s="6" t="e">
        <f si="30" t="shared"/>
        <v>#DIV/0!</v>
      </c>
      <c r="M19" s="6" t="e">
        <f si="30" t="shared"/>
        <v>#DIV/0!</v>
      </c>
      <c r="N19" s="6" t="e">
        <f si="30" t="shared"/>
        <v>#DIV/0!</v>
      </c>
      <c r="O19" s="6" t="e">
        <f si="30" t="shared"/>
        <v>#DIV/0!</v>
      </c>
      <c r="Q19" s="5" t="s">
        <v>3</v>
      </c>
      <c r="R19" s="4">
        <f ref="R19:V19" si="31" t="shared">R9</f>
        <v>510.85292268653501</v>
      </c>
      <c r="S19" s="4">
        <f si="31" t="shared"/>
        <v>2833.8766991710295</v>
      </c>
      <c r="T19" s="4">
        <f si="31" t="shared"/>
        <v>26729.735986763397</v>
      </c>
      <c r="U19" s="4">
        <f si="31" t="shared"/>
        <v>38061.390265243652</v>
      </c>
      <c r="V19" s="4">
        <f si="31" t="shared"/>
        <v>36826.352416898946</v>
      </c>
      <c r="W19" s="6">
        <f si="23" t="shared"/>
        <v>104962.20829076355</v>
      </c>
      <c r="Y19" s="5" t="s">
        <v>3</v>
      </c>
      <c r="Z19" s="4" t="e">
        <f si="24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3</v>
      </c>
      <c r="AH19" s="17" t="e">
        <f si="25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>SUM(B16:B19)</f>
        <v>125376.40747250292</v>
      </c>
      <c r="C20" s="8">
        <f ref="C20:G20" si="32" t="shared">SUM(C16:C19)</f>
        <v>483438.4304623311</v>
      </c>
      <c r="D20" s="8">
        <f si="32" t="shared"/>
        <v>546165.36086108361</v>
      </c>
      <c r="E20" s="8">
        <f si="32" t="shared"/>
        <v>228613.97574254556</v>
      </c>
      <c r="F20" s="8">
        <f si="32" t="shared"/>
        <v>123014.93284234454</v>
      </c>
      <c r="G20" s="8">
        <f si="32" t="shared"/>
        <v>1506609.1073808079</v>
      </c>
      <c r="I20" s="7" t="s">
        <v>4</v>
      </c>
      <c r="J20" s="8" t="e">
        <f ref="J20:O20" si="33" t="shared">($W10/$O10)*J10</f>
        <v>#DIV/0!</v>
      </c>
      <c r="K20" s="8" t="e">
        <f si="33" t="shared"/>
        <v>#DIV/0!</v>
      </c>
      <c r="L20" s="8" t="e">
        <f si="33" t="shared"/>
        <v>#DIV/0!</v>
      </c>
      <c r="M20" s="8" t="e">
        <f si="33" t="shared"/>
        <v>#DIV/0!</v>
      </c>
      <c r="N20" s="8" t="e">
        <f si="33" t="shared"/>
        <v>#DIV/0!</v>
      </c>
      <c r="O20" s="8" t="e">
        <f si="33" t="shared"/>
        <v>#DIV/0!</v>
      </c>
      <c r="Q20" s="7" t="s">
        <v>4</v>
      </c>
      <c r="R20" s="8">
        <f>SUM(R16:R19)</f>
        <v>109945.70765127928</v>
      </c>
      <c r="S20" s="8">
        <f ref="S20:V20" si="34" t="shared">SUM(S16:S19)</f>
        <v>477113.62574298028</v>
      </c>
      <c r="T20" s="8">
        <f si="34" t="shared"/>
        <v>568543.23782908963</v>
      </c>
      <c r="U20" s="8">
        <f si="34" t="shared"/>
        <v>242214.28207884956</v>
      </c>
      <c r="V20" s="8">
        <f si="34" t="shared"/>
        <v>108792.25407860902</v>
      </c>
      <c r="W20" s="8">
        <f si="23" t="shared"/>
        <v>1506609.1073808079</v>
      </c>
      <c r="Y20" s="7" t="s">
        <v>4</v>
      </c>
      <c r="Z20" s="8" t="e">
        <f si="24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>W20-O20</f>
        <v>#DIV/0!</v>
      </c>
      <c r="AG20" s="7" t="s">
        <v>4</v>
      </c>
      <c r="AH20" s="19" t="e">
        <f si="25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Q22" t="s">
        <v>15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6.4252895643793675E-2</v>
      </c>
      <c r="C25" s="17">
        <f ref="C25:G25" si="35" t="shared">C16/$G$20</f>
        <v>0.2093561050807333</v>
      </c>
      <c r="D25" s="17">
        <f si="35" t="shared"/>
        <v>2.8413369484016581E-2</v>
      </c>
      <c r="E25" s="17">
        <f si="35" t="shared"/>
        <v>4.9243196383400708E-3</v>
      </c>
      <c r="F25" s="17">
        <f si="35" t="shared"/>
        <v>2.6723276842105623E-3</v>
      </c>
      <c r="G25" s="17">
        <f si="35" t="shared"/>
        <v>0.30961901753109422</v>
      </c>
      <c r="I25" s="3">
        <v>1</v>
      </c>
      <c r="J25" s="17" t="e">
        <f>J16/$O$20</f>
        <v>#DIV/0!</v>
      </c>
      <c r="K25" s="17" t="e">
        <f ref="K25:O25" si="36" t="shared">K16/$O$20</f>
        <v>#DIV/0!</v>
      </c>
      <c r="L25" s="17" t="e">
        <f si="36" t="shared"/>
        <v>#DIV/0!</v>
      </c>
      <c r="M25" s="17" t="e">
        <f si="36" t="shared"/>
        <v>#DIV/0!</v>
      </c>
      <c r="N25" s="17" t="e">
        <f si="36" t="shared"/>
        <v>#DIV/0!</v>
      </c>
      <c r="O25" s="17" t="e">
        <f si="36" t="shared"/>
        <v>#DIV/0!</v>
      </c>
      <c r="Q25" s="3">
        <v>1</v>
      </c>
      <c r="R25" s="17">
        <f>R6/$W$10</f>
        <v>5.5292987490134095E-2</v>
      </c>
      <c r="S25" s="17">
        <f ref="S25:W25" si="37" t="shared">S6/$W$10</f>
        <v>0.21809711339558854</v>
      </c>
      <c r="T25" s="17">
        <f si="37" t="shared"/>
        <v>2.7449081768904097E-2</v>
      </c>
      <c r="U25" s="17">
        <f si="37" t="shared"/>
        <v>6.0187763433056816E-3</v>
      </c>
      <c r="V25" s="17">
        <f si="37" t="shared"/>
        <v>2.7610585331617862E-3</v>
      </c>
      <c r="W25" s="17">
        <f si="37" t="shared"/>
        <v>0.30961901753109422</v>
      </c>
    </row>
    <row r="26" spans="1:39" x14ac:dyDescent="0.25">
      <c r="A26" s="3">
        <v>2</v>
      </c>
      <c r="B26" s="17">
        <f ref="B26:G26" si="38" t="shared">B17/$G$20</f>
        <v>1.562309210833538E-2</v>
      </c>
      <c r="C26" s="17">
        <f si="38" t="shared"/>
        <v>9.6988635021790434E-2</v>
      </c>
      <c r="D26" s="17">
        <f si="38" t="shared"/>
        <v>0.27096808438662662</v>
      </c>
      <c r="E26" s="17">
        <f si="38" t="shared"/>
        <v>7.728083335372192E-2</v>
      </c>
      <c r="F26" s="17">
        <f si="38" t="shared"/>
        <v>2.7162402772205423E-2</v>
      </c>
      <c r="G26" s="17">
        <f si="38" t="shared"/>
        <v>0.48802304764267984</v>
      </c>
      <c r="I26" s="3">
        <v>2</v>
      </c>
      <c r="J26" s="17" t="e">
        <f ref="J26:O26" si="39" t="shared">J17/$O$20</f>
        <v>#DIV/0!</v>
      </c>
      <c r="K26" s="17" t="e">
        <f si="39" t="shared"/>
        <v>#DIV/0!</v>
      </c>
      <c r="L26" s="17" t="e">
        <f si="39" t="shared"/>
        <v>#DIV/0!</v>
      </c>
      <c r="M26" s="17" t="e">
        <f si="39" t="shared"/>
        <v>#DIV/0!</v>
      </c>
      <c r="N26" s="17" t="e">
        <f si="39" t="shared"/>
        <v>#DIV/0!</v>
      </c>
      <c r="O26" s="17" t="e">
        <f si="39" t="shared"/>
        <v>#DIV/0!</v>
      </c>
      <c r="Q26" s="3">
        <v>2</v>
      </c>
      <c r="R26" s="17">
        <f ref="R26:W26" si="40" t="shared">R7/$W$10</f>
        <v>1.4364459576083422E-2</v>
      </c>
      <c r="S26" s="17">
        <f si="40" t="shared"/>
        <v>8.5279976436731825E-2</v>
      </c>
      <c r="T26" s="17">
        <f si="40" t="shared"/>
        <v>0.28148138960890656</v>
      </c>
      <c r="U26" s="17">
        <f si="40" t="shared"/>
        <v>7.9762563524061594E-2</v>
      </c>
      <c r="V26" s="17">
        <f si="40" t="shared"/>
        <v>2.7134658496896454E-2</v>
      </c>
      <c r="W26" s="17">
        <f si="40" t="shared"/>
        <v>0.48802304764267984</v>
      </c>
    </row>
    <row r="27" spans="1:39" x14ac:dyDescent="0.25">
      <c r="A27" s="3">
        <v>3</v>
      </c>
      <c r="B27" s="17">
        <f ref="B27:G27" si="41" t="shared">B18/$G$20</f>
        <v>2.7517743616888584E-3</v>
      </c>
      <c r="C27" s="17">
        <f si="41" t="shared"/>
        <v>1.2216488283453217E-2</v>
      </c>
      <c r="D27" s="17">
        <f si="41" t="shared"/>
        <v>4.7268868152032337E-2</v>
      </c>
      <c r="E27" s="17">
        <f si="41" t="shared"/>
        <v>4.2927623374952643E-2</v>
      </c>
      <c r="F27" s="17">
        <f si="41" t="shared"/>
        <v>2.7525336634997569E-2</v>
      </c>
      <c r="G27" s="17">
        <f si="41" t="shared"/>
        <v>0.13269009080712463</v>
      </c>
      <c r="I27" s="3">
        <v>3</v>
      </c>
      <c r="J27" s="17" t="e">
        <f ref="J27:O27" si="42" t="shared">J18/$O$20</f>
        <v>#DIV/0!</v>
      </c>
      <c r="K27" s="17" t="e">
        <f si="42" t="shared"/>
        <v>#DIV/0!</v>
      </c>
      <c r="L27" s="17" t="e">
        <f si="42" t="shared"/>
        <v>#DIV/0!</v>
      </c>
      <c r="M27" s="17" t="e">
        <f si="42" t="shared"/>
        <v>#DIV/0!</v>
      </c>
      <c r="N27" s="17" t="e">
        <f si="42" t="shared"/>
        <v>#DIV/0!</v>
      </c>
      <c r="O27" s="17" t="e">
        <f si="42" t="shared"/>
        <v>#DIV/0!</v>
      </c>
      <c r="Q27" s="3">
        <v>3</v>
      </c>
      <c r="R27" s="17">
        <f ref="R27:W27" si="43" t="shared">R8/$W$10</f>
        <v>2.9790810102931654E-3</v>
      </c>
      <c r="S27" s="17">
        <f si="43" t="shared"/>
        <v>1.1422380528196408E-2</v>
      </c>
      <c r="T27" s="17">
        <f si="43" t="shared"/>
        <v>5.0693998690773928E-2</v>
      </c>
      <c r="U27" s="17">
        <f si="43" t="shared"/>
        <v>4.9723543790557254E-2</v>
      </c>
      <c r="V27" s="17">
        <f si="43" t="shared"/>
        <v>1.7871086787303873E-2</v>
      </c>
      <c r="W27" s="17">
        <f si="43" t="shared"/>
        <v>0.1326900908071246</v>
      </c>
    </row>
    <row r="28" spans="1:39" x14ac:dyDescent="0.25">
      <c r="A28" s="5" t="s">
        <v>3</v>
      </c>
      <c r="B28" s="18">
        <f ref="B28:G28" si="44" t="shared">B19/$G$20</f>
        <v>5.8984679236070232E-4</v>
      </c>
      <c r="C28" s="18">
        <f si="44" t="shared"/>
        <v>2.3172450640962482E-3</v>
      </c>
      <c r="D28" s="18">
        <f si="44" t="shared"/>
        <v>1.5862660399536654E-2</v>
      </c>
      <c r="E28" s="18">
        <f si="44" t="shared"/>
        <v>2.6607960246468155E-2</v>
      </c>
      <c r="F28" s="18">
        <f si="44" t="shared"/>
        <v>2.4290131516639526E-2</v>
      </c>
      <c r="G28" s="18">
        <f si="44" t="shared"/>
        <v>6.9667844019101297E-2</v>
      </c>
      <c r="I28" s="5" t="s">
        <v>3</v>
      </c>
      <c r="J28" s="18" t="e">
        <f ref="J28:O28" si="45" t="shared">J19/$O$20</f>
        <v>#DIV/0!</v>
      </c>
      <c r="K28" s="18" t="e">
        <f si="45" t="shared"/>
        <v>#DIV/0!</v>
      </c>
      <c r="L28" s="18" t="e">
        <f si="45" t="shared"/>
        <v>#DIV/0!</v>
      </c>
      <c r="M28" s="18" t="e">
        <f si="45" t="shared"/>
        <v>#DIV/0!</v>
      </c>
      <c r="N28" s="18" t="e">
        <f si="45" t="shared"/>
        <v>#DIV/0!</v>
      </c>
      <c r="O28" s="18" t="e">
        <f si="45" t="shared"/>
        <v>#DIV/0!</v>
      </c>
      <c r="Q28" s="5" t="s">
        <v>3</v>
      </c>
      <c r="R28" s="18">
        <f ref="R28:W28" si="46" t="shared">R9/$W$10</f>
        <v>3.3907462803980828E-4</v>
      </c>
      <c r="S28" s="18">
        <f si="46" t="shared"/>
        <v>1.8809634730654419E-3</v>
      </c>
      <c r="T28" s="18">
        <f si="46" t="shared"/>
        <v>1.7741652997991096E-2</v>
      </c>
      <c r="U28" s="18">
        <f si="46" t="shared"/>
        <v>2.5262949811455854E-2</v>
      </c>
      <c r="V28" s="18">
        <f si="46" t="shared"/>
        <v>2.44432031085491E-2</v>
      </c>
      <c r="W28" s="18">
        <f si="46" t="shared"/>
        <v>6.9667844019101297E-2</v>
      </c>
    </row>
    <row ht="15.75" r="29" spans="1:39" thickBot="1" x14ac:dyDescent="0.3">
      <c r="A29" s="7" t="s">
        <v>4</v>
      </c>
      <c r="B29" s="19">
        <f ref="B29:G29" si="47" t="shared">B20/$G$20</f>
        <v>8.3217608906178603E-2</v>
      </c>
      <c r="C29" s="19">
        <f si="47" t="shared"/>
        <v>0.32087847345007325</v>
      </c>
      <c r="D29" s="19">
        <f si="47" t="shared"/>
        <v>0.36251298242221219</v>
      </c>
      <c r="E29" s="19">
        <f si="47" t="shared"/>
        <v>0.15174073661348278</v>
      </c>
      <c r="F29" s="19">
        <f si="47" t="shared"/>
        <v>8.1650198608053087E-2</v>
      </c>
      <c r="G29" s="19">
        <f si="47" t="shared"/>
        <v>1</v>
      </c>
      <c r="I29" s="7" t="s">
        <v>4</v>
      </c>
      <c r="J29" s="19" t="e">
        <f ref="J29:O29" si="48" t="shared">J20/$O$20</f>
        <v>#DIV/0!</v>
      </c>
      <c r="K29" s="19" t="e">
        <f si="48" t="shared"/>
        <v>#DIV/0!</v>
      </c>
      <c r="L29" s="19" t="e">
        <f si="48" t="shared"/>
        <v>#DIV/0!</v>
      </c>
      <c r="M29" s="19" t="e">
        <f si="48" t="shared"/>
        <v>#DIV/0!</v>
      </c>
      <c r="N29" s="19" t="e">
        <f si="48" t="shared"/>
        <v>#DIV/0!</v>
      </c>
      <c r="O29" s="19" t="e">
        <f si="48" t="shared"/>
        <v>#DIV/0!</v>
      </c>
      <c r="Q29" s="7" t="s">
        <v>4</v>
      </c>
      <c r="R29" s="19">
        <f ref="R29:W29" si="49" t="shared">R10/$W$10</f>
        <v>7.2975602704550488E-2</v>
      </c>
      <c r="S29" s="19">
        <f si="49" t="shared"/>
        <v>0.31668043383358219</v>
      </c>
      <c r="T29" s="19">
        <f si="49" t="shared"/>
        <v>0.37736612306657563</v>
      </c>
      <c r="U29" s="19">
        <f si="49" t="shared"/>
        <v>0.16076783346938039</v>
      </c>
      <c r="V29" s="19">
        <f si="49" t="shared"/>
        <v>7.2210006925911202E-2</v>
      </c>
      <c r="W29" s="19">
        <f si="49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  <c r="Y32" s="96" t="s">
        <v>165</v>
      </c>
    </row>
    <row r="33" spans="17:26" x14ac:dyDescent="0.25"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96" t="s">
        <v>133</v>
      </c>
      <c r="Z33" s="95" t="s">
        <v>164</v>
      </c>
    </row>
    <row r="34" spans="17:26" x14ac:dyDescent="0.25">
      <c r="Q34" s="3">
        <v>1</v>
      </c>
      <c r="R34" s="17">
        <f>R25-B25</f>
        <v>-8.9599081536595807E-3</v>
      </c>
      <c r="S34" s="17">
        <f ref="S34:W34" si="50" t="shared">S25-C25</f>
        <v>8.7410083148552475E-3</v>
      </c>
      <c r="T34" s="17">
        <f si="50" t="shared"/>
        <v>-9.6428771511248429E-4</v>
      </c>
      <c r="U34" s="17">
        <f si="50" t="shared"/>
        <v>1.0944567049656108E-3</v>
      </c>
      <c r="V34" s="17">
        <f si="50" t="shared"/>
        <v>8.8730848951223962E-5</v>
      </c>
      <c r="W34" s="17">
        <f si="50" t="shared"/>
        <v>0</v>
      </c>
      <c r="Y34" s="4">
        <f>B16+B17+C17+B18+C18+D18+B19+C19+D19+E19</f>
        <v>428599.35444924847</v>
      </c>
      <c r="Z34" s="4">
        <f>R16+R17+S17+R18+S18+T18+R19+S19+T19+U19</f>
        <v>399639.40242807887</v>
      </c>
    </row>
    <row r="35" spans="17:26" x14ac:dyDescent="0.25">
      <c r="Q35" s="3">
        <v>2</v>
      </c>
      <c r="R35" s="17">
        <f ref="R35:W35" si="51" t="shared">R26-B26</f>
        <v>-1.2586325322519586E-3</v>
      </c>
      <c r="S35" s="17">
        <f si="51" t="shared"/>
        <v>-1.1708658585058609E-2</v>
      </c>
      <c r="T35" s="17">
        <f si="51" t="shared"/>
        <v>1.0513305222279945E-2</v>
      </c>
      <c r="U35" s="17">
        <f si="51" t="shared"/>
        <v>2.4817301703396744E-3</v>
      </c>
      <c r="V35" s="17">
        <f si="51" t="shared"/>
        <v>-2.7744275308969751E-5</v>
      </c>
      <c r="W35" s="17">
        <f si="51" t="shared"/>
        <v>0</v>
      </c>
      <c r="Z35" s="97">
        <f>(Z34-Y34)/G20</f>
        <v>-1.9221941430790597E-2</v>
      </c>
    </row>
    <row r="36" spans="17:26" x14ac:dyDescent="0.25">
      <c r="Q36" s="3">
        <v>3</v>
      </c>
      <c r="R36" s="17">
        <f ref="R36:W36" si="52" t="shared">R27-B27</f>
        <v>2.2730664860430702E-4</v>
      </c>
      <c r="S36" s="17">
        <f si="52" t="shared"/>
        <v>-7.9410775525680898E-4</v>
      </c>
      <c r="T36" s="17">
        <f si="52" t="shared"/>
        <v>3.4251305387415915E-3</v>
      </c>
      <c r="U36" s="17">
        <f si="52" t="shared"/>
        <v>6.7959204156046102E-3</v>
      </c>
      <c r="V36" s="17">
        <f si="52" t="shared"/>
        <v>-9.6542498476936967E-3</v>
      </c>
      <c r="W36" s="17">
        <f si="52" t="shared"/>
        <v>0</v>
      </c>
    </row>
    <row r="37" spans="17:26" x14ac:dyDescent="0.25">
      <c r="Q37" s="5" t="s">
        <v>3</v>
      </c>
      <c r="R37" s="18">
        <f ref="R37:W37" si="53" t="shared">R28-B28</f>
        <v>-2.5077216432089404E-4</v>
      </c>
      <c r="S37" s="18">
        <f si="53" t="shared"/>
        <v>-4.3628159103080628E-4</v>
      </c>
      <c r="T37" s="18">
        <f si="53" t="shared"/>
        <v>1.8789925984544417E-3</v>
      </c>
      <c r="U37" s="18">
        <f si="53" t="shared"/>
        <v>-1.3450104350123011E-3</v>
      </c>
      <c r="V37" s="18">
        <f si="53" t="shared"/>
        <v>1.5307159190957459E-4</v>
      </c>
      <c r="W37" s="18">
        <f si="53" t="shared"/>
        <v>0</v>
      </c>
    </row>
    <row ht="15.75" r="38" spans="17:26" thickBot="1" x14ac:dyDescent="0.3">
      <c r="Q38" s="7" t="s">
        <v>4</v>
      </c>
      <c r="R38" s="19">
        <f ref="R38:W38" si="54" t="shared">R29-B29</f>
        <v>-1.0242006201628115E-2</v>
      </c>
      <c r="S38" s="19">
        <f si="54" t="shared"/>
        <v>-4.1980396164910672E-3</v>
      </c>
      <c r="T38" s="19">
        <f si="54" t="shared"/>
        <v>1.4853140644363438E-2</v>
      </c>
      <c r="U38" s="19">
        <f si="54" t="shared"/>
        <v>9.027096855897615E-3</v>
      </c>
      <c r="V38" s="19">
        <f si="54" t="shared"/>
        <v>-9.4401916821418852E-3</v>
      </c>
      <c r="W38" s="19">
        <f si="54" t="shared"/>
        <v>0</v>
      </c>
    </row>
  </sheetData>
  <pageMargins bottom="0.75" footer="0.3" header="0.3" left="0.7" right="0.7" top="0.75"/>
  <pageSetup horizontalDpi="4294967293" orientation="portrait" r:id="rId1" verticalDpi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O61"/>
  <sheetViews>
    <sheetView workbookViewId="0">
      <selection activeCell="O18" sqref="O18"/>
    </sheetView>
  </sheetViews>
  <sheetFormatPr defaultRowHeight="15" x14ac:dyDescent="0.25"/>
  <cols>
    <col min="6" max="6" bestFit="true" customWidth="true" width="84.7109375" collapsed="true"/>
  </cols>
  <sheetData>
    <row r="1" spans="1:7" x14ac:dyDescent="0.25">
      <c r="A1" t="s">
        <v>87</v>
      </c>
      <c r="B1" t="s">
        <v>88</v>
      </c>
      <c r="F1" t="s">
        <v>89</v>
      </c>
      <c r="G1" t="s">
        <v>136</v>
      </c>
    </row>
    <row r="2" spans="1:7" x14ac:dyDescent="0.25">
      <c r="A2">
        <v>1</v>
      </c>
      <c r="B2" t="s">
        <v>26</v>
      </c>
      <c r="C2" t="s">
        <v>27</v>
      </c>
      <c r="D2">
        <v>-2.88892731349</v>
      </c>
      <c r="E2">
        <v>0.48543234191599999</v>
      </c>
      <c r="F2" t="s">
        <v>90</v>
      </c>
      <c r="G2" t="s">
        <v>109</v>
      </c>
    </row>
    <row r="3" spans="1:7" x14ac:dyDescent="0.25">
      <c r="A3">
        <v>2</v>
      </c>
      <c r="B3" t="s">
        <v>28</v>
      </c>
      <c r="C3" t="s">
        <v>27</v>
      </c>
      <c r="D3">
        <v>-1.84920255786</v>
      </c>
      <c r="E3">
        <v>0.120667788954</v>
      </c>
      <c r="F3" t="s">
        <v>90</v>
      </c>
      <c r="G3" t="s">
        <v>118</v>
      </c>
    </row>
    <row r="4" spans="1:7" x14ac:dyDescent="0.25">
      <c r="A4">
        <v>3</v>
      </c>
      <c r="B4" t="s">
        <v>29</v>
      </c>
      <c r="C4" t="s">
        <v>27</v>
      </c>
      <c r="D4">
        <v>-3.06909125469</v>
      </c>
      <c r="E4">
        <v>0.18162390207699999</v>
      </c>
      <c r="F4" t="s">
        <v>90</v>
      </c>
      <c r="G4" t="s">
        <v>123</v>
      </c>
    </row>
    <row r="5" spans="1:7" x14ac:dyDescent="0.25">
      <c r="A5">
        <v>4</v>
      </c>
      <c r="B5" t="s">
        <v>30</v>
      </c>
      <c r="C5" t="s">
        <v>27</v>
      </c>
      <c r="D5">
        <v>-4.8440472338499996</v>
      </c>
      <c r="E5">
        <v>0.34758296123299998</v>
      </c>
      <c r="F5" t="s">
        <v>90</v>
      </c>
      <c r="G5" t="s">
        <v>129</v>
      </c>
    </row>
    <row r="6" spans="1:7" x14ac:dyDescent="0.25">
      <c r="A6">
        <v>5</v>
      </c>
      <c r="B6" t="s">
        <v>31</v>
      </c>
      <c r="C6" t="s">
        <v>27</v>
      </c>
      <c r="D6">
        <v>-3.7501392251399999</v>
      </c>
      <c r="E6">
        <v>0.48593392329200003</v>
      </c>
      <c r="F6" t="s">
        <v>91</v>
      </c>
      <c r="G6" t="s">
        <v>109</v>
      </c>
    </row>
    <row r="7" spans="1:7" x14ac:dyDescent="0.25">
      <c r="A7">
        <v>6</v>
      </c>
      <c r="B7" t="s">
        <v>32</v>
      </c>
      <c r="C7" t="s">
        <v>27</v>
      </c>
      <c r="D7">
        <v>-1.54083688408</v>
      </c>
      <c r="E7">
        <v>0.17120485389099999</v>
      </c>
      <c r="F7" t="s">
        <v>91</v>
      </c>
      <c r="G7" t="s">
        <v>110</v>
      </c>
    </row>
    <row r="8" spans="1:7" x14ac:dyDescent="0.25">
      <c r="A8">
        <v>7</v>
      </c>
      <c r="B8" t="s">
        <v>33</v>
      </c>
      <c r="C8" t="s">
        <v>27</v>
      </c>
      <c r="D8">
        <v>-1.50533715645</v>
      </c>
      <c r="E8">
        <v>0.108778102305</v>
      </c>
      <c r="F8" t="s">
        <v>91</v>
      </c>
      <c r="G8" t="s">
        <v>123</v>
      </c>
    </row>
    <row r="9" spans="1:7" x14ac:dyDescent="0.25">
      <c r="A9">
        <v>8</v>
      </c>
      <c r="B9" t="s">
        <v>34</v>
      </c>
      <c r="C9" t="s">
        <v>27</v>
      </c>
      <c r="D9">
        <v>-2.6342137133099999</v>
      </c>
      <c r="E9">
        <v>0.162199862</v>
      </c>
      <c r="F9" t="s">
        <v>91</v>
      </c>
      <c r="G9" t="s">
        <v>129</v>
      </c>
    </row>
    <row r="10" spans="1:7" x14ac:dyDescent="0.25">
      <c r="A10">
        <v>9</v>
      </c>
      <c r="B10" t="s">
        <v>35</v>
      </c>
      <c r="C10" t="s">
        <v>27</v>
      </c>
      <c r="D10">
        <v>-3.1293105723300001</v>
      </c>
      <c r="E10">
        <v>0.68731231591800002</v>
      </c>
      <c r="F10" t="s">
        <v>92</v>
      </c>
      <c r="G10" t="s">
        <v>109</v>
      </c>
    </row>
    <row r="11" spans="1:7" x14ac:dyDescent="0.25">
      <c r="A11">
        <v>10</v>
      </c>
      <c r="B11" t="s">
        <v>36</v>
      </c>
      <c r="C11" t="s">
        <v>27</v>
      </c>
      <c r="D11">
        <v>-1.2916609235900001</v>
      </c>
      <c r="E11">
        <v>0.26131690816499997</v>
      </c>
      <c r="F11" t="s">
        <v>92</v>
      </c>
      <c r="G11" t="s">
        <v>110</v>
      </c>
    </row>
    <row r="12" spans="1:7" x14ac:dyDescent="0.25">
      <c r="A12">
        <v>11</v>
      </c>
      <c r="B12" t="s">
        <v>37</v>
      </c>
      <c r="C12" t="s">
        <v>27</v>
      </c>
      <c r="D12">
        <v>-0.36600413520000002</v>
      </c>
      <c r="E12">
        <v>0.204749856644</v>
      </c>
      <c r="F12" t="s">
        <v>92</v>
      </c>
      <c r="G12" t="s">
        <v>118</v>
      </c>
    </row>
    <row r="13" spans="1:7" x14ac:dyDescent="0.25">
      <c r="A13">
        <v>12</v>
      </c>
      <c r="B13" t="s">
        <v>38</v>
      </c>
      <c r="C13" t="s">
        <v>27</v>
      </c>
      <c r="D13">
        <v>-0.96396736597999999</v>
      </c>
      <c r="E13">
        <v>0.203518529877</v>
      </c>
      <c r="F13" t="s">
        <v>92</v>
      </c>
      <c r="G13" t="s">
        <v>129</v>
      </c>
    </row>
    <row r="14" spans="1:7" x14ac:dyDescent="0.25">
      <c r="A14">
        <v>13</v>
      </c>
      <c r="B14" t="s">
        <v>39</v>
      </c>
      <c r="C14" t="s">
        <v>27</v>
      </c>
      <c r="D14">
        <v>-4.3599306108100002</v>
      </c>
      <c r="E14">
        <v>1.2200761253100001</v>
      </c>
      <c r="F14" t="s">
        <v>93</v>
      </c>
      <c r="G14" t="s">
        <v>109</v>
      </c>
    </row>
    <row r="15" spans="1:7" x14ac:dyDescent="0.25">
      <c r="A15">
        <v>14</v>
      </c>
      <c r="B15" t="s">
        <v>40</v>
      </c>
      <c r="C15" t="s">
        <v>27</v>
      </c>
      <c r="D15">
        <v>-1.1985630522499999</v>
      </c>
      <c r="E15">
        <v>0.39337121020799998</v>
      </c>
      <c r="F15" t="s">
        <v>93</v>
      </c>
      <c r="G15" t="s">
        <v>110</v>
      </c>
    </row>
    <row r="16" spans="1:7" x14ac:dyDescent="0.25">
      <c r="A16">
        <v>15</v>
      </c>
      <c r="B16" t="s">
        <v>41</v>
      </c>
      <c r="C16" t="s">
        <v>27</v>
      </c>
      <c r="D16">
        <v>-1.15121947805</v>
      </c>
      <c r="E16">
        <v>0.30214458233000002</v>
      </c>
      <c r="F16" t="s">
        <v>93</v>
      </c>
      <c r="G16" t="s">
        <v>118</v>
      </c>
    </row>
    <row r="17" spans="1:15" x14ac:dyDescent="0.25">
      <c r="A17">
        <v>16</v>
      </c>
      <c r="B17" t="s">
        <v>42</v>
      </c>
      <c r="C17" t="s">
        <v>27</v>
      </c>
      <c r="D17">
        <v>-1.4377901695099999</v>
      </c>
      <c r="E17">
        <v>0.30270627538400002</v>
      </c>
      <c r="F17" t="s">
        <v>93</v>
      </c>
      <c r="G17" t="s">
        <v>123</v>
      </c>
    </row>
    <row customFormat="1" r="18" s="77" spans="1:15" x14ac:dyDescent="0.25">
      <c r="A18" s="77">
        <v>18</v>
      </c>
      <c r="B18" s="77" t="s">
        <v>43</v>
      </c>
      <c r="C18" s="77" t="s">
        <v>27</v>
      </c>
      <c r="D18" s="77">
        <v>0.39953921787000002</v>
      </c>
      <c r="E18" s="77">
        <v>0.124608088395</v>
      </c>
      <c r="F18" s="77" t="s">
        <v>94</v>
      </c>
      <c r="G18" s="77" t="s">
        <v>109</v>
      </c>
      <c r="H18" s="77" t="s">
        <v>110</v>
      </c>
      <c r="I18" s="77" t="s">
        <v>111</v>
      </c>
      <c r="J18" s="77" t="s">
        <v>118</v>
      </c>
      <c r="K18" s="77" t="s">
        <v>117</v>
      </c>
      <c r="L18" s="77" t="s">
        <v>123</v>
      </c>
      <c r="M18" s="77" t="s">
        <v>122</v>
      </c>
      <c r="N18" s="77" t="s">
        <v>129</v>
      </c>
      <c r="O18" s="77" t="s">
        <v>128</v>
      </c>
    </row>
    <row r="19" spans="1:15" x14ac:dyDescent="0.25">
      <c r="A19" s="78">
        <v>19</v>
      </c>
      <c r="B19" s="78" t="s">
        <v>44</v>
      </c>
      <c r="C19" s="78" t="s">
        <v>27</v>
      </c>
      <c r="D19" s="78">
        <v>0.69903044631199995</v>
      </c>
      <c r="E19" s="78">
        <v>0.40297798012199998</v>
      </c>
      <c r="F19" s="78" t="s">
        <v>95</v>
      </c>
      <c r="G19" s="78" t="s">
        <v>109</v>
      </c>
      <c r="H19" s="78"/>
      <c r="I19" s="78"/>
      <c r="J19" s="78"/>
      <c r="K19" s="78"/>
      <c r="L19" s="78"/>
      <c r="M19" s="78"/>
    </row>
    <row r="20" spans="1:15" x14ac:dyDescent="0.25">
      <c r="A20">
        <v>20</v>
      </c>
      <c r="B20" t="s">
        <v>45</v>
      </c>
      <c r="C20" t="s">
        <v>27</v>
      </c>
      <c r="D20">
        <v>0.32485446959800002</v>
      </c>
      <c r="E20">
        <v>0.204037451392</v>
      </c>
      <c r="F20" t="s">
        <v>95</v>
      </c>
      <c r="G20" t="s">
        <v>110</v>
      </c>
    </row>
    <row r="21" spans="1:15" x14ac:dyDescent="0.25">
      <c r="A21">
        <v>22</v>
      </c>
      <c r="B21" t="s">
        <v>46</v>
      </c>
      <c r="C21" t="s">
        <v>27</v>
      </c>
      <c r="D21">
        <v>-0.43856128772000003</v>
      </c>
      <c r="E21">
        <v>0.318213047774</v>
      </c>
      <c r="F21" t="s">
        <v>95</v>
      </c>
      <c r="G21" t="s">
        <v>129</v>
      </c>
    </row>
    <row r="22" spans="1:15" x14ac:dyDescent="0.25">
      <c r="A22">
        <v>24</v>
      </c>
      <c r="B22" t="s">
        <v>47</v>
      </c>
      <c r="C22" t="s">
        <v>27</v>
      </c>
      <c r="D22">
        <v>0.239019734309</v>
      </c>
      <c r="E22">
        <v>0.118684885778</v>
      </c>
      <c r="F22" t="s">
        <v>112</v>
      </c>
      <c r="G22" t="s">
        <v>110</v>
      </c>
    </row>
    <row r="23" spans="1:15" x14ac:dyDescent="0.25">
      <c r="A23">
        <v>25</v>
      </c>
      <c r="B23" t="s">
        <v>48</v>
      </c>
      <c r="C23" t="s">
        <v>27</v>
      </c>
      <c r="D23">
        <v>-0.30115653367700002</v>
      </c>
      <c r="E23">
        <v>0.15726577946500001</v>
      </c>
      <c r="F23" t="s">
        <v>112</v>
      </c>
      <c r="G23" t="s">
        <v>123</v>
      </c>
    </row>
    <row r="24" spans="1:15" x14ac:dyDescent="0.25">
      <c r="A24">
        <v>26</v>
      </c>
      <c r="B24" t="s">
        <v>49</v>
      </c>
      <c r="C24" t="s">
        <v>27</v>
      </c>
      <c r="D24">
        <v>-0.56373515910799998</v>
      </c>
      <c r="E24">
        <v>0.25328633007399998</v>
      </c>
      <c r="F24" t="s">
        <v>112</v>
      </c>
      <c r="G24" t="s">
        <v>129</v>
      </c>
    </row>
    <row r="25" spans="1:15" x14ac:dyDescent="0.25">
      <c r="A25">
        <v>28</v>
      </c>
      <c r="B25" t="s">
        <v>50</v>
      </c>
      <c r="C25" t="s">
        <v>27</v>
      </c>
      <c r="D25">
        <v>0.31959884056900001</v>
      </c>
      <c r="E25">
        <v>0.22861927141800001</v>
      </c>
      <c r="F25" t="s">
        <v>113</v>
      </c>
      <c r="G25" t="s">
        <v>110</v>
      </c>
    </row>
    <row r="26" spans="1:15" x14ac:dyDescent="0.25">
      <c r="A26">
        <v>29</v>
      </c>
      <c r="B26" t="s">
        <v>51</v>
      </c>
      <c r="C26" t="s">
        <v>27</v>
      </c>
      <c r="D26">
        <v>0.57068696704599997</v>
      </c>
      <c r="E26">
        <v>0.28285417099100002</v>
      </c>
      <c r="F26" t="s">
        <v>113</v>
      </c>
      <c r="G26" t="s">
        <v>123</v>
      </c>
    </row>
    <row r="27" spans="1:15" x14ac:dyDescent="0.25">
      <c r="A27">
        <v>31</v>
      </c>
      <c r="B27" t="s">
        <v>52</v>
      </c>
      <c r="C27" t="s">
        <v>27</v>
      </c>
      <c r="D27">
        <v>2.9250059989500001</v>
      </c>
      <c r="E27">
        <v>1.2854634766599999</v>
      </c>
      <c r="F27" t="s">
        <v>96</v>
      </c>
      <c r="G27" t="s">
        <v>109</v>
      </c>
    </row>
    <row r="28" spans="1:15" x14ac:dyDescent="0.25">
      <c r="A28">
        <v>32</v>
      </c>
      <c r="B28" t="s">
        <v>53</v>
      </c>
      <c r="C28" t="s">
        <v>27</v>
      </c>
      <c r="D28">
        <v>1.2969669216299999</v>
      </c>
      <c r="E28">
        <v>0.553290083268</v>
      </c>
      <c r="F28" t="s">
        <v>96</v>
      </c>
      <c r="G28" t="s">
        <v>110</v>
      </c>
    </row>
    <row r="29" spans="1:15" x14ac:dyDescent="0.25">
      <c r="A29">
        <v>34</v>
      </c>
      <c r="B29" t="s">
        <v>54</v>
      </c>
      <c r="C29" t="s">
        <v>27</v>
      </c>
      <c r="D29">
        <v>-2.59112200624</v>
      </c>
      <c r="E29">
        <v>0.67748006502500002</v>
      </c>
      <c r="F29" t="s">
        <v>96</v>
      </c>
      <c r="G29" t="s">
        <v>129</v>
      </c>
    </row>
    <row r="30" spans="1:15" x14ac:dyDescent="0.25">
      <c r="A30">
        <v>35</v>
      </c>
      <c r="B30" t="s">
        <v>55</v>
      </c>
      <c r="C30" t="s">
        <v>27</v>
      </c>
      <c r="D30">
        <v>-1.0636437007299999</v>
      </c>
      <c r="E30">
        <v>0.67287579243399998</v>
      </c>
      <c r="F30" t="s">
        <v>97</v>
      </c>
      <c r="G30" t="s">
        <v>109</v>
      </c>
    </row>
    <row r="31" spans="1:15" x14ac:dyDescent="0.25">
      <c r="A31">
        <v>36</v>
      </c>
      <c r="B31" t="s">
        <v>56</v>
      </c>
      <c r="C31" t="s">
        <v>27</v>
      </c>
      <c r="D31">
        <v>-0.53660640919000002</v>
      </c>
      <c r="E31">
        <v>0.28655587340499999</v>
      </c>
      <c r="F31" t="s">
        <v>97</v>
      </c>
      <c r="G31" t="s">
        <v>110</v>
      </c>
    </row>
    <row r="32" spans="1:15" x14ac:dyDescent="0.25">
      <c r="A32">
        <v>37</v>
      </c>
      <c r="B32" t="s">
        <v>57</v>
      </c>
      <c r="C32" t="s">
        <v>27</v>
      </c>
      <c r="D32">
        <v>0.28589368992800002</v>
      </c>
      <c r="E32">
        <v>0.26930228656600003</v>
      </c>
      <c r="F32" t="s">
        <v>97</v>
      </c>
      <c r="G32" t="s">
        <v>123</v>
      </c>
    </row>
    <row r="33" spans="1:7" x14ac:dyDescent="0.25">
      <c r="A33">
        <v>38</v>
      </c>
      <c r="B33" t="s">
        <v>58</v>
      </c>
      <c r="C33" t="s">
        <v>27</v>
      </c>
      <c r="D33">
        <v>0.64783551265499995</v>
      </c>
      <c r="E33">
        <v>0.37530750296900001</v>
      </c>
      <c r="F33" t="s">
        <v>97</v>
      </c>
      <c r="G33" t="s">
        <v>129</v>
      </c>
    </row>
    <row r="34" spans="1:7" x14ac:dyDescent="0.25">
      <c r="A34">
        <v>41</v>
      </c>
      <c r="B34" t="s">
        <v>59</v>
      </c>
      <c r="C34" t="s">
        <v>27</v>
      </c>
      <c r="D34">
        <v>-0.47288768158</v>
      </c>
      <c r="E34">
        <v>0.28996962859499997</v>
      </c>
      <c r="F34" t="s">
        <v>124</v>
      </c>
      <c r="G34" t="s">
        <v>123</v>
      </c>
    </row>
    <row r="35" spans="1:7" x14ac:dyDescent="0.25">
      <c r="A35">
        <v>42</v>
      </c>
      <c r="B35" t="s">
        <v>60</v>
      </c>
      <c r="C35" t="s">
        <v>27</v>
      </c>
      <c r="D35">
        <v>-1.73045435445</v>
      </c>
      <c r="E35">
        <v>0.60204136834499999</v>
      </c>
      <c r="F35" t="s">
        <v>124</v>
      </c>
      <c r="G35" t="s">
        <v>129</v>
      </c>
    </row>
    <row r="36" spans="1:7" x14ac:dyDescent="0.25">
      <c r="A36">
        <v>43</v>
      </c>
      <c r="B36" t="s">
        <v>61</v>
      </c>
      <c r="C36" t="s">
        <v>27</v>
      </c>
      <c r="D36">
        <v>2.0718120356499998</v>
      </c>
      <c r="E36">
        <v>0.25112785750200001</v>
      </c>
      <c r="F36" t="s">
        <v>98</v>
      </c>
      <c r="G36" t="s">
        <v>109</v>
      </c>
    </row>
    <row r="37" spans="1:7" x14ac:dyDescent="0.25">
      <c r="A37">
        <v>44</v>
      </c>
      <c r="B37" t="s">
        <v>62</v>
      </c>
      <c r="C37" t="s">
        <v>27</v>
      </c>
      <c r="D37">
        <v>0.60728378971399999</v>
      </c>
      <c r="E37">
        <v>0.181439147627</v>
      </c>
      <c r="F37" t="s">
        <v>98</v>
      </c>
      <c r="G37" t="s">
        <v>110</v>
      </c>
    </row>
    <row r="38" spans="1:7" x14ac:dyDescent="0.25">
      <c r="A38">
        <v>45</v>
      </c>
      <c r="B38" t="s">
        <v>63</v>
      </c>
      <c r="C38" t="s">
        <v>27</v>
      </c>
      <c r="D38">
        <v>-0.71462161389500001</v>
      </c>
      <c r="E38">
        <v>0.32036605145399999</v>
      </c>
      <c r="F38" t="s">
        <v>98</v>
      </c>
      <c r="G38" t="s">
        <v>123</v>
      </c>
    </row>
    <row r="39" spans="1:7" x14ac:dyDescent="0.25">
      <c r="A39">
        <v>46</v>
      </c>
      <c r="B39" t="s">
        <v>64</v>
      </c>
      <c r="C39" t="s">
        <v>27</v>
      </c>
      <c r="D39">
        <v>-1.4356778668800001</v>
      </c>
      <c r="E39">
        <v>0.571538197034</v>
      </c>
      <c r="F39" t="s">
        <v>98</v>
      </c>
      <c r="G39" t="s">
        <v>129</v>
      </c>
    </row>
    <row r="40" spans="1:7" x14ac:dyDescent="0.25">
      <c r="A40">
        <v>47</v>
      </c>
      <c r="B40" t="s">
        <v>65</v>
      </c>
      <c r="C40" t="s">
        <v>27</v>
      </c>
      <c r="D40">
        <v>-1.45349726543</v>
      </c>
      <c r="E40">
        <v>0.40356684826</v>
      </c>
      <c r="F40" t="s">
        <v>99</v>
      </c>
      <c r="G40" t="s">
        <v>109</v>
      </c>
    </row>
    <row r="41" spans="1:7" x14ac:dyDescent="0.25">
      <c r="A41">
        <v>48</v>
      </c>
      <c r="B41" t="s">
        <v>66</v>
      </c>
      <c r="C41" t="s">
        <v>27</v>
      </c>
      <c r="D41">
        <v>-1.0930755785699999</v>
      </c>
      <c r="E41">
        <v>0.126439275741</v>
      </c>
      <c r="F41" t="s">
        <v>99</v>
      </c>
      <c r="G41" t="s">
        <v>110</v>
      </c>
    </row>
    <row r="42" spans="1:7" x14ac:dyDescent="0.25">
      <c r="A42">
        <v>49</v>
      </c>
      <c r="B42" t="s">
        <v>67</v>
      </c>
      <c r="C42" t="s">
        <v>27</v>
      </c>
      <c r="D42">
        <v>0.14078168516299999</v>
      </c>
      <c r="E42">
        <v>0.12041492006899999</v>
      </c>
      <c r="F42" t="s">
        <v>99</v>
      </c>
      <c r="G42" t="s">
        <v>123</v>
      </c>
    </row>
    <row r="43" spans="1:7" x14ac:dyDescent="0.25">
      <c r="A43">
        <v>50</v>
      </c>
      <c r="B43" t="s">
        <v>68</v>
      </c>
      <c r="C43" t="s">
        <v>27</v>
      </c>
      <c r="D43">
        <v>0.188609995585</v>
      </c>
      <c r="E43">
        <v>0.169738586315</v>
      </c>
      <c r="F43" t="s">
        <v>99</v>
      </c>
      <c r="G43" t="s">
        <v>129</v>
      </c>
    </row>
    <row r="44" spans="1:7" x14ac:dyDescent="0.25">
      <c r="A44">
        <v>51</v>
      </c>
      <c r="B44" t="s">
        <v>69</v>
      </c>
      <c r="C44" t="s">
        <v>27</v>
      </c>
      <c r="D44">
        <v>-0.58492078305700002</v>
      </c>
      <c r="E44">
        <v>0.39231975258899998</v>
      </c>
      <c r="F44" t="s">
        <v>100</v>
      </c>
      <c r="G44" t="s">
        <v>109</v>
      </c>
    </row>
    <row r="45" spans="1:7" x14ac:dyDescent="0.25">
      <c r="A45">
        <v>52</v>
      </c>
      <c r="B45" t="s">
        <v>70</v>
      </c>
      <c r="C45" t="s">
        <v>27</v>
      </c>
      <c r="D45">
        <v>-1.0058660612699999</v>
      </c>
      <c r="E45">
        <v>0.1591759079</v>
      </c>
      <c r="F45" t="s">
        <v>100</v>
      </c>
      <c r="G45" t="s">
        <v>110</v>
      </c>
    </row>
    <row r="46" spans="1:7" x14ac:dyDescent="0.25">
      <c r="A46">
        <v>53</v>
      </c>
      <c r="B46" t="s">
        <v>71</v>
      </c>
      <c r="C46" t="s">
        <v>27</v>
      </c>
      <c r="D46">
        <v>0.22559840834</v>
      </c>
      <c r="E46">
        <v>0.13586187288400001</v>
      </c>
      <c r="F46" t="s">
        <v>100</v>
      </c>
      <c r="G46" t="s">
        <v>123</v>
      </c>
    </row>
    <row r="47" spans="1:7" x14ac:dyDescent="0.25">
      <c r="A47">
        <v>54</v>
      </c>
      <c r="B47" t="s">
        <v>72</v>
      </c>
      <c r="C47" t="s">
        <v>27</v>
      </c>
      <c r="D47">
        <v>0.34302043279099997</v>
      </c>
      <c r="E47">
        <v>0.18564049817600001</v>
      </c>
      <c r="F47" t="s">
        <v>100</v>
      </c>
      <c r="G47" t="s">
        <v>129</v>
      </c>
    </row>
    <row r="48" spans="1:7" x14ac:dyDescent="0.25">
      <c r="A48">
        <v>55</v>
      </c>
      <c r="B48" t="s">
        <v>73</v>
      </c>
      <c r="C48" t="s">
        <v>27</v>
      </c>
      <c r="D48">
        <v>-0.53538167154600003</v>
      </c>
      <c r="E48">
        <v>0.46253383393000003</v>
      </c>
      <c r="F48" t="s">
        <v>101</v>
      </c>
      <c r="G48" t="s">
        <v>109</v>
      </c>
    </row>
    <row r="49" spans="1:13" x14ac:dyDescent="0.25">
      <c r="A49">
        <v>56</v>
      </c>
      <c r="B49" t="s">
        <v>74</v>
      </c>
      <c r="C49" t="s">
        <v>27</v>
      </c>
      <c r="D49">
        <v>-0.52697142353899995</v>
      </c>
      <c r="E49">
        <v>0.21878082256199999</v>
      </c>
      <c r="F49" t="s">
        <v>101</v>
      </c>
      <c r="G49" t="s">
        <v>110</v>
      </c>
    </row>
    <row r="50" spans="1:13" x14ac:dyDescent="0.25">
      <c r="A50">
        <v>57</v>
      </c>
      <c r="B50" t="s">
        <v>75</v>
      </c>
      <c r="C50" t="s">
        <v>27</v>
      </c>
      <c r="D50">
        <v>0.21517789340999999</v>
      </c>
      <c r="E50">
        <v>0.24686726698100001</v>
      </c>
      <c r="F50" t="s">
        <v>101</v>
      </c>
      <c r="G50" t="s">
        <v>123</v>
      </c>
    </row>
    <row r="51" spans="1:13" x14ac:dyDescent="0.25">
      <c r="A51">
        <v>58</v>
      </c>
      <c r="B51" t="s">
        <v>76</v>
      </c>
      <c r="C51" t="s">
        <v>27</v>
      </c>
      <c r="D51">
        <v>-0.978212790971</v>
      </c>
      <c r="E51">
        <v>0.55972952825599998</v>
      </c>
      <c r="F51" t="s">
        <v>101</v>
      </c>
      <c r="G51" t="s">
        <v>129</v>
      </c>
    </row>
    <row r="52" spans="1:13" x14ac:dyDescent="0.25">
      <c r="A52">
        <v>59</v>
      </c>
      <c r="B52" t="s">
        <v>77</v>
      </c>
      <c r="C52" t="s">
        <v>27</v>
      </c>
      <c r="D52">
        <v>-0.42495698544999999</v>
      </c>
      <c r="E52" s="76">
        <v>9.3174665093100004E-2</v>
      </c>
      <c r="F52" t="s">
        <v>102</v>
      </c>
      <c r="G52" t="s">
        <v>109</v>
      </c>
    </row>
    <row customFormat="1" r="53" s="77" spans="1:13" x14ac:dyDescent="0.25">
      <c r="A53" s="77">
        <v>60</v>
      </c>
      <c r="B53" s="77" t="s">
        <v>78</v>
      </c>
      <c r="C53" s="77" t="s">
        <v>27</v>
      </c>
      <c r="D53" s="77">
        <v>-0.11124462416</v>
      </c>
      <c r="E53" s="79">
        <v>1.9324554676499999E-2</v>
      </c>
      <c r="F53" s="77" t="s">
        <v>114</v>
      </c>
      <c r="G53" s="77" t="s">
        <v>110</v>
      </c>
      <c r="H53" s="77" t="s">
        <v>118</v>
      </c>
      <c r="I53" s="77" t="s">
        <v>119</v>
      </c>
      <c r="J53" s="77" t="s">
        <v>123</v>
      </c>
      <c r="K53" s="77" t="s">
        <v>125</v>
      </c>
      <c r="L53" s="77" t="s">
        <v>129</v>
      </c>
      <c r="M53" s="77" t="s">
        <v>130</v>
      </c>
    </row>
    <row r="54" spans="1:13" x14ac:dyDescent="0.25">
      <c r="A54">
        <v>63</v>
      </c>
      <c r="B54" t="s">
        <v>79</v>
      </c>
      <c r="C54" t="s">
        <v>27</v>
      </c>
      <c r="D54">
        <v>-1.2627495896200001</v>
      </c>
      <c r="E54">
        <v>1.15568726918</v>
      </c>
      <c r="F54" t="s">
        <v>103</v>
      </c>
      <c r="G54" t="s">
        <v>109</v>
      </c>
    </row>
    <row r="55" spans="1:13" x14ac:dyDescent="0.25">
      <c r="A55">
        <v>69</v>
      </c>
      <c r="B55" t="s">
        <v>80</v>
      </c>
      <c r="C55" t="s">
        <v>27</v>
      </c>
      <c r="D55">
        <v>-0.182881856812</v>
      </c>
      <c r="E55" s="76">
        <v>9.1832192679999994E-2</v>
      </c>
      <c r="F55" t="s">
        <v>104</v>
      </c>
      <c r="G55" t="s">
        <v>109</v>
      </c>
    </row>
    <row customFormat="1" r="56" s="77" spans="1:13" x14ac:dyDescent="0.25">
      <c r="A56" s="77">
        <v>72</v>
      </c>
      <c r="B56" s="77" t="s">
        <v>81</v>
      </c>
      <c r="C56" s="77" t="s">
        <v>27</v>
      </c>
      <c r="D56" s="77">
        <v>0.14811075420100001</v>
      </c>
      <c r="E56" s="79">
        <v>5.9982749063499999E-2</v>
      </c>
      <c r="F56" s="77" t="s">
        <v>115</v>
      </c>
      <c r="G56" s="77" t="s">
        <v>110</v>
      </c>
      <c r="H56" s="77" t="s">
        <v>118</v>
      </c>
      <c r="I56" s="77" t="s">
        <v>120</v>
      </c>
      <c r="J56" s="77" t="s">
        <v>123</v>
      </c>
      <c r="K56" s="77" t="s">
        <v>126</v>
      </c>
      <c r="L56" s="77" t="s">
        <v>129</v>
      </c>
      <c r="M56" s="77" t="s">
        <v>131</v>
      </c>
    </row>
    <row r="57" spans="1:13" x14ac:dyDescent="0.25">
      <c r="A57">
        <v>73</v>
      </c>
      <c r="B57" t="s">
        <v>82</v>
      </c>
      <c r="C57" t="s">
        <v>27</v>
      </c>
      <c r="D57" s="76">
        <v>7.1458236224400005E-4</v>
      </c>
      <c r="E57" s="76">
        <v>1.9087285637099999E-4</v>
      </c>
      <c r="F57" t="s">
        <v>105</v>
      </c>
      <c r="G57" t="s">
        <v>109</v>
      </c>
    </row>
    <row r="58" spans="1:13" x14ac:dyDescent="0.25">
      <c r="A58">
        <v>75</v>
      </c>
      <c r="B58" t="s">
        <v>83</v>
      </c>
      <c r="C58" t="s">
        <v>27</v>
      </c>
      <c r="D58">
        <v>0.29597958689600001</v>
      </c>
      <c r="E58" s="76">
        <v>7.8942367252999995E-2</v>
      </c>
      <c r="F58" t="s">
        <v>106</v>
      </c>
      <c r="G58" t="s">
        <v>109</v>
      </c>
    </row>
    <row customFormat="1" r="59" s="77" spans="1:13" x14ac:dyDescent="0.25">
      <c r="A59" s="77">
        <v>76</v>
      </c>
      <c r="B59" s="77" t="s">
        <v>84</v>
      </c>
      <c r="C59" s="77" t="s">
        <v>27</v>
      </c>
      <c r="D59" s="77">
        <v>0.19796492273399999</v>
      </c>
      <c r="E59" s="79">
        <v>3.4156307751499998E-2</v>
      </c>
      <c r="F59" s="77" t="s">
        <v>116</v>
      </c>
      <c r="G59" s="77" t="s">
        <v>110</v>
      </c>
      <c r="H59" s="77" t="s">
        <v>118</v>
      </c>
      <c r="I59" s="77" t="s">
        <v>121</v>
      </c>
      <c r="J59" s="77" t="s">
        <v>123</v>
      </c>
      <c r="K59" s="77" t="s">
        <v>127</v>
      </c>
      <c r="L59" s="77" t="s">
        <v>129</v>
      </c>
      <c r="M59" s="77" t="s">
        <v>132</v>
      </c>
    </row>
    <row r="60" spans="1:13" x14ac:dyDescent="0.25">
      <c r="A60">
        <v>77</v>
      </c>
      <c r="B60" t="s">
        <v>85</v>
      </c>
      <c r="C60" t="s">
        <v>27</v>
      </c>
      <c r="D60">
        <v>0.27817460170199998</v>
      </c>
      <c r="E60">
        <v>0.17839332841300001</v>
      </c>
      <c r="F60" t="s">
        <v>108</v>
      </c>
      <c r="G60" t="s">
        <v>109</v>
      </c>
    </row>
    <row r="61" spans="1:13" x14ac:dyDescent="0.25">
      <c r="A61">
        <v>83</v>
      </c>
      <c r="B61" t="s">
        <v>86</v>
      </c>
      <c r="C61" t="s">
        <v>27</v>
      </c>
      <c r="D61">
        <v>-0.77256225305799997</v>
      </c>
      <c r="E61">
        <v>0.454505526996</v>
      </c>
      <c r="F61" t="s">
        <v>107</v>
      </c>
      <c r="G61" t="s">
        <v>109</v>
      </c>
    </row>
  </sheetData>
  <sortState ref="A2:O61">
    <sortCondition ref="A2:A61"/>
  </sortState>
  <pageMargins bottom="0.75" footer="0.3" header="0.3" left="0.7" right="0.7" top="0.75"/>
  <pageSetup orientation="portrait" r:id="rId1" verticalDpi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82" t="s">
        <v>155</v>
      </c>
    </row>
    <row r="2" spans="1:10" x14ac:dyDescent="0.25">
      <c r="A2">
        <v>1</v>
      </c>
      <c r="B2" t="s">
        <v>156</v>
      </c>
    </row>
    <row r="3" spans="1:10" x14ac:dyDescent="0.25">
      <c r="A3">
        <v>2</v>
      </c>
      <c r="B3" t="s">
        <v>157</v>
      </c>
    </row>
    <row r="4" spans="1:10" x14ac:dyDescent="0.25">
      <c r="A4">
        <v>3</v>
      </c>
      <c r="B4" t="s">
        <v>158</v>
      </c>
    </row>
    <row r="5" spans="1:10" x14ac:dyDescent="0.25">
      <c r="A5">
        <v>4</v>
      </c>
      <c r="B5" t="s">
        <v>159</v>
      </c>
    </row>
    <row r="8" spans="1:10" x14ac:dyDescent="0.25">
      <c r="A8" t="s">
        <v>144</v>
      </c>
      <c r="B8" t="s">
        <v>145</v>
      </c>
      <c r="C8" t="s">
        <v>146</v>
      </c>
    </row>
    <row r="9" spans="1:10" x14ac:dyDescent="0.25">
      <c r="A9" t="s">
        <v>147</v>
      </c>
      <c r="B9" t="s">
        <v>148</v>
      </c>
      <c r="C9" t="s">
        <v>149</v>
      </c>
      <c r="D9" t="s">
        <v>150</v>
      </c>
      <c r="E9">
        <v>4</v>
      </c>
      <c r="F9" s="85">
        <v>0.46995370370370365</v>
      </c>
      <c r="G9" t="s">
        <v>151</v>
      </c>
      <c r="H9">
        <v>3</v>
      </c>
      <c r="I9" t="s">
        <v>152</v>
      </c>
      <c r="J9">
        <v>12</v>
      </c>
    </row>
    <row r="10" spans="1:10" x14ac:dyDescent="0.25">
      <c r="A10" t="s">
        <v>153</v>
      </c>
    </row>
    <row r="11" spans="1:10" x14ac:dyDescent="0.25">
      <c r="B11">
        <v>1</v>
      </c>
      <c r="C11" t="s">
        <v>26</v>
      </c>
      <c r="D11" t="s">
        <v>27</v>
      </c>
      <c r="E11">
        <v>-3.7471395627100001</v>
      </c>
      <c r="F11">
        <v>0.48543234191599999</v>
      </c>
    </row>
    <row r="12" spans="1:10" x14ac:dyDescent="0.25">
      <c r="B12">
        <v>2</v>
      </c>
      <c r="C12" t="s">
        <v>28</v>
      </c>
      <c r="D12" t="s">
        <v>27</v>
      </c>
      <c r="E12">
        <v>-2.1297115852199999</v>
      </c>
      <c r="F12">
        <v>0.120667788954</v>
      </c>
    </row>
    <row r="13" spans="1:10" x14ac:dyDescent="0.25">
      <c r="B13">
        <v>3</v>
      </c>
      <c r="C13" t="s">
        <v>29</v>
      </c>
      <c r="D13" t="s">
        <v>27</v>
      </c>
      <c r="E13">
        <v>-3.96633437255</v>
      </c>
      <c r="F13">
        <v>0.18162390207699999</v>
      </c>
    </row>
    <row r="14" spans="1:10" x14ac:dyDescent="0.25">
      <c r="B14">
        <v>4</v>
      </c>
      <c r="C14" t="s">
        <v>30</v>
      </c>
      <c r="D14" t="s">
        <v>27</v>
      </c>
      <c r="E14">
        <v>-11.219392631330001</v>
      </c>
      <c r="F14">
        <v>0.34758296123299998</v>
      </c>
    </row>
    <row r="15" spans="1:10" x14ac:dyDescent="0.25">
      <c r="B15">
        <v>5</v>
      </c>
      <c r="C15" t="s">
        <v>31</v>
      </c>
      <c r="D15" t="s">
        <v>27</v>
      </c>
      <c r="E15">
        <v>-5.0125223934900003</v>
      </c>
      <c r="F15">
        <v>0.48593392329200003</v>
      </c>
    </row>
    <row r="16" spans="1:10" x14ac:dyDescent="0.25">
      <c r="B16">
        <v>6</v>
      </c>
      <c r="C16" t="s">
        <v>32</v>
      </c>
      <c r="D16" t="s">
        <v>27</v>
      </c>
      <c r="E16">
        <v>-1.8563745465099999</v>
      </c>
      <c r="F16">
        <v>0.17120485389099999</v>
      </c>
    </row>
    <row r="17" spans="2:6" x14ac:dyDescent="0.25">
      <c r="B17">
        <v>7</v>
      </c>
      <c r="C17" t="s">
        <v>33</v>
      </c>
      <c r="D17" t="s">
        <v>27</v>
      </c>
      <c r="E17">
        <v>-1.3964239432800001</v>
      </c>
      <c r="F17">
        <v>0.108778102305</v>
      </c>
    </row>
    <row r="18" spans="2:6" x14ac:dyDescent="0.25">
      <c r="B18">
        <v>8</v>
      </c>
      <c r="C18" t="s">
        <v>34</v>
      </c>
      <c r="D18" t="s">
        <v>27</v>
      </c>
      <c r="E18">
        <v>-2.3942936803500001</v>
      </c>
      <c r="F18">
        <v>0.162199862</v>
      </c>
    </row>
    <row r="19" spans="2:6" x14ac:dyDescent="0.25">
      <c r="B19">
        <v>9</v>
      </c>
      <c r="C19" t="s">
        <v>35</v>
      </c>
      <c r="D19" t="s">
        <v>27</v>
      </c>
      <c r="E19">
        <v>-4.9201833156500001</v>
      </c>
      <c r="F19">
        <v>0.68731231591800002</v>
      </c>
    </row>
    <row r="20" spans="2:6" x14ac:dyDescent="0.25">
      <c r="B20">
        <v>10</v>
      </c>
      <c r="C20" t="s">
        <v>36</v>
      </c>
      <c r="D20" t="s">
        <v>27</v>
      </c>
      <c r="E20">
        <v>-2.29401614977</v>
      </c>
      <c r="F20">
        <v>0.26131690816499997</v>
      </c>
    </row>
    <row r="21" spans="2:6" x14ac:dyDescent="0.25">
      <c r="B21">
        <v>11</v>
      </c>
      <c r="C21" t="s">
        <v>37</v>
      </c>
      <c r="D21" t="s">
        <v>27</v>
      </c>
      <c r="E21">
        <v>-1.4446352364099999</v>
      </c>
      <c r="F21">
        <v>0.204749856644</v>
      </c>
    </row>
    <row r="22" spans="2:6" x14ac:dyDescent="0.25">
      <c r="B22">
        <v>12</v>
      </c>
      <c r="C22" t="s">
        <v>38</v>
      </c>
      <c r="D22" t="s">
        <v>27</v>
      </c>
      <c r="E22">
        <v>-0.81535992723999995</v>
      </c>
      <c r="F22">
        <v>0.203518529877</v>
      </c>
    </row>
    <row r="23" spans="2:6" x14ac:dyDescent="0.25">
      <c r="B23">
        <v>13</v>
      </c>
      <c r="C23" t="s">
        <v>39</v>
      </c>
      <c r="D23" t="s">
        <v>27</v>
      </c>
      <c r="E23">
        <v>-5.3216543706600001</v>
      </c>
      <c r="F23">
        <v>1.2200761253100001</v>
      </c>
    </row>
    <row r="24" spans="2:6" x14ac:dyDescent="0.25">
      <c r="B24">
        <v>14</v>
      </c>
      <c r="C24" t="s">
        <v>40</v>
      </c>
      <c r="D24" t="s">
        <v>27</v>
      </c>
      <c r="E24">
        <v>-1.1261276811700001</v>
      </c>
      <c r="F24">
        <v>0.39337121020799998</v>
      </c>
    </row>
    <row r="25" spans="2:6" x14ac:dyDescent="0.25">
      <c r="B25">
        <v>15</v>
      </c>
      <c r="C25" t="s">
        <v>41</v>
      </c>
      <c r="D25" t="s">
        <v>27</v>
      </c>
      <c r="E25">
        <v>-1.6372198765899999</v>
      </c>
      <c r="F25">
        <v>0.30214458233000002</v>
      </c>
    </row>
    <row r="26" spans="2:6" x14ac:dyDescent="0.25">
      <c r="B26">
        <v>16</v>
      </c>
      <c r="C26" t="s">
        <v>42</v>
      </c>
      <c r="D26" t="s">
        <v>27</v>
      </c>
      <c r="E26">
        <v>-0.59991414110999997</v>
      </c>
      <c r="F26">
        <v>0.30270627538400002</v>
      </c>
    </row>
    <row r="27" spans="2:6" x14ac:dyDescent="0.25">
      <c r="B27">
        <v>18</v>
      </c>
      <c r="C27" t="s">
        <v>43</v>
      </c>
      <c r="D27" t="s">
        <v>27</v>
      </c>
      <c r="E27">
        <v>0.39953921787000002</v>
      </c>
      <c r="F27">
        <v>0.124608088395</v>
      </c>
    </row>
    <row r="28" spans="2:6" x14ac:dyDescent="0.25">
      <c r="B28">
        <v>19</v>
      </c>
      <c r="C28" t="s">
        <v>44</v>
      </c>
      <c r="D28" t="s">
        <v>27</v>
      </c>
      <c r="E28">
        <v>0.69903044631199995</v>
      </c>
      <c r="F28">
        <v>0.40297798012199998</v>
      </c>
    </row>
    <row r="29" spans="2:6" x14ac:dyDescent="0.25">
      <c r="B29">
        <v>20</v>
      </c>
      <c r="C29" t="s">
        <v>45</v>
      </c>
      <c r="D29" t="s">
        <v>27</v>
      </c>
      <c r="E29">
        <v>0.32485446959800002</v>
      </c>
      <c r="F29">
        <v>0.204037451392</v>
      </c>
    </row>
    <row r="30" spans="2:6" x14ac:dyDescent="0.25">
      <c r="B30">
        <v>22</v>
      </c>
      <c r="C30" t="s">
        <v>46</v>
      </c>
      <c r="D30" t="s">
        <v>27</v>
      </c>
      <c r="E30">
        <v>-0.43856128772000003</v>
      </c>
      <c r="F30">
        <v>0.318213047774</v>
      </c>
    </row>
    <row r="31" spans="2:6" x14ac:dyDescent="0.25">
      <c r="B31">
        <v>24</v>
      </c>
      <c r="C31" t="s">
        <v>47</v>
      </c>
      <c r="D31" t="s">
        <v>27</v>
      </c>
      <c r="E31">
        <v>0.239019734309</v>
      </c>
      <c r="F31">
        <v>0.118684885778</v>
      </c>
    </row>
    <row r="32" spans="2:6" x14ac:dyDescent="0.25">
      <c r="B32">
        <v>25</v>
      </c>
      <c r="C32" t="s">
        <v>48</v>
      </c>
      <c r="D32" t="s">
        <v>27</v>
      </c>
      <c r="E32">
        <v>-0.30115653367700002</v>
      </c>
      <c r="F32">
        <v>0.15726577946500001</v>
      </c>
    </row>
    <row r="33" spans="2:6" x14ac:dyDescent="0.25">
      <c r="B33">
        <v>26</v>
      </c>
      <c r="C33" t="s">
        <v>49</v>
      </c>
      <c r="D33" t="s">
        <v>27</v>
      </c>
      <c r="E33">
        <v>-0.56373515910799998</v>
      </c>
      <c r="F33">
        <v>0.25328633007399998</v>
      </c>
    </row>
    <row r="34" spans="2:6" x14ac:dyDescent="0.25">
      <c r="B34">
        <v>28</v>
      </c>
      <c r="C34" t="s">
        <v>50</v>
      </c>
      <c r="D34" t="s">
        <v>27</v>
      </c>
      <c r="E34">
        <v>0.31959884056900001</v>
      </c>
      <c r="F34">
        <v>0.22861927141800001</v>
      </c>
    </row>
    <row r="35" spans="2:6" x14ac:dyDescent="0.25">
      <c r="B35">
        <v>29</v>
      </c>
      <c r="C35" t="s">
        <v>51</v>
      </c>
      <c r="D35" t="s">
        <v>27</v>
      </c>
      <c r="E35">
        <v>0.57068696704599997</v>
      </c>
      <c r="F35">
        <v>0.28285417099100002</v>
      </c>
    </row>
    <row r="36" spans="2:6" x14ac:dyDescent="0.25">
      <c r="B36">
        <v>31</v>
      </c>
      <c r="C36" t="s">
        <v>52</v>
      </c>
      <c r="D36" t="s">
        <v>27</v>
      </c>
      <c r="E36">
        <v>2.9250059989500001</v>
      </c>
      <c r="F36">
        <v>1.2854634766599999</v>
      </c>
    </row>
    <row r="37" spans="2:6" x14ac:dyDescent="0.25">
      <c r="B37">
        <v>32</v>
      </c>
      <c r="C37" t="s">
        <v>53</v>
      </c>
      <c r="D37" t="s">
        <v>27</v>
      </c>
      <c r="E37">
        <v>1.2969669216299999</v>
      </c>
      <c r="F37">
        <v>0.553290083268</v>
      </c>
    </row>
    <row r="38" spans="2:6" x14ac:dyDescent="0.25">
      <c r="B38">
        <v>34</v>
      </c>
      <c r="C38" t="s">
        <v>54</v>
      </c>
      <c r="D38" t="s">
        <v>27</v>
      </c>
      <c r="E38">
        <v>-2.59112200624</v>
      </c>
      <c r="F38">
        <v>0.67748006502500002</v>
      </c>
    </row>
    <row r="39" spans="2:6" x14ac:dyDescent="0.25">
      <c r="B39">
        <v>35</v>
      </c>
      <c r="C39" t="s">
        <v>55</v>
      </c>
      <c r="D39" t="s">
        <v>27</v>
      </c>
      <c r="E39">
        <v>-1.0636437007299999</v>
      </c>
      <c r="F39">
        <v>0.67287579243399998</v>
      </c>
    </row>
    <row r="40" spans="2:6" x14ac:dyDescent="0.25">
      <c r="B40">
        <v>36</v>
      </c>
      <c r="C40" t="s">
        <v>56</v>
      </c>
      <c r="D40" t="s">
        <v>27</v>
      </c>
      <c r="E40">
        <v>-0.53660640919000002</v>
      </c>
      <c r="F40">
        <v>0.28655587340499999</v>
      </c>
    </row>
    <row r="41" spans="2:6" x14ac:dyDescent="0.25">
      <c r="B41">
        <v>37</v>
      </c>
      <c r="C41" t="s">
        <v>57</v>
      </c>
      <c r="D41" t="s">
        <v>27</v>
      </c>
      <c r="E41">
        <v>0.28589368992800002</v>
      </c>
      <c r="F41">
        <v>0.26930228656600003</v>
      </c>
    </row>
    <row r="42" spans="2:6" x14ac:dyDescent="0.25">
      <c r="B42">
        <v>38</v>
      </c>
      <c r="C42" t="s">
        <v>58</v>
      </c>
      <c r="D42" t="s">
        <v>27</v>
      </c>
      <c r="E42">
        <v>0.64783551265499995</v>
      </c>
      <c r="F42">
        <v>0.37530750296900001</v>
      </c>
    </row>
    <row r="43" spans="2:6" x14ac:dyDescent="0.25">
      <c r="B43">
        <v>41</v>
      </c>
      <c r="C43" t="s">
        <v>59</v>
      </c>
      <c r="D43" t="s">
        <v>27</v>
      </c>
      <c r="E43">
        <v>-0.47288768158</v>
      </c>
      <c r="F43">
        <v>0.28996962859499997</v>
      </c>
    </row>
    <row r="44" spans="2:6" x14ac:dyDescent="0.25">
      <c r="B44">
        <v>42</v>
      </c>
      <c r="C44" t="s">
        <v>60</v>
      </c>
      <c r="D44" t="s">
        <v>27</v>
      </c>
      <c r="E44">
        <v>-1.73045435445</v>
      </c>
      <c r="F44">
        <v>0.60204136834499999</v>
      </c>
    </row>
    <row r="45" spans="2:6" x14ac:dyDescent="0.25">
      <c r="B45">
        <v>43</v>
      </c>
      <c r="C45" t="s">
        <v>61</v>
      </c>
      <c r="D45" t="s">
        <v>27</v>
      </c>
      <c r="E45">
        <v>2.0718120356499998</v>
      </c>
      <c r="F45">
        <v>0.25112785750200001</v>
      </c>
    </row>
    <row r="46" spans="2:6" x14ac:dyDescent="0.25">
      <c r="B46">
        <v>44</v>
      </c>
      <c r="C46" t="s">
        <v>62</v>
      </c>
      <c r="D46" t="s">
        <v>27</v>
      </c>
      <c r="E46">
        <v>0.60728378971399999</v>
      </c>
      <c r="F46">
        <v>0.181439147627</v>
      </c>
    </row>
    <row r="47" spans="2:6" x14ac:dyDescent="0.25">
      <c r="B47">
        <v>45</v>
      </c>
      <c r="C47" t="s">
        <v>63</v>
      </c>
      <c r="D47" t="s">
        <v>27</v>
      </c>
      <c r="E47">
        <v>-0.71462161389500001</v>
      </c>
      <c r="F47">
        <v>0.32036605145399999</v>
      </c>
    </row>
    <row r="48" spans="2:6" x14ac:dyDescent="0.25">
      <c r="B48">
        <v>46</v>
      </c>
      <c r="C48" t="s">
        <v>64</v>
      </c>
      <c r="D48" t="s">
        <v>27</v>
      </c>
      <c r="E48">
        <v>-1.4356778668800001</v>
      </c>
      <c r="F48">
        <v>0.571538197034</v>
      </c>
    </row>
    <row r="49" spans="2:6" x14ac:dyDescent="0.25">
      <c r="B49">
        <v>47</v>
      </c>
      <c r="C49" t="s">
        <v>65</v>
      </c>
      <c r="D49" t="s">
        <v>27</v>
      </c>
      <c r="E49">
        <v>-1.45349726543</v>
      </c>
      <c r="F49">
        <v>0.40356684826</v>
      </c>
    </row>
    <row r="50" spans="2:6" x14ac:dyDescent="0.25">
      <c r="B50">
        <v>48</v>
      </c>
      <c r="C50" t="s">
        <v>66</v>
      </c>
      <c r="D50" t="s">
        <v>27</v>
      </c>
      <c r="E50">
        <v>-1.0930755785699999</v>
      </c>
      <c r="F50">
        <v>0.126439275741</v>
      </c>
    </row>
    <row r="51" spans="2:6" x14ac:dyDescent="0.25">
      <c r="B51">
        <v>49</v>
      </c>
      <c r="C51" t="s">
        <v>67</v>
      </c>
      <c r="D51" t="s">
        <v>27</v>
      </c>
      <c r="E51">
        <v>0.14078168516299999</v>
      </c>
      <c r="F51">
        <v>0.12041492006899999</v>
      </c>
    </row>
    <row r="52" spans="2:6" x14ac:dyDescent="0.25">
      <c r="B52">
        <v>50</v>
      </c>
      <c r="C52" t="s">
        <v>68</v>
      </c>
      <c r="D52" t="s">
        <v>27</v>
      </c>
      <c r="E52">
        <v>0.188609995585</v>
      </c>
      <c r="F52">
        <v>0.169738586315</v>
      </c>
    </row>
    <row r="53" spans="2:6" x14ac:dyDescent="0.25">
      <c r="B53">
        <v>51</v>
      </c>
      <c r="C53" t="s">
        <v>69</v>
      </c>
      <c r="D53" t="s">
        <v>27</v>
      </c>
      <c r="E53">
        <v>-0.58492078305700002</v>
      </c>
      <c r="F53">
        <v>0.39231975258899998</v>
      </c>
    </row>
    <row r="54" spans="2:6" x14ac:dyDescent="0.25">
      <c r="B54">
        <v>52</v>
      </c>
      <c r="C54" t="s">
        <v>70</v>
      </c>
      <c r="D54" t="s">
        <v>27</v>
      </c>
      <c r="E54">
        <v>-1.0058660612699999</v>
      </c>
      <c r="F54">
        <v>0.1591759079</v>
      </c>
    </row>
    <row r="55" spans="2:6" x14ac:dyDescent="0.25">
      <c r="B55">
        <v>53</v>
      </c>
      <c r="C55" t="s">
        <v>71</v>
      </c>
      <c r="D55" t="s">
        <v>27</v>
      </c>
      <c r="E55">
        <v>0.22559840834</v>
      </c>
      <c r="F55">
        <v>0.13586187288400001</v>
      </c>
    </row>
    <row r="56" spans="2:6" x14ac:dyDescent="0.25">
      <c r="B56">
        <v>54</v>
      </c>
      <c r="C56" t="s">
        <v>72</v>
      </c>
      <c r="D56" t="s">
        <v>27</v>
      </c>
      <c r="E56">
        <v>0.34302043279099997</v>
      </c>
      <c r="F56">
        <v>0.18564049817600001</v>
      </c>
    </row>
    <row r="57" spans="2:6" x14ac:dyDescent="0.25">
      <c r="B57">
        <v>55</v>
      </c>
      <c r="C57" t="s">
        <v>73</v>
      </c>
      <c r="D57" t="s">
        <v>27</v>
      </c>
      <c r="E57">
        <v>-0.53538167154600003</v>
      </c>
      <c r="F57">
        <v>0.46253383393000003</v>
      </c>
    </row>
    <row r="58" spans="2:6" x14ac:dyDescent="0.25">
      <c r="B58">
        <v>56</v>
      </c>
      <c r="C58" t="s">
        <v>74</v>
      </c>
      <c r="D58" t="s">
        <v>27</v>
      </c>
      <c r="E58">
        <v>-0.52697142353899995</v>
      </c>
      <c r="F58">
        <v>0.21878082256199999</v>
      </c>
    </row>
    <row r="59" spans="2:6" x14ac:dyDescent="0.25">
      <c r="B59">
        <v>57</v>
      </c>
      <c r="C59" t="s">
        <v>75</v>
      </c>
      <c r="D59" t="s">
        <v>27</v>
      </c>
      <c r="E59">
        <v>0.21517789340999999</v>
      </c>
      <c r="F59">
        <v>0.24686726698100001</v>
      </c>
    </row>
    <row r="60" spans="2:6" x14ac:dyDescent="0.25">
      <c r="B60">
        <v>58</v>
      </c>
      <c r="C60" t="s">
        <v>76</v>
      </c>
      <c r="D60" t="s">
        <v>27</v>
      </c>
      <c r="E60">
        <v>-0.978212790971</v>
      </c>
      <c r="F60">
        <v>0.55972952825599998</v>
      </c>
    </row>
    <row r="61" spans="2:6" x14ac:dyDescent="0.25">
      <c r="B61">
        <v>59</v>
      </c>
      <c r="C61" t="s">
        <v>77</v>
      </c>
      <c r="D61" t="s">
        <v>27</v>
      </c>
      <c r="E61">
        <v>-0.42495698544999999</v>
      </c>
      <c r="F61" s="76">
        <v>9.3174665093100004E-2</v>
      </c>
    </row>
    <row r="62" spans="2:6" x14ac:dyDescent="0.25">
      <c r="B62">
        <v>60</v>
      </c>
      <c r="C62" t="s">
        <v>78</v>
      </c>
      <c r="D62" t="s">
        <v>27</v>
      </c>
      <c r="E62">
        <v>-0.11124462416</v>
      </c>
      <c r="F62" s="76">
        <v>1.9324554676499999E-2</v>
      </c>
    </row>
    <row r="63" spans="2:6" x14ac:dyDescent="0.25">
      <c r="B63">
        <v>63</v>
      </c>
      <c r="C63" t="s">
        <v>79</v>
      </c>
      <c r="D63" t="s">
        <v>27</v>
      </c>
      <c r="E63">
        <v>-1.2627495896200001</v>
      </c>
      <c r="F63">
        <v>1.15568726918</v>
      </c>
    </row>
    <row r="64" spans="2:6" x14ac:dyDescent="0.25">
      <c r="B64">
        <v>69</v>
      </c>
      <c r="C64" t="s">
        <v>80</v>
      </c>
      <c r="D64" t="s">
        <v>27</v>
      </c>
      <c r="E64">
        <v>-0.182881856812</v>
      </c>
      <c r="F64" s="76">
        <v>9.1832192679999994E-2</v>
      </c>
    </row>
    <row r="65" spans="2:11" x14ac:dyDescent="0.25">
      <c r="B65">
        <v>72</v>
      </c>
      <c r="C65" t="s">
        <v>81</v>
      </c>
      <c r="D65" t="s">
        <v>27</v>
      </c>
      <c r="E65">
        <v>0.14811075420100001</v>
      </c>
      <c r="F65" s="76">
        <v>5.9982749063499999E-2</v>
      </c>
    </row>
    <row r="66" spans="2:11" x14ac:dyDescent="0.25">
      <c r="B66">
        <v>73</v>
      </c>
      <c r="C66" t="s">
        <v>82</v>
      </c>
      <c r="D66" t="s">
        <v>27</v>
      </c>
      <c r="E66" s="76">
        <v>7.1458236224400005E-4</v>
      </c>
      <c r="F66" s="76">
        <v>1.9087285637099999E-4</v>
      </c>
    </row>
    <row r="67" spans="2:11" x14ac:dyDescent="0.25">
      <c r="B67">
        <v>75</v>
      </c>
      <c r="C67" t="s">
        <v>83</v>
      </c>
      <c r="D67" t="s">
        <v>27</v>
      </c>
      <c r="E67">
        <v>0.29597958689600001</v>
      </c>
      <c r="F67" s="76">
        <v>7.8942367252999995E-2</v>
      </c>
    </row>
    <row r="68" spans="2:11" x14ac:dyDescent="0.25">
      <c r="B68">
        <v>76</v>
      </c>
      <c r="C68" t="s">
        <v>84</v>
      </c>
      <c r="D68" t="s">
        <v>27</v>
      </c>
      <c r="E68">
        <v>0.19796492273399999</v>
      </c>
      <c r="F68" s="76">
        <v>3.4156307751499998E-2</v>
      </c>
    </row>
    <row r="69" spans="2:11" x14ac:dyDescent="0.25">
      <c r="B69">
        <v>77</v>
      </c>
      <c r="C69" t="s">
        <v>85</v>
      </c>
      <c r="D69" t="s">
        <v>27</v>
      </c>
      <c r="E69">
        <v>0.27817460170199998</v>
      </c>
      <c r="F69">
        <v>0.17839332841300001</v>
      </c>
    </row>
    <row r="70" spans="2:11" x14ac:dyDescent="0.25">
      <c r="B70">
        <v>83</v>
      </c>
      <c r="C70" t="s">
        <v>86</v>
      </c>
      <c r="D70" t="s">
        <v>27</v>
      </c>
      <c r="E70">
        <v>-0.77256225305799997</v>
      </c>
      <c r="F70">
        <v>0.454505526996</v>
      </c>
    </row>
    <row r="71" spans="2:11" x14ac:dyDescent="0.25">
      <c r="B71">
        <v>-1</v>
      </c>
    </row>
    <row r="72" spans="2:11" x14ac:dyDescent="0.25">
      <c r="B72">
        <v>3942</v>
      </c>
      <c r="C72" s="76">
        <v>-5314.5725053400001</v>
      </c>
      <c r="D72" s="76">
        <v>-6344.40425082</v>
      </c>
      <c r="E72" s="76">
        <v>-3915.8071334400001</v>
      </c>
    </row>
    <row r="73" spans="2:11" x14ac:dyDescent="0.25">
      <c r="B73">
        <v>8</v>
      </c>
      <c r="C73" t="s">
        <v>154</v>
      </c>
      <c r="D73" t="s">
        <v>151</v>
      </c>
      <c r="E73">
        <v>3</v>
      </c>
      <c r="F73" t="s">
        <v>152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A62"/>
  <sheetViews>
    <sheetView workbookViewId="0">
      <selection activeCell="I26" sqref="I26"/>
    </sheetView>
  </sheetViews>
  <sheetFormatPr defaultRowHeight="15" x14ac:dyDescent="0.25"/>
  <cols>
    <col min="9" max="9" customWidth="true" width="14.85546875" collapsed="true"/>
    <col min="19" max="19" bestFit="true" customWidth="true" width="15.42578125" collapsed="true"/>
    <col min="20" max="20" bestFit="true" customWidth="true" width="9.42578125" collapsed="true"/>
    <col min="21" max="22" bestFit="true" customWidth="true" width="14.42578125" collapsed="true"/>
    <col min="26" max="27" bestFit="true" customWidth="true" width="14.42578125" collapsed="true"/>
  </cols>
  <sheetData>
    <row r="1" spans="1:27" x14ac:dyDescent="0.25">
      <c r="X1" s="82" t="s">
        <v>162</v>
      </c>
    </row>
    <row r="2" spans="1:27" x14ac:dyDescent="0.25">
      <c r="C2" t="s">
        <v>133</v>
      </c>
      <c r="K2" t="s">
        <v>164</v>
      </c>
      <c r="Z2" t="s">
        <v>160</v>
      </c>
      <c r="AA2" t="s">
        <v>161</v>
      </c>
    </row>
    <row r="3" spans="1:27" x14ac:dyDescent="0.25">
      <c r="A3" s="82" t="s">
        <v>137</v>
      </c>
      <c r="X3" s="86">
        <v>1</v>
      </c>
      <c r="Y3" s="86" t="s">
        <v>26</v>
      </c>
      <c r="Z3" s="90">
        <f>VehAvailCoefficient!E11</f>
        <v>-3.7471395627100001</v>
      </c>
      <c r="AA3" s="89">
        <f>V6</f>
        <v>-3.5502124507071895</v>
      </c>
    </row>
    <row ht="15.75" r="4" spans="1:27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X4" s="86">
        <v>2</v>
      </c>
      <c r="Y4" s="86" t="s">
        <v>28</v>
      </c>
      <c r="Z4" s="90">
        <f>VehAvailCoefficient!E12</f>
        <v>-2.1297115852199999</v>
      </c>
      <c r="AA4" s="89">
        <f ref="AA4:AA19" si="0" t="shared">V7</f>
        <v>-2.0484380978508692</v>
      </c>
    </row>
    <row r="5" spans="1:27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83" t="s">
        <v>139</v>
      </c>
      <c r="R5" s="83" t="s">
        <v>89</v>
      </c>
      <c r="S5" s="83" t="s">
        <v>140</v>
      </c>
      <c r="T5" s="83" t="s">
        <v>141</v>
      </c>
      <c r="U5" s="83" t="s">
        <v>142</v>
      </c>
      <c r="V5" s="83" t="s">
        <v>143</v>
      </c>
      <c r="X5" s="86">
        <v>3</v>
      </c>
      <c r="Y5" s="86" t="s">
        <v>29</v>
      </c>
      <c r="Z5" s="90">
        <f>VehAvailCoefficient!E13</f>
        <v>-3.96633437255</v>
      </c>
      <c r="AA5" s="89">
        <f si="0" t="shared"/>
        <v>-4.1202858125483166</v>
      </c>
    </row>
    <row r="6" spans="1:27" x14ac:dyDescent="0.25">
      <c r="A6" s="3">
        <v>1</v>
      </c>
      <c r="B6" s="4">
        <f>Vehicles_by_HHDrivers!B16</f>
        <v>96803.997752528187</v>
      </c>
      <c r="C6" s="4">
        <f>Vehicles_by_HHDrivers!C16</f>
        <v>315417.81460040621</v>
      </c>
      <c r="D6" s="4">
        <f>Vehicles_by_HHDrivers!D16</f>
        <v>42807.841235995307</v>
      </c>
      <c r="E6" s="4">
        <f>Vehicles_by_HHDrivers!E16</f>
        <v>7419.0248147773173</v>
      </c>
      <c r="F6" s="4">
        <f>Vehicles_by_HHDrivers!F16</f>
        <v>4026.1532269374966</v>
      </c>
      <c r="G6" s="4">
        <f>SUM(B6:F6)</f>
        <v>466474.8316306445</v>
      </c>
      <c r="I6" s="3">
        <v>1</v>
      </c>
      <c r="J6" s="4">
        <f>Vehicles_by_HHDrivers!R16</f>
        <v>83304.918526929105</v>
      </c>
      <c r="K6" s="4">
        <f>Vehicles_by_HHDrivers!S16</f>
        <v>328587.0973352585</v>
      </c>
      <c r="L6" s="4">
        <f>Vehicles_by_HHDrivers!T16</f>
        <v>41355.036582271408</v>
      </c>
      <c r="M6" s="4">
        <f>Vehicles_by_HHDrivers!U16</f>
        <v>9067.9432541124952</v>
      </c>
      <c r="N6" s="4">
        <f>Vehicles_by_HHDrivers!V16</f>
        <v>4159.8359320730415</v>
      </c>
      <c r="O6" s="4">
        <f>SUM(J6:N6)</f>
        <v>466474.83163064456</v>
      </c>
      <c r="Q6">
        <v>1</v>
      </c>
      <c r="R6" t="s">
        <v>90</v>
      </c>
      <c r="S6" s="87">
        <f>Z3</f>
        <v>-3.7471395627100001</v>
      </c>
      <c r="T6" s="84">
        <f>B15/J15</f>
        <v>1.1620442041634718</v>
      </c>
      <c r="U6" s="87">
        <f>LN(T6)-LN($T$22)</f>
        <v>0.19692711200281079</v>
      </c>
      <c r="V6" s="87">
        <f>S6+U6</f>
        <v>-3.5502124507071895</v>
      </c>
      <c r="X6" s="86">
        <v>4</v>
      </c>
      <c r="Y6" s="86" t="s">
        <v>30</v>
      </c>
      <c r="Z6" s="90">
        <f>VehAvailCoefficient!E14</f>
        <v>-11.219392631330001</v>
      </c>
      <c r="AA6" s="89">
        <f si="0" t="shared"/>
        <v>-11.98458030744853</v>
      </c>
    </row>
    <row r="7" spans="1:27" x14ac:dyDescent="0.25">
      <c r="A7" s="3">
        <v>2</v>
      </c>
      <c r="B7" s="4">
        <f>Vehicles_by_HHDrivers!B17</f>
        <v>23537.892855867311</v>
      </c>
      <c r="C7" s="4">
        <f>Vehicles_by_HHDrivers!C17</f>
        <v>146123.96083626265</v>
      </c>
      <c r="D7" s="4">
        <f>Vehicles_by_HHDrivers!D17</f>
        <v>408242.98374642298</v>
      </c>
      <c r="E7" s="4">
        <f>Vehicles_by_HHDrivers!E17</f>
        <v>116432.00735669595</v>
      </c>
      <c r="F7" s="4">
        <f>Vehicles_by_HHDrivers!F17</f>
        <v>40923.123394950395</v>
      </c>
      <c r="G7" s="4">
        <f ref="G7:G10" si="1" t="shared">SUM(B7:F7)</f>
        <v>735259.96819019923</v>
      </c>
      <c r="I7" s="3">
        <v>2</v>
      </c>
      <c r="J7" s="4">
        <f>Vehicles_by_HHDrivers!R17</f>
        <v>21641.625619930743</v>
      </c>
      <c r="K7" s="4">
        <f>Vehicles_by_HHDrivers!S17</f>
        <v>128483.58917680086</v>
      </c>
      <c r="L7" s="4">
        <f>Vehicles_by_HHDrivers!T17</f>
        <v>424082.42514298414</v>
      </c>
      <c r="M7" s="4">
        <f>Vehicles_by_HHDrivers!U17</f>
        <v>120171.00463339142</v>
      </c>
      <c r="N7" s="4">
        <f>Vehicles_by_HHDrivers!V17</f>
        <v>40881.323617092217</v>
      </c>
      <c r="O7" s="4">
        <f ref="O7:O10" si="2" t="shared">SUM(J7:N7)</f>
        <v>735259.96819019935</v>
      </c>
      <c r="Q7">
        <v>2</v>
      </c>
      <c r="R7" t="s">
        <v>90</v>
      </c>
      <c r="S7" s="87">
        <f ref="S7:S22" si="3" t="shared">Z4</f>
        <v>-2.1297115852199999</v>
      </c>
      <c r="T7" s="84">
        <f>D15/L15</f>
        <v>1.035130053647364</v>
      </c>
      <c r="U7" s="87">
        <f ref="U7:U22" si="4" t="shared">LN(T7)-LN($T$22)</f>
        <v>8.1273487369130676E-2</v>
      </c>
      <c r="V7" s="87">
        <f ref="V7:V22" si="5" t="shared">S7+U7</f>
        <v>-2.0484380978508692</v>
      </c>
      <c r="X7" s="86">
        <v>5</v>
      </c>
      <c r="Y7" s="86" t="s">
        <v>31</v>
      </c>
      <c r="Z7" s="90">
        <f>VehAvailCoefficient!E15</f>
        <v>-5.0125223934900003</v>
      </c>
      <c r="AA7" s="89">
        <f si="0" t="shared"/>
        <v>-4.881782968386907</v>
      </c>
    </row>
    <row r="8" spans="1:27" x14ac:dyDescent="0.25">
      <c r="A8" s="3">
        <v>3</v>
      </c>
      <c r="B8" s="4">
        <f>Vehicles_by_HHDrivers!B18</f>
        <v>4145.8483147774432</v>
      </c>
      <c r="C8" s="4">
        <f>Vehicles_by_HHDrivers!C18</f>
        <v>18405.47250806155</v>
      </c>
      <c r="D8" s="4">
        <f>Vehicles_by_HHDrivers!D18</f>
        <v>71215.707253434535</v>
      </c>
      <c r="E8" s="4">
        <f>Vehicles_by_HHDrivers!E18</f>
        <v>64675.148334916907</v>
      </c>
      <c r="F8" s="4">
        <f>Vehicles_by_HHDrivers!F18</f>
        <v>41469.922858009937</v>
      </c>
      <c r="G8" s="4">
        <f si="1" t="shared"/>
        <v>199912.09926920038</v>
      </c>
      <c r="I8" s="3">
        <v>3</v>
      </c>
      <c r="J8" s="4">
        <f>Vehicles_by_HHDrivers!R18</f>
        <v>4488.3105817329015</v>
      </c>
      <c r="K8" s="4">
        <f>Vehicles_by_HHDrivers!S18</f>
        <v>17209.062531749911</v>
      </c>
      <c r="L8" s="4">
        <f>Vehicles_by_HHDrivers!T18</f>
        <v>76376.040117070748</v>
      </c>
      <c r="M8" s="4">
        <f>Vehicles_by_HHDrivers!U18</f>
        <v>74913.943926101972</v>
      </c>
      <c r="N8" s="4">
        <f>Vehicles_by_HHDrivers!V18</f>
        <v>26924.742112544838</v>
      </c>
      <c r="O8" s="4">
        <f si="2" t="shared"/>
        <v>199912.09926920035</v>
      </c>
      <c r="Q8">
        <v>3</v>
      </c>
      <c r="R8" t="s">
        <v>90</v>
      </c>
      <c r="S8" s="87">
        <f si="3" t="shared"/>
        <v>-3.96633437255</v>
      </c>
      <c r="T8" s="84">
        <f>E15/M15</f>
        <v>0.81815959880567612</v>
      </c>
      <c r="U8" s="87">
        <f si="4" t="shared"/>
        <v>-0.15395143999831631</v>
      </c>
      <c r="V8" s="87">
        <f si="5" t="shared"/>
        <v>-4.1202858125483166</v>
      </c>
      <c r="X8" s="86">
        <v>6</v>
      </c>
      <c r="Y8" s="86" t="s">
        <v>32</v>
      </c>
      <c r="Z8" s="90">
        <f>VehAvailCoefficient!E16</f>
        <v>-1.8563745465099999</v>
      </c>
      <c r="AA8" s="89">
        <f si="0" t="shared"/>
        <v>-1.6809740108596283</v>
      </c>
    </row>
    <row r="9" spans="1:27" x14ac:dyDescent="0.25">
      <c r="A9" s="5" t="s">
        <v>3</v>
      </c>
      <c r="B9" s="4">
        <f>Vehicles_by_HHDrivers!B19</f>
        <v>888.66854932999047</v>
      </c>
      <c r="C9" s="4">
        <f>Vehicles_by_HHDrivers!C19</f>
        <v>3491.1825176006314</v>
      </c>
      <c r="D9" s="4">
        <f>Vehicles_by_HHDrivers!D19</f>
        <v>23898.82862523081</v>
      </c>
      <c r="E9" s="4">
        <f>Vehicles_by_HHDrivers!E19</f>
        <v>40087.795236155405</v>
      </c>
      <c r="F9" s="4">
        <f>Vehicles_by_HHDrivers!F19</f>
        <v>36595.733362446706</v>
      </c>
      <c r="G9" s="6">
        <f si="1" t="shared"/>
        <v>104962.20829076355</v>
      </c>
      <c r="I9" s="5" t="s">
        <v>3</v>
      </c>
      <c r="J9" s="4">
        <f>Vehicles_by_HHDrivers!R19</f>
        <v>510.85292268653501</v>
      </c>
      <c r="K9" s="4">
        <f>Vehicles_by_HHDrivers!S19</f>
        <v>2833.8766991710295</v>
      </c>
      <c r="L9" s="4">
        <f>Vehicles_by_HHDrivers!T19</f>
        <v>26729.735986763397</v>
      </c>
      <c r="M9" s="4">
        <f>Vehicles_by_HHDrivers!U19</f>
        <v>38061.390265243652</v>
      </c>
      <c r="N9" s="4">
        <f>Vehicles_by_HHDrivers!V19</f>
        <v>36826.352416898946</v>
      </c>
      <c r="O9" s="6">
        <f si="2" t="shared"/>
        <v>104962.20829076355</v>
      </c>
      <c r="Q9">
        <v>4</v>
      </c>
      <c r="R9" t="s">
        <v>90</v>
      </c>
      <c r="S9" s="87">
        <f si="3" t="shared"/>
        <v>-11.219392631330001</v>
      </c>
      <c r="T9" s="84">
        <f>F15/M15</f>
        <v>0.44399850264960078</v>
      </c>
      <c r="U9" s="87">
        <f si="4" t="shared"/>
        <v>-0.76518767611853</v>
      </c>
      <c r="V9" s="87">
        <f si="5" t="shared"/>
        <v>-11.98458030744853</v>
      </c>
      <c r="X9" s="86">
        <v>7</v>
      </c>
      <c r="Y9" s="86" t="s">
        <v>33</v>
      </c>
      <c r="Z9" s="90">
        <f>VehAvailCoefficient!E17</f>
        <v>-1.3964239432800001</v>
      </c>
      <c r="AA9" s="89">
        <f si="0" t="shared"/>
        <v>-1.381285822632623</v>
      </c>
    </row>
    <row ht="15.75" r="10" spans="1:27" thickBot="1" x14ac:dyDescent="0.3">
      <c r="A10" s="7" t="s">
        <v>4</v>
      </c>
      <c r="B10" s="8">
        <f>SUM(B6:B9)</f>
        <v>125376.40747250292</v>
      </c>
      <c r="C10" s="8">
        <f ref="C10:F10" si="6" t="shared">SUM(C6:C9)</f>
        <v>483438.4304623311</v>
      </c>
      <c r="D10" s="8">
        <f si="6" t="shared"/>
        <v>546165.36086108361</v>
      </c>
      <c r="E10" s="8">
        <f si="6" t="shared"/>
        <v>228613.97574254556</v>
      </c>
      <c r="F10" s="8">
        <f si="6" t="shared"/>
        <v>123014.93284234454</v>
      </c>
      <c r="G10" s="8">
        <f si="1" t="shared"/>
        <v>1506609.1073808079</v>
      </c>
      <c r="I10" s="7" t="s">
        <v>4</v>
      </c>
      <c r="J10" s="8">
        <f>SUM(J6:J9)</f>
        <v>109945.70765127928</v>
      </c>
      <c r="K10" s="8">
        <f ref="K10:N10" si="7" t="shared">SUM(K6:K9)</f>
        <v>477113.62574298028</v>
      </c>
      <c r="L10" s="8">
        <f si="7" t="shared"/>
        <v>568543.23782908963</v>
      </c>
      <c r="M10" s="8">
        <f si="7" t="shared"/>
        <v>242214.28207884956</v>
      </c>
      <c r="N10" s="8">
        <f si="7" t="shared"/>
        <v>108792.25407860902</v>
      </c>
      <c r="O10" s="8">
        <f si="2" t="shared"/>
        <v>1506609.1073808079</v>
      </c>
      <c r="Q10">
        <v>5</v>
      </c>
      <c r="R10" t="s">
        <v>91</v>
      </c>
      <c r="S10" s="87">
        <f si="3" t="shared"/>
        <v>-5.0125223934900003</v>
      </c>
      <c r="T10" s="84">
        <f>B16/J16</f>
        <v>1.0876212937622491</v>
      </c>
      <c r="U10" s="87">
        <f si="4" t="shared"/>
        <v>0.13073942510309308</v>
      </c>
      <c r="V10" s="87">
        <f si="5" t="shared"/>
        <v>-4.881782968386907</v>
      </c>
      <c r="X10" s="86">
        <v>8</v>
      </c>
      <c r="Y10" s="86" t="s">
        <v>34</v>
      </c>
      <c r="Z10" s="90">
        <f>VehAvailCoefficient!E18</f>
        <v>-2.3942936803500001</v>
      </c>
      <c r="AA10" s="89">
        <f si="0" t="shared"/>
        <v>-2.346525323511965</v>
      </c>
    </row>
    <row r="11" spans="1:27" x14ac:dyDescent="0.25">
      <c r="G11" s="4"/>
      <c r="O11" s="4"/>
      <c r="Q11">
        <v>6</v>
      </c>
      <c r="R11" t="s">
        <v>91</v>
      </c>
      <c r="S11" s="87">
        <f si="3" t="shared"/>
        <v>-1.8563745465099999</v>
      </c>
      <c r="T11" s="84">
        <f>C16/K16</f>
        <v>1.1372966911376332</v>
      </c>
      <c r="U11" s="87">
        <f si="4" t="shared"/>
        <v>0.17540053565037156</v>
      </c>
      <c r="V11" s="87">
        <f si="5" t="shared"/>
        <v>-1.6809740108596283</v>
      </c>
      <c r="X11" s="86">
        <v>9</v>
      </c>
      <c r="Y11" s="86" t="s">
        <v>35</v>
      </c>
      <c r="Z11" s="90">
        <f>VehAvailCoefficient!E19</f>
        <v>-4.9201833156500001</v>
      </c>
      <c r="AA11" s="89">
        <f si="0" t="shared"/>
        <v>-4.9528058439067983</v>
      </c>
    </row>
    <row r="12" spans="1:27" x14ac:dyDescent="0.25">
      <c r="A12" s="82" t="s">
        <v>138</v>
      </c>
      <c r="Q12">
        <v>7</v>
      </c>
      <c r="R12" t="s">
        <v>91</v>
      </c>
      <c r="S12" s="87">
        <f si="3" t="shared"/>
        <v>-1.3964239432800001</v>
      </c>
      <c r="T12" s="84">
        <f>E16/M16</f>
        <v>0.96888602797237044</v>
      </c>
      <c r="U12" s="87">
        <f si="4" t="shared"/>
        <v>1.5138120647377087E-2</v>
      </c>
      <c r="V12" s="87">
        <f si="5" t="shared"/>
        <v>-1.381285822632623</v>
      </c>
      <c r="X12" s="86">
        <v>10</v>
      </c>
      <c r="Y12" s="86" t="s">
        <v>36</v>
      </c>
      <c r="Z12" s="90">
        <f>VehAvailCoefficient!E20</f>
        <v>-2.29401614977</v>
      </c>
      <c r="AA12" s="89">
        <f si="0" t="shared"/>
        <v>-2.1800578340527226</v>
      </c>
    </row>
    <row ht="15.75" r="13" spans="1:27" thickBot="1" x14ac:dyDescent="0.3">
      <c r="A13" s="12"/>
      <c r="B13" s="10" t="s">
        <v>2</v>
      </c>
      <c r="C13" s="9"/>
      <c r="D13" s="9"/>
      <c r="E13" s="9"/>
      <c r="F13" s="9"/>
      <c r="G13" s="9"/>
      <c r="I13" s="12"/>
      <c r="J13" s="10" t="s">
        <v>2</v>
      </c>
      <c r="K13" s="9"/>
      <c r="L13" s="9"/>
      <c r="M13" s="9"/>
      <c r="N13" s="9"/>
      <c r="O13" s="9"/>
      <c r="Q13">
        <v>8</v>
      </c>
      <c r="R13" t="s">
        <v>91</v>
      </c>
      <c r="S13" s="87">
        <f si="3" t="shared"/>
        <v>-2.3942936803500001</v>
      </c>
      <c r="T13" s="84">
        <f>F16/N16</f>
        <v>1.0010224663528433</v>
      </c>
      <c r="U13" s="87">
        <f si="4" t="shared"/>
        <v>4.7768356838035153E-2</v>
      </c>
      <c r="V13" s="87">
        <f si="5" t="shared"/>
        <v>-2.346525323511965</v>
      </c>
      <c r="X13" s="86">
        <v>11</v>
      </c>
      <c r="Y13" s="86" t="s">
        <v>37</v>
      </c>
      <c r="Z13" s="90">
        <f>VehAvailCoefficient!E21</f>
        <v>-1.4446352364099999</v>
      </c>
      <c r="AA13" s="89">
        <f si="0" t="shared"/>
        <v>-1.4678444579355339</v>
      </c>
    </row>
    <row r="14" spans="1:27" x14ac:dyDescent="0.25">
      <c r="A14" s="11" t="s">
        <v>173</v>
      </c>
      <c r="B14" s="2">
        <v>0</v>
      </c>
      <c r="C14" s="2">
        <v>1</v>
      </c>
      <c r="D14" s="2">
        <v>2</v>
      </c>
      <c r="E14" s="2">
        <v>3</v>
      </c>
      <c r="F14" s="2" t="s">
        <v>3</v>
      </c>
      <c r="G14" s="2" t="s">
        <v>4</v>
      </c>
      <c r="I14" s="11" t="s">
        <v>173</v>
      </c>
      <c r="J14" s="2">
        <v>0</v>
      </c>
      <c r="K14" s="2">
        <v>1</v>
      </c>
      <c r="L14" s="2">
        <v>2</v>
      </c>
      <c r="M14" s="2">
        <v>3</v>
      </c>
      <c r="N14" s="2" t="s">
        <v>3</v>
      </c>
      <c r="O14" s="2" t="s">
        <v>4</v>
      </c>
      <c r="Q14">
        <v>9</v>
      </c>
      <c r="R14" t="s">
        <v>92</v>
      </c>
      <c r="S14" s="87">
        <f si="3" t="shared"/>
        <v>-4.9201833156500001</v>
      </c>
      <c r="T14" s="84">
        <f>B17/J17</f>
        <v>0.92369907101588411</v>
      </c>
      <c r="U14" s="87">
        <f si="4" t="shared"/>
        <v>-3.2622528256797893E-2</v>
      </c>
      <c r="V14" s="87">
        <f si="5" t="shared"/>
        <v>-4.9528058439067983</v>
      </c>
      <c r="X14" s="86">
        <v>12</v>
      </c>
      <c r="Y14" s="86" t="s">
        <v>38</v>
      </c>
      <c r="Z14" s="90">
        <f>VehAvailCoefficient!E22</f>
        <v>-0.81535992723999995</v>
      </c>
      <c r="AA14" s="89">
        <f si="0" t="shared"/>
        <v>-0.33669074532722953</v>
      </c>
    </row>
    <row r="15" spans="1:27" x14ac:dyDescent="0.25">
      <c r="A15" s="3">
        <v>1</v>
      </c>
      <c r="B15" s="17">
        <f>B6/$G$10</f>
        <v>6.4252895643793675E-2</v>
      </c>
      <c r="C15" s="17">
        <f ref="C15:G15" si="8" t="shared">C6/$G$10</f>
        <v>0.2093561050807333</v>
      </c>
      <c r="D15" s="17">
        <f si="8" t="shared"/>
        <v>2.8413369484016581E-2</v>
      </c>
      <c r="E15" s="17">
        <f si="8" t="shared"/>
        <v>4.9243196383400708E-3</v>
      </c>
      <c r="F15" s="17">
        <f si="8" t="shared"/>
        <v>2.6723276842105623E-3</v>
      </c>
      <c r="G15" s="17">
        <f si="8" t="shared"/>
        <v>0.30961901753109417</v>
      </c>
      <c r="I15" s="3">
        <v>1</v>
      </c>
      <c r="J15" s="17">
        <f>J6/$O$10</f>
        <v>5.5292987490134095E-2</v>
      </c>
      <c r="K15" s="17">
        <f ref="K15:O15" si="9" t="shared">K6/$O$10</f>
        <v>0.21809711339558854</v>
      </c>
      <c r="L15" s="17">
        <f si="9" t="shared"/>
        <v>2.7449081768904097E-2</v>
      </c>
      <c r="M15" s="17">
        <f si="9" t="shared"/>
        <v>6.0187763433056816E-3</v>
      </c>
      <c r="N15" s="17">
        <f si="9" t="shared"/>
        <v>2.7610585331617862E-3</v>
      </c>
      <c r="O15" s="17">
        <f si="9" t="shared"/>
        <v>0.30961901753109422</v>
      </c>
      <c r="Q15">
        <v>10</v>
      </c>
      <c r="R15" t="s">
        <v>92</v>
      </c>
      <c r="S15" s="87">
        <f si="3" t="shared"/>
        <v>-2.29401614977</v>
      </c>
      <c r="T15" s="84">
        <f>C17/K17</f>
        <v>1.0695220889635515</v>
      </c>
      <c r="U15" s="87">
        <f si="4" t="shared"/>
        <v>0.11395831571727744</v>
      </c>
      <c r="V15" s="87">
        <f si="5" t="shared"/>
        <v>-2.1800578340527226</v>
      </c>
      <c r="X15" s="86">
        <v>13</v>
      </c>
      <c r="Y15" s="86" t="s">
        <v>39</v>
      </c>
      <c r="Z15" s="90">
        <f>VehAvailCoefficient!E23</f>
        <v>-5.3216543706600001</v>
      </c>
      <c r="AA15" s="89">
        <f si="0" t="shared"/>
        <v>-4.7212653534615585</v>
      </c>
    </row>
    <row r="16" spans="1:27" x14ac:dyDescent="0.25">
      <c r="A16" s="3">
        <v>2</v>
      </c>
      <c r="B16" s="17">
        <f ref="B16:G16" si="10" t="shared">B7/$G$10</f>
        <v>1.562309210833538E-2</v>
      </c>
      <c r="C16" s="17">
        <f si="10" t="shared"/>
        <v>9.6988635021790434E-2</v>
      </c>
      <c r="D16" s="17">
        <f si="10" t="shared"/>
        <v>0.27096808438662662</v>
      </c>
      <c r="E16" s="17">
        <f si="10" t="shared"/>
        <v>7.728083335372192E-2</v>
      </c>
      <c r="F16" s="17">
        <f si="10" t="shared"/>
        <v>2.7162402772205423E-2</v>
      </c>
      <c r="G16" s="17">
        <f si="10" t="shared"/>
        <v>0.48802304764267979</v>
      </c>
      <c r="I16" s="3">
        <v>2</v>
      </c>
      <c r="J16" s="17">
        <f ref="J16:O16" si="11" t="shared">J7/$O$10</f>
        <v>1.4364459576083422E-2</v>
      </c>
      <c r="K16" s="17">
        <f si="11" t="shared"/>
        <v>8.5279976436731825E-2</v>
      </c>
      <c r="L16" s="17">
        <f si="11" t="shared"/>
        <v>0.28148138960890656</v>
      </c>
      <c r="M16" s="17">
        <f si="11" t="shared"/>
        <v>7.9762563524061594E-2</v>
      </c>
      <c r="N16" s="17">
        <f si="11" t="shared"/>
        <v>2.7134658496896454E-2</v>
      </c>
      <c r="O16" s="17">
        <f si="11" t="shared"/>
        <v>0.48802304764267984</v>
      </c>
      <c r="Q16">
        <v>11</v>
      </c>
      <c r="R16" t="s">
        <v>92</v>
      </c>
      <c r="S16" s="87">
        <f si="3" t="shared"/>
        <v>-1.4446352364099999</v>
      </c>
      <c r="T16" s="84">
        <f>D17/L17</f>
        <v>0.93243518705962825</v>
      </c>
      <c r="U16" s="87">
        <f si="4" t="shared"/>
        <v>-2.3209221525533945E-2</v>
      </c>
      <c r="V16" s="87">
        <f si="5" t="shared"/>
        <v>-1.4678444579355339</v>
      </c>
      <c r="X16" s="86">
        <v>14</v>
      </c>
      <c r="Y16" s="86" t="s">
        <v>40</v>
      </c>
      <c r="Z16" s="90">
        <f>VehAvailCoefficient!E24</f>
        <v>-1.1261276811700001</v>
      </c>
      <c r="AA16" s="89">
        <f si="0" t="shared"/>
        <v>-0.87078639185920537</v>
      </c>
    </row>
    <row r="17" spans="1:27" x14ac:dyDescent="0.25">
      <c r="A17" s="3">
        <v>3</v>
      </c>
      <c r="B17" s="17">
        <f ref="B17:G17" si="12" t="shared">B8/$G$10</f>
        <v>2.7517743616888584E-3</v>
      </c>
      <c r="C17" s="17">
        <f si="12" t="shared"/>
        <v>1.2216488283453217E-2</v>
      </c>
      <c r="D17" s="17">
        <f si="12" t="shared"/>
        <v>4.7268868152032337E-2</v>
      </c>
      <c r="E17" s="17">
        <f si="12" t="shared"/>
        <v>4.2927623374952643E-2</v>
      </c>
      <c r="F17" s="17">
        <f si="12" t="shared"/>
        <v>2.7525336634997569E-2</v>
      </c>
      <c r="G17" s="17">
        <f si="12" t="shared"/>
        <v>0.13269009080712463</v>
      </c>
      <c r="I17" s="3">
        <v>3</v>
      </c>
      <c r="J17" s="17">
        <f ref="J17:O17" si="13" t="shared">J8/$O$10</f>
        <v>2.9790810102931654E-3</v>
      </c>
      <c r="K17" s="17">
        <f si="13" t="shared"/>
        <v>1.1422380528196408E-2</v>
      </c>
      <c r="L17" s="17">
        <f si="13" t="shared"/>
        <v>5.0693998690773928E-2</v>
      </c>
      <c r="M17" s="17">
        <f si="13" t="shared"/>
        <v>4.9723543790557254E-2</v>
      </c>
      <c r="N17" s="17">
        <f si="13" t="shared"/>
        <v>1.7871086787303873E-2</v>
      </c>
      <c r="O17" s="17">
        <f si="13" t="shared"/>
        <v>0.1326900908071246</v>
      </c>
      <c r="Q17">
        <v>12</v>
      </c>
      <c r="R17" t="s">
        <v>92</v>
      </c>
      <c r="S17" s="87">
        <f si="3" t="shared"/>
        <v>-0.81535992723999995</v>
      </c>
      <c r="T17" s="84">
        <f>F17/N17</f>
        <v>1.5402161582334406</v>
      </c>
      <c r="U17" s="87">
        <f si="4" t="shared"/>
        <v>0.47866918191277041</v>
      </c>
      <c r="V17" s="87">
        <f si="5" t="shared"/>
        <v>-0.33669074532722953</v>
      </c>
      <c r="X17" s="86">
        <v>15</v>
      </c>
      <c r="Y17" s="86" t="s">
        <v>41</v>
      </c>
      <c r="Z17" s="90">
        <f>VehAvailCoefficient!E25</f>
        <v>-1.6372198765899999</v>
      </c>
      <c r="AA17" s="89">
        <f si="0" t="shared"/>
        <v>-1.7024206705660214</v>
      </c>
    </row>
    <row r="18" spans="1:27" x14ac:dyDescent="0.25">
      <c r="A18" s="5" t="s">
        <v>3</v>
      </c>
      <c r="B18" s="18">
        <f ref="B18:G18" si="14" t="shared">B9/$G$10</f>
        <v>5.8984679236070232E-4</v>
      </c>
      <c r="C18" s="18">
        <f si="14" t="shared"/>
        <v>2.3172450640962482E-3</v>
      </c>
      <c r="D18" s="18">
        <f si="14" t="shared"/>
        <v>1.5862660399536654E-2</v>
      </c>
      <c r="E18" s="18">
        <f si="14" t="shared"/>
        <v>2.6607960246468155E-2</v>
      </c>
      <c r="F18" s="18">
        <f si="14" t="shared"/>
        <v>2.4290131516639526E-2</v>
      </c>
      <c r="G18" s="17">
        <f si="14" t="shared"/>
        <v>6.9667844019101297E-2</v>
      </c>
      <c r="I18" s="5" t="s">
        <v>3</v>
      </c>
      <c r="J18" s="17">
        <f ref="J18:O18" si="15" t="shared">J9/$O$10</f>
        <v>3.3907462803980828E-4</v>
      </c>
      <c r="K18" s="17">
        <f si="15" t="shared"/>
        <v>1.8809634730654419E-3</v>
      </c>
      <c r="L18" s="17">
        <f si="15" t="shared"/>
        <v>1.7741652997991096E-2</v>
      </c>
      <c r="M18" s="17">
        <f si="15" t="shared"/>
        <v>2.5262949811455854E-2</v>
      </c>
      <c r="N18" s="17">
        <f si="15" t="shared"/>
        <v>2.44432031085491E-2</v>
      </c>
      <c r="O18" s="17">
        <f si="15" t="shared"/>
        <v>6.9667844019101297E-2</v>
      </c>
      <c r="Q18">
        <v>13</v>
      </c>
      <c r="R18" t="s">
        <v>93</v>
      </c>
      <c r="S18" s="87">
        <f si="3" t="shared"/>
        <v>-5.3216543706600001</v>
      </c>
      <c r="T18" s="84">
        <f>B18/J18</f>
        <v>1.739578085717026</v>
      </c>
      <c r="U18" s="87">
        <f si="4" t="shared"/>
        <v>0.60038901719844151</v>
      </c>
      <c r="V18" s="87">
        <f si="5" t="shared"/>
        <v>-4.7212653534615585</v>
      </c>
      <c r="X18" s="86">
        <v>16</v>
      </c>
      <c r="Y18" s="86" t="s">
        <v>42</v>
      </c>
      <c r="Z18" s="90">
        <f>VehAvailCoefficient!E26</f>
        <v>-0.59991414110999997</v>
      </c>
      <c r="AA18" s="89">
        <f si="0" t="shared"/>
        <v>-0.50129618792871056</v>
      </c>
    </row>
    <row ht="15.75" r="19" spans="1:27" thickBot="1" x14ac:dyDescent="0.3">
      <c r="A19" s="7" t="s">
        <v>4</v>
      </c>
      <c r="B19" s="19">
        <f>B10/$G$10</f>
        <v>8.3217608906178603E-2</v>
      </c>
      <c r="C19" s="19">
        <f ref="C19:G19" si="16" t="shared">C10/$G$10</f>
        <v>0.32087847345007325</v>
      </c>
      <c r="D19" s="19">
        <f si="16" t="shared"/>
        <v>0.36251298242221219</v>
      </c>
      <c r="E19" s="19">
        <f si="16" t="shared"/>
        <v>0.15174073661348278</v>
      </c>
      <c r="F19" s="19">
        <f si="16" t="shared"/>
        <v>8.1650198608053087E-2</v>
      </c>
      <c r="G19" s="19">
        <f si="16" t="shared"/>
        <v>1</v>
      </c>
      <c r="I19" s="7" t="s">
        <v>4</v>
      </c>
      <c r="J19" s="19">
        <f>J10/$O$10</f>
        <v>7.2975602704550488E-2</v>
      </c>
      <c r="K19" s="19">
        <f ref="K19:N19" si="17" t="shared">K10/$O$10</f>
        <v>0.31668043383358219</v>
      </c>
      <c r="L19" s="19">
        <f si="17" t="shared"/>
        <v>0.37736612306657563</v>
      </c>
      <c r="M19" s="19">
        <f si="17" t="shared"/>
        <v>0.16076783346938039</v>
      </c>
      <c r="N19" s="19">
        <f si="17" t="shared"/>
        <v>7.2210006925911202E-2</v>
      </c>
      <c r="O19" s="19">
        <f ref="O19" si="18" t="shared">SUM(J19:N19)</f>
        <v>0.99999999999999989</v>
      </c>
      <c r="Q19">
        <v>14</v>
      </c>
      <c r="R19" t="s">
        <v>93</v>
      </c>
      <c r="S19" s="87">
        <f si="3" t="shared"/>
        <v>-1.1261276811700001</v>
      </c>
      <c r="T19" s="84">
        <f>C18/K18</f>
        <v>1.2319458071771006</v>
      </c>
      <c r="U19" s="87">
        <f si="4" t="shared"/>
        <v>0.25534128931079475</v>
      </c>
      <c r="V19" s="87">
        <f si="5" t="shared"/>
        <v>-0.87078639185920537</v>
      </c>
      <c r="X19" s="86">
        <v>18</v>
      </c>
      <c r="Y19" s="86" t="s">
        <v>43</v>
      </c>
      <c r="Z19" s="90">
        <f>VehAvailCoefficient!E27</f>
        <v>0.39953921787000002</v>
      </c>
      <c r="AA19" s="89">
        <f si="0" t="shared"/>
        <v>0.39953921787000002</v>
      </c>
    </row>
    <row r="20" spans="1:27" x14ac:dyDescent="0.25">
      <c r="Q20">
        <v>15</v>
      </c>
      <c r="R20" t="s">
        <v>93</v>
      </c>
      <c r="S20" s="87">
        <f si="3" t="shared"/>
        <v>-1.6372198765899999</v>
      </c>
      <c r="T20" s="84">
        <f>D18/L18</f>
        <v>0.89409145818221103</v>
      </c>
      <c r="U20" s="87">
        <f si="4" t="shared"/>
        <v>-6.5200793976021576E-2</v>
      </c>
      <c r="V20" s="87">
        <f si="5" t="shared"/>
        <v>-1.7024206705660214</v>
      </c>
      <c r="X20">
        <v>19</v>
      </c>
      <c r="Y20" t="s">
        <v>44</v>
      </c>
      <c r="Z20" s="88">
        <f>VehAvailCoefficient!E28</f>
        <v>0.69903044631199995</v>
      </c>
      <c r="AA20" s="89">
        <v>0.69903044631199995</v>
      </c>
    </row>
    <row r="21" spans="1:27" x14ac:dyDescent="0.25">
      <c r="Q21">
        <v>16</v>
      </c>
      <c r="R21" t="s">
        <v>93</v>
      </c>
      <c r="S21" s="87">
        <f si="3" t="shared"/>
        <v>-0.59991414110999997</v>
      </c>
      <c r="T21" s="84">
        <f>E18/M18</f>
        <v>1.0532404349076601</v>
      </c>
      <c r="U21" s="87">
        <f si="4" t="shared"/>
        <v>9.861795318128945E-2</v>
      </c>
      <c r="V21" s="87">
        <f si="5" t="shared"/>
        <v>-0.50129618792871056</v>
      </c>
      <c r="X21">
        <v>20</v>
      </c>
      <c r="Y21" t="s">
        <v>45</v>
      </c>
      <c r="Z21" s="88">
        <f>VehAvailCoefficient!E29</f>
        <v>0.32485446959800002</v>
      </c>
      <c r="AA21" s="89">
        <v>0.32485446959800002</v>
      </c>
    </row>
    <row ht="15.75" r="22" spans="1:27" thickBot="1" x14ac:dyDescent="0.3">
      <c r="Q22" s="91">
        <v>18</v>
      </c>
      <c r="R22" s="94" t="s">
        <v>163</v>
      </c>
      <c r="S22" s="92">
        <f si="3" t="shared"/>
        <v>0.39953921787000002</v>
      </c>
      <c r="T22" s="93">
        <f>(C15+D16+E17+F18)/(K15+L16+M17+N18)</f>
        <v>0.95432937257597861</v>
      </c>
      <c r="U22" s="92">
        <f si="4" t="shared"/>
        <v>0</v>
      </c>
      <c r="V22" s="92">
        <f si="5" t="shared"/>
        <v>0.39953921787000002</v>
      </c>
      <c r="X22">
        <v>22</v>
      </c>
      <c r="Y22" t="s">
        <v>46</v>
      </c>
      <c r="Z22" s="88">
        <f>VehAvailCoefficient!E30</f>
        <v>-0.43856128772000003</v>
      </c>
      <c r="AA22" s="89">
        <v>-0.43856128772000003</v>
      </c>
    </row>
    <row r="23" spans="1:27" x14ac:dyDescent="0.25">
      <c r="X23">
        <v>24</v>
      </c>
      <c r="Y23" t="s">
        <v>47</v>
      </c>
      <c r="Z23" s="88">
        <f>VehAvailCoefficient!E31</f>
        <v>0.239019734309</v>
      </c>
      <c r="AA23" s="89">
        <v>0.239019734309</v>
      </c>
    </row>
    <row r="24" spans="1:27" x14ac:dyDescent="0.25">
      <c r="X24">
        <v>25</v>
      </c>
      <c r="Y24" t="s">
        <v>48</v>
      </c>
      <c r="Z24" s="88">
        <f>VehAvailCoefficient!E32</f>
        <v>-0.30115653367700002</v>
      </c>
      <c r="AA24" s="89">
        <v>-0.30115653367700002</v>
      </c>
    </row>
    <row r="25" spans="1:27" x14ac:dyDescent="0.25">
      <c r="X25">
        <v>26</v>
      </c>
      <c r="Y25" t="s">
        <v>49</v>
      </c>
      <c r="Z25" s="88">
        <f>VehAvailCoefficient!E33</f>
        <v>-0.56373515910799998</v>
      </c>
      <c r="AA25" s="89">
        <v>-0.56373515910799998</v>
      </c>
    </row>
    <row r="26" spans="1:27" x14ac:dyDescent="0.25">
      <c r="X26">
        <v>28</v>
      </c>
      <c r="Y26" t="s">
        <v>50</v>
      </c>
      <c r="Z26" s="88">
        <f>VehAvailCoefficient!E34</f>
        <v>0.31959884056900001</v>
      </c>
      <c r="AA26" s="89">
        <v>0.31959884056900001</v>
      </c>
    </row>
    <row r="27" spans="1:27" x14ac:dyDescent="0.25">
      <c r="X27">
        <v>29</v>
      </c>
      <c r="Y27" t="s">
        <v>51</v>
      </c>
      <c r="Z27" s="88">
        <f>VehAvailCoefficient!E35</f>
        <v>0.57068696704599997</v>
      </c>
      <c r="AA27" s="89">
        <v>0.57068696704599997</v>
      </c>
    </row>
    <row r="28" spans="1:27" x14ac:dyDescent="0.25">
      <c r="X28">
        <v>31</v>
      </c>
      <c r="Y28" t="s">
        <v>52</v>
      </c>
      <c r="Z28" s="88">
        <f>VehAvailCoefficient!E36</f>
        <v>2.9250059989500001</v>
      </c>
      <c r="AA28" s="89">
        <v>2.9250059989500001</v>
      </c>
    </row>
    <row r="29" spans="1:27" x14ac:dyDescent="0.25">
      <c r="X29">
        <v>32</v>
      </c>
      <c r="Y29" t="s">
        <v>53</v>
      </c>
      <c r="Z29" s="88">
        <f>VehAvailCoefficient!E37</f>
        <v>1.2969669216299999</v>
      </c>
      <c r="AA29" s="89">
        <v>1.2969669216299999</v>
      </c>
    </row>
    <row r="30" spans="1:27" x14ac:dyDescent="0.25">
      <c r="X30">
        <v>34</v>
      </c>
      <c r="Y30" t="s">
        <v>54</v>
      </c>
      <c r="Z30" s="88">
        <f>VehAvailCoefficient!E38</f>
        <v>-2.59112200624</v>
      </c>
      <c r="AA30" s="89">
        <v>-2.59112200624</v>
      </c>
    </row>
    <row r="31" spans="1:27" x14ac:dyDescent="0.25">
      <c r="X31">
        <v>35</v>
      </c>
      <c r="Y31" t="s">
        <v>55</v>
      </c>
      <c r="Z31" s="88">
        <f>VehAvailCoefficient!E39</f>
        <v>-1.0636437007299999</v>
      </c>
      <c r="AA31" s="89">
        <v>-1.0636437007299999</v>
      </c>
    </row>
    <row r="32" spans="1:27" x14ac:dyDescent="0.25">
      <c r="X32">
        <v>36</v>
      </c>
      <c r="Y32" t="s">
        <v>56</v>
      </c>
      <c r="Z32" s="88">
        <f>VehAvailCoefficient!E40</f>
        <v>-0.53660640919000002</v>
      </c>
      <c r="AA32" s="89">
        <v>-0.53660640919000002</v>
      </c>
    </row>
    <row r="33" spans="24:27" x14ac:dyDescent="0.25">
      <c r="X33">
        <v>37</v>
      </c>
      <c r="Y33" t="s">
        <v>57</v>
      </c>
      <c r="Z33" s="88">
        <f>VehAvailCoefficient!E41</f>
        <v>0.28589368992800002</v>
      </c>
      <c r="AA33" s="89">
        <v>0.28589368992800002</v>
      </c>
    </row>
    <row r="34" spans="24:27" x14ac:dyDescent="0.25">
      <c r="X34">
        <v>38</v>
      </c>
      <c r="Y34" t="s">
        <v>58</v>
      </c>
      <c r="Z34" s="88">
        <f>VehAvailCoefficient!E42</f>
        <v>0.64783551265499995</v>
      </c>
      <c r="AA34" s="89">
        <v>0.64783551265499995</v>
      </c>
    </row>
    <row r="35" spans="24:27" x14ac:dyDescent="0.25">
      <c r="X35">
        <v>41</v>
      </c>
      <c r="Y35" t="s">
        <v>59</v>
      </c>
      <c r="Z35" s="88">
        <f>VehAvailCoefficient!E43</f>
        <v>-0.47288768158</v>
      </c>
      <c r="AA35" s="89">
        <v>-0.47288768158</v>
      </c>
    </row>
    <row r="36" spans="24:27" x14ac:dyDescent="0.25">
      <c r="X36">
        <v>42</v>
      </c>
      <c r="Y36" t="s">
        <v>60</v>
      </c>
      <c r="Z36" s="88">
        <f>VehAvailCoefficient!E44</f>
        <v>-1.73045435445</v>
      </c>
      <c r="AA36" s="89">
        <v>-1.73045435445</v>
      </c>
    </row>
    <row r="37" spans="24:27" x14ac:dyDescent="0.25">
      <c r="X37">
        <v>43</v>
      </c>
      <c r="Y37" t="s">
        <v>61</v>
      </c>
      <c r="Z37" s="88">
        <f>VehAvailCoefficient!E45</f>
        <v>2.0718120356499998</v>
      </c>
      <c r="AA37" s="89">
        <v>2.0718120356499998</v>
      </c>
    </row>
    <row r="38" spans="24:27" x14ac:dyDescent="0.25">
      <c r="X38">
        <v>44</v>
      </c>
      <c r="Y38" t="s">
        <v>62</v>
      </c>
      <c r="Z38" s="88">
        <f>VehAvailCoefficient!E46</f>
        <v>0.60728378971399999</v>
      </c>
      <c r="AA38" s="89">
        <v>0.60728378971399999</v>
      </c>
    </row>
    <row r="39" spans="24:27" x14ac:dyDescent="0.25">
      <c r="X39">
        <v>45</v>
      </c>
      <c r="Y39" t="s">
        <v>63</v>
      </c>
      <c r="Z39" s="88">
        <f>VehAvailCoefficient!E47</f>
        <v>-0.71462161389500001</v>
      </c>
      <c r="AA39" s="89">
        <v>-0.71462161389500001</v>
      </c>
    </row>
    <row r="40" spans="24:27" x14ac:dyDescent="0.25">
      <c r="X40">
        <v>46</v>
      </c>
      <c r="Y40" t="s">
        <v>64</v>
      </c>
      <c r="Z40" s="88">
        <f>VehAvailCoefficient!E48</f>
        <v>-1.4356778668800001</v>
      </c>
      <c r="AA40" s="89">
        <v>-1.4356778668800001</v>
      </c>
    </row>
    <row r="41" spans="24:27" x14ac:dyDescent="0.25">
      <c r="X41">
        <v>47</v>
      </c>
      <c r="Y41" t="s">
        <v>65</v>
      </c>
      <c r="Z41" s="88">
        <f>VehAvailCoefficient!E49</f>
        <v>-1.45349726543</v>
      </c>
      <c r="AA41" s="89">
        <v>-1.45349726543</v>
      </c>
    </row>
    <row r="42" spans="24:27" x14ac:dyDescent="0.25">
      <c r="X42">
        <v>48</v>
      </c>
      <c r="Y42" t="s">
        <v>66</v>
      </c>
      <c r="Z42" s="88">
        <f>VehAvailCoefficient!E50</f>
        <v>-1.0930755785699999</v>
      </c>
      <c r="AA42" s="89">
        <v>-1.0930755785699999</v>
      </c>
    </row>
    <row r="43" spans="24:27" x14ac:dyDescent="0.25">
      <c r="X43">
        <v>49</v>
      </c>
      <c r="Y43" t="s">
        <v>67</v>
      </c>
      <c r="Z43" s="88">
        <f>VehAvailCoefficient!E51</f>
        <v>0.14078168516299999</v>
      </c>
      <c r="AA43" s="89">
        <v>0.14078168516299999</v>
      </c>
    </row>
    <row r="44" spans="24:27" x14ac:dyDescent="0.25">
      <c r="X44">
        <v>50</v>
      </c>
      <c r="Y44" t="s">
        <v>68</v>
      </c>
      <c r="Z44" s="88">
        <f>VehAvailCoefficient!E52</f>
        <v>0.188609995585</v>
      </c>
      <c r="AA44" s="89">
        <v>0.188609995585</v>
      </c>
    </row>
    <row r="45" spans="24:27" x14ac:dyDescent="0.25">
      <c r="X45">
        <v>51</v>
      </c>
      <c r="Y45" t="s">
        <v>69</v>
      </c>
      <c r="Z45" s="88">
        <f>VehAvailCoefficient!E53</f>
        <v>-0.58492078305700002</v>
      </c>
      <c r="AA45" s="89">
        <v>-0.58492078305700002</v>
      </c>
    </row>
    <row r="46" spans="24:27" x14ac:dyDescent="0.25">
      <c r="X46">
        <v>52</v>
      </c>
      <c r="Y46" t="s">
        <v>70</v>
      </c>
      <c r="Z46" s="88">
        <f>VehAvailCoefficient!E54</f>
        <v>-1.0058660612699999</v>
      </c>
      <c r="AA46" s="89">
        <v>-1.0058660612699999</v>
      </c>
    </row>
    <row r="47" spans="24:27" x14ac:dyDescent="0.25">
      <c r="X47">
        <v>53</v>
      </c>
      <c r="Y47" t="s">
        <v>71</v>
      </c>
      <c r="Z47" s="88">
        <f>VehAvailCoefficient!E55</f>
        <v>0.22559840834</v>
      </c>
      <c r="AA47" s="89">
        <v>0.22559840834</v>
      </c>
    </row>
    <row r="48" spans="24:27" x14ac:dyDescent="0.25">
      <c r="X48">
        <v>54</v>
      </c>
      <c r="Y48" t="s">
        <v>72</v>
      </c>
      <c r="Z48" s="88">
        <f>VehAvailCoefficient!E56</f>
        <v>0.34302043279099997</v>
      </c>
      <c r="AA48" s="89">
        <v>0.34302043279099997</v>
      </c>
    </row>
    <row r="49" spans="24:27" x14ac:dyDescent="0.25">
      <c r="X49">
        <v>55</v>
      </c>
      <c r="Y49" t="s">
        <v>73</v>
      </c>
      <c r="Z49" s="88">
        <f>VehAvailCoefficient!E57</f>
        <v>-0.53538167154600003</v>
      </c>
      <c r="AA49" s="89">
        <v>-0.53538167154600003</v>
      </c>
    </row>
    <row r="50" spans="24:27" x14ac:dyDescent="0.25">
      <c r="X50">
        <v>56</v>
      </c>
      <c r="Y50" t="s">
        <v>74</v>
      </c>
      <c r="Z50" s="88">
        <f>VehAvailCoefficient!E58</f>
        <v>-0.52697142353899995</v>
      </c>
      <c r="AA50" s="89">
        <v>-0.52697142353899995</v>
      </c>
    </row>
    <row r="51" spans="24:27" x14ac:dyDescent="0.25">
      <c r="X51">
        <v>57</v>
      </c>
      <c r="Y51" t="s">
        <v>75</v>
      </c>
      <c r="Z51" s="88">
        <f>VehAvailCoefficient!E59</f>
        <v>0.21517789340999999</v>
      </c>
      <c r="AA51" s="89">
        <v>0.21517789340999999</v>
      </c>
    </row>
    <row r="52" spans="24:27" x14ac:dyDescent="0.25">
      <c r="X52">
        <v>58</v>
      </c>
      <c r="Y52" t="s">
        <v>76</v>
      </c>
      <c r="Z52" s="88">
        <f>VehAvailCoefficient!E60</f>
        <v>-0.978212790971</v>
      </c>
      <c r="AA52" s="89">
        <v>-0.978212790971</v>
      </c>
    </row>
    <row r="53" spans="24:27" x14ac:dyDescent="0.25">
      <c r="X53">
        <v>59</v>
      </c>
      <c r="Y53" t="s">
        <v>77</v>
      </c>
      <c r="Z53" s="88">
        <f>VehAvailCoefficient!E61</f>
        <v>-0.42495698544999999</v>
      </c>
      <c r="AA53" s="89">
        <v>-0.42495698544999999</v>
      </c>
    </row>
    <row r="54" spans="24:27" x14ac:dyDescent="0.25">
      <c r="X54">
        <v>60</v>
      </c>
      <c r="Y54" t="s">
        <v>78</v>
      </c>
      <c r="Z54" s="88">
        <f>VehAvailCoefficient!E62</f>
        <v>-0.11124462416</v>
      </c>
      <c r="AA54" s="89">
        <v>-0.11124462416</v>
      </c>
    </row>
    <row r="55" spans="24:27" x14ac:dyDescent="0.25">
      <c r="X55">
        <v>63</v>
      </c>
      <c r="Y55" t="s">
        <v>79</v>
      </c>
      <c r="Z55" s="88">
        <f>VehAvailCoefficient!E63</f>
        <v>-1.2627495896200001</v>
      </c>
      <c r="AA55" s="89">
        <v>-1.2627495896200001</v>
      </c>
    </row>
    <row r="56" spans="24:27" x14ac:dyDescent="0.25">
      <c r="X56">
        <v>69</v>
      </c>
      <c r="Y56" t="s">
        <v>80</v>
      </c>
      <c r="Z56" s="88">
        <f>VehAvailCoefficient!E64</f>
        <v>-0.182881856812</v>
      </c>
      <c r="AA56" s="89">
        <v>-0.182881856812</v>
      </c>
    </row>
    <row r="57" spans="24:27" x14ac:dyDescent="0.25">
      <c r="X57">
        <v>72</v>
      </c>
      <c r="Y57" t="s">
        <v>81</v>
      </c>
      <c r="Z57" s="88">
        <f>VehAvailCoefficient!E65</f>
        <v>0.14811075420100001</v>
      </c>
      <c r="AA57" s="89">
        <v>0.14811075420100001</v>
      </c>
    </row>
    <row r="58" spans="24:27" x14ac:dyDescent="0.25">
      <c r="X58">
        <v>73</v>
      </c>
      <c r="Y58" t="s">
        <v>82</v>
      </c>
      <c r="Z58" s="88">
        <f>VehAvailCoefficient!E66</f>
        <v>7.1458236224400005E-4</v>
      </c>
      <c r="AA58" s="89">
        <v>7.1458236224400005E-4</v>
      </c>
    </row>
    <row r="59" spans="24:27" x14ac:dyDescent="0.25">
      <c r="X59">
        <v>75</v>
      </c>
      <c r="Y59" t="s">
        <v>83</v>
      </c>
      <c r="Z59" s="88">
        <f>VehAvailCoefficient!E67</f>
        <v>0.29597958689600001</v>
      </c>
      <c r="AA59" s="89">
        <v>0.29597958689600001</v>
      </c>
    </row>
    <row r="60" spans="24:27" x14ac:dyDescent="0.25">
      <c r="X60">
        <v>76</v>
      </c>
      <c r="Y60" t="s">
        <v>84</v>
      </c>
      <c r="Z60" s="88">
        <f>VehAvailCoefficient!E68</f>
        <v>0.19796492273399999</v>
      </c>
      <c r="AA60" s="89">
        <v>0.19796492273399999</v>
      </c>
    </row>
    <row r="61" spans="24:27" x14ac:dyDescent="0.25">
      <c r="X61">
        <v>77</v>
      </c>
      <c r="Y61" t="s">
        <v>85</v>
      </c>
      <c r="Z61" s="88">
        <f>VehAvailCoefficient!E69</f>
        <v>0.27817460170199998</v>
      </c>
      <c r="AA61" s="89">
        <v>0.27817460170199998</v>
      </c>
    </row>
    <row r="62" spans="24:27" x14ac:dyDescent="0.25">
      <c r="X62">
        <v>83</v>
      </c>
      <c r="Y62" t="s">
        <v>86</v>
      </c>
      <c r="Z62" s="88">
        <f>VehAvailCoefficient!E70</f>
        <v>-0.77256225305799997</v>
      </c>
      <c r="AA62" s="89">
        <v>-0.77256225305799997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baseType="lpstr" size="15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2017-06-23T18:47:07Z</dcterms:modified>
</cp:coreProperties>
</file>