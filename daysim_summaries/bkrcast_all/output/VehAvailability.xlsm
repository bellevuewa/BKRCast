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V25"/>
  <c i="5" r="W12"/>
  <c i="5" r="E25" s="1"/>
  <c i="5" r="G12"/>
  <c i="5" l="1" r="W25"/>
  <c i="5" r="AC25"/>
  <c i="5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8" r="E10" s="1"/>
  <c i="1" r="E20"/>
  <c i="8" r="F6"/>
  <c i="8" r="F10" s="1"/>
  <c i="1" r="F20"/>
  <c i="8" r="C6"/>
  <c i="8" r="C10" s="1"/>
  <c i="1" r="C20"/>
  <c i="8" r="D6"/>
  <c i="8" r="D10" s="1"/>
  <c i="1" r="D20"/>
  <c i="8" r="B6"/>
  <c i="8" r="B10" s="1"/>
  <c i="1" r="B20"/>
  <c i="1" r="G20"/>
  <c i="1" r="G29" s="1"/>
  <c i="8" r="K10"/>
  <c i="8" r="J10"/>
  <c i="8" r="O6"/>
  <c i="8" r="G7"/>
  <c i="8" r="L10"/>
  <c i="8" r="O7"/>
  <c i="8" r="O9"/>
  <c i="8" r="G9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<sst xmlns="http://schemas.openxmlformats.org/spreadsheetml/2006/main" count="802" uniqueCount="174">
  <si>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</si>
  <si>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</si>
  <si>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</si>
  <si>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</si>
  <si>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</si>
  <si>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</si>
  <si>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</si>
  <si>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</si>
  <si>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</si>
  <si>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</si>
  <si>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</si>
  <si>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</si>
  <si>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</si>
  <si>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</si>
  <si>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</si>
  <si>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</si>
  <si>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</si>
  <si>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</si>
  <si>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</si>
  <si>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</si>
  <si>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</si>
  <si>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</si>
  <si>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</si>
  <si>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</si>
  <si>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</si>
  <si>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</si>
  <si>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</si>
  <si>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</si>
  <si>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</si>
  <si>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</si>
  <si>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</si>
  <si>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</si>
  <si>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</si>
  <si>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</si>
  <si>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</si>
  <si>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</si>
  <si>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</si>
  <si>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</si>
  <si>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</si>
  <si>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</si>
  <si>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</si>
  <si>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</si>
  <si>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</si>
  <si>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</si>
  <si>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</si>
  <si>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</si>
  <si>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</si>
  <si>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</si>
  <si>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</si>
  <si>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</si>
  <si>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</si>
  <si>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</si>
  <si>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</si>
  <si>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</si>
  <si>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</si>
  <si>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</si>
  <si>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</si>
  <si>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</si>
  <si>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</si>
  <si>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</si>
  <si>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</si>
  <si>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</si>
  <si>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</si>
  <si>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</si>
  <si>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</si>
  <si>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</si>
  <si>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</si>
  <si>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</si>
  <si>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</si>
  <si>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</si>
  <si>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</si>
  <si>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</si>
  <si>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</si>
  <si>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</si>
  <si>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</si>
  <si>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</si>
  <si>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</si>
  <si>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</si>
  <si>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</si>
  <si>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</si>
  <si>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</si>
  <si>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</si>
  <si>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</si>
  <si>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</si>
  <si>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</si>
  <si>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</si>
  <si>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</si>
  <si>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</si>
  <si>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</si>
  <si>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</si>
  <si>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</si>
  <si>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</si>
  <si>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</si>
  <si>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</si>
  <si>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</si>
  <si>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</si>
  <si>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</si>
  <si>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</si>
  <si>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</si>
  <si>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</si>
  <si>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</si>
  <si>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</si>
  <si>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</si>
  <si>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</si>
  <si>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</si>
  <si>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</si>
  <si>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</si>
  <si>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</si>
  <si>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</si>
  <si>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</si>
  <si>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</si>
  <si>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</si>
  <si>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</si>
  <si>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</si>
  <si>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</si>
  <si>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</si>
  <si>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</si>
  <si>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</si>
  <si>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</si>
  <si>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</si>
  <si>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</si>
  <si>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</si>
  <si>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</si>
  <si>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</si>
  <si>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</si>
  <si>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</si>
  <si>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</si>
  <si>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</si>
  <si>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</si>
  <si>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</si>
  <si>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</si>
  <si>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</si>
  <si>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</si>
  <si>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</si>
  <si>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</si>
  <si>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</si>
  <si>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</si>
  <si>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</si>
  <si>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</si>
  <si>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</si>
  <si>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</si>
  <si>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</si>
  <si>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</si>
  <si>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</si>
  <si>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</si>
  <si>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</si>
  <si>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</si>
  <si>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</si>
  <si>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</si>
  <si>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</si>
  <si>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</si>
  <si>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</si>
  <si>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</si>
  <si>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</si>
  <si>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</si>
  <si>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</si>
  <si>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</si>
  <si>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</si>
  <si>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</si>
  <si>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</si>
  <si>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</si>
  <si>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</si>
  <si>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</si>
  <si>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</si>
  <si>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</si>
  <si>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</si>
  <si>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</si>
  <si>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</si>
  <si>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</si>
  <si>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</si>
  <si>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</si>
  <si>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</si>
  <si>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</si>
  <si>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HH # of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</si>
</sst>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yy\ hh:mm:ss"/>
    <numFmt numFmtId="165" formatCode="0.00000000000"/>
    <numFmt numFmtId="166" formatCode="0.0%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5" numFmtId="0" xfId="0"/>
    <xf applyFont="1" applyNumberFormat="1" borderId="0" fillId="0" fontId="0" numFmtId="166" xfId="9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opLeftCell="A19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61659.548799999997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2483.0</v>
      </c>
      <c r="S6" s="22" t="n">
        <v>16369.0</v>
      </c>
      <c r="T6" s="24" t="n">
        <v>27641.0</v>
      </c>
      <c r="U6" s="26" t="n">
        <v>11873.0</v>
      </c>
      <c r="V6" s="28" t="n">
        <v>5205.0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5621.3094000000001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2687.0</v>
      </c>
      <c r="S7" s="23" t="n">
        <v>4064.0</v>
      </c>
      <c r="T7" s="25" t="n">
        <v>1782.0</v>
      </c>
      <c r="U7" s="27" t="n">
        <v>536.0</v>
      </c>
      <c r="V7" s="29" t="n">
        <v>173.0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54569.625100000005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2449.0</v>
      </c>
      <c r="S8" s="69" t="n">
        <v>18752.0</v>
      </c>
      <c r="T8" s="69" t="n">
        <v>25964.0</v>
      </c>
      <c r="U8" s="69" t="n">
        <v>10427.0</v>
      </c>
      <c r="V8" s="69" t="n">
        <v>4749.0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48354.471400000002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1808.0</v>
      </c>
      <c r="S9" s="69" t="n">
        <v>13597.0</v>
      </c>
      <c r="T9" s="69" t="n">
        <v>20861.0</v>
      </c>
      <c r="U9" s="69" t="n">
        <v>8868.0</v>
      </c>
      <c r="V9" s="69" t="n">
        <v>3853.0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306100.15430000005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38277.0</v>
      </c>
      <c r="S10" s="69" t="n">
        <v>123358.0</v>
      </c>
      <c r="T10" s="69" t="n">
        <v>109385.0</v>
      </c>
      <c r="U10" s="69" t="n">
        <v>37657.0</v>
      </c>
      <c r="V10" s="69" t="n">
        <v>15548.0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40795.626000000004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20278.0</v>
      </c>
      <c r="S11" s="71" t="n">
        <v>25356.0</v>
      </c>
      <c r="T11" s="71" t="n">
        <v>8784.0</v>
      </c>
      <c r="U11" s="71" t="n">
        <v>2524.0</v>
      </c>
      <c r="V11" s="71" t="n">
        <v>980.0</v>
      </c>
      <c r="W11" s="15">
        <f si="2" t="shared"/>
        <v>39981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1013218.2272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53831.0</v>
      </c>
      <c r="S12" s="15" t="n">
        <v>324931.0</v>
      </c>
      <c r="T12" s="15" t="n">
        <v>445077.0</v>
      </c>
      <c r="U12" s="15" t="n">
        <v>185297.0</v>
      </c>
      <c r="V12" s="15" t="n">
        <v>81392.0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110066.83350000001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109955.69254553909</v>
      </c>
      <c r="S13" s="8">
        <f ref="S13:W13" si="5" t="shared">SUM(S6:S12)</f>
        <v>477123.61063724017</v>
      </c>
      <c r="T13" s="8">
        <f si="5" t="shared"/>
        <v>568613.16065976233</v>
      </c>
      <c r="U13" s="8">
        <f si="5" t="shared"/>
        <v>242214.2820788495</v>
      </c>
      <c r="V13" s="8">
        <f si="5" t="shared"/>
        <v>108792.25407860904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2535.1360131101055</v>
      </c>
      <c r="C19" s="4">
        <f ref="C19:G19" si="6" t="shared">($W6/$G6)*C6</f>
        <v>21952.60778960809</v>
      </c>
      <c r="D19" s="4">
        <f si="6" t="shared"/>
        <v>24318.480421780187</v>
      </c>
      <c r="E19" s="4">
        <f si="6" t="shared"/>
        <v>6715.6846428658919</v>
      </c>
      <c r="F19" s="4">
        <f si="6" t="shared"/>
        <v>4944.0911326357291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2741.75</v>
      </c>
      <c r="S19" s="4">
        <f ref="S19:V19" si="8" t="shared">S6</f>
        <v>17036</v>
      </c>
      <c r="T19" s="4">
        <f si="8" t="shared"/>
        <v>24933.75</v>
      </c>
      <c r="U19" s="4">
        <f si="8" t="shared"/>
        <v>10994</v>
      </c>
      <c r="V19" s="4">
        <f si="8" t="shared"/>
        <v>4760.5</v>
      </c>
      <c r="W19" s="4">
        <f>SUM(R19:V19)</f>
        <v>60466</v>
      </c>
      <c r="Y19" s="3" t="str">
        <f>$A$6</f>
        <v>Bellevue</v>
      </c>
      <c r="Z19" s="4">
        <f>R19-B19</f>
        <v>206.61398688989448</v>
      </c>
      <c r="AA19" s="4">
        <f ref="AA19:AE26" si="9" t="shared">S19-C19</f>
        <v>-4916.6077896080897</v>
      </c>
      <c r="AB19" s="4">
        <f si="9" t="shared"/>
        <v>615.26957821981341</v>
      </c>
      <c r="AC19" s="4">
        <f si="9" t="shared"/>
        <v>4278.3153571341081</v>
      </c>
      <c r="AD19" s="4">
        <f si="9" t="shared"/>
        <v>-183.59113263572908</v>
      </c>
      <c r="AE19" s="4">
        <f si="9" t="shared"/>
        <v>0</v>
      </c>
      <c r="AG19" s="3" t="str">
        <f>$A$6</f>
        <v>Bellevue</v>
      </c>
      <c r="AH19" s="17">
        <f>(R6-B19)/B19</f>
        <v>8.1500158500932021E-2</v>
      </c>
      <c r="AI19" s="17">
        <f ref="AI19:AM19" si="10" t="shared">(S6-C19)/C19</f>
        <v>-0.22396463494125332</v>
      </c>
      <c r="AJ19" s="17">
        <f si="10" t="shared"/>
        <v>2.5300494420233754E-2</v>
      </c>
      <c r="AK19" s="17">
        <f si="10" t="shared"/>
        <v>0.63706317146368474</v>
      </c>
      <c r="AL19" s="17">
        <f si="10" t="shared"/>
        <v>-3.7133444289457376E-2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1613.6060455949996</v>
      </c>
      <c r="C20" s="4">
        <f ref="C20:G20" si="11" t="shared">($W7/$G7)*C7</f>
        <v>3199.1979221069028</v>
      </c>
      <c r="D20" s="4">
        <f si="11" t="shared"/>
        <v>869.2258419364</v>
      </c>
      <c r="E20" s="4">
        <f si="11" t="shared"/>
        <v>277.97019036169758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1448</v>
      </c>
      <c r="S20" s="4">
        <f si="13" t="shared"/>
        <v>2773.25</v>
      </c>
      <c r="T20" s="4">
        <f si="13" t="shared"/>
        <v>1217.5</v>
      </c>
      <c r="U20" s="4">
        <f si="13" t="shared"/>
        <v>383.25</v>
      </c>
      <c r="V20" s="4">
        <f si="13" t="shared"/>
        <v>138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-165.60604559499961</v>
      </c>
      <c r="AA20" s="4">
        <f si="9" t="shared"/>
        <v>-425.94792210690275</v>
      </c>
      <c r="AB20" s="4">
        <f si="9" t="shared"/>
        <v>348.2741580636</v>
      </c>
      <c r="AC20" s="4">
        <f si="9" t="shared"/>
        <v>105.27980963830242</v>
      </c>
      <c r="AD20" s="4">
        <f si="9" t="shared"/>
        <v>138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-0.10263102697655932</v>
      </c>
      <c r="AI20" s="17">
        <f ref="AI20:AI26" si="17" t="shared">(S7-C20)/C20</f>
        <v>-0.13314209763751825</v>
      </c>
      <c r="AJ20" s="17">
        <f ref="AJ20:AJ26" si="18" t="shared">(T7-D20)/D20</f>
        <v>0.40067165661773169</v>
      </c>
      <c r="AK20" s="17">
        <f ref="AK20:AK26" si="19" t="shared">(U7-E20)/E20</f>
        <v>0.37874496362833471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1994.3890886287213</v>
      </c>
      <c r="C21" s="4">
        <f si="22" t="shared"/>
        <v>17254.445861631913</v>
      </c>
      <c r="D21" s="4">
        <f si="22" t="shared"/>
        <v>25951.195339987775</v>
      </c>
      <c r="E21" s="4">
        <f si="22" t="shared"/>
        <v>8700.4948645872228</v>
      </c>
      <c r="F21" s="4">
        <f si="22" t="shared"/>
        <v>2874.4748451643659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3022.75</v>
      </c>
      <c r="S21" s="4">
        <f si="25" t="shared"/>
        <v>18080</v>
      </c>
      <c r="T21" s="4">
        <f si="25" t="shared"/>
        <v>22451.25</v>
      </c>
      <c r="U21" s="4">
        <f si="25" t="shared"/>
        <v>9322.5</v>
      </c>
      <c r="V21" s="4">
        <f si="25" t="shared"/>
        <v>3898.5</v>
      </c>
      <c r="W21" s="4">
        <f si="14" t="shared"/>
        <v>56775</v>
      </c>
      <c r="Y21" s="3" t="str">
        <f>$A$8</f>
        <v>Kirkland</v>
      </c>
      <c r="Z21" s="4">
        <f si="15" t="shared"/>
        <v>1028.3609113712787</v>
      </c>
      <c r="AA21" s="4">
        <f si="9" t="shared"/>
        <v>825.55413836808657</v>
      </c>
      <c r="AB21" s="4">
        <f si="9" t="shared"/>
        <v>-3499.9453399877748</v>
      </c>
      <c r="AC21" s="4">
        <f si="9" t="shared"/>
        <v>622.00513541277724</v>
      </c>
      <c r="AD21" s="4">
        <f si="9" t="shared"/>
        <v>1024.0251548356341</v>
      </c>
      <c r="AE21" s="4">
        <f si="9" t="shared"/>
        <v>0</v>
      </c>
      <c r="AG21" s="3" t="str">
        <f>$A$8</f>
        <v>Kirkland</v>
      </c>
      <c r="AH21" s="17">
        <f si="16" t="shared"/>
        <v>0.51562702445306052</v>
      </c>
      <c r="AI21" s="17">
        <f si="17" t="shared"/>
        <v>4.7845879548287402E-2</v>
      </c>
      <c r="AJ21" s="17">
        <f si="18" t="shared"/>
        <v>-0.13486644041381654</v>
      </c>
      <c r="AK21" s="17">
        <f si="19" t="shared"/>
        <v>7.1490776684952045E-2</v>
      </c>
      <c r="AL21" s="17">
        <f si="20" t="shared"/>
        <v>0.35624773567189771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1938.6009590811075</v>
      </c>
      <c r="C22" s="4">
        <f si="26" t="shared"/>
        <v>15008.469470757154</v>
      </c>
      <c r="D22" s="4">
        <f si="26" t="shared"/>
        <v>16838.347960395651</v>
      </c>
      <c r="E22" s="4">
        <f si="26" t="shared"/>
        <v>6509.1909546983479</v>
      </c>
      <c r="F22" s="4">
        <f si="26" t="shared"/>
        <v>2908.3906550677334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1639.75</v>
      </c>
      <c r="S22" s="4">
        <f si="28" t="shared"/>
        <v>11796.75</v>
      </c>
      <c r="T22" s="4">
        <f si="28" t="shared"/>
        <v>17852.5</v>
      </c>
      <c r="U22" s="4">
        <f si="28" t="shared"/>
        <v>8384.5</v>
      </c>
      <c r="V22" s="4">
        <f si="28" t="shared"/>
        <v>3529.5</v>
      </c>
      <c r="W22" s="4">
        <f si="14" t="shared"/>
        <v>43203</v>
      </c>
      <c r="Y22" s="3" t="str">
        <f>$A$9</f>
        <v>Redmond</v>
      </c>
      <c r="Z22" s="4">
        <f si="15" t="shared"/>
        <v>-298.85095908110748</v>
      </c>
      <c r="AA22" s="4">
        <f si="9" t="shared"/>
        <v>-3211.7194707571543</v>
      </c>
      <c r="AB22" s="4">
        <f si="9" t="shared"/>
        <v>1014.1520396043488</v>
      </c>
      <c r="AC22" s="4">
        <f si="9" t="shared"/>
        <v>1875.3090453016521</v>
      </c>
      <c r="AD22" s="4">
        <f si="9" t="shared"/>
        <v>621.10934493226659</v>
      </c>
      <c r="AE22" s="4">
        <f si="9" t="shared"/>
        <v>0</v>
      </c>
      <c r="AG22" s="3" t="str">
        <f>$A$9</f>
        <v>Redmond</v>
      </c>
      <c r="AH22" s="17">
        <f si="16" t="shared"/>
        <v>-0.15415805799599014</v>
      </c>
      <c r="AI22" s="17">
        <f si="17" t="shared"/>
        <v>-0.21399380376626292</v>
      </c>
      <c r="AJ22" s="17">
        <f si="18" t="shared"/>
        <v>6.0228713766318873E-2</v>
      </c>
      <c r="AK22" s="17">
        <f si="19" t="shared"/>
        <v>0.28810171008242585</v>
      </c>
      <c r="AL22" s="17">
        <f si="20" t="shared"/>
        <v>0.21355774330041011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42869.946281035249</v>
      </c>
      <c r="C23" s="15">
        <f si="29" t="shared"/>
        <v>118344.90393863746</v>
      </c>
      <c r="D23" s="15">
        <f si="29" t="shared"/>
        <v>91865.533925905649</v>
      </c>
      <c r="E23" s="15">
        <f si="29" t="shared"/>
        <v>24666.923401249653</v>
      </c>
      <c r="F23" s="15">
        <f si="29" t="shared"/>
        <v>9808.6924531720178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34262.764133121134</v>
      </c>
      <c r="S23" s="4">
        <f si="31" t="shared"/>
        <v>110828.45774875161</v>
      </c>
      <c r="T23" s="4">
        <f si="31" t="shared"/>
        <v>94596.205477951138</v>
      </c>
      <c r="U23" s="4">
        <f si="31" t="shared"/>
        <v>33802.383316808897</v>
      </c>
      <c r="V23" s="4">
        <f si="31" t="shared"/>
        <v>14066.189323367254</v>
      </c>
      <c r="W23" s="4">
        <f si="14" t="shared"/>
        <v>287556.00000000006</v>
      </c>
      <c r="Y23" s="3" t="str">
        <f>$A$10</f>
        <v>Seattle</v>
      </c>
      <c r="Z23" s="4">
        <f si="15" t="shared"/>
        <v>-8607.1821479141145</v>
      </c>
      <c r="AA23" s="4">
        <f si="9" t="shared"/>
        <v>-7516.4461898858572</v>
      </c>
      <c r="AB23" s="4">
        <f si="9" t="shared"/>
        <v>2730.6715520454891</v>
      </c>
      <c r="AC23" s="4">
        <f si="9" t="shared"/>
        <v>9135.4599155592441</v>
      </c>
      <c r="AD23" s="4">
        <f si="9" t="shared"/>
        <v>4257.4968701952366</v>
      </c>
      <c r="AE23" s="4">
        <f si="9" t="shared"/>
        <v>0</v>
      </c>
      <c r="AG23" s="3" t="str">
        <f>$A$10</f>
        <v>Seattle</v>
      </c>
      <c r="AH23" s="17">
        <f si="16" t="shared"/>
        <v>-0.20077426949615162</v>
      </c>
      <c r="AI23" s="17">
        <f si="17" t="shared"/>
        <v>-6.351305328519409E-2</v>
      </c>
      <c r="AJ23" s="17">
        <f si="18" t="shared"/>
        <v>2.9724657718180992E-2</v>
      </c>
      <c r="AK23" s="17">
        <f si="19" t="shared"/>
        <v>0.3703526283742557</v>
      </c>
      <c r="AL23" s="17">
        <f si="20" t="shared"/>
        <v>0.43405345722899197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17689.839708698182</v>
      </c>
      <c r="C24" s="15">
        <f si="32" t="shared"/>
        <v>18687.790729050215</v>
      </c>
      <c r="D24" s="15">
        <f si="32" t="shared"/>
        <v>3159.4819187086377</v>
      </c>
      <c r="E24" s="15">
        <f si="32" t="shared"/>
        <v>317.47014164459682</v>
      </c>
      <c r="F24" s="15">
        <f si="32" t="shared"/>
        <v>126.41750189836527</v>
      </c>
      <c r="G24" s="15">
        <f si="32" t="shared"/>
        <v>39981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14798.079406187349</v>
      </c>
      <c r="S24" s="15">
        <f si="34" t="shared"/>
        <v>17377.035739010134</v>
      </c>
      <c r="T24" s="15">
        <f si="34" t="shared"/>
        <v>5541.077426997268</v>
      </c>
      <c r="U24" s="15">
        <f si="34" t="shared"/>
        <v>1664.1598356506331</v>
      </c>
      <c r="V24" s="15">
        <f si="34" t="shared"/>
        <v>600.64759215461845</v>
      </c>
      <c r="W24" s="15">
        <f si="14" t="shared"/>
        <v>39981</v>
      </c>
      <c r="Y24" s="14" t="str">
        <f>$A$11</f>
        <v>Seattle Downtown</v>
      </c>
      <c r="Z24" s="4">
        <f si="15" t="shared"/>
        <v>-2891.7603025108328</v>
      </c>
      <c r="AA24" s="4">
        <f si="9" t="shared"/>
        <v>-1310.7549900400809</v>
      </c>
      <c r="AB24" s="4">
        <f si="9" t="shared"/>
        <v>2381.5955082886303</v>
      </c>
      <c r="AC24" s="4">
        <f si="9" t="shared"/>
        <v>1346.6896940060362</v>
      </c>
      <c r="AD24" s="4">
        <f si="9" t="shared"/>
        <v>474.23009025625316</v>
      </c>
      <c r="AE24" s="4">
        <f si="9" t="shared"/>
        <v>0</v>
      </c>
      <c r="AG24" s="14" t="str">
        <f>$A$11</f>
        <v>Seattle Downtown</v>
      </c>
      <c r="AH24" s="17">
        <f si="16" t="shared"/>
        <v>-0.16347012466647393</v>
      </c>
      <c r="AI24" s="17">
        <f si="17" t="shared"/>
        <v>-7.0139644061965503E-2</v>
      </c>
      <c r="AJ24" s="17">
        <f si="18" t="shared"/>
        <v>0.75379304884961973</v>
      </c>
      <c r="AK24" s="17">
        <f si="19" t="shared"/>
        <v>4.2419412642390659</v>
      </c>
      <c r="AL24" s="17">
        <f si="20" t="shared"/>
        <v>3.7513009127289636</v>
      </c>
      <c r="AM24" s="17">
        <f si="21" t="shared"/>
        <v>0</v>
      </c>
    </row>
    <row r="25" spans="1:39" x14ac:dyDescent="0.25">
      <c r="A25" s="14" t="str">
        <f>$A$12</f>
        <v>Rest</v>
      </c>
      <c r="B25" s="15">
        <f si="32" t="shared"/>
        <v>57234.506946627502</v>
      </c>
      <c r="C25" s="15">
        <f si="32" t="shared"/>
        <v>297731.73329130688</v>
      </c>
      <c r="D25" s="15">
        <f si="32" t="shared"/>
        <v>399793.76058636169</v>
      </c>
      <c r="E25" s="15">
        <f si="32" t="shared"/>
        <v>169601.25807028534</v>
      </c>
      <c r="F25" s="15">
        <f si="32" t="shared"/>
        <v>88396.741105418609</v>
      </c>
      <c r="G25" s="15">
        <f si="32" t="shared"/>
        <v>1012758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52042.599006230615</v>
      </c>
      <c r="S25" s="15">
        <f si="34" t="shared"/>
        <v>299232.11714947841</v>
      </c>
      <c r="T25" s="15">
        <f si="34" t="shared"/>
        <v>402020.87775481388</v>
      </c>
      <c r="U25" s="15">
        <f si="34" t="shared"/>
        <v>177663.48892638998</v>
      </c>
      <c r="V25" s="15">
        <f si="34" t="shared"/>
        <v>81798.917163087172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-5191.9079403968863</v>
      </c>
      <c r="AA25" s="4">
        <f ref="AA25" si="38" t="shared">S25-C25</f>
        <v>1500.3838581715245</v>
      </c>
      <c r="AB25" s="4">
        <f ref="AB25" si="39" t="shared">T25-D25</f>
        <v>2227.1171684521833</v>
      </c>
      <c r="AC25" s="4">
        <f ref="AC25" si="40" t="shared">U25-E25</f>
        <v>8062.2308561046375</v>
      </c>
      <c r="AD25" s="4">
        <f ref="AD25" si="41" t="shared">V25-F25</f>
        <v>-6597.8239423314371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-9.0712897120586014E-2</v>
      </c>
      <c r="AI25" s="17">
        <f ref="AI25" si="44" t="shared">(S12-C25)/C25</f>
        <v>5.039381733298539E-3</v>
      </c>
      <c r="AJ25" s="17">
        <f ref="AJ25" si="45" t="shared">(T12-D25)/D25</f>
        <v>5.5706651479146612E-3</v>
      </c>
      <c r="AK25" s="17">
        <f ref="AK25" si="46" t="shared">(U12-E25)/E25</f>
        <v>4.7536385919752587E-2</v>
      </c>
      <c r="AL25" s="17">
        <f ref="AL25" si="47" t="shared">(V12-F25)/F25</f>
        <v>-7.46387690295406E-2</v>
      </c>
      <c r="AM25" s="17">
        <f ref="AM25" si="48" t="shared">(W12-G25)/G25</f>
        <v>0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108367.98867682261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109955.69254553909</v>
      </c>
      <c r="S26" s="8">
        <f ref="S26:W26" si="50" t="shared">SUM(S19:S25)</f>
        <v>477123.61063724017</v>
      </c>
      <c r="T26" s="8">
        <f si="50" t="shared"/>
        <v>568613.16065976233</v>
      </c>
      <c r="U26" s="8">
        <f si="50" t="shared"/>
        <v>242214.2820788495</v>
      </c>
      <c r="V26" s="8">
        <f si="50" t="shared"/>
        <v>108792.25407860904</v>
      </c>
      <c r="W26" s="8">
        <f si="50" t="shared"/>
        <v>1506699</v>
      </c>
      <c r="Y26" s="7" t="str">
        <f>$A$13</f>
        <v>Total</v>
      </c>
      <c r="Z26" s="4">
        <f si="15" t="shared"/>
        <v>-17190.222435233678</v>
      </c>
      <c r="AA26" s="4">
        <f si="9" t="shared"/>
        <v>-16830.872866496327</v>
      </c>
      <c r="AB26" s="4">
        <f si="9" t="shared"/>
        <v>7020.2991572746541</v>
      </c>
      <c r="AC26" s="4">
        <f si="9" t="shared"/>
        <v>26576.530742668925</v>
      </c>
      <c r="AD26" s="4">
        <f si="9" t="shared"/>
        <v>424.26540178642608</v>
      </c>
      <c r="AE26" s="4">
        <f si="9" t="shared"/>
        <v>0</v>
      </c>
      <c r="AG26" s="7" t="str">
        <f>$A$13</f>
        <v>Total</v>
      </c>
      <c r="AH26" s="17">
        <f si="16" t="shared"/>
        <v>-0.13520074504818511</v>
      </c>
      <c r="AI26" s="17">
        <f si="17" t="shared"/>
        <v>-3.4073732355076415E-2</v>
      </c>
      <c r="AJ26" s="17">
        <f si="18" t="shared"/>
        <v>1.2500691583743638E-2</v>
      </c>
      <c r="AK26" s="17">
        <f si="19" t="shared"/>
        <v>0.12324618754364559</v>
      </c>
      <c r="AL26" s="17">
        <f si="20" t="shared"/>
        <v>3.9150436117410987E-3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1.6825762896969505E-3</v>
      </c>
      <c r="C32" s="17">
        <f ref="C32:G32" si="51" t="shared">C19/$G$26</f>
        <v>1.4570002229780527E-2</v>
      </c>
      <c r="D32" s="17">
        <f si="51" t="shared"/>
        <v>1.6140237978375365E-2</v>
      </c>
      <c r="E32" s="17">
        <f si="51" t="shared"/>
        <v>4.4572171633922185E-3</v>
      </c>
      <c r="F32" s="17">
        <f si="51" t="shared"/>
        <v>3.2814059959127397E-3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1.819706523997162E-3</v>
      </c>
      <c r="S32" s="17">
        <f ref="S32:W32" si="53" t="shared">S6/$W$13</f>
        <v>1.1306836999294485E-2</v>
      </c>
      <c r="T32" s="17">
        <f si="53" t="shared"/>
        <v>1.6548593979288498E-2</v>
      </c>
      <c r="U32" s="17">
        <f si="53" t="shared"/>
        <v>7.296746065405234E-3</v>
      </c>
      <c r="V32" s="17">
        <f si="53" t="shared"/>
        <v>3.1595560891724225E-3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1.0709544810177743E-3</v>
      </c>
      <c r="C33" s="17">
        <f si="54" t="shared"/>
        <v>2.1233158859910988E-3</v>
      </c>
      <c r="D33" s="17">
        <f si="54" t="shared"/>
        <v>5.7690742605948499E-4</v>
      </c>
      <c r="E33" s="17">
        <f si="54" t="shared"/>
        <v>1.8448953000015105E-4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9.6104132278577211E-4</v>
      </c>
      <c r="S33" s="17">
        <f si="56" t="shared"/>
        <v>1.8406131549831785E-3</v>
      </c>
      <c r="T33" s="17">
        <f si="56" t="shared"/>
        <v>8.080578801738104E-4</v>
      </c>
      <c r="U33" s="17">
        <f si="56" t="shared"/>
        <v>2.5436401032986682E-4</v>
      </c>
      <c r="V33" s="17">
        <f si="56" t="shared"/>
        <v>9.1590954795881595E-5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1.3236811656666138E-3</v>
      </c>
      <c r="C34" s="17">
        <f si="54" t="shared"/>
        <v>1.1451820079280542E-2</v>
      </c>
      <c r="D34" s="17">
        <f si="54" t="shared"/>
        <v>1.7223875067274734E-2</v>
      </c>
      <c r="E34" s="17">
        <f si="54" t="shared"/>
        <v>5.7745408104652772E-3</v>
      </c>
      <c r="F34" s="17">
        <f si="54" t="shared"/>
        <v>1.9077963449662912E-3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2.0062069464438486E-3</v>
      </c>
      <c r="S34" s="17">
        <f si="56" t="shared"/>
        <v>1.1999742483402458E-2</v>
      </c>
      <c r="T34" s="17">
        <f si="56" t="shared"/>
        <v>1.4900952346819107E-2</v>
      </c>
      <c r="U34" s="17">
        <f si="56" t="shared"/>
        <v>6.1873672180043924E-3</v>
      </c>
      <c r="V34" s="17">
        <f si="56" t="shared"/>
        <v>2.5874444729836548E-3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1.2866544406554378E-3</v>
      </c>
      <c r="C35" s="72">
        <f si="54" t="shared"/>
        <v>9.9611597742861411E-3</v>
      </c>
      <c r="D35" s="72">
        <f si="54" t="shared"/>
        <v>1.1175654832448718E-2</v>
      </c>
      <c r="E35" s="72">
        <f si="54" t="shared"/>
        <v>4.3201667716633169E-3</v>
      </c>
      <c r="F35" s="72">
        <f si="54" t="shared"/>
        <v>1.9303063551961827E-3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1.0883062907720785E-3</v>
      </c>
      <c r="S35" s="17">
        <f si="56" t="shared"/>
        <v>7.8295333042631612E-3</v>
      </c>
      <c r="T35" s="17">
        <f si="56" t="shared"/>
        <v>1.1848750148503451E-2</v>
      </c>
      <c r="U35" s="17">
        <f si="56" t="shared"/>
        <v>5.5648142064207914E-3</v>
      </c>
      <c r="V35" s="17">
        <f si="56" t="shared"/>
        <v>2.3425382242903193E-3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2.8452893564696897E-2</v>
      </c>
      <c r="C36" s="72">
        <f si="54" t="shared"/>
        <v>7.8545817007005025E-2</v>
      </c>
      <c r="D36" s="72">
        <f si="54" t="shared"/>
        <v>6.0971391051501095E-2</v>
      </c>
      <c r="E36" s="72">
        <f si="54" t="shared"/>
        <v>1.6371500479690802E-2</v>
      </c>
      <c r="F36" s="72">
        <f si="54" t="shared"/>
        <v>6.5100543991679942E-3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2.2740284644193122E-2</v>
      </c>
      <c r="S36" s="17">
        <f si="56" t="shared"/>
        <v>7.3557132346110013E-2</v>
      </c>
      <c r="T36" s="17">
        <f si="56" t="shared"/>
        <v>6.2783744781108333E-2</v>
      </c>
      <c r="U36" s="17">
        <f si="56" t="shared"/>
        <v>2.2434728712774681E-2</v>
      </c>
      <c r="V36" s="17">
        <f si="56" t="shared"/>
        <v>9.3357660178756702E-3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1.1740792094969322E-2</v>
      </c>
      <c r="C37" s="72">
        <f si="54" t="shared"/>
        <v>1.2403134752893721E-2</v>
      </c>
      <c r="D37" s="72">
        <f si="54" t="shared"/>
        <v>2.0969562724264352E-3</v>
      </c>
      <c r="E37" s="72">
        <f si="54" t="shared"/>
        <v>2.1070574922037966E-4</v>
      </c>
      <c r="F37" s="72">
        <f si="54" t="shared"/>
        <v>8.3903621027401812E-5</v>
      </c>
      <c r="G37" s="72">
        <f si="54" t="shared"/>
        <v>2.6535492490537261E-2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9.8215233475215345E-3</v>
      </c>
      <c r="S37" s="72">
        <f si="56" t="shared"/>
        <v>1.153318329607316E-2</v>
      </c>
      <c r="T37" s="72">
        <f si="56" t="shared"/>
        <v>3.6776273343230919E-3</v>
      </c>
      <c r="U37" s="72">
        <f si="56" t="shared"/>
        <v>1.1045071614507165E-3</v>
      </c>
      <c r="V37" s="72">
        <f si="56" t="shared"/>
        <v>3.986513511687593E-4</v>
      </c>
      <c r="W37" s="72">
        <f si="56" t="shared"/>
        <v>2.6535492490537261E-2</v>
      </c>
    </row>
    <row r="38" spans="1:23" x14ac:dyDescent="0.25">
      <c r="A38" s="14" t="str">
        <f>A25</f>
        <v>Rest</v>
      </c>
      <c r="B38" s="72">
        <f si="54" t="shared"/>
        <v>3.7986689409515439E-2</v>
      </c>
      <c r="C38" s="72">
        <f si="54" t="shared"/>
        <v>0.19760531684915625</v>
      </c>
      <c r="D38" s="72">
        <f si="54" t="shared"/>
        <v>0.26534414676478957</v>
      </c>
      <c r="E38" s="72">
        <f si="54" t="shared"/>
        <v>0.11256479102347937</v>
      </c>
      <c r="F38" s="72">
        <f si="54" t="shared"/>
        <v>5.8669144338330752E-2</v>
      </c>
      <c r="G38" s="72">
        <f si="54" t="shared"/>
        <v>0.67217008838527137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3.4540806761158407E-2</v>
      </c>
      <c r="S38" s="72">
        <f si="56" t="shared"/>
        <v>0.19860112547328856</v>
      </c>
      <c r="T38" s="72">
        <f si="56" t="shared"/>
        <v>0.26682229015537534</v>
      </c>
      <c r="U38" s="72">
        <f si="56" t="shared"/>
        <v>0.11791571437054779</v>
      </c>
      <c r="V38" s="72">
        <f si="56" t="shared"/>
        <v>5.4290151624901306E-2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7.1924112697242526E-2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7.2977875836871917E-2</v>
      </c>
      <c r="S39" s="19">
        <f si="56" t="shared"/>
        <v>0.31666816705741502</v>
      </c>
      <c r="T39" s="19">
        <f si="56" t="shared"/>
        <v>0.37739001662559168</v>
      </c>
      <c r="U39" s="19">
        <f si="56" t="shared"/>
        <v>0.16075824174493347</v>
      </c>
      <c r="V39" s="19">
        <f si="56" t="shared"/>
        <v>7.2205698735188006E-2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48444.779</v>
      </c>
      <c r="C6" s="4" t="n">
        <v>80655.6379</v>
      </c>
      <c r="D6" s="4" t="n">
        <v>54487.7515</v>
      </c>
      <c r="E6" s="4" t="n">
        <v>23488.9032</v>
      </c>
      <c r="F6" s="4" t="n">
        <v>8085.0096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45680.0</v>
      </c>
      <c r="S6" s="54" t="n">
        <v>74201.0</v>
      </c>
      <c r="T6" s="58" t="n">
        <v>14117.0</v>
      </c>
      <c r="U6" s="62" t="n">
        <v>3394.0</v>
      </c>
      <c r="V6" s="66" t="n">
        <v>1253.0</v>
      </c>
      <c r="W6" s="4">
        <f>SUM(R6:V6)</f>
        <v>130700.19045911888</v>
      </c>
    </row>
    <row r="7" spans="1:39" x14ac:dyDescent="0.25">
      <c r="A7" s="3" t="s">
        <v>7</v>
      </c>
      <c r="B7" s="4" t="n">
        <v>65323.1755</v>
      </c>
      <c r="C7" s="4" t="n">
        <v>227458.7833</v>
      </c>
      <c r="D7" s="4" t="n">
        <v>104715.3944</v>
      </c>
      <c r="E7" s="4" t="n">
        <v>27836.1211</v>
      </c>
      <c r="F7" s="4" t="n">
        <v>10937.7289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48548.0</v>
      </c>
      <c r="S7" s="55" t="n">
        <v>208323.0</v>
      </c>
      <c r="T7" s="59" t="n">
        <v>127608.0</v>
      </c>
      <c r="U7" s="63" t="n">
        <v>31539.0</v>
      </c>
      <c r="V7" s="67" t="n">
        <v>11956.0</v>
      </c>
      <c r="W7" s="4">
        <f ref="W7:W10" si="1" t="shared">SUM(R7:V7)</f>
        <v>414289.80954088119</v>
      </c>
    </row>
    <row r="8" spans="1:39" x14ac:dyDescent="0.25">
      <c r="A8" s="3" t="s">
        <v>8</v>
      </c>
      <c r="B8" s="4" t="n">
        <v>7057.9723</v>
      </c>
      <c r="C8" s="4" t="n">
        <v>93402.6174</v>
      </c>
      <c r="D8" s="4" t="n">
        <v>99877.823</v>
      </c>
      <c r="E8" s="4" t="n">
        <v>34012.2883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12043.0</v>
      </c>
      <c r="S8" s="56" t="n">
        <v>99196.0</v>
      </c>
      <c r="T8" s="60" t="n">
        <v>120179.0</v>
      </c>
      <c r="U8" s="64" t="n">
        <v>42599.0</v>
      </c>
      <c r="V8" s="68" t="n">
        <v>14734.0</v>
      </c>
      <c r="W8" s="4">
        <f si="1" t="shared"/>
        <v>269358.71631679707</v>
      </c>
    </row>
    <row r="9" spans="1:39" x14ac:dyDescent="0.25">
      <c r="A9" s="5" t="s">
        <v>9</v>
      </c>
      <c r="B9" s="4" t="n">
        <v>8313.2076</v>
      </c>
      <c r="C9" s="4" t="n">
        <v>100180.9864</v>
      </c>
      <c r="D9" s="4" t="n">
        <v>311315.7759</v>
      </c>
      <c r="E9" s="4" t="n">
        <v>133680.9119</v>
      </c>
      <c r="F9" s="4" t="n">
        <v>75870.129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15542.0</v>
      </c>
      <c r="S9" s="57" t="n">
        <v>144707.0</v>
      </c>
      <c r="T9" s="61" t="n">
        <v>377590.0</v>
      </c>
      <c r="U9" s="65" t="n">
        <v>179650.0</v>
      </c>
      <c r="V9" s="69" t="n">
        <v>83957.0</v>
      </c>
      <c r="W9" s="6">
        <f si="1" t="shared"/>
        <v>692350.28368320293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109955.6925455391</v>
      </c>
      <c r="S10" s="8">
        <f ref="S10" si="3" t="shared">SUM(S6:S9)</f>
        <v>477123.61063724011</v>
      </c>
      <c r="T10" s="8">
        <f ref="T10" si="4" t="shared">SUM(T6:T9)</f>
        <v>568613.16065976222</v>
      </c>
      <c r="U10" s="8">
        <f ref="U10" si="5" t="shared">SUM(U6:U9)</f>
        <v>242214.2820788495</v>
      </c>
      <c r="V10" s="8">
        <f ref="V10" si="6" t="shared">SUM(V6:V9)</f>
        <v>108792.25407860904</v>
      </c>
      <c r="W10" s="8">
        <f si="1" t="shared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29427.77745379943</v>
      </c>
      <c r="C16" s="4">
        <f si="7" t="shared"/>
        <v>48994.261332380745</v>
      </c>
      <c r="D16" s="4">
        <f si="7" t="shared"/>
        <v>33098.580656130689</v>
      </c>
      <c r="E16" s="4">
        <f si="7" t="shared"/>
        <v>14268.332527710309</v>
      </c>
      <c r="F16" s="4">
        <f si="7" t="shared"/>
        <v>4911.2384890976991</v>
      </c>
      <c r="G16" s="4">
        <f si="7" t="shared"/>
        <v>130700.19045911888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43890.820571728058</v>
      </c>
      <c r="S16" s="4">
        <f si="9" t="shared"/>
        <v>67382.914516043194</v>
      </c>
      <c r="T16" s="4">
        <f si="9" t="shared"/>
        <v>14566.906307838373</v>
      </c>
      <c r="U16" s="4">
        <f si="9" t="shared"/>
        <v>3603.0477093019131</v>
      </c>
      <c r="V16" s="4">
        <f si="9" t="shared"/>
        <v>1256.5013542073239</v>
      </c>
      <c r="W16" s="4">
        <f>SUM(R16:V16)</f>
        <v>130700.19045911888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62031.88690428916</v>
      </c>
      <c r="C17" s="4">
        <f si="7" t="shared"/>
        <v>215998.34075814055</v>
      </c>
      <c r="D17" s="4">
        <f si="7" t="shared"/>
        <v>99439.340675635642</v>
      </c>
      <c r="E17" s="4">
        <f si="7" t="shared"/>
        <v>26433.606491302573</v>
      </c>
      <c r="F17" s="4">
        <f si="7" t="shared"/>
        <v>10386.634711513299</v>
      </c>
      <c r="G17" s="4">
        <f si="7" t="shared"/>
        <v>414289.80954088119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45072.210191295526</v>
      </c>
      <c r="S17" s="4">
        <f si="9" t="shared"/>
        <v>198522.83917820096</v>
      </c>
      <c r="T17" s="4">
        <f si="9" t="shared"/>
        <v>125658.19346917432</v>
      </c>
      <c r="U17" s="4">
        <f si="9" t="shared"/>
        <v>32010.157144422563</v>
      </c>
      <c r="V17" s="4">
        <f si="9" t="shared"/>
        <v>13026.4095577878</v>
      </c>
      <c r="W17" s="4">
        <f ref="W17:W20" si="20" t="shared">SUM(R17:V17)</f>
        <v>414289.80954088119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7618.9916667738171</v>
      </c>
      <c r="C18" s="4">
        <f si="7" t="shared"/>
        <v>100826.94198523038</v>
      </c>
      <c r="D18" s="4">
        <f si="7" t="shared"/>
        <v>107816.84438355053</v>
      </c>
      <c r="E18" s="4">
        <f si="7" t="shared"/>
        <v>36715.834252510256</v>
      </c>
      <c r="F18" s="4">
        <f si="7" t="shared"/>
        <v>16380.104028732052</v>
      </c>
      <c r="G18" s="4">
        <f si="7" t="shared"/>
        <v>269358.71631679707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9849.7379520726572</v>
      </c>
      <c r="S18" s="4">
        <f si="9" t="shared"/>
        <v>89603.942313244464</v>
      </c>
      <c r="T18" s="4">
        <f si="9" t="shared"/>
        <v>112042.93631658255</v>
      </c>
      <c r="U18" s="4">
        <f si="9" t="shared"/>
        <v>42410.680022109613</v>
      </c>
      <c r="V18" s="4">
        <f si="9" t="shared"/>
        <v>15451.419712787765</v>
      </c>
      <c r="W18" s="4">
        <f si="20" t="shared"/>
        <v>269358.71631679707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9145.2307044905319</v>
      </c>
      <c r="C19" s="4">
        <f si="7" t="shared"/>
        <v>110207.54886855326</v>
      </c>
      <c r="D19" s="4">
        <f si="7" t="shared"/>
        <v>342473.65512115613</v>
      </c>
      <c r="E19" s="4">
        <f si="7" t="shared"/>
        <v>147060.29717243847</v>
      </c>
      <c r="F19" s="4">
        <f si="7" t="shared"/>
        <v>83463.551816564475</v>
      </c>
      <c r="G19" s="6">
        <f si="7" t="shared"/>
        <v>692350.28368320293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11142.923830442853</v>
      </c>
      <c r="S19" s="4">
        <f si="9" t="shared"/>
        <v>121613.91462975153</v>
      </c>
      <c r="T19" s="4">
        <f si="9" t="shared"/>
        <v>316345.12456616701</v>
      </c>
      <c r="U19" s="4">
        <f si="9" t="shared"/>
        <v>164190.39720301543</v>
      </c>
      <c r="V19" s="4">
        <f si="9" t="shared"/>
        <v>79057.923453826152</v>
      </c>
      <c r="W19" s="6">
        <f si="20" t="shared"/>
        <v>692350.28368320293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127145.91498077275</v>
      </c>
      <c r="C20" s="8">
        <f si="7" t="shared"/>
        <v>493954.48350373644</v>
      </c>
      <c r="D20" s="8">
        <f si="7" t="shared"/>
        <v>561592.86150248768</v>
      </c>
      <c r="E20" s="8">
        <f si="7" t="shared"/>
        <v>215637.75133618058</v>
      </c>
      <c r="F20" s="8">
        <f si="7" t="shared"/>
        <v>108367.98867682261</v>
      </c>
      <c r="G20" s="8">
        <f si="7" t="shared"/>
        <v>1506699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109955.6925455391</v>
      </c>
      <c r="S20" s="8">
        <f ref="S20:V20" si="23" t="shared">SUM(S16:S19)</f>
        <v>477123.61063724011</v>
      </c>
      <c r="T20" s="8">
        <f si="23" t="shared"/>
        <v>568613.16065976222</v>
      </c>
      <c r="U20" s="8">
        <f si="23" t="shared"/>
        <v>242214.2820788495</v>
      </c>
      <c r="V20" s="8">
        <f si="23" t="shared"/>
        <v>108792.25407860904</v>
      </c>
      <c r="W20" s="8">
        <f si="20" t="shared"/>
        <v>1506699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8.6746052435900528E-2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2.9130450456081845E-2</v>
      </c>
      <c r="S25" s="17">
        <f si="26" t="shared"/>
        <v>4.4722213604736709E-2</v>
      </c>
      <c r="T25" s="17">
        <f si="26" t="shared"/>
        <v>9.6680931678048317E-3</v>
      </c>
      <c r="U25" s="17">
        <f si="26" t="shared"/>
        <v>2.3913520280440309E-3</v>
      </c>
      <c r="V25" s="17">
        <f si="26" t="shared"/>
        <v>8.3394317923309426E-4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1.7544052588674031E-2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2.9914541783923349E-2</v>
      </c>
      <c r="S26" s="17">
        <f si="26" t="shared"/>
        <v>0.13176011876174401</v>
      </c>
      <c r="T26" s="17">
        <f si="26" t="shared"/>
        <v>8.3399666070777451E-2</v>
      </c>
      <c r="U26" s="17">
        <f si="26" t="shared"/>
        <v>2.1245223594375893E-2</v>
      </c>
      <c r="V26" s="17">
        <f si="26" t="shared"/>
        <v>8.6456615142027696E-3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0.17877407253658301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6.5372964023156961E-3</v>
      </c>
      <c r="S27" s="17">
        <f si="26" t="shared"/>
        <v>5.9470366883660551E-2</v>
      </c>
      <c r="T27" s="17">
        <f si="26" t="shared"/>
        <v>7.4363184893985163E-2</v>
      </c>
      <c r="U27" s="17">
        <f si="26" t="shared"/>
        <v>2.8148077367881452E-2</v>
      </c>
      <c r="V27" s="17">
        <f si="26" t="shared"/>
        <v>1.0255146988740129E-2</v>
      </c>
      <c r="W27" s="17">
        <f si="26" t="shared"/>
        <v>0.17877407253658301</v>
      </c>
    </row>
    <row r="28" spans="1:39" x14ac:dyDescent="0.25">
      <c r="A28" s="5" t="s">
        <v>9</v>
      </c>
      <c r="B28" s="18">
        <f ref="B28:G28" si="31" t="shared">B19/$G$20</f>
        <v>6.0697131308181211E-3</v>
      </c>
      <c r="C28" s="18">
        <f si="31" t="shared"/>
        <v>7.3145033525975164E-2</v>
      </c>
      <c r="D28" s="18">
        <f si="31" t="shared"/>
        <v>0.2273006453984214</v>
      </c>
      <c r="E28" s="18">
        <f si="31" t="shared"/>
        <v>9.7604297323113959E-2</v>
      </c>
      <c r="F28" s="18">
        <f si="31" t="shared"/>
        <v>5.5394973924164335E-2</v>
      </c>
      <c r="G28" s="18">
        <f si="31" t="shared"/>
        <v>0.45951466330249302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7.3955871945510371E-3</v>
      </c>
      <c r="S28" s="18">
        <f si="26" t="shared"/>
        <v>8.0715467807273733E-2</v>
      </c>
      <c r="T28" s="18">
        <f si="26" t="shared"/>
        <v>0.20995907249302417</v>
      </c>
      <c r="U28" s="18">
        <f si="26" t="shared"/>
        <v>0.1089735887546321</v>
      </c>
      <c r="V28" s="18">
        <f si="26" t="shared"/>
        <v>5.2470947053012015E-2</v>
      </c>
      <c r="W28" s="18">
        <f si="26" t="shared"/>
        <v>0.45951466330249302</v>
      </c>
    </row>
    <row ht="15.75" r="29" spans="1:39" thickBot="1" x14ac:dyDescent="0.3">
      <c r="A29" s="7" t="s">
        <v>4</v>
      </c>
      <c r="B29" s="19">
        <f ref="B29:G29" si="33" t="shared">B20/$G$20</f>
        <v>8.4387070662934507E-2</v>
      </c>
      <c r="C29" s="19">
        <f si="33" t="shared"/>
        <v>0.3278388606508244</v>
      </c>
      <c r="D29" s="19">
        <f si="33" t="shared"/>
        <v>0.37273062602582713</v>
      </c>
      <c r="E29" s="19">
        <f si="33" t="shared"/>
        <v>0.14311932996317153</v>
      </c>
      <c r="F29" s="19">
        <f si="33" t="shared"/>
        <v>7.1924112697242526E-2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7.297787583687193E-2</v>
      </c>
      <c r="S29" s="19">
        <f si="26" t="shared"/>
        <v>0.31666816705741502</v>
      </c>
      <c r="T29" s="19">
        <f si="26" t="shared"/>
        <v>0.37739001662559157</v>
      </c>
      <c r="U29" s="19">
        <f si="26" t="shared"/>
        <v>0.16075824174493347</v>
      </c>
      <c r="V29" s="19">
        <f si="26" t="shared"/>
        <v>7.2205698735188006E-2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tabSelected="1" topLeftCell="A7" workbookViewId="0">
      <selection activeCell="AA29" sqref="AA29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99077.446</v>
      </c>
      <c r="C6" s="4" t="n">
        <v>322825.4227</v>
      </c>
      <c r="D6" s="4" t="n">
        <v>43813.1862</v>
      </c>
      <c r="E6" s="4" t="n">
        <v>7593.2611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95404.0</v>
      </c>
      <c r="S6" s="34" t="n">
        <v>363477.0</v>
      </c>
      <c r="T6" s="38" t="n">
        <v>46472.0</v>
      </c>
      <c r="U6" s="42" t="n">
        <v>10331.0</v>
      </c>
      <c r="V6" s="46" t="n">
        <v>4727.0</v>
      </c>
      <c r="W6" s="4">
        <f>SUM(R6:V6)</f>
        <v>466474.83163064456</v>
      </c>
    </row>
    <row r="7" spans="1:39" x14ac:dyDescent="0.25">
      <c r="A7" s="3">
        <v>2</v>
      </c>
      <c r="B7" s="4" t="n">
        <v>25854.0162</v>
      </c>
      <c r="C7" s="4" t="n">
        <v>160502.5256</v>
      </c>
      <c r="D7" s="4" t="n">
        <v>448414.0012</v>
      </c>
      <c r="E7" s="4" t="n">
        <v>127888.8906</v>
      </c>
      <c r="F7" s="4" t="n">
        <v>44949.9495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22734.0</v>
      </c>
      <c r="S7" s="35" t="n">
        <v>144574.0</v>
      </c>
      <c r="T7" s="39" t="n">
        <v>491608.0</v>
      </c>
      <c r="U7" s="43" t="n">
        <v>140989.0</v>
      </c>
      <c r="V7" s="47" t="n">
        <v>47655.0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3601.2171</v>
      </c>
      <c r="C8" s="4" t="n">
        <v>15987.585000000001</v>
      </c>
      <c r="D8" s="4" t="n">
        <v>61860.2523</v>
      </c>
      <c r="E8" s="4" t="n">
        <v>56178.9126</v>
      </c>
      <c r="F8" s="4" t="n">
        <v>36022.1079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3177.0</v>
      </c>
      <c r="S8" s="36" t="n">
        <v>15846.0</v>
      </c>
      <c r="T8" s="40" t="n">
        <v>77517.0</v>
      </c>
      <c r="U8" s="44" t="n">
        <v>71920.0</v>
      </c>
      <c r="V8" s="48" t="n">
        <v>26334.0</v>
      </c>
      <c r="W8" s="4">
        <f si="1" t="shared"/>
        <v>199912.09926920035</v>
      </c>
    </row>
    <row r="9" spans="1:39" x14ac:dyDescent="0.25">
      <c r="A9" s="5" t="s">
        <v>3</v>
      </c>
      <c r="B9" s="4" t="n">
        <v>606.4551</v>
      </c>
      <c r="C9" s="4" t="n">
        <v>2382.4917</v>
      </c>
      <c r="D9" s="4" t="n">
        <v>16309.3051</v>
      </c>
      <c r="E9" s="4" t="n">
        <v>27357.1602</v>
      </c>
      <c r="F9" s="4" t="n">
        <v>24974.0684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483.0</v>
      </c>
      <c r="S9" s="37" t="n">
        <v>2522.0</v>
      </c>
      <c r="T9" s="41" t="n">
        <v>23884.0</v>
      </c>
      <c r="U9" s="45" t="n">
        <v>33935.0</v>
      </c>
      <c r="V9" s="49" t="n">
        <v>33183.0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109945.70765127928</v>
      </c>
      <c r="S10" s="8">
        <f ref="S10" si="3" t="shared">SUM(S6:S9)</f>
        <v>477113.62574298028</v>
      </c>
      <c r="T10" s="8">
        <f ref="T10" si="4" t="shared">SUM(T6:T9)</f>
        <v>568543.23782908963</v>
      </c>
      <c r="U10" s="8">
        <f ref="U10" si="5" t="shared">SUM(U6:U9)</f>
        <v>242214.28207884956</v>
      </c>
      <c r="V10" s="8">
        <f ref="V10" si="6" t="shared">SUM(V6:V9)</f>
        <v>108792.25407860902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83304.918526929105</v>
      </c>
      <c r="S16" s="4">
        <f ref="S16:V16" si="9" t="shared">S6</f>
        <v>328587.0973352585</v>
      </c>
      <c r="T16" s="4">
        <f si="9" t="shared"/>
        <v>41355.036582271408</v>
      </c>
      <c r="U16" s="4">
        <f si="9" t="shared"/>
        <v>9067.9432541124952</v>
      </c>
      <c r="V16" s="4">
        <f si="9" t="shared"/>
        <v>4159.8359320730415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21641.625619930743</v>
      </c>
      <c r="S17" s="4">
        <f si="22" t="shared"/>
        <v>128483.58917680086</v>
      </c>
      <c r="T17" s="4">
        <f si="22" t="shared"/>
        <v>424082.42514298414</v>
      </c>
      <c r="U17" s="4">
        <f si="22" t="shared"/>
        <v>120171.00463339142</v>
      </c>
      <c r="V17" s="4">
        <f si="22" t="shared"/>
        <v>40881.323617092217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4488.3105817329015</v>
      </c>
      <c r="S18" s="4">
        <f si="28" t="shared"/>
        <v>17209.062531749911</v>
      </c>
      <c r="T18" s="4">
        <f si="28" t="shared"/>
        <v>76376.040117070748</v>
      </c>
      <c r="U18" s="4">
        <f si="28" t="shared"/>
        <v>74913.943926101972</v>
      </c>
      <c r="V18" s="4">
        <f si="28" t="shared"/>
        <v>26924.742112544838</v>
      </c>
      <c r="W18" s="4">
        <f si="23" t="shared"/>
        <v>199912.09926920035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510.85292268653501</v>
      </c>
      <c r="S19" s="4">
        <f si="31" t="shared"/>
        <v>2833.8766991710295</v>
      </c>
      <c r="T19" s="4">
        <f si="31" t="shared"/>
        <v>26729.735986763397</v>
      </c>
      <c r="U19" s="4">
        <f si="31" t="shared"/>
        <v>38061.390265243652</v>
      </c>
      <c r="V19" s="4">
        <f si="31" t="shared"/>
        <v>36826.352416898946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109945.70765127928</v>
      </c>
      <c r="S20" s="8">
        <f ref="S20:V20" si="34" t="shared">SUM(S16:S19)</f>
        <v>477113.62574298028</v>
      </c>
      <c r="T20" s="8">
        <f si="34" t="shared"/>
        <v>568543.23782908963</v>
      </c>
      <c r="U20" s="8">
        <f si="34" t="shared"/>
        <v>242214.28207884956</v>
      </c>
      <c r="V20" s="8">
        <f si="34" t="shared"/>
        <v>108792.25407860902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5.5292987490134095E-2</v>
      </c>
      <c r="S25" s="17">
        <f ref="S25:W25" si="37" t="shared">S6/$W$10</f>
        <v>0.21809711339558854</v>
      </c>
      <c r="T25" s="17">
        <f si="37" t="shared"/>
        <v>2.7449081768904097E-2</v>
      </c>
      <c r="U25" s="17">
        <f si="37" t="shared"/>
        <v>6.0187763433056816E-3</v>
      </c>
      <c r="V25" s="17">
        <f si="37" t="shared"/>
        <v>2.7610585331617862E-3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1.4364459576083422E-2</v>
      </c>
      <c r="S26" s="17">
        <f si="40" t="shared"/>
        <v>8.5279976436731825E-2</v>
      </c>
      <c r="T26" s="17">
        <f si="40" t="shared"/>
        <v>0.28148138960890656</v>
      </c>
      <c r="U26" s="17">
        <f si="40" t="shared"/>
        <v>7.9762563524061594E-2</v>
      </c>
      <c r="V26" s="17">
        <f si="40" t="shared"/>
        <v>2.7134658496896454E-2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2.9790810102931654E-3</v>
      </c>
      <c r="S27" s="17">
        <f si="43" t="shared"/>
        <v>1.1422380528196408E-2</v>
      </c>
      <c r="T27" s="17">
        <f si="43" t="shared"/>
        <v>5.0693998690773928E-2</v>
      </c>
      <c r="U27" s="17">
        <f si="43" t="shared"/>
        <v>4.9723543790557254E-2</v>
      </c>
      <c r="V27" s="17">
        <f si="43" t="shared"/>
        <v>1.7871086787303873E-2</v>
      </c>
      <c r="W27" s="17">
        <f si="43" t="shared"/>
        <v>0.1326900908071246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3.3907462803980828E-4</v>
      </c>
      <c r="S28" s="18">
        <f si="46" t="shared"/>
        <v>1.8809634730654419E-3</v>
      </c>
      <c r="T28" s="18">
        <f si="46" t="shared"/>
        <v>1.7741652997991096E-2</v>
      </c>
      <c r="U28" s="18">
        <f si="46" t="shared"/>
        <v>2.5262949811455854E-2</v>
      </c>
      <c r="V28" s="18">
        <f si="46" t="shared"/>
        <v>2.44432031085491E-2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7.2975602704550488E-2</v>
      </c>
      <c r="S29" s="19">
        <f si="49" t="shared"/>
        <v>0.31668043383358219</v>
      </c>
      <c r="T29" s="19">
        <f si="49" t="shared"/>
        <v>0.37736612306657563</v>
      </c>
      <c r="U29" s="19">
        <f si="49" t="shared"/>
        <v>0.16076783346938039</v>
      </c>
      <c r="V29" s="19">
        <f si="49" t="shared"/>
        <v>7.2210006925911202E-2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6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6" t="s">
        <v>133</v>
      </c>
      <c r="Z33" s="95" t="s">
        <v>164</v>
      </c>
    </row>
    <row r="34" spans="17:26" x14ac:dyDescent="0.25">
      <c r="Q34" s="3">
        <v>1</v>
      </c>
      <c r="R34" s="17">
        <f>R25-B25</f>
        <v>-8.9599081536595807E-3</v>
      </c>
      <c r="S34" s="17">
        <f ref="S34:W34" si="50" t="shared">S25-C25</f>
        <v>8.7410083148552475E-3</v>
      </c>
      <c r="T34" s="17">
        <f si="50" t="shared"/>
        <v>-9.6428771511248429E-4</v>
      </c>
      <c r="U34" s="17">
        <f si="50" t="shared"/>
        <v>1.0944567049656108E-3</v>
      </c>
      <c r="V34" s="17">
        <f si="50" t="shared"/>
        <v>8.8730848951223962E-5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399639.40242807887</v>
      </c>
    </row>
    <row r="35" spans="17:26" x14ac:dyDescent="0.25">
      <c r="Q35" s="3">
        <v>2</v>
      </c>
      <c r="R35" s="17">
        <f ref="R35:W35" si="51" t="shared">R26-B26</f>
        <v>-1.2586325322519586E-3</v>
      </c>
      <c r="S35" s="17">
        <f si="51" t="shared"/>
        <v>-1.1708658585058609E-2</v>
      </c>
      <c r="T35" s="17">
        <f si="51" t="shared"/>
        <v>1.0513305222279945E-2</v>
      </c>
      <c r="U35" s="17">
        <f si="51" t="shared"/>
        <v>2.4817301703396744E-3</v>
      </c>
      <c r="V35" s="17">
        <f si="51" t="shared"/>
        <v>-2.7744275308969751E-5</v>
      </c>
      <c r="W35" s="17">
        <f si="51" t="shared"/>
        <v>0</v>
      </c>
      <c r="Z35" s="97">
        <f>(Z34-Y34)/G20</f>
        <v>-1.9221941430790597E-2</v>
      </c>
    </row>
    <row r="36" spans="17:26" x14ac:dyDescent="0.25">
      <c r="Q36" s="3">
        <v>3</v>
      </c>
      <c r="R36" s="17">
        <f ref="R36:W36" si="52" t="shared">R27-B27</f>
        <v>2.2730664860430702E-4</v>
      </c>
      <c r="S36" s="17">
        <f si="52" t="shared"/>
        <v>-7.9410775525680898E-4</v>
      </c>
      <c r="T36" s="17">
        <f si="52" t="shared"/>
        <v>3.4251305387415915E-3</v>
      </c>
      <c r="U36" s="17">
        <f si="52" t="shared"/>
        <v>6.7959204156046102E-3</v>
      </c>
      <c r="V36" s="17">
        <f si="52" t="shared"/>
        <v>-9.6542498476936967E-3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-2.5077216432089404E-4</v>
      </c>
      <c r="S37" s="18">
        <f si="53" t="shared"/>
        <v>-4.3628159103080628E-4</v>
      </c>
      <c r="T37" s="18">
        <f si="53" t="shared"/>
        <v>1.8789925984544417E-3</v>
      </c>
      <c r="U37" s="18">
        <f si="53" t="shared"/>
        <v>-1.3450104350123011E-3</v>
      </c>
      <c r="V37" s="18">
        <f si="53" t="shared"/>
        <v>1.5307159190957459E-4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-1.0242006201628115E-2</v>
      </c>
      <c r="S38" s="19">
        <f si="54" t="shared"/>
        <v>-4.1980396164910672E-3</v>
      </c>
      <c r="T38" s="19">
        <f si="54" t="shared"/>
        <v>1.4853140644363438E-2</v>
      </c>
      <c r="U38" s="19">
        <f si="54" t="shared"/>
        <v>9.027096855897615E-3</v>
      </c>
      <c r="V38" s="19">
        <f si="54" t="shared"/>
        <v>-9.4401916821418852E-3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I26" sqref="I26"/>
    </sheetView>
  </sheetViews>
  <sheetFormatPr defaultRowHeight="15" x14ac:dyDescent="0.25"/>
  <cols>
    <col min="9" max="9" customWidth="true" width="14.85546875" collapsed="true"/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-3.5502124507071895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-2.0484380978508692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-4.1202858125483166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83304.918526929105</v>
      </c>
      <c r="K6" s="4">
        <f>Vehicles_by_HHDrivers!S16</f>
        <v>328587.0973352585</v>
      </c>
      <c r="L6" s="4">
        <f>Vehicles_by_HHDrivers!T16</f>
        <v>41355.036582271408</v>
      </c>
      <c r="M6" s="4">
        <f>Vehicles_by_HHDrivers!U16</f>
        <v>9067.9432541124952</v>
      </c>
      <c r="N6" s="4">
        <f>Vehicles_by_HHDrivers!V16</f>
        <v>4159.8359320730415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1.1620442041634718</v>
      </c>
      <c r="U6" s="87">
        <f>LN(T6)-LN($T$22)</f>
        <v>0.19692711200281079</v>
      </c>
      <c r="V6" s="87">
        <f>S6+U6</f>
        <v>-3.5502124507071895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-11.98458030744853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21641.625619930743</v>
      </c>
      <c r="K7" s="4">
        <f>Vehicles_by_HHDrivers!S17</f>
        <v>128483.58917680086</v>
      </c>
      <c r="L7" s="4">
        <f>Vehicles_by_HHDrivers!T17</f>
        <v>424082.42514298414</v>
      </c>
      <c r="M7" s="4">
        <f>Vehicles_by_HHDrivers!U17</f>
        <v>120171.00463339142</v>
      </c>
      <c r="N7" s="4">
        <f>Vehicles_by_HHDrivers!V17</f>
        <v>40881.323617092217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1.035130053647364</v>
      </c>
      <c r="U7" s="87">
        <f ref="U7:U22" si="4" t="shared">LN(T7)-LN($T$22)</f>
        <v>8.1273487369130676E-2</v>
      </c>
      <c r="V7" s="87">
        <f ref="V7:V22" si="5" t="shared">S7+U7</f>
        <v>-2.0484380978508692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-4.881782968386907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4488.3105817329015</v>
      </c>
      <c r="K8" s="4">
        <f>Vehicles_by_HHDrivers!S18</f>
        <v>17209.062531749911</v>
      </c>
      <c r="L8" s="4">
        <f>Vehicles_by_HHDrivers!T18</f>
        <v>76376.040117070748</v>
      </c>
      <c r="M8" s="4">
        <f>Vehicles_by_HHDrivers!U18</f>
        <v>74913.943926101972</v>
      </c>
      <c r="N8" s="4">
        <f>Vehicles_by_HHDrivers!V18</f>
        <v>26924.742112544838</v>
      </c>
      <c r="O8" s="4">
        <f si="2" t="shared"/>
        <v>199912.09926920035</v>
      </c>
      <c r="Q8">
        <v>3</v>
      </c>
      <c r="R8" t="s">
        <v>90</v>
      </c>
      <c r="S8" s="87">
        <f si="3" t="shared"/>
        <v>-3.96633437255</v>
      </c>
      <c r="T8" s="84">
        <f>E15/M15</f>
        <v>0.81815959880567612</v>
      </c>
      <c r="U8" s="87">
        <f si="4" t="shared"/>
        <v>-0.15395143999831631</v>
      </c>
      <c r="V8" s="87">
        <f si="5" t="shared"/>
        <v>-4.1202858125483166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-1.6809740108596283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510.85292268653501</v>
      </c>
      <c r="K9" s="4">
        <f>Vehicles_by_HHDrivers!S19</f>
        <v>2833.8766991710295</v>
      </c>
      <c r="L9" s="4">
        <f>Vehicles_by_HHDrivers!T19</f>
        <v>26729.735986763397</v>
      </c>
      <c r="M9" s="4">
        <f>Vehicles_by_HHDrivers!U19</f>
        <v>38061.390265243652</v>
      </c>
      <c r="N9" s="4">
        <f>Vehicles_by_HHDrivers!V19</f>
        <v>36826.352416898946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0.44399850264960078</v>
      </c>
      <c r="U9" s="87">
        <f si="4" t="shared"/>
        <v>-0.76518767611853</v>
      </c>
      <c r="V9" s="87">
        <f si="5" t="shared"/>
        <v>-11.98458030744853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-1.381285822632623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109945.70765127928</v>
      </c>
      <c r="K10" s="8">
        <f ref="K10:N10" si="7" t="shared">SUM(K6:K9)</f>
        <v>477113.62574298028</v>
      </c>
      <c r="L10" s="8">
        <f si="7" t="shared"/>
        <v>568543.23782908963</v>
      </c>
      <c r="M10" s="8">
        <f si="7" t="shared"/>
        <v>242214.28207884956</v>
      </c>
      <c r="N10" s="8">
        <f si="7" t="shared"/>
        <v>108792.25407860902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1.0876212937622491</v>
      </c>
      <c r="U10" s="87">
        <f si="4" t="shared"/>
        <v>0.13073942510309308</v>
      </c>
      <c r="V10" s="87">
        <f si="5" t="shared"/>
        <v>-4.881782968386907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-2.346525323511965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1.1372966911376332</v>
      </c>
      <c r="U11" s="87">
        <f si="4" t="shared"/>
        <v>0.17540053565037156</v>
      </c>
      <c r="V11" s="87">
        <f si="5" t="shared"/>
        <v>-1.6809740108596283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-4.9528058439067983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0.96888602797237044</v>
      </c>
      <c r="U12" s="87">
        <f si="4" t="shared"/>
        <v>1.5138120647377087E-2</v>
      </c>
      <c r="V12" s="87">
        <f si="5" t="shared"/>
        <v>-1.381285822632623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-2.1800578340527226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1.0010224663528433</v>
      </c>
      <c r="U13" s="87">
        <f si="4" t="shared"/>
        <v>4.7768356838035153E-2</v>
      </c>
      <c r="V13" s="87">
        <f si="5" t="shared"/>
        <v>-2.346525323511965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-1.4678444579355339</v>
      </c>
    </row>
    <row r="14" spans="1:27" x14ac:dyDescent="0.25">
      <c r="A14" s="11" t="s">
        <v>173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173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0.92369907101588411</v>
      </c>
      <c r="U14" s="87">
        <f si="4" t="shared"/>
        <v>-3.2622528256797893E-2</v>
      </c>
      <c r="V14" s="87">
        <f si="5" t="shared"/>
        <v>-4.9528058439067983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-0.33669074532722953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5.5292987490134095E-2</v>
      </c>
      <c r="K15" s="17">
        <f ref="K15:O15" si="9" t="shared">K6/$O$10</f>
        <v>0.21809711339558854</v>
      </c>
      <c r="L15" s="17">
        <f si="9" t="shared"/>
        <v>2.7449081768904097E-2</v>
      </c>
      <c r="M15" s="17">
        <f si="9" t="shared"/>
        <v>6.0187763433056816E-3</v>
      </c>
      <c r="N15" s="17">
        <f si="9" t="shared"/>
        <v>2.7610585331617862E-3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1.0695220889635515</v>
      </c>
      <c r="U15" s="87">
        <f si="4" t="shared"/>
        <v>0.11395831571727744</v>
      </c>
      <c r="V15" s="87">
        <f si="5" t="shared"/>
        <v>-2.1800578340527226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-4.7212653534615585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1.4364459576083422E-2</v>
      </c>
      <c r="K16" s="17">
        <f si="11" t="shared"/>
        <v>8.5279976436731825E-2</v>
      </c>
      <c r="L16" s="17">
        <f si="11" t="shared"/>
        <v>0.28148138960890656</v>
      </c>
      <c r="M16" s="17">
        <f si="11" t="shared"/>
        <v>7.9762563524061594E-2</v>
      </c>
      <c r="N16" s="17">
        <f si="11" t="shared"/>
        <v>2.7134658496896454E-2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0.93243518705962825</v>
      </c>
      <c r="U16" s="87">
        <f si="4" t="shared"/>
        <v>-2.3209221525533945E-2</v>
      </c>
      <c r="V16" s="87">
        <f si="5" t="shared"/>
        <v>-1.4678444579355339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-0.87078639185920537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2.9790810102931654E-3</v>
      </c>
      <c r="K17" s="17">
        <f si="13" t="shared"/>
        <v>1.1422380528196408E-2</v>
      </c>
      <c r="L17" s="17">
        <f si="13" t="shared"/>
        <v>5.0693998690773928E-2</v>
      </c>
      <c r="M17" s="17">
        <f si="13" t="shared"/>
        <v>4.9723543790557254E-2</v>
      </c>
      <c r="N17" s="17">
        <f si="13" t="shared"/>
        <v>1.7871086787303873E-2</v>
      </c>
      <c r="O17" s="17">
        <f si="13" t="shared"/>
        <v>0.1326900908071246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1.5402161582334406</v>
      </c>
      <c r="U17" s="87">
        <f si="4" t="shared"/>
        <v>0.47866918191277041</v>
      </c>
      <c r="V17" s="87">
        <f si="5" t="shared"/>
        <v>-0.33669074532722953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-1.7024206705660214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3.3907462803980828E-4</v>
      </c>
      <c r="K18" s="17">
        <f si="15" t="shared"/>
        <v>1.8809634730654419E-3</v>
      </c>
      <c r="L18" s="17">
        <f si="15" t="shared"/>
        <v>1.7741652997991096E-2</v>
      </c>
      <c r="M18" s="17">
        <f si="15" t="shared"/>
        <v>2.5262949811455854E-2</v>
      </c>
      <c r="N18" s="17">
        <f si="15" t="shared"/>
        <v>2.44432031085491E-2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1.739578085717026</v>
      </c>
      <c r="U18" s="87">
        <f si="4" t="shared"/>
        <v>0.60038901719844151</v>
      </c>
      <c r="V18" s="87">
        <f si="5" t="shared"/>
        <v>-4.7212653534615585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-0.50129618792871056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7.2975602704550488E-2</v>
      </c>
      <c r="K19" s="19">
        <f ref="K19:N19" si="17" t="shared">K10/$O$10</f>
        <v>0.31668043383358219</v>
      </c>
      <c r="L19" s="19">
        <f si="17" t="shared"/>
        <v>0.37736612306657563</v>
      </c>
      <c r="M19" s="19">
        <f si="17" t="shared"/>
        <v>0.16076783346938039</v>
      </c>
      <c r="N19" s="19">
        <f si="17" t="shared"/>
        <v>7.2210006925911202E-2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1.2319458071771006</v>
      </c>
      <c r="U19" s="87">
        <f si="4" t="shared"/>
        <v>0.25534128931079475</v>
      </c>
      <c r="V19" s="87">
        <f si="5" t="shared"/>
        <v>-0.87078639185920537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0.89409145818221103</v>
      </c>
      <c r="U20" s="87">
        <f si="4" t="shared"/>
        <v>-6.5200793976021576E-2</v>
      </c>
      <c r="V20" s="87">
        <f si="5" t="shared"/>
        <v>-1.7024206705660214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1.0532404349076601</v>
      </c>
      <c r="U21" s="87">
        <f si="4" t="shared"/>
        <v>9.861795318128945E-2</v>
      </c>
      <c r="V21" s="87">
        <f si="5" t="shared"/>
        <v>-0.50129618792871056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0.95432937257597861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2017-06-23T18:47:07Z</dcterms:modified>
</cp:coreProperties>
</file>