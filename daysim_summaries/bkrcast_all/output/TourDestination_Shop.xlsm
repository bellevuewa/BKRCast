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 codeName="{B6124F1A-AFFB-F854-7757-9A1D4C6FC43C}"/>
  <workbookPr codeName="ThisWorkbook" defaultThemeVersion="124226"/>
  <mc:AlternateContent>
    <mc:Choice Requires="x15">
      <x15ac:absPath xmlns:x15ac="http://schemas.microsoft.com/office/spreadsheetml/2010/11/ac" url="D:\P3Test\2020baseyear-BKR\BKR1-20\daysim_summaries\bkrcast_all\output\"/>
    </mc:Choice>
  </mc:AlternateContent>
  <xr:revisionPtr revIDLastSave="0" documentId="13_ncr:1_{A1E22ED7-A913-4BB4-85CF-662B189D6BB7}" xr6:coauthVersionLast="47" xr6:coauthVersionMax="47" xr10:uidLastSave="{00000000-0000-0000-0000-000000000000}"/>
  <bookViews>
    <workbookView xWindow="10545" yWindow="4890" windowWidth="7200" windowHeight="4050" firstSheet="6" activeTab="6" xr2:uid="{00000000-000D-0000-FFFF-FFFF00000000}"/>
  </bookViews>
  <sheets>
    <sheet name="TLFD" sheetId="3" r:id="rId1"/>
    <sheet name="TDFD" sheetId="4" r:id="rId2"/>
    <sheet name="County_Flow" sheetId="1" r:id="rId3"/>
    <sheet name="Documentation" sheetId="5" r:id="rId4"/>
    <sheet name="Coeff_Descr" sheetId="8" r:id="rId5"/>
    <sheet name="OtherTourDestination" sheetId="7" r:id="rId6"/>
    <sheet name="Calibration" sheetId="6" r:id="rId7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County_Flow!$M$7:$S$13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County_Flow!$B$7:$H$13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04" i="6" l="1"/>
  <c r="O104" i="6"/>
  <c r="N104" i="6"/>
  <c r="M104" i="6" s="1"/>
  <c r="P103" i="6"/>
  <c r="O103" i="6"/>
  <c r="N103" i="6"/>
  <c r="M103" i="6" s="1"/>
  <c r="P102" i="6"/>
  <c r="O102" i="6"/>
  <c r="N102" i="6"/>
  <c r="M102" i="6" s="1"/>
  <c r="P101" i="6"/>
  <c r="O101" i="6"/>
  <c r="N101" i="6"/>
  <c r="M101" i="6" s="1"/>
  <c r="P100" i="6"/>
  <c r="O100" i="6"/>
  <c r="N100" i="6"/>
  <c r="M100" i="6" s="1"/>
  <c r="P99" i="6"/>
  <c r="O99" i="6"/>
  <c r="N99" i="6"/>
  <c r="M99" i="6" s="1"/>
  <c r="P98" i="6"/>
  <c r="O98" i="6"/>
  <c r="N98" i="6"/>
  <c r="M98" i="6" s="1"/>
  <c r="P97" i="6"/>
  <c r="O97" i="6"/>
  <c r="N97" i="6"/>
  <c r="M97" i="6" s="1"/>
  <c r="P96" i="6"/>
  <c r="O96" i="6"/>
  <c r="N96" i="6"/>
  <c r="M96" i="6" s="1"/>
  <c r="P95" i="6"/>
  <c r="O95" i="6"/>
  <c r="N95" i="6"/>
  <c r="M95" i="6" s="1"/>
  <c r="P94" i="6"/>
  <c r="O94" i="6"/>
  <c r="N94" i="6"/>
  <c r="M94" i="6" s="1"/>
  <c r="P93" i="6"/>
  <c r="O93" i="6"/>
  <c r="N93" i="6"/>
  <c r="P92" i="6"/>
  <c r="O92" i="6"/>
  <c r="N92" i="6"/>
  <c r="M92" i="6" s="1"/>
  <c r="P91" i="6"/>
  <c r="O91" i="6"/>
  <c r="N91" i="6"/>
  <c r="M91" i="6" s="1"/>
  <c r="P90" i="6"/>
  <c r="O90" i="6"/>
  <c r="N90" i="6"/>
  <c r="M90" i="6" s="1"/>
  <c r="P89" i="6"/>
  <c r="O89" i="6"/>
  <c r="N89" i="6"/>
  <c r="M89" i="6" s="1"/>
  <c r="P88" i="6"/>
  <c r="O88" i="6"/>
  <c r="N88" i="6"/>
  <c r="M88" i="6" s="1"/>
  <c r="P87" i="6"/>
  <c r="O87" i="6"/>
  <c r="N87" i="6"/>
  <c r="M87" i="6" s="1"/>
  <c r="P86" i="6"/>
  <c r="O86" i="6"/>
  <c r="N86" i="6"/>
  <c r="M86" i="6" s="1"/>
  <c r="P85" i="6"/>
  <c r="O85" i="6"/>
  <c r="N85" i="6"/>
  <c r="P84" i="6"/>
  <c r="O84" i="6"/>
  <c r="N84" i="6"/>
  <c r="M84" i="6" s="1"/>
  <c r="P83" i="6"/>
  <c r="O83" i="6"/>
  <c r="N83" i="6"/>
  <c r="P82" i="6"/>
  <c r="O82" i="6"/>
  <c r="N82" i="6"/>
  <c r="M82" i="6" s="1"/>
  <c r="P81" i="6"/>
  <c r="O81" i="6"/>
  <c r="N81" i="6"/>
  <c r="M81" i="6" s="1"/>
  <c r="P80" i="6"/>
  <c r="O80" i="6"/>
  <c r="N80" i="6"/>
  <c r="M80" i="6" s="1"/>
  <c r="P79" i="6"/>
  <c r="O79" i="6"/>
  <c r="N79" i="6"/>
  <c r="M79" i="6" s="1"/>
  <c r="P78" i="6"/>
  <c r="O78" i="6"/>
  <c r="N78" i="6"/>
  <c r="M78" i="6" s="1"/>
  <c r="P77" i="6"/>
  <c r="O77" i="6"/>
  <c r="N77" i="6"/>
  <c r="M77" i="6" s="1"/>
  <c r="P76" i="6"/>
  <c r="O76" i="6"/>
  <c r="N76" i="6"/>
  <c r="M76" i="6" s="1"/>
  <c r="P75" i="6"/>
  <c r="O75" i="6"/>
  <c r="N75" i="6"/>
  <c r="M75" i="6" s="1"/>
  <c r="P74" i="6"/>
  <c r="O74" i="6"/>
  <c r="N74" i="6"/>
  <c r="M74" i="6" s="1"/>
  <c r="P73" i="6"/>
  <c r="O73" i="6"/>
  <c r="N73" i="6"/>
  <c r="M73" i="6" s="1"/>
  <c r="P72" i="6"/>
  <c r="O72" i="6"/>
  <c r="N72" i="6"/>
  <c r="M72" i="6" s="1"/>
  <c r="P71" i="6"/>
  <c r="O71" i="6"/>
  <c r="N71" i="6"/>
  <c r="M71" i="6" s="1"/>
  <c r="P70" i="6"/>
  <c r="O70" i="6"/>
  <c r="N70" i="6"/>
  <c r="M70" i="6" s="1"/>
  <c r="P69" i="6"/>
  <c r="O69" i="6"/>
  <c r="N69" i="6"/>
  <c r="M69" i="6" s="1"/>
  <c r="P68" i="6"/>
  <c r="O68" i="6"/>
  <c r="N68" i="6"/>
  <c r="M68" i="6" s="1"/>
  <c r="P67" i="6"/>
  <c r="O67" i="6"/>
  <c r="N67" i="6"/>
  <c r="M67" i="6" s="1"/>
  <c r="P66" i="6"/>
  <c r="O66" i="6"/>
  <c r="N66" i="6"/>
  <c r="M66" i="6" s="1"/>
  <c r="P65" i="6"/>
  <c r="O65" i="6"/>
  <c r="N65" i="6"/>
  <c r="M65" i="6" s="1"/>
  <c r="P64" i="6"/>
  <c r="O64" i="6"/>
  <c r="N64" i="6"/>
  <c r="M64" i="6" s="1"/>
  <c r="P63" i="6"/>
  <c r="O63" i="6"/>
  <c r="N63" i="6"/>
  <c r="M63" i="6" s="1"/>
  <c r="P62" i="6"/>
  <c r="O62" i="6"/>
  <c r="N62" i="6"/>
  <c r="M62" i="6" s="1"/>
  <c r="P61" i="6"/>
  <c r="O61" i="6"/>
  <c r="N61" i="6"/>
  <c r="M61" i="6" s="1"/>
  <c r="P60" i="6"/>
  <c r="O60" i="6"/>
  <c r="N60" i="6"/>
  <c r="M60" i="6" s="1"/>
  <c r="P59" i="6"/>
  <c r="O59" i="6"/>
  <c r="N59" i="6"/>
  <c r="M59" i="6" s="1"/>
  <c r="P58" i="6"/>
  <c r="O58" i="6"/>
  <c r="N58" i="6"/>
  <c r="M58" i="6" s="1"/>
  <c r="P57" i="6"/>
  <c r="O57" i="6"/>
  <c r="N57" i="6"/>
  <c r="M57" i="6" s="1"/>
  <c r="P56" i="6"/>
  <c r="O56" i="6"/>
  <c r="N56" i="6"/>
  <c r="M56" i="6" s="1"/>
  <c r="P55" i="6"/>
  <c r="O55" i="6"/>
  <c r="N55" i="6"/>
  <c r="P54" i="6"/>
  <c r="O54" i="6"/>
  <c r="N54" i="6"/>
  <c r="M54" i="6" s="1"/>
  <c r="P53" i="6"/>
  <c r="O53" i="6"/>
  <c r="N53" i="6"/>
  <c r="P52" i="6"/>
  <c r="O52" i="6"/>
  <c r="N52" i="6"/>
  <c r="M52" i="6" s="1"/>
  <c r="P51" i="6"/>
  <c r="O51" i="6"/>
  <c r="N51" i="6"/>
  <c r="M51" i="6" s="1"/>
  <c r="P50" i="6"/>
  <c r="O50" i="6"/>
  <c r="N50" i="6"/>
  <c r="M50" i="6" s="1"/>
  <c r="P49" i="6"/>
  <c r="O49" i="6"/>
  <c r="N49" i="6"/>
  <c r="M49" i="6" s="1"/>
  <c r="P48" i="6"/>
  <c r="O48" i="6"/>
  <c r="N48" i="6"/>
  <c r="M48" i="6" s="1"/>
  <c r="P47" i="6"/>
  <c r="O47" i="6"/>
  <c r="N47" i="6"/>
  <c r="P46" i="6"/>
  <c r="O46" i="6"/>
  <c r="N46" i="6"/>
  <c r="P45" i="6"/>
  <c r="O45" i="6"/>
  <c r="N45" i="6"/>
  <c r="M45" i="6" s="1"/>
  <c r="P44" i="6"/>
  <c r="O44" i="6"/>
  <c r="N44" i="6"/>
  <c r="M44" i="6" s="1"/>
  <c r="P43" i="6"/>
  <c r="O43" i="6"/>
  <c r="N43" i="6"/>
  <c r="M43" i="6" s="1"/>
  <c r="P42" i="6"/>
  <c r="O42" i="6"/>
  <c r="N42" i="6"/>
  <c r="M42" i="6" s="1"/>
  <c r="P41" i="6"/>
  <c r="O41" i="6"/>
  <c r="N41" i="6"/>
  <c r="M41" i="6" s="1"/>
  <c r="P40" i="6"/>
  <c r="O40" i="6"/>
  <c r="N40" i="6"/>
  <c r="R40" i="6" s="1"/>
  <c r="P39" i="6"/>
  <c r="O39" i="6"/>
  <c r="N39" i="6"/>
  <c r="M39" i="6" s="1"/>
  <c r="P38" i="6"/>
  <c r="O38" i="6"/>
  <c r="N38" i="6"/>
  <c r="M38" i="6" s="1"/>
  <c r="P37" i="6"/>
  <c r="O37" i="6"/>
  <c r="N37" i="6"/>
  <c r="M37" i="6" s="1"/>
  <c r="P36" i="6"/>
  <c r="O36" i="6"/>
  <c r="N36" i="6"/>
  <c r="M36" i="6" s="1"/>
  <c r="P35" i="6"/>
  <c r="O35" i="6"/>
  <c r="N35" i="6"/>
  <c r="P34" i="6"/>
  <c r="O34" i="6"/>
  <c r="N34" i="6"/>
  <c r="M34" i="6" s="1"/>
  <c r="P33" i="6"/>
  <c r="O33" i="6"/>
  <c r="N33" i="6"/>
  <c r="M33" i="6" s="1"/>
  <c r="P32" i="6"/>
  <c r="O32" i="6"/>
  <c r="N32" i="6"/>
  <c r="M32" i="6" s="1"/>
  <c r="P31" i="6"/>
  <c r="O31" i="6"/>
  <c r="N31" i="6"/>
  <c r="P30" i="6"/>
  <c r="O30" i="6"/>
  <c r="N30" i="6"/>
  <c r="M30" i="6" s="1"/>
  <c r="P29" i="6"/>
  <c r="O29" i="6"/>
  <c r="N29" i="6"/>
  <c r="M29" i="6" s="1"/>
  <c r="P28" i="6"/>
  <c r="O28" i="6"/>
  <c r="N28" i="6"/>
  <c r="P27" i="6"/>
  <c r="O27" i="6"/>
  <c r="N27" i="6"/>
  <c r="M27" i="6" s="1"/>
  <c r="P26" i="6"/>
  <c r="O26" i="6"/>
  <c r="N26" i="6"/>
  <c r="M26" i="6" s="1"/>
  <c r="P25" i="6"/>
  <c r="O25" i="6"/>
  <c r="N25" i="6"/>
  <c r="M25" i="6" s="1"/>
  <c r="P24" i="6"/>
  <c r="O24" i="6"/>
  <c r="N24" i="6"/>
  <c r="M24" i="6" s="1"/>
  <c r="P23" i="6"/>
  <c r="O23" i="6"/>
  <c r="N23" i="6"/>
  <c r="P22" i="6"/>
  <c r="O22" i="6"/>
  <c r="N22" i="6"/>
  <c r="M22" i="6" s="1"/>
  <c r="P21" i="6"/>
  <c r="O21" i="6"/>
  <c r="N21" i="6"/>
  <c r="P20" i="6"/>
  <c r="O20" i="6"/>
  <c r="N20" i="6"/>
  <c r="M20" i="6" s="1"/>
  <c r="P19" i="6"/>
  <c r="O19" i="6"/>
  <c r="N19" i="6"/>
  <c r="M19" i="6" s="1"/>
  <c r="P18" i="6"/>
  <c r="O18" i="6"/>
  <c r="N18" i="6"/>
  <c r="M18" i="6" s="1"/>
  <c r="P17" i="6"/>
  <c r="O17" i="6"/>
  <c r="N17" i="6"/>
  <c r="M17" i="6" s="1"/>
  <c r="P16" i="6"/>
  <c r="O16" i="6"/>
  <c r="N16" i="6"/>
  <c r="M16" i="6" s="1"/>
  <c r="P15" i="6"/>
  <c r="O15" i="6"/>
  <c r="N15" i="6"/>
  <c r="M15" i="6" s="1"/>
  <c r="P14" i="6"/>
  <c r="O14" i="6"/>
  <c r="N14" i="6"/>
  <c r="M14" i="6" s="1"/>
  <c r="P13" i="6"/>
  <c r="O13" i="6"/>
  <c r="N13" i="6"/>
  <c r="M13" i="6" s="1"/>
  <c r="P12" i="6"/>
  <c r="O12" i="6"/>
  <c r="N12" i="6"/>
  <c r="M12" i="6" s="1"/>
  <c r="P11" i="6"/>
  <c r="O11" i="6"/>
  <c r="N11" i="6"/>
  <c r="M11" i="6" s="1"/>
  <c r="P10" i="6"/>
  <c r="O10" i="6"/>
  <c r="N10" i="6"/>
  <c r="P9" i="6"/>
  <c r="O9" i="6"/>
  <c r="N9" i="6"/>
  <c r="M9" i="6" s="1"/>
  <c r="P8" i="6"/>
  <c r="O8" i="6"/>
  <c r="N8" i="6"/>
  <c r="M8" i="6" s="1"/>
  <c r="P7" i="6"/>
  <c r="O7" i="6"/>
  <c r="N7" i="6"/>
  <c r="M7" i="6" s="1"/>
  <c r="P6" i="6"/>
  <c r="O6" i="6"/>
  <c r="N6" i="6"/>
  <c r="M6" i="6" s="1"/>
  <c r="P5" i="6"/>
  <c r="O5" i="6"/>
  <c r="N5" i="6"/>
  <c r="P4" i="6"/>
  <c r="O4" i="6"/>
  <c r="N4" i="6"/>
  <c r="M4" i="6" s="1"/>
  <c r="P3" i="6"/>
  <c r="O3" i="6"/>
  <c r="N3" i="6"/>
  <c r="B36" i="6"/>
  <c r="B46" i="6" s="1"/>
  <c r="B35" i="6"/>
  <c r="B45" i="6" s="1"/>
  <c r="B34" i="6"/>
  <c r="B44" i="6" s="1"/>
  <c r="B33" i="6"/>
  <c r="B43" i="6" s="1"/>
  <c r="D24" i="6" l="1"/>
  <c r="D23" i="6"/>
  <c r="Q75" i="6"/>
  <c r="Q36" i="6"/>
  <c r="D25" i="6"/>
  <c r="D26" i="6"/>
  <c r="M40" i="6"/>
  <c r="Q33" i="6"/>
  <c r="R39" i="6"/>
  <c r="R41" i="6"/>
  <c r="R42" i="6"/>
  <c r="Q25" i="6"/>
  <c r="Q5" i="6"/>
  <c r="Q78" i="6"/>
  <c r="Q79" i="6"/>
  <c r="Q77" i="6"/>
  <c r="Q83" i="6"/>
  <c r="Q99" i="6"/>
  <c r="Q21" i="6"/>
  <c r="Q80" i="6"/>
  <c r="Q35" i="6"/>
  <c r="Q37" i="6"/>
  <c r="Q20" i="6"/>
  <c r="Q89" i="6"/>
  <c r="Q27" i="6"/>
  <c r="Q88" i="6"/>
  <c r="Q85" i="6"/>
  <c r="Q70" i="6"/>
  <c r="Q93" i="6"/>
  <c r="Q82" i="6"/>
  <c r="Q95" i="6"/>
  <c r="Q29" i="6"/>
  <c r="Q96" i="6"/>
  <c r="Q23" i="6"/>
  <c r="Q28" i="6"/>
  <c r="Q50" i="6"/>
  <c r="Q16" i="6"/>
  <c r="Q15" i="6"/>
  <c r="Q102" i="6"/>
  <c r="Q51" i="6"/>
  <c r="Q58" i="6"/>
  <c r="Q26" i="6"/>
  <c r="Q49" i="6"/>
  <c r="Q60" i="6"/>
  <c r="Q67" i="6"/>
  <c r="Q103" i="6"/>
  <c r="Q87" i="6"/>
  <c r="Q44" i="6"/>
  <c r="Q101" i="6"/>
  <c r="Q9" i="6"/>
  <c r="Q68" i="6"/>
  <c r="Q104" i="6"/>
  <c r="Q31" i="6"/>
  <c r="Q97" i="6"/>
  <c r="Q11" i="6"/>
  <c r="Q3" i="6"/>
  <c r="Q10" i="6"/>
  <c r="Q38" i="6"/>
  <c r="Q59" i="6"/>
  <c r="Q6" i="6"/>
  <c r="Q69" i="6"/>
  <c r="Q12" i="6"/>
  <c r="Q71" i="6"/>
  <c r="Q45" i="6"/>
  <c r="Q61" i="6"/>
  <c r="Q86" i="6"/>
  <c r="Q94" i="6"/>
  <c r="Q7" i="6"/>
  <c r="Q13" i="6"/>
  <c r="Q72" i="6"/>
  <c r="Q46" i="6"/>
  <c r="Q34" i="6"/>
  <c r="Q43" i="6"/>
  <c r="Q62" i="6"/>
  <c r="Q66" i="6"/>
  <c r="Q17" i="6"/>
  <c r="Q73" i="6"/>
  <c r="Q81" i="6"/>
  <c r="Q22" i="6"/>
  <c r="Q18" i="6"/>
  <c r="Q4" i="6"/>
  <c r="Q84" i="6"/>
  <c r="Q90" i="6"/>
  <c r="Q8" i="6"/>
  <c r="Q63" i="6"/>
  <c r="Q74" i="6"/>
  <c r="Q19" i="6"/>
  <c r="Q47" i="6"/>
  <c r="M21" i="6"/>
  <c r="M46" i="6"/>
  <c r="M85" i="6"/>
  <c r="Q98" i="6"/>
  <c r="M3" i="6"/>
  <c r="M28" i="6"/>
  <c r="M47" i="6"/>
  <c r="M93" i="6"/>
  <c r="M10" i="6"/>
  <c r="M35" i="6"/>
  <c r="Q14" i="6"/>
  <c r="M23" i="6"/>
  <c r="M5" i="6"/>
  <c r="M31" i="6"/>
  <c r="Q91" i="6"/>
  <c r="Q30" i="6"/>
  <c r="Q64" i="6"/>
  <c r="Q92" i="6"/>
  <c r="Q32" i="6"/>
  <c r="Q65" i="6"/>
  <c r="Q57" i="6"/>
  <c r="M53" i="6"/>
  <c r="M83" i="6"/>
  <c r="M55" i="6"/>
  <c r="Q48" i="6"/>
  <c r="Q76" i="6"/>
  <c r="Q100" i="6"/>
  <c r="Q24" i="6"/>
  <c r="M26" i="1"/>
  <c r="N26" i="1"/>
  <c r="O26" i="1"/>
  <c r="P26" i="1"/>
  <c r="Q26" i="1"/>
  <c r="R26" i="1"/>
  <c r="S26" i="1"/>
  <c r="S20" i="1"/>
  <c r="S21" i="1"/>
  <c r="S22" i="1"/>
  <c r="S23" i="1"/>
  <c r="S24" i="1"/>
  <c r="S25" i="1"/>
  <c r="G7" i="6" l="1"/>
  <c r="D7" i="6"/>
  <c r="G6" i="6"/>
  <c r="D6" i="6"/>
  <c r="G5" i="6"/>
  <c r="D5" i="6"/>
  <c r="G4" i="6"/>
  <c r="D4" i="6"/>
  <c r="G8" i="6" l="1"/>
  <c r="G15" i="6" s="1"/>
  <c r="D8" i="6"/>
  <c r="D14" i="6" s="1"/>
  <c r="U13" i="1"/>
  <c r="S15" i="1"/>
  <c r="H15" i="1"/>
  <c r="J13" i="1"/>
  <c r="F26" i="1" l="1"/>
  <c r="C26" i="1"/>
  <c r="E26" i="1"/>
  <c r="H26" i="1"/>
  <c r="B26" i="1"/>
  <c r="D26" i="1"/>
  <c r="G26" i="1"/>
  <c r="G12" i="6"/>
  <c r="G16" i="6"/>
  <c r="G13" i="6"/>
  <c r="D16" i="6"/>
  <c r="D12" i="6"/>
  <c r="D13" i="6"/>
  <c r="G14" i="6"/>
  <c r="I14" i="6" s="1"/>
  <c r="J14" i="6" s="1"/>
  <c r="D15" i="6"/>
  <c r="I15" i="6" s="1"/>
  <c r="J15" i="6" s="1"/>
  <c r="S28" i="1"/>
  <c r="U26" i="1"/>
  <c r="W39" i="1"/>
  <c r="L39" i="1"/>
  <c r="A39" i="1"/>
  <c r="A26" i="1"/>
  <c r="L26" i="1"/>
  <c r="L13" i="1"/>
  <c r="AD32" i="1"/>
  <c r="S32" i="1"/>
  <c r="H32" i="1"/>
  <c r="H19" i="1"/>
  <c r="S19" i="1"/>
  <c r="S6" i="1"/>
  <c r="H6" i="1"/>
  <c r="I12" i="6" l="1"/>
  <c r="J12" i="6" s="1"/>
  <c r="K12" i="6" s="1"/>
  <c r="D33" i="6" s="1"/>
  <c r="D43" i="6" s="1"/>
  <c r="Q39" i="6" s="1"/>
  <c r="I13" i="6"/>
  <c r="J13" i="6" s="1"/>
  <c r="Q54" i="6"/>
  <c r="J26" i="1"/>
  <c r="AC32" i="1"/>
  <c r="AB32" i="1"/>
  <c r="AA32" i="1"/>
  <c r="Z32" i="1"/>
  <c r="Y32" i="1"/>
  <c r="X32" i="1"/>
  <c r="R32" i="1"/>
  <c r="Q32" i="1"/>
  <c r="P32" i="1"/>
  <c r="O32" i="1"/>
  <c r="N32" i="1"/>
  <c r="M32" i="1"/>
  <c r="G32" i="1"/>
  <c r="F32" i="1"/>
  <c r="E32" i="1"/>
  <c r="D32" i="1"/>
  <c r="C32" i="1"/>
  <c r="B32" i="1"/>
  <c r="R19" i="1"/>
  <c r="Q19" i="1"/>
  <c r="P19" i="1"/>
  <c r="O19" i="1"/>
  <c r="N19" i="1"/>
  <c r="M19" i="1"/>
  <c r="G19" i="1"/>
  <c r="F19" i="1"/>
  <c r="E19" i="1"/>
  <c r="D19" i="1"/>
  <c r="C19" i="1"/>
  <c r="B19" i="1"/>
  <c r="R6" i="1"/>
  <c r="Q6" i="1"/>
  <c r="P6" i="1"/>
  <c r="O6" i="1"/>
  <c r="N6" i="1"/>
  <c r="M6" i="1"/>
  <c r="G6" i="1"/>
  <c r="F6" i="1"/>
  <c r="E6" i="1"/>
  <c r="D6" i="1"/>
  <c r="C6" i="1"/>
  <c r="B6" i="1"/>
  <c r="W38" i="1"/>
  <c r="W37" i="1"/>
  <c r="W36" i="1"/>
  <c r="W35" i="1"/>
  <c r="W34" i="1"/>
  <c r="W33" i="1"/>
  <c r="L38" i="1"/>
  <c r="L37" i="1"/>
  <c r="L36" i="1"/>
  <c r="L35" i="1"/>
  <c r="L34" i="1"/>
  <c r="L33" i="1"/>
  <c r="A38" i="1"/>
  <c r="A37" i="1"/>
  <c r="A36" i="1"/>
  <c r="A35" i="1"/>
  <c r="A34" i="1"/>
  <c r="A33" i="1"/>
  <c r="L25" i="1"/>
  <c r="L24" i="1"/>
  <c r="L23" i="1"/>
  <c r="L22" i="1"/>
  <c r="L21" i="1"/>
  <c r="L20" i="1"/>
  <c r="A25" i="1"/>
  <c r="A24" i="1"/>
  <c r="A23" i="1"/>
  <c r="A22" i="1"/>
  <c r="A21" i="1"/>
  <c r="A20" i="1"/>
  <c r="L12" i="1"/>
  <c r="L11" i="1"/>
  <c r="L10" i="1"/>
  <c r="L9" i="1"/>
  <c r="L8" i="1"/>
  <c r="L7" i="1"/>
  <c r="K14" i="6" l="1"/>
  <c r="D35" i="6" s="1"/>
  <c r="D45" i="6" s="1"/>
  <c r="Q41" i="6" s="1"/>
  <c r="K15" i="6"/>
  <c r="D36" i="6" s="1"/>
  <c r="D46" i="6" s="1"/>
  <c r="Q42" i="6" s="1"/>
  <c r="K13" i="6"/>
  <c r="D34" i="6" s="1"/>
  <c r="D44" i="6" s="1"/>
  <c r="Q40" i="6" s="1"/>
  <c r="Q55" i="6"/>
  <c r="Q56" i="6"/>
  <c r="Q15" i="1"/>
  <c r="Q28" i="1" s="1"/>
  <c r="R15" i="1"/>
  <c r="R28" i="1" s="1"/>
  <c r="U10" i="1"/>
  <c r="U11" i="1"/>
  <c r="U12" i="1"/>
  <c r="F15" i="1"/>
  <c r="G15" i="1"/>
  <c r="J10" i="1"/>
  <c r="J11" i="1"/>
  <c r="J12" i="1"/>
  <c r="H24" i="1" l="1"/>
  <c r="H25" i="1"/>
  <c r="H23" i="1"/>
  <c r="G25" i="1"/>
  <c r="G23" i="1"/>
  <c r="G24" i="1"/>
  <c r="U25" i="1"/>
  <c r="R25" i="1"/>
  <c r="Q25" i="1"/>
  <c r="P25" i="1"/>
  <c r="O25" i="1"/>
  <c r="N25" i="1"/>
  <c r="M25" i="1"/>
  <c r="F25" i="1"/>
  <c r="E25" i="1"/>
  <c r="D25" i="1"/>
  <c r="C25" i="1"/>
  <c r="B25" i="1"/>
  <c r="U24" i="1"/>
  <c r="R24" i="1"/>
  <c r="Q24" i="1"/>
  <c r="P24" i="1"/>
  <c r="O24" i="1"/>
  <c r="N24" i="1"/>
  <c r="M24" i="1"/>
  <c r="F24" i="1"/>
  <c r="E24" i="1"/>
  <c r="D24" i="1"/>
  <c r="C24" i="1"/>
  <c r="B24" i="1"/>
  <c r="U23" i="1"/>
  <c r="R23" i="1"/>
  <c r="Q23" i="1"/>
  <c r="P23" i="1"/>
  <c r="O23" i="1"/>
  <c r="N23" i="1"/>
  <c r="M23" i="1"/>
  <c r="F23" i="1"/>
  <c r="E23" i="1"/>
  <c r="D23" i="1"/>
  <c r="C23" i="1"/>
  <c r="B23" i="1"/>
  <c r="R22" i="1"/>
  <c r="Q22" i="1"/>
  <c r="P22" i="1"/>
  <c r="O22" i="1"/>
  <c r="N22" i="1"/>
  <c r="M22" i="1"/>
  <c r="R21" i="1"/>
  <c r="Q21" i="1"/>
  <c r="P21" i="1"/>
  <c r="O21" i="1"/>
  <c r="N21" i="1"/>
  <c r="M21" i="1"/>
  <c r="R20" i="1"/>
  <c r="Q20" i="1"/>
  <c r="P20" i="1"/>
  <c r="O20" i="1"/>
  <c r="N20" i="1"/>
  <c r="M20" i="1"/>
  <c r="T15" i="1"/>
  <c r="T28" i="1" s="1"/>
  <c r="P15" i="1"/>
  <c r="P28" i="1" s="1"/>
  <c r="O15" i="1"/>
  <c r="O28" i="1" s="1"/>
  <c r="N15" i="1"/>
  <c r="N28" i="1" s="1"/>
  <c r="M15" i="1"/>
  <c r="M28" i="1" s="1"/>
  <c r="I15" i="1"/>
  <c r="E15" i="1"/>
  <c r="D15" i="1"/>
  <c r="C15" i="1"/>
  <c r="B15" i="1"/>
  <c r="U14" i="1"/>
  <c r="J14" i="1"/>
  <c r="U9" i="1"/>
  <c r="J9" i="1"/>
  <c r="U8" i="1"/>
  <c r="J8" i="1"/>
  <c r="U7" i="1"/>
  <c r="J7" i="1"/>
  <c r="F102" i="4"/>
  <c r="G101" i="4" s="1"/>
  <c r="B102" i="4"/>
  <c r="C102" i="4" s="1"/>
  <c r="F102" i="3"/>
  <c r="G102" i="3" s="1"/>
  <c r="B102" i="3"/>
  <c r="C13" i="3" s="1"/>
  <c r="H20" i="1" l="1"/>
  <c r="H21" i="1"/>
  <c r="H22" i="1"/>
  <c r="J23" i="1"/>
  <c r="J25" i="1"/>
  <c r="F21" i="1"/>
  <c r="J24" i="1"/>
  <c r="E21" i="1"/>
  <c r="D21" i="1"/>
  <c r="U20" i="1"/>
  <c r="U22" i="1"/>
  <c r="G22" i="1"/>
  <c r="U21" i="1"/>
  <c r="G21" i="1"/>
  <c r="B21" i="1"/>
  <c r="C21" i="1"/>
  <c r="J15" i="1"/>
  <c r="E20" i="1"/>
  <c r="U15" i="1"/>
  <c r="U28" i="1" s="1"/>
  <c r="F22" i="1"/>
  <c r="D20" i="1"/>
  <c r="F20" i="1"/>
  <c r="C22" i="1"/>
  <c r="C20" i="1"/>
  <c r="G20" i="1"/>
  <c r="E22" i="1"/>
  <c r="B20" i="1"/>
  <c r="B22" i="1"/>
  <c r="D22" i="1"/>
  <c r="C43" i="4"/>
  <c r="C13" i="4"/>
  <c r="C23" i="4"/>
  <c r="C39" i="4"/>
  <c r="C51" i="4"/>
  <c r="C81" i="4"/>
  <c r="C19" i="4"/>
  <c r="C31" i="4"/>
  <c r="C63" i="4"/>
  <c r="C11" i="4"/>
  <c r="C21" i="4"/>
  <c r="C33" i="4"/>
  <c r="C49" i="4"/>
  <c r="C71" i="4"/>
  <c r="C15" i="4"/>
  <c r="C27" i="4"/>
  <c r="C41" i="4"/>
  <c r="C59" i="4"/>
  <c r="C83" i="4"/>
  <c r="C91" i="4"/>
  <c r="C73" i="4"/>
  <c r="C95" i="4"/>
  <c r="C55" i="4"/>
  <c r="C65" i="4"/>
  <c r="C75" i="4"/>
  <c r="C87" i="4"/>
  <c r="C97" i="4"/>
  <c r="C17" i="4"/>
  <c r="C25" i="4"/>
  <c r="C35" i="4"/>
  <c r="C47" i="4"/>
  <c r="C57" i="4"/>
  <c r="C67" i="4"/>
  <c r="C79" i="4"/>
  <c r="C89" i="4"/>
  <c r="C99" i="4"/>
  <c r="G18" i="4"/>
  <c r="C29" i="4"/>
  <c r="C37" i="4"/>
  <c r="C45" i="4"/>
  <c r="C53" i="4"/>
  <c r="C61" i="4"/>
  <c r="C69" i="4"/>
  <c r="C77" i="4"/>
  <c r="C85" i="4"/>
  <c r="C93" i="4"/>
  <c r="C101" i="4"/>
  <c r="G34" i="4"/>
  <c r="G66" i="4"/>
  <c r="G12" i="4"/>
  <c r="G20" i="4"/>
  <c r="G28" i="4"/>
  <c r="G36" i="4"/>
  <c r="G44" i="4"/>
  <c r="G52" i="4"/>
  <c r="G60" i="4"/>
  <c r="G68" i="4"/>
  <c r="G82" i="4"/>
  <c r="G98" i="4"/>
  <c r="G26" i="4"/>
  <c r="G42" i="4"/>
  <c r="G50" i="4"/>
  <c r="G58" i="4"/>
  <c r="G78" i="4"/>
  <c r="G94" i="4"/>
  <c r="G16" i="4"/>
  <c r="G24" i="4"/>
  <c r="G32" i="4"/>
  <c r="G40" i="4"/>
  <c r="G48" i="4"/>
  <c r="G56" i="4"/>
  <c r="G64" i="4"/>
  <c r="G74" i="4"/>
  <c r="G90" i="4"/>
  <c r="G14" i="4"/>
  <c r="G22" i="4"/>
  <c r="G30" i="4"/>
  <c r="G38" i="4"/>
  <c r="G46" i="4"/>
  <c r="G54" i="4"/>
  <c r="G62" i="4"/>
  <c r="G70" i="4"/>
  <c r="G86" i="4"/>
  <c r="G102" i="4"/>
  <c r="G72" i="4"/>
  <c r="G76" i="4"/>
  <c r="G80" i="4"/>
  <c r="G84" i="4"/>
  <c r="G88" i="4"/>
  <c r="G92" i="4"/>
  <c r="G96" i="4"/>
  <c r="G100" i="4"/>
  <c r="G13" i="3"/>
  <c r="G17" i="3"/>
  <c r="G21" i="3"/>
  <c r="G25" i="3"/>
  <c r="G29" i="3"/>
  <c r="G33" i="3"/>
  <c r="G37" i="3"/>
  <c r="G41" i="3"/>
  <c r="G45" i="3"/>
  <c r="G49" i="3"/>
  <c r="G53" i="3"/>
  <c r="G57" i="3"/>
  <c r="G61" i="3"/>
  <c r="G65" i="3"/>
  <c r="G69" i="3"/>
  <c r="G73" i="3"/>
  <c r="G77" i="3"/>
  <c r="G81" i="3"/>
  <c r="G85" i="3"/>
  <c r="G89" i="3"/>
  <c r="G93" i="3"/>
  <c r="G97" i="3"/>
  <c r="G101" i="3"/>
  <c r="G11" i="3"/>
  <c r="G15" i="3"/>
  <c r="G19" i="3"/>
  <c r="G23" i="3"/>
  <c r="G27" i="3"/>
  <c r="G31" i="3"/>
  <c r="G35" i="3"/>
  <c r="G39" i="3"/>
  <c r="G43" i="3"/>
  <c r="G47" i="3"/>
  <c r="G51" i="3"/>
  <c r="G55" i="3"/>
  <c r="G59" i="3"/>
  <c r="G63" i="3"/>
  <c r="G67" i="3"/>
  <c r="G71" i="3"/>
  <c r="G75" i="3"/>
  <c r="G79" i="3"/>
  <c r="G83" i="3"/>
  <c r="G87" i="3"/>
  <c r="G91" i="3"/>
  <c r="G95" i="3"/>
  <c r="G99" i="3"/>
  <c r="G11" i="4"/>
  <c r="G13" i="4"/>
  <c r="G15" i="4"/>
  <c r="G17" i="4"/>
  <c r="G19" i="4"/>
  <c r="G21" i="4"/>
  <c r="G23" i="4"/>
  <c r="G25" i="4"/>
  <c r="G27" i="4"/>
  <c r="G29" i="4"/>
  <c r="G31" i="4"/>
  <c r="G33" i="4"/>
  <c r="G35" i="4"/>
  <c r="G37" i="4"/>
  <c r="G39" i="4"/>
  <c r="G41" i="4"/>
  <c r="G43" i="4"/>
  <c r="G45" i="4"/>
  <c r="G47" i="4"/>
  <c r="G49" i="4"/>
  <c r="G51" i="4"/>
  <c r="G53" i="4"/>
  <c r="G55" i="4"/>
  <c r="G57" i="4"/>
  <c r="G59" i="4"/>
  <c r="G61" i="4"/>
  <c r="G63" i="4"/>
  <c r="G65" i="4"/>
  <c r="G67" i="4"/>
  <c r="G69" i="4"/>
  <c r="G71" i="4"/>
  <c r="G73" i="4"/>
  <c r="G75" i="4"/>
  <c r="G77" i="4"/>
  <c r="G79" i="4"/>
  <c r="G81" i="4"/>
  <c r="G83" i="4"/>
  <c r="G85" i="4"/>
  <c r="G87" i="4"/>
  <c r="G89" i="4"/>
  <c r="G91" i="4"/>
  <c r="G93" i="4"/>
  <c r="G95" i="4"/>
  <c r="G97" i="4"/>
  <c r="G99" i="4"/>
  <c r="C12" i="4"/>
  <c r="C14" i="4"/>
  <c r="C16" i="4"/>
  <c r="C18" i="4"/>
  <c r="C20" i="4"/>
  <c r="C22" i="4"/>
  <c r="C24" i="4"/>
  <c r="C26" i="4"/>
  <c r="C28" i="4"/>
  <c r="C30" i="4"/>
  <c r="C32" i="4"/>
  <c r="C34" i="4"/>
  <c r="C36" i="4"/>
  <c r="C38" i="4"/>
  <c r="C40" i="4"/>
  <c r="C42" i="4"/>
  <c r="C44" i="4"/>
  <c r="C46" i="4"/>
  <c r="C48" i="4"/>
  <c r="C50" i="4"/>
  <c r="C52" i="4"/>
  <c r="C54" i="4"/>
  <c r="C56" i="4"/>
  <c r="C58" i="4"/>
  <c r="C60" i="4"/>
  <c r="C62" i="4"/>
  <c r="C64" i="4"/>
  <c r="C66" i="4"/>
  <c r="C68" i="4"/>
  <c r="C70" i="4"/>
  <c r="C72" i="4"/>
  <c r="C74" i="4"/>
  <c r="C76" i="4"/>
  <c r="C78" i="4"/>
  <c r="C80" i="4"/>
  <c r="C82" i="4"/>
  <c r="C84" i="4"/>
  <c r="C86" i="4"/>
  <c r="C88" i="4"/>
  <c r="C90" i="4"/>
  <c r="C92" i="4"/>
  <c r="C94" i="4"/>
  <c r="C96" i="4"/>
  <c r="C98" i="4"/>
  <c r="C100" i="4"/>
  <c r="C102" i="3"/>
  <c r="C98" i="3"/>
  <c r="C94" i="3"/>
  <c r="C92" i="3"/>
  <c r="C88" i="3"/>
  <c r="C84" i="3"/>
  <c r="C78" i="3"/>
  <c r="C74" i="3"/>
  <c r="C66" i="3"/>
  <c r="C34" i="3"/>
  <c r="C11" i="3"/>
  <c r="C100" i="3"/>
  <c r="C96" i="3"/>
  <c r="C90" i="3"/>
  <c r="C86" i="3"/>
  <c r="C82" i="3"/>
  <c r="C80" i="3"/>
  <c r="C76" i="3"/>
  <c r="C72" i="3"/>
  <c r="C70" i="3"/>
  <c r="C68" i="3"/>
  <c r="C64" i="3"/>
  <c r="C62" i="3"/>
  <c r="C60" i="3"/>
  <c r="C58" i="3"/>
  <c r="C56" i="3"/>
  <c r="C54" i="3"/>
  <c r="C52" i="3"/>
  <c r="C50" i="3"/>
  <c r="C48" i="3"/>
  <c r="C46" i="3"/>
  <c r="C44" i="3"/>
  <c r="C42" i="3"/>
  <c r="C40" i="3"/>
  <c r="C38" i="3"/>
  <c r="C36" i="3"/>
  <c r="C32" i="3"/>
  <c r="C30" i="3"/>
  <c r="C28" i="3"/>
  <c r="C26" i="3"/>
  <c r="C24" i="3"/>
  <c r="C22" i="3"/>
  <c r="C20" i="3"/>
  <c r="C18" i="3"/>
  <c r="C16" i="3"/>
  <c r="C14" i="3"/>
  <c r="C12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G12" i="3"/>
  <c r="G14" i="3"/>
  <c r="G16" i="3"/>
  <c r="G18" i="3"/>
  <c r="G20" i="3"/>
  <c r="G22" i="3"/>
  <c r="G24" i="3"/>
  <c r="G26" i="3"/>
  <c r="G28" i="3"/>
  <c r="G30" i="3"/>
  <c r="G32" i="3"/>
  <c r="G34" i="3"/>
  <c r="G36" i="3"/>
  <c r="G38" i="3"/>
  <c r="G40" i="3"/>
  <c r="G42" i="3"/>
  <c r="G44" i="3"/>
  <c r="G46" i="3"/>
  <c r="G48" i="3"/>
  <c r="G50" i="3"/>
  <c r="G52" i="3"/>
  <c r="G54" i="3"/>
  <c r="G56" i="3"/>
  <c r="G58" i="3"/>
  <c r="G60" i="3"/>
  <c r="G62" i="3"/>
  <c r="G64" i="3"/>
  <c r="G66" i="3"/>
  <c r="G68" i="3"/>
  <c r="G70" i="3"/>
  <c r="G72" i="3"/>
  <c r="G74" i="3"/>
  <c r="G76" i="3"/>
  <c r="G78" i="3"/>
  <c r="G80" i="3"/>
  <c r="G82" i="3"/>
  <c r="G84" i="3"/>
  <c r="G86" i="3"/>
  <c r="G88" i="3"/>
  <c r="G90" i="3"/>
  <c r="G92" i="3"/>
  <c r="G94" i="3"/>
  <c r="G96" i="3"/>
  <c r="G98" i="3"/>
  <c r="G100" i="3"/>
  <c r="H28" i="1" l="1"/>
  <c r="S35" i="1"/>
  <c r="S36" i="1"/>
  <c r="S38" i="1"/>
  <c r="S37" i="1"/>
  <c r="S39" i="1"/>
  <c r="S34" i="1"/>
  <c r="R39" i="1"/>
  <c r="N39" i="1"/>
  <c r="S33" i="1"/>
  <c r="Q39" i="1"/>
  <c r="P39" i="1"/>
  <c r="O39" i="1"/>
  <c r="M39" i="1"/>
  <c r="F28" i="1"/>
  <c r="G28" i="1"/>
  <c r="U39" i="1"/>
  <c r="S41" i="1"/>
  <c r="J27" i="1"/>
  <c r="U35" i="1"/>
  <c r="Q41" i="1"/>
  <c r="R41" i="1"/>
  <c r="I28" i="1"/>
  <c r="J21" i="1"/>
  <c r="Q38" i="1"/>
  <c r="N41" i="1"/>
  <c r="Q34" i="1"/>
  <c r="O34" i="1"/>
  <c r="M34" i="1"/>
  <c r="P33" i="1"/>
  <c r="O33" i="1"/>
  <c r="Q33" i="1"/>
  <c r="U34" i="1"/>
  <c r="J22" i="1"/>
  <c r="D28" i="1"/>
  <c r="M37" i="1"/>
  <c r="U41" i="1"/>
  <c r="T41" i="1"/>
  <c r="U37" i="1"/>
  <c r="P37" i="1"/>
  <c r="N37" i="1"/>
  <c r="R37" i="1"/>
  <c r="R35" i="1"/>
  <c r="N35" i="1"/>
  <c r="M35" i="1"/>
  <c r="O37" i="1"/>
  <c r="O35" i="1"/>
  <c r="Q37" i="1"/>
  <c r="U38" i="1"/>
  <c r="Q35" i="1"/>
  <c r="O38" i="1"/>
  <c r="P35" i="1"/>
  <c r="N38" i="1"/>
  <c r="M38" i="1"/>
  <c r="R34" i="1"/>
  <c r="E28" i="1"/>
  <c r="N33" i="1"/>
  <c r="B28" i="1"/>
  <c r="J20" i="1"/>
  <c r="O36" i="1"/>
  <c r="P34" i="1"/>
  <c r="R38" i="1"/>
  <c r="C28" i="1"/>
  <c r="U33" i="1"/>
  <c r="N34" i="1"/>
  <c r="U36" i="1"/>
  <c r="M33" i="1"/>
  <c r="N36" i="1"/>
  <c r="M36" i="1"/>
  <c r="P41" i="1"/>
  <c r="O41" i="1"/>
  <c r="Q36" i="1"/>
  <c r="P38" i="1"/>
  <c r="R33" i="1"/>
  <c r="M41" i="1"/>
  <c r="R36" i="1"/>
  <c r="P36" i="1"/>
  <c r="J28" i="1" l="1"/>
  <c r="G39" i="1" l="1"/>
  <c r="AC39" i="1" s="1"/>
  <c r="D39" i="1"/>
  <c r="Z39" i="1" s="1"/>
  <c r="B39" i="1"/>
  <c r="X39" i="1" s="1"/>
  <c r="H39" i="1"/>
  <c r="AD39" i="1" s="1"/>
  <c r="E39" i="1"/>
  <c r="AA39" i="1" s="1"/>
  <c r="C39" i="1"/>
  <c r="Y39" i="1" s="1"/>
  <c r="F39" i="1"/>
  <c r="AB39" i="1" s="1"/>
  <c r="H33" i="1"/>
  <c r="AD33" i="1" s="1"/>
  <c r="H36" i="1"/>
  <c r="AD36" i="1" s="1"/>
  <c r="H38" i="1"/>
  <c r="AD38" i="1" s="1"/>
  <c r="H37" i="1"/>
  <c r="AD37" i="1" s="1"/>
  <c r="H35" i="1"/>
  <c r="AD35" i="1" s="1"/>
  <c r="H34" i="1"/>
  <c r="AD34" i="1" s="1"/>
  <c r="J40" i="1"/>
  <c r="G38" i="1"/>
  <c r="AC38" i="1" s="1"/>
  <c r="J39" i="1"/>
  <c r="AF39" i="1" s="1"/>
  <c r="G37" i="1"/>
  <c r="AC37" i="1" s="1"/>
  <c r="G35" i="1"/>
  <c r="AC35" i="1" s="1"/>
  <c r="G34" i="1"/>
  <c r="AC34" i="1" s="1"/>
  <c r="G36" i="1"/>
  <c r="AC36" i="1" s="1"/>
  <c r="H41" i="1"/>
  <c r="AD41" i="1" s="1"/>
  <c r="J35" i="1"/>
  <c r="AF35" i="1" s="1"/>
  <c r="G41" i="1"/>
  <c r="AC41" i="1" s="1"/>
  <c r="F41" i="1"/>
  <c r="AB41" i="1" s="1"/>
  <c r="B41" i="1"/>
  <c r="X41" i="1" s="1"/>
  <c r="C41" i="1"/>
  <c r="Y41" i="1" s="1"/>
  <c r="D37" i="1"/>
  <c r="Z37" i="1" s="1"/>
  <c r="C38" i="1"/>
  <c r="Y38" i="1" s="1"/>
  <c r="C36" i="1"/>
  <c r="Y36" i="1" s="1"/>
  <c r="F37" i="1"/>
  <c r="AB37" i="1" s="1"/>
  <c r="E37" i="1"/>
  <c r="AA37" i="1" s="1"/>
  <c r="D36" i="1"/>
  <c r="Z36" i="1" s="1"/>
  <c r="C37" i="1"/>
  <c r="Y37" i="1" s="1"/>
  <c r="J41" i="1"/>
  <c r="AF41" i="1" s="1"/>
  <c r="F36" i="1"/>
  <c r="AB36" i="1" s="1"/>
  <c r="C34" i="1"/>
  <c r="Y34" i="1" s="1"/>
  <c r="D38" i="1"/>
  <c r="Z38" i="1" s="1"/>
  <c r="F38" i="1"/>
  <c r="AB38" i="1" s="1"/>
  <c r="B38" i="1"/>
  <c r="X38" i="1" s="1"/>
  <c r="J38" i="1"/>
  <c r="AF38" i="1" s="1"/>
  <c r="E38" i="1"/>
  <c r="AA38" i="1" s="1"/>
  <c r="J36" i="1"/>
  <c r="AF36" i="1" s="1"/>
  <c r="E34" i="1"/>
  <c r="AA34" i="1" s="1"/>
  <c r="D34" i="1"/>
  <c r="Z34" i="1" s="1"/>
  <c r="I41" i="1"/>
  <c r="AE41" i="1" s="1"/>
  <c r="B37" i="1"/>
  <c r="X37" i="1" s="1"/>
  <c r="B36" i="1"/>
  <c r="X36" i="1" s="1"/>
  <c r="J37" i="1"/>
  <c r="AF37" i="1" s="1"/>
  <c r="E36" i="1"/>
  <c r="AA36" i="1" s="1"/>
  <c r="F34" i="1"/>
  <c r="AB34" i="1" s="1"/>
  <c r="B34" i="1"/>
  <c r="X34" i="1" s="1"/>
  <c r="J34" i="1"/>
  <c r="AF34" i="1" s="1"/>
  <c r="B35" i="1"/>
  <c r="X35" i="1" s="1"/>
  <c r="B33" i="1"/>
  <c r="X33" i="1" s="1"/>
  <c r="G33" i="1"/>
  <c r="AC33" i="1" s="1"/>
  <c r="D35" i="1"/>
  <c r="Z35" i="1" s="1"/>
  <c r="C35" i="1"/>
  <c r="Y35" i="1" s="1"/>
  <c r="E35" i="1"/>
  <c r="AA35" i="1" s="1"/>
  <c r="F33" i="1"/>
  <c r="AB33" i="1" s="1"/>
  <c r="F35" i="1"/>
  <c r="AB35" i="1" s="1"/>
  <c r="E33" i="1"/>
  <c r="AA33" i="1" s="1"/>
  <c r="D33" i="1"/>
  <c r="Z33" i="1" s="1"/>
  <c r="C33" i="1"/>
  <c r="Y33" i="1" s="1"/>
  <c r="J33" i="1"/>
  <c r="AF33" i="1" s="1"/>
  <c r="E41" i="1"/>
  <c r="AA41" i="1" s="1"/>
  <c r="D41" i="1"/>
  <c r="Z41" i="1" s="1"/>
  <c r="Q52" i="6" l="1"/>
  <c r="Q53" i="6"/>
</calcChain>
</file>

<file path=xl/sharedStrings.xml><?xml version="1.0" encoding="utf-8"?>
<sst xmlns="http://schemas.openxmlformats.org/spreadsheetml/2006/main" count="716" uniqueCount="285">
  <si>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</si>
  <si>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</si>
  <si>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</si>
  <si>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</si>
  <si>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</si>
  <si>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</si>
  <si>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</si>
  <si>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</si>
  <si>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</si>
  <si>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</si>
  <si>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</si>
  <si>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</si>
  <si>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</si>
  <si>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</si>
  <si>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</si>
  <si>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</si>
  <si>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</si>
  <si>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</si>
  <si>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</si>
  <si>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</si>
  <si>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</si>
  <si>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</si>
  <si>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</si>
  <si>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</si>
  <si>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</si>
  <si>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</si>
  <si>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</si>
  <si>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</si>
  <si>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</si>
  <si>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</si>
  <si>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</si>
  <si>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</si>
  <si>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</si>
  <si>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ShoppingTour Flows by County: DaySim</t>
  </si>
  <si>
    <t>Table X. Estimated Shopping Tour Flows by County: DaySim</t>
  </si>
  <si>
    <t>Table X. Observed Trip Durations: Survey</t>
  </si>
  <si>
    <t>Survey</t>
  </si>
  <si>
    <t>Table X. Observed Trip Lengths: Survey</t>
  </si>
  <si>
    <t>Table X. Observed Shopping Tour Flows by County: Survey</t>
  </si>
  <si>
    <t>Table X. Adjusted Observed Shopping Tour Flows by County: Survey</t>
  </si>
  <si>
    <t>Table X. Adjusted Shopping Business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</si>
  <si>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</si>
  <si>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</si>
  <si>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</si>
  <si>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</si>
  <si>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</si>
  <si>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</si>
  <si>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</si>
  <si>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</si>
  <si>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</si>
  <si>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</si>
  <si>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</si>
  <si>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</si>
  <si>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</si>
  <si>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</si>
  <si>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</si>
  <si>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</si>
  <si>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</si>
  <si>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</si>
  <si>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</si>
  <si>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</si>
  <si>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</si>
  <si>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</si>
  <si>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</si>
  <si>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</si>
  <si>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</si>
  <si>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</si>
  <si>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</si>
  <si>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</si>
  <si>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</si>
  <si>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</si>
  <si>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</si>
  <si>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</si>
  <si>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</si>
  <si>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</si>
  <si>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</si>
  <si>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</si>
  <si>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</si>
  <si>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</si>
  <si>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</si>
  <si>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</si>
  <si>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</si>
  <si>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</si>
  <si>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</si>
  <si>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</si>
  <si>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</si>
  <si>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</si>
  <si>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</si>
  <si>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</si>
  <si>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</si>
  <si>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</si>
  <si>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</si>
  <si>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</si>
  <si>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</si>
  <si>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</si>
  <si>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</si>
  <si>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</si>
  <si>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</si>
  <si>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</si>
  <si>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</si>
  <si>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</si>
  <si>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</si>
  <si>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</si>
  <si>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</si>
  <si>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</si>
  <si>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</si>
  <si>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</si>
  <si>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</si>
  <si>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</si>
  <si>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</si>
  <si>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</si>
  <si>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</si>
  <si>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</si>
  <si>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</si>
  <si>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</si>
  <si>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</si>
  <si>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</si>
  <si>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</si>
  <si>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</si>
  <si>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</si>
  <si>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</si>
  <si>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</si>
  <si>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</si>
  <si>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</si>
  <si>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</si>
  <si>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</si>
  <si>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</si>
  <si>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</si>
  <si>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</si>
  <si>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</si>
  <si>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</si>
  <si>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</si>
  <si>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</si>
  <si>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</si>
  <si>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</si>
  <si>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</si>
  <si>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</si>
  <si>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</si>
  <si>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</si>
  <si>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</si>
  <si>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</si>
  <si>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</si>
  <si>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</si>
  <si>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</si>
  <si>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</si>
  <si>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</si>
  <si>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</si>
  <si>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</si>
  <si>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</si>
  <si>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</si>
  <si>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</si>
  <si>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</si>
  <si>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</si>
  <si>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</si>
  <si>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</si>
  <si>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</si>
  <si>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</si>
  <si>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</si>
  <si>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</si>
  <si>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</si>
  <si>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</si>
  <si>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</si>
  <si>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</si>
  <si>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</si>
  <si>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</si>
  <si>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</si>
  <si>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</si>
  <si>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</si>
  <si>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</si>
  <si>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</si>
  <si>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</si>
  <si>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</si>
  <si>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</si>
  <si>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</si>
  <si>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</si>
  <si>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</si>
  <si>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</si>
  <si>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</si>
  <si>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</si>
  <si>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</si>
  <si>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</si>
  <si>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</si>
  <si>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</si>
  <si>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</si>
  <si>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</si>
  <si>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</si>
  <si>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</si>
  <si>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</si>
  <si>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</si>
  <si>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</si>
  <si>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</si>
  <si>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</si>
  <si>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</si>
  <si>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</si>
  <si>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</si>
  <si>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</si>
  <si>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</si>
  <si>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</si>
  <si>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</si>
  <si>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</si>
  <si>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</si>
  <si>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</si>
  <si>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</si>
  <si>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</si>
  <si>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</si>
  <si>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</si>
  <si>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</si>
  <si>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</si>
  <si>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</si>
  <si>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</si>
  <si>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</si>
  <si>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</si>
  <si>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</si>
  <si>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</si>
  <si>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</si>
  <si>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</si>
  <si>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</si>
  <si>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</si>
  <si>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</si>
  <si>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</si>
  <si>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</si>
  <si>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</si>
  <si>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</si>
  <si>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</si>
  <si>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</si>
  <si>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</si>
  <si>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</si>
  <si>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</si>
  <si>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</si>
  <si>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</si>
  <si>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</si>
  <si>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</si>
  <si>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</si>
  <si>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</si>
  <si>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</si>
  <si>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</si>
  <si>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</si>
  <si>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</si>
  <si>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</si>
  <si>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</si>
  <si>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</si>
  <si>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</si>
  <si>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</si>
  <si>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</si>
  <si>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</si>
  <si>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</si>
  <si>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</si>
  <si>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 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</si>
  <si>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</si>
  <si>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</si>
  <si>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</si>
  <si>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</si>
  <si>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</si>
  <si>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</si>
  <si>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</si>
  <si>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Index</t>
  </si>
  <si>
    <t>CALIBRATION</t>
  </si>
  <si>
    <t>RATIO</t>
  </si>
  <si>
    <t>LN(RATIO)</t>
  </si>
  <si>
    <t>ADJ</t>
  </si>
  <si>
    <t>Damp</t>
  </si>
  <si>
    <t>OtherTourDestinationModel.F12</t>
  </si>
  <si>
    <t>Tag</t>
  </si>
  <si>
    <t>Old</t>
  </si>
  <si>
    <t>New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</si>
  <si>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</si>
  <si>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</si>
  <si>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</si>
  <si>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</si>
  <si>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</si>
  <si>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</si>
  <si>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</si>
  <si>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</si>
  <si>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</si>
  <si>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</si>
  <si>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</si>
  <si>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</si>
  <si>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</si>
  <si>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Description</t>
  </si>
  <si>
    <t>ALL</t>
  </si>
  <si>
    <t>Beta00118</t>
  </si>
  <si>
    <t>Open "OtherTourDestinationModel.F12" in Notepad+</t>
  </si>
  <si>
    <t>v0402)</t>
  </si>
  <si>
    <t>Oct</t>
  </si>
  <si>
    <t>011:04:21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</si>
</sst>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#,##0.0"/>
    <numFmt numFmtId="172" formatCode="0.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2" fillId="0" borderId="0">
      <alignment wrapText="1"/>
    </xf>
    <xf numFmtId="0" fontId="3" fillId="2" borderId="0">
      <alignment wrapText="1"/>
    </xf>
    <xf numFmtId="165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5" fontId="3" fillId="0" borderId="0">
      <alignment wrapText="1"/>
    </xf>
    <xf numFmtId="43" fontId="3" fillId="0" borderId="0" applyFont="0" applyFill="0" applyBorder="0" applyAlignment="0" applyProtection="0"/>
  </cellStyleXfs>
  <cellXfs count="382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0" xfId="0" applyBorder="1"/>
    <xf numFmtId="0" fontId="0" fillId="0" borderId="3" xfId="0" applyFill="1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10" fontId="0" fillId="0" borderId="0" xfId="0" applyNumberFormat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1" xfId="0" applyNumberFormat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1" xfId="1" applyBorder="1" applyAlignment="1"/>
    <xf numFmtId="3" fontId="0" fillId="0" borderId="3" xfId="0" applyNumberFormat="1" applyFill="1" applyBorder="1"/>
    <xf numFmtId="0" fontId="4" fillId="0" borderId="0" xfId="0" applyFont="1"/>
    <xf numFmtId="1" fontId="0" fillId="0" borderId="0" xfId="0" applyNumberFormat="1" applyFont="1" applyAlignment="1">
      <alignment horizontal="right"/>
    </xf>
    <xf numFmtId="0" fontId="0" fillId="0" borderId="0" xfId="0" applyFont="1"/>
    <xf numFmtId="0" fontId="5" fillId="0" borderId="0" xfId="0" applyFont="1"/>
    <xf numFmtId="166" fontId="0" fillId="0" borderId="0" xfId="0" applyNumberFormat="1" applyFont="1"/>
    <xf numFmtId="0" fontId="0" fillId="0" borderId="2" xfId="0" applyFont="1" applyBorder="1" applyAlignment="1">
      <alignment horizontal="center" vertical="top"/>
    </xf>
    <xf numFmtId="1" fontId="0" fillId="0" borderId="2" xfId="0" applyNumberFormat="1" applyFont="1" applyBorder="1" applyAlignment="1">
      <alignment horizontal="center" vertical="top"/>
    </xf>
    <xf numFmtId="0" fontId="0" fillId="0" borderId="0" xfId="0" applyFont="1" applyBorder="1" applyAlignment="1">
      <alignment horizontal="center" vertical="top"/>
    </xf>
    <xf numFmtId="0" fontId="0" fillId="0" borderId="0" xfId="0" applyFont="1" applyBorder="1" applyAlignment="1">
      <alignment horizontal="left" vertical="top"/>
    </xf>
    <xf numFmtId="3" fontId="0" fillId="0" borderId="0" xfId="0" applyNumberFormat="1" applyFont="1" applyBorder="1" applyAlignment="1">
      <alignment horizontal="right" vertical="top"/>
    </xf>
    <xf numFmtId="1" fontId="0" fillId="0" borderId="0" xfId="0" applyNumberFormat="1" applyFont="1"/>
    <xf numFmtId="3" fontId="0" fillId="0" borderId="0" xfId="0" applyNumberFormat="1" applyFont="1"/>
    <xf numFmtId="3" fontId="0" fillId="0" borderId="0" xfId="0" applyNumberFormat="1" applyFont="1" applyAlignment="1">
      <alignment horizontal="right"/>
    </xf>
    <xf numFmtId="1" fontId="0" fillId="0" borderId="0" xfId="0" applyNumberFormat="1" applyFont="1" applyBorder="1"/>
    <xf numFmtId="3" fontId="0" fillId="0" borderId="3" xfId="0" applyNumberFormat="1" applyFont="1" applyBorder="1"/>
    <xf numFmtId="3" fontId="0" fillId="0" borderId="3" xfId="0" applyNumberFormat="1" applyFont="1" applyBorder="1" applyAlignment="1">
      <alignment horizontal="right"/>
    </xf>
    <xf numFmtId="1" fontId="0" fillId="0" borderId="0" xfId="0" applyNumberFormat="1" applyFont="1" applyFill="1" applyBorder="1"/>
    <xf numFmtId="3" fontId="0" fillId="0" borderId="4" xfId="0" applyNumberFormat="1" applyFont="1" applyFill="1" applyBorder="1"/>
    <xf numFmtId="3" fontId="0" fillId="0" borderId="4" xfId="0" applyNumberFormat="1" applyFont="1" applyFill="1" applyBorder="1" applyAlignment="1">
      <alignment horizontal="right"/>
    </xf>
    <xf numFmtId="0" fontId="0" fillId="0" borderId="0" xfId="0" applyFont="1" applyFill="1" applyBorder="1"/>
    <xf numFmtId="3" fontId="5" fillId="0" borderId="0" xfId="0" applyNumberFormat="1" applyFont="1" applyFill="1" applyBorder="1"/>
    <xf numFmtId="9" fontId="0" fillId="0" borderId="0" xfId="0" applyNumberFormat="1" applyFont="1"/>
    <xf numFmtId="164" fontId="0" fillId="0" borderId="0" xfId="0" applyNumberFormat="1" applyFont="1" applyBorder="1" applyAlignment="1">
      <alignment horizontal="right" vertical="top"/>
    </xf>
    <xf numFmtId="164" fontId="0" fillId="0" borderId="0" xfId="0" applyNumberFormat="1" applyFont="1" applyAlignment="1">
      <alignment horizontal="right"/>
    </xf>
    <xf numFmtId="9" fontId="0" fillId="0" borderId="0" xfId="0" applyNumberFormat="1" applyFont="1" applyBorder="1"/>
    <xf numFmtId="164" fontId="0" fillId="0" borderId="4" xfId="0" applyNumberFormat="1" applyFont="1" applyBorder="1" applyAlignment="1">
      <alignment horizontal="right"/>
    </xf>
    <xf numFmtId="0" fontId="6" fillId="0" borderId="0" xfId="0" applyFont="1"/>
    <xf numFmtId="0" fontId="7" fillId="0" borderId="0" xfId="0" applyFont="1"/>
    <xf numFmtId="0" fontId="6" fillId="0" borderId="2" xfId="0" applyFont="1" applyBorder="1" applyAlignment="1">
      <alignment horizontal="left"/>
    </xf>
    <xf numFmtId="1" fontId="6" fillId="0" borderId="2" xfId="0" applyNumberFormat="1" applyFont="1" applyBorder="1" applyAlignment="1">
      <alignment horizontal="right"/>
    </xf>
    <xf numFmtId="166" fontId="7" fillId="0" borderId="0" xfId="0" applyNumberFormat="1" applyFont="1" applyAlignment="1">
      <alignment horizontal="right"/>
    </xf>
    <xf numFmtId="3" fontId="0" fillId="0" borderId="1" xfId="0" applyNumberFormat="1" applyFont="1" applyBorder="1"/>
    <xf numFmtId="166" fontId="7" fillId="0" borderId="1" xfId="0" applyNumberFormat="1" applyFont="1" applyBorder="1" applyAlignment="1">
      <alignment horizontal="right"/>
    </xf>
    <xf numFmtId="1" fontId="7" fillId="0" borderId="0" xfId="0" applyNumberFormat="1" applyFont="1" applyAlignment="1">
      <alignment horizontal="right"/>
    </xf>
    <xf numFmtId="1" fontId="6" fillId="0" borderId="0" xfId="0" applyNumberFormat="1" applyFont="1" applyAlignment="1">
      <alignment horizontal="right"/>
    </xf>
    <xf numFmtId="167" fontId="0" fillId="0" borderId="0" xfId="0" applyNumberFormat="1" applyFont="1" applyAlignment="1">
      <alignment horizontal="right"/>
    </xf>
    <xf numFmtId="168" fontId="0" fillId="0" borderId="0" xfId="0" applyNumberFormat="1" applyFont="1" applyAlignment="1">
      <alignment horizontal="right"/>
    </xf>
    <xf numFmtId="166" fontId="6" fillId="0" borderId="0" xfId="0" applyNumberFormat="1" applyFont="1" applyAlignment="1">
      <alignment horizontal="right"/>
    </xf>
    <xf numFmtId="166" fontId="6" fillId="0" borderId="2" xfId="0" applyNumberFormat="1" applyFont="1" applyBorder="1" applyAlignment="1">
      <alignment horizontal="right"/>
    </xf>
    <xf numFmtId="0" fontId="0" fillId="0" borderId="0" xfId="0" applyFont="1" applyFill="1"/>
    <xf numFmtId="167" fontId="0" fillId="0" borderId="0" xfId="0" applyNumberFormat="1" applyFont="1"/>
    <xf numFmtId="21" fontId="0" fillId="0" borderId="0" xfId="0" applyNumberFormat="1"/>
    <xf numFmtId="11" fontId="0" fillId="0" borderId="0" xfId="0" applyNumberFormat="1"/>
    <xf numFmtId="167" fontId="0" fillId="3" borderId="0" xfId="0" applyNumberFormat="1" applyFont="1" applyFill="1"/>
    <xf numFmtId="0" fontId="0" fillId="4" borderId="0" xfId="0" applyFont="1" applyFill="1"/>
    <xf numFmtId="166" fontId="0" fillId="4" borderId="0" xfId="0" applyNumberFormat="1" applyFont="1" applyFill="1"/>
    <xf numFmtId="167" fontId="0" fillId="4" borderId="0" xfId="0" applyNumberFormat="1" applyFont="1" applyFill="1"/>
    <xf numFmtId="169" fontId="0" fillId="0" borderId="0" xfId="8" applyNumberFormat="1" applyFont="1"/>
    <xf numFmtId="169" fontId="0" fillId="0" borderId="1" xfId="8" applyNumberFormat="1" applyFont="1" applyBorder="1"/>
    <xf numFmtId="169" fontId="2" fillId="0" borderId="0" xfId="8" applyNumberFormat="1" applyFont="1" applyAlignment="1"/>
    <xf numFmtId="169" fontId="2" fillId="0" borderId="1" xfId="8" applyNumberFormat="1" applyFont="1" applyBorder="1" applyAlignment="1"/>
    <xf numFmtId="0" fontId="1" fillId="0" borderId="2" xfId="0" applyFont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1" xfId="0" applyFont="1" applyBorder="1" applyAlignment="1">
      <alignment horizontal="left"/>
    </xf>
    <xf numFmtId="0" fontId="0" fillId="0" borderId="5" xfId="0" applyFont="1" applyBorder="1" applyAlignment="1">
      <alignment horizontal="left"/>
    </xf>
    <xf numFmtId="0" fontId="0" fillId="0" borderId="1" xfId="0" applyFont="1" applyBorder="1"/>
    <xf numFmtId="1" fontId="0" fillId="0" borderId="0" xfId="0" applyNumberFormat="1" applyFont="1" applyBorder="1" applyAlignment="1">
      <alignment horizontal="center" vertical="top"/>
    </xf>
    <xf numFmtId="3" fontId="0" fillId="0" borderId="0" xfId="0" applyNumberFormat="1" applyFont="1" applyBorder="1" applyAlignment="1">
      <alignment horizontal="right"/>
    </xf>
    <xf numFmtId="3" fontId="0" fillId="0" borderId="0" xfId="0" applyNumberFormat="1" applyFont="1" applyFill="1" applyBorder="1" applyAlignment="1">
      <alignment horizontal="right"/>
    </xf>
    <xf numFmtId="164" fontId="0" fillId="0" borderId="0" xfId="0" applyNumberFormat="1" applyFont="1" applyBorder="1" applyAlignment="1">
      <alignment horizontal="right"/>
    </xf>
    <xf numFmtId="1" fontId="5" fillId="0" borderId="1" xfId="0" applyNumberFormat="1" applyFont="1" applyBorder="1" applyAlignment="1">
      <alignment horizontal="left"/>
    </xf>
    <xf numFmtId="1" fontId="0" fillId="0" borderId="1" xfId="0" applyNumberFormat="1" applyFont="1" applyBorder="1" applyAlignment="1">
      <alignment horizontal="right"/>
    </xf>
    <xf numFmtId="2" fontId="0" fillId="0" borderId="0" xfId="0" applyNumberFormat="1" applyFont="1" applyBorder="1" applyAlignment="1">
      <alignment horizontal="right" vertical="top"/>
    </xf>
    <xf numFmtId="170" fontId="0" fillId="0" borderId="0" xfId="0" applyNumberFormat="1" applyFont="1" applyBorder="1" applyAlignment="1">
      <alignment horizontal="right" vertical="top"/>
    </xf>
    <xf numFmtId="2" fontId="0" fillId="0" borderId="1" xfId="0" applyNumberFormat="1" applyFont="1" applyBorder="1" applyAlignment="1">
      <alignment horizontal="right" vertical="top"/>
    </xf>
    <xf numFmtId="170" fontId="0" fillId="0" borderId="1" xfId="0" applyNumberFormat="1" applyFont="1" applyBorder="1" applyAlignment="1">
      <alignment horizontal="right" vertical="top"/>
    </xf>
    <xf numFmtId="171" fontId="0" fillId="5" borderId="0" xfId="0" applyNumberFormat="1" applyFont="1" applyFill="1" applyBorder="1" applyAlignment="1">
      <alignment horizontal="right"/>
    </xf>
    <xf numFmtId="2" fontId="0" fillId="0" borderId="0" xfId="0" applyNumberFormat="1" applyFont="1" applyBorder="1" applyAlignment="1">
      <alignment horizontal="right"/>
    </xf>
    <xf numFmtId="172" fontId="0" fillId="0" borderId="0" xfId="0" applyNumberFormat="1" applyFont="1" applyAlignment="1">
      <alignment horizontal="right"/>
    </xf>
    <xf numFmtId="166" fontId="1" fillId="0" borderId="0" xfId="0" applyNumberFormat="1" applyFont="1" applyAlignment="1">
      <alignment horizontal="right"/>
    </xf>
    <xf numFmtId="167" fontId="1" fillId="0" borderId="0" xfId="0" applyNumberFormat="1" applyFont="1" applyAlignment="1">
      <alignment horizontal="right"/>
    </xf>
    <xf numFmtId="0" fontId="8" fillId="0" borderId="0" xfId="0" applyFont="1"/>
    <xf numFmtId="0" fontId="5" fillId="6" borderId="6" xfId="0" applyFont="1" applyFill="1" applyBorder="1"/>
    <xf numFmtId="0" fontId="7" fillId="6" borderId="7" xfId="0" applyFont="1" applyFill="1" applyBorder="1"/>
    <xf numFmtId="0" fontId="7" fillId="6" borderId="8" xfId="0" applyFont="1" applyFill="1" applyBorder="1"/>
    <xf numFmtId="0" fontId="7" fillId="6" borderId="9" xfId="0" applyFont="1" applyFill="1" applyBorder="1"/>
    <xf numFmtId="0" fontId="7" fillId="6" borderId="0" xfId="0" applyFont="1" applyFill="1" applyBorder="1"/>
    <xf numFmtId="0" fontId="7" fillId="6" borderId="10" xfId="0" applyFont="1" applyFill="1" applyBorder="1"/>
    <xf numFmtId="0" fontId="7" fillId="6" borderId="11" xfId="0" applyFont="1" applyFill="1" applyBorder="1"/>
    <xf numFmtId="0" fontId="7" fillId="6" borderId="3" xfId="0" applyFont="1" applyFill="1" applyBorder="1"/>
    <xf numFmtId="0" fontId="7" fillId="6" borderId="12" xfId="0" applyFont="1" applyFill="1" applyBorder="1"/>
    <xf numFmtId="166" fontId="0" fillId="0" borderId="0" xfId="0" applyNumberFormat="1" applyFont="1" applyFill="1"/>
    <xf numFmtId="166" fontId="7" fillId="7" borderId="0" xfId="0" applyNumberFormat="1" applyFont="1" applyFill="1" applyAlignment="1">
      <alignment horizontal="right"/>
    </xf>
    <xf numFmtId="166" fontId="7" fillId="7" borderId="1" xfId="0" applyNumberFormat="1" applyFont="1" applyFill="1" applyBorder="1" applyAlignment="1">
      <alignment horizontal="right"/>
    </xf>
    <xf numFmtId="166" fontId="7" fillId="0" borderId="7" xfId="0" applyNumberFormat="1" applyFont="1" applyBorder="1" applyAlignment="1">
      <alignment horizontal="right"/>
    </xf>
    <xf numFmtId="166" fontId="7" fillId="0" borderId="0" xfId="0" applyNumberFormat="1" applyFont="1" applyBorder="1" applyAlignment="1">
      <alignment horizontal="right"/>
    </xf>
    <xf numFmtId="166" fontId="7" fillId="3" borderId="0" xfId="0" applyNumberFormat="1" applyFont="1" applyFill="1" applyAlignment="1">
      <alignment horizontal="right"/>
    </xf>
    <xf numFmtId="166" fontId="7" fillId="3" borderId="1" xfId="0" applyNumberFormat="1" applyFont="1" applyFill="1" applyBorder="1" applyAlignment="1">
      <alignment horizontal="right"/>
    </xf>
  </cellXfs>
  <cellStyles count="9">
    <cellStyle name="Comma" xfId="8" builtinId="3"/>
    <cellStyle name="Normal" xfId="0" builtinId="0"/>
    <cellStyle name="XLConnect.Boolean" xfId="6" xr:uid="{00000000-0005-0000-0000-000002000000}"/>
    <cellStyle name="XLConnect.Date" xfId="3" xr:uid="{00000000-0005-0000-0000-000003000000}"/>
    <cellStyle name="XLConnect.DateTime" xfId="7" xr:uid="{00000000-0005-0000-0000-000004000000}"/>
    <cellStyle name="XLConnect.General" xfId="1" xr:uid="{00000000-0005-0000-0000-000005000000}"/>
    <cellStyle name="XLConnect.Header" xfId="2" xr:uid="{00000000-0005-0000-0000-000006000000}"/>
    <cellStyle name="XLConnect.Numeric" xfId="5" xr:uid="{00000000-0005-0000-0000-000007000000}"/>
    <cellStyle name="XLConnect.String" xfId="4" xr:uid="{00000000-0005-0000-0000-000008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Shopping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3.3792264370698571E-2</c:v>
                </c:pt>
                <c:pt idx="1">
                  <c:v>5.4844825397588261E-2</c:v>
                </c:pt>
                <c:pt idx="2">
                  <c:v>7.1243427693169034E-2</c:v>
                </c:pt>
                <c:pt idx="3">
                  <c:v>0.11149876199853537</c:v>
                </c:pt>
                <c:pt idx="4">
                  <c:v>0.2315889709745762</c:v>
                </c:pt>
                <c:pt idx="5">
                  <c:v>0.11870372474404918</c:v>
                </c:pt>
                <c:pt idx="6">
                  <c:v>0.14440233124297966</c:v>
                </c:pt>
                <c:pt idx="7">
                  <c:v>3.9010524194174293E-2</c:v>
                </c:pt>
                <c:pt idx="8">
                  <c:v>4.656892435643787E-2</c:v>
                </c:pt>
                <c:pt idx="9">
                  <c:v>2.9943211467801403E-2</c:v>
                </c:pt>
                <c:pt idx="10">
                  <c:v>4.407094689345014E-2</c:v>
                </c:pt>
                <c:pt idx="11">
                  <c:v>1.2546115919171848E-2</c:v>
                </c:pt>
                <c:pt idx="12">
                  <c:v>5.7379983732213646E-3</c:v>
                </c:pt>
                <c:pt idx="13">
                  <c:v>4.4632309982139996E-3</c:v>
                </c:pt>
                <c:pt idx="14">
                  <c:v>7.1946397291233616E-3</c:v>
                </c:pt>
                <c:pt idx="15">
                  <c:v>6.8372854639192678E-3</c:v>
                </c:pt>
                <c:pt idx="16">
                  <c:v>6.5928986509542981E-3</c:v>
                </c:pt>
                <c:pt idx="17">
                  <c:v>4.3053148375877554E-3</c:v>
                </c:pt>
                <c:pt idx="18">
                  <c:v>1.4368165462305287E-3</c:v>
                </c:pt>
                <c:pt idx="19">
                  <c:v>8.7258080370456663E-4</c:v>
                </c:pt>
                <c:pt idx="20">
                  <c:v>2.0768431869907139E-4</c:v>
                </c:pt>
                <c:pt idx="21">
                  <c:v>0</c:v>
                </c:pt>
                <c:pt idx="22">
                  <c:v>3.2281675688435743E-3</c:v>
                </c:pt>
                <c:pt idx="23">
                  <c:v>1.0159192336205841E-3</c:v>
                </c:pt>
                <c:pt idx="24">
                  <c:v>1.7052351171693235E-3</c:v>
                </c:pt>
                <c:pt idx="25">
                  <c:v>0</c:v>
                </c:pt>
                <c:pt idx="26">
                  <c:v>1.3180468998200088E-2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1.2838301711119459E-3</c:v>
                </c:pt>
                <c:pt idx="32">
                  <c:v>6.7018510384683413E-4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2.6414404929734909E-4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3.6132901501026665E-4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6.4151350183615588E-4</c:v>
                </c:pt>
                <c:pt idx="55">
                  <c:v>0</c:v>
                </c:pt>
                <c:pt idx="56">
                  <c:v>9.649438743696753E-4</c:v>
                </c:pt>
                <c:pt idx="57">
                  <c:v>8.2178439240814145E-4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CA-445B-8E41-C9F7C4E75D3F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0.16832322676601982</c:v>
                </c:pt>
                <c:pt idx="1">
                  <c:v>0.11852933601403458</c:v>
                </c:pt>
                <c:pt idx="2">
                  <c:v>8.1327189834910329E-2</c:v>
                </c:pt>
                <c:pt idx="3">
                  <c:v>5.0822751440472387E-2</c:v>
                </c:pt>
                <c:pt idx="4">
                  <c:v>0.15079079338238963</c:v>
                </c:pt>
                <c:pt idx="5">
                  <c:v>9.1623887367397655E-2</c:v>
                </c:pt>
                <c:pt idx="6">
                  <c:v>7.5578784703821622E-2</c:v>
                </c:pt>
                <c:pt idx="7">
                  <c:v>7.3863567409253275E-2</c:v>
                </c:pt>
                <c:pt idx="8">
                  <c:v>5.2225130360559709E-2</c:v>
                </c:pt>
                <c:pt idx="9">
                  <c:v>2.0457202496773855E-2</c:v>
                </c:pt>
                <c:pt idx="10">
                  <c:v>1.7664580628023036E-2</c:v>
                </c:pt>
                <c:pt idx="11">
                  <c:v>2.2061847607258388E-2</c:v>
                </c:pt>
                <c:pt idx="12">
                  <c:v>1.3697466413699084E-2</c:v>
                </c:pt>
                <c:pt idx="13">
                  <c:v>1.6832592364855844E-2</c:v>
                </c:pt>
                <c:pt idx="14">
                  <c:v>7.5917243462419615E-3</c:v>
                </c:pt>
                <c:pt idx="15">
                  <c:v>1.512816260044202E-2</c:v>
                </c:pt>
                <c:pt idx="16">
                  <c:v>3.4452674430991495E-3</c:v>
                </c:pt>
                <c:pt idx="17">
                  <c:v>5.4517480518394765E-3</c:v>
                </c:pt>
                <c:pt idx="18">
                  <c:v>2.3125767768747718E-3</c:v>
                </c:pt>
                <c:pt idx="19">
                  <c:v>1.4778916311689503E-3</c:v>
                </c:pt>
                <c:pt idx="20">
                  <c:v>2.326061189567919E-3</c:v>
                </c:pt>
                <c:pt idx="21">
                  <c:v>1.5534043422505755E-3</c:v>
                </c:pt>
                <c:pt idx="22">
                  <c:v>7.9018658381843512E-4</c:v>
                </c:pt>
                <c:pt idx="23">
                  <c:v>6.5803933942559095E-4</c:v>
                </c:pt>
                <c:pt idx="24">
                  <c:v>1.4603618946678588E-3</c:v>
                </c:pt>
                <c:pt idx="25">
                  <c:v>7.0523478385160678E-4</c:v>
                </c:pt>
                <c:pt idx="26">
                  <c:v>1.1596594916106727E-3</c:v>
                </c:pt>
                <c:pt idx="27">
                  <c:v>4.2206211729551224E-4</c:v>
                </c:pt>
                <c:pt idx="28">
                  <c:v>3.3711031732868389E-4</c:v>
                </c:pt>
                <c:pt idx="29">
                  <c:v>4.058808220637354E-4</c:v>
                </c:pt>
                <c:pt idx="30">
                  <c:v>3.1553525701964811E-4</c:v>
                </c:pt>
                <c:pt idx="31">
                  <c:v>1.1461750789175253E-4</c:v>
                </c:pt>
                <c:pt idx="32">
                  <c:v>2.1170527928241349E-4</c:v>
                </c:pt>
                <c:pt idx="33">
                  <c:v>3.9104796810127337E-5</c:v>
                </c:pt>
                <c:pt idx="34">
                  <c:v>5.6634533311218897E-5</c:v>
                </c:pt>
                <c:pt idx="35">
                  <c:v>2.5620384116979976E-5</c:v>
                </c:pt>
                <c:pt idx="36">
                  <c:v>1.0787530154517885E-4</c:v>
                </c:pt>
                <c:pt idx="37">
                  <c:v>2.8317266655609448E-5</c:v>
                </c:pt>
                <c:pt idx="38">
                  <c:v>2.8317266655609448E-5</c:v>
                </c:pt>
                <c:pt idx="39">
                  <c:v>1.3484412693147356E-5</c:v>
                </c:pt>
                <c:pt idx="40">
                  <c:v>1.3484412693147356E-6</c:v>
                </c:pt>
                <c:pt idx="41">
                  <c:v>6.742206346573678E-6</c:v>
                </c:pt>
                <c:pt idx="42">
                  <c:v>8.0906476158884136E-6</c:v>
                </c:pt>
                <c:pt idx="43">
                  <c:v>2.6968825386294712E-6</c:v>
                </c:pt>
                <c:pt idx="44">
                  <c:v>0</c:v>
                </c:pt>
                <c:pt idx="45">
                  <c:v>2.6968825386294712E-6</c:v>
                </c:pt>
                <c:pt idx="46">
                  <c:v>2.6968825386294712E-6</c:v>
                </c:pt>
                <c:pt idx="47">
                  <c:v>4.0453238079442068E-6</c:v>
                </c:pt>
                <c:pt idx="48">
                  <c:v>0</c:v>
                </c:pt>
                <c:pt idx="49">
                  <c:v>0</c:v>
                </c:pt>
                <c:pt idx="50">
                  <c:v>4.0453238079442068E-6</c:v>
                </c:pt>
                <c:pt idx="51">
                  <c:v>0</c:v>
                </c:pt>
                <c:pt idx="52">
                  <c:v>1.3484412693147356E-6</c:v>
                </c:pt>
                <c:pt idx="53">
                  <c:v>0</c:v>
                </c:pt>
                <c:pt idx="54">
                  <c:v>1.3484412693147356E-6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CA-445B-8E41-C9F7C4E75D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4661656"/>
        <c:axId val="344662048"/>
      </c:lineChart>
      <c:catAx>
        <c:axId val="3446616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344662048"/>
        <c:crosses val="autoZero"/>
        <c:auto val="1"/>
        <c:lblAlgn val="ctr"/>
        <c:lblOffset val="100"/>
        <c:tickLblSkip val="10"/>
        <c:noMultiLvlLbl val="0"/>
      </c:catAx>
      <c:valAx>
        <c:axId val="34466204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 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344661656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1.7516892902937368E-3</c:v>
                </c:pt>
                <c:pt idx="2">
                  <c:v>5.375022304364545E-3</c:v>
                </c:pt>
                <c:pt idx="3">
                  <c:v>3.817094805128238E-3</c:v>
                </c:pt>
                <c:pt idx="4">
                  <c:v>1.3856257787509851E-2</c:v>
                </c:pt>
                <c:pt idx="5">
                  <c:v>2.8341813204943965E-2</c:v>
                </c:pt>
                <c:pt idx="6">
                  <c:v>1.1545354338456904E-2</c:v>
                </c:pt>
                <c:pt idx="7">
                  <c:v>2.3320497665309949E-2</c:v>
                </c:pt>
                <c:pt idx="8">
                  <c:v>8.0246098191349684E-3</c:v>
                </c:pt>
                <c:pt idx="9">
                  <c:v>1.2491300773986204E-2</c:v>
                </c:pt>
                <c:pt idx="10">
                  <c:v>1.0619858892807116E-2</c:v>
                </c:pt>
                <c:pt idx="11">
                  <c:v>1.4475583411985595E-2</c:v>
                </c:pt>
                <c:pt idx="12">
                  <c:v>2.2079208855273681E-2</c:v>
                </c:pt>
                <c:pt idx="13">
                  <c:v>3.3588576523464177E-2</c:v>
                </c:pt>
                <c:pt idx="14">
                  <c:v>2.3181618634354695E-2</c:v>
                </c:pt>
                <c:pt idx="15">
                  <c:v>1.2216140129587074E-2</c:v>
                </c:pt>
                <c:pt idx="16">
                  <c:v>4.286689188854155E-2</c:v>
                </c:pt>
                <c:pt idx="17">
                  <c:v>2.7270087295846773E-2</c:v>
                </c:pt>
                <c:pt idx="18">
                  <c:v>0.12567330211842484</c:v>
                </c:pt>
                <c:pt idx="19">
                  <c:v>5.6100521383492044E-2</c:v>
                </c:pt>
                <c:pt idx="20">
                  <c:v>7.6812163885463303E-2</c:v>
                </c:pt>
                <c:pt idx="21">
                  <c:v>7.061683037884689E-2</c:v>
                </c:pt>
                <c:pt idx="22">
                  <c:v>5.6195878928019645E-2</c:v>
                </c:pt>
                <c:pt idx="23">
                  <c:v>2.666689760512387E-2</c:v>
                </c:pt>
                <c:pt idx="24">
                  <c:v>2.1261579710412745E-2</c:v>
                </c:pt>
                <c:pt idx="25">
                  <c:v>1.5507474624609314E-2</c:v>
                </c:pt>
                <c:pt idx="26">
                  <c:v>7.183390513302057E-2</c:v>
                </c:pt>
                <c:pt idx="27">
                  <c:v>8.4717477878141594E-3</c:v>
                </c:pt>
                <c:pt idx="28">
                  <c:v>2.6486774434350605E-2</c:v>
                </c:pt>
                <c:pt idx="29">
                  <c:v>1.0203965133940363E-2</c:v>
                </c:pt>
                <c:pt idx="30">
                  <c:v>3.9263726585382908E-3</c:v>
                </c:pt>
                <c:pt idx="31">
                  <c:v>4.6548715049969285E-3</c:v>
                </c:pt>
                <c:pt idx="32">
                  <c:v>5.8620306307551493E-3</c:v>
                </c:pt>
                <c:pt idx="33">
                  <c:v>5.5565518610558072E-3</c:v>
                </c:pt>
                <c:pt idx="34">
                  <c:v>1.0981230804829604E-2</c:v>
                </c:pt>
                <c:pt idx="35">
                  <c:v>2.0907867354633685E-3</c:v>
                </c:pt>
                <c:pt idx="36">
                  <c:v>2.051939630561763E-3</c:v>
                </c:pt>
                <c:pt idx="37">
                  <c:v>1.5044794473363996E-2</c:v>
                </c:pt>
                <c:pt idx="38">
                  <c:v>1.2540700469479743E-2</c:v>
                </c:pt>
                <c:pt idx="39">
                  <c:v>1.5762453072464566E-3</c:v>
                </c:pt>
                <c:pt idx="40">
                  <c:v>7.4452722805074521E-4</c:v>
                </c:pt>
                <c:pt idx="41">
                  <c:v>3.6159981822715464E-3</c:v>
                </c:pt>
                <c:pt idx="42">
                  <c:v>1.7258013282091813E-3</c:v>
                </c:pt>
                <c:pt idx="43">
                  <c:v>0</c:v>
                </c:pt>
                <c:pt idx="44">
                  <c:v>2.2691086201241927E-4</c:v>
                </c:pt>
                <c:pt idx="45">
                  <c:v>4.0474306494623351E-2</c:v>
                </c:pt>
                <c:pt idx="46">
                  <c:v>2.3187066389564227E-3</c:v>
                </c:pt>
                <c:pt idx="47">
                  <c:v>1.931798065724172E-3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1.5726094189963324E-3</c:v>
                </c:pt>
                <c:pt idx="53">
                  <c:v>0</c:v>
                </c:pt>
                <c:pt idx="54">
                  <c:v>1.5189821170501669E-2</c:v>
                </c:pt>
                <c:pt idx="55">
                  <c:v>2.6414404929734909E-4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9.2927198029633799E-4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40-4CFB-A8A7-E3AB5DF27A3A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2.2020045927909633E-2</c:v>
                </c:pt>
                <c:pt idx="1">
                  <c:v>3.4493127669070936E-2</c:v>
                </c:pt>
                <c:pt idx="2">
                  <c:v>4.374208633530071E-2</c:v>
                </c:pt>
                <c:pt idx="3">
                  <c:v>4.3767706719417689E-2</c:v>
                </c:pt>
                <c:pt idx="4">
                  <c:v>3.8907924384807384E-2</c:v>
                </c:pt>
                <c:pt idx="5">
                  <c:v>3.4694045418198836E-2</c:v>
                </c:pt>
                <c:pt idx="6">
                  <c:v>3.1438908194073065E-2</c:v>
                </c:pt>
                <c:pt idx="7">
                  <c:v>2.9594240537650501E-2</c:v>
                </c:pt>
                <c:pt idx="8">
                  <c:v>2.5415421044044137E-2</c:v>
                </c:pt>
                <c:pt idx="9">
                  <c:v>2.3570753387621581E-2</c:v>
                </c:pt>
                <c:pt idx="10">
                  <c:v>2.1875762712092958E-2</c:v>
                </c:pt>
                <c:pt idx="11">
                  <c:v>1.9506551401906966E-2</c:v>
                </c:pt>
                <c:pt idx="12">
                  <c:v>1.803540197708459E-2</c:v>
                </c:pt>
                <c:pt idx="13">
                  <c:v>1.5587981073278344E-2</c:v>
                </c:pt>
                <c:pt idx="14">
                  <c:v>1.4476865467363001E-2</c:v>
                </c:pt>
                <c:pt idx="15">
                  <c:v>1.2255982696801632E-2</c:v>
                </c:pt>
                <c:pt idx="16">
                  <c:v>1.2326101642805998E-2</c:v>
                </c:pt>
                <c:pt idx="17">
                  <c:v>1.0560992021273009E-2</c:v>
                </c:pt>
                <c:pt idx="18">
                  <c:v>9.6889550524071694E-2</c:v>
                </c:pt>
                <c:pt idx="19">
                  <c:v>3.4441886900836979E-2</c:v>
                </c:pt>
                <c:pt idx="20">
                  <c:v>3.7479925080603077E-2</c:v>
                </c:pt>
                <c:pt idx="21">
                  <c:v>3.8061103267677726E-2</c:v>
                </c:pt>
                <c:pt idx="22">
                  <c:v>3.8782519346761114E-2</c:v>
                </c:pt>
                <c:pt idx="23">
                  <c:v>2.7885765449428734E-2</c:v>
                </c:pt>
                <c:pt idx="24">
                  <c:v>2.2334232743659966E-2</c:v>
                </c:pt>
                <c:pt idx="25">
                  <c:v>3.2512267444447594E-2</c:v>
                </c:pt>
                <c:pt idx="26">
                  <c:v>1.5405941501920855E-2</c:v>
                </c:pt>
                <c:pt idx="27">
                  <c:v>2.105725886161891E-2</c:v>
                </c:pt>
                <c:pt idx="28">
                  <c:v>1.3608469289924312E-2</c:v>
                </c:pt>
                <c:pt idx="29">
                  <c:v>1.4950168352892474E-2</c:v>
                </c:pt>
                <c:pt idx="30">
                  <c:v>3.3009842272824726E-2</c:v>
                </c:pt>
                <c:pt idx="31">
                  <c:v>1.4346066664239472E-2</c:v>
                </c:pt>
                <c:pt idx="32">
                  <c:v>1.8991446837028737E-2</c:v>
                </c:pt>
                <c:pt idx="33">
                  <c:v>2.157236342649714E-2</c:v>
                </c:pt>
                <c:pt idx="34">
                  <c:v>8.2875200412083645E-3</c:v>
                </c:pt>
                <c:pt idx="35">
                  <c:v>4.4619921601624602E-3</c:v>
                </c:pt>
                <c:pt idx="36">
                  <c:v>5.7578442199739208E-3</c:v>
                </c:pt>
                <c:pt idx="37">
                  <c:v>6.2446315181965409E-3</c:v>
                </c:pt>
                <c:pt idx="38">
                  <c:v>8.6017068569586991E-3</c:v>
                </c:pt>
                <c:pt idx="39">
                  <c:v>4.1451084618734976E-3</c:v>
                </c:pt>
                <c:pt idx="40">
                  <c:v>3.1135508908477247E-3</c:v>
                </c:pt>
                <c:pt idx="41">
                  <c:v>7.0361665432842908E-3</c:v>
                </c:pt>
                <c:pt idx="42">
                  <c:v>1.882424011963371E-3</c:v>
                </c:pt>
                <c:pt idx="43">
                  <c:v>2.1561575896342621E-3</c:v>
                </c:pt>
                <c:pt idx="44">
                  <c:v>4.4512046300079419E-3</c:v>
                </c:pt>
                <c:pt idx="45">
                  <c:v>1.4091211264338987E-3</c:v>
                </c:pt>
                <c:pt idx="46">
                  <c:v>1.8096081834203751E-3</c:v>
                </c:pt>
                <c:pt idx="47">
                  <c:v>1.882424011963371E-3</c:v>
                </c:pt>
                <c:pt idx="48">
                  <c:v>8.8188059013183709E-4</c:v>
                </c:pt>
                <c:pt idx="49">
                  <c:v>7.7670217112528776E-4</c:v>
                </c:pt>
                <c:pt idx="50">
                  <c:v>4.1531991094893855E-4</c:v>
                </c:pt>
                <c:pt idx="51">
                  <c:v>3.4520096494457231E-4</c:v>
                </c:pt>
                <c:pt idx="52">
                  <c:v>3.5464005382977547E-4</c:v>
                </c:pt>
                <c:pt idx="53">
                  <c:v>2.9935396178787133E-4</c:v>
                </c:pt>
                <c:pt idx="54">
                  <c:v>3.9779017444784703E-4</c:v>
                </c:pt>
                <c:pt idx="55">
                  <c:v>4.3015276491140066E-4</c:v>
                </c:pt>
                <c:pt idx="56">
                  <c:v>4.3150120618071539E-4</c:v>
                </c:pt>
                <c:pt idx="57">
                  <c:v>1.4293477454736198E-4</c:v>
                </c:pt>
                <c:pt idx="58">
                  <c:v>1.0382997773723464E-4</c:v>
                </c:pt>
                <c:pt idx="59">
                  <c:v>9.708777139066097E-5</c:v>
                </c:pt>
                <c:pt idx="60">
                  <c:v>6.6073622196422045E-5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40-4CFB-A8A7-E3AB5DF27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4662832"/>
        <c:axId val="371274696"/>
      </c:lineChart>
      <c:catAx>
        <c:axId val="344662832"/>
        <c:scaling>
          <c:orientation val="minMax"/>
        </c:scaling>
        <c:delete val="0"/>
        <c:axPos val="b"/>
        <c:majorTickMark val="none"/>
        <c:minorTickMark val="none"/>
        <c:tickLblPos val="nextTo"/>
        <c:crossAx val="371274696"/>
        <c:crosses val="autoZero"/>
        <c:auto val="1"/>
        <c:lblAlgn val="ctr"/>
        <c:lblOffset val="100"/>
        <c:tickLblSkip val="10"/>
        <c:noMultiLvlLbl val="0"/>
      </c:catAx>
      <c:valAx>
        <c:axId val="371274696"/>
        <c:scaling>
          <c:orientation val="minMax"/>
          <c:max val="0.1500000000000002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34466283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/Relationships>
</file>

<file path=xl/drawings/_rels/drawing2.xml.rels><?xml version="1.0" encoding="UTF-8" standalone="no"?><Relationships xmlns="http://schemas.openxmlformats.org/package/2006/relationships"><Relationship Id="rId1" Target="../charts/chart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152400</xdr:colOff>
      <xdr:row>13</xdr:row>
      <xdr:rowOff>38100</xdr:rowOff>
    </xdr:from>
    <xdr:to>
      <xdr:col>16</xdr:col>
      <xdr:colOff>247650</xdr:colOff>
      <xdr:row>27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6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5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02"/>
  <sheetViews>
    <sheetView workbookViewId="0">
      <selection activeCell="L31" sqref="L31"/>
    </sheetView>
  </sheetViews>
  <sheetFormatPr defaultRowHeight="14.25" x14ac:dyDescent="0.45"/>
  <cols>
    <col min="1" max="1" customWidth="true" width="13.59765625" collapsed="true"/>
    <col min="2" max="2" bestFit="true" customWidth="true" width="10.59765625" collapsed="true"/>
    <col min="6" max="6" bestFit="true" customWidth="true" width="10.59765625" collapsed="true"/>
    <col min="12" max="12" bestFit="true" customWidth="true" width="15.73046875" collapsed="true"/>
  </cols>
  <sheetData>
    <row r="1" spans="1:12" x14ac:dyDescent="0.45">
      <c r="A1" t="s">
        <v>1</v>
      </c>
    </row>
    <row r="2" spans="1:12" x14ac:dyDescent="0.45">
      <c r="A2" t="s">
        <v>244</v>
      </c>
    </row>
    <row r="3" spans="1:12" x14ac:dyDescent="0.45">
      <c r="A3" t="s">
        <v>245</v>
      </c>
    </row>
    <row r="4" spans="1:12" x14ac:dyDescent="0.45">
      <c r="A4" t="s">
        <v>5</v>
      </c>
    </row>
    <row r="5" spans="1:12" x14ac:dyDescent="0.45">
      <c r="A5" t="s">
        <v>6</v>
      </c>
    </row>
    <row r="7" spans="1:12" x14ac:dyDescent="0.45">
      <c r="A7" t="s">
        <v>9</v>
      </c>
    </row>
    <row r="9" spans="1:12" ht="14.65" thickBot="1" x14ac:dyDescent="0.5">
      <c r="A9" s="4" t="s">
        <v>37</v>
      </c>
      <c r="B9" s="1"/>
      <c r="E9" s="4" t="s">
        <v>10</v>
      </c>
      <c r="F9" s="1"/>
      <c r="G9" s="6"/>
      <c r="J9" s="10" t="s">
        <v>17</v>
      </c>
    </row>
    <row r="10" spans="1:12" x14ac:dyDescent="0.45">
      <c r="A10" s="2" t="s">
        <v>3</v>
      </c>
      <c r="B10" s="5" t="s">
        <v>36</v>
      </c>
      <c r="C10" s="5" t="s">
        <v>36</v>
      </c>
      <c r="E10" s="2" t="s">
        <v>3</v>
      </c>
      <c r="F10" s="5" t="s">
        <v>16</v>
      </c>
      <c r="G10" s="5" t="s">
        <v>16</v>
      </c>
      <c r="J10" s="2"/>
      <c r="K10" s="5" t="s">
        <v>36</v>
      </c>
      <c r="L10" s="5" t="s">
        <v>16</v>
      </c>
    </row>
    <row r="11" spans="1:12" x14ac:dyDescent="0.45">
      <c r="A11">
        <v>0</v>
      </c>
      <c r="B11" s="341" t="n">
        <v>23418.2293962647</v>
      </c>
      <c r="C11" s="11">
        <f>B11/B$102</f>
        <v>3.3792264370698571E-2</v>
      </c>
      <c r="E11" s="19">
        <v>0</v>
      </c>
      <c r="F11" s="343" t="n">
        <v>120745.0</v>
      </c>
      <c r="G11" s="11">
        <f>F11/F$102</f>
        <v>0.16832322676601982</v>
      </c>
      <c r="K11" s="8" t="n">
        <v>5.667919157236973</v>
      </c>
      <c r="L11" s="8" t="n">
        <v>5.198653228461736</v>
      </c>
    </row>
    <row r="12" spans="1:12" x14ac:dyDescent="0.45">
      <c r="A12">
        <v>1</v>
      </c>
      <c r="B12" s="341" t="n">
        <v>38007.7726745204</v>
      </c>
      <c r="C12" s="11">
        <f>B12/B$102</f>
        <v>5.4844825397588261E-2</v>
      </c>
      <c r="E12" s="20">
        <v>1</v>
      </c>
      <c r="F12" s="343" t="n">
        <v>88024.0</v>
      </c>
      <c r="G12" s="11">
        <f>F12/F$102</f>
        <v>0.11852933601403458</v>
      </c>
      <c r="K12" s="8"/>
      <c r="L12" s="289"/>
    </row>
    <row r="13" spans="1:12" x14ac:dyDescent="0.45">
      <c r="A13">
        <v>2</v>
      </c>
      <c r="B13" s="341" t="n">
        <v>49372.096358878596</v>
      </c>
      <c r="C13" s="11">
        <f t="shared" ref="C13:C76" si="0">B13/B$102</f>
        <v>7.1243427693169034E-2</v>
      </c>
      <c r="E13" s="21">
        <v>2</v>
      </c>
      <c r="F13" s="343" t="n">
        <v>60142.0</v>
      </c>
      <c r="G13" s="11">
        <f t="shared" ref="G13:G76" si="1">F13/F$102</f>
        <v>8.1327189834910329E-2</v>
      </c>
    </row>
    <row r="14" spans="1:12" x14ac:dyDescent="0.45">
      <c r="A14">
        <v>3</v>
      </c>
      <c r="B14" s="341" t="n">
        <v>77269.2695948876</v>
      </c>
      <c r="C14" s="11">
        <f t="shared" si="0"/>
        <v>0.11149876199853537</v>
      </c>
      <c r="E14" s="22">
        <v>3</v>
      </c>
      <c r="F14" s="343" t="n">
        <v>37179.0</v>
      </c>
      <c r="G14" s="11">
        <f t="shared" si="1"/>
        <v>5.0822751440472387E-2</v>
      </c>
    </row>
    <row r="15" spans="1:12" x14ac:dyDescent="0.45">
      <c r="A15">
        <v>4</v>
      </c>
      <c r="B15" s="341" t="n">
        <v>160492.4602989959</v>
      </c>
      <c r="C15" s="11">
        <f t="shared" si="0"/>
        <v>0.2315889709745762</v>
      </c>
      <c r="E15" s="23">
        <v>4</v>
      </c>
      <c r="F15" s="343" t="n">
        <v>111091.0</v>
      </c>
      <c r="G15" s="11">
        <f t="shared" si="1"/>
        <v>0.15079079338238963</v>
      </c>
    </row>
    <row r="16" spans="1:12" x14ac:dyDescent="0.45">
      <c r="A16">
        <v>5</v>
      </c>
      <c r="B16" s="341" t="n">
        <v>82262.3493280199</v>
      </c>
      <c r="C16" s="11">
        <f t="shared" si="0"/>
        <v>0.11870372474404918</v>
      </c>
      <c r="E16" s="24">
        <v>5</v>
      </c>
      <c r="F16" s="343" t="n">
        <v>69003.0</v>
      </c>
      <c r="G16" s="11">
        <f t="shared" si="1"/>
        <v>9.1623887367397655E-2</v>
      </c>
    </row>
    <row r="17" spans="1:7" x14ac:dyDescent="0.45">
      <c r="A17">
        <v>6</v>
      </c>
      <c r="B17" s="341" t="n">
        <v>100071.6282669634</v>
      </c>
      <c r="C17" s="11">
        <f t="shared" si="0"/>
        <v>0.14440233124297966</v>
      </c>
      <c r="E17" s="25">
        <v>6</v>
      </c>
      <c r="F17" s="343" t="n">
        <v>57287.0</v>
      </c>
      <c r="G17" s="11">
        <f t="shared" si="1"/>
        <v>7.5578784703821622E-2</v>
      </c>
    </row>
    <row r="18" spans="1:7" x14ac:dyDescent="0.45">
      <c r="A18">
        <v>7</v>
      </c>
      <c r="B18" s="341" t="n">
        <v>27034.5128229956</v>
      </c>
      <c r="C18" s="11">
        <f t="shared" si="0"/>
        <v>3.9010524194174293E-2</v>
      </c>
      <c r="E18" s="26">
        <v>7</v>
      </c>
      <c r="F18" s="343" t="n">
        <v>25224.0</v>
      </c>
      <c r="G18" s="11">
        <f t="shared" si="1"/>
        <v>7.3863567409253275E-2</v>
      </c>
    </row>
    <row r="19" spans="1:7" x14ac:dyDescent="0.45">
      <c r="A19">
        <v>8</v>
      </c>
      <c r="B19" s="341" t="n">
        <v>32272.5266751284</v>
      </c>
      <c r="C19" s="11">
        <f t="shared" si="0"/>
        <v>4.656892435643787E-2</v>
      </c>
      <c r="E19" s="27">
        <v>8</v>
      </c>
      <c r="F19" s="343" t="n">
        <v>56564.0</v>
      </c>
      <c r="G19" s="11">
        <f t="shared" si="1"/>
        <v>5.2225130360559709E-2</v>
      </c>
    </row>
    <row r="20" spans="1:7" x14ac:dyDescent="0.45">
      <c r="A20">
        <v>9</v>
      </c>
      <c r="B20" s="341" t="n">
        <v>20750.8140715739</v>
      </c>
      <c r="C20" s="11">
        <f t="shared" si="0"/>
        <v>2.9943211467801403E-2</v>
      </c>
      <c r="E20" s="28">
        <v>9</v>
      </c>
      <c r="F20" s="343" t="n">
        <v>13293.0</v>
      </c>
      <c r="G20" s="11">
        <f t="shared" si="1"/>
        <v>2.0457202496773855E-2</v>
      </c>
    </row>
    <row r="21" spans="1:7" x14ac:dyDescent="0.45">
      <c r="A21">
        <v>10</v>
      </c>
      <c r="B21" s="341" t="n">
        <v>30541.4142343276</v>
      </c>
      <c r="C21" s="11">
        <f t="shared" si="0"/>
        <v>4.407094689345014E-2</v>
      </c>
      <c r="E21" s="29">
        <v>10</v>
      </c>
      <c r="F21" s="343" t="n">
        <v>12812.0</v>
      </c>
      <c r="G21" s="11">
        <f t="shared" si="1"/>
        <v>1.7664580628023036E-2</v>
      </c>
    </row>
    <row r="22" spans="1:7" x14ac:dyDescent="0.45">
      <c r="A22">
        <v>11</v>
      </c>
      <c r="B22" s="341" t="n">
        <v>8694.5289431997</v>
      </c>
      <c r="C22" s="11">
        <f t="shared" si="0"/>
        <v>1.2546115919171848E-2</v>
      </c>
      <c r="E22" s="30">
        <v>11</v>
      </c>
      <c r="F22" s="343" t="n">
        <v>17838.0</v>
      </c>
      <c r="G22" s="11">
        <f t="shared" si="1"/>
        <v>2.2061847607258388E-2</v>
      </c>
    </row>
    <row r="23" spans="1:7" x14ac:dyDescent="0.45">
      <c r="A23">
        <v>12</v>
      </c>
      <c r="B23" s="341" t="n">
        <v>3976.4651668625</v>
      </c>
      <c r="C23" s="11">
        <f t="shared" si="0"/>
        <v>5.7379983732213646E-3</v>
      </c>
      <c r="E23" s="31">
        <v>12</v>
      </c>
      <c r="F23" s="343" t="n">
        <v>10714.0</v>
      </c>
      <c r="G23" s="11">
        <f t="shared" si="1"/>
        <v>1.3697466413699084E-2</v>
      </c>
    </row>
    <row r="24" spans="1:7" x14ac:dyDescent="0.45">
      <c r="A24">
        <v>13</v>
      </c>
      <c r="B24" s="341" t="n">
        <v>3093.0442014216</v>
      </c>
      <c r="C24" s="11">
        <f t="shared" si="0"/>
        <v>4.4632309982139996E-3</v>
      </c>
      <c r="E24" s="32">
        <v>13</v>
      </c>
      <c r="F24" s="343" t="n">
        <v>10860.0</v>
      </c>
      <c r="G24" s="11">
        <f t="shared" si="1"/>
        <v>1.6832592364855844E-2</v>
      </c>
    </row>
    <row r="25" spans="1:7" x14ac:dyDescent="0.45">
      <c r="A25">
        <v>14</v>
      </c>
      <c r="B25" s="341" t="n">
        <v>4985.9258246744</v>
      </c>
      <c r="C25" s="11">
        <f t="shared" si="0"/>
        <v>7.1946397291233616E-3</v>
      </c>
      <c r="E25" s="33">
        <v>14</v>
      </c>
      <c r="F25" s="343" t="n">
        <v>5730.0</v>
      </c>
      <c r="G25" s="11">
        <f t="shared" si="1"/>
        <v>7.5917243462419615E-3</v>
      </c>
    </row>
    <row r="26" spans="1:7" x14ac:dyDescent="0.45">
      <c r="A26">
        <v>15</v>
      </c>
      <c r="B26" s="341" t="n">
        <v>4738.2773076505</v>
      </c>
      <c r="C26" s="11">
        <f t="shared" si="0"/>
        <v>6.8372854639192678E-3</v>
      </c>
      <c r="E26" s="34">
        <v>15</v>
      </c>
      <c r="F26" s="343" t="n">
        <v>15499.0</v>
      </c>
      <c r="G26" s="11">
        <f t="shared" si="1"/>
        <v>1.512816260044202E-2</v>
      </c>
    </row>
    <row r="27" spans="1:7" x14ac:dyDescent="0.45">
      <c r="A27">
        <v>16</v>
      </c>
      <c r="B27" s="341" t="n">
        <v>4568.9158708242</v>
      </c>
      <c r="C27" s="11">
        <f t="shared" si="0"/>
        <v>6.5928986509542981E-3</v>
      </c>
      <c r="E27" s="35">
        <v>16</v>
      </c>
      <c r="F27" s="343" t="n">
        <v>2629.0</v>
      </c>
      <c r="G27" s="11">
        <f t="shared" si="1"/>
        <v>3.4452674430991495E-3</v>
      </c>
    </row>
    <row r="28" spans="1:7" x14ac:dyDescent="0.45">
      <c r="A28">
        <v>17</v>
      </c>
      <c r="B28" s="341" t="n">
        <v>2983.6074133344</v>
      </c>
      <c r="C28" s="11">
        <f t="shared" si="0"/>
        <v>4.3053148375877554E-3</v>
      </c>
      <c r="E28" s="36">
        <v>17</v>
      </c>
      <c r="F28" s="343" t="n">
        <v>3615.0</v>
      </c>
      <c r="G28" s="11">
        <f t="shared" si="1"/>
        <v>5.4517480518394765E-3</v>
      </c>
    </row>
    <row r="29" spans="1:7" x14ac:dyDescent="0.45">
      <c r="A29">
        <v>18</v>
      </c>
      <c r="B29" s="341" t="n">
        <v>995.7219531329</v>
      </c>
      <c r="C29" s="11">
        <f t="shared" si="0"/>
        <v>1.4368165462305287E-3</v>
      </c>
      <c r="E29" s="37">
        <v>18</v>
      </c>
      <c r="F29" s="343" t="n">
        <v>1642.0</v>
      </c>
      <c r="G29" s="11">
        <f t="shared" si="1"/>
        <v>2.3125767768747718E-3</v>
      </c>
    </row>
    <row r="30" spans="1:7" x14ac:dyDescent="0.45">
      <c r="A30">
        <v>19</v>
      </c>
      <c r="B30" s="341" t="n">
        <v>604.7034079683999</v>
      </c>
      <c r="C30" s="11">
        <f t="shared" si="0"/>
        <v>8.7258080370456663E-4</v>
      </c>
      <c r="E30" s="38">
        <v>19</v>
      </c>
      <c r="F30" s="343" t="n">
        <v>953.0</v>
      </c>
      <c r="G30" s="11">
        <f t="shared" si="1"/>
        <v>1.4778916311689503E-3</v>
      </c>
    </row>
    <row r="31" spans="1:7" x14ac:dyDescent="0.45">
      <c r="A31">
        <v>20</v>
      </c>
      <c r="B31" s="341" t="n">
        <v>143.9264017335</v>
      </c>
      <c r="C31" s="11">
        <f t="shared" si="0"/>
        <v>2.0768431869907139E-4</v>
      </c>
      <c r="E31" s="39">
        <v>20</v>
      </c>
      <c r="F31" s="343" t="n">
        <v>1351.0</v>
      </c>
      <c r="G31" s="11">
        <f t="shared" si="1"/>
        <v>2.326061189567919E-3</v>
      </c>
    </row>
    <row r="32" spans="1:7" x14ac:dyDescent="0.45">
      <c r="A32">
        <v>21</v>
      </c>
      <c r="B32" s="341" t="n">
        <v>0.0</v>
      </c>
      <c r="C32" s="11">
        <f t="shared" si="0"/>
        <v>0</v>
      </c>
      <c r="E32" s="40">
        <v>21</v>
      </c>
      <c r="F32" s="343" t="n">
        <v>1454.0</v>
      </c>
      <c r="G32" s="11">
        <f t="shared" si="1"/>
        <v>1.5534043422505755E-3</v>
      </c>
    </row>
    <row r="33" spans="1:7" x14ac:dyDescent="0.45">
      <c r="A33">
        <v>22</v>
      </c>
      <c r="B33" s="341" t="n">
        <v>2237.1382937662</v>
      </c>
      <c r="C33" s="11">
        <f t="shared" si="0"/>
        <v>3.2281675688435743E-3</v>
      </c>
      <c r="E33" s="41">
        <v>22</v>
      </c>
      <c r="F33" s="343" t="n">
        <v>609.0</v>
      </c>
      <c r="G33" s="11">
        <f t="shared" si="1"/>
        <v>7.9018658381843512E-4</v>
      </c>
    </row>
    <row r="34" spans="1:7" x14ac:dyDescent="0.45">
      <c r="A34">
        <v>23</v>
      </c>
      <c r="B34" s="341" t="n">
        <v>704.037746628</v>
      </c>
      <c r="C34" s="11">
        <f t="shared" si="0"/>
        <v>1.0159192336205841E-3</v>
      </c>
      <c r="E34" s="42">
        <v>23</v>
      </c>
      <c r="F34" s="343" t="n">
        <v>489.0</v>
      </c>
      <c r="G34" s="11">
        <f t="shared" si="1"/>
        <v>6.5803933942559095E-4</v>
      </c>
    </row>
    <row r="35" spans="1:7" x14ac:dyDescent="0.45">
      <c r="A35">
        <v>24</v>
      </c>
      <c r="B35" s="341" t="n">
        <v>1181.7375334889998</v>
      </c>
      <c r="C35" s="11">
        <f t="shared" si="0"/>
        <v>1.7052351171693235E-3</v>
      </c>
      <c r="E35" s="43">
        <v>24</v>
      </c>
      <c r="F35" s="343" t="n">
        <v>1102.0</v>
      </c>
      <c r="G35" s="11">
        <f t="shared" si="1"/>
        <v>1.4603618946678588E-3</v>
      </c>
    </row>
    <row r="36" spans="1:7" x14ac:dyDescent="0.45">
      <c r="A36">
        <v>25</v>
      </c>
      <c r="B36" s="341" t="n">
        <v>0.0</v>
      </c>
      <c r="C36" s="11">
        <f t="shared" si="0"/>
        <v>0</v>
      </c>
      <c r="E36" s="44">
        <v>25</v>
      </c>
      <c r="F36" s="343" t="n">
        <v>1001.0</v>
      </c>
      <c r="G36" s="11">
        <f t="shared" si="1"/>
        <v>7.0523478385160678E-4</v>
      </c>
    </row>
    <row r="37" spans="1:7" x14ac:dyDescent="0.45">
      <c r="A37">
        <v>26</v>
      </c>
      <c r="B37" s="341" t="n">
        <v>9134.13919719</v>
      </c>
      <c r="C37" s="11">
        <f t="shared" si="0"/>
        <v>1.3180468998200088E-2</v>
      </c>
      <c r="E37" s="45">
        <v>26</v>
      </c>
      <c r="F37" s="343" t="n">
        <v>306.0</v>
      </c>
      <c r="G37" s="11">
        <f t="shared" si="1"/>
        <v>1.1596594916106727E-3</v>
      </c>
    </row>
    <row r="38" spans="1:7" x14ac:dyDescent="0.45">
      <c r="A38">
        <v>27</v>
      </c>
      <c r="B38" s="341" t="n">
        <v>0.0</v>
      </c>
      <c r="C38" s="11">
        <f t="shared" si="0"/>
        <v>0</v>
      </c>
      <c r="E38" s="46">
        <v>27</v>
      </c>
      <c r="F38" s="343" t="n">
        <v>269.0</v>
      </c>
      <c r="G38" s="11">
        <f t="shared" si="1"/>
        <v>4.2206211729551224E-4</v>
      </c>
    </row>
    <row r="39" spans="1:7" x14ac:dyDescent="0.45">
      <c r="A39">
        <v>28</v>
      </c>
      <c r="B39" s="341" t="n">
        <v>0.0</v>
      </c>
      <c r="C39" s="11">
        <f t="shared" si="0"/>
        <v>0</v>
      </c>
      <c r="E39" s="47">
        <v>28</v>
      </c>
      <c r="F39" s="343" t="n">
        <v>223.0</v>
      </c>
      <c r="G39" s="11">
        <f t="shared" si="1"/>
        <v>3.3711031732868389E-4</v>
      </c>
    </row>
    <row r="40" spans="1:7" x14ac:dyDescent="0.45">
      <c r="A40">
        <v>29</v>
      </c>
      <c r="B40" s="341" t="n">
        <v>0.0</v>
      </c>
      <c r="C40" s="11">
        <f t="shared" si="0"/>
        <v>0</v>
      </c>
      <c r="E40" s="48">
        <v>29</v>
      </c>
      <c r="F40" s="343" t="n">
        <v>359.0</v>
      </c>
      <c r="G40" s="11">
        <f t="shared" si="1"/>
        <v>4.058808220637354E-4</v>
      </c>
    </row>
    <row r="41" spans="1:7" x14ac:dyDescent="0.45">
      <c r="A41">
        <v>30</v>
      </c>
      <c r="B41" s="341" t="n">
        <v>0.0</v>
      </c>
      <c r="C41" s="11">
        <f t="shared" si="0"/>
        <v>0</v>
      </c>
      <c r="E41" s="49">
        <v>30</v>
      </c>
      <c r="F41" s="343" t="n">
        <v>217.0</v>
      </c>
      <c r="G41" s="11">
        <f t="shared" si="1"/>
        <v>3.1553525701964811E-4</v>
      </c>
    </row>
    <row r="42" spans="1:7" x14ac:dyDescent="0.45">
      <c r="A42">
        <v>31</v>
      </c>
      <c r="B42" s="341" t="n">
        <v>889.701534148</v>
      </c>
      <c r="C42" s="11">
        <f t="shared" si="0"/>
        <v>1.2838301711119459E-3</v>
      </c>
      <c r="E42" s="50">
        <v>31</v>
      </c>
      <c r="F42" s="343" t="n">
        <v>85.0</v>
      </c>
      <c r="G42" s="11">
        <f t="shared" si="1"/>
        <v>1.1461750789175253E-4</v>
      </c>
    </row>
    <row r="43" spans="1:7" x14ac:dyDescent="0.45">
      <c r="A43">
        <v>32</v>
      </c>
      <c r="B43" s="341" t="n">
        <v>464.442048857</v>
      </c>
      <c r="C43" s="11">
        <f t="shared" si="0"/>
        <v>6.7018510384683413E-4</v>
      </c>
      <c r="E43" s="51">
        <v>32</v>
      </c>
      <c r="F43" s="343" t="n">
        <v>139.0</v>
      </c>
      <c r="G43" s="11">
        <f t="shared" si="1"/>
        <v>2.1170527928241349E-4</v>
      </c>
    </row>
    <row r="44" spans="1:7" x14ac:dyDescent="0.45">
      <c r="A44">
        <v>33</v>
      </c>
      <c r="B44" s="341" t="n">
        <v>0.0</v>
      </c>
      <c r="C44" s="11">
        <f t="shared" si="0"/>
        <v>0</v>
      </c>
      <c r="E44" s="52">
        <v>33</v>
      </c>
      <c r="F44" s="343" t="n">
        <v>78.0</v>
      </c>
      <c r="G44" s="11">
        <f t="shared" si="1"/>
        <v>3.9104796810127337E-5</v>
      </c>
    </row>
    <row r="45" spans="1:7" x14ac:dyDescent="0.45">
      <c r="A45">
        <v>34</v>
      </c>
      <c r="B45" s="341" t="n">
        <v>0.0</v>
      </c>
      <c r="C45" s="11">
        <f t="shared" si="0"/>
        <v>0</v>
      </c>
      <c r="E45" s="53">
        <v>34</v>
      </c>
      <c r="F45" s="343" t="n">
        <v>27.0</v>
      </c>
      <c r="G45" s="11">
        <f t="shared" si="1"/>
        <v>5.6634533311218897E-5</v>
      </c>
    </row>
    <row r="46" spans="1:7" x14ac:dyDescent="0.45">
      <c r="A46">
        <v>35</v>
      </c>
      <c r="B46" s="341" t="n">
        <v>0.0</v>
      </c>
      <c r="C46" s="11">
        <f t="shared" si="0"/>
        <v>0</v>
      </c>
      <c r="E46" s="54">
        <v>35</v>
      </c>
      <c r="F46" s="343" t="n">
        <v>16.0</v>
      </c>
      <c r="G46" s="11">
        <f t="shared" si="1"/>
        <v>2.5620384116979976E-5</v>
      </c>
    </row>
    <row r="47" spans="1:7" x14ac:dyDescent="0.45">
      <c r="A47">
        <v>36</v>
      </c>
      <c r="B47" s="341" t="n">
        <v>183.053312801</v>
      </c>
      <c r="C47" s="11">
        <f t="shared" si="0"/>
        <v>2.6414404929734909E-4</v>
      </c>
      <c r="E47" s="55">
        <v>36</v>
      </c>
      <c r="F47" s="343" t="n">
        <v>72.0</v>
      </c>
      <c r="G47" s="11">
        <f t="shared" si="1"/>
        <v>1.0787530154517885E-4</v>
      </c>
    </row>
    <row r="48" spans="1:7" x14ac:dyDescent="0.45">
      <c r="A48">
        <v>37</v>
      </c>
      <c r="B48" s="341" t="n">
        <v>0.0</v>
      </c>
      <c r="C48" s="11">
        <f t="shared" si="0"/>
        <v>0</v>
      </c>
      <c r="E48" s="56">
        <v>37</v>
      </c>
      <c r="F48" s="343" t="n">
        <v>24.0</v>
      </c>
      <c r="G48" s="11">
        <f t="shared" si="1"/>
        <v>2.8317266655609448E-5</v>
      </c>
    </row>
    <row r="49" spans="1:7" x14ac:dyDescent="0.45">
      <c r="A49">
        <v>38</v>
      </c>
      <c r="B49" s="341" t="n">
        <v>0.0</v>
      </c>
      <c r="C49" s="11">
        <f t="shared" si="0"/>
        <v>0</v>
      </c>
      <c r="E49" s="57">
        <v>38</v>
      </c>
      <c r="F49" s="343" t="n">
        <v>16.0</v>
      </c>
      <c r="G49" s="11">
        <f t="shared" si="1"/>
        <v>2.8317266655609448E-5</v>
      </c>
    </row>
    <row r="50" spans="1:7" x14ac:dyDescent="0.45">
      <c r="A50">
        <v>39</v>
      </c>
      <c r="B50" s="341" t="n">
        <v>0.0</v>
      </c>
      <c r="C50" s="11">
        <f t="shared" si="0"/>
        <v>0</v>
      </c>
      <c r="E50" s="58">
        <v>39</v>
      </c>
      <c r="F50" s="343" t="n">
        <v>22.0</v>
      </c>
      <c r="G50" s="11">
        <f t="shared" si="1"/>
        <v>1.3484412693147356E-5</v>
      </c>
    </row>
    <row r="51" spans="1:7" x14ac:dyDescent="0.45">
      <c r="A51">
        <v>40</v>
      </c>
      <c r="B51" s="341" t="n">
        <v>0.0</v>
      </c>
      <c r="C51" s="11">
        <f t="shared" si="0"/>
        <v>0</v>
      </c>
      <c r="E51" s="59">
        <v>40</v>
      </c>
      <c r="F51" s="343" t="n">
        <v>9.0</v>
      </c>
      <c r="G51" s="11">
        <f t="shared" si="1"/>
        <v>1.3484412693147356E-6</v>
      </c>
    </row>
    <row r="52" spans="1:7" x14ac:dyDescent="0.45">
      <c r="A52">
        <v>41</v>
      </c>
      <c r="B52" s="341" t="n">
        <v>0.0</v>
      </c>
      <c r="C52" s="11">
        <f t="shared" si="0"/>
        <v>0</v>
      </c>
      <c r="E52" s="60">
        <v>41</v>
      </c>
      <c r="F52" s="343" t="n">
        <v>5.0</v>
      </c>
      <c r="G52" s="11">
        <f t="shared" si="1"/>
        <v>6.742206346573678E-6</v>
      </c>
    </row>
    <row r="53" spans="1:7" x14ac:dyDescent="0.45">
      <c r="A53">
        <v>42</v>
      </c>
      <c r="B53" s="341" t="n">
        <v>0.0</v>
      </c>
      <c r="C53" s="11">
        <f t="shared" si="0"/>
        <v>0</v>
      </c>
      <c r="E53" s="61">
        <v>42</v>
      </c>
      <c r="F53" s="343" t="n">
        <v>1.0</v>
      </c>
      <c r="G53" s="11">
        <f t="shared" si="1"/>
        <v>8.0906476158884136E-6</v>
      </c>
    </row>
    <row r="54" spans="1:7" x14ac:dyDescent="0.45">
      <c r="A54">
        <v>43</v>
      </c>
      <c r="B54" s="341" t="n">
        <v>0.0</v>
      </c>
      <c r="C54" s="11">
        <f t="shared" si="0"/>
        <v>0</v>
      </c>
      <c r="E54" s="62">
        <v>43</v>
      </c>
      <c r="F54" s="343" t="n">
        <v>0.0</v>
      </c>
      <c r="G54" s="11">
        <f t="shared" si="1"/>
        <v>2.6968825386294712E-6</v>
      </c>
    </row>
    <row r="55" spans="1:7" x14ac:dyDescent="0.45">
      <c r="A55">
        <v>44</v>
      </c>
      <c r="B55" s="341" t="n">
        <v>0.0</v>
      </c>
      <c r="C55" s="11">
        <f t="shared" si="0"/>
        <v>0</v>
      </c>
      <c r="E55" s="63">
        <v>44</v>
      </c>
      <c r="F55" s="343" t="n">
        <v>2.0</v>
      </c>
      <c r="G55" s="11">
        <f t="shared" si="1"/>
        <v>0</v>
      </c>
    </row>
    <row r="56" spans="1:7" x14ac:dyDescent="0.45">
      <c r="A56">
        <v>45</v>
      </c>
      <c r="B56" s="341" t="n">
        <v>250.40304101</v>
      </c>
      <c r="C56" s="11">
        <f t="shared" si="0"/>
        <v>3.6132901501026665E-4</v>
      </c>
      <c r="E56" s="64">
        <v>45</v>
      </c>
      <c r="F56" s="343" t="n">
        <v>6.0</v>
      </c>
      <c r="G56" s="11">
        <f t="shared" si="1"/>
        <v>2.6968825386294712E-6</v>
      </c>
    </row>
    <row r="57" spans="1:7" x14ac:dyDescent="0.45">
      <c r="A57">
        <v>46</v>
      </c>
      <c r="B57" s="341" t="n">
        <v>0.0</v>
      </c>
      <c r="C57" s="11">
        <f t="shared" si="0"/>
        <v>0</v>
      </c>
      <c r="E57" s="65">
        <v>46</v>
      </c>
      <c r="F57" s="343" t="n">
        <v>3.0</v>
      </c>
      <c r="G57" s="11">
        <f t="shared" si="1"/>
        <v>2.6968825386294712E-6</v>
      </c>
    </row>
    <row r="58" spans="1:7" x14ac:dyDescent="0.45">
      <c r="A58">
        <v>47</v>
      </c>
      <c r="B58" s="341" t="n">
        <v>0.0</v>
      </c>
      <c r="C58" s="11">
        <f t="shared" si="0"/>
        <v>0</v>
      </c>
      <c r="E58" s="66">
        <v>47</v>
      </c>
      <c r="F58" s="343" t="n">
        <v>0.0</v>
      </c>
      <c r="G58" s="11">
        <f t="shared" si="1"/>
        <v>4.0453238079442068E-6</v>
      </c>
    </row>
    <row r="59" spans="1:7" x14ac:dyDescent="0.45">
      <c r="A59">
        <v>48</v>
      </c>
      <c r="B59" s="341" t="n">
        <v>0.0</v>
      </c>
      <c r="C59" s="11">
        <f t="shared" si="0"/>
        <v>0</v>
      </c>
      <c r="E59" s="67">
        <v>48</v>
      </c>
      <c r="F59" s="343" t="n">
        <v>0.0</v>
      </c>
      <c r="G59" s="11">
        <f t="shared" si="1"/>
        <v>0</v>
      </c>
    </row>
    <row r="60" spans="1:7" x14ac:dyDescent="0.45">
      <c r="A60">
        <v>49</v>
      </c>
      <c r="B60" s="341" t="n">
        <v>0.0</v>
      </c>
      <c r="C60" s="11">
        <f t="shared" si="0"/>
        <v>0</v>
      </c>
      <c r="E60" s="68">
        <v>49</v>
      </c>
      <c r="F60" s="343" t="n">
        <v>0.0</v>
      </c>
      <c r="G60" s="11">
        <f t="shared" si="1"/>
        <v>0</v>
      </c>
    </row>
    <row r="61" spans="1:7" x14ac:dyDescent="0.45">
      <c r="A61">
        <v>50</v>
      </c>
      <c r="B61" s="341" t="n">
        <v>0.0</v>
      </c>
      <c r="C61" s="11">
        <f t="shared" si="0"/>
        <v>0</v>
      </c>
      <c r="E61" s="69">
        <v>50</v>
      </c>
      <c r="F61" s="343" t="n">
        <v>0.0</v>
      </c>
      <c r="G61" s="11">
        <f t="shared" si="1"/>
        <v>4.0453238079442068E-6</v>
      </c>
    </row>
    <row r="62" spans="1:7" x14ac:dyDescent="0.45">
      <c r="A62">
        <v>51</v>
      </c>
      <c r="B62" s="341" t="n">
        <v>0.0</v>
      </c>
      <c r="C62" s="11">
        <f t="shared" si="0"/>
        <v>0</v>
      </c>
      <c r="E62" s="70">
        <v>51</v>
      </c>
      <c r="F62" s="343" t="n">
        <v>1.0</v>
      </c>
      <c r="G62" s="11">
        <f t="shared" si="1"/>
        <v>0</v>
      </c>
    </row>
    <row r="63" spans="1:7" x14ac:dyDescent="0.45">
      <c r="A63">
        <v>52</v>
      </c>
      <c r="B63" s="341" t="n">
        <v>0.0</v>
      </c>
      <c r="C63" s="11">
        <f t="shared" si="0"/>
        <v>0</v>
      </c>
      <c r="E63" s="71">
        <v>52</v>
      </c>
      <c r="F63" s="343" t="n">
        <v>2.0</v>
      </c>
      <c r="G63" s="11">
        <f t="shared" si="1"/>
        <v>1.3484412693147356E-6</v>
      </c>
    </row>
    <row r="64" spans="1:7" x14ac:dyDescent="0.45">
      <c r="A64">
        <v>53</v>
      </c>
      <c r="B64" s="341" t="n">
        <v>0.0</v>
      </c>
      <c r="C64" s="11">
        <f t="shared" si="0"/>
        <v>0</v>
      </c>
      <c r="E64" s="72">
        <v>53</v>
      </c>
      <c r="F64" s="343" t="n">
        <v>0.0</v>
      </c>
      <c r="G64" s="11">
        <f t="shared" si="1"/>
        <v>0</v>
      </c>
    </row>
    <row r="65" spans="1:7" x14ac:dyDescent="0.45">
      <c r="A65">
        <v>54</v>
      </c>
      <c r="B65" s="341" t="n">
        <v>444.572467296</v>
      </c>
      <c r="C65" s="11">
        <f t="shared" si="0"/>
        <v>6.4151350183615588E-4</v>
      </c>
      <c r="E65" s="73">
        <v>54</v>
      </c>
      <c r="F65" s="343" t="n">
        <v>0.0</v>
      </c>
      <c r="G65" s="11">
        <f t="shared" si="1"/>
        <v>1.3484412693147356E-6</v>
      </c>
    </row>
    <row r="66" spans="1:7" x14ac:dyDescent="0.45">
      <c r="A66">
        <v>55</v>
      </c>
      <c r="B66" s="341" t="n">
        <v>0.0</v>
      </c>
      <c r="C66" s="11">
        <f t="shared" si="0"/>
        <v>0</v>
      </c>
      <c r="E66" s="74">
        <v>55</v>
      </c>
      <c r="F66" s="343" t="n">
        <v>1.0</v>
      </c>
      <c r="G66" s="11">
        <f t="shared" si="1"/>
        <v>0</v>
      </c>
    </row>
    <row r="67" spans="1:7" x14ac:dyDescent="0.45">
      <c r="A67">
        <v>56</v>
      </c>
      <c r="B67" s="341" t="n">
        <v>668.711535771</v>
      </c>
      <c r="C67" s="11">
        <f t="shared" si="0"/>
        <v>9.649438743696753E-4</v>
      </c>
      <c r="E67" s="75">
        <v>56</v>
      </c>
      <c r="F67" s="343" t="n">
        <v>0.0</v>
      </c>
      <c r="G67" s="11">
        <f t="shared" si="1"/>
        <v>0</v>
      </c>
    </row>
    <row r="68" spans="1:7" x14ac:dyDescent="0.45">
      <c r="A68">
        <v>57</v>
      </c>
      <c r="B68" s="341" t="n">
        <v>569.501209051</v>
      </c>
      <c r="C68" s="11">
        <f t="shared" si="0"/>
        <v>8.2178439240814145E-4</v>
      </c>
      <c r="E68" s="76">
        <v>57</v>
      </c>
      <c r="F68" s="343" t="n">
        <v>1.0</v>
      </c>
      <c r="G68" s="11">
        <f t="shared" si="1"/>
        <v>0</v>
      </c>
    </row>
    <row r="69" spans="1:7" x14ac:dyDescent="0.45">
      <c r="A69">
        <v>58</v>
      </c>
      <c r="B69" s="341" t="n">
        <v>0.0</v>
      </c>
      <c r="C69" s="11">
        <f t="shared" si="0"/>
        <v>0</v>
      </c>
      <c r="E69" s="77">
        <v>58</v>
      </c>
      <c r="F69" s="343" t="n">
        <v>0.0</v>
      </c>
      <c r="G69" s="11">
        <f t="shared" si="1"/>
        <v>0</v>
      </c>
    </row>
    <row r="70" spans="1:7" x14ac:dyDescent="0.45">
      <c r="A70">
        <v>59</v>
      </c>
      <c r="B70" s="341" t="n">
        <v>0.0</v>
      </c>
      <c r="C70" s="11">
        <f t="shared" si="0"/>
        <v>0</v>
      </c>
      <c r="E70" s="78">
        <v>59</v>
      </c>
      <c r="F70" s="343" t="n">
        <v>0.0</v>
      </c>
      <c r="G70" s="11">
        <f t="shared" si="1"/>
        <v>0</v>
      </c>
    </row>
    <row r="71" spans="1:7" x14ac:dyDescent="0.45">
      <c r="A71">
        <v>60</v>
      </c>
      <c r="B71" s="341" t="n">
        <v>0.0</v>
      </c>
      <c r="C71" s="11">
        <f t="shared" si="0"/>
        <v>0</v>
      </c>
      <c r="E71" s="79">
        <v>60</v>
      </c>
      <c r="F71" s="343" t="n">
        <v>0.0</v>
      </c>
      <c r="G71" s="11">
        <f t="shared" si="1"/>
        <v>0</v>
      </c>
    </row>
    <row r="72" spans="1:7" x14ac:dyDescent="0.45">
      <c r="A72">
        <v>61</v>
      </c>
      <c r="B72" s="341" t="n">
        <v>0.0</v>
      </c>
      <c r="C72" s="11">
        <f t="shared" si="0"/>
        <v>0</v>
      </c>
      <c r="E72" s="80">
        <v>61</v>
      </c>
      <c r="F72" s="343" t="n">
        <v>0.0</v>
      </c>
      <c r="G72" s="11">
        <f t="shared" si="1"/>
        <v>0</v>
      </c>
    </row>
    <row r="73" spans="1:7" x14ac:dyDescent="0.45">
      <c r="A73">
        <v>62</v>
      </c>
      <c r="B73" s="341" t="n">
        <v>0.0</v>
      </c>
      <c r="C73" s="11">
        <f t="shared" si="0"/>
        <v>0</v>
      </c>
      <c r="E73" s="81">
        <v>62</v>
      </c>
      <c r="F73" s="343" t="n">
        <v>0.0</v>
      </c>
      <c r="G73" s="11">
        <f t="shared" si="1"/>
        <v>0</v>
      </c>
    </row>
    <row r="74" spans="1:7" x14ac:dyDescent="0.45">
      <c r="A74">
        <v>63</v>
      </c>
      <c r="B74" s="341" t="n">
        <v>0.0</v>
      </c>
      <c r="C74" s="11">
        <f t="shared" si="0"/>
        <v>0</v>
      </c>
      <c r="E74" s="82">
        <v>63</v>
      </c>
      <c r="F74" s="343" t="n">
        <v>0.0</v>
      </c>
      <c r="G74" s="11">
        <f t="shared" si="1"/>
        <v>0</v>
      </c>
    </row>
    <row r="75" spans="1:7" x14ac:dyDescent="0.45">
      <c r="A75">
        <v>64</v>
      </c>
      <c r="B75" s="341" t="n">
        <v>0.0</v>
      </c>
      <c r="C75" s="11">
        <f t="shared" si="0"/>
        <v>0</v>
      </c>
      <c r="E75" s="83">
        <v>64</v>
      </c>
      <c r="F75" s="343" t="n">
        <v>0.0</v>
      </c>
      <c r="G75" s="11">
        <f t="shared" si="1"/>
        <v>0</v>
      </c>
    </row>
    <row r="76" spans="1:7" x14ac:dyDescent="0.45">
      <c r="A76">
        <v>65</v>
      </c>
      <c r="B76" s="341" t="n">
        <v>0.0</v>
      </c>
      <c r="C76" s="11">
        <f t="shared" si="0"/>
        <v>0</v>
      </c>
      <c r="E76" s="84">
        <v>65</v>
      </c>
      <c r="F76" s="343" t="n">
        <v>0.0</v>
      </c>
      <c r="G76" s="11">
        <f t="shared" si="1"/>
        <v>0</v>
      </c>
    </row>
    <row r="77" spans="1:7" x14ac:dyDescent="0.45">
      <c r="A77">
        <v>66</v>
      </c>
      <c r="B77" s="341" t="n">
        <v>0.0</v>
      </c>
      <c r="C77" s="11">
        <f t="shared" ref="C77:C102" si="2">B77/B$102</f>
        <v>0</v>
      </c>
      <c r="E77" s="85">
        <v>66</v>
      </c>
      <c r="F77" s="343" t="n">
        <v>0.0</v>
      </c>
      <c r="G77" s="11">
        <f t="shared" ref="G77:G102" si="3">F77/F$102</f>
        <v>0</v>
      </c>
    </row>
    <row r="78" spans="1:7" x14ac:dyDescent="0.45">
      <c r="A78">
        <v>67</v>
      </c>
      <c r="B78" s="341" t="n">
        <v>0.0</v>
      </c>
      <c r="C78" s="11">
        <f t="shared" si="2"/>
        <v>0</v>
      </c>
      <c r="E78" s="86">
        <v>67</v>
      </c>
      <c r="F78" s="343" t="n">
        <v>0.0</v>
      </c>
      <c r="G78" s="11">
        <f t="shared" si="3"/>
        <v>0</v>
      </c>
    </row>
    <row r="79" spans="1:7" x14ac:dyDescent="0.45">
      <c r="A79">
        <v>68</v>
      </c>
      <c r="B79" s="341" t="n">
        <v>0.0</v>
      </c>
      <c r="C79" s="11">
        <f t="shared" si="2"/>
        <v>0</v>
      </c>
      <c r="E79" s="87">
        <v>68</v>
      </c>
      <c r="F79" s="343" t="n">
        <v>0.0</v>
      </c>
      <c r="G79" s="11">
        <f t="shared" si="3"/>
        <v>0</v>
      </c>
    </row>
    <row r="80" spans="1:7" x14ac:dyDescent="0.45">
      <c r="A80">
        <v>69</v>
      </c>
      <c r="B80" s="341" t="n">
        <v>0.0</v>
      </c>
      <c r="C80" s="11">
        <f t="shared" si="2"/>
        <v>0</v>
      </c>
      <c r="E80" s="88">
        <v>69</v>
      </c>
      <c r="F80" s="343" t="n">
        <v>0.0</v>
      </c>
      <c r="G80" s="11">
        <f t="shared" si="3"/>
        <v>0</v>
      </c>
    </row>
    <row r="81" spans="1:7" x14ac:dyDescent="0.45">
      <c r="A81">
        <v>70</v>
      </c>
      <c r="B81" s="341" t="n">
        <v>0.0</v>
      </c>
      <c r="C81" s="11">
        <f t="shared" si="2"/>
        <v>0</v>
      </c>
      <c r="E81" s="89">
        <v>70</v>
      </c>
      <c r="F81" s="343" t="n">
        <v>0.0</v>
      </c>
      <c r="G81" s="11">
        <f t="shared" si="3"/>
        <v>0</v>
      </c>
    </row>
    <row r="82" spans="1:7" x14ac:dyDescent="0.45">
      <c r="A82">
        <v>71</v>
      </c>
      <c r="B82" s="341" t="n">
        <v>0.0</v>
      </c>
      <c r="C82" s="11">
        <f t="shared" si="2"/>
        <v>0</v>
      </c>
      <c r="E82" s="90">
        <v>71</v>
      </c>
      <c r="F82" s="343" t="n">
        <v>0.0</v>
      </c>
      <c r="G82" s="11">
        <f t="shared" si="3"/>
        <v>0</v>
      </c>
    </row>
    <row r="83" spans="1:7" x14ac:dyDescent="0.45">
      <c r="A83">
        <v>72</v>
      </c>
      <c r="B83" s="341" t="n">
        <v>0.0</v>
      </c>
      <c r="C83" s="11">
        <f t="shared" si="2"/>
        <v>0</v>
      </c>
      <c r="E83" s="91">
        <v>72</v>
      </c>
      <c r="F83" s="343" t="n">
        <v>0.0</v>
      </c>
      <c r="G83" s="11">
        <f t="shared" si="3"/>
        <v>0</v>
      </c>
    </row>
    <row r="84" spans="1:7" x14ac:dyDescent="0.45">
      <c r="A84">
        <v>73</v>
      </c>
      <c r="B84" s="341" t="n">
        <v>0.0</v>
      </c>
      <c r="C84" s="11">
        <f t="shared" si="2"/>
        <v>0</v>
      </c>
      <c r="E84" s="92">
        <v>73</v>
      </c>
      <c r="F84" s="343" t="n">
        <v>0.0</v>
      </c>
      <c r="G84" s="11">
        <f t="shared" si="3"/>
        <v>0</v>
      </c>
    </row>
    <row r="85" spans="1:7" x14ac:dyDescent="0.45">
      <c r="A85">
        <v>74</v>
      </c>
      <c r="B85" s="341" t="n">
        <v>0.0</v>
      </c>
      <c r="C85" s="11">
        <f t="shared" si="2"/>
        <v>0</v>
      </c>
      <c r="E85" s="93">
        <v>74</v>
      </c>
      <c r="F85" s="343" t="n">
        <v>0.0</v>
      </c>
      <c r="G85" s="11">
        <f t="shared" si="3"/>
        <v>0</v>
      </c>
    </row>
    <row r="86" spans="1:7" x14ac:dyDescent="0.45">
      <c r="A86">
        <v>75</v>
      </c>
      <c r="B86" s="341" t="n">
        <v>0.0</v>
      </c>
      <c r="C86" s="11">
        <f t="shared" si="2"/>
        <v>0</v>
      </c>
      <c r="E86" s="94">
        <v>75</v>
      </c>
      <c r="F86" s="343" t="n">
        <v>0.0</v>
      </c>
      <c r="G86" s="11">
        <f t="shared" si="3"/>
        <v>0</v>
      </c>
    </row>
    <row r="87" spans="1:7" x14ac:dyDescent="0.45">
      <c r="A87">
        <v>76</v>
      </c>
      <c r="B87" s="341" t="n">
        <v>0.0</v>
      </c>
      <c r="C87" s="11">
        <f t="shared" si="2"/>
        <v>0</v>
      </c>
      <c r="E87" s="95">
        <v>76</v>
      </c>
      <c r="F87" s="343" t="n">
        <v>0.0</v>
      </c>
      <c r="G87" s="11">
        <f t="shared" si="3"/>
        <v>0</v>
      </c>
    </row>
    <row r="88" spans="1:7" x14ac:dyDescent="0.45">
      <c r="A88">
        <v>77</v>
      </c>
      <c r="B88" s="341" t="n">
        <v>0.0</v>
      </c>
      <c r="C88" s="11">
        <f t="shared" si="2"/>
        <v>0</v>
      </c>
      <c r="E88" s="96">
        <v>77</v>
      </c>
      <c r="F88" s="343" t="n">
        <v>0.0</v>
      </c>
      <c r="G88" s="11">
        <f t="shared" si="3"/>
        <v>0</v>
      </c>
    </row>
    <row r="89" spans="1:7" x14ac:dyDescent="0.45">
      <c r="A89">
        <v>78</v>
      </c>
      <c r="B89" s="341" t="n">
        <v>0.0</v>
      </c>
      <c r="C89" s="11">
        <f t="shared" si="2"/>
        <v>0</v>
      </c>
      <c r="E89" s="97">
        <v>78</v>
      </c>
      <c r="F89" s="343" t="n">
        <v>0.0</v>
      </c>
      <c r="G89" s="11">
        <f t="shared" si="3"/>
        <v>0</v>
      </c>
    </row>
    <row r="90" spans="1:7" x14ac:dyDescent="0.45">
      <c r="A90">
        <v>79</v>
      </c>
      <c r="B90" s="341" t="n">
        <v>0.0</v>
      </c>
      <c r="C90" s="11">
        <f t="shared" si="2"/>
        <v>0</v>
      </c>
      <c r="E90" s="98">
        <v>79</v>
      </c>
      <c r="F90" s="343" t="n">
        <v>0.0</v>
      </c>
      <c r="G90" s="11">
        <f t="shared" si="3"/>
        <v>0</v>
      </c>
    </row>
    <row r="91" spans="1:7" x14ac:dyDescent="0.45">
      <c r="A91">
        <v>80</v>
      </c>
      <c r="B91" s="341" t="n">
        <v>0.0</v>
      </c>
      <c r="C91" s="11">
        <f t="shared" si="2"/>
        <v>0</v>
      </c>
      <c r="E91" s="99">
        <v>80</v>
      </c>
      <c r="F91" s="343" t="n">
        <v>0.0</v>
      </c>
      <c r="G91" s="11">
        <f t="shared" si="3"/>
        <v>0</v>
      </c>
    </row>
    <row r="92" spans="1:7" x14ac:dyDescent="0.45">
      <c r="A92">
        <v>81</v>
      </c>
      <c r="B92" s="341" t="n">
        <v>0.0</v>
      </c>
      <c r="C92" s="11">
        <f t="shared" si="2"/>
        <v>0</v>
      </c>
      <c r="E92" s="100">
        <v>81</v>
      </c>
      <c r="F92" s="343" t="n">
        <v>0.0</v>
      </c>
      <c r="G92" s="11">
        <f t="shared" si="3"/>
        <v>0</v>
      </c>
    </row>
    <row r="93" spans="1:7" x14ac:dyDescent="0.45">
      <c r="A93">
        <v>82</v>
      </c>
      <c r="B93" s="341" t="n">
        <v>0.0</v>
      </c>
      <c r="C93" s="11">
        <f t="shared" si="2"/>
        <v>0</v>
      </c>
      <c r="E93" s="101">
        <v>82</v>
      </c>
      <c r="F93" s="343" t="n">
        <v>0.0</v>
      </c>
      <c r="G93" s="11">
        <f t="shared" si="3"/>
        <v>0</v>
      </c>
    </row>
    <row r="94" spans="1:7" x14ac:dyDescent="0.45">
      <c r="A94">
        <v>83</v>
      </c>
      <c r="B94" s="341" t="n">
        <v>0.0</v>
      </c>
      <c r="C94" s="11">
        <f t="shared" si="2"/>
        <v>0</v>
      </c>
      <c r="E94" s="102">
        <v>83</v>
      </c>
      <c r="F94" s="343" t="n">
        <v>0.0</v>
      </c>
      <c r="G94" s="11">
        <f t="shared" si="3"/>
        <v>0</v>
      </c>
    </row>
    <row r="95" spans="1:7" x14ac:dyDescent="0.45">
      <c r="A95">
        <v>84</v>
      </c>
      <c r="B95" s="341" t="n">
        <v>0.0</v>
      </c>
      <c r="C95" s="11">
        <f t="shared" si="2"/>
        <v>0</v>
      </c>
      <c r="E95" s="103">
        <v>84</v>
      </c>
      <c r="F95" s="343" t="n">
        <v>0.0</v>
      </c>
      <c r="G95" s="11">
        <f t="shared" si="3"/>
        <v>0</v>
      </c>
    </row>
    <row r="96" spans="1:7" x14ac:dyDescent="0.45">
      <c r="A96">
        <v>85</v>
      </c>
      <c r="B96" s="341" t="n">
        <v>0.0</v>
      </c>
      <c r="C96" s="11">
        <f t="shared" si="2"/>
        <v>0</v>
      </c>
      <c r="E96" s="104">
        <v>85</v>
      </c>
      <c r="F96" s="343" t="n">
        <v>0.0</v>
      </c>
      <c r="G96" s="11">
        <f t="shared" si="3"/>
        <v>0</v>
      </c>
    </row>
    <row r="97" spans="1:7" x14ac:dyDescent="0.45">
      <c r="A97">
        <v>86</v>
      </c>
      <c r="B97" s="341" t="n">
        <v>0.0</v>
      </c>
      <c r="C97" s="11">
        <f t="shared" si="2"/>
        <v>0</v>
      </c>
      <c r="E97" s="105">
        <v>86</v>
      </c>
      <c r="F97" s="343" t="n">
        <v>0.0</v>
      </c>
      <c r="G97" s="11">
        <f t="shared" si="3"/>
        <v>0</v>
      </c>
    </row>
    <row r="98" spans="1:7" x14ac:dyDescent="0.45">
      <c r="A98">
        <v>87</v>
      </c>
      <c r="B98" s="341" t="n">
        <v>0.0</v>
      </c>
      <c r="C98" s="11">
        <f t="shared" si="2"/>
        <v>0</v>
      </c>
      <c r="E98" s="106">
        <v>87</v>
      </c>
      <c r="F98" s="343" t="n">
        <v>0.0</v>
      </c>
      <c r="G98" s="11">
        <f t="shared" si="3"/>
        <v>0</v>
      </c>
    </row>
    <row r="99" spans="1:7" x14ac:dyDescent="0.45">
      <c r="A99">
        <v>88</v>
      </c>
      <c r="B99" s="341" t="n">
        <v>0.0</v>
      </c>
      <c r="C99" s="11">
        <f t="shared" si="2"/>
        <v>0</v>
      </c>
      <c r="E99" s="107">
        <v>88</v>
      </c>
      <c r="F99" s="343" t="n">
        <v>0.0</v>
      </c>
      <c r="G99" s="11">
        <f t="shared" si="3"/>
        <v>0</v>
      </c>
    </row>
    <row r="100" spans="1:7" x14ac:dyDescent="0.45">
      <c r="A100">
        <v>89</v>
      </c>
      <c r="B100" s="341" t="n">
        <v>0.0</v>
      </c>
      <c r="C100" s="11">
        <f t="shared" si="2"/>
        <v>0</v>
      </c>
      <c r="E100" s="108">
        <v>89</v>
      </c>
      <c r="F100" s="343" t="n">
        <v>0.0</v>
      </c>
      <c r="G100" s="11">
        <f t="shared" si="3"/>
        <v>0</v>
      </c>
    </row>
    <row r="101" spans="1:7" ht="14.65" thickBot="1" x14ac:dyDescent="0.5">
      <c r="A101" s="1">
        <v>90</v>
      </c>
      <c r="B101" s="342" t="n">
        <v>0.0</v>
      </c>
      <c r="C101" s="11">
        <f t="shared" si="2"/>
        <v>0</v>
      </c>
      <c r="E101" s="292">
        <v>90</v>
      </c>
      <c r="F101" s="344" t="n">
        <v>0.0</v>
      </c>
      <c r="G101" s="11">
        <f t="shared" si="3"/>
        <v>0</v>
      </c>
    </row>
    <row r="102" spans="1:7" x14ac:dyDescent="0.45">
      <c r="B102" s="341">
        <f>SUM(B11:B101)</f>
        <v>693005.6281333653</v>
      </c>
      <c r="C102" s="11">
        <f t="shared" si="2"/>
        <v>1</v>
      </c>
      <c r="F102" s="341">
        <f>SUM(F11:F101)</f>
        <v>741597</v>
      </c>
      <c r="G102" s="11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02"/>
  <sheetViews>
    <sheetView workbookViewId="0">
      <selection activeCell="G19" sqref="G19"/>
    </sheetView>
  </sheetViews>
  <sheetFormatPr defaultRowHeight="14.25" x14ac:dyDescent="0.45"/>
  <cols>
    <col min="2" max="2" bestFit="true" customWidth="true" width="9.59765625" collapsed="true"/>
  </cols>
  <sheetData>
    <row r="1" spans="1:12" x14ac:dyDescent="0.45">
      <c r="A1" t="s">
        <v>0</v>
      </c>
    </row>
    <row r="2" spans="1:12" x14ac:dyDescent="0.45">
      <c r="A2" t="s">
        <v>244</v>
      </c>
    </row>
    <row r="3" spans="1:12" x14ac:dyDescent="0.45">
      <c r="A3" t="s">
        <v>246</v>
      </c>
    </row>
    <row r="4" spans="1:12" x14ac:dyDescent="0.45">
      <c r="A4" t="s">
        <v>7</v>
      </c>
    </row>
    <row r="5" spans="1:12" x14ac:dyDescent="0.45">
      <c r="A5" t="s">
        <v>8</v>
      </c>
    </row>
    <row r="7" spans="1:12" x14ac:dyDescent="0.45">
      <c r="A7" t="s">
        <v>9</v>
      </c>
    </row>
    <row r="9" spans="1:12" ht="14.65" thickBot="1" x14ac:dyDescent="0.5">
      <c r="A9" s="4" t="s">
        <v>35</v>
      </c>
      <c r="B9" s="1"/>
      <c r="E9" s="4" t="s">
        <v>11</v>
      </c>
      <c r="F9" s="1"/>
      <c r="J9" s="10" t="s">
        <v>18</v>
      </c>
    </row>
    <row r="10" spans="1:12" x14ac:dyDescent="0.45">
      <c r="A10" s="2" t="s">
        <v>15</v>
      </c>
      <c r="B10" s="5" t="s">
        <v>4</v>
      </c>
      <c r="C10" s="5" t="s">
        <v>36</v>
      </c>
      <c r="E10" s="2" t="s">
        <v>15</v>
      </c>
      <c r="F10" s="5" t="s">
        <v>4</v>
      </c>
      <c r="G10" s="5" t="s">
        <v>16</v>
      </c>
      <c r="J10" s="2"/>
      <c r="K10" s="5" t="s">
        <v>36</v>
      </c>
      <c r="L10" s="5" t="s">
        <v>16</v>
      </c>
    </row>
    <row r="11" spans="1:12" x14ac:dyDescent="0.45">
      <c r="A11">
        <v>0</v>
      </c>
      <c r="B11" s="8" t="n">
        <v>0.0</v>
      </c>
      <c r="C11" s="11">
        <f>B11/B$102</f>
        <v>0</v>
      </c>
      <c r="E11" s="109">
        <v>0</v>
      </c>
      <c r="F11" s="199" t="n">
        <v>12585.0</v>
      </c>
      <c r="G11" s="11">
        <f>F11/F$102</f>
        <v>2.2020045927909633E-2</v>
      </c>
      <c r="K11" s="8" t="n">
        <v>21.438274583191962</v>
      </c>
      <c r="L11" s="8" t="n">
        <v>17.46062240840319</v>
      </c>
    </row>
    <row r="12" spans="1:12" x14ac:dyDescent="0.45">
      <c r="A12">
        <v>1</v>
      </c>
      <c r="B12" s="8" t="n">
        <v>1213.9305369145</v>
      </c>
      <c r="C12" s="11">
        <f>B12/B$102</f>
        <v>1.7516892902937368E-3</v>
      </c>
      <c r="E12" s="110">
        <v>1</v>
      </c>
      <c r="F12" s="200" t="n">
        <v>25614.0</v>
      </c>
      <c r="G12" s="11">
        <f>F12/F$102</f>
        <v>3.4493127669070936E-2</v>
      </c>
      <c r="K12" s="8"/>
      <c r="L12" s="290"/>
    </row>
    <row r="13" spans="1:12" x14ac:dyDescent="0.45">
      <c r="A13">
        <v>2</v>
      </c>
      <c r="B13" s="8" t="n">
        <v>3724.920708267</v>
      </c>
      <c r="C13" s="11">
        <f t="shared" ref="C13:C76" si="0">B13/B$102</f>
        <v>5.375022304364545E-3</v>
      </c>
      <c r="E13" s="111">
        <v>2</v>
      </c>
      <c r="F13" s="201" t="n">
        <v>32366.0</v>
      </c>
      <c r="G13" s="11">
        <f t="shared" ref="G13:G76" si="1">F13/F$102</f>
        <v>4.374208633530071E-2</v>
      </c>
    </row>
    <row r="14" spans="1:12" x14ac:dyDescent="0.45">
      <c r="A14">
        <v>3</v>
      </c>
      <c r="B14" s="8" t="n">
        <v>2645.2681830725</v>
      </c>
      <c r="C14" s="11">
        <f t="shared" si="0"/>
        <v>3.817094805128238E-3</v>
      </c>
      <c r="E14" s="112">
        <v>3</v>
      </c>
      <c r="F14" s="202" t="n">
        <v>32231.0</v>
      </c>
      <c r="G14" s="11">
        <f t="shared" si="1"/>
        <v>4.3767706719417689E-2</v>
      </c>
    </row>
    <row r="15" spans="1:12" x14ac:dyDescent="0.45">
      <c r="A15">
        <v>4</v>
      </c>
      <c r="B15" s="8" t="n">
        <v>9602.4646316111</v>
      </c>
      <c r="C15" s="11">
        <f t="shared" si="0"/>
        <v>1.3856257787509851E-2</v>
      </c>
      <c r="E15" s="113">
        <v>4</v>
      </c>
      <c r="F15" s="203" t="n">
        <v>28825.0</v>
      </c>
      <c r="G15" s="11">
        <f t="shared" si="1"/>
        <v>3.8907924384807384E-2</v>
      </c>
    </row>
    <row r="16" spans="1:12" x14ac:dyDescent="0.45">
      <c r="A16">
        <v>5</v>
      </c>
      <c r="B16" s="8" t="n">
        <v>19641.0360625307</v>
      </c>
      <c r="C16" s="11">
        <f t="shared" si="0"/>
        <v>2.8341813204943965E-2</v>
      </c>
      <c r="E16" s="114">
        <v>5</v>
      </c>
      <c r="F16" s="204" t="n">
        <v>25968.0</v>
      </c>
      <c r="G16" s="11">
        <f t="shared" si="1"/>
        <v>3.4694045418198836E-2</v>
      </c>
    </row>
    <row r="17" spans="1:7" x14ac:dyDescent="0.45">
      <c r="A17">
        <v>6</v>
      </c>
      <c r="B17" s="8" t="n">
        <v>8000.9955353446</v>
      </c>
      <c r="C17" s="11">
        <f t="shared" si="0"/>
        <v>1.1545354338456904E-2</v>
      </c>
      <c r="E17" s="115">
        <v>6</v>
      </c>
      <c r="F17" s="205" t="n">
        <v>23542.0</v>
      </c>
      <c r="G17" s="11">
        <f t="shared" si="1"/>
        <v>3.1438908194073065E-2</v>
      </c>
    </row>
    <row r="18" spans="1:7" x14ac:dyDescent="0.45">
      <c r="A18">
        <v>7</v>
      </c>
      <c r="B18" s="8" t="n">
        <v>16161.2361329308</v>
      </c>
      <c r="C18" s="11">
        <f t="shared" si="0"/>
        <v>2.3320497665309949E-2</v>
      </c>
      <c r="E18" s="116">
        <v>7</v>
      </c>
      <c r="F18" s="206" t="n">
        <v>21784.0</v>
      </c>
      <c r="G18" s="11">
        <f t="shared" si="1"/>
        <v>2.9594240537650501E-2</v>
      </c>
    </row>
    <row r="19" spans="1:7" x14ac:dyDescent="0.45">
      <c r="A19">
        <v>8</v>
      </c>
      <c r="B19" s="8" t="n">
        <v>5561.0997682348</v>
      </c>
      <c r="C19" s="11">
        <f t="shared" si="0"/>
        <v>8.0246098191349684E-3</v>
      </c>
      <c r="E19" s="117">
        <v>8</v>
      </c>
      <c r="F19" s="207" t="n">
        <v>18768.0</v>
      </c>
      <c r="G19" s="11">
        <f t="shared" si="1"/>
        <v>2.5415421044044137E-2</v>
      </c>
    </row>
    <row r="20" spans="1:7" x14ac:dyDescent="0.45">
      <c r="A20">
        <v>9</v>
      </c>
      <c r="B20" s="8" t="n">
        <v>8656.5417390791</v>
      </c>
      <c r="C20" s="11">
        <f t="shared" si="0"/>
        <v>1.2491300773986204E-2</v>
      </c>
      <c r="E20" s="118">
        <v>9</v>
      </c>
      <c r="F20" s="208" t="n">
        <v>17442.0</v>
      </c>
      <c r="G20" s="11">
        <f t="shared" si="1"/>
        <v>2.3570753387621581E-2</v>
      </c>
    </row>
    <row r="21" spans="1:7" x14ac:dyDescent="0.45">
      <c r="A21">
        <v>10</v>
      </c>
      <c r="B21" s="8" t="n">
        <v>7359.6219826975</v>
      </c>
      <c r="C21" s="11">
        <f t="shared" si="0"/>
        <v>1.0619858892807116E-2</v>
      </c>
      <c r="E21" s="119">
        <v>10</v>
      </c>
      <c r="F21" s="209" t="n">
        <v>16239.0</v>
      </c>
      <c r="G21" s="11">
        <f t="shared" si="1"/>
        <v>2.1875762712092958E-2</v>
      </c>
    </row>
    <row r="22" spans="1:7" x14ac:dyDescent="0.45">
      <c r="A22">
        <v>11</v>
      </c>
      <c r="B22" s="8" t="n">
        <v>10031.66077502</v>
      </c>
      <c r="C22" s="11">
        <f t="shared" si="0"/>
        <v>1.4475583411985595E-2</v>
      </c>
      <c r="E22" s="120">
        <v>11</v>
      </c>
      <c r="F22" s="210" t="n">
        <v>14306.0</v>
      </c>
      <c r="G22" s="11">
        <f t="shared" si="1"/>
        <v>1.9506551401906966E-2</v>
      </c>
    </row>
    <row r="23" spans="1:7" x14ac:dyDescent="0.45">
      <c r="A23">
        <v>12</v>
      </c>
      <c r="B23" s="8" t="n">
        <v>15301.0160014367</v>
      </c>
      <c r="C23" s="11">
        <f t="shared" si="0"/>
        <v>2.2079208855273681E-2</v>
      </c>
      <c r="E23" s="121">
        <v>12</v>
      </c>
      <c r="F23" s="211" t="n">
        <v>13270.0</v>
      </c>
      <c r="G23" s="11">
        <f t="shared" si="1"/>
        <v>1.803540197708459E-2</v>
      </c>
    </row>
    <row r="24" spans="1:7" x14ac:dyDescent="0.45">
      <c r="A24">
        <v>13</v>
      </c>
      <c r="B24" s="8" t="n">
        <v>23277.0725717489</v>
      </c>
      <c r="C24" s="11">
        <f t="shared" si="0"/>
        <v>3.3588576523464177E-2</v>
      </c>
      <c r="E24" s="122">
        <v>13</v>
      </c>
      <c r="F24" s="212" t="n">
        <v>11487.0</v>
      </c>
      <c r="G24" s="11">
        <f t="shared" si="1"/>
        <v>1.5587981073278344E-2</v>
      </c>
    </row>
    <row r="25" spans="1:7" x14ac:dyDescent="0.45">
      <c r="A25">
        <v>14</v>
      </c>
      <c r="B25" s="8" t="n">
        <v>16064.9921828491</v>
      </c>
      <c r="C25" s="11">
        <f t="shared" si="0"/>
        <v>2.3181618634354695E-2</v>
      </c>
      <c r="E25" s="123">
        <v>14</v>
      </c>
      <c r="F25" s="213" t="n">
        <v>10651.0</v>
      </c>
      <c r="G25" s="11">
        <f t="shared" si="1"/>
        <v>1.4476865467363001E-2</v>
      </c>
    </row>
    <row r="26" spans="1:7" x14ac:dyDescent="0.45">
      <c r="A26">
        <v>15</v>
      </c>
      <c r="B26" s="8" t="n">
        <v>8465.853863869701</v>
      </c>
      <c r="C26" s="11">
        <f t="shared" si="0"/>
        <v>1.2216140129587074E-2</v>
      </c>
      <c r="E26" s="124">
        <v>15</v>
      </c>
      <c r="F26" s="214" t="n">
        <v>9062.0</v>
      </c>
      <c r="G26" s="11">
        <f t="shared" si="1"/>
        <v>1.2255982696801632E-2</v>
      </c>
    </row>
    <row r="27" spans="1:7" x14ac:dyDescent="0.45">
      <c r="A27">
        <v>16</v>
      </c>
      <c r="B27" s="8" t="n">
        <v>29706.9973393438</v>
      </c>
      <c r="C27" s="11">
        <f t="shared" si="0"/>
        <v>4.286689188854155E-2</v>
      </c>
      <c r="E27" s="125">
        <v>16</v>
      </c>
      <c r="F27" s="215" t="n">
        <v>9239.0</v>
      </c>
      <c r="G27" s="11">
        <f t="shared" si="1"/>
        <v>1.2326101642805998E-2</v>
      </c>
    </row>
    <row r="28" spans="1:7" x14ac:dyDescent="0.45">
      <c r="A28">
        <v>17</v>
      </c>
      <c r="B28" s="8" t="n">
        <v>18898.32397571</v>
      </c>
      <c r="C28" s="11">
        <f t="shared" si="0"/>
        <v>2.7270087295846773E-2</v>
      </c>
      <c r="E28" s="126">
        <v>17</v>
      </c>
      <c r="F28" s="216" t="n">
        <v>7458.0</v>
      </c>
      <c r="G28" s="11">
        <f t="shared" si="1"/>
        <v>1.0560992021273009E-2</v>
      </c>
    </row>
    <row r="29" spans="1:7" x14ac:dyDescent="0.45">
      <c r="A29">
        <v>18</v>
      </c>
      <c r="B29" s="8" t="n">
        <v>87092.3056741732</v>
      </c>
      <c r="C29" s="11">
        <f t="shared" si="0"/>
        <v>0.12567330211842484</v>
      </c>
      <c r="E29" s="127">
        <v>18</v>
      </c>
      <c r="F29" s="217" t="n">
        <v>70886.0</v>
      </c>
      <c r="G29" s="11">
        <f t="shared" si="1"/>
        <v>9.6889550524071694E-2</v>
      </c>
    </row>
    <row r="30" spans="1:7" x14ac:dyDescent="0.45">
      <c r="A30">
        <v>19</v>
      </c>
      <c r="B30" s="8" t="n">
        <v>38877.9770599762</v>
      </c>
      <c r="C30" s="11">
        <f t="shared" si="0"/>
        <v>5.6100521383492044E-2</v>
      </c>
      <c r="E30" s="128">
        <v>19</v>
      </c>
      <c r="F30" s="218" t="n">
        <v>25770.0</v>
      </c>
      <c r="G30" s="11">
        <f t="shared" si="1"/>
        <v>3.4441886900836979E-2</v>
      </c>
    </row>
    <row r="31" spans="1:7" x14ac:dyDescent="0.45">
      <c r="A31">
        <v>20</v>
      </c>
      <c r="B31" s="8" t="n">
        <v>53231.2618817285</v>
      </c>
      <c r="C31" s="11">
        <f t="shared" si="0"/>
        <v>7.6812163885463303E-2</v>
      </c>
      <c r="E31" s="129">
        <v>20</v>
      </c>
      <c r="F31" s="219" t="n">
        <v>28844.0</v>
      </c>
      <c r="G31" s="11">
        <f t="shared" si="1"/>
        <v>3.7479925080603077E-2</v>
      </c>
    </row>
    <row r="32" spans="1:7" x14ac:dyDescent="0.45">
      <c r="A32">
        <v>21</v>
      </c>
      <c r="B32" s="8" t="n">
        <v>48937.8608934801</v>
      </c>
      <c r="C32" s="11">
        <f t="shared" si="0"/>
        <v>7.061683037884689E-2</v>
      </c>
      <c r="E32" s="130">
        <v>21</v>
      </c>
      <c r="F32" s="220" t="n">
        <v>28047.0</v>
      </c>
      <c r="G32" s="11">
        <f t="shared" si="1"/>
        <v>3.8061103267677726E-2</v>
      </c>
    </row>
    <row r="33" spans="1:7" x14ac:dyDescent="0.45">
      <c r="A33">
        <v>22</v>
      </c>
      <c r="B33" s="8" t="n">
        <v>38944.0603750188</v>
      </c>
      <c r="C33" s="11">
        <f t="shared" si="0"/>
        <v>5.6195878928019645E-2</v>
      </c>
      <c r="E33" s="131">
        <v>22</v>
      </c>
      <c r="F33" s="221" t="n">
        <v>28844.0</v>
      </c>
      <c r="G33" s="11">
        <f t="shared" si="1"/>
        <v>3.8782519346761114E-2</v>
      </c>
    </row>
    <row r="34" spans="1:7" x14ac:dyDescent="0.45">
      <c r="A34">
        <v>23</v>
      </c>
      <c r="B34" s="8" t="n">
        <v>18480.310125207</v>
      </c>
      <c r="C34" s="11">
        <f t="shared" si="0"/>
        <v>2.666689760512387E-2</v>
      </c>
      <c r="E34" s="132">
        <v>23</v>
      </c>
      <c r="F34" s="222" t="n">
        <v>20129.0</v>
      </c>
      <c r="G34" s="11">
        <f t="shared" si="1"/>
        <v>2.7885765449428734E-2</v>
      </c>
    </row>
    <row r="35" spans="1:7" x14ac:dyDescent="0.45">
      <c r="A35">
        <v>24</v>
      </c>
      <c r="B35" s="8" t="n">
        <v>14734.3944023222</v>
      </c>
      <c r="C35" s="11">
        <f t="shared" si="0"/>
        <v>2.1261579710412745E-2</v>
      </c>
      <c r="E35" s="133">
        <v>24</v>
      </c>
      <c r="F35" s="223" t="n">
        <v>22263.0</v>
      </c>
      <c r="G35" s="11">
        <f t="shared" si="1"/>
        <v>2.2334232743659966E-2</v>
      </c>
    </row>
    <row r="36" spans="1:7" x14ac:dyDescent="0.45">
      <c r="A36">
        <v>25</v>
      </c>
      <c r="B36" s="8" t="n">
        <v>10746.7671929896</v>
      </c>
      <c r="C36" s="11">
        <f t="shared" si="0"/>
        <v>1.5507474624609314E-2</v>
      </c>
      <c r="E36" s="134">
        <v>25</v>
      </c>
      <c r="F36" s="224" t="n">
        <v>14887.0</v>
      </c>
      <c r="G36" s="11">
        <f t="shared" si="1"/>
        <v>3.2512267444447594E-2</v>
      </c>
    </row>
    <row r="37" spans="1:7" x14ac:dyDescent="0.45">
      <c r="A37">
        <v>26</v>
      </c>
      <c r="B37" s="8" t="n">
        <v>49781.3005479815</v>
      </c>
      <c r="C37" s="11">
        <f t="shared" si="0"/>
        <v>7.183390513302057E-2</v>
      </c>
      <c r="E37" s="135">
        <v>26</v>
      </c>
      <c r="F37" s="225" t="n">
        <v>16917.0</v>
      </c>
      <c r="G37" s="11">
        <f t="shared" si="1"/>
        <v>1.5405941501920855E-2</v>
      </c>
    </row>
    <row r="38" spans="1:7" x14ac:dyDescent="0.45">
      <c r="A38">
        <v>27</v>
      </c>
      <c r="B38" s="8" t="n">
        <v>5870.9688970816</v>
      </c>
      <c r="C38" s="11">
        <f t="shared" si="0"/>
        <v>8.4717477878141594E-3</v>
      </c>
      <c r="E38" s="136">
        <v>27</v>
      </c>
      <c r="F38" s="226" t="n">
        <v>10180.0</v>
      </c>
      <c r="G38" s="11">
        <f t="shared" si="1"/>
        <v>2.105725886161891E-2</v>
      </c>
    </row>
    <row r="39" spans="1:7" x14ac:dyDescent="0.45">
      <c r="A39">
        <v>28</v>
      </c>
      <c r="B39" s="8" t="n">
        <v>18355.4837541039</v>
      </c>
      <c r="C39" s="11">
        <f t="shared" si="0"/>
        <v>2.6486774434350605E-2</v>
      </c>
      <c r="E39" s="137">
        <v>28</v>
      </c>
      <c r="F39" s="227" t="n">
        <v>10392.0</v>
      </c>
      <c r="G39" s="11">
        <f t="shared" si="1"/>
        <v>1.3608469289924312E-2</v>
      </c>
    </row>
    <row r="40" spans="1:7" x14ac:dyDescent="0.45">
      <c r="A40">
        <v>29</v>
      </c>
      <c r="B40" s="8" t="n">
        <v>7071.405267097301</v>
      </c>
      <c r="C40" s="11">
        <f t="shared" si="0"/>
        <v>1.0203965133940363E-2</v>
      </c>
      <c r="E40" s="138">
        <v>29</v>
      </c>
      <c r="F40" s="228" t="n">
        <v>14782.0</v>
      </c>
      <c r="G40" s="11">
        <f t="shared" si="1"/>
        <v>1.4950168352892474E-2</v>
      </c>
    </row>
    <row r="41" spans="1:7" x14ac:dyDescent="0.45">
      <c r="A41">
        <v>30</v>
      </c>
      <c r="B41" s="8" t="n">
        <v>2720.998350516</v>
      </c>
      <c r="C41" s="11">
        <f t="shared" si="0"/>
        <v>3.9263726585382908E-3</v>
      </c>
      <c r="E41" s="139">
        <v>30</v>
      </c>
      <c r="F41" s="229" t="n">
        <v>17408.0</v>
      </c>
      <c r="G41" s="11">
        <f t="shared" si="1"/>
        <v>3.3009842272824726E-2</v>
      </c>
    </row>
    <row r="42" spans="1:7" x14ac:dyDescent="0.45">
      <c r="A42">
        <v>31</v>
      </c>
      <c r="B42" s="8" t="n">
        <v>3225.8521512005</v>
      </c>
      <c r="C42" s="11">
        <f t="shared" si="0"/>
        <v>4.6548715049969285E-3</v>
      </c>
      <c r="E42" s="140">
        <v>31</v>
      </c>
      <c r="F42" s="230" t="n">
        <v>8801.0</v>
      </c>
      <c r="G42" s="11">
        <f t="shared" si="1"/>
        <v>1.4346066664239472E-2</v>
      </c>
    </row>
    <row r="43" spans="1:7" x14ac:dyDescent="0.45">
      <c r="A43">
        <v>32</v>
      </c>
      <c r="B43" s="8" t="n">
        <v>4062.4202194034997</v>
      </c>
      <c r="C43" s="11">
        <f t="shared" si="0"/>
        <v>5.8620306307551493E-3</v>
      </c>
      <c r="E43" s="141">
        <v>32</v>
      </c>
      <c r="F43" s="231" t="n">
        <v>11788.0</v>
      </c>
      <c r="G43" s="11">
        <f t="shared" si="1"/>
        <v>1.8991446837028737E-2</v>
      </c>
    </row>
    <row r="44" spans="1:7" x14ac:dyDescent="0.45">
      <c r="A44">
        <v>33</v>
      </c>
      <c r="B44" s="8" t="n">
        <v>3850.7217127266</v>
      </c>
      <c r="C44" s="11">
        <f t="shared" si="0"/>
        <v>5.5565518610558072E-3</v>
      </c>
      <c r="E44" s="142">
        <v>33</v>
      </c>
      <c r="F44" s="232" t="n">
        <v>15120.0</v>
      </c>
      <c r="G44" s="11">
        <f t="shared" si="1"/>
        <v>2.157236342649714E-2</v>
      </c>
    </row>
    <row r="45" spans="1:7" x14ac:dyDescent="0.45">
      <c r="A45">
        <v>34</v>
      </c>
      <c r="B45" s="8" t="n">
        <v>7610.0547515784</v>
      </c>
      <c r="C45" s="11">
        <f t="shared" si="0"/>
        <v>1.0981230804829604E-2</v>
      </c>
      <c r="E45" s="143">
        <v>34</v>
      </c>
      <c r="F45" s="233" t="n">
        <v>5549.0</v>
      </c>
      <c r="G45" s="11">
        <f t="shared" si="1"/>
        <v>8.2875200412083645E-3</v>
      </c>
    </row>
    <row r="46" spans="1:7" x14ac:dyDescent="0.45">
      <c r="A46">
        <v>35</v>
      </c>
      <c r="B46" s="8" t="n">
        <v>1448.9269749027</v>
      </c>
      <c r="C46" s="11">
        <f t="shared" si="0"/>
        <v>2.0907867354633685E-3</v>
      </c>
      <c r="E46" s="144">
        <v>35</v>
      </c>
      <c r="F46" s="234" t="n">
        <v>4168.0</v>
      </c>
      <c r="G46" s="11">
        <f t="shared" si="1"/>
        <v>4.4619921601624602E-3</v>
      </c>
    </row>
    <row r="47" spans="1:7" x14ac:dyDescent="0.45">
      <c r="A47">
        <v>36</v>
      </c>
      <c r="B47" s="8" t="n">
        <v>1422.0057125692</v>
      </c>
      <c r="C47" s="11">
        <f t="shared" si="0"/>
        <v>2.051939630561763E-3</v>
      </c>
      <c r="E47" s="145">
        <v>36</v>
      </c>
      <c r="F47" s="235" t="n">
        <v>5426.0</v>
      </c>
      <c r="G47" s="11">
        <f t="shared" si="1"/>
        <v>5.7578442199739208E-3</v>
      </c>
    </row>
    <row r="48" spans="1:7" x14ac:dyDescent="0.45">
      <c r="A48">
        <v>37</v>
      </c>
      <c r="B48" s="8" t="n">
        <v>10426.127244151</v>
      </c>
      <c r="C48" s="11">
        <f t="shared" si="0"/>
        <v>1.5044794473363996E-2</v>
      </c>
      <c r="E48" s="146">
        <v>37</v>
      </c>
      <c r="F48" s="236" t="n">
        <v>5378.0</v>
      </c>
      <c r="G48" s="11">
        <f t="shared" si="1"/>
        <v>6.2446315181965409E-3</v>
      </c>
    </row>
    <row r="49" spans="1:7" x14ac:dyDescent="0.45">
      <c r="A49">
        <v>38</v>
      </c>
      <c r="B49" s="8" t="n">
        <v>8690.7760060842</v>
      </c>
      <c r="C49" s="11">
        <f t="shared" si="0"/>
        <v>1.2540700469479743E-2</v>
      </c>
      <c r="E49" s="147">
        <v>38</v>
      </c>
      <c r="F49" s="237" t="n">
        <v>2862.0</v>
      </c>
      <c r="G49" s="11">
        <f t="shared" si="1"/>
        <v>8.6017068569586991E-3</v>
      </c>
    </row>
    <row r="50" spans="1:7" x14ac:dyDescent="0.45">
      <c r="A50">
        <v>39</v>
      </c>
      <c r="B50" s="8" t="n">
        <v>1092.3468692406</v>
      </c>
      <c r="C50" s="11">
        <f t="shared" si="0"/>
        <v>1.5762453072464566E-3</v>
      </c>
      <c r="E50" s="148">
        <v>39</v>
      </c>
      <c r="F50" s="238" t="n">
        <v>7688.0</v>
      </c>
      <c r="G50" s="11">
        <f t="shared" si="1"/>
        <v>4.1451084618734976E-3</v>
      </c>
    </row>
    <row r="51" spans="1:7" x14ac:dyDescent="0.45">
      <c r="A51">
        <v>40</v>
      </c>
      <c r="B51" s="8" t="n">
        <v>515.9615593377</v>
      </c>
      <c r="C51" s="11">
        <f t="shared" si="0"/>
        <v>7.4452722805074521E-4</v>
      </c>
      <c r="E51" s="149">
        <v>40</v>
      </c>
      <c r="F51" s="239" t="n">
        <v>2132.0</v>
      </c>
      <c r="G51" s="11">
        <f t="shared" si="1"/>
        <v>3.1135508908477247E-3</v>
      </c>
    </row>
    <row r="52" spans="1:7" x14ac:dyDescent="0.45">
      <c r="A52">
        <v>41</v>
      </c>
      <c r="B52" s="8" t="n">
        <v>2505.9070916342002</v>
      </c>
      <c r="C52" s="11">
        <f t="shared" si="0"/>
        <v>3.6159981822715464E-3</v>
      </c>
      <c r="E52" s="150">
        <v>41</v>
      </c>
      <c r="F52" s="240" t="n">
        <v>4582.0</v>
      </c>
      <c r="G52" s="11">
        <f t="shared" si="1"/>
        <v>7.0361665432842908E-3</v>
      </c>
    </row>
    <row r="53" spans="1:7" x14ac:dyDescent="0.45">
      <c r="A53">
        <v>42</v>
      </c>
      <c r="B53" s="8" t="n">
        <v>1195.9900334889999</v>
      </c>
      <c r="C53" s="11">
        <f t="shared" si="0"/>
        <v>1.7258013282091813E-3</v>
      </c>
      <c r="E53" s="151">
        <v>42</v>
      </c>
      <c r="F53" s="241" t="n">
        <v>1307.0</v>
      </c>
      <c r="G53" s="11">
        <f t="shared" si="1"/>
        <v>1.882424011963371E-3</v>
      </c>
    </row>
    <row r="54" spans="1:7" x14ac:dyDescent="0.45">
      <c r="A54">
        <v>43</v>
      </c>
      <c r="B54" s="8" t="n">
        <v>0.0</v>
      </c>
      <c r="C54" s="11">
        <f t="shared" si="0"/>
        <v>0</v>
      </c>
      <c r="E54" s="152">
        <v>43</v>
      </c>
      <c r="F54" s="242" t="n">
        <v>2605.0</v>
      </c>
      <c r="G54" s="11">
        <f t="shared" si="1"/>
        <v>2.1561575896342621E-3</v>
      </c>
    </row>
    <row r="55" spans="1:7" x14ac:dyDescent="0.45">
      <c r="A55">
        <v>44</v>
      </c>
      <c r="B55" s="8" t="n">
        <v>157.2505044592</v>
      </c>
      <c r="C55" s="11">
        <f t="shared" si="0"/>
        <v>2.2691086201241927E-4</v>
      </c>
      <c r="E55" s="153">
        <v>44</v>
      </c>
      <c r="F55" s="243" t="n">
        <v>611.0</v>
      </c>
      <c r="G55" s="11">
        <f t="shared" si="1"/>
        <v>4.4512046300079419E-3</v>
      </c>
    </row>
    <row r="56" spans="1:7" x14ac:dyDescent="0.45">
      <c r="A56">
        <v>45</v>
      </c>
      <c r="B56" s="8" t="n">
        <v>28048.9221955688</v>
      </c>
      <c r="C56" s="11">
        <f t="shared" si="0"/>
        <v>4.0474306494623351E-2</v>
      </c>
      <c r="E56" s="154">
        <v>45</v>
      </c>
      <c r="F56" s="244" t="n">
        <v>706.0</v>
      </c>
      <c r="G56" s="11">
        <f t="shared" si="1"/>
        <v>1.4091211264338987E-3</v>
      </c>
    </row>
    <row r="57" spans="1:7" x14ac:dyDescent="0.45">
      <c r="A57">
        <v>46</v>
      </c>
      <c r="B57" s="8" t="n">
        <v>1606.876750787</v>
      </c>
      <c r="C57" s="11">
        <f t="shared" si="0"/>
        <v>2.3187066389564227E-3</v>
      </c>
      <c r="E57" s="155">
        <v>46</v>
      </c>
      <c r="F57" s="245" t="n">
        <v>1499.0</v>
      </c>
      <c r="G57" s="11">
        <f t="shared" si="1"/>
        <v>1.8096081834203751E-3</v>
      </c>
    </row>
    <row r="58" spans="1:7" x14ac:dyDescent="0.45">
      <c r="A58">
        <v>47</v>
      </c>
      <c r="B58" s="8" t="n">
        <v>1338.746931964</v>
      </c>
      <c r="C58" s="11">
        <f t="shared" si="0"/>
        <v>1.931798065724172E-3</v>
      </c>
      <c r="E58" s="156">
        <v>47</v>
      </c>
      <c r="F58" s="246" t="n">
        <v>1462.0</v>
      </c>
      <c r="G58" s="11">
        <f t="shared" si="1"/>
        <v>1.882424011963371E-3</v>
      </c>
    </row>
    <row r="59" spans="1:7" x14ac:dyDescent="0.45">
      <c r="A59">
        <v>48</v>
      </c>
      <c r="B59" s="8" t="n">
        <v>0.0</v>
      </c>
      <c r="C59" s="11">
        <f t="shared" si="0"/>
        <v>0</v>
      </c>
      <c r="E59" s="157">
        <v>48</v>
      </c>
      <c r="F59" s="247" t="n">
        <v>612.0</v>
      </c>
      <c r="G59" s="11">
        <f t="shared" si="1"/>
        <v>8.8188059013183709E-4</v>
      </c>
    </row>
    <row r="60" spans="1:7" x14ac:dyDescent="0.45">
      <c r="A60">
        <v>49</v>
      </c>
      <c r="B60" s="8" t="n">
        <v>0.0</v>
      </c>
      <c r="C60" s="11">
        <f t="shared" si="0"/>
        <v>0</v>
      </c>
      <c r="E60" s="158">
        <v>49</v>
      </c>
      <c r="F60" s="248" t="n">
        <v>743.0</v>
      </c>
      <c r="G60" s="11">
        <f t="shared" si="1"/>
        <v>7.7670217112528776E-4</v>
      </c>
    </row>
    <row r="61" spans="1:7" x14ac:dyDescent="0.45">
      <c r="A61">
        <v>50</v>
      </c>
      <c r="B61" s="8" t="n">
        <v>0.0</v>
      </c>
      <c r="C61" s="11">
        <f t="shared" si="0"/>
        <v>0</v>
      </c>
      <c r="E61" s="159">
        <v>50</v>
      </c>
      <c r="F61" s="249" t="n">
        <v>1827.0</v>
      </c>
      <c r="G61" s="11">
        <f t="shared" si="1"/>
        <v>4.1531991094893855E-4</v>
      </c>
    </row>
    <row r="62" spans="1:7" x14ac:dyDescent="0.45">
      <c r="A62">
        <v>51</v>
      </c>
      <c r="B62" s="8" t="n">
        <v>0.0</v>
      </c>
      <c r="C62" s="11">
        <f t="shared" si="0"/>
        <v>0</v>
      </c>
      <c r="E62" s="160">
        <v>51</v>
      </c>
      <c r="F62" s="250" t="n">
        <v>256.0</v>
      </c>
      <c r="G62" s="11">
        <f t="shared" si="1"/>
        <v>3.4520096494457231E-4</v>
      </c>
    </row>
    <row r="63" spans="1:7" x14ac:dyDescent="0.45">
      <c r="A63">
        <v>52</v>
      </c>
      <c r="B63" s="8" t="n">
        <v>1089.82717822</v>
      </c>
      <c r="C63" s="11">
        <f t="shared" si="0"/>
        <v>1.5726094189963324E-3</v>
      </c>
      <c r="E63" s="161">
        <v>52</v>
      </c>
      <c r="F63" s="251" t="n">
        <v>1664.0</v>
      </c>
      <c r="G63" s="11">
        <f t="shared" si="1"/>
        <v>3.5464005382977547E-4</v>
      </c>
    </row>
    <row r="64" spans="1:7" x14ac:dyDescent="0.45">
      <c r="A64">
        <v>53</v>
      </c>
      <c r="B64" s="8" t="n">
        <v>0.0</v>
      </c>
      <c r="C64" s="11">
        <f t="shared" si="0"/>
        <v>0</v>
      </c>
      <c r="E64" s="162">
        <v>53</v>
      </c>
      <c r="F64" s="252" t="n">
        <v>426.0</v>
      </c>
      <c r="G64" s="11">
        <f t="shared" si="1"/>
        <v>2.9935396178787133E-4</v>
      </c>
    </row>
    <row r="65" spans="1:7" x14ac:dyDescent="0.45">
      <c r="A65">
        <v>54</v>
      </c>
      <c r="B65" s="8" t="n">
        <v>10526.631561496999</v>
      </c>
      <c r="C65" s="11">
        <f t="shared" si="0"/>
        <v>1.5189821170501669E-2</v>
      </c>
      <c r="E65" s="163">
        <v>54</v>
      </c>
      <c r="F65" s="253" t="n">
        <v>232.0</v>
      </c>
      <c r="G65" s="11">
        <f t="shared" si="1"/>
        <v>3.9779017444784703E-4</v>
      </c>
    </row>
    <row r="66" spans="1:7" x14ac:dyDescent="0.45">
      <c r="A66">
        <v>55</v>
      </c>
      <c r="B66" s="8" t="n">
        <v>183.053312801</v>
      </c>
      <c r="C66" s="11">
        <f t="shared" si="0"/>
        <v>2.6414404929734909E-4</v>
      </c>
      <c r="E66" s="164">
        <v>55</v>
      </c>
      <c r="F66" s="254" t="n">
        <v>155.0</v>
      </c>
      <c r="G66" s="11">
        <f t="shared" si="1"/>
        <v>4.3015276491140066E-4</v>
      </c>
    </row>
    <row r="67" spans="1:7" x14ac:dyDescent="0.45">
      <c r="A67">
        <v>56</v>
      </c>
      <c r="B67" s="8" t="n">
        <v>0.0</v>
      </c>
      <c r="C67" s="11">
        <f t="shared" si="0"/>
        <v>0</v>
      </c>
      <c r="E67" s="165">
        <v>56</v>
      </c>
      <c r="F67" s="255" t="n">
        <v>130.0</v>
      </c>
      <c r="G67" s="11">
        <f t="shared" si="1"/>
        <v>4.3150120618071539E-4</v>
      </c>
    </row>
    <row r="68" spans="1:7" x14ac:dyDescent="0.45">
      <c r="A68">
        <v>57</v>
      </c>
      <c r="B68" s="8" t="n">
        <v>0.0</v>
      </c>
      <c r="C68" s="11">
        <f t="shared" si="0"/>
        <v>0</v>
      </c>
      <c r="E68" s="166">
        <v>57</v>
      </c>
      <c r="F68" s="256" t="n">
        <v>112.0</v>
      </c>
      <c r="G68" s="11">
        <f t="shared" si="1"/>
        <v>1.4293477454736198E-4</v>
      </c>
    </row>
    <row r="69" spans="1:7" x14ac:dyDescent="0.45">
      <c r="A69">
        <v>58</v>
      </c>
      <c r="B69" s="8" t="n">
        <v>0.0</v>
      </c>
      <c r="C69" s="11">
        <f t="shared" si="0"/>
        <v>0</v>
      </c>
      <c r="E69" s="167">
        <v>58</v>
      </c>
      <c r="F69" s="257" t="n">
        <v>148.0</v>
      </c>
      <c r="G69" s="11">
        <f t="shared" si="1"/>
        <v>1.0382997773723464E-4</v>
      </c>
    </row>
    <row r="70" spans="1:7" x14ac:dyDescent="0.45">
      <c r="A70">
        <v>59</v>
      </c>
      <c r="B70" s="8" t="n">
        <v>0.0</v>
      </c>
      <c r="C70" s="11">
        <f t="shared" si="0"/>
        <v>0</v>
      </c>
      <c r="E70" s="168">
        <v>59</v>
      </c>
      <c r="F70" s="258" t="n">
        <v>66.0</v>
      </c>
      <c r="G70" s="11">
        <f t="shared" si="1"/>
        <v>9.708777139066097E-5</v>
      </c>
    </row>
    <row r="71" spans="1:7" x14ac:dyDescent="0.45">
      <c r="A71">
        <v>60</v>
      </c>
      <c r="B71" s="8" t="n">
        <v>643.990712412</v>
      </c>
      <c r="C71" s="11">
        <f t="shared" si="0"/>
        <v>9.2927198029633799E-4</v>
      </c>
      <c r="E71" s="169">
        <v>60</v>
      </c>
      <c r="F71" s="259" t="n">
        <v>153.0</v>
      </c>
      <c r="G71" s="11">
        <f t="shared" si="1"/>
        <v>6.6073622196422045E-5</v>
      </c>
    </row>
    <row r="72" spans="1:7" x14ac:dyDescent="0.45">
      <c r="A72">
        <v>61</v>
      </c>
      <c r="B72" s="8" t="n">
        <v>0.0</v>
      </c>
      <c r="C72" s="11">
        <f t="shared" si="0"/>
        <v>0</v>
      </c>
      <c r="E72" s="170">
        <v>61</v>
      </c>
      <c r="F72" s="260" t="n">
        <v>56.0</v>
      </c>
      <c r="G72" s="11">
        <f t="shared" si="1"/>
        <v>3.9104796810127337E-5</v>
      </c>
    </row>
    <row r="73" spans="1:7" x14ac:dyDescent="0.45">
      <c r="A73">
        <v>62</v>
      </c>
      <c r="B73" s="8" t="n">
        <v>0.0</v>
      </c>
      <c r="C73" s="11">
        <f t="shared" si="0"/>
        <v>0</v>
      </c>
      <c r="E73" s="171">
        <v>62</v>
      </c>
      <c r="F73" s="261" t="n">
        <v>46.0</v>
      </c>
      <c r="G73" s="11">
        <f t="shared" si="1"/>
        <v>5.1240768233959951E-5</v>
      </c>
    </row>
    <row r="74" spans="1:7" x14ac:dyDescent="0.45">
      <c r="A74">
        <v>63</v>
      </c>
      <c r="B74" s="8" t="n">
        <v>0.0</v>
      </c>
      <c r="C74" s="11">
        <f t="shared" si="0"/>
        <v>0</v>
      </c>
      <c r="E74" s="172">
        <v>63</v>
      </c>
      <c r="F74" s="262" t="n">
        <v>43.0</v>
      </c>
      <c r="G74" s="11">
        <f t="shared" si="1"/>
        <v>3.9104796810127337E-5</v>
      </c>
    </row>
    <row r="75" spans="1:7" x14ac:dyDescent="0.45">
      <c r="A75">
        <v>64</v>
      </c>
      <c r="B75" s="8" t="n">
        <v>0.0</v>
      </c>
      <c r="C75" s="11">
        <f t="shared" si="0"/>
        <v>0</v>
      </c>
      <c r="E75" s="173">
        <v>64</v>
      </c>
      <c r="F75" s="263" t="n">
        <v>39.0</v>
      </c>
      <c r="G75" s="11">
        <f t="shared" si="1"/>
        <v>5.6634533311218897E-5</v>
      </c>
    </row>
    <row r="76" spans="1:7" x14ac:dyDescent="0.45">
      <c r="A76">
        <v>65</v>
      </c>
      <c r="B76" s="8" t="n">
        <v>0.0</v>
      </c>
      <c r="C76" s="11">
        <f t="shared" si="0"/>
        <v>0</v>
      </c>
      <c r="E76" s="174">
        <v>65</v>
      </c>
      <c r="F76" s="264" t="n">
        <v>29.0</v>
      </c>
      <c r="G76" s="11">
        <f t="shared" si="1"/>
        <v>2.4271942847665242E-5</v>
      </c>
    </row>
    <row r="77" spans="1:7" x14ac:dyDescent="0.45">
      <c r="A77">
        <v>66</v>
      </c>
      <c r="B77" s="8" t="n">
        <v>250.40304101</v>
      </c>
      <c r="C77" s="11">
        <f t="shared" ref="C77:C102" si="2">B77/B$102</f>
        <v>3.6132901501026665E-4</v>
      </c>
      <c r="E77" s="175">
        <v>66</v>
      </c>
      <c r="F77" s="265" t="n">
        <v>19.0</v>
      </c>
      <c r="G77" s="11">
        <f t="shared" ref="G77:G102" si="3">F77/F$102</f>
        <v>2.4271942847665242E-5</v>
      </c>
    </row>
    <row r="78" spans="1:7" x14ac:dyDescent="0.45">
      <c r="A78">
        <v>67</v>
      </c>
      <c r="B78" s="8" t="n">
        <v>1607.34705911</v>
      </c>
      <c r="C78" s="11">
        <f t="shared" si="2"/>
        <v>2.3193852890335755E-3</v>
      </c>
      <c r="E78" s="176">
        <v>67</v>
      </c>
      <c r="F78" s="266" t="n">
        <v>15.0</v>
      </c>
      <c r="G78" s="11">
        <f t="shared" si="3"/>
        <v>2.157506030903577E-5</v>
      </c>
    </row>
    <row r="79" spans="1:7" x14ac:dyDescent="0.45">
      <c r="A79">
        <v>68</v>
      </c>
      <c r="B79" s="8" t="n">
        <v>0.0</v>
      </c>
      <c r="C79" s="11">
        <f t="shared" si="2"/>
        <v>0</v>
      </c>
      <c r="E79" s="177">
        <v>68</v>
      </c>
      <c r="F79" s="267" t="n">
        <v>9.0</v>
      </c>
      <c r="G79" s="11">
        <f t="shared" si="3"/>
        <v>7.4164269812310464E-5</v>
      </c>
    </row>
    <row r="80" spans="1:7" x14ac:dyDescent="0.45">
      <c r="A80">
        <v>69</v>
      </c>
      <c r="B80" s="8" t="n">
        <v>0.0</v>
      </c>
      <c r="C80" s="11">
        <f t="shared" si="2"/>
        <v>0</v>
      </c>
      <c r="E80" s="178">
        <v>69</v>
      </c>
      <c r="F80" s="268" t="n">
        <v>5.0</v>
      </c>
      <c r="G80" s="11">
        <f t="shared" si="3"/>
        <v>9.43908888520315E-6</v>
      </c>
    </row>
    <row r="81" spans="1:7" x14ac:dyDescent="0.45">
      <c r="A81">
        <v>70</v>
      </c>
      <c r="B81" s="8" t="n">
        <v>0.0</v>
      </c>
      <c r="C81" s="11">
        <f t="shared" si="2"/>
        <v>0</v>
      </c>
      <c r="E81" s="179">
        <v>70</v>
      </c>
      <c r="F81" s="269" t="n">
        <v>7.0</v>
      </c>
      <c r="G81" s="11">
        <f t="shared" si="3"/>
        <v>1.0787530154517885E-5</v>
      </c>
    </row>
    <row r="82" spans="1:7" x14ac:dyDescent="0.45">
      <c r="A82">
        <v>71</v>
      </c>
      <c r="B82" s="8" t="n">
        <v>0.0</v>
      </c>
      <c r="C82" s="11">
        <f t="shared" si="2"/>
        <v>0</v>
      </c>
      <c r="E82" s="180">
        <v>71</v>
      </c>
      <c r="F82" s="270" t="n">
        <v>5.0</v>
      </c>
      <c r="G82" s="11">
        <f t="shared" si="3"/>
        <v>2.6968825386294712E-6</v>
      </c>
    </row>
    <row r="83" spans="1:7" x14ac:dyDescent="0.45">
      <c r="A83">
        <v>72</v>
      </c>
      <c r="B83" s="8" t="n">
        <v>0.0</v>
      </c>
      <c r="C83" s="11">
        <f t="shared" si="2"/>
        <v>0</v>
      </c>
      <c r="E83" s="181">
        <v>72</v>
      </c>
      <c r="F83" s="271" t="n">
        <v>11.0</v>
      </c>
      <c r="G83" s="11">
        <f t="shared" si="3"/>
        <v>1.0787530154517885E-5</v>
      </c>
    </row>
    <row r="84" spans="1:7" x14ac:dyDescent="0.45">
      <c r="A84">
        <v>73</v>
      </c>
      <c r="B84" s="8" t="n">
        <v>0.0</v>
      </c>
      <c r="C84" s="11">
        <f t="shared" si="2"/>
        <v>0</v>
      </c>
      <c r="E84" s="182">
        <v>73</v>
      </c>
      <c r="F84" s="272" t="n">
        <v>3.0</v>
      </c>
      <c r="G84" s="11">
        <f t="shared" si="3"/>
        <v>8.0906476158884136E-6</v>
      </c>
    </row>
    <row r="85" spans="1:7" x14ac:dyDescent="0.45">
      <c r="A85">
        <v>74</v>
      </c>
      <c r="B85" s="8" t="n">
        <v>0.0</v>
      </c>
      <c r="C85" s="11">
        <f t="shared" si="2"/>
        <v>0</v>
      </c>
      <c r="E85" s="183">
        <v>74</v>
      </c>
      <c r="F85" s="273" t="n">
        <v>4.0</v>
      </c>
      <c r="G85" s="11">
        <f t="shared" si="3"/>
        <v>2.6968825386294712E-6</v>
      </c>
    </row>
    <row r="86" spans="1:7" x14ac:dyDescent="0.45">
      <c r="A86">
        <v>75</v>
      </c>
      <c r="B86" s="8" t="n">
        <v>444.572467296</v>
      </c>
      <c r="C86" s="11">
        <f t="shared" si="2"/>
        <v>6.4151350183615588E-4</v>
      </c>
      <c r="E86" s="184">
        <v>75</v>
      </c>
      <c r="F86" s="274" t="n">
        <v>3.0</v>
      </c>
      <c r="G86" s="11">
        <f t="shared" si="3"/>
        <v>9.43908888520315E-6</v>
      </c>
    </row>
    <row r="87" spans="1:7" x14ac:dyDescent="0.45">
      <c r="A87">
        <v>76</v>
      </c>
      <c r="B87" s="8" t="n">
        <v>0.0</v>
      </c>
      <c r="C87" s="11">
        <f t="shared" si="2"/>
        <v>0</v>
      </c>
      <c r="E87" s="185">
        <v>76</v>
      </c>
      <c r="F87" s="275" t="n">
        <v>3.0</v>
      </c>
      <c r="G87" s="11">
        <f t="shared" si="3"/>
        <v>5.3937650772589424E-6</v>
      </c>
    </row>
    <row r="88" spans="1:7" x14ac:dyDescent="0.45">
      <c r="A88">
        <v>77</v>
      </c>
      <c r="B88" s="8" t="n">
        <v>0.0</v>
      </c>
      <c r="C88" s="11">
        <f t="shared" si="2"/>
        <v>0</v>
      </c>
      <c r="E88" s="186">
        <v>77</v>
      </c>
      <c r="F88" s="276" t="n">
        <v>29.0</v>
      </c>
      <c r="G88" s="11">
        <f t="shared" si="3"/>
        <v>0</v>
      </c>
    </row>
    <row r="89" spans="1:7" x14ac:dyDescent="0.45">
      <c r="A89">
        <v>78</v>
      </c>
      <c r="B89" s="8" t="n">
        <v>0.0</v>
      </c>
      <c r="C89" s="11">
        <f t="shared" si="2"/>
        <v>0</v>
      </c>
      <c r="E89" s="187">
        <v>78</v>
      </c>
      <c r="F89" s="277" t="n">
        <v>3.0</v>
      </c>
      <c r="G89" s="11">
        <f t="shared" si="3"/>
        <v>2.6968825386294712E-6</v>
      </c>
    </row>
    <row r="90" spans="1:7" x14ac:dyDescent="0.45">
      <c r="A90">
        <v>79</v>
      </c>
      <c r="B90" s="8" t="n">
        <v>256.371317496</v>
      </c>
      <c r="C90" s="11">
        <f t="shared" si="2"/>
        <v>3.6994117664894736E-4</v>
      </c>
      <c r="E90" s="188">
        <v>79</v>
      </c>
      <c r="F90" s="278" t="n">
        <v>3.0</v>
      </c>
      <c r="G90" s="11">
        <f t="shared" si="3"/>
        <v>4.0453238079442068E-6</v>
      </c>
    </row>
    <row r="91" spans="1:7" x14ac:dyDescent="0.45">
      <c r="A91">
        <v>80</v>
      </c>
      <c r="B91" s="8" t="n">
        <v>0.0</v>
      </c>
      <c r="C91" s="11">
        <f t="shared" si="2"/>
        <v>0</v>
      </c>
      <c r="E91" s="189">
        <v>80</v>
      </c>
      <c r="F91" s="279" t="n">
        <v>1.0</v>
      </c>
      <c r="G91" s="11">
        <f t="shared" si="3"/>
        <v>1.3484412693147356E-6</v>
      </c>
    </row>
    <row r="92" spans="1:7" x14ac:dyDescent="0.45">
      <c r="A92">
        <v>81</v>
      </c>
      <c r="B92" s="8" t="n">
        <v>668.711535771</v>
      </c>
      <c r="C92" s="11">
        <f t="shared" si="2"/>
        <v>9.649438743696753E-4</v>
      </c>
      <c r="E92" s="190">
        <v>81</v>
      </c>
      <c r="F92" s="280" t="n">
        <v>0.0</v>
      </c>
      <c r="G92" s="11">
        <f t="shared" si="3"/>
        <v>4.0453238079442068E-6</v>
      </c>
    </row>
    <row r="93" spans="1:7" x14ac:dyDescent="0.45">
      <c r="A93">
        <v>82</v>
      </c>
      <c r="B93" s="8" t="n">
        <v>569.501209051</v>
      </c>
      <c r="C93" s="11">
        <f t="shared" si="2"/>
        <v>8.2178439240814145E-4</v>
      </c>
      <c r="E93" s="191">
        <v>82</v>
      </c>
      <c r="F93" s="281" t="n">
        <v>2.0</v>
      </c>
      <c r="G93" s="11">
        <f t="shared" si="3"/>
        <v>4.0453238079442068E-6</v>
      </c>
    </row>
    <row r="94" spans="1:7" x14ac:dyDescent="0.45">
      <c r="A94">
        <v>83</v>
      </c>
      <c r="B94" s="8" t="n">
        <v>0.0</v>
      </c>
      <c r="C94" s="11">
        <f t="shared" si="2"/>
        <v>0</v>
      </c>
      <c r="E94" s="192">
        <v>83</v>
      </c>
      <c r="F94" s="282" t="n">
        <v>1.0</v>
      </c>
      <c r="G94" s="11">
        <f t="shared" si="3"/>
        <v>0</v>
      </c>
    </row>
    <row r="95" spans="1:7" x14ac:dyDescent="0.45">
      <c r="A95">
        <v>84</v>
      </c>
      <c r="B95" s="8" t="n">
        <v>258.883817246</v>
      </c>
      <c r="C95" s="11">
        <f t="shared" si="2"/>
        <v>3.7356668796949385E-4</v>
      </c>
      <c r="E95" s="193">
        <v>84</v>
      </c>
      <c r="F95" s="283" t="n">
        <v>2.0</v>
      </c>
      <c r="G95" s="11">
        <f t="shared" si="3"/>
        <v>2.6968825386294712E-6</v>
      </c>
    </row>
    <row r="96" spans="1:7" x14ac:dyDescent="0.45">
      <c r="A96">
        <v>85</v>
      </c>
      <c r="B96" s="8" t="n">
        <v>0.0</v>
      </c>
      <c r="C96" s="11">
        <f t="shared" si="2"/>
        <v>0</v>
      </c>
      <c r="E96" s="194">
        <v>85</v>
      </c>
      <c r="F96" s="284" t="n">
        <v>1.0</v>
      </c>
      <c r="G96" s="11">
        <f t="shared" si="3"/>
        <v>1.3484412693147356E-6</v>
      </c>
    </row>
    <row r="97" spans="1:7" x14ac:dyDescent="0.45">
      <c r="A97">
        <v>86</v>
      </c>
      <c r="B97" s="8" t="n">
        <v>0.0</v>
      </c>
      <c r="C97" s="11">
        <f t="shared" si="2"/>
        <v>0</v>
      </c>
      <c r="E97" s="195">
        <v>86</v>
      </c>
      <c r="F97" s="285" t="n">
        <v>0.0</v>
      </c>
      <c r="G97" s="11">
        <f t="shared" si="3"/>
        <v>1.3484412693147356E-6</v>
      </c>
    </row>
    <row r="98" spans="1:7" x14ac:dyDescent="0.45">
      <c r="A98">
        <v>87</v>
      </c>
      <c r="B98" s="8" t="n">
        <v>0.0</v>
      </c>
      <c r="C98" s="11">
        <f t="shared" si="2"/>
        <v>0</v>
      </c>
      <c r="E98" s="196">
        <v>87</v>
      </c>
      <c r="F98" s="286" t="n">
        <v>1.0</v>
      </c>
      <c r="G98" s="11">
        <f t="shared" si="3"/>
        <v>1.3484412693147356E-6</v>
      </c>
    </row>
    <row r="99" spans="1:7" x14ac:dyDescent="0.45">
      <c r="A99">
        <v>88</v>
      </c>
      <c r="B99" s="8" t="n">
        <v>0.0</v>
      </c>
      <c r="C99" s="11">
        <f t="shared" si="2"/>
        <v>0</v>
      </c>
      <c r="E99" s="197">
        <v>88</v>
      </c>
      <c r="F99" s="287" t="n">
        <v>0.0</v>
      </c>
      <c r="G99" s="11">
        <f t="shared" si="3"/>
        <v>2.6968825386294712E-6</v>
      </c>
    </row>
    <row r="100" spans="1:7" x14ac:dyDescent="0.45">
      <c r="A100">
        <v>89</v>
      </c>
      <c r="B100" s="8" t="n">
        <v>0.0</v>
      </c>
      <c r="C100" s="11">
        <f t="shared" si="2"/>
        <v>0</v>
      </c>
      <c r="E100" s="198">
        <v>89</v>
      </c>
      <c r="F100" s="288" t="n">
        <v>0.0</v>
      </c>
      <c r="G100" s="11">
        <f t="shared" si="3"/>
        <v>1.3484412693147356E-6</v>
      </c>
    </row>
    <row r="101" spans="1:7" ht="14.65" thickBot="1" x14ac:dyDescent="0.5">
      <c r="A101" s="1">
        <v>90</v>
      </c>
      <c r="B101" s="9" t="n">
        <v>149.321800022</v>
      </c>
      <c r="C101" s="11">
        <f t="shared" si="2"/>
        <v>2.1546982298571433E-4</v>
      </c>
      <c r="E101" s="292">
        <v>90</v>
      </c>
      <c r="F101" s="292" t="n">
        <v>0.0</v>
      </c>
      <c r="G101" s="11">
        <f t="shared" si="3"/>
        <v>2.6968825386294712E-6</v>
      </c>
    </row>
    <row r="102" spans="1:7" x14ac:dyDescent="0.45">
      <c r="B102" s="8">
        <f>SUM(B11:B101)</f>
        <v>693005.6281333653</v>
      </c>
      <c r="C102" s="11">
        <f t="shared" si="2"/>
        <v>1</v>
      </c>
      <c r="F102" s="8">
        <f>SUM(F11:F101)</f>
        <v>741597</v>
      </c>
      <c r="G102" s="11">
        <f t="shared" si="3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F41"/>
  <sheetViews>
    <sheetView topLeftCell="F13" zoomScaleNormal="100" workbookViewId="0">
      <selection activeCell="AD37" sqref="AD37"/>
    </sheetView>
  </sheetViews>
  <sheetFormatPr defaultRowHeight="14.25" x14ac:dyDescent="0.45"/>
  <cols>
    <col min="4" max="4" bestFit="true" customWidth="true" width="12.265625" collapsed="true"/>
    <col min="13" max="14" bestFit="true" customWidth="true" width="10.59765625" collapsed="true"/>
    <col min="15" max="15" bestFit="true" customWidth="true" width="12.3984375" collapsed="true"/>
    <col min="16" max="19" bestFit="true" customWidth="true" width="10.59765625" collapsed="true"/>
    <col min="26" max="26" bestFit="true" customWidth="true" width="12.265625" collapsed="true"/>
  </cols>
  <sheetData>
    <row r="1" spans="1:21" x14ac:dyDescent="0.45">
      <c r="A1" t="s">
        <v>2</v>
      </c>
    </row>
    <row r="2" spans="1:21" x14ac:dyDescent="0.45">
      <c r="A2" t="s">
        <v>244</v>
      </c>
    </row>
    <row r="3" spans="1:21" x14ac:dyDescent="0.45">
      <c r="A3" t="s">
        <v>14</v>
      </c>
    </row>
    <row r="5" spans="1:21" ht="14.65" thickBot="1" x14ac:dyDescent="0.5">
      <c r="A5" s="4" t="s">
        <v>38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45">
      <c r="A6" s="2" t="s">
        <v>12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45">
      <c r="A7" s="294" t="s">
        <v>249</v>
      </c>
      <c r="B7" s="12" t="n">
        <v>10186.0086381006</v>
      </c>
      <c r="C7" s="12" t="n">
        <v>2849.560516044</v>
      </c>
      <c r="D7" s="12" t="n">
        <v>1770.988754765</v>
      </c>
      <c r="E7" s="12" t="n">
        <v>593.11938678</v>
      </c>
      <c r="F7" s="12" t="n">
        <v>369.3324893894</v>
      </c>
      <c r="G7" s="12" t="n">
        <v>194.275643408</v>
      </c>
      <c r="H7" s="12" t="n">
        <v>2005.698525535</v>
      </c>
      <c r="I7" s="12"/>
      <c r="J7" s="12">
        <f>SUM(B7:I7)</f>
        <v>17968.983954021998</v>
      </c>
      <c r="K7" s="12"/>
      <c r="L7" t="str">
        <f>$A$7</f>
        <v>Bellevue</v>
      </c>
      <c r="M7" s="343" t="n">
        <v>10551.0</v>
      </c>
      <c r="N7" s="343" t="n">
        <v>8174.0</v>
      </c>
      <c r="O7" s="343" t="n">
        <v>852.0</v>
      </c>
      <c r="P7" s="343" t="n">
        <v>2828.0</v>
      </c>
      <c r="Q7" s="343" t="n">
        <v>228.0</v>
      </c>
      <c r="R7" s="343" t="n">
        <v>153.0</v>
      </c>
      <c r="S7" s="343" t="n">
        <v>1335.0</v>
      </c>
      <c r="T7" s="291"/>
      <c r="U7" s="12">
        <f>SUM(M7:T7)</f>
        <v>23780</v>
      </c>
    </row>
    <row r="8" spans="1:21" x14ac:dyDescent="0.45">
      <c r="A8" t="s">
        <v>250</v>
      </c>
      <c r="B8" s="12" t="n">
        <v>421.449578017</v>
      </c>
      <c r="C8" s="12" t="n">
        <v>388.869709796</v>
      </c>
      <c r="D8" s="12" t="n">
        <v>0.0</v>
      </c>
      <c r="E8" s="12" t="n">
        <v>796.751705152</v>
      </c>
      <c r="F8" s="12" t="n">
        <v>0.0</v>
      </c>
      <c r="G8" s="12" t="n">
        <v>0.0</v>
      </c>
      <c r="H8" s="12" t="n">
        <v>0.0</v>
      </c>
      <c r="I8" s="12"/>
      <c r="J8" s="12">
        <f t="shared" ref="J8:J14" si="0">SUM(B8:I8)</f>
        <v>1607.0709929650002</v>
      </c>
      <c r="K8" s="12"/>
      <c r="L8" t="str">
        <f>$A$8</f>
        <v>Bellevue Downtown</v>
      </c>
      <c r="M8" s="343" t="n">
        <v>437.0</v>
      </c>
      <c r="N8" s="343" t="n">
        <v>2539.0</v>
      </c>
      <c r="O8" s="343" t="n">
        <v>47.0</v>
      </c>
      <c r="P8" s="343" t="n">
        <v>32.0</v>
      </c>
      <c r="Q8" s="343" t="n">
        <v>4.0</v>
      </c>
      <c r="R8" s="343" t="n">
        <v>2.0</v>
      </c>
      <c r="S8" s="343" t="n">
        <v>12.0</v>
      </c>
      <c r="T8" s="291"/>
      <c r="U8" s="12">
        <f t="shared" ref="U8:U14" si="1">SUM(M8:T8)</f>
        <v>2965</v>
      </c>
    </row>
    <row r="9" spans="1:21" x14ac:dyDescent="0.45">
      <c r="A9" t="s">
        <v>251</v>
      </c>
      <c r="B9" s="12" t="n">
        <v>298.46687061299997</v>
      </c>
      <c r="C9" s="12" t="n">
        <v>1100.619865651</v>
      </c>
      <c r="D9" s="12" t="n">
        <v>12876.117613169</v>
      </c>
      <c r="E9" s="12" t="n">
        <v>2825.6530529167</v>
      </c>
      <c r="F9" s="12" t="n">
        <v>1120.8068290428</v>
      </c>
      <c r="G9" s="12" t="n">
        <v>0.0</v>
      </c>
      <c r="H9" s="12" t="n">
        <v>2711.074635077</v>
      </c>
      <c r="I9" s="12"/>
      <c r="J9" s="12">
        <f t="shared" si="0"/>
        <v>20932.738866469503</v>
      </c>
      <c r="K9" s="13"/>
      <c r="L9" t="str">
        <f>$A$9</f>
        <v>Kirkland</v>
      </c>
      <c r="M9" s="343" t="n">
        <v>544.0</v>
      </c>
      <c r="N9" s="343" t="n">
        <v>1220.0</v>
      </c>
      <c r="O9" s="343" t="n">
        <v>15988.0</v>
      </c>
      <c r="P9" s="343" t="n">
        <v>2654.0</v>
      </c>
      <c r="Q9" s="343" t="n">
        <v>547.0</v>
      </c>
      <c r="R9" s="343" t="n">
        <v>46.0</v>
      </c>
      <c r="S9" s="343" t="n">
        <v>1021.0</v>
      </c>
      <c r="T9" s="291"/>
      <c r="U9" s="12">
        <f t="shared" si="1"/>
        <v>22147</v>
      </c>
    </row>
    <row r="10" spans="1:21" x14ac:dyDescent="0.45">
      <c r="A10" t="s">
        <v>252</v>
      </c>
      <c r="B10" s="12" t="n">
        <v>485.995438886</v>
      </c>
      <c r="C10" s="12" t="n">
        <v>0.0</v>
      </c>
      <c r="D10" s="12" t="n">
        <v>1478.4824081478</v>
      </c>
      <c r="E10" s="12" t="n">
        <v>17618.8189468877</v>
      </c>
      <c r="F10" s="12" t="n">
        <v>0.0</v>
      </c>
      <c r="G10" s="12" t="n">
        <v>0.0</v>
      </c>
      <c r="H10" s="12" t="n">
        <v>113.29750372</v>
      </c>
      <c r="I10" s="12"/>
      <c r="J10" s="12">
        <f t="shared" si="0"/>
        <v>19696.594297641499</v>
      </c>
      <c r="K10" s="13"/>
      <c r="L10" t="str">
        <f>$A$10</f>
        <v>Redmond</v>
      </c>
      <c r="M10" s="343" t="n">
        <v>1392.0</v>
      </c>
      <c r="N10" s="343" t="n">
        <v>641.0</v>
      </c>
      <c r="O10" s="343" t="n">
        <v>2438.0</v>
      </c>
      <c r="P10" s="343" t="n">
        <v>12686.0</v>
      </c>
      <c r="Q10" s="343" t="n">
        <v>42.0</v>
      </c>
      <c r="R10" s="343" t="n">
        <v>17.0</v>
      </c>
      <c r="S10" s="343" t="n">
        <v>413.0</v>
      </c>
      <c r="T10" s="291"/>
      <c r="U10" s="12">
        <f t="shared" si="1"/>
        <v>17749</v>
      </c>
    </row>
    <row r="11" spans="1:21" x14ac:dyDescent="0.45">
      <c r="A11" t="s">
        <v>248</v>
      </c>
      <c r="B11" s="12" t="n">
        <v>0.0</v>
      </c>
      <c r="C11" s="12" t="n">
        <v>109.0593083993</v>
      </c>
      <c r="D11" s="12" t="n">
        <v>0.0</v>
      </c>
      <c r="E11" s="12" t="n">
        <v>0.0</v>
      </c>
      <c r="F11" s="12" t="n">
        <v>89978.8314132858</v>
      </c>
      <c r="G11" s="12" t="n">
        <v>6946.5674062645</v>
      </c>
      <c r="H11" s="12" t="n">
        <v>8080.0100283098</v>
      </c>
      <c r="I11" s="12"/>
      <c r="J11" s="12">
        <f t="shared" si="0"/>
        <v>105114.46815625941</v>
      </c>
      <c r="K11" s="13"/>
      <c r="L11" t="str">
        <f>$A$11</f>
        <v>Seattle</v>
      </c>
      <c r="M11" s="343" t="n">
        <v>617.0</v>
      </c>
      <c r="N11" s="343" t="n">
        <v>1377.0</v>
      </c>
      <c r="O11" s="343" t="n">
        <v>1922.0</v>
      </c>
      <c r="P11" s="343" t="n">
        <v>497.0</v>
      </c>
      <c r="Q11" s="343" t="n">
        <v>84385.0</v>
      </c>
      <c r="R11" s="343" t="n">
        <v>12021.0</v>
      </c>
      <c r="S11" s="343" t="n">
        <v>7471.0</v>
      </c>
      <c r="T11" s="291"/>
      <c r="U11" s="12">
        <f t="shared" si="1"/>
        <v>108259</v>
      </c>
    </row>
    <row r="12" spans="1:21" x14ac:dyDescent="0.45">
      <c r="A12" t="s">
        <v>253</v>
      </c>
      <c r="B12" s="12" t="n">
        <v>71.9144943498</v>
      </c>
      <c r="C12" s="12" t="n">
        <v>0.0</v>
      </c>
      <c r="D12" s="12" t="n">
        <v>0.0</v>
      </c>
      <c r="E12" s="12" t="n">
        <v>0.0</v>
      </c>
      <c r="F12" s="12" t="n">
        <v>4435.5454678812</v>
      </c>
      <c r="G12" s="12" t="n">
        <v>8152.8204414182</v>
      </c>
      <c r="H12" s="12" t="n">
        <v>144.2305369303</v>
      </c>
      <c r="I12" s="12"/>
      <c r="J12" s="12">
        <f t="shared" si="0"/>
        <v>12804.510940579501</v>
      </c>
      <c r="K12" s="13"/>
      <c r="L12" t="str">
        <f>$A$12</f>
        <v>Seattle Downtown</v>
      </c>
      <c r="M12" s="343" t="n">
        <v>27.0</v>
      </c>
      <c r="N12" s="343" t="n">
        <v>65.0</v>
      </c>
      <c r="O12" s="343" t="n">
        <v>18.0</v>
      </c>
      <c r="P12" s="343" t="n">
        <v>14.0</v>
      </c>
      <c r="Q12" s="343" t="n">
        <v>1230.0</v>
      </c>
      <c r="R12" s="343" t="n">
        <v>14334.0</v>
      </c>
      <c r="S12" s="343" t="n">
        <v>90.0</v>
      </c>
      <c r="T12" s="291"/>
      <c r="U12" s="12">
        <f t="shared" si="1"/>
        <v>15680</v>
      </c>
    </row>
    <row r="13" spans="1:21" x14ac:dyDescent="0.45">
      <c r="A13" t="s">
        <v>254</v>
      </c>
      <c r="B13" s="12" t="n">
        <v>776.0514419</v>
      </c>
      <c r="C13" s="12" t="n">
        <v>1602.1303793089999</v>
      </c>
      <c r="D13" s="12" t="n">
        <v>1020.4236710519999</v>
      </c>
      <c r="E13" s="12" t="n">
        <v>272.274861354</v>
      </c>
      <c r="F13" s="12" t="n">
        <v>7156.233199811</v>
      </c>
      <c r="G13" s="12" t="n">
        <v>3107.520417879</v>
      </c>
      <c r="H13" s="12" t="n">
        <v>510378.8141281464</v>
      </c>
      <c r="I13" s="12"/>
      <c r="J13" s="12">
        <f t="shared" si="0"/>
        <v>524313.44809945137</v>
      </c>
      <c r="K13" s="13"/>
      <c r="L13" t="str">
        <f>$A$13</f>
        <v>Rest</v>
      </c>
      <c r="M13" s="343" t="n">
        <v>3465.0</v>
      </c>
      <c r="N13" s="343" t="n">
        <v>3655.0</v>
      </c>
      <c r="O13" s="343" t="n">
        <v>5934.0</v>
      </c>
      <c r="P13" s="343" t="n">
        <v>8972.0</v>
      </c>
      <c r="Q13" s="343" t="n">
        <v>5930.0</v>
      </c>
      <c r="R13" s="343" t="n">
        <v>983.0</v>
      </c>
      <c r="S13" s="343" t="n">
        <v>508884.0</v>
      </c>
      <c r="T13" s="291"/>
      <c r="U13" s="12">
        <f t="shared" si="1"/>
        <v>551017</v>
      </c>
    </row>
    <row r="14" spans="1:21" x14ac:dyDescent="0.4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t="shared" si="0"/>
        <v>0</v>
      </c>
      <c r="K14" s="12"/>
      <c r="L14" s="293" t="s">
        <v>13</v>
      </c>
      <c r="M14" s="14"/>
      <c r="N14" s="14"/>
      <c r="O14" s="14"/>
      <c r="P14" s="14"/>
      <c r="Q14" s="14"/>
      <c r="R14" s="14"/>
      <c r="S14" s="14"/>
      <c r="T14" s="14"/>
      <c r="U14" s="14">
        <f t="shared" si="1"/>
        <v>0</v>
      </c>
    </row>
    <row r="15" spans="1:21" ht="14.65" thickBot="1" x14ac:dyDescent="0.5">
      <c r="A15" s="1" t="s">
        <v>4</v>
      </c>
      <c r="B15" s="15">
        <f t="shared" ref="B15:J15" si="2">SUM(B7:B14)</f>
        <v>12239.886461866399</v>
      </c>
      <c r="C15" s="15">
        <f t="shared" si="2"/>
        <v>6050.2397791992998</v>
      </c>
      <c r="D15" s="15">
        <f t="shared" si="2"/>
        <v>17146.012447133799</v>
      </c>
      <c r="E15" s="15">
        <f t="shared" si="2"/>
        <v>22106.617953090397</v>
      </c>
      <c r="F15" s="15">
        <f t="shared" si="2"/>
        <v>103060.7493994102</v>
      </c>
      <c r="G15" s="15">
        <f t="shared" si="2"/>
        <v>18401.183908969702</v>
      </c>
      <c r="H15" s="15">
        <f t="shared" si="2"/>
        <v>523433.1253577185</v>
      </c>
      <c r="I15" s="15">
        <f t="shared" si="2"/>
        <v>0</v>
      </c>
      <c r="J15" s="15">
        <f t="shared" si="2"/>
        <v>702437.81530738831</v>
      </c>
      <c r="K15" s="12"/>
      <c r="L15" s="15" t="s">
        <v>4</v>
      </c>
      <c r="M15" s="15">
        <f t="shared" ref="M15:U15" si="3">SUM(M7:M14)</f>
        <v>16955</v>
      </c>
      <c r="N15" s="15">
        <f t="shared" si="3"/>
        <v>17772</v>
      </c>
      <c r="O15" s="15">
        <f t="shared" si="3"/>
        <v>27411</v>
      </c>
      <c r="P15" s="15">
        <f t="shared" si="3"/>
        <v>27529</v>
      </c>
      <c r="Q15" s="15">
        <f t="shared" si="3"/>
        <v>92245</v>
      </c>
      <c r="R15" s="15">
        <f t="shared" si="3"/>
        <v>27464</v>
      </c>
      <c r="S15" s="15">
        <f t="shared" si="3"/>
        <v>532221</v>
      </c>
      <c r="T15" s="15">
        <f t="shared" si="3"/>
        <v>0</v>
      </c>
      <c r="U15" s="15">
        <f t="shared" si="3"/>
        <v>741597</v>
      </c>
    </row>
    <row r="18" spans="1:32" ht="14.65" thickBot="1" x14ac:dyDescent="0.5">
      <c r="A18" s="4" t="s">
        <v>39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34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4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45">
      <c r="A20" t="str">
        <f>$A$7</f>
        <v>Bellevue</v>
      </c>
      <c r="B20" s="12">
        <f t="shared" ref="B20:G20" si="4">($U7/$J7)*B7</f>
        <v>13480.076894376403</v>
      </c>
      <c r="C20" s="12">
        <f t="shared" si="4"/>
        <v>3771.0840660169342</v>
      </c>
      <c r="D20" s="12">
        <f t="shared" si="4"/>
        <v>2343.7114027187554</v>
      </c>
      <c r="E20" s="12">
        <f t="shared" si="4"/>
        <v>784.9291342080262</v>
      </c>
      <c r="F20" s="12">
        <f t="shared" si="4"/>
        <v>488.77146421593272</v>
      </c>
      <c r="G20" s="12">
        <f t="shared" si="4"/>
        <v>257.10272834921051</v>
      </c>
      <c r="H20" s="12">
        <f t="shared" ref="H20" si="5">($U7/$J7)*H7</f>
        <v>2654.3243101147418</v>
      </c>
      <c r="I20" s="12"/>
      <c r="J20" s="12">
        <f>SUM(B20:I20)</f>
        <v>23780.000000000007</v>
      </c>
      <c r="K20" s="12"/>
      <c r="L20" t="str">
        <f>$A$7</f>
        <v>Bellevue</v>
      </c>
      <c r="M20" s="12">
        <f t="shared" ref="M20:M26" si="6">M7</f>
        <v>10378</v>
      </c>
      <c r="N20" s="12">
        <f t="shared" ref="N20:U20" si="7">N7</f>
        <v>8159</v>
      </c>
      <c r="O20" s="12">
        <f t="shared" si="7"/>
        <v>829</v>
      </c>
      <c r="P20" s="12">
        <f t="shared" si="7"/>
        <v>2639</v>
      </c>
      <c r="Q20" s="12">
        <f t="shared" si="7"/>
        <v>260</v>
      </c>
      <c r="R20" s="12">
        <f t="shared" si="7"/>
        <v>176</v>
      </c>
      <c r="S20" s="12">
        <f t="shared" ref="S20" si="8">S7</f>
        <v>1339</v>
      </c>
      <c r="T20" s="12"/>
      <c r="U20" s="12">
        <f t="shared" si="7"/>
        <v>23780</v>
      </c>
    </row>
    <row r="21" spans="1:32" x14ac:dyDescent="0.45">
      <c r="A21" t="str">
        <f>$A$8</f>
        <v>Bellevue Downtown</v>
      </c>
      <c r="B21" s="12">
        <f t="shared" ref="B21:G26" si="9">($U8/$J8)*B8</f>
        <v>777.56241279355822</v>
      </c>
      <c r="C21" s="12">
        <f t="shared" si="9"/>
        <v>717.45348811124404</v>
      </c>
      <c r="D21" s="12">
        <f t="shared" si="9"/>
        <v>0</v>
      </c>
      <c r="E21" s="12">
        <f t="shared" si="9"/>
        <v>1469.9840990951973</v>
      </c>
      <c r="F21" s="12">
        <f t="shared" si="9"/>
        <v>0</v>
      </c>
      <c r="G21" s="12">
        <f t="shared" si="9"/>
        <v>0</v>
      </c>
      <c r="H21" s="12">
        <f t="shared" ref="H21" si="10">($U8/$J8)*H8</f>
        <v>0</v>
      </c>
      <c r="I21" s="12"/>
      <c r="J21" s="12">
        <f t="shared" ref="J21:J27" si="11">SUM(B21:I21)</f>
        <v>2964.9999999999995</v>
      </c>
      <c r="K21" s="12"/>
      <c r="L21" t="str">
        <f>$A$8</f>
        <v>Bellevue Downtown</v>
      </c>
      <c r="M21" s="12">
        <f t="shared" si="6"/>
        <v>409</v>
      </c>
      <c r="N21" s="12">
        <f t="shared" ref="N21:R26" si="12">N8</f>
        <v>2465</v>
      </c>
      <c r="O21" s="12">
        <f t="shared" si="12"/>
        <v>39</v>
      </c>
      <c r="P21" s="12">
        <f t="shared" si="12"/>
        <v>42</v>
      </c>
      <c r="Q21" s="12">
        <f t="shared" si="12"/>
        <v>5</v>
      </c>
      <c r="R21" s="12">
        <f t="shared" si="12"/>
        <v>2</v>
      </c>
      <c r="S21" s="12">
        <f t="shared" ref="S21" si="13">S8</f>
        <v>3</v>
      </c>
      <c r="T21" s="12"/>
      <c r="U21" s="12">
        <f t="shared" ref="U21:U26" si="14">U8</f>
        <v>2965</v>
      </c>
    </row>
    <row r="22" spans="1:32" x14ac:dyDescent="0.45">
      <c r="A22" t="str">
        <f>$A$9</f>
        <v>Kirkland</v>
      </c>
      <c r="B22" s="12">
        <f t="shared" si="9"/>
        <v>315.78026294754864</v>
      </c>
      <c r="C22" s="12">
        <f t="shared" si="9"/>
        <v>1164.4643503205291</v>
      </c>
      <c r="D22" s="12">
        <f t="shared" si="9"/>
        <v>13623.032255737968</v>
      </c>
      <c r="E22" s="12">
        <f t="shared" si="9"/>
        <v>2989.5628356205061</v>
      </c>
      <c r="F22" s="12">
        <f t="shared" si="9"/>
        <v>1185.8223140867678</v>
      </c>
      <c r="G22" s="12">
        <f t="shared" si="9"/>
        <v>0</v>
      </c>
      <c r="H22" s="12">
        <f t="shared" ref="H22" si="15">($U9/$J9)*H9</f>
        <v>2868.3379812866779</v>
      </c>
      <c r="I22" s="12"/>
      <c r="J22" s="12">
        <f t="shared" si="11"/>
        <v>22146.999999999996</v>
      </c>
      <c r="K22" s="13"/>
      <c r="L22" t="str">
        <f>$A$9</f>
        <v>Kirkland</v>
      </c>
      <c r="M22" s="12">
        <f t="shared" si="6"/>
        <v>567</v>
      </c>
      <c r="N22" s="12">
        <f t="shared" si="12"/>
        <v>1267</v>
      </c>
      <c r="O22" s="12">
        <f t="shared" si="12"/>
        <v>16008</v>
      </c>
      <c r="P22" s="12">
        <f t="shared" si="12"/>
        <v>2637</v>
      </c>
      <c r="Q22" s="12">
        <f t="shared" si="12"/>
        <v>606</v>
      </c>
      <c r="R22" s="12">
        <f t="shared" si="12"/>
        <v>52</v>
      </c>
      <c r="S22" s="12">
        <f t="shared" ref="S22" si="16">S9</f>
        <v>1010</v>
      </c>
      <c r="T22" s="12"/>
      <c r="U22" s="12">
        <f t="shared" si="14"/>
        <v>22147</v>
      </c>
    </row>
    <row r="23" spans="1:32" x14ac:dyDescent="0.45">
      <c r="A23" t="str">
        <f>$A$10</f>
        <v>Redmond</v>
      </c>
      <c r="B23" s="12">
        <f t="shared" si="9"/>
        <v>437.94033193954226</v>
      </c>
      <c r="C23" s="12">
        <f t="shared" si="9"/>
        <v>0</v>
      </c>
      <c r="D23" s="12">
        <f t="shared" si="9"/>
        <v>1332.2904389292066</v>
      </c>
      <c r="E23" s="12">
        <f t="shared" si="9"/>
        <v>15876.674554126086</v>
      </c>
      <c r="F23" s="12">
        <f t="shared" si="9"/>
        <v>0</v>
      </c>
      <c r="G23" s="12">
        <f t="shared" si="9"/>
        <v>0</v>
      </c>
      <c r="H23" s="12">
        <f t="shared" ref="H23" si="17">($U10/$J10)*H10</f>
        <v>102.09467500516423</v>
      </c>
      <c r="I23" s="12"/>
      <c r="J23" s="12">
        <f>SUM(B23:I23)</f>
        <v>17748.999999999996</v>
      </c>
      <c r="K23" s="13"/>
      <c r="L23" t="str">
        <f>$A$10</f>
        <v>Redmond</v>
      </c>
      <c r="M23" s="12">
        <f t="shared" si="6"/>
        <v>1411</v>
      </c>
      <c r="N23" s="12">
        <f t="shared" si="12"/>
        <v>604</v>
      </c>
      <c r="O23" s="12">
        <f t="shared" si="12"/>
        <v>2540</v>
      </c>
      <c r="P23" s="12">
        <f t="shared" si="12"/>
        <v>12728</v>
      </c>
      <c r="Q23" s="12">
        <f t="shared" si="12"/>
        <v>53</v>
      </c>
      <c r="R23" s="12">
        <f t="shared" si="12"/>
        <v>11</v>
      </c>
      <c r="S23" s="12">
        <f t="shared" ref="S23" si="18">S10</f>
        <v>402</v>
      </c>
      <c r="T23" s="12"/>
      <c r="U23" s="12">
        <f t="shared" si="14"/>
        <v>17749</v>
      </c>
    </row>
    <row r="24" spans="1:32" x14ac:dyDescent="0.45">
      <c r="A24" t="str">
        <f>$A$11</f>
        <v>Seattle</v>
      </c>
      <c r="B24" s="12">
        <f t="shared" si="9"/>
        <v>0</v>
      </c>
      <c r="C24" s="12">
        <f t="shared" si="9"/>
        <v>112.32185135968602</v>
      </c>
      <c r="D24" s="12">
        <f t="shared" si="9"/>
        <v>0</v>
      </c>
      <c r="E24" s="12">
        <f t="shared" si="9"/>
        <v>0</v>
      </c>
      <c r="F24" s="12">
        <f t="shared" si="9"/>
        <v>92670.575999968525</v>
      </c>
      <c r="G24" s="12">
        <f t="shared" si="9"/>
        <v>7154.376119915767</v>
      </c>
      <c r="H24" s="12">
        <f t="shared" ref="H24" si="19">($U11/$J11)*H11</f>
        <v>8321.7260287560293</v>
      </c>
      <c r="I24" s="12"/>
      <c r="J24" s="12">
        <f t="shared" si="11"/>
        <v>108259</v>
      </c>
      <c r="K24" s="13"/>
      <c r="L24" t="str">
        <f>$A$11</f>
        <v>Seattle</v>
      </c>
      <c r="M24" s="12">
        <f t="shared" si="6"/>
        <v>641</v>
      </c>
      <c r="N24" s="12">
        <f t="shared" si="12"/>
        <v>1594</v>
      </c>
      <c r="O24" s="12">
        <f t="shared" si="12"/>
        <v>1971</v>
      </c>
      <c r="P24" s="12">
        <f t="shared" si="12"/>
        <v>511</v>
      </c>
      <c r="Q24" s="12">
        <f t="shared" si="12"/>
        <v>84283</v>
      </c>
      <c r="R24" s="12">
        <f t="shared" si="12"/>
        <v>11905</v>
      </c>
      <c r="S24" s="12">
        <f t="shared" ref="S24" si="20">S11</f>
        <v>7354</v>
      </c>
      <c r="T24" s="12"/>
      <c r="U24" s="12">
        <f t="shared" si="14"/>
        <v>108259</v>
      </c>
    </row>
    <row r="25" spans="1:32" x14ac:dyDescent="0.45">
      <c r="A25" t="str">
        <f>$A$12</f>
        <v>Seattle Downtown</v>
      </c>
      <c r="B25" s="12">
        <f t="shared" si="9"/>
        <v>88.064220229705285</v>
      </c>
      <c r="C25" s="12">
        <f t="shared" si="9"/>
        <v>0</v>
      </c>
      <c r="D25" s="12">
        <f t="shared" si="9"/>
        <v>0</v>
      </c>
      <c r="E25" s="12">
        <f t="shared" si="9"/>
        <v>0</v>
      </c>
      <c r="F25" s="12">
        <f t="shared" si="9"/>
        <v>5431.6289984933692</v>
      </c>
      <c r="G25" s="12">
        <f t="shared" si="9"/>
        <v>9983.6866175266696</v>
      </c>
      <c r="H25" s="12">
        <f t="shared" ref="H25:H26" si="21">($U12/$J12)*H12</f>
        <v>176.62016375025664</v>
      </c>
      <c r="I25" s="12"/>
      <c r="J25" s="12">
        <f t="shared" si="11"/>
        <v>15680</v>
      </c>
      <c r="K25" s="13"/>
      <c r="L25" t="str">
        <f>$A$12</f>
        <v>Seattle Downtown</v>
      </c>
      <c r="M25" s="12">
        <f t="shared" si="6"/>
        <v>31</v>
      </c>
      <c r="N25" s="12">
        <f t="shared" si="12"/>
        <v>62</v>
      </c>
      <c r="O25" s="12">
        <f t="shared" si="12"/>
        <v>23</v>
      </c>
      <c r="P25" s="12">
        <f t="shared" si="12"/>
        <v>7</v>
      </c>
      <c r="Q25" s="12">
        <f t="shared" si="12"/>
        <v>1171</v>
      </c>
      <c r="R25" s="12">
        <f t="shared" si="12"/>
        <v>14309</v>
      </c>
      <c r="S25" s="12">
        <f t="shared" ref="S25:S26" si="22">S12</f>
        <v>77</v>
      </c>
      <c r="T25" s="12"/>
      <c r="U25" s="12">
        <f t="shared" si="14"/>
        <v>15680</v>
      </c>
    </row>
    <row r="26" spans="1:32" x14ac:dyDescent="0.45">
      <c r="A26" t="str">
        <f>$A$13</f>
        <v>Rest</v>
      </c>
      <c r="B26" s="12">
        <f t="shared" si="9"/>
        <v>815.57613849397615</v>
      </c>
      <c r="C26" s="12">
        <f t="shared" si="9"/>
        <v>1683.7276984134464</v>
      </c>
      <c r="D26" s="12">
        <f t="shared" si="9"/>
        <v>1072.3943701810388</v>
      </c>
      <c r="E26" s="12">
        <f t="shared" si="9"/>
        <v>286.14195920879723</v>
      </c>
      <c r="F26" s="12">
        <f t="shared" si="9"/>
        <v>7520.7038143952277</v>
      </c>
      <c r="G26" s="12">
        <f t="shared" si="9"/>
        <v>3265.7880210878093</v>
      </c>
      <c r="H26" s="12">
        <f t="shared" si="21"/>
        <v>536372.66799821972</v>
      </c>
      <c r="I26" s="12"/>
      <c r="J26" s="12">
        <f t="shared" si="11"/>
        <v>551017</v>
      </c>
      <c r="K26" s="13"/>
      <c r="L26" t="str">
        <f>$A$13</f>
        <v>Rest</v>
      </c>
      <c r="M26" s="12">
        <f t="shared" si="6"/>
        <v>3518</v>
      </c>
      <c r="N26" s="12">
        <f t="shared" si="12"/>
        <v>3621</v>
      </c>
      <c r="O26" s="12">
        <f t="shared" si="12"/>
        <v>6001</v>
      </c>
      <c r="P26" s="12">
        <f t="shared" si="12"/>
        <v>8965</v>
      </c>
      <c r="Q26" s="12">
        <f t="shared" si="12"/>
        <v>5867</v>
      </c>
      <c r="R26" s="12">
        <f t="shared" si="12"/>
        <v>1009</v>
      </c>
      <c r="S26" s="12">
        <f t="shared" si="22"/>
        <v>522036</v>
      </c>
      <c r="T26" s="12"/>
      <c r="U26" s="12">
        <f t="shared" si="14"/>
        <v>551017</v>
      </c>
    </row>
    <row r="27" spans="1:32" x14ac:dyDescent="0.45">
      <c r="A27" s="7" t="s">
        <v>13</v>
      </c>
      <c r="B27" s="14"/>
      <c r="C27" s="14"/>
      <c r="D27" s="14"/>
      <c r="E27" s="14"/>
      <c r="F27" s="14"/>
      <c r="G27" s="14"/>
      <c r="H27" s="14"/>
      <c r="I27" s="14"/>
      <c r="J27" s="14">
        <f t="shared" si="11"/>
        <v>0</v>
      </c>
      <c r="K27" s="12"/>
      <c r="L27" s="293" t="s">
        <v>13</v>
      </c>
      <c r="M27" s="14"/>
      <c r="N27" s="14"/>
      <c r="O27" s="14"/>
      <c r="P27" s="14"/>
      <c r="Q27" s="14"/>
      <c r="R27" s="14"/>
      <c r="S27" s="14"/>
      <c r="T27" s="14"/>
      <c r="U27" s="14"/>
    </row>
    <row r="28" spans="1:32" ht="14.65" thickBot="1" x14ac:dyDescent="0.5">
      <c r="A28" s="1" t="s">
        <v>4</v>
      </c>
      <c r="B28" s="15">
        <f t="shared" ref="B28:J28" si="23">SUM(B20:B27)</f>
        <v>15915.000260780735</v>
      </c>
      <c r="C28" s="15">
        <f t="shared" si="23"/>
        <v>7449.0514542218389</v>
      </c>
      <c r="D28" s="15">
        <f t="shared" si="23"/>
        <v>18371.428467566966</v>
      </c>
      <c r="E28" s="15">
        <f t="shared" si="23"/>
        <v>21407.292582258615</v>
      </c>
      <c r="F28" s="15">
        <f t="shared" si="23"/>
        <v>107297.50259115982</v>
      </c>
      <c r="G28" s="15">
        <f t="shared" si="23"/>
        <v>20660.953486879458</v>
      </c>
      <c r="H28" s="15">
        <f t="shared" si="23"/>
        <v>550495.77115713258</v>
      </c>
      <c r="I28" s="15">
        <f t="shared" si="23"/>
        <v>0</v>
      </c>
      <c r="J28" s="15">
        <f t="shared" si="23"/>
        <v>741597</v>
      </c>
      <c r="K28" s="12"/>
      <c r="L28" s="15" t="s">
        <v>4</v>
      </c>
      <c r="M28" s="15">
        <f t="shared" ref="M28:U28" si="24">M15</f>
        <v>16955</v>
      </c>
      <c r="N28" s="15">
        <f t="shared" si="24"/>
        <v>17772</v>
      </c>
      <c r="O28" s="15">
        <f t="shared" si="24"/>
        <v>27411</v>
      </c>
      <c r="P28" s="15">
        <f t="shared" si="24"/>
        <v>27529</v>
      </c>
      <c r="Q28" s="15">
        <f t="shared" si="24"/>
        <v>92245</v>
      </c>
      <c r="R28" s="15">
        <f t="shared" si="24"/>
        <v>27464</v>
      </c>
      <c r="S28" s="15">
        <f t="shared" si="24"/>
        <v>532221</v>
      </c>
      <c r="T28" s="15">
        <f t="shared" si="24"/>
        <v>0</v>
      </c>
      <c r="U28" s="15">
        <f t="shared" si="24"/>
        <v>741597</v>
      </c>
    </row>
    <row r="31" spans="1:32" ht="14.65" thickBot="1" x14ac:dyDescent="0.5">
      <c r="A31" s="4" t="s">
        <v>40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34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34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4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45">
      <c r="A33" t="str">
        <f>$A$7</f>
        <v>Bellevue</v>
      </c>
      <c r="B33" s="16">
        <f t="shared" ref="B33:J39" si="25">B20/$J$28</f>
        <v>1.8177091997913158E-2</v>
      </c>
      <c r="C33" s="16">
        <f t="shared" si="25"/>
        <v>5.0850853846724489E-3</v>
      </c>
      <c r="D33" s="16">
        <f t="shared" si="25"/>
        <v>3.1603571787894979E-3</v>
      </c>
      <c r="E33" s="16">
        <f t="shared" si="25"/>
        <v>1.0584308380535874E-3</v>
      </c>
      <c r="F33" s="16">
        <f t="shared" si="25"/>
        <v>6.5907961361215417E-4</v>
      </c>
      <c r="G33" s="16">
        <f t="shared" si="25"/>
        <v>3.4668792935949109E-4</v>
      </c>
      <c r="H33" s="16">
        <f t="shared" ref="H33" si="26">H20/$J$28</f>
        <v>3.5792004419040826E-3</v>
      </c>
      <c r="I33" s="16"/>
      <c r="J33" s="16">
        <f t="shared" ref="J33:J38" si="27">J20/$J$28</f>
        <v>3.2065933384304426E-2</v>
      </c>
      <c r="K33" s="12"/>
      <c r="L33" t="str">
        <f>$A$7</f>
        <v>Bellevue</v>
      </c>
      <c r="M33" s="16">
        <f t="shared" ref="M33:R33" si="28">M20/$U$28</f>
        <v>1.3994123492948327E-2</v>
      </c>
      <c r="N33" s="16">
        <f t="shared" si="28"/>
        <v>1.1001932316338928E-2</v>
      </c>
      <c r="O33" s="16">
        <f t="shared" si="28"/>
        <v>1.1178578122619158E-3</v>
      </c>
      <c r="P33" s="16">
        <f t="shared" si="28"/>
        <v>3.5585365097215872E-3</v>
      </c>
      <c r="Q33" s="16">
        <f t="shared" si="28"/>
        <v>3.5059473002183126E-4</v>
      </c>
      <c r="R33" s="16">
        <f t="shared" si="28"/>
        <v>2.3732566339939348E-4</v>
      </c>
      <c r="S33" s="16">
        <f t="shared" ref="S33" si="29">S20/$U$28</f>
        <v>1.8055628596124311E-3</v>
      </c>
      <c r="T33" s="16"/>
      <c r="U33" s="16">
        <f t="shared" ref="U33:U39" si="30">U20/$U$28</f>
        <v>3.2065933384304413E-2</v>
      </c>
      <c r="W33" t="str">
        <f>$A$7</f>
        <v>Bellevue</v>
      </c>
      <c r="X33" s="16">
        <f t="shared" ref="X33:AD33" si="31">M33-B33</f>
        <v>-4.1829685049648308E-3</v>
      </c>
      <c r="Y33" s="16">
        <f t="shared" si="31"/>
        <v>5.9168469316664791E-3</v>
      </c>
      <c r="Z33" s="16">
        <f t="shared" si="31"/>
        <v>-2.0424993665275823E-3</v>
      </c>
      <c r="AA33" s="16">
        <f t="shared" si="31"/>
        <v>2.5001056716679997E-3</v>
      </c>
      <c r="AB33" s="16">
        <f t="shared" si="31"/>
        <v>-3.0848488359032291E-4</v>
      </c>
      <c r="AC33" s="16">
        <f t="shared" si="31"/>
        <v>-1.0936226596009761E-4</v>
      </c>
      <c r="AD33" s="16">
        <f t="shared" si="31"/>
        <v>-1.7736375822916515E-3</v>
      </c>
      <c r="AE33" s="16"/>
      <c r="AF33" s="16">
        <f t="shared" ref="AF33:AF39" si="32">U33-J33</f>
        <v>0</v>
      </c>
    </row>
    <row r="34" spans="1:32" x14ac:dyDescent="0.45">
      <c r="A34" t="str">
        <f>$A$8</f>
        <v>Bellevue Downtown</v>
      </c>
      <c r="B34" s="16">
        <f t="shared" si="25"/>
        <v>1.0484972468787742E-3</v>
      </c>
      <c r="C34" s="16">
        <f t="shared" si="25"/>
        <v>9.6744389218301054E-4</v>
      </c>
      <c r="D34" s="16">
        <f t="shared" si="25"/>
        <v>0</v>
      </c>
      <c r="E34" s="16">
        <f t="shared" si="25"/>
        <v>1.982187224456406E-3</v>
      </c>
      <c r="F34" s="16">
        <f t="shared" si="25"/>
        <v>0</v>
      </c>
      <c r="G34" s="16">
        <f t="shared" ref="G34:H34" si="33">G21/$J$28</f>
        <v>0</v>
      </c>
      <c r="H34" s="16">
        <f t="shared" si="33"/>
        <v>0</v>
      </c>
      <c r="I34" s="16"/>
      <c r="J34" s="16">
        <f t="shared" si="27"/>
        <v>3.9981283635181905E-3</v>
      </c>
      <c r="K34" s="12"/>
      <c r="L34" t="str">
        <f>$A$8</f>
        <v>Bellevue Downtown</v>
      </c>
      <c r="M34" s="16">
        <f t="shared" ref="M34:R39" si="34">M21/$U$28</f>
        <v>5.5151247914972683E-4</v>
      </c>
      <c r="N34" s="16">
        <f t="shared" si="34"/>
        <v>3.3239077288608233E-3</v>
      </c>
      <c r="O34" s="16">
        <f t="shared" si="34"/>
        <v>5.2589209503274688E-5</v>
      </c>
      <c r="P34" s="16">
        <f t="shared" si="34"/>
        <v>5.6634533311218897E-5</v>
      </c>
      <c r="Q34" s="16">
        <f t="shared" si="34"/>
        <v>6.742206346573678E-6</v>
      </c>
      <c r="R34" s="16">
        <f t="shared" si="34"/>
        <v>2.6968825386294712E-6</v>
      </c>
      <c r="S34" s="16">
        <f t="shared" ref="S34" si="35">S21/$U$28</f>
        <v>4.0453238079442068E-6</v>
      </c>
      <c r="T34" s="16"/>
      <c r="U34" s="16">
        <f t="shared" si="30"/>
        <v>3.9981283635181913E-3</v>
      </c>
      <c r="W34" t="str">
        <f>$A$8</f>
        <v>Bellevue Downtown</v>
      </c>
      <c r="X34" s="16">
        <f t="shared" ref="X34:X38" si="36">M34-B34</f>
        <v>-4.9698476772904734E-4</v>
      </c>
      <c r="Y34" s="16">
        <f t="shared" ref="Y34:AD38" si="37">N34-C34</f>
        <v>2.3564638366778126E-3</v>
      </c>
      <c r="Z34" s="16">
        <f t="shared" si="37"/>
        <v>5.2589209503274688E-5</v>
      </c>
      <c r="AA34" s="16">
        <f t="shared" si="37"/>
        <v>-1.9255526911451872E-3</v>
      </c>
      <c r="AB34" s="16">
        <f t="shared" si="37"/>
        <v>6.742206346573678E-6</v>
      </c>
      <c r="AC34" s="16">
        <f t="shared" si="37"/>
        <v>2.6968825386294712E-6</v>
      </c>
      <c r="AD34" s="16">
        <f t="shared" si="37"/>
        <v>4.0453238079442068E-6</v>
      </c>
      <c r="AE34" s="16"/>
      <c r="AF34" s="16">
        <f t="shared" si="32"/>
        <v>0</v>
      </c>
    </row>
    <row r="35" spans="1:32" x14ac:dyDescent="0.45">
      <c r="A35" t="str">
        <f>$A$9</f>
        <v>Kirkland</v>
      </c>
      <c r="B35" s="16">
        <f t="shared" si="25"/>
        <v>4.2581113859353347E-4</v>
      </c>
      <c r="C35" s="16">
        <f t="shared" si="25"/>
        <v>1.5702117866179732E-3</v>
      </c>
      <c r="D35" s="16">
        <f t="shared" si="25"/>
        <v>1.8369858906842892E-2</v>
      </c>
      <c r="E35" s="16">
        <f t="shared" si="25"/>
        <v>4.031249904760276E-3</v>
      </c>
      <c r="F35" s="16">
        <f t="shared" si="25"/>
        <v>1.5990117463888984E-3</v>
      </c>
      <c r="G35" s="16">
        <f t="shared" ref="G35:H35" si="38">G22/$J$28</f>
        <v>0</v>
      </c>
      <c r="H35" s="16">
        <f t="shared" si="38"/>
        <v>3.8677853083098745E-3</v>
      </c>
      <c r="I35" s="16"/>
      <c r="J35" s="16">
        <f t="shared" si="27"/>
        <v>2.9863928791513446E-2</v>
      </c>
      <c r="K35" s="13"/>
      <c r="L35" t="str">
        <f>$A$9</f>
        <v>Kirkland</v>
      </c>
      <c r="M35" s="16">
        <f t="shared" si="34"/>
        <v>7.6456619970145508E-4</v>
      </c>
      <c r="N35" s="16">
        <f t="shared" si="34"/>
        <v>1.70847508822177E-3</v>
      </c>
      <c r="O35" s="16">
        <f t="shared" si="34"/>
        <v>2.1585847839190288E-2</v>
      </c>
      <c r="P35" s="16">
        <f t="shared" si="34"/>
        <v>3.5558396271829578E-3</v>
      </c>
      <c r="Q35" s="16">
        <f t="shared" si="34"/>
        <v>8.1715540920472974E-4</v>
      </c>
      <c r="R35" s="16">
        <f t="shared" si="34"/>
        <v>7.0118946004366255E-5</v>
      </c>
      <c r="S35" s="16">
        <f t="shared" ref="S35" si="39">S22/$U$28</f>
        <v>1.3619256820078831E-3</v>
      </c>
      <c r="T35" s="16"/>
      <c r="U35" s="16">
        <f t="shared" si="30"/>
        <v>2.986392879151345E-2</v>
      </c>
      <c r="W35" t="str">
        <f>$A$9</f>
        <v>Kirkland</v>
      </c>
      <c r="X35" s="16">
        <f t="shared" si="36"/>
        <v>3.3875506110792161E-4</v>
      </c>
      <c r="Y35" s="16">
        <f t="shared" si="37"/>
        <v>1.3826330160379686E-4</v>
      </c>
      <c r="Z35" s="16">
        <f t="shared" si="37"/>
        <v>3.2159889323473967E-3</v>
      </c>
      <c r="AA35" s="16">
        <f t="shared" si="37"/>
        <v>-4.7541027757731823E-4</v>
      </c>
      <c r="AB35" s="16">
        <f t="shared" si="37"/>
        <v>-7.8185633718416865E-4</v>
      </c>
      <c r="AC35" s="16">
        <f t="shared" si="37"/>
        <v>7.0118946004366255E-5</v>
      </c>
      <c r="AD35" s="16">
        <f t="shared" si="37"/>
        <v>-2.5058596263019912E-3</v>
      </c>
      <c r="AE35" s="16"/>
      <c r="AF35" s="16">
        <f t="shared" si="32"/>
        <v>0</v>
      </c>
    </row>
    <row r="36" spans="1:32" x14ac:dyDescent="0.45">
      <c r="A36" t="str">
        <f>$A$10</f>
        <v>Redmond</v>
      </c>
      <c r="B36" s="16">
        <f t="shared" si="25"/>
        <v>5.9053681708467305E-4</v>
      </c>
      <c r="C36" s="16">
        <f t="shared" si="25"/>
        <v>0</v>
      </c>
      <c r="D36" s="16">
        <f t="shared" si="25"/>
        <v>1.7965154105655857E-3</v>
      </c>
      <c r="E36" s="16">
        <f t="shared" si="25"/>
        <v>2.1408763188262743E-2</v>
      </c>
      <c r="F36" s="16">
        <f t="shared" si="25"/>
        <v>0</v>
      </c>
      <c r="G36" s="16">
        <f t="shared" ref="G36:H36" si="40">G23/$J$28</f>
        <v>0</v>
      </c>
      <c r="H36" s="16">
        <f t="shared" si="40"/>
        <v>1.3766867315423908E-4</v>
      </c>
      <c r="I36" s="16"/>
      <c r="J36" s="16">
        <f t="shared" si="27"/>
        <v>2.3933484089067238E-2</v>
      </c>
      <c r="K36" s="13"/>
      <c r="L36" t="str">
        <f>$A$10</f>
        <v>Redmond</v>
      </c>
      <c r="M36" s="16">
        <f t="shared" si="34"/>
        <v>1.9026506310030919E-3</v>
      </c>
      <c r="N36" s="16">
        <f t="shared" si="34"/>
        <v>8.1445852666610027E-4</v>
      </c>
      <c r="O36" s="16">
        <f t="shared" si="34"/>
        <v>3.4250408240594286E-3</v>
      </c>
      <c r="P36" s="16">
        <f t="shared" si="34"/>
        <v>1.7162960475837954E-2</v>
      </c>
      <c r="Q36" s="16">
        <f t="shared" si="34"/>
        <v>7.1467387273680991E-5</v>
      </c>
      <c r="R36" s="16">
        <f t="shared" si="34"/>
        <v>1.4832853962462092E-5</v>
      </c>
      <c r="S36" s="16">
        <f t="shared" ref="S36" si="41">S23/$U$28</f>
        <v>5.4207339026452373E-4</v>
      </c>
      <c r="T36" s="16"/>
      <c r="U36" s="16">
        <f t="shared" si="30"/>
        <v>2.3933484089067241E-2</v>
      </c>
      <c r="W36" t="str">
        <f>$A$10</f>
        <v>Redmond</v>
      </c>
      <c r="X36" s="16">
        <f t="shared" si="36"/>
        <v>1.3121138139184189E-3</v>
      </c>
      <c r="Y36" s="16">
        <f t="shared" si="37"/>
        <v>8.1445852666610027E-4</v>
      </c>
      <c r="Z36" s="16">
        <f t="shared" si="37"/>
        <v>1.6285254134938429E-3</v>
      </c>
      <c r="AA36" s="16">
        <f t="shared" si="37"/>
        <v>-4.2458027124247892E-3</v>
      </c>
      <c r="AB36" s="16">
        <f t="shared" si="37"/>
        <v>7.1467387273680991E-5</v>
      </c>
      <c r="AC36" s="16">
        <f t="shared" si="37"/>
        <v>1.4832853962462092E-5</v>
      </c>
      <c r="AD36" s="16">
        <f t="shared" si="37"/>
        <v>4.0440471711028465E-4</v>
      </c>
      <c r="AE36" s="16"/>
      <c r="AF36" s="16">
        <f t="shared" si="32"/>
        <v>0</v>
      </c>
    </row>
    <row r="37" spans="1:32" x14ac:dyDescent="0.45">
      <c r="A37" t="str">
        <f>$A$11</f>
        <v>Seattle</v>
      </c>
      <c r="B37" s="16">
        <f t="shared" si="25"/>
        <v>0</v>
      </c>
      <c r="C37" s="16">
        <f t="shared" si="25"/>
        <v>1.5145941981923607E-4</v>
      </c>
      <c r="D37" s="16">
        <f t="shared" si="25"/>
        <v>0</v>
      </c>
      <c r="E37" s="16">
        <f t="shared" si="25"/>
        <v>0</v>
      </c>
      <c r="F37" s="16">
        <f t="shared" si="25"/>
        <v>0.12496082912952523</v>
      </c>
      <c r="G37" s="16">
        <f t="shared" ref="G37:H37" si="42">G24/$J$28</f>
        <v>9.6472560162942506E-3</v>
      </c>
      <c r="H37" s="16">
        <f t="shared" si="42"/>
        <v>1.1221358809105254E-2</v>
      </c>
      <c r="I37" s="16"/>
      <c r="J37" s="16">
        <f t="shared" si="27"/>
        <v>0.14598090337474395</v>
      </c>
      <c r="K37" s="13"/>
      <c r="L37" t="str">
        <f>$A$11</f>
        <v>Seattle</v>
      </c>
      <c r="M37" s="16">
        <f t="shared" si="34"/>
        <v>8.6435085363074557E-4</v>
      </c>
      <c r="N37" s="16">
        <f t="shared" si="34"/>
        <v>2.1494153832876885E-3</v>
      </c>
      <c r="O37" s="16">
        <f t="shared" si="34"/>
        <v>2.6577777418193439E-3</v>
      </c>
      <c r="P37" s="16">
        <f t="shared" si="34"/>
        <v>6.8905348861982994E-4</v>
      </c>
      <c r="Q37" s="16">
        <f t="shared" si="34"/>
        <v>0.11365067550165386</v>
      </c>
      <c r="R37" s="16">
        <f t="shared" si="34"/>
        <v>1.6053193311191927E-2</v>
      </c>
      <c r="S37" s="16">
        <f t="shared" ref="S37" si="43">S24/$U$28</f>
        <v>9.9164370945405665E-3</v>
      </c>
      <c r="T37" s="16"/>
      <c r="U37" s="16">
        <f t="shared" si="30"/>
        <v>0.14598090337474395</v>
      </c>
      <c r="W37" t="str">
        <f>$A$11</f>
        <v>Seattle</v>
      </c>
      <c r="X37" s="16">
        <f t="shared" si="36"/>
        <v>8.6435085363074557E-4</v>
      </c>
      <c r="Y37" s="16">
        <f t="shared" si="37"/>
        <v>1.9979559634684526E-3</v>
      </c>
      <c r="Z37" s="16">
        <f t="shared" si="37"/>
        <v>2.6577777418193439E-3</v>
      </c>
      <c r="AA37" s="16">
        <f t="shared" si="37"/>
        <v>6.8905348861982994E-4</v>
      </c>
      <c r="AB37" s="16">
        <f t="shared" si="37"/>
        <v>-1.1310153627871369E-2</v>
      </c>
      <c r="AC37" s="16">
        <f t="shared" si="37"/>
        <v>6.4059372948976762E-3</v>
      </c>
      <c r="AD37" s="16">
        <f t="shared" si="37"/>
        <v>-1.3049217145646875E-3</v>
      </c>
      <c r="AE37" s="16"/>
      <c r="AF37" s="16">
        <f t="shared" si="32"/>
        <v>0</v>
      </c>
    </row>
    <row r="38" spans="1:32" x14ac:dyDescent="0.45">
      <c r="A38" t="str">
        <f>$A$12</f>
        <v>Seattle Downtown</v>
      </c>
      <c r="B38" s="16">
        <f t="shared" si="25"/>
        <v>1.1874942890775622E-4</v>
      </c>
      <c r="C38" s="16">
        <f t="shared" si="25"/>
        <v>0</v>
      </c>
      <c r="D38" s="16">
        <f t="shared" si="25"/>
        <v>0</v>
      </c>
      <c r="E38" s="16">
        <f t="shared" si="25"/>
        <v>0</v>
      </c>
      <c r="F38" s="16">
        <f t="shared" si="25"/>
        <v>7.3242327011751249E-3</v>
      </c>
      <c r="G38" s="16">
        <f t="shared" ref="G38:H39" si="44">G25/$J$28</f>
        <v>1.3462415054978203E-2</v>
      </c>
      <c r="H38" s="16">
        <f t="shared" si="44"/>
        <v>2.3816191779397252E-4</v>
      </c>
      <c r="I38" s="16"/>
      <c r="J38" s="16">
        <f t="shared" si="27"/>
        <v>2.1143559102855054E-2</v>
      </c>
      <c r="K38" s="13"/>
      <c r="L38" t="str">
        <f>$A$12</f>
        <v>Seattle Downtown</v>
      </c>
      <c r="M38" s="16">
        <f t="shared" si="34"/>
        <v>4.1801679348756803E-5</v>
      </c>
      <c r="N38" s="16">
        <f t="shared" si="34"/>
        <v>8.3603358697513605E-5</v>
      </c>
      <c r="O38" s="16">
        <f t="shared" si="34"/>
        <v>3.1014149194238918E-5</v>
      </c>
      <c r="P38" s="16">
        <f t="shared" si="34"/>
        <v>9.43908888520315E-6</v>
      </c>
      <c r="Q38" s="16">
        <f t="shared" si="34"/>
        <v>1.5790247263675553E-3</v>
      </c>
      <c r="R38" s="16">
        <f t="shared" si="34"/>
        <v>1.9294846122624554E-2</v>
      </c>
      <c r="S38" s="16">
        <f t="shared" ref="S38:S39" si="45">S25/$U$28</f>
        <v>1.0382997773723464E-4</v>
      </c>
      <c r="T38" s="16"/>
      <c r="U38" s="16">
        <f t="shared" si="30"/>
        <v>2.1143559102855054E-2</v>
      </c>
      <c r="W38" t="str">
        <f>$A$12</f>
        <v>Seattle Downtown</v>
      </c>
      <c r="X38" s="16">
        <f t="shared" si="36"/>
        <v>-7.6947749558999416E-5</v>
      </c>
      <c r="Y38" s="16">
        <f t="shared" si="37"/>
        <v>8.3603358697513605E-5</v>
      </c>
      <c r="Z38" s="16">
        <f t="shared" si="37"/>
        <v>3.1014149194238918E-5</v>
      </c>
      <c r="AA38" s="16">
        <f t="shared" si="37"/>
        <v>9.43908888520315E-6</v>
      </c>
      <c r="AB38" s="16">
        <f t="shared" si="37"/>
        <v>-5.7452079748075693E-3</v>
      </c>
      <c r="AC38" s="16">
        <f t="shared" si="37"/>
        <v>5.8324310676463511E-3</v>
      </c>
      <c r="AD38" s="16">
        <f t="shared" si="37"/>
        <v>-1.3433194005673787E-4</v>
      </c>
      <c r="AE38" s="16"/>
      <c r="AF38" s="16">
        <f t="shared" si="32"/>
        <v>0</v>
      </c>
    </row>
    <row r="39" spans="1:32" x14ac:dyDescent="0.45">
      <c r="A39" t="str">
        <f>$A$13</f>
        <v>Rest</v>
      </c>
      <c r="B39" s="16">
        <f t="shared" si="25"/>
        <v>1.0997565234136279E-3</v>
      </c>
      <c r="C39" s="16">
        <f t="shared" si="25"/>
        <v>2.2704079148290063E-3</v>
      </c>
      <c r="D39" s="16">
        <f t="shared" si="25"/>
        <v>1.4460608257328964E-3</v>
      </c>
      <c r="E39" s="16">
        <f t="shared" si="25"/>
        <v>3.8584562667971583E-4</v>
      </c>
      <c r="F39" s="16">
        <f t="shared" si="25"/>
        <v>1.0141227397623276E-2</v>
      </c>
      <c r="G39" s="16">
        <f t="shared" si="44"/>
        <v>4.4037233444685041E-3</v>
      </c>
      <c r="H39" s="16">
        <f t="shared" si="44"/>
        <v>0.72326704126125063</v>
      </c>
      <c r="I39" s="16"/>
      <c r="J39" s="16">
        <f t="shared" si="25"/>
        <v>0.74301406289399763</v>
      </c>
      <c r="K39" s="13"/>
      <c r="L39" t="str">
        <f>$A$13</f>
        <v>Rest</v>
      </c>
      <c r="M39" s="16">
        <f t="shared" si="34"/>
        <v>4.7438163854492399E-3</v>
      </c>
      <c r="N39" s="16">
        <f t="shared" si="34"/>
        <v>4.8827058361886576E-3</v>
      </c>
      <c r="O39" s="16">
        <f t="shared" si="34"/>
        <v>8.0919960571577288E-3</v>
      </c>
      <c r="P39" s="16">
        <f t="shared" si="34"/>
        <v>1.2088775979406606E-2</v>
      </c>
      <c r="Q39" s="16">
        <f t="shared" si="34"/>
        <v>7.911304927069554E-3</v>
      </c>
      <c r="R39" s="16">
        <f t="shared" si="34"/>
        <v>1.3605772407385682E-3</v>
      </c>
      <c r="S39" s="16">
        <f t="shared" si="45"/>
        <v>0.7039348864679873</v>
      </c>
      <c r="T39" s="16"/>
      <c r="U39" s="16">
        <f t="shared" si="30"/>
        <v>0.74301406289399763</v>
      </c>
      <c r="W39" t="str">
        <f>$A$13</f>
        <v>Rest</v>
      </c>
      <c r="X39" s="16">
        <f t="shared" ref="X39" si="46">M39-B39</f>
        <v>3.644059862035612E-3</v>
      </c>
      <c r="Y39" s="16">
        <f t="shared" ref="Y39" si="47">N39-C39</f>
        <v>2.6122979213596513E-3</v>
      </c>
      <c r="Z39" s="16">
        <f t="shared" ref="Z39" si="48">O39-D39</f>
        <v>6.6459352314248328E-3</v>
      </c>
      <c r="AA39" s="16">
        <f t="shared" ref="AA39" si="49">P39-E39</f>
        <v>1.170293035272689E-2</v>
      </c>
      <c r="AB39" s="16">
        <f t="shared" ref="AB39" si="50">Q39-F39</f>
        <v>-2.2299224705537215E-3</v>
      </c>
      <c r="AC39" s="16">
        <f t="shared" ref="AC39" si="51">R39-G39</f>
        <v>-3.0431461037299361E-3</v>
      </c>
      <c r="AD39" s="16">
        <f t="shared" ref="AD39" si="52">S39-H39</f>
        <v>-1.9332154793263334E-2</v>
      </c>
      <c r="AE39" s="16"/>
      <c r="AF39" s="16">
        <f t="shared" si="32"/>
        <v>0</v>
      </c>
    </row>
    <row r="40" spans="1:32" x14ac:dyDescent="0.45">
      <c r="A40" s="7" t="s">
        <v>13</v>
      </c>
      <c r="B40" s="17"/>
      <c r="C40" s="17"/>
      <c r="D40" s="17"/>
      <c r="E40" s="17"/>
      <c r="F40" s="17"/>
      <c r="G40" s="17"/>
      <c r="H40" s="16"/>
      <c r="I40" s="17"/>
      <c r="J40" s="17">
        <f>J27/$J$28</f>
        <v>0</v>
      </c>
      <c r="K40" s="12"/>
      <c r="L40" s="293" t="s">
        <v>13</v>
      </c>
      <c r="M40" s="17"/>
      <c r="N40" s="17"/>
      <c r="O40" s="17"/>
      <c r="P40" s="17"/>
      <c r="Q40" s="17"/>
      <c r="R40" s="17"/>
      <c r="S40" s="17"/>
      <c r="T40" s="17"/>
      <c r="U40" s="17"/>
      <c r="W40" s="293" t="s">
        <v>13</v>
      </c>
      <c r="X40" s="17"/>
      <c r="Y40" s="17"/>
      <c r="Z40" s="17"/>
      <c r="AA40" s="17"/>
      <c r="AB40" s="17"/>
      <c r="AC40" s="17"/>
      <c r="AD40" s="17"/>
      <c r="AE40" s="17"/>
      <c r="AF40" s="17"/>
    </row>
    <row r="41" spans="1:32" ht="14.65" thickBot="1" x14ac:dyDescent="0.5">
      <c r="A41" s="1" t="s">
        <v>4</v>
      </c>
      <c r="B41" s="18">
        <f t="shared" ref="B41:H41" si="53">B28/$J$28</f>
        <v>2.1460443152791522E-2</v>
      </c>
      <c r="C41" s="18">
        <f t="shared" si="53"/>
        <v>1.0044608398121675E-2</v>
      </c>
      <c r="D41" s="18">
        <f t="shared" si="53"/>
        <v>2.4772792321930869E-2</v>
      </c>
      <c r="E41" s="18">
        <f t="shared" si="53"/>
        <v>2.8866476782212731E-2</v>
      </c>
      <c r="F41" s="18">
        <f t="shared" si="53"/>
        <v>0.1446843805883247</v>
      </c>
      <c r="G41" s="18">
        <f t="shared" si="53"/>
        <v>2.786008234510045E-2</v>
      </c>
      <c r="H41" s="18">
        <f t="shared" si="53"/>
        <v>0.74231121641151809</v>
      </c>
      <c r="I41" s="18">
        <f>I28/$J$28</f>
        <v>0</v>
      </c>
      <c r="J41" s="18">
        <f>J28/$J$28</f>
        <v>1</v>
      </c>
      <c r="K41" s="12"/>
      <c r="L41" s="15" t="s">
        <v>4</v>
      </c>
      <c r="M41" s="18">
        <f>M28/$U$28</f>
        <v>2.2862821721231344E-2</v>
      </c>
      <c r="N41" s="18">
        <f>N28/$U$28</f>
        <v>2.3964498238261481E-2</v>
      </c>
      <c r="O41" s="18">
        <f>O28/$U$28</f>
        <v>3.6962123633186218E-2</v>
      </c>
      <c r="P41" s="18">
        <f>P28/$U$28</f>
        <v>3.712123970296536E-2</v>
      </c>
      <c r="Q41" s="18">
        <f t="shared" ref="Q41:S41" si="54">Q28/$U$28</f>
        <v>0.12438696488793778</v>
      </c>
      <c r="R41" s="18">
        <f t="shared" si="54"/>
        <v>3.7033591020459902E-2</v>
      </c>
      <c r="S41" s="18">
        <f t="shared" si="54"/>
        <v>0.71766876079595787</v>
      </c>
      <c r="T41" s="18">
        <f>T28/$U$28</f>
        <v>0</v>
      </c>
      <c r="U41" s="18">
        <f>U28/$U$28</f>
        <v>1</v>
      </c>
      <c r="W41" s="15" t="s">
        <v>4</v>
      </c>
      <c r="X41" s="18">
        <f t="shared" ref="X41:AF41" si="55">M41-B41</f>
        <v>1.4023785684398223E-3</v>
      </c>
      <c r="Y41" s="18">
        <f t="shared" si="55"/>
        <v>1.3919889840139806E-2</v>
      </c>
      <c r="Z41" s="18">
        <f t="shared" si="55"/>
        <v>1.2189331311255349E-2</v>
      </c>
      <c r="AA41" s="18">
        <f t="shared" si="55"/>
        <v>8.2547629207526292E-3</v>
      </c>
      <c r="AB41" s="18">
        <f t="shared" si="55"/>
        <v>-2.0297415700386914E-2</v>
      </c>
      <c r="AC41" s="18">
        <f t="shared" si="55"/>
        <v>9.1735086753594527E-3</v>
      </c>
      <c r="AD41" s="18">
        <f t="shared" si="55"/>
        <v>-2.4642455615560221E-2</v>
      </c>
      <c r="AE41" s="18">
        <f t="shared" si="55"/>
        <v>0</v>
      </c>
      <c r="AF41" s="18">
        <f t="shared" si="55"/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15"/>
  <sheetViews>
    <sheetView workbookViewId="0">
      <selection activeCell="B3" sqref="B3"/>
    </sheetView>
  </sheetViews>
  <sheetFormatPr defaultRowHeight="14.25" x14ac:dyDescent="0.45"/>
  <sheetData>
    <row r="1" spans="1:3" x14ac:dyDescent="0.45">
      <c r="A1" s="10" t="s">
        <v>19</v>
      </c>
    </row>
    <row r="2" spans="1:3" x14ac:dyDescent="0.45">
      <c r="A2">
        <v>1</v>
      </c>
      <c r="B2" t="s">
        <v>247</v>
      </c>
    </row>
    <row r="3" spans="1:3" x14ac:dyDescent="0.45">
      <c r="B3" t="s">
        <v>20</v>
      </c>
      <c r="C3" t="s">
        <v>21</v>
      </c>
    </row>
    <row r="4" spans="1:3" x14ac:dyDescent="0.45">
      <c r="B4" t="s">
        <v>22</v>
      </c>
      <c r="C4" t="s">
        <v>23</v>
      </c>
    </row>
    <row r="5" spans="1:3" x14ac:dyDescent="0.45">
      <c r="B5" t="s">
        <v>24</v>
      </c>
      <c r="C5" t="s">
        <v>25</v>
      </c>
    </row>
    <row r="6" spans="1:3" x14ac:dyDescent="0.45">
      <c r="B6" t="s">
        <v>26</v>
      </c>
      <c r="C6" t="s">
        <v>27</v>
      </c>
    </row>
    <row r="8" spans="1:3" x14ac:dyDescent="0.45">
      <c r="A8">
        <v>2</v>
      </c>
      <c r="B8" t="s">
        <v>28</v>
      </c>
    </row>
    <row r="10" spans="1:3" x14ac:dyDescent="0.45">
      <c r="A10">
        <v>3</v>
      </c>
      <c r="B10" t="s">
        <v>29</v>
      </c>
    </row>
    <row r="12" spans="1:3" x14ac:dyDescent="0.45">
      <c r="A12">
        <v>4</v>
      </c>
      <c r="B12" t="s">
        <v>30</v>
      </c>
    </row>
    <row r="14" spans="1:3" x14ac:dyDescent="0.45">
      <c r="A14">
        <v>5</v>
      </c>
      <c r="B14" t="s">
        <v>31</v>
      </c>
    </row>
    <row r="15" spans="1:3" x14ac:dyDescent="0.45">
      <c r="B15" t="s">
        <v>32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104"/>
  <sheetViews>
    <sheetView topLeftCell="A5" workbookViewId="0">
      <selection activeCell="B39" sqref="B39"/>
    </sheetView>
  </sheetViews>
  <sheetFormatPr defaultRowHeight="14.25" x14ac:dyDescent="0.45"/>
  <cols>
    <col min="2" max="2" customWidth="true" width="10.73046875" collapsed="true"/>
    <col min="3" max="3" customWidth="true" width="13.73046875" collapsed="true"/>
  </cols>
  <sheetData>
    <row r="1" spans="1:4" x14ac:dyDescent="0.45">
      <c r="A1" s="297" t="s">
        <v>43</v>
      </c>
    </row>
    <row r="2" spans="1:4" x14ac:dyDescent="0.45">
      <c r="A2" t="s">
        <v>255</v>
      </c>
      <c r="B2" t="s">
        <v>262</v>
      </c>
      <c r="C2" t="s">
        <v>92</v>
      </c>
      <c r="D2" t="s">
        <v>278</v>
      </c>
    </row>
    <row r="3" spans="1:4" x14ac:dyDescent="0.45">
      <c r="A3">
        <v>1</v>
      </c>
      <c r="B3" t="s">
        <v>46</v>
      </c>
      <c r="C3" t="s">
        <v>279</v>
      </c>
      <c r="D3" t="s">
        <v>47</v>
      </c>
    </row>
    <row r="4" spans="1:4" x14ac:dyDescent="0.45">
      <c r="A4">
        <v>2</v>
      </c>
      <c r="B4" t="s">
        <v>49</v>
      </c>
      <c r="C4" t="s">
        <v>279</v>
      </c>
      <c r="D4" t="s">
        <v>50</v>
      </c>
    </row>
    <row r="5" spans="1:4" x14ac:dyDescent="0.45">
      <c r="A5">
        <v>3</v>
      </c>
      <c r="B5" t="s">
        <v>52</v>
      </c>
      <c r="C5" t="s">
        <v>279</v>
      </c>
      <c r="D5" t="s">
        <v>53</v>
      </c>
    </row>
    <row r="6" spans="1:4" x14ac:dyDescent="0.45">
      <c r="A6">
        <v>4</v>
      </c>
      <c r="B6" t="s">
        <v>55</v>
      </c>
      <c r="C6" t="s">
        <v>279</v>
      </c>
      <c r="D6" t="s">
        <v>56</v>
      </c>
    </row>
    <row r="7" spans="1:4" x14ac:dyDescent="0.45">
      <c r="A7">
        <v>5</v>
      </c>
      <c r="B7" t="s">
        <v>58</v>
      </c>
      <c r="C7" t="s">
        <v>279</v>
      </c>
      <c r="D7" t="s">
        <v>59</v>
      </c>
    </row>
    <row r="8" spans="1:4" x14ac:dyDescent="0.45">
      <c r="A8">
        <v>6</v>
      </c>
      <c r="B8" t="s">
        <v>60</v>
      </c>
      <c r="C8" t="s">
        <v>279</v>
      </c>
      <c r="D8" t="s">
        <v>61</v>
      </c>
    </row>
    <row r="9" spans="1:4" x14ac:dyDescent="0.45">
      <c r="A9">
        <v>7</v>
      </c>
      <c r="B9" t="s">
        <v>62</v>
      </c>
      <c r="C9" t="s">
        <v>279</v>
      </c>
      <c r="D9" t="s">
        <v>63</v>
      </c>
    </row>
    <row r="10" spans="1:4" x14ac:dyDescent="0.45">
      <c r="A10">
        <v>8</v>
      </c>
      <c r="B10" t="s">
        <v>65</v>
      </c>
      <c r="C10" t="s">
        <v>279</v>
      </c>
      <c r="D10" t="s">
        <v>66</v>
      </c>
    </row>
    <row r="11" spans="1:4" x14ac:dyDescent="0.45">
      <c r="A11">
        <v>9</v>
      </c>
      <c r="B11" t="s">
        <v>67</v>
      </c>
      <c r="C11" t="s">
        <v>279</v>
      </c>
      <c r="D11" t="s">
        <v>68</v>
      </c>
    </row>
    <row r="12" spans="1:4" x14ac:dyDescent="0.45">
      <c r="A12">
        <v>10</v>
      </c>
      <c r="B12" t="s">
        <v>69</v>
      </c>
      <c r="C12" t="s">
        <v>279</v>
      </c>
      <c r="D12" t="s">
        <v>70</v>
      </c>
    </row>
    <row r="13" spans="1:4" x14ac:dyDescent="0.45">
      <c r="A13">
        <v>11</v>
      </c>
      <c r="B13" t="s">
        <v>71</v>
      </c>
      <c r="C13" t="s">
        <v>279</v>
      </c>
      <c r="D13" t="s">
        <v>72</v>
      </c>
    </row>
    <row r="14" spans="1:4" x14ac:dyDescent="0.45">
      <c r="A14">
        <v>12</v>
      </c>
      <c r="B14" t="s">
        <v>73</v>
      </c>
      <c r="C14" t="s">
        <v>279</v>
      </c>
      <c r="D14" t="s">
        <v>74</v>
      </c>
    </row>
    <row r="15" spans="1:4" x14ac:dyDescent="0.45">
      <c r="A15">
        <v>13</v>
      </c>
      <c r="B15" t="s">
        <v>75</v>
      </c>
      <c r="C15" t="s">
        <v>279</v>
      </c>
      <c r="D15" t="s">
        <v>76</v>
      </c>
    </row>
    <row r="16" spans="1:4" x14ac:dyDescent="0.45">
      <c r="A16">
        <v>14</v>
      </c>
      <c r="B16" t="s">
        <v>77</v>
      </c>
      <c r="C16" t="s">
        <v>279</v>
      </c>
      <c r="D16" t="s">
        <v>78</v>
      </c>
    </row>
    <row r="17" spans="1:4" x14ac:dyDescent="0.45">
      <c r="A17">
        <v>15</v>
      </c>
      <c r="B17" t="s">
        <v>79</v>
      </c>
      <c r="C17" t="s">
        <v>279</v>
      </c>
      <c r="D17" t="s">
        <v>80</v>
      </c>
    </row>
    <row r="18" spans="1:4" x14ac:dyDescent="0.45">
      <c r="A18">
        <v>16</v>
      </c>
      <c r="B18" t="s">
        <v>81</v>
      </c>
      <c r="C18" t="s">
        <v>279</v>
      </c>
      <c r="D18" t="s">
        <v>82</v>
      </c>
    </row>
    <row r="19" spans="1:4" x14ac:dyDescent="0.45">
      <c r="A19">
        <v>17</v>
      </c>
      <c r="B19" t="s">
        <v>84</v>
      </c>
      <c r="C19" t="s">
        <v>279</v>
      </c>
      <c r="D19" t="s">
        <v>85</v>
      </c>
    </row>
    <row r="20" spans="1:4" x14ac:dyDescent="0.45">
      <c r="A20">
        <v>18</v>
      </c>
      <c r="B20" t="s">
        <v>87</v>
      </c>
      <c r="C20" t="s">
        <v>279</v>
      </c>
      <c r="D20" t="s">
        <v>88</v>
      </c>
    </row>
    <row r="21" spans="1:4" x14ac:dyDescent="0.45">
      <c r="A21">
        <v>19</v>
      </c>
      <c r="B21" t="s">
        <v>90</v>
      </c>
      <c r="C21" t="s">
        <v>279</v>
      </c>
      <c r="D21" t="s">
        <v>91</v>
      </c>
    </row>
    <row r="22" spans="1:4" x14ac:dyDescent="0.45">
      <c r="A22">
        <v>20</v>
      </c>
      <c r="B22" t="s">
        <v>93</v>
      </c>
      <c r="C22" t="s">
        <v>89</v>
      </c>
      <c r="D22" t="s">
        <v>94</v>
      </c>
    </row>
    <row r="23" spans="1:4" x14ac:dyDescent="0.45">
      <c r="A23">
        <v>21</v>
      </c>
      <c r="B23" t="s">
        <v>95</v>
      </c>
      <c r="C23" t="s">
        <v>89</v>
      </c>
      <c r="D23" t="s">
        <v>96</v>
      </c>
    </row>
    <row r="24" spans="1:4" x14ac:dyDescent="0.45">
      <c r="A24">
        <v>22</v>
      </c>
      <c r="B24" t="s">
        <v>97</v>
      </c>
      <c r="C24" t="s">
        <v>89</v>
      </c>
      <c r="D24" t="s">
        <v>98</v>
      </c>
    </row>
    <row r="25" spans="1:4" x14ac:dyDescent="0.45">
      <c r="A25">
        <v>23</v>
      </c>
      <c r="B25" t="s">
        <v>99</v>
      </c>
      <c r="C25" t="s">
        <v>89</v>
      </c>
      <c r="D25" t="s">
        <v>100</v>
      </c>
    </row>
    <row r="26" spans="1:4" x14ac:dyDescent="0.45">
      <c r="A26">
        <v>24</v>
      </c>
      <c r="B26" t="s">
        <v>101</v>
      </c>
      <c r="C26" t="s">
        <v>89</v>
      </c>
      <c r="D26" t="s">
        <v>102</v>
      </c>
    </row>
    <row r="27" spans="1:4" x14ac:dyDescent="0.45">
      <c r="A27">
        <v>25</v>
      </c>
      <c r="B27" t="s">
        <v>104</v>
      </c>
      <c r="C27" t="s">
        <v>89</v>
      </c>
      <c r="D27" t="s">
        <v>105</v>
      </c>
    </row>
    <row r="28" spans="1:4" x14ac:dyDescent="0.45">
      <c r="A28">
        <v>26</v>
      </c>
      <c r="B28" t="s">
        <v>106</v>
      </c>
      <c r="C28" t="s">
        <v>103</v>
      </c>
      <c r="D28" t="s">
        <v>94</v>
      </c>
    </row>
    <row r="29" spans="1:4" x14ac:dyDescent="0.45">
      <c r="A29">
        <v>27</v>
      </c>
      <c r="B29" t="s">
        <v>107</v>
      </c>
      <c r="C29" t="s">
        <v>103</v>
      </c>
      <c r="D29" t="s">
        <v>96</v>
      </c>
    </row>
    <row r="30" spans="1:4" x14ac:dyDescent="0.45">
      <c r="A30">
        <v>28</v>
      </c>
      <c r="B30" t="s">
        <v>109</v>
      </c>
      <c r="C30" t="s">
        <v>103</v>
      </c>
      <c r="D30" t="s">
        <v>98</v>
      </c>
    </row>
    <row r="31" spans="1:4" x14ac:dyDescent="0.45">
      <c r="A31">
        <v>29</v>
      </c>
      <c r="B31" t="s">
        <v>110</v>
      </c>
      <c r="C31" t="s">
        <v>103</v>
      </c>
      <c r="D31" t="s">
        <v>100</v>
      </c>
    </row>
    <row r="32" spans="1:4" x14ac:dyDescent="0.45">
      <c r="A32">
        <v>30</v>
      </c>
      <c r="B32" t="s">
        <v>111</v>
      </c>
      <c r="C32" t="s">
        <v>103</v>
      </c>
      <c r="D32" t="s">
        <v>112</v>
      </c>
    </row>
    <row r="33" spans="1:4" x14ac:dyDescent="0.45">
      <c r="A33">
        <v>31</v>
      </c>
      <c r="B33" t="s">
        <v>113</v>
      </c>
      <c r="C33" t="s">
        <v>103</v>
      </c>
      <c r="D33" t="s">
        <v>114</v>
      </c>
    </row>
    <row r="34" spans="1:4" x14ac:dyDescent="0.45">
      <c r="A34">
        <v>32</v>
      </c>
      <c r="B34" t="s">
        <v>115</v>
      </c>
      <c r="C34" t="s">
        <v>103</v>
      </c>
      <c r="D34" t="s">
        <v>116</v>
      </c>
    </row>
    <row r="35" spans="1:4" x14ac:dyDescent="0.45">
      <c r="A35">
        <v>33</v>
      </c>
      <c r="B35" t="s">
        <v>117</v>
      </c>
      <c r="C35" t="s">
        <v>103</v>
      </c>
      <c r="D35" t="s">
        <v>118</v>
      </c>
    </row>
    <row r="36" spans="1:4" x14ac:dyDescent="0.45">
      <c r="A36">
        <v>34</v>
      </c>
      <c r="B36" t="s">
        <v>119</v>
      </c>
      <c r="C36" t="s">
        <v>103</v>
      </c>
      <c r="D36" t="s">
        <v>120</v>
      </c>
    </row>
    <row r="37" spans="1:4" x14ac:dyDescent="0.45">
      <c r="A37">
        <v>35</v>
      </c>
      <c r="B37" t="s">
        <v>122</v>
      </c>
      <c r="C37" t="s">
        <v>103</v>
      </c>
      <c r="D37" t="s">
        <v>123</v>
      </c>
    </row>
    <row r="38" spans="1:4" x14ac:dyDescent="0.45">
      <c r="A38">
        <v>36</v>
      </c>
      <c r="B38" t="s">
        <v>124</v>
      </c>
      <c r="C38" t="s">
        <v>121</v>
      </c>
      <c r="D38" t="s">
        <v>94</v>
      </c>
    </row>
    <row r="39" spans="1:4" x14ac:dyDescent="0.45">
      <c r="A39">
        <v>37</v>
      </c>
      <c r="B39" t="s">
        <v>125</v>
      </c>
      <c r="C39" t="s">
        <v>121</v>
      </c>
      <c r="D39" t="s">
        <v>96</v>
      </c>
    </row>
    <row r="40" spans="1:4" x14ac:dyDescent="0.45">
      <c r="A40">
        <v>38</v>
      </c>
      <c r="B40" t="s">
        <v>127</v>
      </c>
      <c r="C40" t="s">
        <v>121</v>
      </c>
      <c r="D40" t="s">
        <v>98</v>
      </c>
    </row>
    <row r="41" spans="1:4" x14ac:dyDescent="0.45">
      <c r="A41">
        <v>39</v>
      </c>
      <c r="B41" t="s">
        <v>128</v>
      </c>
      <c r="C41" t="s">
        <v>121</v>
      </c>
      <c r="D41" t="s">
        <v>100</v>
      </c>
    </row>
    <row r="42" spans="1:4" x14ac:dyDescent="0.45">
      <c r="A42">
        <v>40</v>
      </c>
      <c r="B42" t="s">
        <v>129</v>
      </c>
      <c r="C42" t="s">
        <v>121</v>
      </c>
      <c r="D42" t="s">
        <v>112</v>
      </c>
    </row>
    <row r="43" spans="1:4" x14ac:dyDescent="0.45">
      <c r="A43">
        <v>41</v>
      </c>
      <c r="B43" t="s">
        <v>130</v>
      </c>
      <c r="C43" t="s">
        <v>121</v>
      </c>
      <c r="D43" t="s">
        <v>114</v>
      </c>
    </row>
    <row r="44" spans="1:4" x14ac:dyDescent="0.45">
      <c r="A44">
        <v>42</v>
      </c>
      <c r="B44" t="s">
        <v>132</v>
      </c>
      <c r="C44" t="s">
        <v>121</v>
      </c>
      <c r="D44" t="s">
        <v>133</v>
      </c>
    </row>
    <row r="45" spans="1:4" x14ac:dyDescent="0.45">
      <c r="A45">
        <v>43</v>
      </c>
      <c r="B45" t="s">
        <v>134</v>
      </c>
      <c r="C45" t="s">
        <v>131</v>
      </c>
      <c r="D45" t="s">
        <v>94</v>
      </c>
    </row>
    <row r="46" spans="1:4" x14ac:dyDescent="0.45">
      <c r="A46">
        <v>44</v>
      </c>
      <c r="B46" t="s">
        <v>135</v>
      </c>
      <c r="C46" t="s">
        <v>131</v>
      </c>
      <c r="D46" t="s">
        <v>136</v>
      </c>
    </row>
    <row r="47" spans="1:4" x14ac:dyDescent="0.45">
      <c r="A47">
        <v>45</v>
      </c>
      <c r="B47" t="s">
        <v>137</v>
      </c>
      <c r="C47" t="s">
        <v>131</v>
      </c>
      <c r="D47" t="s">
        <v>138</v>
      </c>
    </row>
    <row r="48" spans="1:4" x14ac:dyDescent="0.45">
      <c r="A48">
        <v>46</v>
      </c>
      <c r="B48" t="s">
        <v>139</v>
      </c>
      <c r="C48" t="s">
        <v>131</v>
      </c>
      <c r="D48" t="s">
        <v>140</v>
      </c>
    </row>
    <row r="49" spans="1:4" x14ac:dyDescent="0.45">
      <c r="A49">
        <v>47</v>
      </c>
      <c r="B49" t="s">
        <v>141</v>
      </c>
      <c r="C49" t="s">
        <v>131</v>
      </c>
      <c r="D49" t="s">
        <v>142</v>
      </c>
    </row>
    <row r="50" spans="1:4" x14ac:dyDescent="0.45">
      <c r="A50">
        <v>48</v>
      </c>
      <c r="B50" t="s">
        <v>144</v>
      </c>
      <c r="C50" t="s">
        <v>131</v>
      </c>
      <c r="D50" t="s">
        <v>145</v>
      </c>
    </row>
    <row r="51" spans="1:4" x14ac:dyDescent="0.45">
      <c r="A51">
        <v>49</v>
      </c>
      <c r="B51" t="s">
        <v>146</v>
      </c>
      <c r="C51" t="s">
        <v>143</v>
      </c>
      <c r="D51" t="s">
        <v>94</v>
      </c>
    </row>
    <row r="52" spans="1:4" x14ac:dyDescent="0.45">
      <c r="A52">
        <v>50</v>
      </c>
      <c r="B52" t="s">
        <v>147</v>
      </c>
      <c r="C52" t="s">
        <v>143</v>
      </c>
      <c r="D52" t="s">
        <v>96</v>
      </c>
    </row>
    <row r="53" spans="1:4" x14ac:dyDescent="0.45">
      <c r="A53">
        <v>51</v>
      </c>
      <c r="B53" t="s">
        <v>148</v>
      </c>
      <c r="C53" t="s">
        <v>143</v>
      </c>
      <c r="D53" t="s">
        <v>98</v>
      </c>
    </row>
    <row r="54" spans="1:4" x14ac:dyDescent="0.45">
      <c r="A54">
        <v>52</v>
      </c>
      <c r="B54" t="s">
        <v>149</v>
      </c>
      <c r="C54" t="s">
        <v>143</v>
      </c>
      <c r="D54" t="s">
        <v>100</v>
      </c>
    </row>
    <row r="55" spans="1:4" x14ac:dyDescent="0.45">
      <c r="A55">
        <v>53</v>
      </c>
      <c r="B55" t="s">
        <v>150</v>
      </c>
      <c r="C55" t="s">
        <v>143</v>
      </c>
      <c r="D55" t="s">
        <v>112</v>
      </c>
    </row>
    <row r="56" spans="1:4" x14ac:dyDescent="0.45">
      <c r="A56">
        <v>54</v>
      </c>
      <c r="B56" t="s">
        <v>151</v>
      </c>
      <c r="C56" t="s">
        <v>143</v>
      </c>
      <c r="D56" t="s">
        <v>152</v>
      </c>
    </row>
    <row r="57" spans="1:4" x14ac:dyDescent="0.45">
      <c r="A57">
        <v>55</v>
      </c>
      <c r="B57" t="s">
        <v>153</v>
      </c>
      <c r="C57" t="s">
        <v>143</v>
      </c>
      <c r="D57" t="s">
        <v>116</v>
      </c>
    </row>
    <row r="58" spans="1:4" x14ac:dyDescent="0.45">
      <c r="A58">
        <v>56</v>
      </c>
      <c r="B58" t="s">
        <v>154</v>
      </c>
      <c r="C58" t="s">
        <v>143</v>
      </c>
      <c r="D58" t="s">
        <v>120</v>
      </c>
    </row>
    <row r="59" spans="1:4" x14ac:dyDescent="0.45">
      <c r="A59">
        <v>57</v>
      </c>
      <c r="B59" t="s">
        <v>155</v>
      </c>
      <c r="C59" t="s">
        <v>143</v>
      </c>
      <c r="D59" t="s">
        <v>123</v>
      </c>
    </row>
    <row r="60" spans="1:4" x14ac:dyDescent="0.45">
      <c r="A60">
        <v>118</v>
      </c>
      <c r="B60" t="s">
        <v>280</v>
      </c>
    </row>
    <row r="61" spans="1:4" x14ac:dyDescent="0.45">
      <c r="A61">
        <v>70</v>
      </c>
      <c r="B61" t="s">
        <v>156</v>
      </c>
      <c r="C61" t="s">
        <v>89</v>
      </c>
    </row>
    <row r="62" spans="1:4" x14ac:dyDescent="0.45">
      <c r="A62">
        <v>71</v>
      </c>
      <c r="B62" t="s">
        <v>157</v>
      </c>
      <c r="C62" t="s">
        <v>89</v>
      </c>
      <c r="D62" t="s">
        <v>158</v>
      </c>
    </row>
    <row r="63" spans="1:4" x14ac:dyDescent="0.45">
      <c r="A63">
        <v>72</v>
      </c>
      <c r="B63" t="s">
        <v>159</v>
      </c>
      <c r="C63" t="s">
        <v>89</v>
      </c>
      <c r="D63" t="s">
        <v>160</v>
      </c>
    </row>
    <row r="64" spans="1:4" x14ac:dyDescent="0.45">
      <c r="A64">
        <v>73</v>
      </c>
      <c r="B64" t="s">
        <v>161</v>
      </c>
      <c r="C64" t="s">
        <v>89</v>
      </c>
      <c r="D64" t="s">
        <v>162</v>
      </c>
    </row>
    <row r="65" spans="1:4" x14ac:dyDescent="0.45">
      <c r="A65">
        <v>74</v>
      </c>
      <c r="B65" t="s">
        <v>163</v>
      </c>
      <c r="C65" t="s">
        <v>89</v>
      </c>
      <c r="D65" t="s">
        <v>164</v>
      </c>
    </row>
    <row r="66" spans="1:4" x14ac:dyDescent="0.45">
      <c r="A66">
        <v>75</v>
      </c>
      <c r="B66" t="s">
        <v>165</v>
      </c>
      <c r="C66" t="s">
        <v>89</v>
      </c>
      <c r="D66" t="s">
        <v>166</v>
      </c>
    </row>
    <row r="67" spans="1:4" x14ac:dyDescent="0.45">
      <c r="A67">
        <v>76</v>
      </c>
      <c r="B67" t="s">
        <v>167</v>
      </c>
      <c r="C67" t="s">
        <v>89</v>
      </c>
      <c r="D67" t="s">
        <v>168</v>
      </c>
    </row>
    <row r="68" spans="1:4" x14ac:dyDescent="0.45">
      <c r="A68">
        <v>77</v>
      </c>
      <c r="B68" t="s">
        <v>169</v>
      </c>
      <c r="C68" t="s">
        <v>89</v>
      </c>
      <c r="D68" t="s">
        <v>170</v>
      </c>
    </row>
    <row r="69" spans="1:4" x14ac:dyDescent="0.45">
      <c r="A69">
        <v>78</v>
      </c>
      <c r="B69" t="s">
        <v>171</v>
      </c>
      <c r="C69" t="s">
        <v>89</v>
      </c>
      <c r="D69" t="s">
        <v>172</v>
      </c>
    </row>
    <row r="70" spans="1:4" x14ac:dyDescent="0.45">
      <c r="A70">
        <v>79</v>
      </c>
      <c r="B70" t="s">
        <v>173</v>
      </c>
      <c r="C70" t="s">
        <v>89</v>
      </c>
      <c r="D70" t="s">
        <v>174</v>
      </c>
    </row>
    <row r="71" spans="1:4" x14ac:dyDescent="0.45">
      <c r="A71">
        <v>80</v>
      </c>
      <c r="B71" t="s">
        <v>175</v>
      </c>
      <c r="C71" t="s">
        <v>89</v>
      </c>
      <c r="D71" t="s">
        <v>176</v>
      </c>
    </row>
    <row r="72" spans="1:4" x14ac:dyDescent="0.45">
      <c r="A72">
        <v>81</v>
      </c>
      <c r="B72" t="s">
        <v>177</v>
      </c>
      <c r="C72" t="s">
        <v>89</v>
      </c>
      <c r="D72" t="s">
        <v>178</v>
      </c>
    </row>
    <row r="73" spans="1:4" x14ac:dyDescent="0.45">
      <c r="A73">
        <v>82</v>
      </c>
      <c r="B73" t="s">
        <v>179</v>
      </c>
      <c r="C73" t="s">
        <v>89</v>
      </c>
      <c r="D73" t="s">
        <v>178</v>
      </c>
    </row>
    <row r="74" spans="1:4" x14ac:dyDescent="0.45">
      <c r="A74">
        <v>83</v>
      </c>
      <c r="B74" t="s">
        <v>180</v>
      </c>
      <c r="C74" t="s">
        <v>89</v>
      </c>
      <c r="D74" t="s">
        <v>181</v>
      </c>
    </row>
    <row r="75" spans="1:4" x14ac:dyDescent="0.45">
      <c r="A75">
        <v>84</v>
      </c>
      <c r="B75" t="s">
        <v>182</v>
      </c>
      <c r="C75" t="s">
        <v>89</v>
      </c>
      <c r="D75" t="s">
        <v>183</v>
      </c>
    </row>
    <row r="76" spans="1:4" x14ac:dyDescent="0.45">
      <c r="A76">
        <v>85</v>
      </c>
      <c r="B76" t="s">
        <v>184</v>
      </c>
      <c r="C76" t="s">
        <v>89</v>
      </c>
      <c r="D76" t="s">
        <v>185</v>
      </c>
    </row>
    <row r="77" spans="1:4" x14ac:dyDescent="0.45">
      <c r="A77">
        <v>86</v>
      </c>
      <c r="B77" t="s">
        <v>186</v>
      </c>
      <c r="C77" t="s">
        <v>89</v>
      </c>
      <c r="D77" t="s">
        <v>187</v>
      </c>
    </row>
    <row r="78" spans="1:4" x14ac:dyDescent="0.45">
      <c r="A78">
        <v>87</v>
      </c>
      <c r="B78" t="s">
        <v>188</v>
      </c>
      <c r="C78" t="s">
        <v>89</v>
      </c>
      <c r="D78" t="s">
        <v>189</v>
      </c>
    </row>
    <row r="79" spans="1:4" x14ac:dyDescent="0.45">
      <c r="A79">
        <v>88</v>
      </c>
      <c r="B79" t="s">
        <v>190</v>
      </c>
      <c r="C79" t="s">
        <v>89</v>
      </c>
      <c r="D79" t="s">
        <v>191</v>
      </c>
    </row>
    <row r="80" spans="1:4" x14ac:dyDescent="0.45">
      <c r="A80">
        <v>89</v>
      </c>
      <c r="B80" t="s">
        <v>192</v>
      </c>
      <c r="C80" t="s">
        <v>103</v>
      </c>
      <c r="D80" t="s">
        <v>193</v>
      </c>
    </row>
    <row r="81" spans="1:4" x14ac:dyDescent="0.45">
      <c r="A81">
        <v>90</v>
      </c>
      <c r="B81" t="s">
        <v>194</v>
      </c>
      <c r="C81" t="s">
        <v>103</v>
      </c>
      <c r="D81" t="s">
        <v>195</v>
      </c>
    </row>
    <row r="82" spans="1:4" x14ac:dyDescent="0.45">
      <c r="A82">
        <v>91</v>
      </c>
      <c r="B82" t="s">
        <v>196</v>
      </c>
      <c r="C82" t="s">
        <v>103</v>
      </c>
      <c r="D82" t="s">
        <v>197</v>
      </c>
    </row>
    <row r="83" spans="1:4" x14ac:dyDescent="0.45">
      <c r="A83">
        <v>92</v>
      </c>
      <c r="B83" t="s">
        <v>198</v>
      </c>
      <c r="C83" t="s">
        <v>103</v>
      </c>
      <c r="D83" t="s">
        <v>199</v>
      </c>
    </row>
    <row r="84" spans="1:4" x14ac:dyDescent="0.45">
      <c r="A84">
        <v>93</v>
      </c>
      <c r="B84" t="s">
        <v>200</v>
      </c>
      <c r="C84" t="s">
        <v>103</v>
      </c>
      <c r="D84" t="s">
        <v>201</v>
      </c>
    </row>
    <row r="85" spans="1:4" x14ac:dyDescent="0.45">
      <c r="A85">
        <v>94</v>
      </c>
      <c r="B85" t="s">
        <v>202</v>
      </c>
      <c r="C85" t="s">
        <v>103</v>
      </c>
      <c r="D85" t="s">
        <v>203</v>
      </c>
    </row>
    <row r="86" spans="1:4" x14ac:dyDescent="0.45">
      <c r="A86">
        <v>95</v>
      </c>
      <c r="B86" t="s">
        <v>204</v>
      </c>
      <c r="C86" t="s">
        <v>103</v>
      </c>
      <c r="D86" t="s">
        <v>205</v>
      </c>
    </row>
    <row r="87" spans="1:4" x14ac:dyDescent="0.45">
      <c r="A87">
        <v>96</v>
      </c>
      <c r="B87" t="s">
        <v>206</v>
      </c>
      <c r="C87" t="s">
        <v>103</v>
      </c>
      <c r="D87" t="s">
        <v>207</v>
      </c>
    </row>
    <row r="88" spans="1:4" x14ac:dyDescent="0.45">
      <c r="A88">
        <v>97</v>
      </c>
      <c r="B88" t="s">
        <v>208</v>
      </c>
      <c r="C88" t="s">
        <v>103</v>
      </c>
      <c r="D88" t="s">
        <v>209</v>
      </c>
    </row>
    <row r="89" spans="1:4" x14ac:dyDescent="0.45">
      <c r="A89">
        <v>98</v>
      </c>
      <c r="B89" t="s">
        <v>210</v>
      </c>
      <c r="C89" t="s">
        <v>121</v>
      </c>
      <c r="D89" t="s">
        <v>195</v>
      </c>
    </row>
    <row r="90" spans="1:4" x14ac:dyDescent="0.45">
      <c r="A90">
        <v>99</v>
      </c>
      <c r="B90" t="s">
        <v>211</v>
      </c>
      <c r="C90" t="s">
        <v>121</v>
      </c>
      <c r="D90" t="s">
        <v>197</v>
      </c>
    </row>
    <row r="91" spans="1:4" x14ac:dyDescent="0.45">
      <c r="A91">
        <v>100</v>
      </c>
      <c r="B91" t="s">
        <v>212</v>
      </c>
      <c r="C91" t="s">
        <v>121</v>
      </c>
      <c r="D91" t="s">
        <v>199</v>
      </c>
    </row>
    <row r="92" spans="1:4" x14ac:dyDescent="0.45">
      <c r="A92">
        <v>101</v>
      </c>
      <c r="B92" t="s">
        <v>213</v>
      </c>
      <c r="C92" t="s">
        <v>121</v>
      </c>
      <c r="D92" t="s">
        <v>201</v>
      </c>
    </row>
    <row r="93" spans="1:4" x14ac:dyDescent="0.45">
      <c r="A93">
        <v>102</v>
      </c>
      <c r="B93" t="s">
        <v>214</v>
      </c>
      <c r="C93" t="s">
        <v>131</v>
      </c>
      <c r="D93" t="s">
        <v>195</v>
      </c>
    </row>
    <row r="94" spans="1:4" x14ac:dyDescent="0.45">
      <c r="A94">
        <v>103</v>
      </c>
      <c r="B94" t="s">
        <v>215</v>
      </c>
      <c r="C94" t="s">
        <v>131</v>
      </c>
      <c r="D94" t="s">
        <v>197</v>
      </c>
    </row>
    <row r="95" spans="1:4" x14ac:dyDescent="0.45">
      <c r="A95">
        <v>104</v>
      </c>
      <c r="B95" t="s">
        <v>216</v>
      </c>
      <c r="C95" t="s">
        <v>131</v>
      </c>
      <c r="D95" t="s">
        <v>199</v>
      </c>
    </row>
    <row r="96" spans="1:4" x14ac:dyDescent="0.45">
      <c r="A96">
        <v>105</v>
      </c>
      <c r="B96" t="s">
        <v>217</v>
      </c>
      <c r="C96" t="s">
        <v>131</v>
      </c>
      <c r="D96" t="s">
        <v>201</v>
      </c>
    </row>
    <row r="97" spans="1:4" x14ac:dyDescent="0.45">
      <c r="A97">
        <v>106</v>
      </c>
      <c r="B97" t="s">
        <v>218</v>
      </c>
      <c r="C97" t="s">
        <v>143</v>
      </c>
      <c r="D97" t="s">
        <v>195</v>
      </c>
    </row>
    <row r="98" spans="1:4" x14ac:dyDescent="0.45">
      <c r="A98">
        <v>107</v>
      </c>
      <c r="B98" t="s">
        <v>219</v>
      </c>
      <c r="C98" t="s">
        <v>143</v>
      </c>
      <c r="D98" t="s">
        <v>220</v>
      </c>
    </row>
    <row r="99" spans="1:4" x14ac:dyDescent="0.45">
      <c r="A99">
        <v>108</v>
      </c>
      <c r="B99" t="s">
        <v>221</v>
      </c>
      <c r="C99" t="s">
        <v>143</v>
      </c>
      <c r="D99" t="s">
        <v>197</v>
      </c>
    </row>
    <row r="100" spans="1:4" x14ac:dyDescent="0.45">
      <c r="A100">
        <v>109</v>
      </c>
      <c r="B100" t="s">
        <v>222</v>
      </c>
      <c r="C100" t="s">
        <v>143</v>
      </c>
      <c r="D100" t="s">
        <v>199</v>
      </c>
    </row>
    <row r="101" spans="1:4" x14ac:dyDescent="0.45">
      <c r="A101">
        <v>110</v>
      </c>
      <c r="B101" t="s">
        <v>223</v>
      </c>
      <c r="C101" t="s">
        <v>143</v>
      </c>
      <c r="D101" t="s">
        <v>201</v>
      </c>
    </row>
    <row r="102" spans="1:4" x14ac:dyDescent="0.45">
      <c r="A102">
        <v>111</v>
      </c>
      <c r="B102" t="s">
        <v>224</v>
      </c>
      <c r="C102" t="s">
        <v>143</v>
      </c>
      <c r="D102" t="s">
        <v>207</v>
      </c>
    </row>
    <row r="103" spans="1:4" x14ac:dyDescent="0.45">
      <c r="A103">
        <v>112</v>
      </c>
      <c r="B103" t="s">
        <v>225</v>
      </c>
      <c r="C103" t="s">
        <v>143</v>
      </c>
      <c r="D103" t="s">
        <v>226</v>
      </c>
    </row>
    <row r="104" spans="1:4" x14ac:dyDescent="0.45">
      <c r="A104">
        <v>113</v>
      </c>
      <c r="B104" t="s">
        <v>227</v>
      </c>
      <c r="C104" t="s">
        <v>143</v>
      </c>
      <c r="D104" t="s">
        <v>209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FF00"/>
  </sheetPr>
  <dimension ref="A1:K620"/>
  <sheetViews>
    <sheetView workbookViewId="0">
      <selection sqref="A1:O1048576"/>
    </sheetView>
  </sheetViews>
  <sheetFormatPr defaultRowHeight="14.25" x14ac:dyDescent="0.45"/>
  <sheetData>
    <row r="1" spans="1:11" x14ac:dyDescent="0.45">
      <c r="A1" s="366" t="s">
        <v>228</v>
      </c>
      <c r="B1" s="367"/>
      <c r="C1" s="367"/>
      <c r="D1" s="367"/>
      <c r="E1" s="367"/>
      <c r="F1" s="367"/>
      <c r="G1" s="367"/>
      <c r="H1" s="367" t="s">
        <v>229</v>
      </c>
      <c r="I1" s="367"/>
      <c r="J1" s="367"/>
      <c r="K1" s="368"/>
    </row>
    <row r="2" spans="1:11" x14ac:dyDescent="0.45">
      <c r="A2" s="369">
        <v>1</v>
      </c>
      <c r="B2" s="370" t="s">
        <v>281</v>
      </c>
      <c r="C2" s="370"/>
      <c r="D2" s="370"/>
      <c r="E2" s="370"/>
      <c r="F2" s="370"/>
      <c r="G2" s="370"/>
      <c r="H2" s="370"/>
      <c r="I2" s="370"/>
      <c r="J2" s="370"/>
      <c r="K2" s="371"/>
    </row>
    <row r="3" spans="1:11" x14ac:dyDescent="0.45">
      <c r="A3" s="369">
        <v>2</v>
      </c>
      <c r="B3" s="370" t="s">
        <v>230</v>
      </c>
      <c r="C3" s="370"/>
      <c r="D3" s="370"/>
      <c r="E3" s="370"/>
      <c r="F3" s="370"/>
      <c r="G3" s="370"/>
      <c r="H3" s="370"/>
      <c r="I3" s="370"/>
      <c r="J3" s="370"/>
      <c r="K3" s="371"/>
    </row>
    <row r="4" spans="1:11" x14ac:dyDescent="0.45">
      <c r="A4" s="369">
        <v>3</v>
      </c>
      <c r="B4" s="370" t="s">
        <v>231</v>
      </c>
      <c r="C4" s="370"/>
      <c r="D4" s="370"/>
      <c r="E4" s="370"/>
      <c r="F4" s="370"/>
      <c r="G4" s="370"/>
      <c r="H4" s="370"/>
      <c r="I4" s="370"/>
      <c r="J4" s="370"/>
      <c r="K4" s="371"/>
    </row>
    <row r="5" spans="1:11" x14ac:dyDescent="0.45">
      <c r="A5" s="372">
        <v>4</v>
      </c>
      <c r="B5" s="373" t="s">
        <v>232</v>
      </c>
      <c r="C5" s="373"/>
      <c r="D5" s="373"/>
      <c r="E5" s="373"/>
      <c r="F5" s="373"/>
      <c r="G5" s="373"/>
      <c r="H5" s="373"/>
      <c r="I5" s="373"/>
      <c r="J5" s="373"/>
      <c r="K5" s="374"/>
    </row>
    <row r="8" spans="1:11" x14ac:dyDescent="0.45">
      <c r="A8" t="s">
        <v>233</v>
      </c>
      <c r="B8" t="s">
        <v>234</v>
      </c>
      <c r="C8" t="s">
        <v>235</v>
      </c>
      <c r="D8" t="s">
        <v>282</v>
      </c>
    </row>
    <row r="9" spans="1:11" x14ac:dyDescent="0.45">
      <c r="A9" t="s">
        <v>236</v>
      </c>
      <c r="B9" t="s">
        <v>237</v>
      </c>
      <c r="C9" t="s">
        <v>238</v>
      </c>
      <c r="D9" t="s">
        <v>239</v>
      </c>
      <c r="E9">
        <v>4</v>
      </c>
      <c r="F9" s="335">
        <v>0.46135416666666668</v>
      </c>
      <c r="G9" t="s">
        <v>240</v>
      </c>
      <c r="H9">
        <v>31</v>
      </c>
      <c r="I9" t="s">
        <v>283</v>
      </c>
      <c r="J9">
        <v>16</v>
      </c>
    </row>
    <row r="10" spans="1:11" x14ac:dyDescent="0.45">
      <c r="A10" t="s">
        <v>241</v>
      </c>
    </row>
    <row r="11" spans="1:11" x14ac:dyDescent="0.45">
      <c r="B11">
        <v>1</v>
      </c>
      <c r="C11" t="s">
        <v>46</v>
      </c>
      <c r="D11" t="s">
        <v>242</v>
      </c>
      <c r="E11">
        <v>1</v>
      </c>
      <c r="F11">
        <v>0</v>
      </c>
    </row>
    <row r="12" spans="1:11" x14ac:dyDescent="0.45">
      <c r="B12">
        <v>2</v>
      </c>
      <c r="C12" t="s">
        <v>49</v>
      </c>
      <c r="D12" t="s">
        <v>243</v>
      </c>
      <c r="E12">
        <v>11.7146172749</v>
      </c>
      <c r="F12">
        <v>1.25201685879</v>
      </c>
    </row>
    <row r="13" spans="1:11" x14ac:dyDescent="0.45">
      <c r="B13">
        <v>3</v>
      </c>
      <c r="C13" t="s">
        <v>52</v>
      </c>
      <c r="D13" t="s">
        <v>242</v>
      </c>
      <c r="E13" s="336">
        <v>-0.2117</v>
      </c>
      <c r="F13">
        <v>0</v>
      </c>
    </row>
    <row r="14" spans="1:11" x14ac:dyDescent="0.45">
      <c r="B14">
        <v>4</v>
      </c>
      <c r="C14" t="s">
        <v>55</v>
      </c>
      <c r="D14" t="s">
        <v>243</v>
      </c>
      <c r="E14" s="336">
        <v>0.27120783067900001</v>
      </c>
      <c r="F14">
        <v>0.28080475059900001</v>
      </c>
    </row>
    <row r="15" spans="1:11" x14ac:dyDescent="0.45">
      <c r="B15">
        <v>5</v>
      </c>
      <c r="C15" t="s">
        <v>58</v>
      </c>
      <c r="D15" t="s">
        <v>243</v>
      </c>
      <c r="E15">
        <v>-0.34490013167299999</v>
      </c>
      <c r="F15">
        <v>0.28924759776199999</v>
      </c>
    </row>
    <row r="16" spans="1:11" x14ac:dyDescent="0.45">
      <c r="B16">
        <v>6</v>
      </c>
      <c r="C16" t="s">
        <v>60</v>
      </c>
      <c r="D16" t="s">
        <v>243</v>
      </c>
      <c r="E16" s="336">
        <v>-8.2865473150899996E-2</v>
      </c>
      <c r="F16">
        <v>0.12955742148800001</v>
      </c>
    </row>
    <row r="17" spans="2:6" x14ac:dyDescent="0.45">
      <c r="B17">
        <v>7</v>
      </c>
      <c r="C17" t="s">
        <v>62</v>
      </c>
      <c r="D17" t="s">
        <v>243</v>
      </c>
      <c r="E17">
        <v>-3.9895313632499998</v>
      </c>
      <c r="F17">
        <v>0.54570093604299996</v>
      </c>
    </row>
    <row r="18" spans="2:6" x14ac:dyDescent="0.45">
      <c r="B18">
        <v>8</v>
      </c>
      <c r="C18" t="s">
        <v>65</v>
      </c>
      <c r="D18" t="s">
        <v>242</v>
      </c>
      <c r="E18" s="336">
        <v>6.9400000000000003E-2</v>
      </c>
      <c r="F18">
        <v>0</v>
      </c>
    </row>
    <row r="19" spans="2:6" x14ac:dyDescent="0.45">
      <c r="B19">
        <v>9</v>
      </c>
      <c r="C19" t="s">
        <v>67</v>
      </c>
      <c r="D19" t="s">
        <v>243</v>
      </c>
      <c r="E19" s="336">
        <v>-9.5820044919499997E-2</v>
      </c>
      <c r="F19">
        <v>0.17082561533000001</v>
      </c>
    </row>
    <row r="20" spans="2:6" x14ac:dyDescent="0.45">
      <c r="B20">
        <v>10</v>
      </c>
      <c r="C20" t="s">
        <v>69</v>
      </c>
      <c r="D20" t="s">
        <v>243</v>
      </c>
      <c r="E20">
        <v>0.517563261484</v>
      </c>
      <c r="F20">
        <v>0.123013847134</v>
      </c>
    </row>
    <row r="21" spans="2:6" x14ac:dyDescent="0.45">
      <c r="B21">
        <v>11</v>
      </c>
      <c r="C21" t="s">
        <v>71</v>
      </c>
      <c r="D21" t="s">
        <v>243</v>
      </c>
      <c r="E21">
        <v>-0.80352358260699996</v>
      </c>
      <c r="F21">
        <v>0.36043522904699998</v>
      </c>
    </row>
    <row r="22" spans="2:6" x14ac:dyDescent="0.45">
      <c r="B22">
        <v>12</v>
      </c>
      <c r="C22" t="s">
        <v>73</v>
      </c>
      <c r="D22" t="s">
        <v>243</v>
      </c>
      <c r="E22">
        <v>-0.80534348065299999</v>
      </c>
      <c r="F22">
        <v>0.22167024904800001</v>
      </c>
    </row>
    <row r="23" spans="2:6" x14ac:dyDescent="0.45">
      <c r="B23">
        <v>13</v>
      </c>
      <c r="C23" t="s">
        <v>75</v>
      </c>
      <c r="D23" t="s">
        <v>243</v>
      </c>
      <c r="E23">
        <v>-0.51977799879300002</v>
      </c>
      <c r="F23">
        <v>0.21757697517300001</v>
      </c>
    </row>
    <row r="24" spans="2:6" x14ac:dyDescent="0.45">
      <c r="B24">
        <v>14</v>
      </c>
      <c r="C24" t="s">
        <v>77</v>
      </c>
      <c r="D24" t="s">
        <v>243</v>
      </c>
      <c r="E24">
        <v>-0.27562686954600002</v>
      </c>
      <c r="F24">
        <v>0.123285243562</v>
      </c>
    </row>
    <row r="25" spans="2:6" x14ac:dyDescent="0.45">
      <c r="B25">
        <v>15</v>
      </c>
      <c r="C25" t="s">
        <v>79</v>
      </c>
      <c r="D25" t="s">
        <v>243</v>
      </c>
      <c r="E25">
        <v>-0.55245424085299999</v>
      </c>
      <c r="F25">
        <v>0.227173186739</v>
      </c>
    </row>
    <row r="26" spans="2:6" x14ac:dyDescent="0.45">
      <c r="B26">
        <v>16</v>
      </c>
      <c r="C26" t="s">
        <v>81</v>
      </c>
      <c r="D26" t="s">
        <v>243</v>
      </c>
      <c r="E26">
        <v>-0.493022087256</v>
      </c>
      <c r="F26">
        <v>0.18500368716500001</v>
      </c>
    </row>
    <row r="27" spans="2:6" x14ac:dyDescent="0.45">
      <c r="B27">
        <v>17</v>
      </c>
      <c r="C27" t="s">
        <v>84</v>
      </c>
      <c r="D27" t="s">
        <v>242</v>
      </c>
      <c r="E27">
        <v>0</v>
      </c>
      <c r="F27">
        <v>0</v>
      </c>
    </row>
    <row r="28" spans="2:6" x14ac:dyDescent="0.45">
      <c r="B28">
        <v>18</v>
      </c>
      <c r="C28" t="s">
        <v>87</v>
      </c>
      <c r="D28" t="s">
        <v>242</v>
      </c>
      <c r="E28">
        <v>0</v>
      </c>
      <c r="F28">
        <v>0</v>
      </c>
    </row>
    <row r="29" spans="2:6" x14ac:dyDescent="0.45">
      <c r="B29">
        <v>19</v>
      </c>
      <c r="C29" t="s">
        <v>90</v>
      </c>
      <c r="D29" t="s">
        <v>242</v>
      </c>
      <c r="E29">
        <v>0</v>
      </c>
      <c r="F29">
        <v>0</v>
      </c>
    </row>
    <row r="30" spans="2:6" x14ac:dyDescent="0.45">
      <c r="B30">
        <v>20</v>
      </c>
      <c r="C30" t="s">
        <v>93</v>
      </c>
      <c r="D30" t="s">
        <v>243</v>
      </c>
      <c r="E30">
        <v>0.63771148688699997</v>
      </c>
      <c r="F30" s="336">
        <v>6.0015015733300002E-2</v>
      </c>
    </row>
    <row r="31" spans="2:6" x14ac:dyDescent="0.45">
      <c r="B31">
        <v>21</v>
      </c>
      <c r="C31" t="s">
        <v>95</v>
      </c>
      <c r="D31" t="s">
        <v>243</v>
      </c>
      <c r="E31">
        <v>-12.0946718381</v>
      </c>
      <c r="F31">
        <v>2.3255856374100001</v>
      </c>
    </row>
    <row r="32" spans="2:6" x14ac:dyDescent="0.45">
      <c r="B32">
        <v>22</v>
      </c>
      <c r="C32" t="s">
        <v>97</v>
      </c>
      <c r="D32" t="s">
        <v>243</v>
      </c>
      <c r="E32">
        <v>-4.03623745316</v>
      </c>
      <c r="F32">
        <v>0.50541362942699997</v>
      </c>
    </row>
    <row r="33" spans="2:6" x14ac:dyDescent="0.45">
      <c r="B33">
        <v>23</v>
      </c>
      <c r="C33" t="s">
        <v>99</v>
      </c>
      <c r="D33" t="s">
        <v>243</v>
      </c>
      <c r="E33">
        <v>-2.16371815818</v>
      </c>
      <c r="F33">
        <v>0.27393549837699999</v>
      </c>
    </row>
    <row r="34" spans="2:6" x14ac:dyDescent="0.45">
      <c r="B34">
        <v>24</v>
      </c>
      <c r="C34" t="s">
        <v>101</v>
      </c>
      <c r="D34" t="s">
        <v>243</v>
      </c>
      <c r="E34">
        <v>0.10429329553199999</v>
      </c>
      <c r="F34" s="336">
        <v>1.6423300294899999E-2</v>
      </c>
    </row>
    <row r="35" spans="2:6" x14ac:dyDescent="0.45">
      <c r="B35">
        <v>25</v>
      </c>
      <c r="C35" t="s">
        <v>104</v>
      </c>
      <c r="D35" t="s">
        <v>242</v>
      </c>
      <c r="E35">
        <v>0</v>
      </c>
      <c r="F35" s="336">
        <v>0</v>
      </c>
    </row>
    <row r="36" spans="2:6" x14ac:dyDescent="0.45">
      <c r="B36">
        <v>26</v>
      </c>
      <c r="C36" t="s">
        <v>106</v>
      </c>
      <c r="D36" t="s">
        <v>243</v>
      </c>
      <c r="E36">
        <v>0.417326479157</v>
      </c>
      <c r="F36" s="336">
        <v>9.4301876730200004E-2</v>
      </c>
    </row>
    <row r="37" spans="2:6" x14ac:dyDescent="0.45">
      <c r="B37">
        <v>27</v>
      </c>
      <c r="C37" t="s">
        <v>107</v>
      </c>
      <c r="D37" t="s">
        <v>243</v>
      </c>
      <c r="E37">
        <v>-14.8384910501</v>
      </c>
      <c r="F37">
        <v>1.77123626526</v>
      </c>
    </row>
    <row r="38" spans="2:6" x14ac:dyDescent="0.45">
      <c r="B38">
        <v>28</v>
      </c>
      <c r="C38" t="s">
        <v>109</v>
      </c>
      <c r="D38" t="s">
        <v>243</v>
      </c>
      <c r="E38">
        <v>-5.1880432348000003</v>
      </c>
      <c r="F38">
        <v>0.43428377261099999</v>
      </c>
    </row>
    <row r="39" spans="2:6" x14ac:dyDescent="0.45">
      <c r="B39">
        <v>29</v>
      </c>
      <c r="C39" t="s">
        <v>110</v>
      </c>
      <c r="D39" t="s">
        <v>243</v>
      </c>
      <c r="E39">
        <v>-2.6156308707</v>
      </c>
      <c r="F39">
        <v>0.17802193728999999</v>
      </c>
    </row>
    <row r="40" spans="2:6" x14ac:dyDescent="0.45">
      <c r="B40">
        <v>30</v>
      </c>
      <c r="C40" t="s">
        <v>111</v>
      </c>
      <c r="D40" t="s">
        <v>243</v>
      </c>
      <c r="E40">
        <v>-0.91046169190000004</v>
      </c>
      <c r="F40" s="336">
        <v>9.2244527309799998E-2</v>
      </c>
    </row>
    <row r="41" spans="2:6" x14ac:dyDescent="0.45">
      <c r="B41">
        <v>31</v>
      </c>
      <c r="C41" t="s">
        <v>113</v>
      </c>
      <c r="D41" t="s">
        <v>243</v>
      </c>
      <c r="E41" s="336">
        <v>5.7553461640599997E-2</v>
      </c>
      <c r="F41" s="336">
        <v>1.69631861578E-2</v>
      </c>
    </row>
    <row r="42" spans="2:6" x14ac:dyDescent="0.45">
      <c r="B42">
        <v>32</v>
      </c>
      <c r="C42" t="s">
        <v>115</v>
      </c>
      <c r="D42" t="s">
        <v>243</v>
      </c>
      <c r="E42">
        <v>0.237798002151</v>
      </c>
      <c r="F42" s="336">
        <v>2.05709725741E-2</v>
      </c>
    </row>
    <row r="43" spans="2:6" x14ac:dyDescent="0.45">
      <c r="B43">
        <v>33</v>
      </c>
      <c r="C43" t="s">
        <v>117</v>
      </c>
      <c r="D43" t="s">
        <v>242</v>
      </c>
      <c r="E43">
        <v>0</v>
      </c>
      <c r="F43" s="336">
        <v>0</v>
      </c>
    </row>
    <row r="44" spans="2:6" x14ac:dyDescent="0.45">
      <c r="B44">
        <v>34</v>
      </c>
      <c r="C44" t="s">
        <v>119</v>
      </c>
      <c r="D44" t="s">
        <v>242</v>
      </c>
      <c r="E44">
        <v>0</v>
      </c>
      <c r="F44" s="336">
        <v>0</v>
      </c>
    </row>
    <row r="45" spans="2:6" x14ac:dyDescent="0.45">
      <c r="B45">
        <v>35</v>
      </c>
      <c r="C45" t="s">
        <v>122</v>
      </c>
      <c r="D45" t="s">
        <v>242</v>
      </c>
      <c r="E45">
        <v>0</v>
      </c>
      <c r="F45" s="336">
        <v>0</v>
      </c>
    </row>
    <row r="46" spans="2:6" x14ac:dyDescent="0.45">
      <c r="B46">
        <v>36</v>
      </c>
      <c r="C46" t="s">
        <v>124</v>
      </c>
      <c r="D46" t="s">
        <v>243</v>
      </c>
      <c r="E46" s="336">
        <v>0.61259135262599995</v>
      </c>
      <c r="F46" s="336">
        <v>9.8788050589500007E-2</v>
      </c>
    </row>
    <row r="47" spans="2:6" x14ac:dyDescent="0.45">
      <c r="B47">
        <v>37</v>
      </c>
      <c r="C47" t="s">
        <v>125</v>
      </c>
      <c r="D47" t="s">
        <v>243</v>
      </c>
      <c r="E47">
        <v>-20.810228388700001</v>
      </c>
      <c r="F47">
        <v>1.81763227452</v>
      </c>
    </row>
    <row r="48" spans="2:6" x14ac:dyDescent="0.45">
      <c r="B48">
        <v>38</v>
      </c>
      <c r="C48" t="s">
        <v>127</v>
      </c>
      <c r="D48" t="s">
        <v>243</v>
      </c>
      <c r="E48">
        <v>-7.1836373472300004</v>
      </c>
      <c r="F48">
        <v>0.45184406400299998</v>
      </c>
    </row>
    <row r="49" spans="2:6" x14ac:dyDescent="0.45">
      <c r="B49">
        <v>39</v>
      </c>
      <c r="C49" t="s">
        <v>128</v>
      </c>
      <c r="D49" t="s">
        <v>243</v>
      </c>
      <c r="E49">
        <v>-3.6600975390500001</v>
      </c>
      <c r="F49">
        <v>0.215349096297</v>
      </c>
    </row>
    <row r="50" spans="2:6" x14ac:dyDescent="0.45">
      <c r="B50">
        <v>40</v>
      </c>
      <c r="C50" t="s">
        <v>129</v>
      </c>
      <c r="D50" t="s">
        <v>243</v>
      </c>
      <c r="E50">
        <v>-1.3605457273599999</v>
      </c>
      <c r="F50">
        <v>0.14980450534500001</v>
      </c>
    </row>
    <row r="51" spans="2:6" x14ac:dyDescent="0.45">
      <c r="B51">
        <v>41</v>
      </c>
      <c r="C51" t="s">
        <v>130</v>
      </c>
      <c r="D51" t="s">
        <v>243</v>
      </c>
      <c r="E51">
        <v>-0.22141031751900001</v>
      </c>
      <c r="F51" s="336">
        <v>1.8224220405400001E-2</v>
      </c>
    </row>
    <row r="52" spans="2:6" x14ac:dyDescent="0.45">
      <c r="B52">
        <v>42</v>
      </c>
      <c r="C52" t="s">
        <v>132</v>
      </c>
      <c r="D52" t="s">
        <v>243</v>
      </c>
      <c r="E52">
        <v>0.64228876129599999</v>
      </c>
      <c r="F52" s="336">
        <v>2.3327425635499999E-2</v>
      </c>
    </row>
    <row r="53" spans="2:6" x14ac:dyDescent="0.45">
      <c r="B53">
        <v>43</v>
      </c>
      <c r="C53" t="s">
        <v>134</v>
      </c>
      <c r="D53" t="s">
        <v>243</v>
      </c>
      <c r="E53">
        <v>0.74588429254199995</v>
      </c>
      <c r="F53" s="336">
        <v>9.8514285453599998E-2</v>
      </c>
    </row>
    <row r="54" spans="2:6" x14ac:dyDescent="0.45">
      <c r="B54">
        <v>44</v>
      </c>
      <c r="C54" t="s">
        <v>135</v>
      </c>
      <c r="D54" t="s">
        <v>243</v>
      </c>
      <c r="E54">
        <v>-32.156094092099998</v>
      </c>
      <c r="F54">
        <v>2.2948875164700002</v>
      </c>
    </row>
    <row r="55" spans="2:6" x14ac:dyDescent="0.45">
      <c r="B55">
        <v>45</v>
      </c>
      <c r="C55" t="s">
        <v>137</v>
      </c>
      <c r="D55" t="s">
        <v>243</v>
      </c>
      <c r="E55">
        <v>-7.5551873767200002</v>
      </c>
      <c r="F55">
        <v>0.66933892320999999</v>
      </c>
    </row>
    <row r="56" spans="2:6" x14ac:dyDescent="0.45">
      <c r="B56">
        <v>46</v>
      </c>
      <c r="C56" t="s">
        <v>139</v>
      </c>
      <c r="D56" t="s">
        <v>243</v>
      </c>
      <c r="E56">
        <v>-3.4784098231399998</v>
      </c>
      <c r="F56">
        <v>0.32108887064199998</v>
      </c>
    </row>
    <row r="57" spans="2:6" x14ac:dyDescent="0.45">
      <c r="B57">
        <v>47</v>
      </c>
      <c r="C57" t="s">
        <v>141</v>
      </c>
      <c r="D57" t="s">
        <v>243</v>
      </c>
      <c r="E57">
        <v>-0.79171784712299997</v>
      </c>
      <c r="F57">
        <v>0.175744591995</v>
      </c>
    </row>
    <row r="58" spans="2:6" x14ac:dyDescent="0.45">
      <c r="B58">
        <v>48</v>
      </c>
      <c r="C58" t="s">
        <v>144</v>
      </c>
      <c r="D58" t="s">
        <v>243</v>
      </c>
      <c r="E58">
        <v>0.65760260093900003</v>
      </c>
      <c r="F58" s="336">
        <v>2.9500746847800002E-2</v>
      </c>
    </row>
    <row r="59" spans="2:6" x14ac:dyDescent="0.45">
      <c r="B59">
        <v>49</v>
      </c>
      <c r="C59" t="s">
        <v>146</v>
      </c>
      <c r="D59" t="s">
        <v>243</v>
      </c>
      <c r="E59">
        <v>0.201576719663</v>
      </c>
      <c r="F59" s="336">
        <v>0.11309559824400001</v>
      </c>
    </row>
    <row r="60" spans="2:6" x14ac:dyDescent="0.45">
      <c r="B60">
        <v>50</v>
      </c>
      <c r="C60" t="s">
        <v>147</v>
      </c>
      <c r="D60" t="s">
        <v>243</v>
      </c>
      <c r="E60">
        <v>-28.552058518999999</v>
      </c>
      <c r="F60">
        <v>2.50137650421</v>
      </c>
    </row>
    <row r="61" spans="2:6" x14ac:dyDescent="0.45">
      <c r="B61">
        <v>51</v>
      </c>
      <c r="C61" t="s">
        <v>148</v>
      </c>
      <c r="D61" t="s">
        <v>243</v>
      </c>
      <c r="E61">
        <v>-7.25833529236</v>
      </c>
      <c r="F61">
        <v>0.70645143226499996</v>
      </c>
    </row>
    <row r="62" spans="2:6" x14ac:dyDescent="0.45">
      <c r="B62">
        <v>52</v>
      </c>
      <c r="C62" t="s">
        <v>149</v>
      </c>
      <c r="D62" t="s">
        <v>243</v>
      </c>
      <c r="E62">
        <v>-2.64524710889</v>
      </c>
      <c r="F62">
        <v>0.24991877725200001</v>
      </c>
    </row>
    <row r="63" spans="2:6" x14ac:dyDescent="0.45">
      <c r="B63">
        <v>53</v>
      </c>
      <c r="C63" t="s">
        <v>150</v>
      </c>
      <c r="D63" t="s">
        <v>243</v>
      </c>
      <c r="E63">
        <v>-0.76461618005800003</v>
      </c>
      <c r="F63">
        <v>0.12393486604700001</v>
      </c>
    </row>
    <row r="64" spans="2:6" x14ac:dyDescent="0.45">
      <c r="B64">
        <v>54</v>
      </c>
      <c r="C64" t="s">
        <v>151</v>
      </c>
      <c r="D64" t="s">
        <v>243</v>
      </c>
      <c r="E64">
        <v>0.20818008309700001</v>
      </c>
      <c r="F64" s="336">
        <v>4.2700310294800002E-2</v>
      </c>
    </row>
    <row r="65" spans="2:6" x14ac:dyDescent="0.45">
      <c r="B65">
        <v>55</v>
      </c>
      <c r="C65" t="s">
        <v>153</v>
      </c>
      <c r="D65" t="s">
        <v>243</v>
      </c>
      <c r="E65">
        <v>0.42522231451499998</v>
      </c>
      <c r="F65" s="336">
        <v>4.5274903018000003E-2</v>
      </c>
    </row>
    <row r="66" spans="2:6" x14ac:dyDescent="0.45">
      <c r="B66">
        <v>56</v>
      </c>
      <c r="C66" t="s">
        <v>154</v>
      </c>
      <c r="D66" t="s">
        <v>243</v>
      </c>
      <c r="E66">
        <v>-0.743588483327</v>
      </c>
      <c r="F66" s="336">
        <v>4.4293261467400001E-2</v>
      </c>
    </row>
    <row r="67" spans="2:6" x14ac:dyDescent="0.45">
      <c r="B67">
        <v>57</v>
      </c>
      <c r="C67" t="s">
        <v>155</v>
      </c>
      <c r="D67" t="s">
        <v>242</v>
      </c>
      <c r="E67" s="336">
        <v>6.2100000000000002E-2</v>
      </c>
      <c r="F67" s="336">
        <v>0</v>
      </c>
    </row>
    <row r="68" spans="2:6" x14ac:dyDescent="0.45">
      <c r="B68">
        <v>118</v>
      </c>
      <c r="C68" t="s">
        <v>280</v>
      </c>
      <c r="D68" t="s">
        <v>242</v>
      </c>
      <c r="E68" s="336">
        <v>-3</v>
      </c>
      <c r="F68" s="336">
        <v>0</v>
      </c>
    </row>
    <row r="69" spans="2:6" x14ac:dyDescent="0.45">
      <c r="B69">
        <v>70</v>
      </c>
      <c r="C69" t="s">
        <v>156</v>
      </c>
      <c r="D69" t="s">
        <v>243</v>
      </c>
      <c r="E69">
        <v>0.29394695214400002</v>
      </c>
      <c r="F69" s="336">
        <v>8.1089668188599993E-3</v>
      </c>
    </row>
    <row r="70" spans="2:6" x14ac:dyDescent="0.45">
      <c r="B70">
        <v>71</v>
      </c>
      <c r="C70" t="s">
        <v>157</v>
      </c>
      <c r="D70" t="s">
        <v>242</v>
      </c>
      <c r="E70">
        <v>0</v>
      </c>
      <c r="F70">
        <v>0</v>
      </c>
    </row>
    <row r="71" spans="2:6" x14ac:dyDescent="0.45">
      <c r="B71">
        <v>72</v>
      </c>
      <c r="C71" t="s">
        <v>159</v>
      </c>
      <c r="D71" t="s">
        <v>243</v>
      </c>
      <c r="E71">
        <v>-6.2798471793299999</v>
      </c>
      <c r="F71">
        <v>1.35911922349</v>
      </c>
    </row>
    <row r="72" spans="2:6" x14ac:dyDescent="0.45">
      <c r="B72">
        <v>73</v>
      </c>
      <c r="C72" t="s">
        <v>161</v>
      </c>
      <c r="D72" t="s">
        <v>243</v>
      </c>
      <c r="E72">
        <v>3.2962256518299999</v>
      </c>
      <c r="F72">
        <v>0.72653017343100001</v>
      </c>
    </row>
    <row r="73" spans="2:6" x14ac:dyDescent="0.45">
      <c r="B73">
        <v>74</v>
      </c>
      <c r="C73" t="s">
        <v>163</v>
      </c>
      <c r="D73" t="s">
        <v>243</v>
      </c>
      <c r="E73">
        <v>-5.4150639062700003</v>
      </c>
      <c r="F73">
        <v>0.66626725203000003</v>
      </c>
    </row>
    <row r="74" spans="2:6" x14ac:dyDescent="0.45">
      <c r="B74">
        <v>75</v>
      </c>
      <c r="C74" t="s">
        <v>165</v>
      </c>
      <c r="D74" t="s">
        <v>243</v>
      </c>
      <c r="E74">
        <v>-5.94820877094</v>
      </c>
      <c r="F74">
        <v>1.0448329109000001</v>
      </c>
    </row>
    <row r="75" spans="2:6" x14ac:dyDescent="0.45">
      <c r="B75">
        <v>76</v>
      </c>
      <c r="C75" t="s">
        <v>167</v>
      </c>
      <c r="D75" t="s">
        <v>243</v>
      </c>
      <c r="E75">
        <v>-4.8479831726300002</v>
      </c>
      <c r="F75">
        <v>0.75877100340699999</v>
      </c>
    </row>
    <row r="76" spans="2:6" x14ac:dyDescent="0.45">
      <c r="B76">
        <v>77</v>
      </c>
      <c r="C76" t="s">
        <v>169</v>
      </c>
      <c r="D76" t="s">
        <v>243</v>
      </c>
      <c r="E76">
        <v>-5.4883496585599998</v>
      </c>
      <c r="F76">
        <v>0.74279705741099999</v>
      </c>
    </row>
    <row r="77" spans="2:6" x14ac:dyDescent="0.45">
      <c r="B77">
        <v>78</v>
      </c>
      <c r="C77" t="s">
        <v>171</v>
      </c>
      <c r="D77" t="s">
        <v>243</v>
      </c>
      <c r="E77">
        <v>-6.9308352438999998</v>
      </c>
      <c r="F77">
        <v>0.60838991881299997</v>
      </c>
    </row>
    <row r="78" spans="2:6" x14ac:dyDescent="0.45">
      <c r="B78">
        <v>79</v>
      </c>
      <c r="C78" t="s">
        <v>173</v>
      </c>
      <c r="D78" t="s">
        <v>243</v>
      </c>
      <c r="E78">
        <v>-22.404820174200001</v>
      </c>
      <c r="F78">
        <v>1.3329982754</v>
      </c>
    </row>
    <row r="79" spans="2:6" x14ac:dyDescent="0.45">
      <c r="B79">
        <v>80</v>
      </c>
      <c r="C79" t="s">
        <v>175</v>
      </c>
      <c r="D79" t="s">
        <v>243</v>
      </c>
      <c r="E79">
        <v>-2.8929233973800002</v>
      </c>
      <c r="F79">
        <v>0.60938285413299997</v>
      </c>
    </row>
    <row r="80" spans="2:6" x14ac:dyDescent="0.45">
      <c r="B80">
        <v>81</v>
      </c>
      <c r="C80" t="s">
        <v>177</v>
      </c>
      <c r="D80" t="s">
        <v>243</v>
      </c>
      <c r="E80">
        <v>-2.5610724948299999</v>
      </c>
      <c r="F80">
        <v>0.74146475529300004</v>
      </c>
    </row>
    <row r="81" spans="2:6" x14ac:dyDescent="0.45">
      <c r="B81">
        <v>82</v>
      </c>
      <c r="C81" t="s">
        <v>179</v>
      </c>
      <c r="D81" t="s">
        <v>243</v>
      </c>
      <c r="E81">
        <v>-6.7871010869299999</v>
      </c>
      <c r="F81">
        <v>0.57779777859899994</v>
      </c>
    </row>
    <row r="82" spans="2:6" x14ac:dyDescent="0.45">
      <c r="B82">
        <v>83</v>
      </c>
      <c r="C82" t="s">
        <v>180</v>
      </c>
      <c r="D82" t="s">
        <v>243</v>
      </c>
      <c r="E82">
        <v>-7.1983706387300002</v>
      </c>
      <c r="F82">
        <v>0.82705306473899998</v>
      </c>
    </row>
    <row r="83" spans="2:6" x14ac:dyDescent="0.45">
      <c r="B83">
        <v>84</v>
      </c>
      <c r="C83" t="s">
        <v>182</v>
      </c>
      <c r="D83" t="s">
        <v>243</v>
      </c>
      <c r="E83">
        <v>-6.5584328775399996</v>
      </c>
      <c r="F83">
        <v>0.62502704972500001</v>
      </c>
    </row>
    <row r="84" spans="2:6" x14ac:dyDescent="0.45">
      <c r="B84">
        <v>85</v>
      </c>
      <c r="C84" t="s">
        <v>184</v>
      </c>
      <c r="D84" t="s">
        <v>243</v>
      </c>
      <c r="E84">
        <v>-7.3832576457999997</v>
      </c>
      <c r="F84">
        <v>0.64961010779799999</v>
      </c>
    </row>
    <row r="85" spans="2:6" x14ac:dyDescent="0.45">
      <c r="B85">
        <v>86</v>
      </c>
      <c r="C85" t="s">
        <v>186</v>
      </c>
      <c r="D85" t="s">
        <v>243</v>
      </c>
      <c r="E85">
        <v>-8.5452246906399996</v>
      </c>
      <c r="F85">
        <v>0.805287961848</v>
      </c>
    </row>
    <row r="86" spans="2:6" x14ac:dyDescent="0.45">
      <c r="B86">
        <v>87</v>
      </c>
      <c r="C86" t="s">
        <v>188</v>
      </c>
      <c r="D86" t="s">
        <v>243</v>
      </c>
      <c r="E86">
        <v>-24.633851965200002</v>
      </c>
      <c r="F86">
        <v>1.2735106223899999</v>
      </c>
    </row>
    <row r="87" spans="2:6" x14ac:dyDescent="0.45">
      <c r="B87">
        <v>88</v>
      </c>
      <c r="C87" t="s">
        <v>190</v>
      </c>
      <c r="D87" t="s">
        <v>242</v>
      </c>
      <c r="E87">
        <v>0</v>
      </c>
      <c r="F87">
        <v>0</v>
      </c>
    </row>
    <row r="88" spans="2:6" x14ac:dyDescent="0.45">
      <c r="B88">
        <v>89</v>
      </c>
      <c r="C88" t="s">
        <v>192</v>
      </c>
      <c r="D88" t="s">
        <v>243</v>
      </c>
      <c r="E88">
        <v>-0.55009338373399996</v>
      </c>
      <c r="F88">
        <v>0.430293593074</v>
      </c>
    </row>
    <row r="89" spans="2:6" x14ac:dyDescent="0.45">
      <c r="B89">
        <v>90</v>
      </c>
      <c r="C89" t="s">
        <v>194</v>
      </c>
      <c r="D89" t="s">
        <v>243</v>
      </c>
      <c r="E89">
        <v>-9.9117567037699992</v>
      </c>
      <c r="F89">
        <v>1.2063271443700001</v>
      </c>
    </row>
    <row r="90" spans="2:6" x14ac:dyDescent="0.45">
      <c r="B90">
        <v>91</v>
      </c>
      <c r="C90" t="s">
        <v>196</v>
      </c>
      <c r="D90" t="s">
        <v>243</v>
      </c>
      <c r="E90">
        <v>-9.3194311560499994</v>
      </c>
      <c r="F90">
        <v>0.63822855090300001</v>
      </c>
    </row>
    <row r="91" spans="2:6" x14ac:dyDescent="0.45">
      <c r="B91">
        <v>92</v>
      </c>
      <c r="C91" t="s">
        <v>198</v>
      </c>
      <c r="D91" t="s">
        <v>243</v>
      </c>
      <c r="E91">
        <v>-0.20086270196799999</v>
      </c>
      <c r="F91">
        <v>0.28418966588200001</v>
      </c>
    </row>
    <row r="92" spans="2:6" x14ac:dyDescent="0.45">
      <c r="B92">
        <v>93</v>
      </c>
      <c r="C92" t="s">
        <v>200</v>
      </c>
      <c r="D92" t="s">
        <v>243</v>
      </c>
      <c r="E92">
        <v>-2.1843835309699999</v>
      </c>
      <c r="F92">
        <v>0.31159678408699998</v>
      </c>
    </row>
    <row r="93" spans="2:6" x14ac:dyDescent="0.45">
      <c r="B93">
        <v>94</v>
      </c>
      <c r="C93" t="s">
        <v>202</v>
      </c>
      <c r="D93" t="s">
        <v>242</v>
      </c>
      <c r="E93">
        <v>0</v>
      </c>
      <c r="F93">
        <v>0</v>
      </c>
    </row>
    <row r="94" spans="2:6" x14ac:dyDescent="0.45">
      <c r="B94">
        <v>95</v>
      </c>
      <c r="C94" t="s">
        <v>204</v>
      </c>
      <c r="D94" t="s">
        <v>243</v>
      </c>
      <c r="E94">
        <v>-9.9476357147400005</v>
      </c>
      <c r="F94">
        <v>0.75443935500500003</v>
      </c>
    </row>
    <row r="95" spans="2:6" x14ac:dyDescent="0.45">
      <c r="B95">
        <v>96</v>
      </c>
      <c r="C95" t="s">
        <v>206</v>
      </c>
      <c r="D95" t="s">
        <v>243</v>
      </c>
      <c r="E95">
        <v>-12.800107987600001</v>
      </c>
      <c r="F95">
        <v>0.49713188744499998</v>
      </c>
    </row>
    <row r="96" spans="2:6" x14ac:dyDescent="0.45">
      <c r="B96">
        <v>97</v>
      </c>
      <c r="C96" t="s">
        <v>208</v>
      </c>
      <c r="D96" t="s">
        <v>242</v>
      </c>
      <c r="E96">
        <v>-30</v>
      </c>
      <c r="F96">
        <v>0</v>
      </c>
    </row>
    <row r="97" spans="2:6" x14ac:dyDescent="0.45">
      <c r="B97">
        <v>98</v>
      </c>
      <c r="C97" t="s">
        <v>210</v>
      </c>
      <c r="D97" t="s">
        <v>243</v>
      </c>
      <c r="E97">
        <v>-21.699928591700001</v>
      </c>
      <c r="F97">
        <v>7.1872342422999997</v>
      </c>
    </row>
    <row r="98" spans="2:6" x14ac:dyDescent="0.45">
      <c r="B98">
        <v>99</v>
      </c>
      <c r="C98" t="s">
        <v>211</v>
      </c>
      <c r="D98" t="s">
        <v>243</v>
      </c>
      <c r="E98">
        <v>-17.700475093400001</v>
      </c>
      <c r="F98">
        <v>1.1180742155200001</v>
      </c>
    </row>
    <row r="99" spans="2:6" x14ac:dyDescent="0.45">
      <c r="B99">
        <v>100</v>
      </c>
      <c r="C99" t="s">
        <v>212</v>
      </c>
      <c r="D99" t="s">
        <v>242</v>
      </c>
      <c r="E99">
        <v>-0.7</v>
      </c>
      <c r="F99">
        <v>0</v>
      </c>
    </row>
    <row r="100" spans="2:6" x14ac:dyDescent="0.45">
      <c r="B100">
        <v>101</v>
      </c>
      <c r="C100" t="s">
        <v>213</v>
      </c>
      <c r="D100" t="s">
        <v>243</v>
      </c>
      <c r="E100">
        <v>-17.8758745875</v>
      </c>
      <c r="F100">
        <v>1.26568694335</v>
      </c>
    </row>
    <row r="101" spans="2:6" x14ac:dyDescent="0.45">
      <c r="B101">
        <v>102</v>
      </c>
      <c r="C101" t="s">
        <v>214</v>
      </c>
      <c r="D101" t="s">
        <v>242</v>
      </c>
      <c r="E101">
        <v>0</v>
      </c>
      <c r="F101">
        <v>0</v>
      </c>
    </row>
    <row r="102" spans="2:6" x14ac:dyDescent="0.45">
      <c r="B102">
        <v>103</v>
      </c>
      <c r="C102" t="s">
        <v>215</v>
      </c>
      <c r="D102" t="s">
        <v>242</v>
      </c>
      <c r="E102">
        <v>5</v>
      </c>
      <c r="F102">
        <v>0</v>
      </c>
    </row>
    <row r="103" spans="2:6" x14ac:dyDescent="0.45">
      <c r="B103">
        <v>104</v>
      </c>
      <c r="C103" t="s">
        <v>216</v>
      </c>
      <c r="D103" t="s">
        <v>242</v>
      </c>
      <c r="E103">
        <v>-30</v>
      </c>
      <c r="F103">
        <v>0</v>
      </c>
    </row>
    <row r="104" spans="2:6" x14ac:dyDescent="0.45">
      <c r="B104">
        <v>105</v>
      </c>
      <c r="C104" t="s">
        <v>217</v>
      </c>
      <c r="D104" t="s">
        <v>243</v>
      </c>
      <c r="E104">
        <v>-24.158093970700001</v>
      </c>
      <c r="F104">
        <v>2.2108663697200002</v>
      </c>
    </row>
    <row r="105" spans="2:6" x14ac:dyDescent="0.45">
      <c r="B105">
        <v>106</v>
      </c>
      <c r="C105" t="s">
        <v>218</v>
      </c>
      <c r="D105" t="s">
        <v>243</v>
      </c>
      <c r="E105">
        <v>-9.5803170794600003</v>
      </c>
      <c r="F105">
        <v>1.6901243268799999</v>
      </c>
    </row>
    <row r="106" spans="2:6" x14ac:dyDescent="0.45">
      <c r="B106">
        <v>107</v>
      </c>
      <c r="C106" t="s">
        <v>219</v>
      </c>
      <c r="D106" t="s">
        <v>242</v>
      </c>
      <c r="E106">
        <v>0</v>
      </c>
      <c r="F106">
        <v>0</v>
      </c>
    </row>
    <row r="107" spans="2:6" x14ac:dyDescent="0.45">
      <c r="B107">
        <v>108</v>
      </c>
      <c r="C107" t="s">
        <v>221</v>
      </c>
      <c r="D107" t="s">
        <v>243</v>
      </c>
      <c r="E107">
        <v>-15.671349338700001</v>
      </c>
      <c r="F107">
        <v>1.3505581518600001</v>
      </c>
    </row>
    <row r="108" spans="2:6" x14ac:dyDescent="0.45">
      <c r="B108">
        <v>109</v>
      </c>
      <c r="C108" t="s">
        <v>222</v>
      </c>
      <c r="D108" t="s">
        <v>243</v>
      </c>
      <c r="E108">
        <v>-18.208541213899998</v>
      </c>
      <c r="F108">
        <v>2.10981581266</v>
      </c>
    </row>
    <row r="109" spans="2:6" x14ac:dyDescent="0.45">
      <c r="B109">
        <v>110</v>
      </c>
      <c r="C109" t="s">
        <v>223</v>
      </c>
      <c r="D109" t="s">
        <v>243</v>
      </c>
      <c r="E109">
        <v>-11.2471450075</v>
      </c>
      <c r="F109">
        <v>1.15446038317</v>
      </c>
    </row>
    <row r="110" spans="2:6" x14ac:dyDescent="0.45">
      <c r="B110">
        <v>111</v>
      </c>
      <c r="C110" t="s">
        <v>224</v>
      </c>
      <c r="D110" t="s">
        <v>243</v>
      </c>
      <c r="E110">
        <v>-10.0807778908</v>
      </c>
      <c r="F110">
        <v>0.84387302679599996</v>
      </c>
    </row>
    <row r="111" spans="2:6" x14ac:dyDescent="0.45">
      <c r="B111">
        <v>112</v>
      </c>
      <c r="C111" t="s">
        <v>225</v>
      </c>
      <c r="D111" t="s">
        <v>242</v>
      </c>
      <c r="E111">
        <v>-5.6623999999999999</v>
      </c>
      <c r="F111">
        <v>0</v>
      </c>
    </row>
    <row r="112" spans="2:6" x14ac:dyDescent="0.45">
      <c r="B112">
        <v>113</v>
      </c>
      <c r="C112" t="s">
        <v>227</v>
      </c>
      <c r="D112" t="s">
        <v>243</v>
      </c>
      <c r="E112">
        <v>-12.0597581892</v>
      </c>
      <c r="F112">
        <v>2.2172988793199999</v>
      </c>
    </row>
    <row r="113" spans="1:11" x14ac:dyDescent="0.45">
      <c r="A113">
        <v>-1</v>
      </c>
    </row>
    <row r="114" spans="1:11" x14ac:dyDescent="0.45">
      <c r="B114">
        <v>10005</v>
      </c>
      <c r="C114" s="336">
        <v>-5981.59020986</v>
      </c>
      <c r="D114" s="336">
        <v>-29805.783655800002</v>
      </c>
      <c r="E114" s="336">
        <v>-17292.021287899999</v>
      </c>
    </row>
    <row r="115" spans="1:11" x14ac:dyDescent="0.45">
      <c r="B115">
        <v>17</v>
      </c>
      <c r="C115" t="s">
        <v>284</v>
      </c>
      <c r="D115" t="s">
        <v>240</v>
      </c>
      <c r="E115">
        <v>31</v>
      </c>
      <c r="F115" t="s">
        <v>283</v>
      </c>
      <c r="G115">
        <v>16</v>
      </c>
    </row>
    <row r="116" spans="1:11" x14ac:dyDescent="0.4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1:11" x14ac:dyDescent="0.4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1:11" x14ac:dyDescent="0.4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1:11" x14ac:dyDescent="0.4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1:11" x14ac:dyDescent="0.4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1:11" x14ac:dyDescent="0.4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1:11" x14ac:dyDescent="0.4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1:11" x14ac:dyDescent="0.4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1:11" x14ac:dyDescent="0.4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1:11" x14ac:dyDescent="0.4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1:11" x14ac:dyDescent="0.4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1:11" x14ac:dyDescent="0.4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1:11" x14ac:dyDescent="0.4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4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4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4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4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4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4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4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4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4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4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4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4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4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4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4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4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4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4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4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4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4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4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4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4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4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4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4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4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4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4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4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4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4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4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4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4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4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4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4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4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4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4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4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4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4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4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4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4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4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4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4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4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4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4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4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4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4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4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4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4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4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4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4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4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4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4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4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4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4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4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4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4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4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4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4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4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4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4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4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4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4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4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4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4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4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4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4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4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4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4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4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4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4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4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4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4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4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4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4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4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4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4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4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4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4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4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4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4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4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4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4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4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4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4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4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4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4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4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4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4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4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4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4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4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4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4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4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4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4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4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4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4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4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4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4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4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4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4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4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4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4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4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4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4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4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4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4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4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4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4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4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4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4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4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4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4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4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4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4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4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4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4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4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4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4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4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4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4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4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4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4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4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4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4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4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4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4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4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4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4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4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4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4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4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4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4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4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4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4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4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4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4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4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4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4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4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4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4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4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4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4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4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4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4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4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4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4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4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4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4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4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4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4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4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4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4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4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4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4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4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4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4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4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4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4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4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4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4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4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4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4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4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4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4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4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4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4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4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4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4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4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4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4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4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4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4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4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4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4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4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4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4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4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4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4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4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4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4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4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4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4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4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4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4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4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4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4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4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4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4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4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4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4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4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4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4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4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4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4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4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4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4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4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4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4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4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4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4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4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4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4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4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4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4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4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4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4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4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4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4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4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4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4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4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4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4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4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4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4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4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4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4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4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4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4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4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4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4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4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4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4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4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4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4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4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4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4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4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4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4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4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4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4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4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4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4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4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4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4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4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4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4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4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4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4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4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4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4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4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4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4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4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4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4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4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4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4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4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4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4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4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4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4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4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4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4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4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4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4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4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4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4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4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4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4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4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4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4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4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4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4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4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4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4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4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4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4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4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4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4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4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4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4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4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4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4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4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4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4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4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4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4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4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4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4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4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4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4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4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4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4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4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4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4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4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4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4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4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4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4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4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4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4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4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4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4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4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4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4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4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4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4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4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4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4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4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4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4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4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4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4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4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4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4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4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4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4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4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4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4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4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4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4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4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4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4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4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4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4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4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4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4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4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4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4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4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4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4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4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4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4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4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4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4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4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4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4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4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4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4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4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4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4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4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4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4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4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4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4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4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4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4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B050"/>
  </sheetPr>
  <dimension ref="B1:X104"/>
  <sheetViews>
    <sheetView tabSelected="1" topLeftCell="F1" workbookViewId="0">
      <selection activeCell="T18" sqref="T18"/>
    </sheetView>
  </sheetViews>
  <sheetFormatPr defaultColWidth="9.1328125" defaultRowHeight="14.25" x14ac:dyDescent="0.45"/>
  <cols>
    <col min="1" max="2" style="296" width="9.1328125" collapsed="true"/>
    <col min="3" max="3" bestFit="true" customWidth="true" style="296" width="12.73046875" collapsed="true"/>
    <col min="4" max="4" customWidth="true" style="295" width="18.86328125" collapsed="true"/>
    <col min="5" max="5" customWidth="true" style="296" width="6.73046875" collapsed="true"/>
    <col min="6" max="6" customWidth="true" style="296" width="12.73046875" collapsed="true"/>
    <col min="7" max="8" customWidth="true" style="295" width="18.86328125" collapsed="true"/>
    <col min="9" max="9" customWidth="true" style="295" width="6.59765625" collapsed="true"/>
    <col min="10" max="10" customWidth="true" style="295" width="10.1328125" collapsed="true"/>
    <col min="11" max="11" customWidth="true" style="295" width="9.86328125" collapsed="true"/>
    <col min="12" max="14" style="296" width="9.1328125" collapsed="true"/>
    <col min="15" max="15" customWidth="true" style="296" width="13.0" collapsed="true"/>
    <col min="16" max="16" customWidth="true" style="298" width="19.59765625" collapsed="true"/>
    <col min="17" max="17" customWidth="true" style="334" width="19.59765625" collapsed="true"/>
    <col min="18" max="18" style="296" width="9.1328125" collapsed="true"/>
    <col min="19" max="19" customWidth="true" style="296" width="9.1328125" collapsed="true"/>
    <col min="20" max="16384" style="296" width="9.1328125" collapsed="true"/>
  </cols>
  <sheetData>
    <row r="1" spans="3:24" x14ac:dyDescent="0.45">
      <c r="C1" s="10" t="s">
        <v>41</v>
      </c>
      <c r="F1" s="10" t="s">
        <v>42</v>
      </c>
      <c r="N1" s="297" t="s">
        <v>261</v>
      </c>
      <c r="S1" s="297"/>
      <c r="T1" s="297" t="s">
        <v>261</v>
      </c>
      <c r="U1" s="321"/>
      <c r="V1" s="321"/>
      <c r="W1" s="321"/>
      <c r="X1" s="321"/>
    </row>
    <row r="2" spans="3:24" ht="14.65" thickBot="1" x14ac:dyDescent="0.5">
      <c r="C2" s="297" t="s">
        <v>44</v>
      </c>
      <c r="M2" s="10" t="s">
        <v>92</v>
      </c>
      <c r="N2" s="10" t="s">
        <v>255</v>
      </c>
      <c r="O2" s="10" t="s">
        <v>262</v>
      </c>
      <c r="P2" s="363" t="s">
        <v>263</v>
      </c>
      <c r="Q2" s="364" t="s">
        <v>264</v>
      </c>
      <c r="T2" s="321"/>
      <c r="U2" s="297" t="s">
        <v>265</v>
      </c>
      <c r="V2"/>
      <c r="W2" s="321"/>
      <c r="X2" s="321"/>
    </row>
    <row r="3" spans="3:24" x14ac:dyDescent="0.45">
      <c r="C3" s="299" t="s">
        <v>3</v>
      </c>
      <c r="D3" s="300" t="s">
        <v>45</v>
      </c>
      <c r="F3" s="299" t="s">
        <v>3</v>
      </c>
      <c r="G3" s="300" t="s">
        <v>45</v>
      </c>
      <c r="H3" s="350"/>
      <c r="I3" s="350"/>
      <c r="J3" s="350"/>
      <c r="K3" s="350"/>
      <c r="L3" s="301"/>
      <c r="M3" s="296" t="str">
        <f>VLOOKUP(N3,Coeff_Descr!$A:$D,3,FALSE)</f>
        <v>ALL</v>
      </c>
      <c r="N3" s="296">
        <f>OtherTourDestination!B11</f>
        <v>1</v>
      </c>
      <c r="O3" s="296" t="str">
        <f>OtherTourDestination!C11</f>
        <v>Beta00001</v>
      </c>
      <c r="P3" s="298">
        <f>OtherTourDestination!E11</f>
        <v>1</v>
      </c>
      <c r="Q3" s="337">
        <f>_xlfn.IFNA(VLOOKUP(N3,$B$43:$D$46,3,FALSE),P3)</f>
        <v>1</v>
      </c>
      <c r="T3">
        <v>1</v>
      </c>
      <c r="U3" s="294" t="s">
        <v>266</v>
      </c>
      <c r="V3"/>
      <c r="W3" s="321"/>
      <c r="X3" s="321"/>
    </row>
    <row r="4" spans="3:24" x14ac:dyDescent="0.45">
      <c r="C4" s="302" t="s">
        <v>48</v>
      </c>
      <c r="D4" s="303">
        <f>TLFD!B11</f>
        <v>23418.229396264702</v>
      </c>
      <c r="F4" s="302" t="s">
        <v>48</v>
      </c>
      <c r="G4" s="303">
        <f>TLFD!F11</f>
        <v>124828</v>
      </c>
      <c r="H4" s="303"/>
      <c r="I4" s="303"/>
      <c r="J4" s="303"/>
      <c r="K4" s="303"/>
      <c r="L4" s="304"/>
      <c r="M4" s="296" t="str">
        <f>VLOOKUP(N4,Coeff_Descr!$A:$D,3,FALSE)</f>
        <v>ALL</v>
      </c>
      <c r="N4" s="296">
        <f>OtherTourDestination!B12</f>
        <v>2</v>
      </c>
      <c r="O4" s="296" t="str">
        <f>OtherTourDestination!C12</f>
        <v>Beta00002</v>
      </c>
      <c r="P4" s="298">
        <f>OtherTourDestination!E12</f>
        <v>11.7146172749</v>
      </c>
      <c r="Q4" s="337">
        <f>_xlfn.IFNA(VLOOKUP(N4,$B$43:$D$46,3,FALSE),P4)</f>
        <v>11.7146172749</v>
      </c>
      <c r="T4">
        <v>2</v>
      </c>
      <c r="U4" s="294" t="s">
        <v>267</v>
      </c>
      <c r="V4"/>
      <c r="W4" s="321"/>
      <c r="X4" s="321"/>
    </row>
    <row r="5" spans="3:24" x14ac:dyDescent="0.45">
      <c r="C5" s="305" t="s">
        <v>51</v>
      </c>
      <c r="D5" s="306">
        <f>TLFD!B12+TLFD!B13+(TLFD!B14/2)</f>
        <v>126014.50383084279</v>
      </c>
      <c r="F5" s="305" t="s">
        <v>51</v>
      </c>
      <c r="G5" s="306">
        <f>TLFD!F12+TLFD!F13+(TLFD!F14/2)</f>
        <v>167058</v>
      </c>
      <c r="H5" s="306"/>
      <c r="I5" s="306"/>
      <c r="J5" s="306"/>
      <c r="K5" s="306"/>
      <c r="L5" s="304"/>
      <c r="M5" s="296" t="str">
        <f>VLOOKUP(N5,Coeff_Descr!$A:$D,3,FALSE)</f>
        <v>ALL</v>
      </c>
      <c r="N5" s="296">
        <f>OtherTourDestination!B13</f>
        <v>3</v>
      </c>
      <c r="O5" s="296" t="str">
        <f>OtherTourDestination!C13</f>
        <v>Beta00003</v>
      </c>
      <c r="P5" s="298">
        <f>OtherTourDestination!E13</f>
        <v>-0.2117</v>
      </c>
      <c r="Q5" s="337">
        <f t="shared" ref="Q5:Q68" si="0">_xlfn.IFNA(VLOOKUP(N5,$B$43:$D$46,3,FALSE),P5)</f>
        <v>-0.2117</v>
      </c>
      <c r="T5">
        <v>3</v>
      </c>
      <c r="U5" s="321" t="s">
        <v>268</v>
      </c>
      <c r="V5" s="321"/>
      <c r="W5" s="321"/>
      <c r="X5" s="321"/>
    </row>
    <row r="6" spans="3:24" x14ac:dyDescent="0.45">
      <c r="C6" s="305" t="s">
        <v>54</v>
      </c>
      <c r="D6" s="306">
        <f>(TLFD!B14/2)+SUM(TLFD!B15:B20)</f>
        <v>461518.92626112088</v>
      </c>
      <c r="F6" s="305" t="s">
        <v>54</v>
      </c>
      <c r="G6" s="306">
        <f>(TLFD!F14/2)+SUM(TLFD!F15:F20)</f>
        <v>363346</v>
      </c>
      <c r="H6" s="306"/>
      <c r="I6" s="306"/>
      <c r="J6" s="306"/>
      <c r="K6" s="306"/>
      <c r="L6" s="307"/>
      <c r="M6" s="296" t="str">
        <f>VLOOKUP(N6,Coeff_Descr!$A:$D,3,FALSE)</f>
        <v>ALL</v>
      </c>
      <c r="N6" s="296">
        <f>OtherTourDestination!B14</f>
        <v>4</v>
      </c>
      <c r="O6" s="296" t="str">
        <f>OtherTourDestination!C14</f>
        <v>Beta00004</v>
      </c>
      <c r="P6" s="298">
        <f>OtherTourDestination!E14</f>
        <v>0.27120783067900001</v>
      </c>
      <c r="Q6" s="337">
        <f t="shared" si="0"/>
        <v>0.27120783067900001</v>
      </c>
      <c r="T6">
        <v>4</v>
      </c>
      <c r="U6" s="321" t="s">
        <v>269</v>
      </c>
      <c r="V6" s="321"/>
      <c r="W6" s="321"/>
      <c r="X6" s="321"/>
    </row>
    <row r="7" spans="3:24" x14ac:dyDescent="0.45">
      <c r="C7" s="308" t="s">
        <v>57</v>
      </c>
      <c r="D7" s="309">
        <f>SUM(TLFD!B21:B101)</f>
        <v>82053.96864513692</v>
      </c>
      <c r="F7" s="308" t="s">
        <v>57</v>
      </c>
      <c r="G7" s="309">
        <f>SUM(TLFD!F21:F101)</f>
        <v>86365</v>
      </c>
      <c r="H7" s="351"/>
      <c r="I7" s="351"/>
      <c r="J7" s="351"/>
      <c r="K7" s="351"/>
      <c r="L7" s="310"/>
      <c r="M7" s="296" t="str">
        <f>VLOOKUP(N7,Coeff_Descr!$A:$D,3,FALSE)</f>
        <v>ALL</v>
      </c>
      <c r="N7" s="296">
        <f>OtherTourDestination!B15</f>
        <v>5</v>
      </c>
      <c r="O7" s="296" t="str">
        <f>OtherTourDestination!C15</f>
        <v>Beta00005</v>
      </c>
      <c r="P7" s="298">
        <f>OtherTourDestination!E15</f>
        <v>-0.34490013167299999</v>
      </c>
      <c r="Q7" s="337">
        <f t="shared" si="0"/>
        <v>-0.34490013167299999</v>
      </c>
      <c r="T7" s="321">
        <v>5</v>
      </c>
      <c r="U7" s="321" t="s">
        <v>270</v>
      </c>
      <c r="V7" s="321"/>
      <c r="W7" s="321"/>
      <c r="X7" s="321"/>
    </row>
    <row r="8" spans="3:24" ht="14.65" thickBot="1" x14ac:dyDescent="0.5">
      <c r="C8" s="311" t="s">
        <v>4</v>
      </c>
      <c r="D8" s="312">
        <f>SUM(D4:D7)</f>
        <v>693005.6281333653</v>
      </c>
      <c r="E8" s="313"/>
      <c r="F8" s="311" t="s">
        <v>4</v>
      </c>
      <c r="G8" s="312">
        <f>SUM(G4:G7)</f>
        <v>741597</v>
      </c>
      <c r="H8" s="352"/>
      <c r="I8" s="352"/>
      <c r="J8" s="352" t="s">
        <v>260</v>
      </c>
      <c r="K8" s="360">
        <v>1</v>
      </c>
      <c r="M8" s="296" t="str">
        <f>VLOOKUP(N8,Coeff_Descr!$A:$D,3,FALSE)</f>
        <v>ALL</v>
      </c>
      <c r="N8" s="296">
        <f>OtherTourDestination!B16</f>
        <v>6</v>
      </c>
      <c r="O8" s="296" t="str">
        <f>OtherTourDestination!C16</f>
        <v>Beta00006</v>
      </c>
      <c r="P8" s="298">
        <f>OtherTourDestination!E16</f>
        <v>-8.2865473150899996E-2</v>
      </c>
      <c r="Q8" s="337">
        <f t="shared" si="0"/>
        <v>-8.2865473150899996E-2</v>
      </c>
      <c r="T8" s="321"/>
      <c r="U8" s="321"/>
      <c r="V8" s="321"/>
      <c r="W8" s="321"/>
      <c r="X8" s="321"/>
    </row>
    <row r="9" spans="3:24" x14ac:dyDescent="0.45">
      <c r="M9" s="296" t="str">
        <f>VLOOKUP(N9,Coeff_Descr!$A:$D,3,FALSE)</f>
        <v>ALL</v>
      </c>
      <c r="N9" s="296">
        <f>OtherTourDestination!B17</f>
        <v>7</v>
      </c>
      <c r="O9" s="296" t="str">
        <f>OtherTourDestination!C17</f>
        <v>Beta00007</v>
      </c>
      <c r="P9" s="298">
        <f>OtherTourDestination!E17</f>
        <v>-3.9895313632499998</v>
      </c>
      <c r="Q9" s="337">
        <f t="shared" si="0"/>
        <v>-3.9895313632499998</v>
      </c>
      <c r="T9" s="321"/>
      <c r="U9" s="365" t="s">
        <v>271</v>
      </c>
      <c r="V9" s="321"/>
      <c r="W9" s="321"/>
      <c r="X9" s="321"/>
    </row>
    <row r="10" spans="3:24" ht="14.65" thickBot="1" x14ac:dyDescent="0.5">
      <c r="C10" s="314" t="s">
        <v>64</v>
      </c>
      <c r="I10" s="354" t="s">
        <v>256</v>
      </c>
      <c r="J10" s="355"/>
      <c r="K10" s="355"/>
      <c r="L10" s="301"/>
      <c r="M10" s="296" t="str">
        <f>VLOOKUP(N10,Coeff_Descr!$A:$D,3,FALSE)</f>
        <v>ALL</v>
      </c>
      <c r="N10" s="296">
        <f>OtherTourDestination!B18</f>
        <v>8</v>
      </c>
      <c r="O10" s="296" t="str">
        <f>OtherTourDestination!C18</f>
        <v>Beta00008</v>
      </c>
      <c r="P10" s="298">
        <f>OtherTourDestination!E18</f>
        <v>6.9400000000000003E-2</v>
      </c>
      <c r="Q10" s="337">
        <f t="shared" si="0"/>
        <v>6.9400000000000003E-2</v>
      </c>
      <c r="T10" s="321">
        <v>1</v>
      </c>
      <c r="U10" s="294" t="s">
        <v>266</v>
      </c>
      <c r="V10" s="321"/>
      <c r="W10" s="321"/>
      <c r="X10" s="321"/>
    </row>
    <row r="11" spans="3:24" x14ac:dyDescent="0.45">
      <c r="C11" s="299" t="s">
        <v>3</v>
      </c>
      <c r="D11" s="300" t="s">
        <v>45</v>
      </c>
      <c r="F11" s="299" t="s">
        <v>3</v>
      </c>
      <c r="G11" s="300" t="s">
        <v>45</v>
      </c>
      <c r="H11" s="350"/>
      <c r="I11" s="300" t="s">
        <v>257</v>
      </c>
      <c r="J11" s="300" t="s">
        <v>258</v>
      </c>
      <c r="K11" s="300" t="s">
        <v>259</v>
      </c>
      <c r="L11" s="315"/>
      <c r="M11" s="296" t="str">
        <f>VLOOKUP(N11,Coeff_Descr!$A:$D,3,FALSE)</f>
        <v>ALL</v>
      </c>
      <c r="N11" s="296">
        <f>OtherTourDestination!B19</f>
        <v>9</v>
      </c>
      <c r="O11" s="296" t="str">
        <f>OtherTourDestination!C19</f>
        <v>Beta00009</v>
      </c>
      <c r="P11" s="298">
        <f>OtherTourDestination!E19</f>
        <v>-9.5820044919499997E-2</v>
      </c>
      <c r="Q11" s="337">
        <f t="shared" si="0"/>
        <v>-9.5820044919499997E-2</v>
      </c>
      <c r="T11" s="321">
        <v>2</v>
      </c>
      <c r="U11" s="321" t="s">
        <v>272</v>
      </c>
      <c r="V11" s="321"/>
      <c r="W11" s="321"/>
      <c r="X11" s="321"/>
    </row>
    <row r="12" spans="3:24" x14ac:dyDescent="0.45">
      <c r="C12" s="302" t="s">
        <v>48</v>
      </c>
      <c r="D12" s="316">
        <f>D4/D$8</f>
        <v>3.3792264370698571E-2</v>
      </c>
      <c r="F12" s="302" t="s">
        <v>48</v>
      </c>
      <c r="G12" s="316">
        <f>G4/G$8</f>
        <v>0.16832322676601982</v>
      </c>
      <c r="H12" s="316"/>
      <c r="I12" s="356">
        <f>D12/G12</f>
        <v>0.20075817829747292</v>
      </c>
      <c r="J12" s="357">
        <f>LN(I12)</f>
        <v>-1.6056541882678899</v>
      </c>
      <c r="K12" s="357">
        <f>K8*J12</f>
        <v>-1.6056541882678899</v>
      </c>
      <c r="L12" s="315"/>
      <c r="M12" s="296" t="str">
        <f>VLOOKUP(N12,Coeff_Descr!$A:$D,3,FALSE)</f>
        <v>ALL</v>
      </c>
      <c r="N12" s="296">
        <f>OtherTourDestination!B20</f>
        <v>10</v>
      </c>
      <c r="O12" s="296" t="str">
        <f>OtherTourDestination!C20</f>
        <v>Beta00010</v>
      </c>
      <c r="P12" s="298">
        <f>OtherTourDestination!E20</f>
        <v>0.517563261484</v>
      </c>
      <c r="Q12" s="337">
        <f t="shared" si="0"/>
        <v>0.517563261484</v>
      </c>
      <c r="T12" s="321">
        <v>3</v>
      </c>
      <c r="U12" s="321" t="s">
        <v>273</v>
      </c>
      <c r="V12" s="321"/>
      <c r="W12" s="321"/>
      <c r="X12" s="321"/>
    </row>
    <row r="13" spans="3:24" x14ac:dyDescent="0.45">
      <c r="C13" s="305" t="s">
        <v>51</v>
      </c>
      <c r="D13" s="317">
        <f t="shared" ref="D13:D16" si="1">D5/D$8</f>
        <v>0.18183763409002496</v>
      </c>
      <c r="F13" s="305" t="s">
        <v>51</v>
      </c>
      <c r="G13" s="317">
        <f t="shared" ref="G13:G16" si="2">G5/G$8</f>
        <v>0.22526790156918111</v>
      </c>
      <c r="H13" s="317"/>
      <c r="I13" s="356">
        <f t="shared" ref="I13:I15" si="3">D13/G13</f>
        <v>0.80720614354451892</v>
      </c>
      <c r="J13" s="357">
        <f t="shared" ref="J13:J15" si="4">LN(I13)</f>
        <v>-0.21417619903944252</v>
      </c>
      <c r="K13" s="357">
        <f>K8*(J13-J12)</f>
        <v>1.3914779892284472</v>
      </c>
      <c r="L13" s="315"/>
      <c r="M13" s="296" t="str">
        <f>VLOOKUP(N13,Coeff_Descr!$A:$D,3,FALSE)</f>
        <v>ALL</v>
      </c>
      <c r="N13" s="296">
        <f>OtherTourDestination!B21</f>
        <v>11</v>
      </c>
      <c r="O13" s="296" t="str">
        <f>OtherTourDestination!C21</f>
        <v>Beta00011</v>
      </c>
      <c r="P13" s="298">
        <f>OtherTourDestination!E21</f>
        <v>-0.80352358260699996</v>
      </c>
      <c r="Q13" s="337">
        <f t="shared" si="0"/>
        <v>-0.80352358260699996</v>
      </c>
      <c r="T13" s="321">
        <v>4</v>
      </c>
      <c r="U13" s="321" t="s">
        <v>274</v>
      </c>
      <c r="V13" s="321"/>
      <c r="W13" s="321"/>
      <c r="X13" s="321"/>
    </row>
    <row r="14" spans="3:24" x14ac:dyDescent="0.45">
      <c r="C14" s="305" t="s">
        <v>54</v>
      </c>
      <c r="D14" s="317">
        <f t="shared" si="1"/>
        <v>0.66596706797928629</v>
      </c>
      <c r="F14" s="305" t="s">
        <v>54</v>
      </c>
      <c r="G14" s="317">
        <f t="shared" si="2"/>
        <v>0.48995074144043194</v>
      </c>
      <c r="H14" s="317"/>
      <c r="I14" s="356">
        <f t="shared" si="3"/>
        <v>1.3592531078152361</v>
      </c>
      <c r="J14" s="357">
        <f t="shared" si="4"/>
        <v>0.30693536346043393</v>
      </c>
      <c r="K14" s="357">
        <f>K8*(J14-J13-J12)</f>
        <v>2.1267657507677664</v>
      </c>
      <c r="L14" s="318"/>
      <c r="M14" s="296" t="str">
        <f>VLOOKUP(N14,Coeff_Descr!$A:$D,3,FALSE)</f>
        <v>ALL</v>
      </c>
      <c r="N14" s="296">
        <f>OtherTourDestination!B22</f>
        <v>12</v>
      </c>
      <c r="O14" s="296" t="str">
        <f>OtherTourDestination!C22</f>
        <v>Beta00012</v>
      </c>
      <c r="P14" s="298">
        <f>OtherTourDestination!E22</f>
        <v>-0.80534348065299999</v>
      </c>
      <c r="Q14" s="337">
        <f t="shared" si="0"/>
        <v>-0.80534348065299999</v>
      </c>
      <c r="T14" s="321">
        <v>5</v>
      </c>
      <c r="U14" s="294" t="s">
        <v>275</v>
      </c>
      <c r="V14" s="321"/>
      <c r="W14" s="321"/>
      <c r="X14" s="321"/>
    </row>
    <row r="15" spans="3:24" ht="14.65" thickBot="1" x14ac:dyDescent="0.5">
      <c r="C15" s="308" t="s">
        <v>57</v>
      </c>
      <c r="D15" s="317">
        <f t="shared" si="1"/>
        <v>0.11840303355999017</v>
      </c>
      <c r="F15" s="308" t="s">
        <v>57</v>
      </c>
      <c r="G15" s="317">
        <f t="shared" si="2"/>
        <v>0.11645813022436714</v>
      </c>
      <c r="H15" s="317"/>
      <c r="I15" s="358">
        <f t="shared" si="3"/>
        <v>1.0167004513285247</v>
      </c>
      <c r="J15" s="359">
        <f t="shared" si="4"/>
        <v>1.6562532214021604E-2</v>
      </c>
      <c r="K15" s="359">
        <f>K8*(J15-J14-J13-J12)</f>
        <v>1.52945755606092</v>
      </c>
      <c r="M15" s="296" t="str">
        <f>VLOOKUP(N15,Coeff_Descr!$A:$D,3,FALSE)</f>
        <v>ALL</v>
      </c>
      <c r="N15" s="296">
        <f>OtherTourDestination!B23</f>
        <v>13</v>
      </c>
      <c r="O15" s="296" t="str">
        <f>OtherTourDestination!C23</f>
        <v>Beta00013</v>
      </c>
      <c r="P15" s="298">
        <f>OtherTourDestination!E23</f>
        <v>-0.51977799879300002</v>
      </c>
      <c r="Q15" s="337">
        <f t="shared" si="0"/>
        <v>-0.51977799879300002</v>
      </c>
      <c r="T15" s="321">
        <v>6</v>
      </c>
      <c r="U15" s="321" t="s">
        <v>276</v>
      </c>
      <c r="V15" s="321"/>
      <c r="W15" s="321"/>
      <c r="X15" s="321"/>
    </row>
    <row r="16" spans="3:24" ht="14.65" thickBot="1" x14ac:dyDescent="0.5">
      <c r="C16" s="311" t="s">
        <v>4</v>
      </c>
      <c r="D16" s="319">
        <f t="shared" si="1"/>
        <v>1</v>
      </c>
      <c r="E16" s="313"/>
      <c r="F16" s="311" t="s">
        <v>4</v>
      </c>
      <c r="G16" s="319">
        <f t="shared" si="2"/>
        <v>1</v>
      </c>
      <c r="H16" s="353"/>
      <c r="I16" s="356"/>
      <c r="J16" s="356"/>
      <c r="K16" s="356"/>
      <c r="M16" s="296" t="str">
        <f>VLOOKUP(N16,Coeff_Descr!$A:$D,3,FALSE)</f>
        <v>ALL</v>
      </c>
      <c r="N16" s="296">
        <f>OtherTourDestination!B24</f>
        <v>14</v>
      </c>
      <c r="O16" s="296" t="str">
        <f>OtherTourDestination!C24</f>
        <v>Beta00014</v>
      </c>
      <c r="P16" s="298">
        <f>OtherTourDestination!E24</f>
        <v>-0.27562686954600002</v>
      </c>
      <c r="Q16" s="337">
        <f t="shared" si="0"/>
        <v>-0.27562686954600002</v>
      </c>
      <c r="T16" s="321">
        <v>7</v>
      </c>
      <c r="U16" s="321" t="s">
        <v>269</v>
      </c>
      <c r="V16" s="321"/>
      <c r="W16" s="321"/>
      <c r="X16" s="321"/>
    </row>
    <row r="17" spans="2:24" x14ac:dyDescent="0.45">
      <c r="M17" s="296" t="str">
        <f>VLOOKUP(N17,Coeff_Descr!$A:$D,3,FALSE)</f>
        <v>ALL</v>
      </c>
      <c r="N17" s="296">
        <f>OtherTourDestination!B25</f>
        <v>15</v>
      </c>
      <c r="O17" s="296" t="str">
        <f>OtherTourDestination!C25</f>
        <v>Beta00015</v>
      </c>
      <c r="P17" s="298">
        <f>OtherTourDestination!E25</f>
        <v>-0.55245424085299999</v>
      </c>
      <c r="Q17" s="337">
        <f t="shared" si="0"/>
        <v>-0.55245424085299999</v>
      </c>
      <c r="T17" s="321">
        <v>8</v>
      </c>
      <c r="U17" s="321" t="s">
        <v>277</v>
      </c>
      <c r="V17" s="321"/>
      <c r="W17" s="321"/>
      <c r="X17" s="321"/>
    </row>
    <row r="18" spans="2:24" x14ac:dyDescent="0.45">
      <c r="I18" s="361"/>
      <c r="J18" s="361"/>
      <c r="K18" s="357"/>
      <c r="M18" s="296" t="str">
        <f>VLOOKUP(N18,Coeff_Descr!$A:$D,3,FALSE)</f>
        <v>ALL</v>
      </c>
      <c r="N18" s="296">
        <f>OtherTourDestination!B26</f>
        <v>16</v>
      </c>
      <c r="O18" s="296" t="str">
        <f>OtherTourDestination!C26</f>
        <v>Beta00016</v>
      </c>
      <c r="P18" s="298">
        <f>OtherTourDestination!E26</f>
        <v>-0.493022087256</v>
      </c>
      <c r="Q18" s="337">
        <f t="shared" si="0"/>
        <v>-0.493022087256</v>
      </c>
    </row>
    <row r="19" spans="2:24" x14ac:dyDescent="0.45">
      <c r="C19" s="320" t="s">
        <v>83</v>
      </c>
      <c r="I19" s="361"/>
      <c r="J19" s="361"/>
      <c r="K19" s="357"/>
      <c r="M19" s="296" t="str">
        <f>VLOOKUP(N19,Coeff_Descr!$A:$D,3,FALSE)</f>
        <v>ALL</v>
      </c>
      <c r="N19" s="296">
        <f>OtherTourDestination!B27</f>
        <v>17</v>
      </c>
      <c r="O19" s="296" t="str">
        <f>OtherTourDestination!C27</f>
        <v>Beta00017</v>
      </c>
      <c r="P19" s="298">
        <f>OtherTourDestination!E27</f>
        <v>0</v>
      </c>
      <c r="Q19" s="337">
        <f t="shared" si="0"/>
        <v>0</v>
      </c>
    </row>
    <row r="20" spans="2:24" x14ac:dyDescent="0.45">
      <c r="C20" s="320" t="s">
        <v>86</v>
      </c>
      <c r="I20" s="361"/>
      <c r="J20" s="361"/>
      <c r="K20" s="357"/>
      <c r="M20" s="296" t="str">
        <f>VLOOKUP(N20,Coeff_Descr!$A:$D,3,FALSE)</f>
        <v>ALL</v>
      </c>
      <c r="N20" s="296">
        <f>OtherTourDestination!B28</f>
        <v>18</v>
      </c>
      <c r="O20" s="296" t="str">
        <f>OtherTourDestination!C28</f>
        <v>Beta00018</v>
      </c>
      <c r="P20" s="298">
        <f>OtherTourDestination!E28</f>
        <v>0</v>
      </c>
      <c r="Q20" s="337">
        <f t="shared" si="0"/>
        <v>0</v>
      </c>
    </row>
    <row r="21" spans="2:24" ht="14.65" thickBot="1" x14ac:dyDescent="0.5">
      <c r="C21" s="321"/>
      <c r="I21" s="361"/>
      <c r="J21" s="361"/>
      <c r="K21" s="357"/>
      <c r="M21" s="296" t="str">
        <f>VLOOKUP(N21,Coeff_Descr!$A:$D,3,FALSE)</f>
        <v>ALL</v>
      </c>
      <c r="N21" s="296">
        <f>OtherTourDestination!B29</f>
        <v>19</v>
      </c>
      <c r="O21" s="296" t="str">
        <f>OtherTourDestination!C29</f>
        <v>Beta00019</v>
      </c>
      <c r="P21" s="298">
        <f>OtherTourDestination!E29</f>
        <v>0</v>
      </c>
      <c r="Q21" s="337">
        <f t="shared" si="0"/>
        <v>0</v>
      </c>
    </row>
    <row r="22" spans="2:24" x14ac:dyDescent="0.45">
      <c r="B22" s="345" t="s">
        <v>255</v>
      </c>
      <c r="C22" s="322" t="s">
        <v>92</v>
      </c>
      <c r="D22" s="323"/>
      <c r="M22" s="296" t="str">
        <f>VLOOKUP(N22,Coeff_Descr!$A:$D,3,FALSE)</f>
        <v>ESCORT</v>
      </c>
      <c r="N22" s="296">
        <f>OtherTourDestination!B30</f>
        <v>20</v>
      </c>
      <c r="O22" s="296" t="str">
        <f>OtherTourDestination!C30</f>
        <v>Beta00020</v>
      </c>
      <c r="P22" s="298">
        <f>OtherTourDestination!E30</f>
        <v>0.63771148688699997</v>
      </c>
      <c r="Q22" s="337">
        <f t="shared" si="0"/>
        <v>0.63771148688699997</v>
      </c>
    </row>
    <row r="23" spans="2:24" x14ac:dyDescent="0.45">
      <c r="B23" s="346">
        <v>37</v>
      </c>
      <c r="C23" s="302" t="s">
        <v>48</v>
      </c>
      <c r="D23" s="376">
        <f>VLOOKUP($B23,$N:$P,3,FALSE)</f>
        <v>-20.810228388700001</v>
      </c>
      <c r="I23" s="362"/>
      <c r="J23" s="362"/>
      <c r="K23" s="362"/>
      <c r="M23" s="296" t="str">
        <f>VLOOKUP(N23,Coeff_Descr!$A:$D,3,FALSE)</f>
        <v>ESCORT</v>
      </c>
      <c r="N23" s="296">
        <f>OtherTourDestination!B31</f>
        <v>21</v>
      </c>
      <c r="O23" s="296" t="str">
        <f>OtherTourDestination!C31</f>
        <v>Beta00021</v>
      </c>
      <c r="P23" s="298">
        <f>OtherTourDestination!E31</f>
        <v>-12.0946718381</v>
      </c>
      <c r="Q23" s="337">
        <f t="shared" si="0"/>
        <v>-12.0946718381</v>
      </c>
    </row>
    <row r="24" spans="2:24" x14ac:dyDescent="0.45">
      <c r="B24" s="346">
        <v>38</v>
      </c>
      <c r="C24" s="305" t="s">
        <v>51</v>
      </c>
      <c r="D24" s="376">
        <f t="shared" ref="D24:D26" si="5">VLOOKUP($B24,$N:$P,3,FALSE)</f>
        <v>-7.1836373472300004</v>
      </c>
      <c r="M24" s="296" t="str">
        <f>VLOOKUP(N24,Coeff_Descr!$A:$D,3,FALSE)</f>
        <v>ESCORT</v>
      </c>
      <c r="N24" s="296">
        <f>OtherTourDestination!B32</f>
        <v>22</v>
      </c>
      <c r="O24" s="296" t="str">
        <f>OtherTourDestination!C32</f>
        <v>Beta00022</v>
      </c>
      <c r="P24" s="298">
        <f>OtherTourDestination!E32</f>
        <v>-4.03623745316</v>
      </c>
      <c r="Q24" s="337">
        <f t="shared" si="0"/>
        <v>-4.03623745316</v>
      </c>
    </row>
    <row r="25" spans="2:24" x14ac:dyDescent="0.45">
      <c r="B25" s="346">
        <v>39</v>
      </c>
      <c r="C25" s="305" t="s">
        <v>54</v>
      </c>
      <c r="D25" s="376">
        <f t="shared" si="5"/>
        <v>-3.6600975390500001</v>
      </c>
      <c r="M25" s="296" t="str">
        <f>VLOOKUP(N25,Coeff_Descr!$A:$D,3,FALSE)</f>
        <v>ESCORT</v>
      </c>
      <c r="N25" s="296">
        <f>OtherTourDestination!B33</f>
        <v>23</v>
      </c>
      <c r="O25" s="296" t="str">
        <f>OtherTourDestination!C33</f>
        <v>Beta00023</v>
      </c>
      <c r="P25" s="298">
        <f>OtherTourDestination!E33</f>
        <v>-2.16371815818</v>
      </c>
      <c r="Q25" s="337">
        <f t="shared" si="0"/>
        <v>-2.16371815818</v>
      </c>
    </row>
    <row r="26" spans="2:24" ht="14.65" thickBot="1" x14ac:dyDescent="0.5">
      <c r="B26" s="347">
        <v>40</v>
      </c>
      <c r="C26" s="325" t="s">
        <v>57</v>
      </c>
      <c r="D26" s="377">
        <f t="shared" si="5"/>
        <v>-1.3605457273599999</v>
      </c>
      <c r="M26" s="296" t="str">
        <f>VLOOKUP(N26,Coeff_Descr!$A:$D,3,FALSE)</f>
        <v>ESCORT</v>
      </c>
      <c r="N26" s="296">
        <f>OtherTourDestination!B34</f>
        <v>24</v>
      </c>
      <c r="O26" s="296" t="str">
        <f>OtherTourDestination!C34</f>
        <v>Beta00024</v>
      </c>
      <c r="P26" s="298">
        <f>OtherTourDestination!E34</f>
        <v>0.10429329553199999</v>
      </c>
      <c r="Q26" s="337">
        <f t="shared" si="0"/>
        <v>0.10429329553199999</v>
      </c>
    </row>
    <row r="27" spans="2:24" x14ac:dyDescent="0.45">
      <c r="C27" s="321"/>
      <c r="D27" s="327"/>
      <c r="M27" s="296" t="str">
        <f>VLOOKUP(N27,Coeff_Descr!$A:$D,3,FALSE)</f>
        <v>ESCORT</v>
      </c>
      <c r="N27" s="296">
        <f>OtherTourDestination!B35</f>
        <v>25</v>
      </c>
      <c r="O27" s="296" t="str">
        <f>OtherTourDestination!C35</f>
        <v>Beta00025</v>
      </c>
      <c r="P27" s="298">
        <f>OtherTourDestination!E35</f>
        <v>0</v>
      </c>
      <c r="Q27" s="337">
        <f t="shared" si="0"/>
        <v>0</v>
      </c>
    </row>
    <row r="28" spans="2:24" x14ac:dyDescent="0.45">
      <c r="C28" s="321"/>
      <c r="D28" s="327"/>
      <c r="M28" s="296" t="str">
        <f>VLOOKUP(N28,Coeff_Descr!$A:$D,3,FALSE)</f>
        <v>PERSBUS/MED</v>
      </c>
      <c r="N28" s="296">
        <f>OtherTourDestination!B36</f>
        <v>26</v>
      </c>
      <c r="O28" s="296" t="str">
        <f>OtherTourDestination!C36</f>
        <v>Beta00026</v>
      </c>
      <c r="P28" s="298">
        <f>OtherTourDestination!E36</f>
        <v>0.417326479157</v>
      </c>
      <c r="Q28" s="337">
        <f t="shared" si="0"/>
        <v>0.417326479157</v>
      </c>
    </row>
    <row r="29" spans="2:24" x14ac:dyDescent="0.45">
      <c r="C29" s="320" t="s">
        <v>83</v>
      </c>
      <c r="D29" s="328"/>
      <c r="M29" s="296" t="str">
        <f>VLOOKUP(N29,Coeff_Descr!$A:$D,3,FALSE)</f>
        <v>PERSBUS/MED</v>
      </c>
      <c r="N29" s="296">
        <f>OtherTourDestination!B37</f>
        <v>27</v>
      </c>
      <c r="O29" s="296" t="str">
        <f>OtherTourDestination!C37</f>
        <v>Beta00027</v>
      </c>
      <c r="P29" s="298">
        <f>OtherTourDestination!E37</f>
        <v>-14.8384910501</v>
      </c>
      <c r="Q29" s="337">
        <f t="shared" si="0"/>
        <v>-14.8384910501</v>
      </c>
    </row>
    <row r="30" spans="2:24" x14ac:dyDescent="0.45">
      <c r="C30" s="320" t="s">
        <v>108</v>
      </c>
      <c r="D30" s="328"/>
      <c r="M30" s="296" t="str">
        <f>VLOOKUP(N30,Coeff_Descr!$A:$D,3,FALSE)</f>
        <v>PERSBUS/MED</v>
      </c>
      <c r="N30" s="296">
        <f>OtherTourDestination!B38</f>
        <v>28</v>
      </c>
      <c r="O30" s="296" t="str">
        <f>OtherTourDestination!C38</f>
        <v>Beta00028</v>
      </c>
      <c r="P30" s="298">
        <f>OtherTourDestination!E38</f>
        <v>-5.1880432348000003</v>
      </c>
      <c r="Q30" s="337">
        <f t="shared" si="0"/>
        <v>-5.1880432348000003</v>
      </c>
    </row>
    <row r="31" spans="2:24" ht="14.65" thickBot="1" x14ac:dyDescent="0.5">
      <c r="C31" s="321"/>
      <c r="D31" s="327"/>
      <c r="M31" s="296" t="str">
        <f>VLOOKUP(N31,Coeff_Descr!$A:$D,3,FALSE)</f>
        <v>PERSBUS/MED</v>
      </c>
      <c r="N31" s="296">
        <f>OtherTourDestination!B39</f>
        <v>29</v>
      </c>
      <c r="O31" s="296" t="str">
        <f>OtherTourDestination!C39</f>
        <v>Beta00029</v>
      </c>
      <c r="P31" s="298">
        <f>OtherTourDestination!E39</f>
        <v>-2.6156308707</v>
      </c>
      <c r="Q31" s="337">
        <f t="shared" si="0"/>
        <v>-2.6156308707</v>
      </c>
    </row>
    <row r="32" spans="2:24" x14ac:dyDescent="0.45">
      <c r="B32" s="345" t="s">
        <v>255</v>
      </c>
      <c r="C32" s="322" t="s">
        <v>92</v>
      </c>
      <c r="D32" s="323"/>
      <c r="M32" s="296" t="str">
        <f>VLOOKUP(N32,Coeff_Descr!$A:$D,3,FALSE)</f>
        <v>PERSBUS/MED</v>
      </c>
      <c r="N32" s="296">
        <f>OtherTourDestination!B40</f>
        <v>30</v>
      </c>
      <c r="O32" s="296" t="str">
        <f>OtherTourDestination!C40</f>
        <v>Beta00030</v>
      </c>
      <c r="P32" s="298">
        <f>OtherTourDestination!E40</f>
        <v>-0.91046169190000004</v>
      </c>
      <c r="Q32" s="337">
        <f t="shared" si="0"/>
        <v>-0.91046169190000004</v>
      </c>
    </row>
    <row r="33" spans="2:18" x14ac:dyDescent="0.45">
      <c r="B33" s="346">
        <f>B23</f>
        <v>37</v>
      </c>
      <c r="C33" s="302" t="s">
        <v>48</v>
      </c>
      <c r="D33" s="378">
        <f>K12</f>
        <v>-1.6056541882678899</v>
      </c>
      <c r="M33" s="296" t="str">
        <f>VLOOKUP(N33,Coeff_Descr!$A:$D,3,FALSE)</f>
        <v>PERSBUS/MED</v>
      </c>
      <c r="N33" s="296">
        <f>OtherTourDestination!B41</f>
        <v>31</v>
      </c>
      <c r="O33" s="296" t="str">
        <f>OtherTourDestination!C41</f>
        <v>Beta00031</v>
      </c>
      <c r="P33" s="298">
        <f>OtherTourDestination!E41</f>
        <v>5.7553461640599997E-2</v>
      </c>
      <c r="Q33" s="337">
        <f t="shared" si="0"/>
        <v>5.7553461640599997E-2</v>
      </c>
    </row>
    <row r="34" spans="2:18" x14ac:dyDescent="0.45">
      <c r="B34" s="346">
        <f t="shared" ref="B34:B36" si="6">B24</f>
        <v>38</v>
      </c>
      <c r="C34" s="305" t="s">
        <v>51</v>
      </c>
      <c r="D34" s="379">
        <f t="shared" ref="D34:D36" si="7">K13</f>
        <v>1.3914779892284472</v>
      </c>
      <c r="M34" s="296" t="str">
        <f>VLOOKUP(N34,Coeff_Descr!$A:$D,3,FALSE)</f>
        <v>PERSBUS/MED</v>
      </c>
      <c r="N34" s="296">
        <f>OtherTourDestination!B42</f>
        <v>32</v>
      </c>
      <c r="O34" s="296" t="str">
        <f>OtherTourDestination!C42</f>
        <v>Beta00032</v>
      </c>
      <c r="P34" s="298">
        <f>OtherTourDestination!E42</f>
        <v>0.237798002151</v>
      </c>
      <c r="Q34" s="337">
        <f t="shared" si="0"/>
        <v>0.237798002151</v>
      </c>
    </row>
    <row r="35" spans="2:18" x14ac:dyDescent="0.45">
      <c r="B35" s="346">
        <f t="shared" si="6"/>
        <v>39</v>
      </c>
      <c r="C35" s="305" t="s">
        <v>54</v>
      </c>
      <c r="D35" s="379">
        <f t="shared" si="7"/>
        <v>2.1267657507677664</v>
      </c>
      <c r="G35" s="329"/>
      <c r="H35" s="329"/>
      <c r="I35" s="329"/>
      <c r="J35" s="329"/>
      <c r="K35" s="329"/>
      <c r="M35" s="296" t="str">
        <f>VLOOKUP(N35,Coeff_Descr!$A:$D,3,FALSE)</f>
        <v>PERSBUS/MED</v>
      </c>
      <c r="N35" s="296">
        <f>OtherTourDestination!B43</f>
        <v>33</v>
      </c>
      <c r="O35" s="296" t="str">
        <f>OtherTourDestination!C43</f>
        <v>Beta00033</v>
      </c>
      <c r="P35" s="298">
        <f>OtherTourDestination!E43</f>
        <v>0</v>
      </c>
      <c r="Q35" s="337">
        <f t="shared" si="0"/>
        <v>0</v>
      </c>
    </row>
    <row r="36" spans="2:18" ht="14.65" thickBot="1" x14ac:dyDescent="0.5">
      <c r="B36" s="348">
        <f t="shared" si="6"/>
        <v>40</v>
      </c>
      <c r="C36" s="325" t="s">
        <v>57</v>
      </c>
      <c r="D36" s="326">
        <f t="shared" si="7"/>
        <v>1.52945755606092</v>
      </c>
      <c r="G36" s="330"/>
      <c r="H36" s="330"/>
      <c r="I36" s="330"/>
      <c r="J36" s="330"/>
      <c r="K36" s="330"/>
      <c r="M36" s="296" t="str">
        <f>VLOOKUP(N36,Coeff_Descr!$A:$D,3,FALSE)</f>
        <v>PERSBUS/MED</v>
      </c>
      <c r="N36" s="296">
        <f>OtherTourDestination!B44</f>
        <v>34</v>
      </c>
      <c r="O36" s="296" t="str">
        <f>OtherTourDestination!C44</f>
        <v>Beta00034</v>
      </c>
      <c r="P36" s="298">
        <f>OtherTourDestination!E44</f>
        <v>0</v>
      </c>
      <c r="Q36" s="337">
        <f t="shared" si="0"/>
        <v>0</v>
      </c>
    </row>
    <row r="37" spans="2:18" ht="14.65" thickTop="1" x14ac:dyDescent="0.45">
      <c r="C37" s="321"/>
      <c r="D37" s="324"/>
      <c r="M37" s="296" t="str">
        <f>VLOOKUP(N37,Coeff_Descr!$A:$D,3,FALSE)</f>
        <v>PERSBUS/MED</v>
      </c>
      <c r="N37" s="296">
        <f>OtherTourDestination!B45</f>
        <v>35</v>
      </c>
      <c r="O37" s="296" t="str">
        <f>OtherTourDestination!C45</f>
        <v>Beta00035</v>
      </c>
      <c r="P37" s="298">
        <f>OtherTourDestination!E45</f>
        <v>0</v>
      </c>
      <c r="Q37" s="337">
        <f t="shared" si="0"/>
        <v>0</v>
      </c>
    </row>
    <row r="38" spans="2:18" x14ac:dyDescent="0.45">
      <c r="C38" s="321"/>
      <c r="D38" s="324"/>
      <c r="M38" s="296" t="str">
        <f>VLOOKUP(N38,Coeff_Descr!$A:$D,3,FALSE)</f>
        <v>SHOP</v>
      </c>
      <c r="N38" s="296">
        <f>OtherTourDestination!B46</f>
        <v>36</v>
      </c>
      <c r="O38" s="296" t="str">
        <f>OtherTourDestination!C46</f>
        <v>Beta00036</v>
      </c>
      <c r="P38" s="298">
        <f>OtherTourDestination!E46</f>
        <v>0.61259135262599995</v>
      </c>
      <c r="Q38" s="337">
        <f t="shared" si="0"/>
        <v>0.61259135262599995</v>
      </c>
    </row>
    <row r="39" spans="2:18" x14ac:dyDescent="0.45">
      <c r="C39" s="320" t="s">
        <v>83</v>
      </c>
      <c r="D39" s="331"/>
      <c r="M39" s="296" t="str">
        <f>VLOOKUP(N39,Coeff_Descr!$A:$D,3,FALSE)</f>
        <v>SHOP</v>
      </c>
      <c r="N39" s="338">
        <f>OtherTourDestination!B47</f>
        <v>37</v>
      </c>
      <c r="O39" s="338" t="str">
        <f>OtherTourDestination!C47</f>
        <v>Beta00037</v>
      </c>
      <c r="P39" s="339">
        <f>OtherTourDestination!E47</f>
        <v>-20.810228388700001</v>
      </c>
      <c r="Q39" s="340">
        <f t="shared" si="0"/>
        <v>-22.415882576967892</v>
      </c>
      <c r="R39" s="296" t="str">
        <f>VLOOKUP(N39,Coeff_Descr!$A$2:$E$104,4,FALSE)</f>
        <v>distanceFromOrigin4</v>
      </c>
    </row>
    <row r="40" spans="2:18" x14ac:dyDescent="0.45">
      <c r="C40" s="320" t="s">
        <v>126</v>
      </c>
      <c r="D40" s="331"/>
      <c r="M40" s="296" t="str">
        <f>VLOOKUP(N40,Coeff_Descr!$A:$D,3,FALSE)</f>
        <v>SHOP</v>
      </c>
      <c r="N40" s="338">
        <f>OtherTourDestination!B48</f>
        <v>38</v>
      </c>
      <c r="O40" s="338" t="str">
        <f>OtherTourDestination!C48</f>
        <v>Beta00038</v>
      </c>
      <c r="P40" s="339">
        <f>OtherTourDestination!E48</f>
        <v>-7.1836373472300004</v>
      </c>
      <c r="Q40" s="340">
        <f t="shared" si="0"/>
        <v>-5.7921593580015536</v>
      </c>
      <c r="R40" s="296" t="str">
        <f>VLOOKUP(N40,Coeff_Descr!$A$2:$E$104,4,FALSE)</f>
        <v>distanceFromOrigin8</v>
      </c>
    </row>
    <row r="41" spans="2:18" ht="14.65" thickBot="1" x14ac:dyDescent="0.5">
      <c r="B41" s="349"/>
      <c r="C41" s="321"/>
      <c r="D41" s="324"/>
      <c r="M41" s="296" t="str">
        <f>VLOOKUP(N41,Coeff_Descr!$A:$D,3,FALSE)</f>
        <v>SHOP</v>
      </c>
      <c r="N41" s="338">
        <f>OtherTourDestination!B49</f>
        <v>39</v>
      </c>
      <c r="O41" s="338" t="str">
        <f>OtherTourDestination!C49</f>
        <v>Beta00039</v>
      </c>
      <c r="P41" s="339">
        <f>OtherTourDestination!E49</f>
        <v>-3.6600975390500001</v>
      </c>
      <c r="Q41" s="340">
        <f t="shared" si="0"/>
        <v>-1.5333317882822337</v>
      </c>
      <c r="R41" s="296" t="str">
        <f>VLOOKUP(N41,Coeff_Descr!$A$2:$E$104,4,FALSE)</f>
        <v>distanceFromOrigin9</v>
      </c>
    </row>
    <row r="42" spans="2:18" x14ac:dyDescent="0.45">
      <c r="B42" s="345" t="s">
        <v>255</v>
      </c>
      <c r="C42" s="322" t="s">
        <v>92</v>
      </c>
      <c r="D42" s="332"/>
      <c r="M42" s="296" t="str">
        <f>VLOOKUP(N42,Coeff_Descr!$A:$D,3,FALSE)</f>
        <v>SHOP</v>
      </c>
      <c r="N42" s="338">
        <f>OtherTourDestination!B50</f>
        <v>40</v>
      </c>
      <c r="O42" s="338" t="str">
        <f>OtherTourDestination!C50</f>
        <v>Beta00040</v>
      </c>
      <c r="P42" s="339">
        <f>OtherTourDestination!E50</f>
        <v>-1.3605457273599999</v>
      </c>
      <c r="Q42" s="340">
        <f t="shared" si="0"/>
        <v>0.16891182870092014</v>
      </c>
      <c r="R42" s="296" t="str">
        <f>VLOOKUP(N42,Coeff_Descr!$A$2:$E$104,4,FALSE)</f>
        <v>distanceFromOrigin3</v>
      </c>
    </row>
    <row r="43" spans="2:18" x14ac:dyDescent="0.45">
      <c r="B43" s="346">
        <f>B33</f>
        <v>37</v>
      </c>
      <c r="C43" s="302" t="s">
        <v>48</v>
      </c>
      <c r="D43" s="380">
        <f>D23+D33</f>
        <v>-22.415882576967892</v>
      </c>
      <c r="M43" s="296" t="str">
        <f>VLOOKUP(N43,Coeff_Descr!$A:$D,3,FALSE)</f>
        <v>SHOP</v>
      </c>
      <c r="N43" s="296">
        <f>OtherTourDestination!B51</f>
        <v>41</v>
      </c>
      <c r="O43" s="296" t="str">
        <f>OtherTourDestination!C51</f>
        <v>Beta00041</v>
      </c>
      <c r="P43" s="298">
        <f>OtherTourDestination!E51</f>
        <v>-0.22141031751900001</v>
      </c>
      <c r="Q43" s="337">
        <f t="shared" si="0"/>
        <v>-0.22141031751900001</v>
      </c>
    </row>
    <row r="44" spans="2:18" x14ac:dyDescent="0.45">
      <c r="B44" s="346">
        <f t="shared" ref="B44:B46" si="8">B34</f>
        <v>38</v>
      </c>
      <c r="C44" s="305" t="s">
        <v>51</v>
      </c>
      <c r="D44" s="380">
        <f t="shared" ref="D44:D46" si="9">D24+D34</f>
        <v>-5.7921593580015536</v>
      </c>
      <c r="M44" s="296" t="str">
        <f>VLOOKUP(N44,Coeff_Descr!$A:$D,3,FALSE)</f>
        <v>SHOP</v>
      </c>
      <c r="N44" s="296">
        <f>OtherTourDestination!B52</f>
        <v>42</v>
      </c>
      <c r="O44" s="296" t="str">
        <f>OtherTourDestination!C52</f>
        <v>Beta00042</v>
      </c>
      <c r="P44" s="298">
        <f>OtherTourDestination!E52</f>
        <v>0.64228876129599999</v>
      </c>
      <c r="Q44" s="337">
        <f t="shared" si="0"/>
        <v>0.64228876129599999</v>
      </c>
    </row>
    <row r="45" spans="2:18" x14ac:dyDescent="0.45">
      <c r="B45" s="346">
        <f t="shared" si="8"/>
        <v>39</v>
      </c>
      <c r="C45" s="305" t="s">
        <v>54</v>
      </c>
      <c r="D45" s="380">
        <f t="shared" si="9"/>
        <v>-1.5333317882822337</v>
      </c>
      <c r="M45" s="296" t="str">
        <f>VLOOKUP(N45,Coeff_Descr!$A:$D,3,FALSE)</f>
        <v>MEAL</v>
      </c>
      <c r="N45" s="296">
        <f>OtherTourDestination!B53</f>
        <v>43</v>
      </c>
      <c r="O45" s="296" t="str">
        <f>OtherTourDestination!C53</f>
        <v>Beta00043</v>
      </c>
      <c r="P45" s="298">
        <f>OtherTourDestination!E53</f>
        <v>0.74588429254199995</v>
      </c>
      <c r="Q45" s="337">
        <f t="shared" si="0"/>
        <v>0.74588429254199995</v>
      </c>
    </row>
    <row r="46" spans="2:18" ht="14.65" thickBot="1" x14ac:dyDescent="0.5">
      <c r="B46" s="348">
        <f t="shared" si="8"/>
        <v>40</v>
      </c>
      <c r="C46" s="325" t="s">
        <v>57</v>
      </c>
      <c r="D46" s="381">
        <f t="shared" si="9"/>
        <v>0.16891182870092014</v>
      </c>
      <c r="M46" s="296" t="str">
        <f>VLOOKUP(N46,Coeff_Descr!$A:$D,3,FALSE)</f>
        <v>MEAL</v>
      </c>
      <c r="N46" s="296">
        <f>OtherTourDestination!B54</f>
        <v>44</v>
      </c>
      <c r="O46" s="296" t="str">
        <f>OtherTourDestination!C54</f>
        <v>Beta00044</v>
      </c>
      <c r="P46" s="298">
        <f>OtherTourDestination!E54</f>
        <v>-32.156094092099998</v>
      </c>
      <c r="Q46" s="337">
        <f t="shared" si="0"/>
        <v>-32.156094092099998</v>
      </c>
    </row>
    <row r="47" spans="2:18" ht="14.65" thickTop="1" x14ac:dyDescent="0.45">
      <c r="M47" s="296" t="str">
        <f>VLOOKUP(N47,Coeff_Descr!$A:$D,3,FALSE)</f>
        <v>MEAL</v>
      </c>
      <c r="N47" s="296">
        <f>OtherTourDestination!B55</f>
        <v>45</v>
      </c>
      <c r="O47" s="296" t="str">
        <f>OtherTourDestination!C55</f>
        <v>Beta00045</v>
      </c>
      <c r="P47" s="298">
        <f>OtherTourDestination!E55</f>
        <v>-7.5551873767200002</v>
      </c>
      <c r="Q47" s="337">
        <f t="shared" si="0"/>
        <v>-7.5551873767200002</v>
      </c>
    </row>
    <row r="48" spans="2:18" x14ac:dyDescent="0.45">
      <c r="M48" s="296" t="str">
        <f>VLOOKUP(N48,Coeff_Descr!$A:$D,3,FALSE)</f>
        <v>MEAL</v>
      </c>
      <c r="N48" s="296">
        <f>OtherTourDestination!B56</f>
        <v>46</v>
      </c>
      <c r="O48" s="296" t="str">
        <f>OtherTourDestination!C56</f>
        <v>Beta00046</v>
      </c>
      <c r="P48" s="298">
        <f>OtherTourDestination!E56</f>
        <v>-3.4784098231399998</v>
      </c>
      <c r="Q48" s="337">
        <f t="shared" si="0"/>
        <v>-3.4784098231399998</v>
      </c>
    </row>
    <row r="49" spans="13:17" x14ac:dyDescent="0.45">
      <c r="M49" s="296" t="str">
        <f>VLOOKUP(N49,Coeff_Descr!$A:$D,3,FALSE)</f>
        <v>MEAL</v>
      </c>
      <c r="N49" s="296">
        <f>OtherTourDestination!B57</f>
        <v>47</v>
      </c>
      <c r="O49" s="296" t="str">
        <f>OtherTourDestination!C57</f>
        <v>Beta00047</v>
      </c>
      <c r="P49" s="298">
        <f>OtherTourDestination!E57</f>
        <v>-0.79171784712299997</v>
      </c>
      <c r="Q49" s="337">
        <f t="shared" si="0"/>
        <v>-0.79171784712299997</v>
      </c>
    </row>
    <row r="50" spans="13:17" x14ac:dyDescent="0.45">
      <c r="M50" s="296" t="str">
        <f>VLOOKUP(N50,Coeff_Descr!$A:$D,3,FALSE)</f>
        <v>MEAL</v>
      </c>
      <c r="N50" s="296">
        <f>OtherTourDestination!B58</f>
        <v>48</v>
      </c>
      <c r="O50" s="296" t="str">
        <f>OtherTourDestination!C58</f>
        <v>Beta00048</v>
      </c>
      <c r="P50" s="298">
        <f>OtherTourDestination!E58</f>
        <v>0.65760260093900003</v>
      </c>
      <c r="Q50" s="337">
        <f t="shared" si="0"/>
        <v>0.65760260093900003</v>
      </c>
    </row>
    <row r="51" spans="13:17" x14ac:dyDescent="0.45">
      <c r="M51" s="296" t="str">
        <f>VLOOKUP(N51,Coeff_Descr!$A:$D,3,FALSE)</f>
        <v>SOCREC</v>
      </c>
      <c r="N51" s="296">
        <f>OtherTourDestination!B59</f>
        <v>49</v>
      </c>
      <c r="O51" s="296" t="str">
        <f>OtherTourDestination!C59</f>
        <v>Beta00049</v>
      </c>
      <c r="P51" s="298">
        <f>OtherTourDestination!E59</f>
        <v>0.201576719663</v>
      </c>
      <c r="Q51" s="337">
        <f t="shared" si="0"/>
        <v>0.201576719663</v>
      </c>
    </row>
    <row r="52" spans="13:17" x14ac:dyDescent="0.45">
      <c r="M52" s="296" t="str">
        <f>VLOOKUP(N52,Coeff_Descr!$A:$D,3,FALSE)</f>
        <v>SOCREC</v>
      </c>
      <c r="N52" s="333">
        <f>OtherTourDestination!B60</f>
        <v>50</v>
      </c>
      <c r="O52" s="333" t="str">
        <f>OtherTourDestination!C60</f>
        <v>Beta00050</v>
      </c>
      <c r="P52" s="375">
        <f>OtherTourDestination!E60</f>
        <v>-28.552058518999999</v>
      </c>
      <c r="Q52" s="337">
        <f t="shared" si="0"/>
        <v>-28.552058518999999</v>
      </c>
    </row>
    <row r="53" spans="13:17" x14ac:dyDescent="0.45">
      <c r="M53" s="296" t="str">
        <f>VLOOKUP(N53,Coeff_Descr!$A:$D,3,FALSE)</f>
        <v>SOCREC</v>
      </c>
      <c r="N53" s="333">
        <f>OtherTourDestination!B61</f>
        <v>51</v>
      </c>
      <c r="O53" s="333" t="str">
        <f>OtherTourDestination!C61</f>
        <v>Beta00051</v>
      </c>
      <c r="P53" s="375">
        <f>OtherTourDestination!E61</f>
        <v>-7.25833529236</v>
      </c>
      <c r="Q53" s="337">
        <f t="shared" si="0"/>
        <v>-7.25833529236</v>
      </c>
    </row>
    <row r="54" spans="13:17" x14ac:dyDescent="0.45">
      <c r="M54" s="296" t="str">
        <f>VLOOKUP(N54,Coeff_Descr!$A:$D,3,FALSE)</f>
        <v>SOCREC</v>
      </c>
      <c r="N54" s="333">
        <f>OtherTourDestination!B62</f>
        <v>52</v>
      </c>
      <c r="O54" s="333" t="str">
        <f>OtherTourDestination!C62</f>
        <v>Beta00052</v>
      </c>
      <c r="P54" s="375">
        <f>OtherTourDestination!E62</f>
        <v>-2.64524710889</v>
      </c>
      <c r="Q54" s="337">
        <f t="shared" si="0"/>
        <v>-2.64524710889</v>
      </c>
    </row>
    <row r="55" spans="13:17" x14ac:dyDescent="0.45">
      <c r="M55" s="296" t="str">
        <f>VLOOKUP(N55,Coeff_Descr!$A:$D,3,FALSE)</f>
        <v>SOCREC</v>
      </c>
      <c r="N55" s="333">
        <f>OtherTourDestination!B63</f>
        <v>53</v>
      </c>
      <c r="O55" s="333" t="str">
        <f>OtherTourDestination!C63</f>
        <v>Beta00053</v>
      </c>
      <c r="P55" s="375">
        <f>OtherTourDestination!E63</f>
        <v>-0.76461618005800003</v>
      </c>
      <c r="Q55" s="337">
        <f t="shared" si="0"/>
        <v>-0.76461618005800003</v>
      </c>
    </row>
    <row r="56" spans="13:17" x14ac:dyDescent="0.45">
      <c r="M56" s="296" t="str">
        <f>VLOOKUP(N56,Coeff_Descr!$A:$D,3,FALSE)</f>
        <v>SOCREC</v>
      </c>
      <c r="N56" s="296">
        <f>OtherTourDestination!B64</f>
        <v>54</v>
      </c>
      <c r="O56" s="296" t="str">
        <f>OtherTourDestination!C64</f>
        <v>Beta00054</v>
      </c>
      <c r="P56" s="298">
        <f>OtherTourDestination!E64</f>
        <v>0.20818008309700001</v>
      </c>
      <c r="Q56" s="337">
        <f t="shared" si="0"/>
        <v>0.20818008309700001</v>
      </c>
    </row>
    <row r="57" spans="13:17" x14ac:dyDescent="0.45">
      <c r="M57" s="296" t="str">
        <f>VLOOKUP(N57,Coeff_Descr!$A:$D,3,FALSE)</f>
        <v>SOCREC</v>
      </c>
      <c r="N57" s="296">
        <f>OtherTourDestination!B65</f>
        <v>55</v>
      </c>
      <c r="O57" s="296" t="str">
        <f>OtherTourDestination!C65</f>
        <v>Beta00055</v>
      </c>
      <c r="P57" s="298">
        <f>OtherTourDestination!E65</f>
        <v>0.42522231451499998</v>
      </c>
      <c r="Q57" s="337">
        <f t="shared" si="0"/>
        <v>0.42522231451499998</v>
      </c>
    </row>
    <row r="58" spans="13:17" x14ac:dyDescent="0.45">
      <c r="M58" s="296" t="str">
        <f>VLOOKUP(N58,Coeff_Descr!$A:$D,3,FALSE)</f>
        <v>SOCREC</v>
      </c>
      <c r="N58" s="296">
        <f>OtherTourDestination!B66</f>
        <v>56</v>
      </c>
      <c r="O58" s="296" t="str">
        <f>OtherTourDestination!C66</f>
        <v>Beta00056</v>
      </c>
      <c r="P58" s="298">
        <f>OtherTourDestination!E66</f>
        <v>-0.743588483327</v>
      </c>
      <c r="Q58" s="337">
        <f t="shared" si="0"/>
        <v>-0.743588483327</v>
      </c>
    </row>
    <row r="59" spans="13:17" x14ac:dyDescent="0.45">
      <c r="M59" s="296" t="str">
        <f>VLOOKUP(N59,Coeff_Descr!$A:$D,3,FALSE)</f>
        <v>SOCREC</v>
      </c>
      <c r="N59" s="296">
        <f>OtherTourDestination!B67</f>
        <v>57</v>
      </c>
      <c r="O59" s="296" t="str">
        <f>OtherTourDestination!C67</f>
        <v>Beta00057</v>
      </c>
      <c r="P59" s="298">
        <f>OtherTourDestination!E67</f>
        <v>6.2100000000000002E-2</v>
      </c>
      <c r="Q59" s="337">
        <f t="shared" si="0"/>
        <v>6.2100000000000002E-2</v>
      </c>
    </row>
    <row r="60" spans="13:17" x14ac:dyDescent="0.45">
      <c r="M60" s="296">
        <f>VLOOKUP(N60,Coeff_Descr!$A:$D,3,FALSE)</f>
        <v>0</v>
      </c>
      <c r="N60" s="296">
        <f>OtherTourDestination!B68</f>
        <v>118</v>
      </c>
      <c r="O60" s="296" t="str">
        <f>OtherTourDestination!C68</f>
        <v>Beta00118</v>
      </c>
      <c r="P60" s="298">
        <f>OtherTourDestination!E68</f>
        <v>-3</v>
      </c>
      <c r="Q60" s="337">
        <f t="shared" si="0"/>
        <v>-3</v>
      </c>
    </row>
    <row r="61" spans="13:17" x14ac:dyDescent="0.45">
      <c r="M61" s="296" t="str">
        <f>VLOOKUP(N61,Coeff_Descr!$A:$D,3,FALSE)</f>
        <v>ESCORT</v>
      </c>
      <c r="N61" s="296">
        <f>OtherTourDestination!B69</f>
        <v>70</v>
      </c>
      <c r="O61" s="296" t="str">
        <f>OtherTourDestination!C69</f>
        <v>LSM_0070</v>
      </c>
      <c r="P61" s="298">
        <f>OtherTourDestination!E69</f>
        <v>0.29394695214400002</v>
      </c>
      <c r="Q61" s="337">
        <f t="shared" si="0"/>
        <v>0.29394695214400002</v>
      </c>
    </row>
    <row r="62" spans="13:17" x14ac:dyDescent="0.45">
      <c r="M62" s="296" t="str">
        <f>VLOOKUP(N62,Coeff_Descr!$A:$D,3,FALSE)</f>
        <v>ESCORT</v>
      </c>
      <c r="N62" s="296">
        <f>OtherTourDestination!B70</f>
        <v>71</v>
      </c>
      <c r="O62" s="296" t="str">
        <f>OtherTourDestination!C70</f>
        <v>Gamma071</v>
      </c>
      <c r="P62" s="298">
        <f>OtherTourDestination!E70</f>
        <v>0</v>
      </c>
      <c r="Q62" s="337">
        <f t="shared" si="0"/>
        <v>0</v>
      </c>
    </row>
    <row r="63" spans="13:17" x14ac:dyDescent="0.45">
      <c r="M63" s="296" t="str">
        <f>VLOOKUP(N63,Coeff_Descr!$A:$D,3,FALSE)</f>
        <v>ESCORT</v>
      </c>
      <c r="N63" s="296">
        <f>OtherTourDestination!B71</f>
        <v>72</v>
      </c>
      <c r="O63" s="296" t="str">
        <f>OtherTourDestination!C71</f>
        <v>Gamma072</v>
      </c>
      <c r="P63" s="298">
        <f>OtherTourDestination!E71</f>
        <v>-6.2798471793299999</v>
      </c>
      <c r="Q63" s="337">
        <f t="shared" si="0"/>
        <v>-6.2798471793299999</v>
      </c>
    </row>
    <row r="64" spans="13:17" x14ac:dyDescent="0.45">
      <c r="M64" s="296" t="str">
        <f>VLOOKUP(N64,Coeff_Descr!$A:$D,3,FALSE)</f>
        <v>ESCORT</v>
      </c>
      <c r="N64" s="296">
        <f>OtherTourDestination!B72</f>
        <v>73</v>
      </c>
      <c r="O64" s="296" t="str">
        <f>OtherTourDestination!C72</f>
        <v>Gamma073</v>
      </c>
      <c r="P64" s="298">
        <f>OtherTourDestination!E72</f>
        <v>3.2962256518299999</v>
      </c>
      <c r="Q64" s="337">
        <f t="shared" si="0"/>
        <v>3.2962256518299999</v>
      </c>
    </row>
    <row r="65" spans="13:17" x14ac:dyDescent="0.45">
      <c r="M65" s="296" t="str">
        <f>VLOOKUP(N65,Coeff_Descr!$A:$D,3,FALSE)</f>
        <v>ESCORT</v>
      </c>
      <c r="N65" s="296">
        <f>OtherTourDestination!B73</f>
        <v>74</v>
      </c>
      <c r="O65" s="296" t="str">
        <f>OtherTourDestination!C73</f>
        <v>Gamma074</v>
      </c>
      <c r="P65" s="298">
        <f>OtherTourDestination!E73</f>
        <v>-5.4150639062700003</v>
      </c>
      <c r="Q65" s="337">
        <f t="shared" si="0"/>
        <v>-5.4150639062700003</v>
      </c>
    </row>
    <row r="66" spans="13:17" x14ac:dyDescent="0.45">
      <c r="M66" s="296" t="str">
        <f>VLOOKUP(N66,Coeff_Descr!$A:$D,3,FALSE)</f>
        <v>ESCORT</v>
      </c>
      <c r="N66" s="296">
        <f>OtherTourDestination!B74</f>
        <v>75</v>
      </c>
      <c r="O66" s="296" t="str">
        <f>OtherTourDestination!C74</f>
        <v>Gamma075</v>
      </c>
      <c r="P66" s="298">
        <f>OtherTourDestination!E74</f>
        <v>-5.94820877094</v>
      </c>
      <c r="Q66" s="337">
        <f t="shared" si="0"/>
        <v>-5.94820877094</v>
      </c>
    </row>
    <row r="67" spans="13:17" x14ac:dyDescent="0.45">
      <c r="M67" s="296" t="str">
        <f>VLOOKUP(N67,Coeff_Descr!$A:$D,3,FALSE)</f>
        <v>ESCORT</v>
      </c>
      <c r="N67" s="296">
        <f>OtherTourDestination!B75</f>
        <v>76</v>
      </c>
      <c r="O67" s="296" t="str">
        <f>OtherTourDestination!C75</f>
        <v>Gamma076</v>
      </c>
      <c r="P67" s="298">
        <f>OtherTourDestination!E75</f>
        <v>-4.8479831726300002</v>
      </c>
      <c r="Q67" s="337">
        <f t="shared" si="0"/>
        <v>-4.8479831726300002</v>
      </c>
    </row>
    <row r="68" spans="13:17" x14ac:dyDescent="0.45">
      <c r="M68" s="296" t="str">
        <f>VLOOKUP(N68,Coeff_Descr!$A:$D,3,FALSE)</f>
        <v>ESCORT</v>
      </c>
      <c r="N68" s="296">
        <f>OtherTourDestination!B76</f>
        <v>77</v>
      </c>
      <c r="O68" s="296" t="str">
        <f>OtherTourDestination!C76</f>
        <v>Gamma077</v>
      </c>
      <c r="P68" s="298">
        <f>OtherTourDestination!E76</f>
        <v>-5.4883496585599998</v>
      </c>
      <c r="Q68" s="337">
        <f t="shared" si="0"/>
        <v>-5.4883496585599998</v>
      </c>
    </row>
    <row r="69" spans="13:17" x14ac:dyDescent="0.45">
      <c r="M69" s="296" t="str">
        <f>VLOOKUP(N69,Coeff_Descr!$A:$D,3,FALSE)</f>
        <v>ESCORT</v>
      </c>
      <c r="N69" s="296">
        <f>OtherTourDestination!B77</f>
        <v>78</v>
      </c>
      <c r="O69" s="296" t="str">
        <f>OtherTourDestination!C77</f>
        <v>Gamma078</v>
      </c>
      <c r="P69" s="298">
        <f>OtherTourDestination!E77</f>
        <v>-6.9308352438999998</v>
      </c>
      <c r="Q69" s="337">
        <f t="shared" ref="Q69:Q104" si="10">_xlfn.IFNA(VLOOKUP(N69,$B$43:$D$46,3,FALSE),P69)</f>
        <v>-6.9308352438999998</v>
      </c>
    </row>
    <row r="70" spans="13:17" x14ac:dyDescent="0.45">
      <c r="M70" s="296" t="str">
        <f>VLOOKUP(N70,Coeff_Descr!$A:$D,3,FALSE)</f>
        <v>ESCORT</v>
      </c>
      <c r="N70" s="296">
        <f>OtherTourDestination!B78</f>
        <v>79</v>
      </c>
      <c r="O70" s="296" t="str">
        <f>OtherTourDestination!C78</f>
        <v>Gamma079</v>
      </c>
      <c r="P70" s="298">
        <f>OtherTourDestination!E78</f>
        <v>-22.404820174200001</v>
      </c>
      <c r="Q70" s="337">
        <f t="shared" si="10"/>
        <v>-22.404820174200001</v>
      </c>
    </row>
    <row r="71" spans="13:17" x14ac:dyDescent="0.45">
      <c r="M71" s="296" t="str">
        <f>VLOOKUP(N71,Coeff_Descr!$A:$D,3,FALSE)</f>
        <v>ESCORT</v>
      </c>
      <c r="N71" s="296">
        <f>OtherTourDestination!B79</f>
        <v>80</v>
      </c>
      <c r="O71" s="296" t="str">
        <f>OtherTourDestination!C79</f>
        <v>Gamma080</v>
      </c>
      <c r="P71" s="298">
        <f>OtherTourDestination!E79</f>
        <v>-2.8929233973800002</v>
      </c>
      <c r="Q71" s="337">
        <f t="shared" si="10"/>
        <v>-2.8929233973800002</v>
      </c>
    </row>
    <row r="72" spans="13:17" x14ac:dyDescent="0.45">
      <c r="M72" s="296" t="str">
        <f>VLOOKUP(N72,Coeff_Descr!$A:$D,3,FALSE)</f>
        <v>ESCORT</v>
      </c>
      <c r="N72" s="296">
        <f>OtherTourDestination!B80</f>
        <v>81</v>
      </c>
      <c r="O72" s="296" t="str">
        <f>OtherTourDestination!C80</f>
        <v>Gamma081</v>
      </c>
      <c r="P72" s="298">
        <f>OtherTourDestination!E80</f>
        <v>-2.5610724948299999</v>
      </c>
      <c r="Q72" s="337">
        <f t="shared" si="10"/>
        <v>-2.5610724948299999</v>
      </c>
    </row>
    <row r="73" spans="13:17" x14ac:dyDescent="0.45">
      <c r="M73" s="296" t="str">
        <f>VLOOKUP(N73,Coeff_Descr!$A:$D,3,FALSE)</f>
        <v>ESCORT</v>
      </c>
      <c r="N73" s="296">
        <f>OtherTourDestination!B81</f>
        <v>82</v>
      </c>
      <c r="O73" s="296" t="str">
        <f>OtherTourDestination!C81</f>
        <v>Gamma082</v>
      </c>
      <c r="P73" s="298">
        <f>OtherTourDestination!E81</f>
        <v>-6.7871010869299999</v>
      </c>
      <c r="Q73" s="337">
        <f t="shared" si="10"/>
        <v>-6.7871010869299999</v>
      </c>
    </row>
    <row r="74" spans="13:17" x14ac:dyDescent="0.45">
      <c r="M74" s="296" t="str">
        <f>VLOOKUP(N74,Coeff_Descr!$A:$D,3,FALSE)</f>
        <v>ESCORT</v>
      </c>
      <c r="N74" s="296">
        <f>OtherTourDestination!B82</f>
        <v>83</v>
      </c>
      <c r="O74" s="296" t="str">
        <f>OtherTourDestination!C82</f>
        <v>Gamma083</v>
      </c>
      <c r="P74" s="298">
        <f>OtherTourDestination!E82</f>
        <v>-7.1983706387300002</v>
      </c>
      <c r="Q74" s="337">
        <f t="shared" si="10"/>
        <v>-7.1983706387300002</v>
      </c>
    </row>
    <row r="75" spans="13:17" x14ac:dyDescent="0.45">
      <c r="M75" s="296" t="str">
        <f>VLOOKUP(N75,Coeff_Descr!$A:$D,3,FALSE)</f>
        <v>ESCORT</v>
      </c>
      <c r="N75" s="296">
        <f>OtherTourDestination!B83</f>
        <v>84</v>
      </c>
      <c r="O75" s="296" t="str">
        <f>OtherTourDestination!C83</f>
        <v>Gamma084</v>
      </c>
      <c r="P75" s="298">
        <f>OtherTourDestination!E83</f>
        <v>-6.5584328775399996</v>
      </c>
      <c r="Q75" s="337">
        <f t="shared" si="10"/>
        <v>-6.5584328775399996</v>
      </c>
    </row>
    <row r="76" spans="13:17" x14ac:dyDescent="0.45">
      <c r="M76" s="296" t="str">
        <f>VLOOKUP(N76,Coeff_Descr!$A:$D,3,FALSE)</f>
        <v>ESCORT</v>
      </c>
      <c r="N76" s="296">
        <f>OtherTourDestination!B84</f>
        <v>85</v>
      </c>
      <c r="O76" s="296" t="str">
        <f>OtherTourDestination!C84</f>
        <v>Gamma085</v>
      </c>
      <c r="P76" s="298">
        <f>OtherTourDestination!E84</f>
        <v>-7.3832576457999997</v>
      </c>
      <c r="Q76" s="337">
        <f t="shared" si="10"/>
        <v>-7.3832576457999997</v>
      </c>
    </row>
    <row r="77" spans="13:17" x14ac:dyDescent="0.45">
      <c r="M77" s="296" t="str">
        <f>VLOOKUP(N77,Coeff_Descr!$A:$D,3,FALSE)</f>
        <v>ESCORT</v>
      </c>
      <c r="N77" s="296">
        <f>OtherTourDestination!B85</f>
        <v>86</v>
      </c>
      <c r="O77" s="296" t="str">
        <f>OtherTourDestination!C85</f>
        <v>Gamma086</v>
      </c>
      <c r="P77" s="298">
        <f>OtherTourDestination!E85</f>
        <v>-8.5452246906399996</v>
      </c>
      <c r="Q77" s="337">
        <f t="shared" si="10"/>
        <v>-8.5452246906399996</v>
      </c>
    </row>
    <row r="78" spans="13:17" x14ac:dyDescent="0.45">
      <c r="M78" s="296" t="str">
        <f>VLOOKUP(N78,Coeff_Descr!$A:$D,3,FALSE)</f>
        <v>ESCORT</v>
      </c>
      <c r="N78" s="296">
        <f>OtherTourDestination!B86</f>
        <v>87</v>
      </c>
      <c r="O78" s="296" t="str">
        <f>OtherTourDestination!C86</f>
        <v>Gamma087</v>
      </c>
      <c r="P78" s="298">
        <f>OtherTourDestination!E86</f>
        <v>-24.633851965200002</v>
      </c>
      <c r="Q78" s="337">
        <f t="shared" si="10"/>
        <v>-24.633851965200002</v>
      </c>
    </row>
    <row r="79" spans="13:17" x14ac:dyDescent="0.45">
      <c r="M79" s="296" t="str">
        <f>VLOOKUP(N79,Coeff_Descr!$A:$D,3,FALSE)</f>
        <v>ESCORT</v>
      </c>
      <c r="N79" s="296">
        <f>OtherTourDestination!B87</f>
        <v>88</v>
      </c>
      <c r="O79" s="296" t="str">
        <f>OtherTourDestination!C87</f>
        <v>Gamma088</v>
      </c>
      <c r="P79" s="298">
        <f>OtherTourDestination!E87</f>
        <v>0</v>
      </c>
      <c r="Q79" s="337">
        <f t="shared" si="10"/>
        <v>0</v>
      </c>
    </row>
    <row r="80" spans="13:17" x14ac:dyDescent="0.45">
      <c r="M80" s="296" t="str">
        <f>VLOOKUP(N80,Coeff_Descr!$A:$D,3,FALSE)</f>
        <v>PERSBUS/MED</v>
      </c>
      <c r="N80" s="296">
        <f>OtherTourDestination!B88</f>
        <v>89</v>
      </c>
      <c r="O80" s="296" t="str">
        <f>OtherTourDestination!C88</f>
        <v>Gamma089</v>
      </c>
      <c r="P80" s="298">
        <f>OtherTourDestination!E88</f>
        <v>-0.55009338373399996</v>
      </c>
      <c r="Q80" s="337">
        <f t="shared" si="10"/>
        <v>-0.55009338373399996</v>
      </c>
    </row>
    <row r="81" spans="13:17" x14ac:dyDescent="0.45">
      <c r="M81" s="296" t="str">
        <f>VLOOKUP(N81,Coeff_Descr!$A:$D,3,FALSE)</f>
        <v>PERSBUS/MED</v>
      </c>
      <c r="N81" s="296">
        <f>OtherTourDestination!B89</f>
        <v>90</v>
      </c>
      <c r="O81" s="296" t="str">
        <f>OtherTourDestination!C89</f>
        <v>Gamma090</v>
      </c>
      <c r="P81" s="298">
        <f>OtherTourDestination!E89</f>
        <v>-9.9117567037699992</v>
      </c>
      <c r="Q81" s="337">
        <f t="shared" si="10"/>
        <v>-9.9117567037699992</v>
      </c>
    </row>
    <row r="82" spans="13:17" x14ac:dyDescent="0.45">
      <c r="M82" s="296" t="str">
        <f>VLOOKUP(N82,Coeff_Descr!$A:$D,3,FALSE)</f>
        <v>PERSBUS/MED</v>
      </c>
      <c r="N82" s="296">
        <f>OtherTourDestination!B90</f>
        <v>91</v>
      </c>
      <c r="O82" s="296" t="str">
        <f>OtherTourDestination!C90</f>
        <v>Gamma091</v>
      </c>
      <c r="P82" s="298">
        <f>OtherTourDestination!E90</f>
        <v>-9.3194311560499994</v>
      </c>
      <c r="Q82" s="337">
        <f t="shared" si="10"/>
        <v>-9.3194311560499994</v>
      </c>
    </row>
    <row r="83" spans="13:17" x14ac:dyDescent="0.45">
      <c r="M83" s="296" t="str">
        <f>VLOOKUP(N83,Coeff_Descr!$A:$D,3,FALSE)</f>
        <v>PERSBUS/MED</v>
      </c>
      <c r="N83" s="296">
        <f>OtherTourDestination!B91</f>
        <v>92</v>
      </c>
      <c r="O83" s="296" t="str">
        <f>OtherTourDestination!C91</f>
        <v>Gamma092</v>
      </c>
      <c r="P83" s="298">
        <f>OtherTourDestination!E91</f>
        <v>-0.20086270196799999</v>
      </c>
      <c r="Q83" s="337">
        <f t="shared" si="10"/>
        <v>-0.20086270196799999</v>
      </c>
    </row>
    <row r="84" spans="13:17" x14ac:dyDescent="0.45">
      <c r="M84" s="296" t="str">
        <f>VLOOKUP(N84,Coeff_Descr!$A:$D,3,FALSE)</f>
        <v>PERSBUS/MED</v>
      </c>
      <c r="N84" s="296">
        <f>OtherTourDestination!B92</f>
        <v>93</v>
      </c>
      <c r="O84" s="296" t="str">
        <f>OtherTourDestination!C92</f>
        <v>Gamma093</v>
      </c>
      <c r="P84" s="298">
        <f>OtherTourDestination!E92</f>
        <v>-2.1843835309699999</v>
      </c>
      <c r="Q84" s="337">
        <f t="shared" si="10"/>
        <v>-2.1843835309699999</v>
      </c>
    </row>
    <row r="85" spans="13:17" x14ac:dyDescent="0.45">
      <c r="M85" s="296" t="str">
        <f>VLOOKUP(N85,Coeff_Descr!$A:$D,3,FALSE)</f>
        <v>PERSBUS/MED</v>
      </c>
      <c r="N85" s="296">
        <f>OtherTourDestination!B93</f>
        <v>94</v>
      </c>
      <c r="O85" s="296" t="str">
        <f>OtherTourDestination!C93</f>
        <v>Gamma094</v>
      </c>
      <c r="P85" s="298">
        <f>OtherTourDestination!E93</f>
        <v>0</v>
      </c>
      <c r="Q85" s="337">
        <f t="shared" si="10"/>
        <v>0</v>
      </c>
    </row>
    <row r="86" spans="13:17" x14ac:dyDescent="0.45">
      <c r="M86" s="296" t="str">
        <f>VLOOKUP(N86,Coeff_Descr!$A:$D,3,FALSE)</f>
        <v>PERSBUS/MED</v>
      </c>
      <c r="N86" s="296">
        <f>OtherTourDestination!B94</f>
        <v>95</v>
      </c>
      <c r="O86" s="296" t="str">
        <f>OtherTourDestination!C94</f>
        <v>Gamma095</v>
      </c>
      <c r="P86" s="298">
        <f>OtherTourDestination!E94</f>
        <v>-9.9476357147400005</v>
      </c>
      <c r="Q86" s="337">
        <f t="shared" si="10"/>
        <v>-9.9476357147400005</v>
      </c>
    </row>
    <row r="87" spans="13:17" x14ac:dyDescent="0.45">
      <c r="M87" s="296" t="str">
        <f>VLOOKUP(N87,Coeff_Descr!$A:$D,3,FALSE)</f>
        <v>PERSBUS/MED</v>
      </c>
      <c r="N87" s="296">
        <f>OtherTourDestination!B95</f>
        <v>96</v>
      </c>
      <c r="O87" s="296" t="str">
        <f>OtherTourDestination!C95</f>
        <v>Gamma096</v>
      </c>
      <c r="P87" s="298">
        <f>OtherTourDestination!E95</f>
        <v>-12.800107987600001</v>
      </c>
      <c r="Q87" s="337">
        <f t="shared" si="10"/>
        <v>-12.800107987600001</v>
      </c>
    </row>
    <row r="88" spans="13:17" x14ac:dyDescent="0.45">
      <c r="M88" s="296" t="str">
        <f>VLOOKUP(N88,Coeff_Descr!$A:$D,3,FALSE)</f>
        <v>PERSBUS/MED</v>
      </c>
      <c r="N88" s="296">
        <f>OtherTourDestination!B96</f>
        <v>97</v>
      </c>
      <c r="O88" s="296" t="str">
        <f>OtherTourDestination!C96</f>
        <v>Gamma097</v>
      </c>
      <c r="P88" s="298">
        <f>OtherTourDestination!E96</f>
        <v>-30</v>
      </c>
      <c r="Q88" s="337">
        <f t="shared" si="10"/>
        <v>-30</v>
      </c>
    </row>
    <row r="89" spans="13:17" x14ac:dyDescent="0.45">
      <c r="M89" s="296" t="str">
        <f>VLOOKUP(N89,Coeff_Descr!$A:$D,3,FALSE)</f>
        <v>SHOP</v>
      </c>
      <c r="N89" s="296">
        <f>OtherTourDestination!B97</f>
        <v>98</v>
      </c>
      <c r="O89" s="296" t="str">
        <f>OtherTourDestination!C97</f>
        <v>Gamma098</v>
      </c>
      <c r="P89" s="298">
        <f>OtherTourDestination!E97</f>
        <v>-21.699928591700001</v>
      </c>
      <c r="Q89" s="337">
        <f t="shared" si="10"/>
        <v>-21.699928591700001</v>
      </c>
    </row>
    <row r="90" spans="13:17" x14ac:dyDescent="0.45">
      <c r="M90" s="296" t="str">
        <f>VLOOKUP(N90,Coeff_Descr!$A:$D,3,FALSE)</f>
        <v>SHOP</v>
      </c>
      <c r="N90" s="296">
        <f>OtherTourDestination!B98</f>
        <v>99</v>
      </c>
      <c r="O90" s="296" t="str">
        <f>OtherTourDestination!C98</f>
        <v>Gamma099</v>
      </c>
      <c r="P90" s="298">
        <f>OtherTourDestination!E98</f>
        <v>-17.700475093400001</v>
      </c>
      <c r="Q90" s="337">
        <f t="shared" si="10"/>
        <v>-17.700475093400001</v>
      </c>
    </row>
    <row r="91" spans="13:17" x14ac:dyDescent="0.45">
      <c r="M91" s="296" t="str">
        <f>VLOOKUP(N91,Coeff_Descr!$A:$D,3,FALSE)</f>
        <v>SHOP</v>
      </c>
      <c r="N91" s="296">
        <f>OtherTourDestination!B99</f>
        <v>100</v>
      </c>
      <c r="O91" s="296" t="str">
        <f>OtherTourDestination!C99</f>
        <v>Gamma100</v>
      </c>
      <c r="P91" s="298">
        <f>OtherTourDestination!E99</f>
        <v>-0.7</v>
      </c>
      <c r="Q91" s="337">
        <f t="shared" si="10"/>
        <v>-0.7</v>
      </c>
    </row>
    <row r="92" spans="13:17" x14ac:dyDescent="0.45">
      <c r="M92" s="296" t="str">
        <f>VLOOKUP(N92,Coeff_Descr!$A:$D,3,FALSE)</f>
        <v>SHOP</v>
      </c>
      <c r="N92" s="296">
        <f>OtherTourDestination!B100</f>
        <v>101</v>
      </c>
      <c r="O92" s="296" t="str">
        <f>OtherTourDestination!C100</f>
        <v>Gamma101</v>
      </c>
      <c r="P92" s="298">
        <f>OtherTourDestination!E100</f>
        <v>-17.8758745875</v>
      </c>
      <c r="Q92" s="337">
        <f t="shared" si="10"/>
        <v>-17.8758745875</v>
      </c>
    </row>
    <row r="93" spans="13:17" x14ac:dyDescent="0.45">
      <c r="M93" s="296" t="str">
        <f>VLOOKUP(N93,Coeff_Descr!$A:$D,3,FALSE)</f>
        <v>MEAL</v>
      </c>
      <c r="N93" s="296">
        <f>OtherTourDestination!B101</f>
        <v>102</v>
      </c>
      <c r="O93" s="296" t="str">
        <f>OtherTourDestination!C101</f>
        <v>Gamma102</v>
      </c>
      <c r="P93" s="298">
        <f>OtherTourDestination!E101</f>
        <v>0</v>
      </c>
      <c r="Q93" s="337">
        <f t="shared" si="10"/>
        <v>0</v>
      </c>
    </row>
    <row r="94" spans="13:17" x14ac:dyDescent="0.45">
      <c r="M94" s="296" t="str">
        <f>VLOOKUP(N94,Coeff_Descr!$A:$D,3,FALSE)</f>
        <v>MEAL</v>
      </c>
      <c r="N94" s="296">
        <f>OtherTourDestination!B102</f>
        <v>103</v>
      </c>
      <c r="O94" s="296" t="str">
        <f>OtherTourDestination!C102</f>
        <v>Gamma103</v>
      </c>
      <c r="P94" s="298">
        <f>OtherTourDestination!E102</f>
        <v>5</v>
      </c>
      <c r="Q94" s="337">
        <f t="shared" si="10"/>
        <v>5</v>
      </c>
    </row>
    <row r="95" spans="13:17" x14ac:dyDescent="0.45">
      <c r="M95" s="296" t="str">
        <f>VLOOKUP(N95,Coeff_Descr!$A:$D,3,FALSE)</f>
        <v>MEAL</v>
      </c>
      <c r="N95" s="296">
        <f>OtherTourDestination!B103</f>
        <v>104</v>
      </c>
      <c r="O95" s="296" t="str">
        <f>OtherTourDestination!C103</f>
        <v>Gamma104</v>
      </c>
      <c r="P95" s="298">
        <f>OtherTourDestination!E103</f>
        <v>-30</v>
      </c>
      <c r="Q95" s="337">
        <f t="shared" si="10"/>
        <v>-30</v>
      </c>
    </row>
    <row r="96" spans="13:17" x14ac:dyDescent="0.45">
      <c r="M96" s="296" t="str">
        <f>VLOOKUP(N96,Coeff_Descr!$A:$D,3,FALSE)</f>
        <v>MEAL</v>
      </c>
      <c r="N96" s="296">
        <f>OtherTourDestination!B104</f>
        <v>105</v>
      </c>
      <c r="O96" s="296" t="str">
        <f>OtherTourDestination!C104</f>
        <v>Gamma105</v>
      </c>
      <c r="P96" s="298">
        <f>OtherTourDestination!E104</f>
        <v>-24.158093970700001</v>
      </c>
      <c r="Q96" s="337">
        <f t="shared" si="10"/>
        <v>-24.158093970700001</v>
      </c>
    </row>
    <row r="97" spans="13:17" x14ac:dyDescent="0.45">
      <c r="M97" s="296" t="str">
        <f>VLOOKUP(N97,Coeff_Descr!$A:$D,3,FALSE)</f>
        <v>SOCREC</v>
      </c>
      <c r="N97" s="296">
        <f>OtherTourDestination!B105</f>
        <v>106</v>
      </c>
      <c r="O97" s="296" t="str">
        <f>OtherTourDestination!C105</f>
        <v>Gamma106</v>
      </c>
      <c r="P97" s="298">
        <f>OtherTourDestination!E105</f>
        <v>-9.5803170794600003</v>
      </c>
      <c r="Q97" s="337">
        <f t="shared" si="10"/>
        <v>-9.5803170794600003</v>
      </c>
    </row>
    <row r="98" spans="13:17" x14ac:dyDescent="0.45">
      <c r="M98" s="296" t="str">
        <f>VLOOKUP(N98,Coeff_Descr!$A:$D,3,FALSE)</f>
        <v>SOCREC</v>
      </c>
      <c r="N98" s="296">
        <f>OtherTourDestination!B106</f>
        <v>107</v>
      </c>
      <c r="O98" s="296" t="str">
        <f>OtherTourDestination!C106</f>
        <v>Gamma107</v>
      </c>
      <c r="P98" s="298">
        <f>OtherTourDestination!E106</f>
        <v>0</v>
      </c>
      <c r="Q98" s="337">
        <f t="shared" si="10"/>
        <v>0</v>
      </c>
    </row>
    <row r="99" spans="13:17" x14ac:dyDescent="0.45">
      <c r="M99" s="296" t="str">
        <f>VLOOKUP(N99,Coeff_Descr!$A:$D,3,FALSE)</f>
        <v>SOCREC</v>
      </c>
      <c r="N99" s="296">
        <f>OtherTourDestination!B107</f>
        <v>108</v>
      </c>
      <c r="O99" s="296" t="str">
        <f>OtherTourDestination!C107</f>
        <v>Gamma108</v>
      </c>
      <c r="P99" s="298">
        <f>OtherTourDestination!E107</f>
        <v>-15.671349338700001</v>
      </c>
      <c r="Q99" s="337">
        <f t="shared" si="10"/>
        <v>-15.671349338700001</v>
      </c>
    </row>
    <row r="100" spans="13:17" x14ac:dyDescent="0.45">
      <c r="M100" s="296" t="str">
        <f>VLOOKUP(N100,Coeff_Descr!$A:$D,3,FALSE)</f>
        <v>SOCREC</v>
      </c>
      <c r="N100" s="296">
        <f>OtherTourDestination!B108</f>
        <v>109</v>
      </c>
      <c r="O100" s="296" t="str">
        <f>OtherTourDestination!C108</f>
        <v>Gamma109</v>
      </c>
      <c r="P100" s="298">
        <f>OtherTourDestination!E108</f>
        <v>-18.208541213899998</v>
      </c>
      <c r="Q100" s="337">
        <f t="shared" si="10"/>
        <v>-18.208541213899998</v>
      </c>
    </row>
    <row r="101" spans="13:17" x14ac:dyDescent="0.45">
      <c r="M101" s="296" t="str">
        <f>VLOOKUP(N101,Coeff_Descr!$A:$D,3,FALSE)</f>
        <v>SOCREC</v>
      </c>
      <c r="N101" s="296">
        <f>OtherTourDestination!B109</f>
        <v>110</v>
      </c>
      <c r="O101" s="296" t="str">
        <f>OtherTourDestination!C109</f>
        <v>Gamma110</v>
      </c>
      <c r="P101" s="298">
        <f>OtherTourDestination!E109</f>
        <v>-11.2471450075</v>
      </c>
      <c r="Q101" s="337">
        <f t="shared" si="10"/>
        <v>-11.2471450075</v>
      </c>
    </row>
    <row r="102" spans="13:17" x14ac:dyDescent="0.45">
      <c r="M102" s="296" t="str">
        <f>VLOOKUP(N102,Coeff_Descr!$A:$D,3,FALSE)</f>
        <v>SOCREC</v>
      </c>
      <c r="N102" s="296">
        <f>OtherTourDestination!B110</f>
        <v>111</v>
      </c>
      <c r="O102" s="296" t="str">
        <f>OtherTourDestination!C110</f>
        <v>Gamma111</v>
      </c>
      <c r="P102" s="298">
        <f>OtherTourDestination!E110</f>
        <v>-10.0807778908</v>
      </c>
      <c r="Q102" s="337">
        <f t="shared" si="10"/>
        <v>-10.0807778908</v>
      </c>
    </row>
    <row r="103" spans="13:17" x14ac:dyDescent="0.45">
      <c r="M103" s="296" t="str">
        <f>VLOOKUP(N103,Coeff_Descr!$A:$D,3,FALSE)</f>
        <v>SOCREC</v>
      </c>
      <c r="N103" s="296">
        <f>OtherTourDestination!B111</f>
        <v>112</v>
      </c>
      <c r="O103" s="296" t="str">
        <f>OtherTourDestination!C111</f>
        <v>Gamma112</v>
      </c>
      <c r="P103" s="298">
        <f>OtherTourDestination!E111</f>
        <v>-5.6623999999999999</v>
      </c>
      <c r="Q103" s="337">
        <f t="shared" si="10"/>
        <v>-5.6623999999999999</v>
      </c>
    </row>
    <row r="104" spans="13:17" x14ac:dyDescent="0.45">
      <c r="M104" s="296" t="str">
        <f>VLOOKUP(N104,Coeff_Descr!$A:$D,3,FALSE)</f>
        <v>SOCREC</v>
      </c>
      <c r="N104" s="296">
        <f>OtherTourDestination!B112</f>
        <v>113</v>
      </c>
      <c r="O104" s="296" t="str">
        <f>OtherTourDestination!C112</f>
        <v>Gamma113</v>
      </c>
      <c r="P104" s="298">
        <f>OtherTourDestination!E112</f>
        <v>-12.0597581892</v>
      </c>
      <c r="Q104" s="337">
        <f t="shared" si="10"/>
        <v>-12.0597581892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size="32" baseType="lpstr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2022-01-21T23:37:33Z</dcterms:modified>
</cp:coreProperties>
</file>