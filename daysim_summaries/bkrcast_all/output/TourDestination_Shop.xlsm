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I13"/>
  <c i="6" r="J13" s="1"/>
  <c i="6" r="K14" s="1"/>
  <c i="6" r="D35" s="1"/>
  <c i="6" r="D45" s="1"/>
  <c i="6" r="Q41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Q42" s="1"/>
  <c i="6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<sst xmlns="http://schemas.openxmlformats.org/spreadsheetml/2006/main" count="716" uniqueCount="285">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</sst>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3.3792264370698571E-2</c:v>
                </c:pt>
                <c:pt idx="1">
                  <c:v>5.4844825397588261E-2</c:v>
                </c:pt>
                <c:pt idx="2">
                  <c:v>7.1243427693169034E-2</c:v>
                </c:pt>
                <c:pt idx="3">
                  <c:v>0.11149876199853537</c:v>
                </c:pt>
                <c:pt idx="4">
                  <c:v>0.2315889709745762</c:v>
                </c:pt>
                <c:pt idx="5">
                  <c:v>0.11870372474404918</c:v>
                </c:pt>
                <c:pt idx="6">
                  <c:v>0.14440233124297966</c:v>
                </c:pt>
                <c:pt idx="7">
                  <c:v>3.9010524194174293E-2</c:v>
                </c:pt>
                <c:pt idx="8">
                  <c:v>4.656892435643787E-2</c:v>
                </c:pt>
                <c:pt idx="9">
                  <c:v>2.9943211467801403E-2</c:v>
                </c:pt>
                <c:pt idx="10">
                  <c:v>4.407094689345014E-2</c:v>
                </c:pt>
                <c:pt idx="11">
                  <c:v>1.2546115919171848E-2</c:v>
                </c:pt>
                <c:pt idx="12">
                  <c:v>5.7379983732213646E-3</c:v>
                </c:pt>
                <c:pt idx="13">
                  <c:v>4.4632309982139996E-3</c:v>
                </c:pt>
                <c:pt idx="14">
                  <c:v>7.1946397291233616E-3</c:v>
                </c:pt>
                <c:pt idx="15">
                  <c:v>6.8372854639192678E-3</c:v>
                </c:pt>
                <c:pt idx="16">
                  <c:v>6.5928986509542981E-3</c:v>
                </c:pt>
                <c:pt idx="17">
                  <c:v>4.3053148375877554E-3</c:v>
                </c:pt>
                <c:pt idx="18">
                  <c:v>1.4368165462305287E-3</c:v>
                </c:pt>
                <c:pt idx="19">
                  <c:v>8.7258080370456663E-4</c:v>
                </c:pt>
                <c:pt idx="20">
                  <c:v>2.0768431869907139E-4</c:v>
                </c:pt>
                <c:pt idx="21">
                  <c:v>0</c:v>
                </c:pt>
                <c:pt idx="22">
                  <c:v>3.2281675688435743E-3</c:v>
                </c:pt>
                <c:pt idx="23">
                  <c:v>1.0159192336205841E-3</c:v>
                </c:pt>
                <c:pt idx="24">
                  <c:v>1.7052351171693235E-3</c:v>
                </c:pt>
                <c:pt idx="25">
                  <c:v>0</c:v>
                </c:pt>
                <c:pt idx="26">
                  <c:v>1.3180468998200088E-2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1.2838301711119459E-3</c:v>
                </c:pt>
                <c:pt idx="32">
                  <c:v>6.7018510384683413E-4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2.6414404929734909E-4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3.6132901501026665E-4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6.4151350183615588E-4</c:v>
                </c:pt>
                <c:pt idx="55">
                  <c:v>0</c:v>
                </c:pt>
                <c:pt idx="56">
                  <c:v>9.649438743696753E-4</c:v>
                </c:pt>
                <c:pt idx="57">
                  <c:v>8.2178439240814145E-4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0.15792415145277636</c:v>
                </c:pt>
                <c:pt idx="1">
                  <c:v>0.11075396558779875</c:v>
                </c:pt>
                <c:pt idx="2">
                  <c:v>7.3315274155422952E-2</c:v>
                </c:pt>
                <c:pt idx="3">
                  <c:v>4.6246358133654207E-2</c:v>
                </c:pt>
                <c:pt idx="4">
                  <c:v>0.14665498011861644</c:v>
                </c:pt>
                <c:pt idx="5">
                  <c:v>8.5192186707874984E-2</c:v>
                </c:pt>
                <c:pt idx="6">
                  <c:v>8.2814666414204652E-2</c:v>
                </c:pt>
                <c:pt idx="7">
                  <c:v>5.7709456941992782E-2</c:v>
                </c:pt>
                <c:pt idx="8">
                  <c:v>5.0534140397383354E-2</c:v>
                </c:pt>
                <c:pt idx="9">
                  <c:v>1.9821831041833361E-2</c:v>
                </c:pt>
                <c:pt idx="10">
                  <c:v>1.7604644486657179E-2</c:v>
                </c:pt>
                <c:pt idx="11">
                  <c:v>1.785354352831952E-2</c:v>
                </c:pt>
                <c:pt idx="12">
                  <c:v>2.0698322145601359E-2</c:v>
                </c:pt>
                <c:pt idx="13">
                  <c:v>2.2518491824506326E-2</c:v>
                </c:pt>
                <c:pt idx="14">
                  <c:v>1.069044288759536E-2</c:v>
                </c:pt>
                <c:pt idx="15">
                  <c:v>1.9847789837589558E-2</c:v>
                </c:pt>
                <c:pt idx="16">
                  <c:v>8.7572760977516623E-3</c:v>
                </c:pt>
                <c:pt idx="17">
                  <c:v>7.1478307608675738E-3</c:v>
                </c:pt>
                <c:pt idx="18">
                  <c:v>6.801204488123087E-3</c:v>
                </c:pt>
                <c:pt idx="19">
                  <c:v>4.2190678043745149E-3</c:v>
                </c:pt>
                <c:pt idx="20">
                  <c:v>3.3868593521906168E-3</c:v>
                </c:pt>
                <c:pt idx="21">
                  <c:v>6.016332663494604E-3</c:v>
                </c:pt>
                <c:pt idx="22">
                  <c:v>2.8921152448372536E-3</c:v>
                </c:pt>
                <c:pt idx="23">
                  <c:v>2.2828470385595008E-3</c:v>
                </c:pt>
                <c:pt idx="24">
                  <c:v>3.0280171755608628E-3</c:v>
                </c:pt>
                <c:pt idx="25">
                  <c:v>2.1851198074773546E-3</c:v>
                </c:pt>
                <c:pt idx="26">
                  <c:v>1.5346229255868214E-3</c:v>
                </c:pt>
                <c:pt idx="27">
                  <c:v>2.7867530738268152E-3</c:v>
                </c:pt>
                <c:pt idx="28">
                  <c:v>1.4720164181748218E-3</c:v>
                </c:pt>
                <c:pt idx="29">
                  <c:v>1.48423232206009E-3</c:v>
                </c:pt>
                <c:pt idx="30">
                  <c:v>1.2093744846415548E-3</c:v>
                </c:pt>
                <c:pt idx="31">
                  <c:v>6.9936049743160621E-4</c:v>
                </c:pt>
                <c:pt idx="32">
                  <c:v>6.9477953347463065E-4</c:v>
                </c:pt>
                <c:pt idx="33">
                  <c:v>6.4133495397658211E-4</c:v>
                </c:pt>
                <c:pt idx="34">
                  <c:v>3.4357229677316897E-4</c:v>
                </c:pt>
                <c:pt idx="35">
                  <c:v>2.3210217382009637E-4</c:v>
                </c:pt>
                <c:pt idx="36">
                  <c:v>5.9094435044985071E-4</c:v>
                </c:pt>
                <c:pt idx="37">
                  <c:v>3.0997856108868135E-4</c:v>
                </c:pt>
                <c:pt idx="38">
                  <c:v>1.8781952223599906E-4</c:v>
                </c:pt>
                <c:pt idx="39">
                  <c:v>1.801845823077064E-4</c:v>
                </c:pt>
                <c:pt idx="40">
                  <c:v>1.1910506288136525E-4</c:v>
                </c:pt>
                <c:pt idx="41">
                  <c:v>1.1910506288136525E-4</c:v>
                </c:pt>
                <c:pt idx="42">
                  <c:v>9.7727231082145845E-5</c:v>
                </c:pt>
                <c:pt idx="43">
                  <c:v>5.8025543455024093E-5</c:v>
                </c:pt>
                <c:pt idx="44">
                  <c:v>5.039060352673145E-5</c:v>
                </c:pt>
                <c:pt idx="45">
                  <c:v>3.664771165580469E-5</c:v>
                </c:pt>
                <c:pt idx="46">
                  <c:v>5.9552531440682627E-5</c:v>
                </c:pt>
                <c:pt idx="47">
                  <c:v>3.8174699641463224E-5</c:v>
                </c:pt>
                <c:pt idx="48">
                  <c:v>2.9012771727512047E-5</c:v>
                </c:pt>
                <c:pt idx="49">
                  <c:v>9.1619279139511725E-6</c:v>
                </c:pt>
                <c:pt idx="50">
                  <c:v>2.2904819784877934E-5</c:v>
                </c:pt>
                <c:pt idx="51">
                  <c:v>3.5120723670146163E-5</c:v>
                </c:pt>
                <c:pt idx="52">
                  <c:v>2.1377831799219403E-5</c:v>
                </c:pt>
                <c:pt idx="53">
                  <c:v>1.0688915899609702E-5</c:v>
                </c:pt>
                <c:pt idx="54">
                  <c:v>7.6349399282926435E-6</c:v>
                </c:pt>
                <c:pt idx="55">
                  <c:v>3.0539759713170576E-6</c:v>
                </c:pt>
                <c:pt idx="56">
                  <c:v>4.5809639569755863E-6</c:v>
                </c:pt>
                <c:pt idx="57">
                  <c:v>3.0539759713170576E-6</c:v>
                </c:pt>
                <c:pt idx="58">
                  <c:v>3.0539759713170576E-6</c:v>
                </c:pt>
                <c:pt idx="59">
                  <c:v>3.0539759713170576E-6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1656"/>
        <c:axId val="344662048"/>
      </c:lineChart>
      <c:catAx>
        <c:axId val="344661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4662048"/>
        <c:crosses val="autoZero"/>
        <c:auto val="1"/>
        <c:lblAlgn val="ctr"/>
        <c:lblOffset val="100"/>
        <c:tickLblSkip val="10"/>
        <c:noMultiLvlLbl val="0"/>
      </c:catAx>
      <c:valAx>
        <c:axId val="3446620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4661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1.7516892902937368E-3</c:v>
                </c:pt>
                <c:pt idx="2">
                  <c:v>5.375022304364545E-3</c:v>
                </c:pt>
                <c:pt idx="3">
                  <c:v>3.817094805128238E-3</c:v>
                </c:pt>
                <c:pt idx="4">
                  <c:v>1.3856257787509851E-2</c:v>
                </c:pt>
                <c:pt idx="5">
                  <c:v>2.8341813204943965E-2</c:v>
                </c:pt>
                <c:pt idx="6">
                  <c:v>1.1545354338456904E-2</c:v>
                </c:pt>
                <c:pt idx="7">
                  <c:v>2.3320497665309949E-2</c:v>
                </c:pt>
                <c:pt idx="8">
                  <c:v>8.0246098191349684E-3</c:v>
                </c:pt>
                <c:pt idx="9">
                  <c:v>1.2491300773986204E-2</c:v>
                </c:pt>
                <c:pt idx="10">
                  <c:v>1.0619858892807116E-2</c:v>
                </c:pt>
                <c:pt idx="11">
                  <c:v>1.4475583411985595E-2</c:v>
                </c:pt>
                <c:pt idx="12">
                  <c:v>2.2079208855273681E-2</c:v>
                </c:pt>
                <c:pt idx="13">
                  <c:v>3.3588576523464177E-2</c:v>
                </c:pt>
                <c:pt idx="14">
                  <c:v>2.3181618634354695E-2</c:v>
                </c:pt>
                <c:pt idx="15">
                  <c:v>1.2216140129587074E-2</c:v>
                </c:pt>
                <c:pt idx="16">
                  <c:v>4.286689188854155E-2</c:v>
                </c:pt>
                <c:pt idx="17">
                  <c:v>2.7270087295846773E-2</c:v>
                </c:pt>
                <c:pt idx="18">
                  <c:v>0.12567330211842484</c:v>
                </c:pt>
                <c:pt idx="19">
                  <c:v>5.6100521383492044E-2</c:v>
                </c:pt>
                <c:pt idx="20">
                  <c:v>7.6812163885463303E-2</c:v>
                </c:pt>
                <c:pt idx="21">
                  <c:v>7.061683037884689E-2</c:v>
                </c:pt>
                <c:pt idx="22">
                  <c:v>5.6195878928019645E-2</c:v>
                </c:pt>
                <c:pt idx="23">
                  <c:v>2.666689760512387E-2</c:v>
                </c:pt>
                <c:pt idx="24">
                  <c:v>2.1261579710412745E-2</c:v>
                </c:pt>
                <c:pt idx="25">
                  <c:v>1.5507474624609314E-2</c:v>
                </c:pt>
                <c:pt idx="26">
                  <c:v>7.183390513302057E-2</c:v>
                </c:pt>
                <c:pt idx="27">
                  <c:v>8.4717477878141594E-3</c:v>
                </c:pt>
                <c:pt idx="28">
                  <c:v>2.6486774434350605E-2</c:v>
                </c:pt>
                <c:pt idx="29">
                  <c:v>1.0203965133940363E-2</c:v>
                </c:pt>
                <c:pt idx="30">
                  <c:v>3.9263726585382908E-3</c:v>
                </c:pt>
                <c:pt idx="31">
                  <c:v>4.6548715049969285E-3</c:v>
                </c:pt>
                <c:pt idx="32">
                  <c:v>5.8620306307551493E-3</c:v>
                </c:pt>
                <c:pt idx="33">
                  <c:v>5.5565518610558072E-3</c:v>
                </c:pt>
                <c:pt idx="34">
                  <c:v>1.0981230804829604E-2</c:v>
                </c:pt>
                <c:pt idx="35">
                  <c:v>2.0907867354633685E-3</c:v>
                </c:pt>
                <c:pt idx="36">
                  <c:v>2.051939630561763E-3</c:v>
                </c:pt>
                <c:pt idx="37">
                  <c:v>1.5044794473363996E-2</c:v>
                </c:pt>
                <c:pt idx="38">
                  <c:v>1.2540700469479743E-2</c:v>
                </c:pt>
                <c:pt idx="39">
                  <c:v>1.5762453072464566E-3</c:v>
                </c:pt>
                <c:pt idx="40">
                  <c:v>7.4452722805074521E-4</c:v>
                </c:pt>
                <c:pt idx="41">
                  <c:v>3.6159981822715464E-3</c:v>
                </c:pt>
                <c:pt idx="42">
                  <c:v>1.7258013282091813E-3</c:v>
                </c:pt>
                <c:pt idx="43">
                  <c:v>0</c:v>
                </c:pt>
                <c:pt idx="44">
                  <c:v>2.2691086201241927E-4</c:v>
                </c:pt>
                <c:pt idx="45">
                  <c:v>4.0474306494623351E-2</c:v>
                </c:pt>
                <c:pt idx="46">
                  <c:v>2.3187066389564227E-3</c:v>
                </c:pt>
                <c:pt idx="47">
                  <c:v>1.931798065724172E-3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1.5726094189963324E-3</c:v>
                </c:pt>
                <c:pt idx="53">
                  <c:v>0</c:v>
                </c:pt>
                <c:pt idx="54">
                  <c:v>1.5189821170501669E-2</c:v>
                </c:pt>
                <c:pt idx="55">
                  <c:v>2.6414404929734909E-4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9.2927198029633799E-4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3.2318700716462763E-2</c:v>
                </c:pt>
                <c:pt idx="1">
                  <c:v>2.7803397242870492E-2</c:v>
                </c:pt>
                <c:pt idx="2">
                  <c:v>3.4567954019337772E-2</c:v>
                </c:pt>
                <c:pt idx="3">
                  <c:v>3.5954459110315723E-2</c:v>
                </c:pt>
                <c:pt idx="4">
                  <c:v>3.4557265103438164E-2</c:v>
                </c:pt>
                <c:pt idx="5">
                  <c:v>3.2850092535471928E-2</c:v>
                </c:pt>
                <c:pt idx="6">
                  <c:v>3.0752011043177114E-2</c:v>
                </c:pt>
                <c:pt idx="7">
                  <c:v>2.8269128578496346E-2</c:v>
                </c:pt>
                <c:pt idx="8">
                  <c:v>2.5352581525888554E-2</c:v>
                </c:pt>
                <c:pt idx="9">
                  <c:v>2.203596362103823E-2</c:v>
                </c:pt>
                <c:pt idx="10">
                  <c:v>2.0110431771122823E-2</c:v>
                </c:pt>
                <c:pt idx="11">
                  <c:v>1.8409367155099225E-2</c:v>
                </c:pt>
                <c:pt idx="12">
                  <c:v>1.6535752896696208E-2</c:v>
                </c:pt>
                <c:pt idx="13">
                  <c:v>1.469725936196334E-2</c:v>
                </c:pt>
                <c:pt idx="14">
                  <c:v>1.296260101025525E-2</c:v>
                </c:pt>
                <c:pt idx="15">
                  <c:v>1.1534867243664527E-2</c:v>
                </c:pt>
                <c:pt idx="16">
                  <c:v>1.0493461437445411E-2</c:v>
                </c:pt>
                <c:pt idx="17">
                  <c:v>9.2810329768325383E-3</c:v>
                </c:pt>
                <c:pt idx="18">
                  <c:v>9.6381954666780678E-2</c:v>
                </c:pt>
                <c:pt idx="19">
                  <c:v>3.3286811099370268E-2</c:v>
                </c:pt>
                <c:pt idx="20">
                  <c:v>3.91916736399118E-2</c:v>
                </c:pt>
                <c:pt idx="21">
                  <c:v>4.0045259923894919E-2</c:v>
                </c:pt>
                <c:pt idx="22">
                  <c:v>4.2082261896763395E-2</c:v>
                </c:pt>
                <c:pt idx="23">
                  <c:v>2.8484433884474195E-2</c:v>
                </c:pt>
                <c:pt idx="24">
                  <c:v>2.9898424759193996E-2</c:v>
                </c:pt>
                <c:pt idx="25">
                  <c:v>2.2515437848535009E-2</c:v>
                </c:pt>
                <c:pt idx="26">
                  <c:v>2.2721581226598907E-2</c:v>
                </c:pt>
                <c:pt idx="27">
                  <c:v>1.9304182114695121E-2</c:v>
                </c:pt>
                <c:pt idx="28">
                  <c:v>1.447890008001417E-2</c:v>
                </c:pt>
                <c:pt idx="29">
                  <c:v>2.4271474032042314E-2</c:v>
                </c:pt>
                <c:pt idx="30">
                  <c:v>2.0750239737113749E-2</c:v>
                </c:pt>
                <c:pt idx="31">
                  <c:v>1.4491115983899438E-2</c:v>
                </c:pt>
                <c:pt idx="32">
                  <c:v>1.9270588379010634E-2</c:v>
                </c:pt>
                <c:pt idx="33">
                  <c:v>1.5024034790894265E-2</c:v>
                </c:pt>
                <c:pt idx="34">
                  <c:v>1.0268994203553606E-2</c:v>
                </c:pt>
                <c:pt idx="35">
                  <c:v>9.6566720213045361E-3</c:v>
                </c:pt>
                <c:pt idx="36">
                  <c:v>1.1183660006963065E-2</c:v>
                </c:pt>
                <c:pt idx="37">
                  <c:v>9.7055356368456087E-3</c:v>
                </c:pt>
                <c:pt idx="38">
                  <c:v>9.4215158715131222E-3</c:v>
                </c:pt>
                <c:pt idx="39">
                  <c:v>6.8622840075494287E-3</c:v>
                </c:pt>
                <c:pt idx="40">
                  <c:v>5.6238967511803616E-3</c:v>
                </c:pt>
                <c:pt idx="41">
                  <c:v>3.603691646154128E-3</c:v>
                </c:pt>
                <c:pt idx="42">
                  <c:v>4.6710562481294396E-3</c:v>
                </c:pt>
                <c:pt idx="43">
                  <c:v>5.4024834932598752E-3</c:v>
                </c:pt>
                <c:pt idx="44">
                  <c:v>2.8004959656977419E-3</c:v>
                </c:pt>
                <c:pt idx="45">
                  <c:v>2.0751766725099407E-3</c:v>
                </c:pt>
                <c:pt idx="46">
                  <c:v>2.2461993269036959E-3</c:v>
                </c:pt>
                <c:pt idx="47">
                  <c:v>2.8569945211671076E-3</c:v>
                </c:pt>
                <c:pt idx="48">
                  <c:v>1.4094099107628221E-3</c:v>
                </c:pt>
                <c:pt idx="49">
                  <c:v>1.2872508719101398E-3</c:v>
                </c:pt>
                <c:pt idx="50">
                  <c:v>1.3009937637810667E-3</c:v>
                </c:pt>
                <c:pt idx="51">
                  <c:v>1.5453118414864313E-3</c:v>
                </c:pt>
                <c:pt idx="52">
                  <c:v>9.7421833485014143E-4</c:v>
                </c:pt>
                <c:pt idx="53">
                  <c:v>1.0811074938462384E-3</c:v>
                </c:pt>
                <c:pt idx="54">
                  <c:v>7.5891302887228884E-4</c:v>
                </c:pt>
                <c:pt idx="55">
                  <c:v>5.2833784303785093E-4</c:v>
                </c:pt>
                <c:pt idx="56">
                  <c:v>5.8636338649287504E-4</c:v>
                </c:pt>
                <c:pt idx="57">
                  <c:v>5.5582362677970452E-4</c:v>
                </c:pt>
                <c:pt idx="58">
                  <c:v>3.0387060914604722E-4</c:v>
                </c:pt>
                <c:pt idx="59">
                  <c:v>3.3135639288790075E-4</c:v>
                </c:pt>
                <c:pt idx="60">
                  <c:v>3.023436211603887E-4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662832"/>
        <c:axId val="371274696"/>
      </c:lineChart>
      <c:catAx>
        <c:axId val="344662832"/>
        <c:scaling>
          <c:orientation val="minMax"/>
        </c:scaling>
        <c:delete val="0"/>
        <c:axPos val="b"/>
        <c:majorTickMark val="none"/>
        <c:minorTickMark val="none"/>
        <c:tickLblPos val="nextTo"/>
        <c:crossAx val="371274696"/>
        <c:crosses val="autoZero"/>
        <c:auto val="1"/>
        <c:lblAlgn val="ctr"/>
        <c:lblOffset val="100"/>
        <c:tickLblSkip val="10"/>
        <c:noMultiLvlLbl val="0"/>
      </c:catAx>
      <c:valAx>
        <c:axId val="371274696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46628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L31" sqref="L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23418.2293962647</v>
      </c>
      <c r="C11" s="11">
        <f>B11/B$102</f>
        <v>3.3792264370698571E-2</v>
      </c>
      <c r="E11" s="19">
        <v>0</v>
      </c>
      <c r="F11" s="343" t="n">
        <v>103148.0</v>
      </c>
      <c r="G11" s="11">
        <f>F11/F$102</f>
        <v>0.15792415145277636</v>
      </c>
      <c r="K11" s="8" t="n">
        <v>5.667919157236973</v>
      </c>
      <c r="L11" s="8" t="n">
        <v>6.063464692362772</v>
      </c>
    </row>
    <row r="12" spans="1:12" x14ac:dyDescent="0.25">
      <c r="A12">
        <v>1</v>
      </c>
      <c r="B12" s="341" t="n">
        <v>38007.7726745204</v>
      </c>
      <c r="C12" s="11">
        <f>B12/B$102</f>
        <v>5.4844825397588261E-2</v>
      </c>
      <c r="E12" s="20">
        <v>1</v>
      </c>
      <c r="F12" s="343" t="n">
        <v>72973.0</v>
      </c>
      <c r="G12" s="11">
        <f>F12/F$102</f>
        <v>0.11075396558779875</v>
      </c>
      <c r="K12" s="8"/>
      <c r="L12" s="289"/>
    </row>
    <row r="13" spans="1:12" x14ac:dyDescent="0.25">
      <c r="A13">
        <v>2</v>
      </c>
      <c r="B13" s="341" t="n">
        <v>49372.096358878596</v>
      </c>
      <c r="C13" s="11">
        <f ref="C13:C76" si="0" t="shared">B13/B$102</f>
        <v>7.1243427693169034E-2</v>
      </c>
      <c r="E13" s="21">
        <v>2</v>
      </c>
      <c r="F13" s="343" t="n">
        <v>48506.0</v>
      </c>
      <c r="G13" s="11">
        <f ref="G13:G76" si="1" t="shared">F13/F$102</f>
        <v>7.3315274155422952E-2</v>
      </c>
    </row>
    <row r="14" spans="1:12" x14ac:dyDescent="0.25">
      <c r="A14">
        <v>3</v>
      </c>
      <c r="B14" s="341" t="n">
        <v>77269.2695948876</v>
      </c>
      <c r="C14" s="11">
        <f si="0" t="shared"/>
        <v>0.11149876199853537</v>
      </c>
      <c r="E14" s="22">
        <v>3</v>
      </c>
      <c r="F14" s="343" t="n">
        <v>30281.0</v>
      </c>
      <c r="G14" s="11">
        <f si="1" t="shared"/>
        <v>4.6246358133654207E-2</v>
      </c>
    </row>
    <row r="15" spans="1:12" x14ac:dyDescent="0.25">
      <c r="A15">
        <v>4</v>
      </c>
      <c r="B15" s="341" t="n">
        <v>160492.4602989959</v>
      </c>
      <c r="C15" s="11">
        <f si="0" t="shared"/>
        <v>0.2315889709745762</v>
      </c>
      <c r="E15" s="23">
        <v>4</v>
      </c>
      <c r="F15" s="343" t="n">
        <v>97136.0</v>
      </c>
      <c r="G15" s="11">
        <f si="1" t="shared"/>
        <v>0.14665498011861644</v>
      </c>
    </row>
    <row r="16" spans="1:12" x14ac:dyDescent="0.25">
      <c r="A16">
        <v>5</v>
      </c>
      <c r="B16" s="341" t="n">
        <v>82262.3493280199</v>
      </c>
      <c r="C16" s="11">
        <f si="0" t="shared"/>
        <v>0.11870372474404918</v>
      </c>
      <c r="E16" s="24">
        <v>5</v>
      </c>
      <c r="F16" s="343" t="n">
        <v>59602.0</v>
      </c>
      <c r="G16" s="11">
        <f si="1" t="shared"/>
        <v>8.5192186707874984E-2</v>
      </c>
    </row>
    <row r="17" spans="1:7" x14ac:dyDescent="0.25">
      <c r="A17">
        <v>6</v>
      </c>
      <c r="B17" s="341" t="n">
        <v>100071.6282669634</v>
      </c>
      <c r="C17" s="11">
        <f si="0" t="shared"/>
        <v>0.14440233124297966</v>
      </c>
      <c r="E17" s="25">
        <v>6</v>
      </c>
      <c r="F17" s="343" t="n">
        <v>50163.0</v>
      </c>
      <c r="G17" s="11">
        <f si="1" t="shared"/>
        <v>8.2814666414204652E-2</v>
      </c>
    </row>
    <row r="18" spans="1:7" x14ac:dyDescent="0.25">
      <c r="A18">
        <v>7</v>
      </c>
      <c r="B18" s="341" t="n">
        <v>27034.5128229956</v>
      </c>
      <c r="C18" s="11">
        <f si="0" t="shared"/>
        <v>3.9010524194174293E-2</v>
      </c>
      <c r="E18" s="26">
        <v>7</v>
      </c>
      <c r="F18" s="343" t="n">
        <v>38908.0</v>
      </c>
      <c r="G18" s="11">
        <f si="1" t="shared"/>
        <v>5.7709456941992782E-2</v>
      </c>
    </row>
    <row r="19" spans="1:7" x14ac:dyDescent="0.25">
      <c r="A19">
        <v>8</v>
      </c>
      <c r="B19" s="341" t="n">
        <v>32272.5266751284</v>
      </c>
      <c r="C19" s="11">
        <f si="0" t="shared"/>
        <v>4.656892435643787E-2</v>
      </c>
      <c r="E19" s="27">
        <v>8</v>
      </c>
      <c r="F19" s="343" t="n">
        <v>32382.0</v>
      </c>
      <c r="G19" s="11">
        <f si="1" t="shared"/>
        <v>5.0534140397383354E-2</v>
      </c>
    </row>
    <row r="20" spans="1:7" x14ac:dyDescent="0.25">
      <c r="A20">
        <v>9</v>
      </c>
      <c r="B20" s="341" t="n">
        <v>20750.8140715739</v>
      </c>
      <c r="C20" s="11">
        <f si="0" t="shared"/>
        <v>2.9943211467801403E-2</v>
      </c>
      <c r="E20" s="28">
        <v>9</v>
      </c>
      <c r="F20" s="343" t="n">
        <v>16699.0</v>
      </c>
      <c r="G20" s="11">
        <f si="1" t="shared"/>
        <v>1.9821831041833361E-2</v>
      </c>
    </row>
    <row r="21" spans="1:7" x14ac:dyDescent="0.25">
      <c r="A21">
        <v>10</v>
      </c>
      <c r="B21" s="341" t="n">
        <v>30541.4142343276</v>
      </c>
      <c r="C21" s="11">
        <f si="0" t="shared"/>
        <v>4.407094689345014E-2</v>
      </c>
      <c r="E21" s="29">
        <v>10</v>
      </c>
      <c r="F21" s="343" t="n">
        <v>10703.0</v>
      </c>
      <c r="G21" s="11">
        <f si="1" t="shared"/>
        <v>1.7604644486657179E-2</v>
      </c>
    </row>
    <row r="22" spans="1:7" x14ac:dyDescent="0.25">
      <c r="A22">
        <v>11</v>
      </c>
      <c r="B22" s="341" t="n">
        <v>8694.5289431997</v>
      </c>
      <c r="C22" s="11">
        <f si="0" t="shared"/>
        <v>1.2546115919171848E-2</v>
      </c>
      <c r="E22" s="30">
        <v>11</v>
      </c>
      <c r="F22" s="343" t="n">
        <v>12355.0</v>
      </c>
      <c r="G22" s="11">
        <f si="1" t="shared"/>
        <v>1.785354352831952E-2</v>
      </c>
    </row>
    <row r="23" spans="1:7" x14ac:dyDescent="0.25">
      <c r="A23">
        <v>12</v>
      </c>
      <c r="B23" s="341" t="n">
        <v>3976.4651668625</v>
      </c>
      <c r="C23" s="11">
        <f si="0" t="shared"/>
        <v>5.7379983732213646E-3</v>
      </c>
      <c r="E23" s="31">
        <v>12</v>
      </c>
      <c r="F23" s="343" t="n">
        <v>14103.0</v>
      </c>
      <c r="G23" s="11">
        <f si="1" t="shared"/>
        <v>2.0698322145601359E-2</v>
      </c>
    </row>
    <row r="24" spans="1:7" x14ac:dyDescent="0.25">
      <c r="A24">
        <v>13</v>
      </c>
      <c r="B24" s="341" t="n">
        <v>3093.0442014216</v>
      </c>
      <c r="C24" s="11">
        <f si="0" t="shared"/>
        <v>4.4632309982139996E-3</v>
      </c>
      <c r="E24" s="32">
        <v>13</v>
      </c>
      <c r="F24" s="343" t="n">
        <v>14010.0</v>
      </c>
      <c r="G24" s="11">
        <f si="1" t="shared"/>
        <v>2.2518491824506326E-2</v>
      </c>
    </row>
    <row r="25" spans="1:7" x14ac:dyDescent="0.25">
      <c r="A25">
        <v>14</v>
      </c>
      <c r="B25" s="341" t="n">
        <v>4985.9258246744</v>
      </c>
      <c r="C25" s="11">
        <f si="0" t="shared"/>
        <v>7.1946397291233616E-3</v>
      </c>
      <c r="E25" s="33">
        <v>14</v>
      </c>
      <c r="F25" s="343" t="n">
        <v>6870.0</v>
      </c>
      <c r="G25" s="11">
        <f si="1" t="shared"/>
        <v>1.069044288759536E-2</v>
      </c>
    </row>
    <row r="26" spans="1:7" x14ac:dyDescent="0.25">
      <c r="A26">
        <v>15</v>
      </c>
      <c r="B26" s="341" t="n">
        <v>4738.2773076505</v>
      </c>
      <c r="C26" s="11">
        <f si="0" t="shared"/>
        <v>6.8372854639192678E-3</v>
      </c>
      <c r="E26" s="34">
        <v>15</v>
      </c>
      <c r="F26" s="343" t="n">
        <v>15965.0</v>
      </c>
      <c r="G26" s="11">
        <f si="1" t="shared"/>
        <v>1.9847789837589558E-2</v>
      </c>
    </row>
    <row r="27" spans="1:7" x14ac:dyDescent="0.25">
      <c r="A27">
        <v>16</v>
      </c>
      <c r="B27" s="341" t="n">
        <v>4568.9158708242</v>
      </c>
      <c r="C27" s="11">
        <f si="0" t="shared"/>
        <v>6.5928986509542981E-3</v>
      </c>
      <c r="E27" s="35">
        <v>16</v>
      </c>
      <c r="F27" s="343" t="n">
        <v>5342.0</v>
      </c>
      <c r="G27" s="11">
        <f si="1" t="shared"/>
        <v>8.7572760977516623E-3</v>
      </c>
    </row>
    <row r="28" spans="1:7" x14ac:dyDescent="0.25">
      <c r="A28">
        <v>17</v>
      </c>
      <c r="B28" s="341" t="n">
        <v>2983.6074133344</v>
      </c>
      <c r="C28" s="11">
        <f si="0" t="shared"/>
        <v>4.3053148375877554E-3</v>
      </c>
      <c r="E28" s="36">
        <v>17</v>
      </c>
      <c r="F28" s="343" t="n">
        <v>5384.0</v>
      </c>
      <c r="G28" s="11">
        <f si="1" t="shared"/>
        <v>7.1478307608675738E-3</v>
      </c>
    </row>
    <row r="29" spans="1:7" x14ac:dyDescent="0.25">
      <c r="A29">
        <v>18</v>
      </c>
      <c r="B29" s="341" t="n">
        <v>995.7219531329</v>
      </c>
      <c r="C29" s="11">
        <f si="0" t="shared"/>
        <v>1.4368165462305287E-3</v>
      </c>
      <c r="E29" s="37">
        <v>18</v>
      </c>
      <c r="F29" s="343" t="n">
        <v>3606.0</v>
      </c>
      <c r="G29" s="11">
        <f si="1" t="shared"/>
        <v>6.801204488123087E-3</v>
      </c>
    </row>
    <row r="30" spans="1:7" x14ac:dyDescent="0.25">
      <c r="A30">
        <v>19</v>
      </c>
      <c r="B30" s="341" t="n">
        <v>604.7034079683999</v>
      </c>
      <c r="C30" s="11">
        <f si="0" t="shared"/>
        <v>8.7258080370456663E-4</v>
      </c>
      <c r="E30" s="38">
        <v>19</v>
      </c>
      <c r="F30" s="343" t="n">
        <v>2230.0</v>
      </c>
      <c r="G30" s="11">
        <f si="1" t="shared"/>
        <v>4.2190678043745149E-3</v>
      </c>
    </row>
    <row r="31" spans="1:7" x14ac:dyDescent="0.25">
      <c r="A31">
        <v>20</v>
      </c>
      <c r="B31" s="341" t="n">
        <v>143.9264017335</v>
      </c>
      <c r="C31" s="11">
        <f si="0" t="shared"/>
        <v>2.0768431869907139E-4</v>
      </c>
      <c r="E31" s="39">
        <v>20</v>
      </c>
      <c r="F31" s="343" t="n">
        <v>2674.0</v>
      </c>
      <c r="G31" s="11">
        <f si="1" t="shared"/>
        <v>3.3868593521906168E-3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3040.0</v>
      </c>
      <c r="G32" s="11">
        <f si="1" t="shared"/>
        <v>6.016332663494604E-3</v>
      </c>
    </row>
    <row r="33" spans="1:7" x14ac:dyDescent="0.25">
      <c r="A33">
        <v>22</v>
      </c>
      <c r="B33" s="341" t="n">
        <v>2237.1382937662</v>
      </c>
      <c r="C33" s="11">
        <f si="0" t="shared"/>
        <v>3.2281675688435743E-3</v>
      </c>
      <c r="E33" s="41">
        <v>22</v>
      </c>
      <c r="F33" s="343" t="n">
        <v>2465.0</v>
      </c>
      <c r="G33" s="11">
        <f si="1" t="shared"/>
        <v>2.8921152448372536E-3</v>
      </c>
    </row>
    <row r="34" spans="1:7" x14ac:dyDescent="0.25">
      <c r="A34">
        <v>23</v>
      </c>
      <c r="B34" s="341" t="n">
        <v>704.037746628</v>
      </c>
      <c r="C34" s="11">
        <f si="0" t="shared"/>
        <v>1.0159192336205841E-3</v>
      </c>
      <c r="E34" s="42">
        <v>23</v>
      </c>
      <c r="F34" s="343" t="n">
        <v>1641.0</v>
      </c>
      <c r="G34" s="11">
        <f si="1" t="shared"/>
        <v>2.2828470385595008E-3</v>
      </c>
    </row>
    <row r="35" spans="1:7" x14ac:dyDescent="0.25">
      <c r="A35">
        <v>24</v>
      </c>
      <c r="B35" s="341" t="n">
        <v>1181.7375334889998</v>
      </c>
      <c r="C35" s="11">
        <f si="0" t="shared"/>
        <v>1.7052351171693235E-3</v>
      </c>
      <c r="E35" s="43">
        <v>24</v>
      </c>
      <c r="F35" s="343" t="n">
        <v>2025.0</v>
      </c>
      <c r="G35" s="11">
        <f si="1" t="shared"/>
        <v>3.0280171755608628E-3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1499.0</v>
      </c>
      <c r="G36" s="11">
        <f si="1" t="shared"/>
        <v>2.1851198074773546E-3</v>
      </c>
    </row>
    <row r="37" spans="1:7" x14ac:dyDescent="0.25">
      <c r="A37">
        <v>26</v>
      </c>
      <c r="B37" s="341" t="n">
        <v>9134.13919719</v>
      </c>
      <c r="C37" s="11">
        <f si="0" t="shared"/>
        <v>1.3180468998200088E-2</v>
      </c>
      <c r="E37" s="45">
        <v>26</v>
      </c>
      <c r="F37" s="343" t="n">
        <v>887.0</v>
      </c>
      <c r="G37" s="11">
        <f si="1" t="shared"/>
        <v>1.5346229255868214E-3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2180.0</v>
      </c>
      <c r="G38" s="11">
        <f si="1" t="shared"/>
        <v>2.7867530738268152E-3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786.0</v>
      </c>
      <c r="G39" s="11">
        <f si="1" t="shared"/>
        <v>1.4720164181748218E-3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942.0</v>
      </c>
      <c r="G40" s="11">
        <f si="1" t="shared"/>
        <v>1.48423232206009E-3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928.0</v>
      </c>
      <c r="G41" s="11">
        <f si="1" t="shared"/>
        <v>1.2093744846415548E-3</v>
      </c>
    </row>
    <row r="42" spans="1:7" x14ac:dyDescent="0.25">
      <c r="A42">
        <v>31</v>
      </c>
      <c r="B42" s="341" t="n">
        <v>889.701534148</v>
      </c>
      <c r="C42" s="11">
        <f si="0" t="shared"/>
        <v>1.2838301711119459E-3</v>
      </c>
      <c r="E42" s="50">
        <v>31</v>
      </c>
      <c r="F42" s="343" t="n">
        <v>435.0</v>
      </c>
      <c r="G42" s="11">
        <f si="1" t="shared"/>
        <v>6.9936049743160621E-4</v>
      </c>
    </row>
    <row r="43" spans="1:7" x14ac:dyDescent="0.25">
      <c r="A43">
        <v>32</v>
      </c>
      <c r="B43" s="341" t="n">
        <v>464.442048857</v>
      </c>
      <c r="C43" s="11">
        <f si="0" t="shared"/>
        <v>6.7018510384683413E-4</v>
      </c>
      <c r="E43" s="51">
        <v>32</v>
      </c>
      <c r="F43" s="343" t="n">
        <v>488.0</v>
      </c>
      <c r="G43" s="11">
        <f si="1" t="shared"/>
        <v>6.9477953347463065E-4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372.0</v>
      </c>
      <c r="G44" s="11">
        <f si="1" t="shared"/>
        <v>6.4133495397658211E-4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264.0</v>
      </c>
      <c r="G45" s="11">
        <f si="1" t="shared"/>
        <v>3.4357229677316897E-4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151.0</v>
      </c>
      <c r="G46" s="11">
        <f si="1" t="shared"/>
        <v>2.3210217382009637E-4</v>
      </c>
    </row>
    <row r="47" spans="1:7" x14ac:dyDescent="0.25">
      <c r="A47">
        <v>36</v>
      </c>
      <c r="B47" s="341" t="n">
        <v>183.053312801</v>
      </c>
      <c r="C47" s="11">
        <f si="0" t="shared"/>
        <v>2.6414404929734909E-4</v>
      </c>
      <c r="E47" s="55">
        <v>36</v>
      </c>
      <c r="F47" s="343" t="n">
        <v>383.0</v>
      </c>
      <c r="G47" s="11">
        <f si="1" t="shared"/>
        <v>5.9094435044985071E-4</v>
      </c>
    </row>
    <row r="48" spans="1:7" x14ac:dyDescent="0.25">
      <c r="A48">
        <v>37</v>
      </c>
      <c r="B48" s="341" t="n">
        <v>0.0</v>
      </c>
      <c r="C48" s="11">
        <f si="0" t="shared"/>
        <v>0</v>
      </c>
      <c r="E48" s="56">
        <v>37</v>
      </c>
      <c r="F48" s="343" t="n">
        <v>190.0</v>
      </c>
      <c r="G48" s="11">
        <f si="1" t="shared"/>
        <v>3.0997856108868135E-4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204.0</v>
      </c>
      <c r="G49" s="11">
        <f si="1" t="shared"/>
        <v>1.8781952223599906E-4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149.0</v>
      </c>
      <c r="G50" s="11">
        <f si="1" t="shared"/>
        <v>1.801845823077064E-4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83.0</v>
      </c>
      <c r="G51" s="11">
        <f si="1" t="shared"/>
        <v>1.1910506288136525E-4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100.0</v>
      </c>
      <c r="G52" s="11">
        <f si="1" t="shared"/>
        <v>1.1910506288136525E-4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50.0</v>
      </c>
      <c r="G53" s="11">
        <f si="1" t="shared"/>
        <v>9.7727231082145845E-5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48.0</v>
      </c>
      <c r="G54" s="11">
        <f si="1" t="shared"/>
        <v>5.8025543455024093E-5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57.0</v>
      </c>
      <c r="G55" s="11">
        <f si="1" t="shared"/>
        <v>5.039060352673145E-5</v>
      </c>
    </row>
    <row r="56" spans="1:7" x14ac:dyDescent="0.25">
      <c r="A56">
        <v>45</v>
      </c>
      <c r="B56" s="341" t="n">
        <v>250.40304101</v>
      </c>
      <c r="C56" s="11">
        <f si="0" t="shared"/>
        <v>3.6132901501026665E-4</v>
      </c>
      <c r="E56" s="64">
        <v>45</v>
      </c>
      <c r="F56" s="343" t="n">
        <v>45.0</v>
      </c>
      <c r="G56" s="11">
        <f si="1" t="shared"/>
        <v>3.664771165580469E-5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34.0</v>
      </c>
      <c r="G57" s="11">
        <f si="1" t="shared"/>
        <v>5.9552531440682627E-5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32.0</v>
      </c>
      <c r="G58" s="11">
        <f si="1" t="shared"/>
        <v>3.8174699641463224E-5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13.0</v>
      </c>
      <c r="G59" s="11">
        <f si="1" t="shared"/>
        <v>2.9012771727512047E-5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12.0</v>
      </c>
      <c r="G60" s="11">
        <f si="1" t="shared"/>
        <v>9.1619279139511725E-6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18.0</v>
      </c>
      <c r="G61" s="11">
        <f si="1" t="shared"/>
        <v>2.2904819784877934E-5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17.0</v>
      </c>
      <c r="G62" s="11">
        <f si="1" t="shared"/>
        <v>3.5120723670146163E-5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6.0</v>
      </c>
      <c r="G63" s="11">
        <f si="1" t="shared"/>
        <v>2.1377831799219403E-5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3.0</v>
      </c>
      <c r="G64" s="11">
        <f si="1" t="shared"/>
        <v>1.0688915899609702E-5</v>
      </c>
    </row>
    <row r="65" spans="1:7" x14ac:dyDescent="0.25">
      <c r="A65">
        <v>54</v>
      </c>
      <c r="B65" s="341" t="n">
        <v>444.572467296</v>
      </c>
      <c r="C65" s="11">
        <f si="0" t="shared"/>
        <v>6.4151350183615588E-4</v>
      </c>
      <c r="E65" s="73">
        <v>54</v>
      </c>
      <c r="F65" s="343" t="n">
        <v>9.0</v>
      </c>
      <c r="G65" s="11">
        <f si="1" t="shared"/>
        <v>7.6349399282926435E-6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7.0</v>
      </c>
      <c r="G66" s="11">
        <f si="1" t="shared"/>
        <v>3.0539759713170576E-6</v>
      </c>
    </row>
    <row r="67" spans="1:7" x14ac:dyDescent="0.25">
      <c r="A67">
        <v>56</v>
      </c>
      <c r="B67" s="341" t="n">
        <v>668.711535771</v>
      </c>
      <c r="C67" s="11">
        <f si="0" t="shared"/>
        <v>9.649438743696753E-4</v>
      </c>
      <c r="E67" s="75">
        <v>56</v>
      </c>
      <c r="F67" s="343" t="n">
        <v>5.0</v>
      </c>
      <c r="G67" s="11">
        <f si="1" t="shared"/>
        <v>4.5809639569755863E-6</v>
      </c>
    </row>
    <row r="68" spans="1:7" x14ac:dyDescent="0.25">
      <c r="A68">
        <v>57</v>
      </c>
      <c r="B68" s="341" t="n">
        <v>569.501209051</v>
      </c>
      <c r="C68" s="11">
        <f si="0" t="shared"/>
        <v>8.2178439240814145E-4</v>
      </c>
      <c r="E68" s="76">
        <v>57</v>
      </c>
      <c r="F68" s="343" t="n">
        <v>1.0</v>
      </c>
      <c r="G68" s="11">
        <f si="1" t="shared"/>
        <v>3.0539759713170576E-6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3.0</v>
      </c>
      <c r="G69" s="11">
        <f si="1" t="shared"/>
        <v>3.0539759713170576E-6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1.0</v>
      </c>
      <c r="G70" s="11">
        <f si="1" t="shared"/>
        <v>3.0539759713170576E-6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2.0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2.0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1.5269879856585288E-6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3.0539759713170576E-6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693005.6281333653</v>
      </c>
      <c r="C102" s="11">
        <f si="2" t="shared"/>
        <v>1</v>
      </c>
      <c r="F102" s="341">
        <f>SUM(F11:F101)</f>
        <v>654884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G19" sqref="G1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20000.0</v>
      </c>
      <c r="G11" s="11">
        <f>F11/F$102</f>
        <v>3.2318700716462763E-2</v>
      </c>
      <c r="K11" s="8" t="n">
        <v>21.438274583191962</v>
      </c>
      <c r="L11" s="8" t="n">
        <v>18.633011111708765</v>
      </c>
    </row>
    <row r="12" spans="1:12" x14ac:dyDescent="0.25">
      <c r="A12">
        <v>1</v>
      </c>
      <c r="B12" s="8" t="n">
        <v>1213.9305369145</v>
      </c>
      <c r="C12" s="11">
        <f>B12/B$102</f>
        <v>1.7516892902937368E-3</v>
      </c>
      <c r="E12" s="110">
        <v>1</v>
      </c>
      <c r="F12" s="200" t="n">
        <v>18377.0</v>
      </c>
      <c r="G12" s="11">
        <f>F12/F$102</f>
        <v>2.7803397242870492E-2</v>
      </c>
      <c r="K12" s="8"/>
      <c r="L12" s="290"/>
    </row>
    <row r="13" spans="1:12" x14ac:dyDescent="0.25">
      <c r="A13">
        <v>2</v>
      </c>
      <c r="B13" s="8" t="n">
        <v>3724.920708267</v>
      </c>
      <c r="C13" s="11">
        <f ref="C13:C76" si="0" t="shared">B13/B$102</f>
        <v>5.375022304364545E-3</v>
      </c>
      <c r="E13" s="111">
        <v>2</v>
      </c>
      <c r="F13" s="201" t="n">
        <v>22563.0</v>
      </c>
      <c r="G13" s="11">
        <f ref="G13:G76" si="1" t="shared">F13/F$102</f>
        <v>3.4567954019337772E-2</v>
      </c>
    </row>
    <row r="14" spans="1:12" x14ac:dyDescent="0.25">
      <c r="A14">
        <v>3</v>
      </c>
      <c r="B14" s="8" t="n">
        <v>2645.2681830725</v>
      </c>
      <c r="C14" s="11">
        <f si="0" t="shared"/>
        <v>3.817094805128238E-3</v>
      </c>
      <c r="E14" s="112">
        <v>3</v>
      </c>
      <c r="F14" s="202" t="n">
        <v>23809.0</v>
      </c>
      <c r="G14" s="11">
        <f si="1" t="shared"/>
        <v>3.5954459110315723E-2</v>
      </c>
    </row>
    <row r="15" spans="1:12" x14ac:dyDescent="0.25">
      <c r="A15">
        <v>4</v>
      </c>
      <c r="B15" s="8" t="n">
        <v>9602.4646316111</v>
      </c>
      <c r="C15" s="11">
        <f si="0" t="shared"/>
        <v>1.3856257787509851E-2</v>
      </c>
      <c r="E15" s="113">
        <v>4</v>
      </c>
      <c r="F15" s="203" t="n">
        <v>22889.0</v>
      </c>
      <c r="G15" s="11">
        <f si="1" t="shared"/>
        <v>3.4557265103438164E-2</v>
      </c>
    </row>
    <row r="16" spans="1:12" x14ac:dyDescent="0.25">
      <c r="A16">
        <v>5</v>
      </c>
      <c r="B16" s="8" t="n">
        <v>19641.0360625307</v>
      </c>
      <c r="C16" s="11">
        <f si="0" t="shared"/>
        <v>2.8341813204943965E-2</v>
      </c>
      <c r="E16" s="114">
        <v>5</v>
      </c>
      <c r="F16" s="204" t="n">
        <v>21619.0</v>
      </c>
      <c r="G16" s="11">
        <f si="1" t="shared"/>
        <v>3.2850092535471928E-2</v>
      </c>
    </row>
    <row r="17" spans="1:7" x14ac:dyDescent="0.25">
      <c r="A17">
        <v>6</v>
      </c>
      <c r="B17" s="8" t="n">
        <v>8000.9955353446</v>
      </c>
      <c r="C17" s="11">
        <f si="0" t="shared"/>
        <v>1.1545354338456904E-2</v>
      </c>
      <c r="E17" s="115">
        <v>6</v>
      </c>
      <c r="F17" s="205" t="n">
        <v>20193.0</v>
      </c>
      <c r="G17" s="11">
        <f si="1" t="shared"/>
        <v>3.0752011043177114E-2</v>
      </c>
    </row>
    <row r="18" spans="1:7" x14ac:dyDescent="0.25">
      <c r="A18">
        <v>7</v>
      </c>
      <c r="B18" s="8" t="n">
        <v>16161.2361329308</v>
      </c>
      <c r="C18" s="11">
        <f si="0" t="shared"/>
        <v>2.3320497665309949E-2</v>
      </c>
      <c r="E18" s="116">
        <v>7</v>
      </c>
      <c r="F18" s="206" t="n">
        <v>18785.0</v>
      </c>
      <c r="G18" s="11">
        <f si="1" t="shared"/>
        <v>2.8269128578496346E-2</v>
      </c>
    </row>
    <row r="19" spans="1:7" x14ac:dyDescent="0.25">
      <c r="A19">
        <v>8</v>
      </c>
      <c r="B19" s="8" t="n">
        <v>5561.0997682348</v>
      </c>
      <c r="C19" s="11">
        <f si="0" t="shared"/>
        <v>8.0246098191349684E-3</v>
      </c>
      <c r="E19" s="117">
        <v>8</v>
      </c>
      <c r="F19" s="207" t="n">
        <v>16764.0</v>
      </c>
      <c r="G19" s="11">
        <f si="1" t="shared"/>
        <v>2.5352581525888554E-2</v>
      </c>
    </row>
    <row r="20" spans="1:7" x14ac:dyDescent="0.25">
      <c r="A20">
        <v>9</v>
      </c>
      <c r="B20" s="8" t="n">
        <v>8656.5417390791</v>
      </c>
      <c r="C20" s="11">
        <f si="0" t="shared"/>
        <v>1.2491300773986204E-2</v>
      </c>
      <c r="E20" s="118">
        <v>9</v>
      </c>
      <c r="F20" s="208" t="n">
        <v>14471.0</v>
      </c>
      <c r="G20" s="11">
        <f si="1" t="shared"/>
        <v>2.203596362103823E-2</v>
      </c>
    </row>
    <row r="21" spans="1:7" x14ac:dyDescent="0.25">
      <c r="A21">
        <v>10</v>
      </c>
      <c r="B21" s="8" t="n">
        <v>7359.6219826975</v>
      </c>
      <c r="C21" s="11">
        <f si="0" t="shared"/>
        <v>1.0619858892807116E-2</v>
      </c>
      <c r="E21" s="119">
        <v>10</v>
      </c>
      <c r="F21" s="209" t="n">
        <v>13245.0</v>
      </c>
      <c r="G21" s="11">
        <f si="1" t="shared"/>
        <v>2.0110431771122823E-2</v>
      </c>
    </row>
    <row r="22" spans="1:7" x14ac:dyDescent="0.25">
      <c r="A22">
        <v>11</v>
      </c>
      <c r="B22" s="8" t="n">
        <v>10031.66077502</v>
      </c>
      <c r="C22" s="11">
        <f si="0" t="shared"/>
        <v>1.4475583411985595E-2</v>
      </c>
      <c r="E22" s="120">
        <v>11</v>
      </c>
      <c r="F22" s="210" t="n">
        <v>12196.0</v>
      </c>
      <c r="G22" s="11">
        <f si="1" t="shared"/>
        <v>1.8409367155099225E-2</v>
      </c>
    </row>
    <row r="23" spans="1:7" x14ac:dyDescent="0.25">
      <c r="A23">
        <v>12</v>
      </c>
      <c r="B23" s="8" t="n">
        <v>15301.0160014367</v>
      </c>
      <c r="C23" s="11">
        <f si="0" t="shared"/>
        <v>2.2079208855273681E-2</v>
      </c>
      <c r="E23" s="121">
        <v>12</v>
      </c>
      <c r="F23" s="211" t="n">
        <v>11006.0</v>
      </c>
      <c r="G23" s="11">
        <f si="1" t="shared"/>
        <v>1.6535752896696208E-2</v>
      </c>
    </row>
    <row r="24" spans="1:7" x14ac:dyDescent="0.25">
      <c r="A24">
        <v>13</v>
      </c>
      <c r="B24" s="8" t="n">
        <v>23277.0725717489</v>
      </c>
      <c r="C24" s="11">
        <f si="0" t="shared"/>
        <v>3.3588576523464177E-2</v>
      </c>
      <c r="E24" s="122">
        <v>13</v>
      </c>
      <c r="F24" s="212" t="n">
        <v>9609.0</v>
      </c>
      <c r="G24" s="11">
        <f si="1" t="shared"/>
        <v>1.469725936196334E-2</v>
      </c>
    </row>
    <row r="25" spans="1:7" x14ac:dyDescent="0.25">
      <c r="A25">
        <v>14</v>
      </c>
      <c r="B25" s="8" t="n">
        <v>16064.9921828491</v>
      </c>
      <c r="C25" s="11">
        <f si="0" t="shared"/>
        <v>2.3181618634354695E-2</v>
      </c>
      <c r="E25" s="123">
        <v>14</v>
      </c>
      <c r="F25" s="213" t="n">
        <v>8690.0</v>
      </c>
      <c r="G25" s="11">
        <f si="1" t="shared"/>
        <v>1.296260101025525E-2</v>
      </c>
    </row>
    <row r="26" spans="1:7" x14ac:dyDescent="0.25">
      <c r="A26">
        <v>15</v>
      </c>
      <c r="B26" s="8" t="n">
        <v>8465.853863869701</v>
      </c>
      <c r="C26" s="11">
        <f si="0" t="shared"/>
        <v>1.2216140129587074E-2</v>
      </c>
      <c r="E26" s="124">
        <v>15</v>
      </c>
      <c r="F26" s="214" t="n">
        <v>7631.0</v>
      </c>
      <c r="G26" s="11">
        <f si="1" t="shared"/>
        <v>1.1534867243664527E-2</v>
      </c>
    </row>
    <row r="27" spans="1:7" x14ac:dyDescent="0.25">
      <c r="A27">
        <v>16</v>
      </c>
      <c r="B27" s="8" t="n">
        <v>29706.9973393438</v>
      </c>
      <c r="C27" s="11">
        <f si="0" t="shared"/>
        <v>4.286689188854155E-2</v>
      </c>
      <c r="E27" s="125">
        <v>16</v>
      </c>
      <c r="F27" s="215" t="n">
        <v>7069.0</v>
      </c>
      <c r="G27" s="11">
        <f si="1" t="shared"/>
        <v>1.0493461437445411E-2</v>
      </c>
    </row>
    <row r="28" spans="1:7" x14ac:dyDescent="0.25">
      <c r="A28">
        <v>17</v>
      </c>
      <c r="B28" s="8" t="n">
        <v>18898.32397571</v>
      </c>
      <c r="C28" s="11">
        <f si="0" t="shared"/>
        <v>2.7270087295846773E-2</v>
      </c>
      <c r="E28" s="126">
        <v>17</v>
      </c>
      <c r="F28" s="216" t="n">
        <v>6394.0</v>
      </c>
      <c r="G28" s="11">
        <f si="1" t="shared"/>
        <v>9.2810329768325383E-3</v>
      </c>
    </row>
    <row r="29" spans="1:7" x14ac:dyDescent="0.25">
      <c r="A29">
        <v>18</v>
      </c>
      <c r="B29" s="8" t="n">
        <v>87092.3056741732</v>
      </c>
      <c r="C29" s="11">
        <f si="0" t="shared"/>
        <v>0.12567330211842484</v>
      </c>
      <c r="E29" s="127">
        <v>18</v>
      </c>
      <c r="F29" s="217" t="n">
        <v>63239.0</v>
      </c>
      <c r="G29" s="11">
        <f si="1" t="shared"/>
        <v>9.6381954666780678E-2</v>
      </c>
    </row>
    <row r="30" spans="1:7" x14ac:dyDescent="0.25">
      <c r="A30">
        <v>19</v>
      </c>
      <c r="B30" s="8" t="n">
        <v>38877.9770599762</v>
      </c>
      <c r="C30" s="11">
        <f si="0" t="shared"/>
        <v>5.6100521383492044E-2</v>
      </c>
      <c r="E30" s="128">
        <v>19</v>
      </c>
      <c r="F30" s="218" t="n">
        <v>22009.0</v>
      </c>
      <c r="G30" s="11">
        <f si="1" t="shared"/>
        <v>3.3286811099370268E-2</v>
      </c>
    </row>
    <row r="31" spans="1:7" x14ac:dyDescent="0.25">
      <c r="A31">
        <v>20</v>
      </c>
      <c r="B31" s="8" t="n">
        <v>53231.2618817285</v>
      </c>
      <c r="C31" s="11">
        <f si="0" t="shared"/>
        <v>7.6812163885463303E-2</v>
      </c>
      <c r="E31" s="129">
        <v>20</v>
      </c>
      <c r="F31" s="219" t="n">
        <v>25618.0</v>
      </c>
      <c r="G31" s="11">
        <f si="1" t="shared"/>
        <v>3.91916736399118E-2</v>
      </c>
    </row>
    <row r="32" spans="1:7" x14ac:dyDescent="0.25">
      <c r="A32">
        <v>21</v>
      </c>
      <c r="B32" s="8" t="n">
        <v>48937.8608934801</v>
      </c>
      <c r="C32" s="11">
        <f si="0" t="shared"/>
        <v>7.061683037884689E-2</v>
      </c>
      <c r="E32" s="130">
        <v>21</v>
      </c>
      <c r="F32" s="220" t="n">
        <v>26731.0</v>
      </c>
      <c r="G32" s="11">
        <f si="1" t="shared"/>
        <v>4.0045259923894919E-2</v>
      </c>
    </row>
    <row r="33" spans="1:7" x14ac:dyDescent="0.25">
      <c r="A33">
        <v>22</v>
      </c>
      <c r="B33" s="8" t="n">
        <v>38944.0603750188</v>
      </c>
      <c r="C33" s="11">
        <f si="0" t="shared"/>
        <v>5.6195878928019645E-2</v>
      </c>
      <c r="E33" s="131">
        <v>22</v>
      </c>
      <c r="F33" s="221" t="n">
        <v>28475.0</v>
      </c>
      <c r="G33" s="11">
        <f si="1" t="shared"/>
        <v>4.2082261896763395E-2</v>
      </c>
    </row>
    <row r="34" spans="1:7" x14ac:dyDescent="0.25">
      <c r="A34">
        <v>23</v>
      </c>
      <c r="B34" s="8" t="n">
        <v>18480.310125207</v>
      </c>
      <c r="C34" s="11">
        <f si="0" t="shared"/>
        <v>2.666689760512387E-2</v>
      </c>
      <c r="E34" s="132">
        <v>23</v>
      </c>
      <c r="F34" s="222" t="n">
        <v>18683.0</v>
      </c>
      <c r="G34" s="11">
        <f si="1" t="shared"/>
        <v>2.8484433884474195E-2</v>
      </c>
    </row>
    <row r="35" spans="1:7" x14ac:dyDescent="0.25">
      <c r="A35">
        <v>24</v>
      </c>
      <c r="B35" s="8" t="n">
        <v>14734.3944023222</v>
      </c>
      <c r="C35" s="11">
        <f si="0" t="shared"/>
        <v>2.1261579710412745E-2</v>
      </c>
      <c r="E35" s="133">
        <v>24</v>
      </c>
      <c r="F35" s="223" t="n">
        <v>16333.0</v>
      </c>
      <c r="G35" s="11">
        <f si="1" t="shared"/>
        <v>2.9898424759193996E-2</v>
      </c>
    </row>
    <row r="36" spans="1:7" x14ac:dyDescent="0.25">
      <c r="A36">
        <v>25</v>
      </c>
      <c r="B36" s="8" t="n">
        <v>10746.7671929896</v>
      </c>
      <c r="C36" s="11">
        <f si="0" t="shared"/>
        <v>1.5507474624609314E-2</v>
      </c>
      <c r="E36" s="134">
        <v>25</v>
      </c>
      <c r="F36" s="224" t="n">
        <v>18487.0</v>
      </c>
      <c r="G36" s="11">
        <f si="1" t="shared"/>
        <v>2.2515437848535009E-2</v>
      </c>
    </row>
    <row r="37" spans="1:7" x14ac:dyDescent="0.25">
      <c r="A37">
        <v>26</v>
      </c>
      <c r="B37" s="8" t="n">
        <v>49781.3005479815</v>
      </c>
      <c r="C37" s="11">
        <f si="0" t="shared"/>
        <v>7.183390513302057E-2</v>
      </c>
      <c r="E37" s="135">
        <v>26</v>
      </c>
      <c r="F37" s="225" t="n">
        <v>15321.0</v>
      </c>
      <c r="G37" s="11">
        <f si="1" t="shared"/>
        <v>2.2721581226598907E-2</v>
      </c>
    </row>
    <row r="38" spans="1:7" x14ac:dyDescent="0.25">
      <c r="A38">
        <v>27</v>
      </c>
      <c r="B38" s="8" t="n">
        <v>5870.9688970816</v>
      </c>
      <c r="C38" s="11">
        <f si="0" t="shared"/>
        <v>8.4717477878141594E-3</v>
      </c>
      <c r="E38" s="136">
        <v>27</v>
      </c>
      <c r="F38" s="226" t="n">
        <v>9135.0</v>
      </c>
      <c r="G38" s="11">
        <f si="1" t="shared"/>
        <v>1.9304182114695121E-2</v>
      </c>
    </row>
    <row r="39" spans="1:7" x14ac:dyDescent="0.25">
      <c r="A39">
        <v>28</v>
      </c>
      <c r="B39" s="8" t="n">
        <v>18355.4837541039</v>
      </c>
      <c r="C39" s="11">
        <f si="0" t="shared"/>
        <v>2.6486774434350605E-2</v>
      </c>
      <c r="E39" s="137">
        <v>28</v>
      </c>
      <c r="F39" s="227" t="n">
        <v>12920.0</v>
      </c>
      <c r="G39" s="11">
        <f si="1" t="shared"/>
        <v>1.447890008001417E-2</v>
      </c>
    </row>
    <row r="40" spans="1:7" x14ac:dyDescent="0.25">
      <c r="A40">
        <v>29</v>
      </c>
      <c r="B40" s="8" t="n">
        <v>7071.405267097301</v>
      </c>
      <c r="C40" s="11">
        <f si="0" t="shared"/>
        <v>1.0203965133940363E-2</v>
      </c>
      <c r="E40" s="138">
        <v>29</v>
      </c>
      <c r="F40" s="228" t="n">
        <v>15188.0</v>
      </c>
      <c r="G40" s="11">
        <f si="1" t="shared"/>
        <v>2.4271474032042314E-2</v>
      </c>
    </row>
    <row r="41" spans="1:7" x14ac:dyDescent="0.25">
      <c r="A41">
        <v>30</v>
      </c>
      <c r="B41" s="8" t="n">
        <v>2720.998350516</v>
      </c>
      <c r="C41" s="11">
        <f si="0" t="shared"/>
        <v>3.9263726585382908E-3</v>
      </c>
      <c r="E41" s="139">
        <v>30</v>
      </c>
      <c r="F41" s="229" t="n">
        <v>13591.0</v>
      </c>
      <c r="G41" s="11">
        <f si="1" t="shared"/>
        <v>2.0750239737113749E-2</v>
      </c>
    </row>
    <row r="42" spans="1:7" x14ac:dyDescent="0.25">
      <c r="A42">
        <v>31</v>
      </c>
      <c r="B42" s="8" t="n">
        <v>3225.8521512005</v>
      </c>
      <c r="C42" s="11">
        <f si="0" t="shared"/>
        <v>4.6548715049969285E-3</v>
      </c>
      <c r="E42" s="140">
        <v>31</v>
      </c>
      <c r="F42" s="230" t="n">
        <v>8133.0</v>
      </c>
      <c r="G42" s="11">
        <f si="1" t="shared"/>
        <v>1.4491115983899438E-2</v>
      </c>
    </row>
    <row r="43" spans="1:7" x14ac:dyDescent="0.25">
      <c r="A43">
        <v>32</v>
      </c>
      <c r="B43" s="8" t="n">
        <v>4062.4202194034997</v>
      </c>
      <c r="C43" s="11">
        <f si="0" t="shared"/>
        <v>5.8620306307551493E-3</v>
      </c>
      <c r="E43" s="141">
        <v>32</v>
      </c>
      <c r="F43" s="231" t="n">
        <v>15730.0</v>
      </c>
      <c r="G43" s="11">
        <f si="1" t="shared"/>
        <v>1.9270588379010634E-2</v>
      </c>
    </row>
    <row r="44" spans="1:7" x14ac:dyDescent="0.25">
      <c r="A44">
        <v>33</v>
      </c>
      <c r="B44" s="8" t="n">
        <v>3850.7217127266</v>
      </c>
      <c r="C44" s="11">
        <f si="0" t="shared"/>
        <v>5.5565518610558072E-3</v>
      </c>
      <c r="E44" s="142">
        <v>33</v>
      </c>
      <c r="F44" s="232" t="n">
        <v>10276.0</v>
      </c>
      <c r="G44" s="11">
        <f si="1" t="shared"/>
        <v>1.5024034790894265E-2</v>
      </c>
    </row>
    <row r="45" spans="1:7" x14ac:dyDescent="0.25">
      <c r="A45">
        <v>34</v>
      </c>
      <c r="B45" s="8" t="n">
        <v>7610.0547515784</v>
      </c>
      <c r="C45" s="11">
        <f si="0" t="shared"/>
        <v>1.0981230804829604E-2</v>
      </c>
      <c r="E45" s="143">
        <v>34</v>
      </c>
      <c r="F45" s="233" t="n">
        <v>8045.0</v>
      </c>
      <c r="G45" s="11">
        <f si="1" t="shared"/>
        <v>1.0268994203553606E-2</v>
      </c>
    </row>
    <row r="46" spans="1:7" x14ac:dyDescent="0.25">
      <c r="A46">
        <v>35</v>
      </c>
      <c r="B46" s="8" t="n">
        <v>1448.9269749027</v>
      </c>
      <c r="C46" s="11">
        <f si="0" t="shared"/>
        <v>2.0907867354633685E-3</v>
      </c>
      <c r="E46" s="144">
        <v>35</v>
      </c>
      <c r="F46" s="234" t="n">
        <v>5893.0</v>
      </c>
      <c r="G46" s="11">
        <f si="1" t="shared"/>
        <v>9.6566720213045361E-3</v>
      </c>
    </row>
    <row r="47" spans="1:7" x14ac:dyDescent="0.25">
      <c r="A47">
        <v>36</v>
      </c>
      <c r="B47" s="8" t="n">
        <v>1422.0057125692</v>
      </c>
      <c r="C47" s="11">
        <f si="0" t="shared"/>
        <v>2.051939630561763E-3</v>
      </c>
      <c r="E47" s="145">
        <v>36</v>
      </c>
      <c r="F47" s="235" t="n">
        <v>5373.0</v>
      </c>
      <c r="G47" s="11">
        <f si="1" t="shared"/>
        <v>1.1183660006963065E-2</v>
      </c>
    </row>
    <row r="48" spans="1:7" x14ac:dyDescent="0.25">
      <c r="A48">
        <v>37</v>
      </c>
      <c r="B48" s="8" t="n">
        <v>10426.127244151</v>
      </c>
      <c r="C48" s="11">
        <f si="0" t="shared"/>
        <v>1.5044794473363996E-2</v>
      </c>
      <c r="E48" s="146">
        <v>37</v>
      </c>
      <c r="F48" s="236" t="n">
        <v>9686.0</v>
      </c>
      <c r="G48" s="11">
        <f si="1" t="shared"/>
        <v>9.7055356368456087E-3</v>
      </c>
    </row>
    <row r="49" spans="1:7" x14ac:dyDescent="0.25">
      <c r="A49">
        <v>38</v>
      </c>
      <c r="B49" s="8" t="n">
        <v>8690.7760060842</v>
      </c>
      <c r="C49" s="11">
        <f si="0" t="shared"/>
        <v>1.2540700469479743E-2</v>
      </c>
      <c r="E49" s="147">
        <v>38</v>
      </c>
      <c r="F49" s="237" t="n">
        <v>5994.0</v>
      </c>
      <c r="G49" s="11">
        <f si="1" t="shared"/>
        <v>9.4215158715131222E-3</v>
      </c>
    </row>
    <row r="50" spans="1:7" x14ac:dyDescent="0.25">
      <c r="A50">
        <v>39</v>
      </c>
      <c r="B50" s="8" t="n">
        <v>1092.3468692406</v>
      </c>
      <c r="C50" s="11">
        <f si="0" t="shared"/>
        <v>1.5762453072464566E-3</v>
      </c>
      <c r="E50" s="148">
        <v>39</v>
      </c>
      <c r="F50" s="238" t="n">
        <v>4778.0</v>
      </c>
      <c r="G50" s="11">
        <f si="1" t="shared"/>
        <v>6.8622840075494287E-3</v>
      </c>
    </row>
    <row r="51" spans="1:7" x14ac:dyDescent="0.25">
      <c r="A51">
        <v>40</v>
      </c>
      <c r="B51" s="8" t="n">
        <v>515.9615593377</v>
      </c>
      <c r="C51" s="11">
        <f si="0" t="shared"/>
        <v>7.4452722805074521E-4</v>
      </c>
      <c r="E51" s="149">
        <v>40</v>
      </c>
      <c r="F51" s="239" t="n">
        <v>3835.0</v>
      </c>
      <c r="G51" s="11">
        <f si="1" t="shared"/>
        <v>5.6238967511803616E-3</v>
      </c>
    </row>
    <row r="52" spans="1:7" x14ac:dyDescent="0.25">
      <c r="A52">
        <v>41</v>
      </c>
      <c r="B52" s="8" t="n">
        <v>2505.9070916342002</v>
      </c>
      <c r="C52" s="11">
        <f si="0" t="shared"/>
        <v>3.6159981822715464E-3</v>
      </c>
      <c r="E52" s="150">
        <v>41</v>
      </c>
      <c r="F52" s="240" t="n">
        <v>2285.0</v>
      </c>
      <c r="G52" s="11">
        <f si="1" t="shared"/>
        <v>3.603691646154128E-3</v>
      </c>
    </row>
    <row r="53" spans="1:7" x14ac:dyDescent="0.25">
      <c r="A53">
        <v>42</v>
      </c>
      <c r="B53" s="8" t="n">
        <v>1195.9900334889999</v>
      </c>
      <c r="C53" s="11">
        <f si="0" t="shared"/>
        <v>1.7258013282091813E-3</v>
      </c>
      <c r="E53" s="151">
        <v>42</v>
      </c>
      <c r="F53" s="241" t="n">
        <v>2005.0</v>
      </c>
      <c r="G53" s="11">
        <f si="1" t="shared"/>
        <v>4.6710562481294396E-3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4866.0</v>
      </c>
      <c r="G54" s="11">
        <f si="1" t="shared"/>
        <v>5.4024834932598752E-3</v>
      </c>
    </row>
    <row r="55" spans="1:7" x14ac:dyDescent="0.25">
      <c r="A55">
        <v>44</v>
      </c>
      <c r="B55" s="8" t="n">
        <v>157.2505044592</v>
      </c>
      <c r="C55" s="11">
        <f si="0" t="shared"/>
        <v>2.2691086201241927E-4</v>
      </c>
      <c r="E55" s="153">
        <v>44</v>
      </c>
      <c r="F55" s="243" t="n">
        <v>1541.0</v>
      </c>
      <c r="G55" s="11">
        <f si="1" t="shared"/>
        <v>2.8004959656977419E-3</v>
      </c>
    </row>
    <row r="56" spans="1:7" x14ac:dyDescent="0.25">
      <c r="A56">
        <v>45</v>
      </c>
      <c r="B56" s="8" t="n">
        <v>28048.9221955688</v>
      </c>
      <c r="C56" s="11">
        <f si="0" t="shared"/>
        <v>4.0474306494623351E-2</v>
      </c>
      <c r="E56" s="154">
        <v>45</v>
      </c>
      <c r="F56" s="244" t="n">
        <v>1490.0</v>
      </c>
      <c r="G56" s="11">
        <f si="1" t="shared"/>
        <v>2.0751766725099407E-3</v>
      </c>
    </row>
    <row r="57" spans="1:7" x14ac:dyDescent="0.25">
      <c r="A57">
        <v>46</v>
      </c>
      <c r="B57" s="8" t="n">
        <v>1606.876750787</v>
      </c>
      <c r="C57" s="11">
        <f si="0" t="shared"/>
        <v>2.3187066389564227E-3</v>
      </c>
      <c r="E57" s="155">
        <v>46</v>
      </c>
      <c r="F57" s="245" t="n">
        <v>1445.0</v>
      </c>
      <c r="G57" s="11">
        <f si="1" t="shared"/>
        <v>2.2461993269036959E-3</v>
      </c>
    </row>
    <row r="58" spans="1:7" x14ac:dyDescent="0.25">
      <c r="A58">
        <v>47</v>
      </c>
      <c r="B58" s="8" t="n">
        <v>1338.746931964</v>
      </c>
      <c r="C58" s="11">
        <f si="0" t="shared"/>
        <v>1.931798065724172E-3</v>
      </c>
      <c r="E58" s="156">
        <v>47</v>
      </c>
      <c r="F58" s="246" t="n">
        <v>1330.0</v>
      </c>
      <c r="G58" s="11">
        <f si="1" t="shared"/>
        <v>2.8569945211671076E-3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1470.0</v>
      </c>
      <c r="G59" s="11">
        <f si="1" t="shared"/>
        <v>1.4094099107628221E-3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840.0</v>
      </c>
      <c r="G60" s="11">
        <f si="1" t="shared"/>
        <v>1.2872508719101398E-3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758.0</v>
      </c>
      <c r="G61" s="11">
        <f si="1" t="shared"/>
        <v>1.3009937637810667E-3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1018.0</v>
      </c>
      <c r="G62" s="11">
        <f si="1" t="shared"/>
        <v>1.5453118414864313E-3</v>
      </c>
    </row>
    <row r="63" spans="1:7" x14ac:dyDescent="0.25">
      <c r="A63">
        <v>52</v>
      </c>
      <c r="B63" s="8" t="n">
        <v>1089.82717822</v>
      </c>
      <c r="C63" s="11">
        <f si="0" t="shared"/>
        <v>1.5726094189963324E-3</v>
      </c>
      <c r="E63" s="161">
        <v>52</v>
      </c>
      <c r="F63" s="251" t="n">
        <v>599.0</v>
      </c>
      <c r="G63" s="11">
        <f si="1" t="shared"/>
        <v>9.7421833485014143E-4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570.0</v>
      </c>
      <c r="G64" s="11">
        <f si="1" t="shared"/>
        <v>1.0811074938462384E-3</v>
      </c>
    </row>
    <row r="65" spans="1:7" x14ac:dyDescent="0.25">
      <c r="A65">
        <v>54</v>
      </c>
      <c r="B65" s="8" t="n">
        <v>10526.631561496999</v>
      </c>
      <c r="C65" s="11">
        <f si="0" t="shared"/>
        <v>1.5189821170501669E-2</v>
      </c>
      <c r="E65" s="163">
        <v>54</v>
      </c>
      <c r="F65" s="253" t="n">
        <v>588.0</v>
      </c>
      <c r="G65" s="11">
        <f si="1" t="shared"/>
        <v>7.5891302887228884E-4</v>
      </c>
    </row>
    <row r="66" spans="1:7" x14ac:dyDescent="0.25">
      <c r="A66">
        <v>55</v>
      </c>
      <c r="B66" s="8" t="n">
        <v>183.053312801</v>
      </c>
      <c r="C66" s="11">
        <f si="0" t="shared"/>
        <v>2.6414404929734909E-4</v>
      </c>
      <c r="E66" s="164">
        <v>55</v>
      </c>
      <c r="F66" s="254" t="n">
        <v>453.0</v>
      </c>
      <c r="G66" s="11">
        <f si="1" t="shared"/>
        <v>5.2833784303785093E-4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352.0</v>
      </c>
      <c r="G67" s="11">
        <f si="1" t="shared"/>
        <v>5.8636338649287504E-4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313.0</v>
      </c>
      <c r="G68" s="11">
        <f si="1" t="shared"/>
        <v>5.5582362677970452E-4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235.0</v>
      </c>
      <c r="G69" s="11">
        <f si="1" t="shared"/>
        <v>3.0387060914604722E-4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236.0</v>
      </c>
      <c r="G70" s="11">
        <f si="1" t="shared"/>
        <v>3.3135639288790075E-4</v>
      </c>
    </row>
    <row r="71" spans="1:7" x14ac:dyDescent="0.25">
      <c r="A71">
        <v>60</v>
      </c>
      <c r="B71" s="8" t="n">
        <v>643.990712412</v>
      </c>
      <c r="C71" s="11">
        <f si="0" t="shared"/>
        <v>9.2927198029633799E-4</v>
      </c>
      <c r="E71" s="169">
        <v>60</v>
      </c>
      <c r="F71" s="259" t="n">
        <v>208.0</v>
      </c>
      <c r="G71" s="11">
        <f si="1" t="shared"/>
        <v>3.023436211603887E-4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131.0</v>
      </c>
      <c r="G72" s="11">
        <f si="1" t="shared"/>
        <v>2.6722289749024256E-4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161.0</v>
      </c>
      <c r="G73" s="11">
        <f si="1" t="shared"/>
        <v>2.4126410173404755E-4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135.0</v>
      </c>
      <c r="G74" s="11">
        <f si="1" t="shared"/>
        <v>3.3746434483053489E-4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93.0</v>
      </c>
      <c r="G75" s="11">
        <f si="1" t="shared"/>
        <v>1.5117181058019435E-4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164.0</v>
      </c>
      <c r="G76" s="11">
        <f si="1" t="shared"/>
        <v>1.4811783460887731E-4</v>
      </c>
    </row>
    <row r="77" spans="1:7" x14ac:dyDescent="0.25">
      <c r="A77">
        <v>66</v>
      </c>
      <c r="B77" s="8" t="n">
        <v>250.40304101</v>
      </c>
      <c r="C77" s="11">
        <f ref="C77:C102" si="2" t="shared">B77/B$102</f>
        <v>3.6132901501026665E-4</v>
      </c>
      <c r="E77" s="175">
        <v>66</v>
      </c>
      <c r="F77" s="265" t="n">
        <v>81.0</v>
      </c>
      <c r="G77" s="11">
        <f ref="G77:G102" si="3" t="shared">F77/F$102</f>
        <v>1.007812070534629E-4</v>
      </c>
    </row>
    <row r="78" spans="1:7" x14ac:dyDescent="0.25">
      <c r="A78">
        <v>67</v>
      </c>
      <c r="B78" s="8" t="n">
        <v>1607.34705911</v>
      </c>
      <c r="C78" s="11">
        <f si="2" t="shared"/>
        <v>2.3193852890335755E-3</v>
      </c>
      <c r="E78" s="176">
        <v>67</v>
      </c>
      <c r="F78" s="266" t="n">
        <v>55.0</v>
      </c>
      <c r="G78" s="11">
        <f si="3" t="shared"/>
        <v>9.9254219067804379E-5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63.0</v>
      </c>
      <c r="G79" s="11">
        <f si="3" t="shared"/>
        <v>8.3984339211219092E-5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38.0</v>
      </c>
      <c r="G80" s="11">
        <f si="3" t="shared"/>
        <v>7.9403375254243503E-5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40.0</v>
      </c>
      <c r="G81" s="11">
        <f si="3" t="shared"/>
        <v>3.8174699641463224E-5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38.0</v>
      </c>
      <c r="G82" s="11">
        <f si="3" t="shared"/>
        <v>7.0241447340292325E-5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41.0</v>
      </c>
      <c r="G83" s="11">
        <f si="3" t="shared"/>
        <v>5.3444579498048511E-5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38.0</v>
      </c>
      <c r="G84" s="11">
        <f si="3" t="shared"/>
        <v>4.1228675612780279E-5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23.0</v>
      </c>
      <c r="G85" s="11">
        <f si="3" t="shared"/>
        <v>4.8863615541072922E-5</v>
      </c>
    </row>
    <row r="86" spans="1:7" x14ac:dyDescent="0.25">
      <c r="A86">
        <v>75</v>
      </c>
      <c r="B86" s="8" t="n">
        <v>444.572467296</v>
      </c>
      <c r="C86" s="11">
        <f si="2" t="shared"/>
        <v>6.4151350183615588E-4</v>
      </c>
      <c r="E86" s="184">
        <v>75</v>
      </c>
      <c r="F86" s="274" t="n">
        <v>11.0</v>
      </c>
      <c r="G86" s="11">
        <f si="3" t="shared"/>
        <v>2.4431807770536461E-5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11.0</v>
      </c>
      <c r="G87" s="11">
        <f si="3" t="shared"/>
        <v>7.6349399282926435E-6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12.0</v>
      </c>
      <c r="G88" s="11">
        <f si="3" t="shared"/>
        <v>2.9012771727512047E-5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12.0</v>
      </c>
      <c r="G89" s="11">
        <f si="3" t="shared"/>
        <v>2.7485783741853519E-5</v>
      </c>
    </row>
    <row r="90" spans="1:7" x14ac:dyDescent="0.25">
      <c r="A90">
        <v>79</v>
      </c>
      <c r="B90" s="8" t="n">
        <v>256.371317496</v>
      </c>
      <c r="C90" s="11">
        <f si="2" t="shared"/>
        <v>3.6994117664894736E-4</v>
      </c>
      <c r="E90" s="188">
        <v>79</v>
      </c>
      <c r="F90" s="278" t="n">
        <v>18.0</v>
      </c>
      <c r="G90" s="11">
        <f si="3" t="shared"/>
        <v>9.1619279139511725E-6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11.0</v>
      </c>
      <c r="G91" s="11">
        <f si="3" t="shared"/>
        <v>1.374289187092676E-5</v>
      </c>
    </row>
    <row r="92" spans="1:7" x14ac:dyDescent="0.25">
      <c r="A92">
        <v>81</v>
      </c>
      <c r="B92" s="8" t="n">
        <v>668.711535771</v>
      </c>
      <c r="C92" s="11">
        <f si="2" t="shared"/>
        <v>9.649438743696753E-4</v>
      </c>
      <c r="E92" s="190">
        <v>81</v>
      </c>
      <c r="F92" s="280" t="n">
        <v>10.0</v>
      </c>
      <c r="G92" s="11">
        <f si="3" t="shared"/>
        <v>6.1079519426341153E-6</v>
      </c>
    </row>
    <row r="93" spans="1:7" x14ac:dyDescent="0.25">
      <c r="A93">
        <v>82</v>
      </c>
      <c r="B93" s="8" t="n">
        <v>569.501209051</v>
      </c>
      <c r="C93" s="11">
        <f si="2" t="shared"/>
        <v>8.2178439240814145E-4</v>
      </c>
      <c r="E93" s="191">
        <v>82</v>
      </c>
      <c r="F93" s="281" t="n">
        <v>6.0</v>
      </c>
      <c r="G93" s="11">
        <f si="3" t="shared"/>
        <v>7.6349399282926435E-6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11.0</v>
      </c>
      <c r="G94" s="11">
        <f si="3" t="shared"/>
        <v>7.6349399282926435E-6</v>
      </c>
    </row>
    <row r="95" spans="1:7" x14ac:dyDescent="0.25">
      <c r="A95">
        <v>84</v>
      </c>
      <c r="B95" s="8" t="n">
        <v>258.883817246</v>
      </c>
      <c r="C95" s="11">
        <f si="2" t="shared"/>
        <v>3.7356668796949385E-4</v>
      </c>
      <c r="E95" s="193">
        <v>84</v>
      </c>
      <c r="F95" s="283" t="n">
        <v>3.0</v>
      </c>
      <c r="G95" s="11">
        <f si="3" t="shared"/>
        <v>6.1079519426341153E-6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3.0</v>
      </c>
      <c r="G96" s="11">
        <f si="3" t="shared"/>
        <v>7.6349399282926435E-6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3.0</v>
      </c>
      <c r="G97" s="11">
        <f si="3" t="shared"/>
        <v>9.1619279139511725E-6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6.0</v>
      </c>
      <c r="G98" s="11">
        <f si="3" t="shared"/>
        <v>9.1619279139511725E-6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1.0688915899609702E-5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5.0</v>
      </c>
      <c r="G100" s="11">
        <f si="3" t="shared"/>
        <v>3.0539759713170576E-6</v>
      </c>
    </row>
    <row ht="15.75" r="101" spans="1:7" thickBot="1" x14ac:dyDescent="0.3">
      <c r="A101" s="1">
        <v>90</v>
      </c>
      <c r="B101" s="9" t="n">
        <v>149.321800022</v>
      </c>
      <c r="C101" s="11">
        <f si="2" t="shared"/>
        <v>2.1546982298571433E-4</v>
      </c>
      <c r="E101" s="292">
        <v>90</v>
      </c>
      <c r="F101" s="292" t="n">
        <v>9.0</v>
      </c>
      <c r="G101" s="11">
        <f si="3" t="shared"/>
        <v>3.2066747698829108E-5</v>
      </c>
    </row>
    <row r="102" spans="1:7" x14ac:dyDescent="0.25">
      <c r="B102" s="8">
        <f>SUM(B11:B101)</f>
        <v>693005.6281333653</v>
      </c>
      <c r="C102" s="11">
        <f si="2" t="shared"/>
        <v>1</v>
      </c>
      <c r="F102" s="8">
        <f>SUM(F11:F101)</f>
        <v>654884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3" workbookViewId="0" zoomScaleNormal="100">
      <selection activeCell="AD37" sqref="AD37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10457.0</v>
      </c>
      <c r="N7" s="343" t="n">
        <v>5406.0</v>
      </c>
      <c r="O7" s="343" t="n">
        <v>1010.0</v>
      </c>
      <c r="P7" s="343" t="n">
        <v>2106.0</v>
      </c>
      <c r="Q7" s="343" t="n">
        <v>840.0</v>
      </c>
      <c r="R7" s="343" t="n">
        <v>393.0</v>
      </c>
      <c r="S7" s="343" t="n">
        <v>2470.0</v>
      </c>
      <c r="T7" s="291"/>
      <c r="U7" s="12">
        <f>SUM(M7:T7)</f>
        <v>22590</v>
      </c>
    </row>
    <row r="8" spans="1:21" x14ac:dyDescent="0.2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1607.0709929650002</v>
      </c>
      <c r="K8" s="12"/>
      <c r="L8" t="str">
        <f>$A$8</f>
        <v>Bellevue Downtown</v>
      </c>
      <c r="M8" s="343" t="n">
        <v>322.0</v>
      </c>
      <c r="N8" s="343" t="n">
        <v>1465.0</v>
      </c>
      <c r="O8" s="343" t="n">
        <v>29.0</v>
      </c>
      <c r="P8" s="343" t="n">
        <v>20.0</v>
      </c>
      <c r="Q8" s="343" t="n">
        <v>16.0</v>
      </c>
      <c r="R8" s="343" t="n">
        <v>3.0</v>
      </c>
      <c r="S8" s="343" t="n">
        <v>19.0</v>
      </c>
      <c r="T8" s="291"/>
      <c r="U8" s="12">
        <f ref="U8:U14" si="1" t="shared">SUM(M8:T8)</f>
        <v>1893</v>
      </c>
    </row>
    <row r="9" spans="1:21" x14ac:dyDescent="0.2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si="0" t="shared"/>
        <v>20932.738866469503</v>
      </c>
      <c r="K9" s="13"/>
      <c r="L9" t="str">
        <f>$A$9</f>
        <v>Kirkland</v>
      </c>
      <c r="M9" s="343" t="n">
        <v>916.0</v>
      </c>
      <c r="N9" s="343" t="n">
        <v>1047.0</v>
      </c>
      <c r="O9" s="343" t="n">
        <v>12103.0</v>
      </c>
      <c r="P9" s="343" t="n">
        <v>2313.0</v>
      </c>
      <c r="Q9" s="343" t="n">
        <v>1245.0</v>
      </c>
      <c r="R9" s="343" t="n">
        <v>190.0</v>
      </c>
      <c r="S9" s="343" t="n">
        <v>1937.0</v>
      </c>
      <c r="T9" s="291"/>
      <c r="U9" s="12">
        <f si="1" t="shared"/>
        <v>19820</v>
      </c>
    </row>
    <row r="10" spans="1:21" x14ac:dyDescent="0.2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si="0" t="shared"/>
        <v>19696.594297641499</v>
      </c>
      <c r="K10" s="13"/>
      <c r="L10" t="str">
        <f>$A$10</f>
        <v>Redmond</v>
      </c>
      <c r="M10" s="343" t="n">
        <v>1786.0</v>
      </c>
      <c r="N10" s="343" t="n">
        <v>677.0</v>
      </c>
      <c r="O10" s="343" t="n">
        <v>2486.0</v>
      </c>
      <c r="P10" s="343" t="n">
        <v>9228.0</v>
      </c>
      <c r="Q10" s="343" t="n">
        <v>392.0</v>
      </c>
      <c r="R10" s="343" t="n">
        <v>93.0</v>
      </c>
      <c r="S10" s="343" t="n">
        <v>1151.0</v>
      </c>
      <c r="T10" s="291"/>
      <c r="U10" s="12">
        <f si="1" t="shared"/>
        <v>15794</v>
      </c>
    </row>
    <row r="11" spans="1:21" x14ac:dyDescent="0.25">
      <c r="A11" t="s">
        <v>248</v>
      </c>
      <c r="B11" s="12" t="n">
        <v>0.0</v>
      </c>
      <c r="C11" s="12" t="n">
        <v>109.0593083993</v>
      </c>
      <c r="D11" s="12" t="n">
        <v>0.0</v>
      </c>
      <c r="E11" s="12" t="n">
        <v>0.0</v>
      </c>
      <c r="F11" s="12" t="n">
        <v>89978.8314132858</v>
      </c>
      <c r="G11" s="12" t="n">
        <v>6946.5674062645</v>
      </c>
      <c r="H11" s="12" t="n">
        <v>8080.0100283098</v>
      </c>
      <c r="I11" s="12"/>
      <c r="J11" s="12">
        <f si="0" t="shared"/>
        <v>105114.46815625941</v>
      </c>
      <c r="K11" s="13"/>
      <c r="L11" t="str">
        <f>$A$11</f>
        <v>Seattle</v>
      </c>
      <c r="M11" s="343" t="n">
        <v>949.0</v>
      </c>
      <c r="N11" s="343" t="n">
        <v>816.0</v>
      </c>
      <c r="O11" s="343" t="n">
        <v>1568.0</v>
      </c>
      <c r="P11" s="343" t="n">
        <v>556.0</v>
      </c>
      <c r="Q11" s="343" t="n">
        <v>72035.0</v>
      </c>
      <c r="R11" s="343" t="n">
        <v>9224.0</v>
      </c>
      <c r="S11" s="343" t="n">
        <v>9726.0</v>
      </c>
      <c r="T11" s="291"/>
      <c r="U11" s="12">
        <f si="1" t="shared"/>
        <v>94952</v>
      </c>
    </row>
    <row r="12" spans="1:21" x14ac:dyDescent="0.25">
      <c r="A12" t="s">
        <v>253</v>
      </c>
      <c r="B12" s="12" t="n">
        <v>71.9144943498</v>
      </c>
      <c r="C12" s="12" t="n">
        <v>0.0</v>
      </c>
      <c r="D12" s="12" t="n">
        <v>0.0</v>
      </c>
      <c r="E12" s="12" t="n">
        <v>0.0</v>
      </c>
      <c r="F12" s="12" t="n">
        <v>4435.5454678812</v>
      </c>
      <c r="G12" s="12" t="n">
        <v>8152.8204414182</v>
      </c>
      <c r="H12" s="12" t="n">
        <v>144.2305369303</v>
      </c>
      <c r="I12" s="12"/>
      <c r="J12" s="12">
        <f si="0" t="shared"/>
        <v>12804.510940579501</v>
      </c>
      <c r="K12" s="13"/>
      <c r="L12" t="str">
        <f>$A$12</f>
        <v>Seattle Downtown</v>
      </c>
      <c r="M12" s="343" t="n">
        <v>68.0</v>
      </c>
      <c r="N12" s="343" t="n">
        <v>56.0</v>
      </c>
      <c r="O12" s="343" t="n">
        <v>35.0</v>
      </c>
      <c r="P12" s="343" t="n">
        <v>18.0</v>
      </c>
      <c r="Q12" s="343" t="n">
        <v>1430.0</v>
      </c>
      <c r="R12" s="343" t="n">
        <v>8571.0</v>
      </c>
      <c r="S12" s="343" t="n">
        <v>181.0</v>
      </c>
      <c r="T12" s="291"/>
      <c r="U12" s="12">
        <f si="1" t="shared"/>
        <v>10373</v>
      </c>
    </row>
    <row r="13" spans="1:21" x14ac:dyDescent="0.25">
      <c r="A13" t="s">
        <v>254</v>
      </c>
      <c r="B13" s="12" t="n">
        <v>776.0514419</v>
      </c>
      <c r="C13" s="12" t="n">
        <v>1602.1303793089999</v>
      </c>
      <c r="D13" s="12" t="n">
        <v>1020.4236710519999</v>
      </c>
      <c r="E13" s="12" t="n">
        <v>272.274861354</v>
      </c>
      <c r="F13" s="12" t="n">
        <v>7156.233199811</v>
      </c>
      <c r="G13" s="12" t="n">
        <v>3107.520417879</v>
      </c>
      <c r="H13" s="12" t="n">
        <v>510378.8141281464</v>
      </c>
      <c r="I13" s="12"/>
      <c r="J13" s="12">
        <f si="0" t="shared"/>
        <v>524313.44809945137</v>
      </c>
      <c r="K13" s="13"/>
      <c r="L13" t="str">
        <f>$A$13</f>
        <v>Rest</v>
      </c>
      <c r="M13" s="343" t="n">
        <v>4673.0</v>
      </c>
      <c r="N13" s="343" t="n">
        <v>2879.0</v>
      </c>
      <c r="O13" s="343" t="n">
        <v>4940.0</v>
      </c>
      <c r="P13" s="343" t="n">
        <v>6106.0</v>
      </c>
      <c r="Q13" s="343" t="n">
        <v>10201.0</v>
      </c>
      <c r="R13" s="343" t="n">
        <v>2133.0</v>
      </c>
      <c r="S13" s="343" t="n">
        <v>462724.0</v>
      </c>
      <c r="T13" s="291"/>
      <c r="U13" s="12">
        <f si="1" t="shared"/>
        <v>485368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12239.886461866399</v>
      </c>
      <c r="C15" s="15">
        <f si="2" t="shared"/>
        <v>6050.2397791992998</v>
      </c>
      <c r="D15" s="15">
        <f si="2" t="shared"/>
        <v>17146.012447133799</v>
      </c>
      <c r="E15" s="15">
        <f si="2" t="shared"/>
        <v>22106.617953090397</v>
      </c>
      <c r="F15" s="15">
        <f si="2" t="shared"/>
        <v>103060.7493994102</v>
      </c>
      <c r="G15" s="15">
        <f si="2" t="shared"/>
        <v>18401.183908969702</v>
      </c>
      <c r="H15" s="15">
        <f si="2" t="shared"/>
        <v>523433.1253577185</v>
      </c>
      <c r="I15" s="15">
        <f si="2" t="shared"/>
        <v>0</v>
      </c>
      <c r="J15" s="15">
        <f si="2" t="shared"/>
        <v>702437.81530738831</v>
      </c>
      <c r="K15" s="12"/>
      <c r="L15" s="15" t="s">
        <v>4</v>
      </c>
      <c r="M15" s="15">
        <f ref="M15:U15" si="3" t="shared">SUM(M7:M14)</f>
        <v>21244</v>
      </c>
      <c r="N15" s="15">
        <f si="3" t="shared"/>
        <v>12101</v>
      </c>
      <c r="O15" s="15">
        <f si="3" t="shared"/>
        <v>20237</v>
      </c>
      <c r="P15" s="15">
        <f si="3" t="shared"/>
        <v>18804</v>
      </c>
      <c r="Q15" s="15">
        <f si="3" t="shared"/>
        <v>86501</v>
      </c>
      <c r="R15" s="15">
        <f si="3" t="shared"/>
        <v>20886</v>
      </c>
      <c r="S15" s="15">
        <f si="3" t="shared"/>
        <v>471017</v>
      </c>
      <c r="T15" s="15">
        <f si="3" t="shared"/>
        <v>0</v>
      </c>
      <c r="U15" s="15">
        <f si="3" t="shared"/>
        <v>650790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12805.506183514002</v>
      </c>
      <c r="C20" s="12">
        <f si="4" t="shared"/>
        <v>3582.3712805434207</v>
      </c>
      <c r="D20" s="12">
        <f si="4" t="shared"/>
        <v>2226.4272744918708</v>
      </c>
      <c r="E20" s="12">
        <f si="4" t="shared"/>
        <v>745.6496695441258</v>
      </c>
      <c r="F20" s="12">
        <f si="4" t="shared"/>
        <v>464.3123371168175</v>
      </c>
      <c r="G20" s="12">
        <f si="4" t="shared"/>
        <v>244.23678021062514</v>
      </c>
      <c r="H20" s="12">
        <f ref="H20" si="5" t="shared">($U7/$J7)*H7</f>
        <v>2521.4964745791426</v>
      </c>
      <c r="I20" s="12"/>
      <c r="J20" s="12">
        <f>SUM(B20:I20)</f>
        <v>22590.000000000007</v>
      </c>
      <c r="K20" s="12"/>
      <c r="L20" t="str">
        <f>$A$7</f>
        <v>Bellevue</v>
      </c>
      <c r="M20" s="12">
        <f ref="M20:M26" si="6" t="shared">M7</f>
        <v>11304</v>
      </c>
      <c r="N20" s="12">
        <f ref="N20:U20" si="7" t="shared">N7</f>
        <v>5059</v>
      </c>
      <c r="O20" s="12">
        <f si="7" t="shared"/>
        <v>784</v>
      </c>
      <c r="P20" s="12">
        <f si="7" t="shared"/>
        <v>1825</v>
      </c>
      <c r="Q20" s="12">
        <f si="7" t="shared"/>
        <v>889</v>
      </c>
      <c r="R20" s="12">
        <f si="7" t="shared"/>
        <v>415</v>
      </c>
      <c r="S20" s="12">
        <f ref="S20" si="8" t="shared">S7</f>
        <v>2314</v>
      </c>
      <c r="T20" s="12"/>
      <c r="U20" s="12">
        <f si="7" t="shared"/>
        <v>22590</v>
      </c>
    </row>
    <row r="21" spans="1:32" x14ac:dyDescent="0.25">
      <c r="A21" t="str">
        <f>$A$8</f>
        <v>Bellevue Downtown</v>
      </c>
      <c r="B21" s="12">
        <f ref="B21:G26" si="9" t="shared">($U8/$J8)*B8</f>
        <v>496.4336078982144</v>
      </c>
      <c r="C21" s="12">
        <f si="9" t="shared"/>
        <v>458.05715109429514</v>
      </c>
      <c r="D21" s="12">
        <f si="9" t="shared"/>
        <v>0</v>
      </c>
      <c r="E21" s="12">
        <f si="9" t="shared"/>
        <v>938.50924100749023</v>
      </c>
      <c r="F21" s="12">
        <f si="9" t="shared"/>
        <v>0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1892.9999999999998</v>
      </c>
      <c r="K21" s="12"/>
      <c r="L21" t="str">
        <f>$A$8</f>
        <v>Bellevue Downtown</v>
      </c>
      <c r="M21" s="12">
        <f si="6" t="shared"/>
        <v>430</v>
      </c>
      <c r="N21" s="12">
        <f ref="N21:R26" si="12" t="shared">N8</f>
        <v>1383</v>
      </c>
      <c r="O21" s="12">
        <f si="12" t="shared"/>
        <v>17</v>
      </c>
      <c r="P21" s="12">
        <f si="12" t="shared"/>
        <v>19</v>
      </c>
      <c r="Q21" s="12">
        <f si="12" t="shared"/>
        <v>7</v>
      </c>
      <c r="R21" s="12">
        <f si="12" t="shared"/>
        <v>10</v>
      </c>
      <c r="S21" s="12">
        <f ref="S21" si="13" t="shared">S8</f>
        <v>27</v>
      </c>
      <c r="T21" s="12"/>
      <c r="U21" s="12">
        <f ref="U21:U26" si="14" t="shared">U8</f>
        <v>1893</v>
      </c>
    </row>
    <row r="22" spans="1:32" x14ac:dyDescent="0.25">
      <c r="A22" t="str">
        <f>$A$9</f>
        <v>Kirkland</v>
      </c>
      <c r="B22" s="12">
        <f si="9" t="shared"/>
        <v>282.6010209789323</v>
      </c>
      <c r="C22" s="12">
        <f si="9" t="shared"/>
        <v>1042.1133075970961</v>
      </c>
      <c r="D22" s="12">
        <f si="9" t="shared"/>
        <v>12191.651208232561</v>
      </c>
      <c r="E22" s="12">
        <f si="9" t="shared"/>
        <v>2675.4474828192729</v>
      </c>
      <c r="F22" s="12">
        <f si="9" t="shared"/>
        <v>1061.2271759244927</v>
      </c>
      <c r="G22" s="12">
        <f si="9" t="shared"/>
        <v>0</v>
      </c>
      <c r="H22" s="12">
        <f ref="H22" si="15" t="shared">($U9/$J9)*H9</f>
        <v>2566.9598044476434</v>
      </c>
      <c r="I22" s="12"/>
      <c r="J22" s="12">
        <f si="11" t="shared"/>
        <v>19820</v>
      </c>
      <c r="K22" s="13"/>
      <c r="L22" t="str">
        <f>$A$9</f>
        <v>Kirkland</v>
      </c>
      <c r="M22" s="12">
        <f si="6" t="shared"/>
        <v>1323</v>
      </c>
      <c r="N22" s="12">
        <f si="12" t="shared"/>
        <v>1131</v>
      </c>
      <c r="O22" s="12">
        <f si="12" t="shared"/>
        <v>11324</v>
      </c>
      <c r="P22" s="12">
        <f si="12" t="shared"/>
        <v>2183</v>
      </c>
      <c r="Q22" s="12">
        <f si="12" t="shared"/>
        <v>1460</v>
      </c>
      <c r="R22" s="12">
        <f si="12" t="shared"/>
        <v>228</v>
      </c>
      <c r="S22" s="12">
        <f ref="S22" si="16" t="shared">S9</f>
        <v>2171</v>
      </c>
      <c r="T22" s="12"/>
      <c r="U22" s="12">
        <f si="14" t="shared"/>
        <v>19820</v>
      </c>
    </row>
    <row r="23" spans="1:32" x14ac:dyDescent="0.25">
      <c r="A23" t="str">
        <f>$A$10</f>
        <v>Redmond</v>
      </c>
      <c r="B23" s="12">
        <f si="9" t="shared"/>
        <v>389.7024960647434</v>
      </c>
      <c r="C23" s="12">
        <f si="9" t="shared"/>
        <v>0</v>
      </c>
      <c r="D23" s="12">
        <f si="9" t="shared"/>
        <v>1185.5425766210992</v>
      </c>
      <c r="E23" s="12">
        <f si="9" t="shared"/>
        <v>14127.905679636455</v>
      </c>
      <c r="F23" s="12">
        <f si="9" t="shared"/>
        <v>0</v>
      </c>
      <c r="G23" s="12">
        <f si="9" t="shared"/>
        <v>0</v>
      </c>
      <c r="H23" s="12">
        <f ref="H23" si="17" t="shared">($U10/$J10)*H10</f>
        <v>90.849247677703758</v>
      </c>
      <c r="I23" s="12"/>
      <c r="J23" s="12">
        <f>SUM(B23:I23)</f>
        <v>15794.000000000002</v>
      </c>
      <c r="K23" s="13"/>
      <c r="L23" t="str">
        <f>$A$10</f>
        <v>Redmond</v>
      </c>
      <c r="M23" s="12">
        <f si="6" t="shared"/>
        <v>2100</v>
      </c>
      <c r="N23" s="12">
        <f si="12" t="shared"/>
        <v>765</v>
      </c>
      <c r="O23" s="12">
        <f si="12" t="shared"/>
        <v>2409</v>
      </c>
      <c r="P23" s="12">
        <f si="12" t="shared"/>
        <v>8744</v>
      </c>
      <c r="Q23" s="12">
        <f si="12" t="shared"/>
        <v>428</v>
      </c>
      <c r="R23" s="12">
        <f si="12" t="shared"/>
        <v>127</v>
      </c>
      <c r="S23" s="12">
        <f ref="S23" si="18" t="shared">S10</f>
        <v>1221</v>
      </c>
      <c r="T23" s="12"/>
      <c r="U23" s="12">
        <f si="14" t="shared"/>
        <v>15794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98.515453036744347</v>
      </c>
      <c r="D24" s="12">
        <f si="9" t="shared"/>
        <v>0</v>
      </c>
      <c r="E24" s="12">
        <f si="9" t="shared"/>
        <v>0</v>
      </c>
      <c r="F24" s="12">
        <f si="9" t="shared"/>
        <v>81279.676815313374</v>
      </c>
      <c r="G24" s="12">
        <f si="9" t="shared"/>
        <v>6274.9731785647555</v>
      </c>
      <c r="H24" s="12">
        <f ref="H24" si="19" t="shared">($U11/$J11)*H11</f>
        <v>7298.8345530851238</v>
      </c>
      <c r="I24" s="12"/>
      <c r="J24" s="12">
        <f si="11" t="shared"/>
        <v>94952</v>
      </c>
      <c r="K24" s="13"/>
      <c r="L24" t="str">
        <f>$A$11</f>
        <v>Seattle</v>
      </c>
      <c r="M24" s="12">
        <f si="6" t="shared"/>
        <v>1121</v>
      </c>
      <c r="N24" s="12">
        <f si="12" t="shared"/>
        <v>901</v>
      </c>
      <c r="O24" s="12">
        <f si="12" t="shared"/>
        <v>1333</v>
      </c>
      <c r="P24" s="12">
        <f si="12" t="shared"/>
        <v>540</v>
      </c>
      <c r="Q24" s="12">
        <f si="12" t="shared"/>
        <v>72012</v>
      </c>
      <c r="R24" s="12">
        <f si="12" t="shared"/>
        <v>9362</v>
      </c>
      <c r="S24" s="12">
        <f ref="S24" si="20" t="shared">S11</f>
        <v>9683</v>
      </c>
      <c r="T24" s="12"/>
      <c r="U24" s="12">
        <f si="14" t="shared"/>
        <v>94952</v>
      </c>
    </row>
    <row r="25" spans="1:32" x14ac:dyDescent="0.25">
      <c r="A25" t="str">
        <f>$A$12</f>
        <v>Seattle Downtown</v>
      </c>
      <c r="B25" s="12">
        <f si="9" t="shared"/>
        <v>58.258300793541636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3593.2581378425834</v>
      </c>
      <c r="G25" s="12">
        <f si="9" t="shared"/>
        <v>6604.6416634951611</v>
      </c>
      <c r="H25" s="12">
        <f ref="H25:H26" si="21" t="shared">($U12/$J12)*H12</f>
        <v>116.84189786871248</v>
      </c>
      <c r="I25" s="12"/>
      <c r="J25" s="12">
        <f si="11" t="shared"/>
        <v>10373</v>
      </c>
      <c r="K25" s="13"/>
      <c r="L25" t="str">
        <f>$A$12</f>
        <v>Seattle Downtown</v>
      </c>
      <c r="M25" s="12">
        <f si="6" t="shared"/>
        <v>73</v>
      </c>
      <c r="N25" s="12">
        <f si="12" t="shared"/>
        <v>54</v>
      </c>
      <c r="O25" s="12">
        <f si="12" t="shared"/>
        <v>41</v>
      </c>
      <c r="P25" s="12">
        <f si="12" t="shared"/>
        <v>23</v>
      </c>
      <c r="Q25" s="12">
        <f si="12" t="shared"/>
        <v>1413</v>
      </c>
      <c r="R25" s="12">
        <f si="12" t="shared"/>
        <v>8610</v>
      </c>
      <c r="S25" s="12">
        <f ref="S25:S26" si="22" t="shared">S12</f>
        <v>159</v>
      </c>
      <c r="T25" s="12"/>
      <c r="U25" s="12">
        <f si="14" t="shared"/>
        <v>10373</v>
      </c>
    </row>
    <row r="26" spans="1:32" x14ac:dyDescent="0.25">
      <c r="A26" t="str">
        <f>$A$13</f>
        <v>Rest</v>
      </c>
      <c r="B26" s="12">
        <f si="9" t="shared"/>
        <v>718.40716200869326</v>
      </c>
      <c r="C26" s="12">
        <f si="9" t="shared"/>
        <v>1483.1258300987765</v>
      </c>
      <c r="D26" s="12">
        <f si="9" t="shared"/>
        <v>944.62768057252379</v>
      </c>
      <c r="E26" s="12">
        <f si="9" t="shared"/>
        <v>252.05057277226558</v>
      </c>
      <c r="F26" s="12">
        <f si="9" t="shared"/>
        <v>6624.6757704124966</v>
      </c>
      <c r="G26" s="12">
        <f si="9" t="shared"/>
        <v>2876.6970895985924</v>
      </c>
      <c r="H26" s="12">
        <f si="21" t="shared"/>
        <v>472468.41589453665</v>
      </c>
      <c r="I26" s="12"/>
      <c r="J26" s="12">
        <f si="11" t="shared"/>
        <v>485368</v>
      </c>
      <c r="K26" s="13"/>
      <c r="L26" t="str">
        <f>$A$13</f>
        <v>Rest</v>
      </c>
      <c r="M26" s="12">
        <f si="6" t="shared"/>
        <v>4893</v>
      </c>
      <c r="N26" s="12">
        <f si="12" t="shared"/>
        <v>2808</v>
      </c>
      <c r="O26" s="12">
        <f si="12" t="shared"/>
        <v>4329</v>
      </c>
      <c r="P26" s="12">
        <f si="12" t="shared"/>
        <v>5470</v>
      </c>
      <c r="Q26" s="12">
        <f si="12" t="shared"/>
        <v>10292</v>
      </c>
      <c r="R26" s="12">
        <f si="12" t="shared"/>
        <v>2134</v>
      </c>
      <c r="S26" s="12">
        <f si="22" t="shared"/>
        <v>455442</v>
      </c>
      <c r="T26" s="12"/>
      <c r="U26" s="12">
        <f si="14" t="shared"/>
        <v>485368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23" t="shared">SUM(B20:B27)</f>
        <v>14750.908771258126</v>
      </c>
      <c r="C28" s="15">
        <f si="23" t="shared"/>
        <v>6664.1830223703328</v>
      </c>
      <c r="D28" s="15">
        <f si="23" t="shared"/>
        <v>16548.248739918054</v>
      </c>
      <c r="E28" s="15">
        <f si="23" t="shared"/>
        <v>18739.56264577961</v>
      </c>
      <c r="F28" s="15">
        <f si="23" t="shared"/>
        <v>93023.150236609756</v>
      </c>
      <c r="G28" s="15">
        <f si="23" t="shared"/>
        <v>16000.548711869134</v>
      </c>
      <c r="H28" s="15">
        <f si="23" t="shared"/>
        <v>485063.397872195</v>
      </c>
      <c r="I28" s="15">
        <f si="23" t="shared"/>
        <v>0</v>
      </c>
      <c r="J28" s="15">
        <f si="23" t="shared"/>
        <v>650790</v>
      </c>
      <c r="K28" s="12"/>
      <c r="L28" s="15" t="s">
        <v>4</v>
      </c>
      <c r="M28" s="15">
        <f ref="M28:U28" si="24" t="shared">M15</f>
        <v>21244</v>
      </c>
      <c r="N28" s="15">
        <f si="24" t="shared"/>
        <v>12101</v>
      </c>
      <c r="O28" s="15">
        <f si="24" t="shared"/>
        <v>20237</v>
      </c>
      <c r="P28" s="15">
        <f si="24" t="shared"/>
        <v>18804</v>
      </c>
      <c r="Q28" s="15">
        <f si="24" t="shared"/>
        <v>86501</v>
      </c>
      <c r="R28" s="15">
        <f si="24" t="shared"/>
        <v>20886</v>
      </c>
      <c r="S28" s="15">
        <f si="24" t="shared"/>
        <v>471017</v>
      </c>
      <c r="T28" s="15">
        <f si="24" t="shared"/>
        <v>0</v>
      </c>
      <c r="U28" s="15">
        <f si="24" t="shared"/>
        <v>650790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ref="B33:J39" si="25" t="shared">B20/$J$28</f>
        <v>1.9676863786342758E-2</v>
      </c>
      <c r="C33" s="16">
        <f si="25" t="shared"/>
        <v>5.5046501644822766E-3</v>
      </c>
      <c r="D33" s="16">
        <f si="25" t="shared"/>
        <v>3.421114759741039E-3</v>
      </c>
      <c r="E33" s="16">
        <f si="25" t="shared"/>
        <v>1.1457607977137414E-3</v>
      </c>
      <c r="F33" s="16">
        <f si="25" t="shared"/>
        <v>7.1345954473304367E-4</v>
      </c>
      <c r="G33" s="16">
        <f si="25" t="shared"/>
        <v>3.7529276757575431E-4</v>
      </c>
      <c r="H33" s="16">
        <f ref="H33" si="26" t="shared">H20/$J$28</f>
        <v>3.8745163179814421E-3</v>
      </c>
      <c r="I33" s="16"/>
      <c r="J33" s="16">
        <f ref="J33:J38" si="27" t="shared">J20/$J$28</f>
        <v>3.4711658138570058E-2</v>
      </c>
      <c r="K33" s="12"/>
      <c r="L33" t="str">
        <f>$A$7</f>
        <v>Bellevue</v>
      </c>
      <c r="M33" s="16">
        <f ref="M33:R33" si="28" t="shared">M20/$U$28</f>
        <v>1.7369658415156964E-2</v>
      </c>
      <c r="N33" s="16">
        <f si="28" t="shared"/>
        <v>7.7736289740161961E-3</v>
      </c>
      <c r="O33" s="16">
        <f si="28" t="shared"/>
        <v>1.2046896848445735E-3</v>
      </c>
      <c r="P33" s="16">
        <f si="28" t="shared"/>
        <v>2.8042840240323301E-3</v>
      </c>
      <c r="Q33" s="16">
        <f si="28" t="shared"/>
        <v>1.3660320533505433E-3</v>
      </c>
      <c r="R33" s="16">
        <f si="28" t="shared"/>
        <v>6.3768650409502293E-4</v>
      </c>
      <c r="S33" s="16">
        <f ref="S33" si="29" t="shared">S20/$U$28</f>
        <v>3.5556784830744173E-3</v>
      </c>
      <c r="T33" s="16"/>
      <c r="U33" s="16">
        <f ref="U33:U39" si="30" t="shared">U20/$U$28</f>
        <v>3.4711658138570044E-2</v>
      </c>
      <c r="W33" t="str">
        <f>$A$7</f>
        <v>Bellevue</v>
      </c>
      <c r="X33" s="16">
        <f ref="X33:AD33" si="31" t="shared">M33-B33</f>
        <v>-2.3072053711857936E-3</v>
      </c>
      <c r="Y33" s="16">
        <f si="31" t="shared"/>
        <v>2.2689788095339196E-3</v>
      </c>
      <c r="Z33" s="16">
        <f si="31" t="shared"/>
        <v>-2.2164250748964655E-3</v>
      </c>
      <c r="AA33" s="16">
        <f si="31" t="shared"/>
        <v>1.6585232263185887E-3</v>
      </c>
      <c r="AB33" s="16">
        <f si="31" t="shared"/>
        <v>6.525725086174996E-4</v>
      </c>
      <c r="AC33" s="16">
        <f si="31" t="shared"/>
        <v>2.6239373651926862E-4</v>
      </c>
      <c r="AD33" s="16">
        <f si="31" t="shared"/>
        <v>-3.1883783490702479E-4</v>
      </c>
      <c r="AE33" s="16"/>
      <c r="AF33" s="16">
        <f ref="AF33:AF39" si="32" t="shared">U33-J33</f>
        <v>0</v>
      </c>
    </row>
    <row r="34" spans="1:32" x14ac:dyDescent="0.25">
      <c r="A34" t="str">
        <f>$A$8</f>
        <v>Bellevue Downtown</v>
      </c>
      <c r="B34" s="16">
        <f si="25" t="shared"/>
        <v>7.6281689623106444E-4</v>
      </c>
      <c r="C34" s="16">
        <f si="25" t="shared"/>
        <v>7.0384786351095617E-4</v>
      </c>
      <c r="D34" s="16">
        <f si="25" t="shared"/>
        <v>0</v>
      </c>
      <c r="E34" s="16">
        <f si="25" t="shared"/>
        <v>1.4421076553227466E-3</v>
      </c>
      <c r="F34" s="16">
        <f si="25" t="shared"/>
        <v>0</v>
      </c>
      <c r="G34" s="16">
        <f ref="G34:H34" si="33" t="shared">G21/$J$28</f>
        <v>0</v>
      </c>
      <c r="H34" s="16">
        <f si="33" t="shared"/>
        <v>0</v>
      </c>
      <c r="I34" s="16"/>
      <c r="J34" s="16">
        <f si="27" t="shared"/>
        <v>2.9087724150647673E-3</v>
      </c>
      <c r="K34" s="12"/>
      <c r="L34" t="str">
        <f>$A$8</f>
        <v>Bellevue Downtown</v>
      </c>
      <c r="M34" s="16">
        <f ref="M34:R39" si="34" t="shared">M21/$U$28</f>
        <v>6.607354138815901E-4</v>
      </c>
      <c r="N34" s="16">
        <f si="34" t="shared"/>
        <v>2.1251094823214862E-3</v>
      </c>
      <c r="O34" s="16">
        <f si="34" t="shared"/>
        <v>2.6122097758109376E-5</v>
      </c>
      <c r="P34" s="16">
        <f si="34" t="shared"/>
        <v>2.9195285729651654E-5</v>
      </c>
      <c r="Q34" s="16">
        <f si="34" t="shared"/>
        <v>1.0756157900397977E-5</v>
      </c>
      <c r="R34" s="16">
        <f si="34" t="shared"/>
        <v>1.5365939857711398E-5</v>
      </c>
      <c r="S34" s="16">
        <f ref="S34" si="35" t="shared">S21/$U$28</f>
        <v>4.148803761582077E-5</v>
      </c>
      <c r="T34" s="16"/>
      <c r="U34" s="16">
        <f si="30" t="shared"/>
        <v>2.9087724150647673E-3</v>
      </c>
      <c r="W34" t="str">
        <f>$A$8</f>
        <v>Bellevue Downtown</v>
      </c>
      <c r="X34" s="16">
        <f ref="X34:X38" si="36" t="shared">M34-B34</f>
        <v>-1.0208148234947434E-4</v>
      </c>
      <c r="Y34" s="16">
        <f ref="Y34:AD38" si="37" t="shared">N34-C34</f>
        <v>1.42126161881053E-3</v>
      </c>
      <c r="Z34" s="16">
        <f si="37" t="shared"/>
        <v>2.6122097758109376E-5</v>
      </c>
      <c r="AA34" s="16">
        <f si="37" t="shared"/>
        <v>-1.412912369593095E-3</v>
      </c>
      <c r="AB34" s="16">
        <f si="37" t="shared"/>
        <v>1.0756157900397977E-5</v>
      </c>
      <c r="AC34" s="16">
        <f si="37" t="shared"/>
        <v>1.5365939857711398E-5</v>
      </c>
      <c r="AD34" s="16">
        <f si="37" t="shared"/>
        <v>4.148803761582077E-5</v>
      </c>
      <c r="AE34" s="16"/>
      <c r="AF34" s="16">
        <f si="32" t="shared"/>
        <v>0</v>
      </c>
    </row>
    <row r="35" spans="1:32" x14ac:dyDescent="0.25">
      <c r="A35" t="str">
        <f>$A$9</f>
        <v>Kirkland</v>
      </c>
      <c r="B35" s="16">
        <f si="25" t="shared"/>
        <v>4.3424302920901103E-4</v>
      </c>
      <c r="C35" s="16">
        <f si="25" t="shared"/>
        <v>1.6013050409457675E-3</v>
      </c>
      <c r="D35" s="16">
        <f si="25" t="shared"/>
        <v>1.8733617923189602E-2</v>
      </c>
      <c r="E35" s="16">
        <f si="25" t="shared"/>
        <v>4.1110765113466291E-3</v>
      </c>
      <c r="F35" s="16">
        <f si="25" t="shared"/>
        <v>1.6306752960624667E-3</v>
      </c>
      <c r="G35" s="16">
        <f ref="G35:H35" si="38" t="shared">G22/$J$28</f>
        <v>0</v>
      </c>
      <c r="H35" s="16">
        <f si="38" t="shared"/>
        <v>3.9443749972305096E-3</v>
      </c>
      <c r="I35" s="16"/>
      <c r="J35" s="16">
        <f si="27" t="shared"/>
        <v>3.045529279798399E-2</v>
      </c>
      <c r="K35" s="13"/>
      <c r="L35" t="str">
        <f>$A$9</f>
        <v>Kirkland</v>
      </c>
      <c r="M35" s="16">
        <f si="34" t="shared"/>
        <v>2.0329138431752179E-3</v>
      </c>
      <c r="N35" s="16">
        <f si="34" t="shared"/>
        <v>1.737887797907159E-3</v>
      </c>
      <c r="O35" s="16">
        <f si="34" t="shared"/>
        <v>1.7400390294872385E-2</v>
      </c>
      <c r="P35" s="16">
        <f si="34" t="shared"/>
        <v>3.3543846709383979E-3</v>
      </c>
      <c r="Q35" s="16">
        <f si="34" t="shared"/>
        <v>2.2434272192258641E-3</v>
      </c>
      <c r="R35" s="16">
        <f si="34" t="shared"/>
        <v>3.5034342875581983E-4</v>
      </c>
      <c r="S35" s="16">
        <f ref="S35" si="39" t="shared">S22/$U$28</f>
        <v>3.3359455431091443E-3</v>
      </c>
      <c r="T35" s="16"/>
      <c r="U35" s="16">
        <f si="30" t="shared"/>
        <v>3.045529279798399E-2</v>
      </c>
      <c r="W35" t="str">
        <f>$A$9</f>
        <v>Kirkland</v>
      </c>
      <c r="X35" s="16">
        <f si="36" t="shared"/>
        <v>1.5986708139662069E-3</v>
      </c>
      <c r="Y35" s="16">
        <f si="37" t="shared"/>
        <v>1.3658275696139146E-4</v>
      </c>
      <c r="Z35" s="16">
        <f si="37" t="shared"/>
        <v>-1.333227628317217E-3</v>
      </c>
      <c r="AA35" s="16">
        <f si="37" t="shared"/>
        <v>-7.5669184040823116E-4</v>
      </c>
      <c r="AB35" s="16">
        <f si="37" t="shared"/>
        <v>6.1275192316339743E-4</v>
      </c>
      <c r="AC35" s="16">
        <f si="37" t="shared"/>
        <v>3.5034342875581983E-4</v>
      </c>
      <c r="AD35" s="16">
        <f si="37" t="shared"/>
        <v>-6.0842945412136525E-4</v>
      </c>
      <c r="AE35" s="16"/>
      <c r="AF35" s="16">
        <f si="32" t="shared"/>
        <v>0</v>
      </c>
    </row>
    <row r="36" spans="1:32" x14ac:dyDescent="0.25">
      <c r="A36" t="str">
        <f>$A$10</f>
        <v>Redmond</v>
      </c>
      <c r="B36" s="16">
        <f si="25" t="shared"/>
        <v>5.9881451169308594E-4</v>
      </c>
      <c r="C36" s="16">
        <f si="25" t="shared"/>
        <v>0</v>
      </c>
      <c r="D36" s="16">
        <f si="25" t="shared"/>
        <v>1.8216975931116017E-3</v>
      </c>
      <c r="E36" s="16">
        <f si="25" t="shared"/>
        <v>2.1708854898871303E-2</v>
      </c>
      <c r="F36" s="16">
        <f si="25" t="shared"/>
        <v>0</v>
      </c>
      <c r="G36" s="16">
        <f ref="G36:H36" si="40" t="shared">G23/$J$28</f>
        <v>0</v>
      </c>
      <c r="H36" s="16">
        <f si="40" t="shared"/>
        <v>1.3959840759339228E-4</v>
      </c>
      <c r="I36" s="16"/>
      <c r="J36" s="16">
        <f si="27" t="shared"/>
        <v>2.4268965411269383E-2</v>
      </c>
      <c r="K36" s="13"/>
      <c r="L36" t="str">
        <f>$A$10</f>
        <v>Redmond</v>
      </c>
      <c r="M36" s="16">
        <f si="34" t="shared"/>
        <v>3.2268473701193932E-3</v>
      </c>
      <c r="N36" s="16">
        <f si="34" t="shared"/>
        <v>1.1754943991149219E-3</v>
      </c>
      <c r="O36" s="16">
        <f si="34" t="shared"/>
        <v>3.7016549117226756E-3</v>
      </c>
      <c r="P36" s="16">
        <f si="34" t="shared"/>
        <v>1.3435977811582846E-2</v>
      </c>
      <c r="Q36" s="16">
        <f si="34" t="shared"/>
        <v>6.5766222591004777E-4</v>
      </c>
      <c r="R36" s="16">
        <f si="34" t="shared"/>
        <v>1.9514743619293475E-4</v>
      </c>
      <c r="S36" s="16">
        <f ref="S36" si="41" t="shared">S23/$U$28</f>
        <v>1.8761812566265616E-3</v>
      </c>
      <c r="T36" s="16"/>
      <c r="U36" s="16">
        <f si="30" t="shared"/>
        <v>2.426896541126938E-2</v>
      </c>
      <c r="W36" t="str">
        <f>$A$10</f>
        <v>Redmond</v>
      </c>
      <c r="X36" s="16">
        <f si="36" t="shared"/>
        <v>2.6280328584263072E-3</v>
      </c>
      <c r="Y36" s="16">
        <f si="37" t="shared"/>
        <v>1.1754943991149219E-3</v>
      </c>
      <c r="Z36" s="16">
        <f si="37" t="shared"/>
        <v>1.879957318611074E-3</v>
      </c>
      <c r="AA36" s="16">
        <f si="37" t="shared"/>
        <v>-8.2728770872884574E-3</v>
      </c>
      <c r="AB36" s="16">
        <f si="37" t="shared"/>
        <v>6.5766222591004777E-4</v>
      </c>
      <c r="AC36" s="16">
        <f si="37" t="shared"/>
        <v>1.9514743619293475E-4</v>
      </c>
      <c r="AD36" s="16">
        <f si="37" t="shared"/>
        <v>1.7365828490331693E-3</v>
      </c>
      <c r="AE36" s="16"/>
      <c r="AF36" s="16">
        <f si="32" t="shared"/>
        <v>0</v>
      </c>
    </row>
    <row r="37" spans="1:32" x14ac:dyDescent="0.25">
      <c r="A37" t="str">
        <f>$A$11</f>
        <v>Seattle</v>
      </c>
      <c r="B37" s="16">
        <f si="25" t="shared"/>
        <v>0</v>
      </c>
      <c r="C37" s="16">
        <f si="25" t="shared"/>
        <v>1.5137825264178052E-4</v>
      </c>
      <c r="D37" s="16">
        <f si="25" t="shared"/>
        <v>0</v>
      </c>
      <c r="E37" s="16">
        <f si="25" t="shared"/>
        <v>0</v>
      </c>
      <c r="F37" s="16">
        <f si="25" t="shared"/>
        <v>0.12489386255983247</v>
      </c>
      <c r="G37" s="16">
        <f ref="G37:H37" si="42" t="shared">G24/$J$28</f>
        <v>9.6420860470578153E-3</v>
      </c>
      <c r="H37" s="16">
        <f si="42" t="shared"/>
        <v>1.1215345277409186E-2</v>
      </c>
      <c r="I37" s="16"/>
      <c r="J37" s="16">
        <f si="27" t="shared"/>
        <v>0.14590267213694125</v>
      </c>
      <c r="K37" s="13"/>
      <c r="L37" t="str">
        <f>$A$11</f>
        <v>Seattle</v>
      </c>
      <c r="M37" s="16">
        <f si="34" t="shared"/>
        <v>1.7225218580494475E-3</v>
      </c>
      <c r="N37" s="16">
        <f si="34" t="shared"/>
        <v>1.3844711811797968E-3</v>
      </c>
      <c r="O37" s="16">
        <f si="34" t="shared"/>
        <v>2.0482797830329294E-3</v>
      </c>
      <c r="P37" s="16">
        <f si="34" t="shared"/>
        <v>8.2976075231641546E-4</v>
      </c>
      <c r="Q37" s="16">
        <f si="34" t="shared"/>
        <v>0.11065320610335132</v>
      </c>
      <c r="R37" s="16">
        <f si="34" t="shared"/>
        <v>1.438559289478941E-2</v>
      </c>
      <c r="S37" s="16">
        <f ref="S37" si="43" t="shared">S24/$U$28</f>
        <v>1.4878839564221945E-2</v>
      </c>
      <c r="T37" s="16"/>
      <c r="U37" s="16">
        <f si="30" t="shared"/>
        <v>0.14590267213694125</v>
      </c>
      <c r="W37" t="str">
        <f>$A$11</f>
        <v>Seattle</v>
      </c>
      <c r="X37" s="16">
        <f si="36" t="shared"/>
        <v>1.7225218580494475E-3</v>
      </c>
      <c r="Y37" s="16">
        <f si="37" t="shared"/>
        <v>1.2330929285380163E-3</v>
      </c>
      <c r="Z37" s="16">
        <f si="37" t="shared"/>
        <v>2.0482797830329294E-3</v>
      </c>
      <c r="AA37" s="16">
        <f si="37" t="shared"/>
        <v>8.2976075231641546E-4</v>
      </c>
      <c r="AB37" s="16">
        <f si="37" t="shared"/>
        <v>-1.4240656456481149E-2</v>
      </c>
      <c r="AC37" s="16">
        <f si="37" t="shared"/>
        <v>4.7435068477315948E-3</v>
      </c>
      <c r="AD37" s="16">
        <f si="37" t="shared"/>
        <v>3.6634942868127591E-3</v>
      </c>
      <c r="AE37" s="16"/>
      <c r="AF37" s="16">
        <f si="32" t="shared"/>
        <v>0</v>
      </c>
    </row>
    <row r="38" spans="1:32" x14ac:dyDescent="0.25">
      <c r="A38" t="str">
        <f>$A$12</f>
        <v>Seattle Downtown</v>
      </c>
      <c r="B38" s="16">
        <f si="25" t="shared"/>
        <v>8.9519354620602097E-5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5.5213788439321182E-3</v>
      </c>
      <c r="G38" s="16">
        <f ref="G38:H39" si="44" t="shared">G25/$J$28</f>
        <v>1.014865265830016E-2</v>
      </c>
      <c r="H38" s="16">
        <f si="44" t="shared"/>
        <v>1.7953855755114935E-4</v>
      </c>
      <c r="I38" s="16"/>
      <c r="J38" s="16">
        <f si="27" t="shared"/>
        <v>1.5939089414404032E-2</v>
      </c>
      <c r="K38" s="13"/>
      <c r="L38" t="str">
        <f>$A$12</f>
        <v>Seattle Downtown</v>
      </c>
      <c r="M38" s="16">
        <f si="34" t="shared"/>
        <v>1.121713609612932E-4</v>
      </c>
      <c r="N38" s="16">
        <f si="34" t="shared"/>
        <v>8.2976075231641541E-5</v>
      </c>
      <c r="O38" s="16">
        <f si="34" t="shared"/>
        <v>6.3000353416616732E-5</v>
      </c>
      <c r="P38" s="16">
        <f si="34" t="shared"/>
        <v>3.5341661672736214E-5</v>
      </c>
      <c r="Q38" s="16">
        <f si="34" t="shared"/>
        <v>2.1712073018946205E-3</v>
      </c>
      <c r="R38" s="16">
        <f si="34" t="shared"/>
        <v>1.3230074217489512E-2</v>
      </c>
      <c r="S38" s="16">
        <f ref="S38:S39" si="45" t="shared">S25/$U$28</f>
        <v>2.443184437376112E-4</v>
      </c>
      <c r="T38" s="16"/>
      <c r="U38" s="16">
        <f si="30" t="shared"/>
        <v>1.5939089414404032E-2</v>
      </c>
      <c r="W38" t="str">
        <f>$A$12</f>
        <v>Seattle Downtown</v>
      </c>
      <c r="X38" s="16">
        <f si="36" t="shared"/>
        <v>2.2652006340691101E-5</v>
      </c>
      <c r="Y38" s="16">
        <f si="37" t="shared"/>
        <v>8.2976075231641541E-5</v>
      </c>
      <c r="Z38" s="16">
        <f si="37" t="shared"/>
        <v>6.3000353416616732E-5</v>
      </c>
      <c r="AA38" s="16">
        <f si="37" t="shared"/>
        <v>3.5341661672736214E-5</v>
      </c>
      <c r="AB38" s="16">
        <f si="37" t="shared"/>
        <v>-3.3501715420374977E-3</v>
      </c>
      <c r="AC38" s="16">
        <f si="37" t="shared"/>
        <v>3.0814215591893519E-3</v>
      </c>
      <c r="AD38" s="16">
        <f si="37" t="shared"/>
        <v>6.4779886186461857E-5</v>
      </c>
      <c r="AE38" s="16"/>
      <c r="AF38" s="16">
        <f si="32" t="shared"/>
        <v>0</v>
      </c>
    </row>
    <row r="39" spans="1:32" x14ac:dyDescent="0.25">
      <c r="A39" t="str">
        <f>$A$13</f>
        <v>Rest</v>
      </c>
      <c r="B39" s="16">
        <f si="25" t="shared"/>
        <v>1.1039001244774708E-3</v>
      </c>
      <c r="C39" s="16">
        <f si="25" t="shared"/>
        <v>2.2789622306716092E-3</v>
      </c>
      <c r="D39" s="16">
        <f si="25" t="shared"/>
        <v>1.4515092127606814E-3</v>
      </c>
      <c r="E39" s="16">
        <f si="25" t="shared"/>
        <v>3.8729939423203424E-4</v>
      </c>
      <c r="F39" s="16">
        <f si="25" t="shared"/>
        <v>1.0179436946499634E-2</v>
      </c>
      <c r="G39" s="16">
        <f si="44" t="shared"/>
        <v>4.4203154467625386E-3</v>
      </c>
      <c r="H39" s="16">
        <f si="44" t="shared"/>
        <v>0.72599212633036259</v>
      </c>
      <c r="I39" s="16"/>
      <c r="J39" s="16">
        <f si="25" t="shared"/>
        <v>0.74581354968576652</v>
      </c>
      <c r="K39" s="13"/>
      <c r="L39" t="str">
        <f>$A$13</f>
        <v>Rest</v>
      </c>
      <c r="M39" s="16">
        <f si="34" t="shared"/>
        <v>7.5185543723781867E-3</v>
      </c>
      <c r="N39" s="16">
        <f si="34" t="shared"/>
        <v>4.3147559120453602E-3</v>
      </c>
      <c r="O39" s="16">
        <f si="34" t="shared"/>
        <v>6.6519153644032641E-3</v>
      </c>
      <c r="P39" s="16">
        <f si="34" t="shared"/>
        <v>8.4051691021681339E-3</v>
      </c>
      <c r="Q39" s="16">
        <f si="34" t="shared"/>
        <v>1.581462530155657E-2</v>
      </c>
      <c r="R39" s="16">
        <f si="34" t="shared"/>
        <v>3.2790915656356122E-3</v>
      </c>
      <c r="S39" s="16">
        <f si="45" t="shared"/>
        <v>0.69982943806757936</v>
      </c>
      <c r="T39" s="16"/>
      <c r="U39" s="16">
        <f si="30" t="shared"/>
        <v>0.74581354968576652</v>
      </c>
      <c r="W39" t="str">
        <f>$A$13</f>
        <v>Rest</v>
      </c>
      <c r="X39" s="16">
        <f ref="X39" si="46" t="shared">M39-B39</f>
        <v>6.4146542479007161E-3</v>
      </c>
      <c r="Y39" s="16">
        <f ref="Y39" si="47" t="shared">N39-C39</f>
        <v>2.035793681373751E-3</v>
      </c>
      <c r="Z39" s="16">
        <f ref="Z39" si="48" t="shared">O39-D39</f>
        <v>5.2004061516425825E-3</v>
      </c>
      <c r="AA39" s="16">
        <f ref="AA39" si="49" t="shared">P39-E39</f>
        <v>8.017869707936099E-3</v>
      </c>
      <c r="AB39" s="16">
        <f ref="AB39" si="50" t="shared">Q39-F39</f>
        <v>5.6351883550569363E-3</v>
      </c>
      <c r="AC39" s="16">
        <f ref="AC39" si="51" t="shared">R39-G39</f>
        <v>-1.1412238811269264E-3</v>
      </c>
      <c r="AD39" s="16">
        <f ref="AD39" si="52" t="shared">S39-H39</f>
        <v>-2.6162688262783229E-2</v>
      </c>
      <c r="AE39" s="16"/>
      <c r="AF39" s="16">
        <f si="32" t="shared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ref="B41:H41" si="53" t="shared">B28/$J$28</f>
        <v>2.2666157702573988E-2</v>
      </c>
      <c r="C41" s="18">
        <f si="53" t="shared"/>
        <v>1.024014355225239E-2</v>
      </c>
      <c r="D41" s="18">
        <f si="53" t="shared"/>
        <v>2.5427939488802922E-2</v>
      </c>
      <c r="E41" s="18">
        <f si="53" t="shared"/>
        <v>2.8795099257486453E-2</v>
      </c>
      <c r="F41" s="18">
        <f si="53" t="shared"/>
        <v>0.14293881319105972</v>
      </c>
      <c r="G41" s="18">
        <f si="53" t="shared"/>
        <v>2.4586346919696269E-2</v>
      </c>
      <c r="H41" s="18">
        <f si="53" t="shared"/>
        <v>0.74534549988812826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3.2643402633722091E-2</v>
      </c>
      <c r="N41" s="18">
        <f>N28/$U$28</f>
        <v>1.8594323821816562E-2</v>
      </c>
      <c r="O41" s="18">
        <f>O28/$U$28</f>
        <v>3.1096052490050555E-2</v>
      </c>
      <c r="P41" s="18">
        <f>P28/$U$28</f>
        <v>2.8894113308440512E-2</v>
      </c>
      <c r="Q41" s="18">
        <f ref="Q41:S41" si="54" t="shared">Q28/$U$28</f>
        <v>0.13291691636318936</v>
      </c>
      <c r="R41" s="18">
        <f si="54" t="shared"/>
        <v>3.2093301986816022E-2</v>
      </c>
      <c r="S41" s="18">
        <f si="54" t="shared"/>
        <v>0.72376188939596486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55" t="shared">M41-B41</f>
        <v>9.9772449311481028E-3</v>
      </c>
      <c r="Y41" s="18">
        <f si="55" t="shared"/>
        <v>8.3541802695641723E-3</v>
      </c>
      <c r="Z41" s="18">
        <f si="55" t="shared"/>
        <v>5.6681130012476329E-3</v>
      </c>
      <c r="AA41" s="18">
        <f si="55" t="shared"/>
        <v>9.901405095405838E-5</v>
      </c>
      <c r="AB41" s="18">
        <f si="55" t="shared"/>
        <v>-1.0021896827870358E-2</v>
      </c>
      <c r="AC41" s="18">
        <f si="55" t="shared"/>
        <v>7.5069550671197534E-3</v>
      </c>
      <c r="AD41" s="18">
        <f si="55" t="shared"/>
        <v>-2.1583610492163396E-2</v>
      </c>
      <c r="AE41" s="18">
        <f si="55" t="shared"/>
        <v>0</v>
      </c>
      <c r="AF41" s="18">
        <f si="5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F1"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23418.229396264702</v>
      </c>
      <c r="F4" s="302" t="s">
        <v>48</v>
      </c>
      <c r="G4" s="303">
        <f>TLFD!F11</f>
        <v>103422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126014.50383084279</v>
      </c>
      <c r="F5" s="305" t="s">
        <v>51</v>
      </c>
      <c r="G5" s="306">
        <f>TLFD!F12+TLFD!F13+(TLFD!F14/2)</f>
        <v>135687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461518.92626112088</v>
      </c>
      <c r="F6" s="305" t="s">
        <v>54</v>
      </c>
      <c r="G6" s="306">
        <f>(TLFD!F14/2)+SUM(TLFD!F15:F20)</f>
        <v>305078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82053.96864513692</v>
      </c>
      <c r="F7" s="308" t="s">
        <v>57</v>
      </c>
      <c r="G7" s="309">
        <f>SUM(TLFD!F21:F101)</f>
        <v>110697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693005.6281333653</v>
      </c>
      <c r="E8" s="313"/>
      <c r="F8" s="311" t="s">
        <v>4</v>
      </c>
      <c r="G8" s="312">
        <f>SUM(G4:G7)</f>
        <v>654884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3.3792264370698571E-2</v>
      </c>
      <c r="F12" s="302" t="s">
        <v>48</v>
      </c>
      <c r="G12" s="316">
        <f>G4/G$8</f>
        <v>0.15792415145277636</v>
      </c>
      <c r="H12" s="316"/>
      <c r="I12" s="356">
        <f>D12/G12</f>
        <v>0.21397781187890938</v>
      </c>
      <c r="J12" s="357">
        <f>LN(I12)</f>
        <v>-1.5418829521445543</v>
      </c>
      <c r="K12" s="357">
        <f>K8*J12</f>
        <v>-1.5418829521445543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0.18183763409002496</v>
      </c>
      <c r="F13" s="305" t="s">
        <v>51</v>
      </c>
      <c r="G13" s="317">
        <f ref="G13:G16" si="2" t="shared">G5/G$8</f>
        <v>0.2071924188100488</v>
      </c>
      <c r="H13" s="317"/>
      <c r="I13" s="356">
        <f ref="I13:I15" si="3" t="shared">D13/G13</f>
        <v>0.87762687039592524</v>
      </c>
      <c r="J13" s="357">
        <f ref="J13:J15" si="4" t="shared">LN(I13)</f>
        <v>-0.13053375244525722</v>
      </c>
      <c r="K13" s="357">
        <f>K8*(J13-J12)</f>
        <v>1.4113491996992971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0.66596706797928629</v>
      </c>
      <c r="F14" s="305" t="s">
        <v>54</v>
      </c>
      <c r="G14" s="317">
        <f si="2" t="shared"/>
        <v>0.46585044068873266</v>
      </c>
      <c r="H14" s="317"/>
      <c r="I14" s="356">
        <f si="3" t="shared"/>
        <v>1.4295726907431769</v>
      </c>
      <c r="J14" s="357">
        <f si="4" t="shared"/>
        <v>0.35737558195480829</v>
      </c>
      <c r="K14" s="357">
        <f>K8*(J14-J13-J12)</f>
        <v>2.0297922865446196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0.11840303355999017</v>
      </c>
      <c r="F15" s="308" t="s">
        <v>57</v>
      </c>
      <c r="G15" s="317">
        <f si="2" t="shared"/>
        <v>0.16903298904844216</v>
      </c>
      <c r="H15" s="317"/>
      <c r="I15" s="358">
        <f si="3" t="shared"/>
        <v>0.70047293268923827</v>
      </c>
      <c r="J15" s="359">
        <f si="4" t="shared"/>
        <v>-0.35599955393843075</v>
      </c>
      <c r="K15" s="359">
        <f>K8*(J15-J14-J13-J12)</f>
        <v>0.95904156869657253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-1.5418829521445543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1.4113491996992971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2.0297922865446196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0.95904156869657253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-22.352111340844555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-5.7722881475307037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-1.6303052525053805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-0.40150415866342737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-22.352111340844555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-5.7722881475307037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-1.6303052525053805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-0.40150415866342737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2017-10-26T15:42:42Z</dcterms:modified>
</cp:coreProperties>
</file>