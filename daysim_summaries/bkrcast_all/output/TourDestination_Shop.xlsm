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DEF3EFFC-FCE7-410A-9D07-6FF0A6BD3953}" xr6:coauthVersionLast="41" xr6:coauthVersionMax="41" xr10:uidLastSave="{00000000-0000-0000-0000-000000000000}"/>
  <bookViews>
    <workbookView xWindow="12405" yWindow="2640" windowWidth="21600" windowHeight="11265" firstSheet="3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_1">TLFD!$B$11:$B$101</definedName>
    <definedName name="out_10">County_Flow!$M$7:$S$13</definedName>
    <definedName name="out_2">TLFD!$F$11:$F$101</definedName>
    <definedName name="out_3">TDFD!$B$11:$B$101</definedName>
    <definedName name="out_4">TDFD!$F$11:$F$101</definedName>
    <definedName name="out_5">TLFD!$K$11:$K$11</definedName>
    <definedName name="out_6">TLFD!$L$11:$L$11</definedName>
    <definedName name="out_7">TDFD!$K$11:$K$11</definedName>
    <definedName name="out_8">TDFD!$L$11:$L$11</definedName>
    <definedName name="out_9">County_Flow!$B$7:$H$13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P84" i="6"/>
  <c r="O84" i="6"/>
  <c r="N84" i="6"/>
  <c r="M84" i="6" s="1"/>
  <c r="P83" i="6"/>
  <c r="O83" i="6"/>
  <c r="N83" i="6"/>
  <c r="P82" i="6"/>
  <c r="O82" i="6"/>
  <c r="N82" i="6"/>
  <c r="M82" i="6" s="1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P54" i="6"/>
  <c r="O54" i="6"/>
  <c r="N54" i="6"/>
  <c r="M54" i="6" s="1"/>
  <c r="P53" i="6"/>
  <c r="O53" i="6"/>
  <c r="N53" i="6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P46" i="6"/>
  <c r="O46" i="6"/>
  <c r="N46" i="6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M42" i="6" s="1"/>
  <c r="P41" i="6"/>
  <c r="O41" i="6"/>
  <c r="N41" i="6"/>
  <c r="M41" i="6" s="1"/>
  <c r="P40" i="6"/>
  <c r="O40" i="6"/>
  <c r="N40" i="6"/>
  <c r="R40" i="6" s="1"/>
  <c r="P39" i="6"/>
  <c r="O39" i="6"/>
  <c r="N39" i="6"/>
  <c r="M39" i="6" s="1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P34" i="6"/>
  <c r="O34" i="6"/>
  <c r="N34" i="6"/>
  <c r="M34" i="6" s="1"/>
  <c r="P33" i="6"/>
  <c r="O33" i="6"/>
  <c r="N33" i="6"/>
  <c r="M33" i="6" s="1"/>
  <c r="P32" i="6"/>
  <c r="O32" i="6"/>
  <c r="N32" i="6"/>
  <c r="M32" i="6" s="1"/>
  <c r="P31" i="6"/>
  <c r="O31" i="6"/>
  <c r="N31" i="6"/>
  <c r="P30" i="6"/>
  <c r="O30" i="6"/>
  <c r="N30" i="6"/>
  <c r="M30" i="6" s="1"/>
  <c r="P29" i="6"/>
  <c r="O29" i="6"/>
  <c r="N29" i="6"/>
  <c r="M29" i="6" s="1"/>
  <c r="P28" i="6"/>
  <c r="O28" i="6"/>
  <c r="N28" i="6"/>
  <c r="P27" i="6"/>
  <c r="O27" i="6"/>
  <c r="N27" i="6"/>
  <c r="M27" i="6" s="1"/>
  <c r="P26" i="6"/>
  <c r="O26" i="6"/>
  <c r="N26" i="6"/>
  <c r="M26" i="6" s="1"/>
  <c r="P25" i="6"/>
  <c r="O25" i="6"/>
  <c r="N25" i="6"/>
  <c r="M25" i="6" s="1"/>
  <c r="P24" i="6"/>
  <c r="O24" i="6"/>
  <c r="N24" i="6"/>
  <c r="M24" i="6" s="1"/>
  <c r="P23" i="6"/>
  <c r="O23" i="6"/>
  <c r="N23" i="6"/>
  <c r="P22" i="6"/>
  <c r="O22" i="6"/>
  <c r="N22" i="6"/>
  <c r="M22" i="6" s="1"/>
  <c r="P21" i="6"/>
  <c r="O21" i="6"/>
  <c r="N21" i="6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M12" i="6" s="1"/>
  <c r="P11" i="6"/>
  <c r="O11" i="6"/>
  <c r="N11" i="6"/>
  <c r="M11" i="6" s="1"/>
  <c r="P10" i="6"/>
  <c r="O10" i="6"/>
  <c r="N10" i="6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P4" i="6"/>
  <c r="O4" i="6"/>
  <c r="N4" i="6"/>
  <c r="M4" i="6" s="1"/>
  <c r="P3" i="6"/>
  <c r="O3" i="6"/>
  <c r="N3" i="6"/>
  <c r="B36" i="6"/>
  <c r="B46" i="6" s="1"/>
  <c r="B35" i="6"/>
  <c r="B45" i="6" s="1"/>
  <c r="B34" i="6"/>
  <c r="B44" i="6" s="1"/>
  <c r="B33" i="6"/>
  <c r="B43" i="6" s="1"/>
  <c r="D24" i="6" l="1"/>
  <c r="D23" i="6"/>
  <c r="Q75" i="6"/>
  <c r="Q36" i="6"/>
  <c r="D25" i="6"/>
  <c r="D26" i="6"/>
  <c r="M40" i="6"/>
  <c r="Q33" i="6"/>
  <c r="R39" i="6"/>
  <c r="R41" i="6"/>
  <c r="R42" i="6"/>
  <c r="Q25" i="6"/>
  <c r="Q5" i="6"/>
  <c r="Q78" i="6"/>
  <c r="Q79" i="6"/>
  <c r="Q77" i="6"/>
  <c r="Q83" i="6"/>
  <c r="Q99" i="6"/>
  <c r="Q21" i="6"/>
  <c r="Q80" i="6"/>
  <c r="Q35" i="6"/>
  <c r="Q37" i="6"/>
  <c r="Q20" i="6"/>
  <c r="Q89" i="6"/>
  <c r="Q27" i="6"/>
  <c r="Q88" i="6"/>
  <c r="Q85" i="6"/>
  <c r="Q70" i="6"/>
  <c r="Q93" i="6"/>
  <c r="Q82" i="6"/>
  <c r="Q95" i="6"/>
  <c r="Q29" i="6"/>
  <c r="Q96" i="6"/>
  <c r="Q23" i="6"/>
  <c r="Q28" i="6"/>
  <c r="Q50" i="6"/>
  <c r="Q16" i="6"/>
  <c r="Q15" i="6"/>
  <c r="Q102" i="6"/>
  <c r="Q51" i="6"/>
  <c r="Q58" i="6"/>
  <c r="Q26" i="6"/>
  <c r="Q49" i="6"/>
  <c r="Q60" i="6"/>
  <c r="Q67" i="6"/>
  <c r="Q103" i="6"/>
  <c r="Q87" i="6"/>
  <c r="Q44" i="6"/>
  <c r="Q101" i="6"/>
  <c r="Q9" i="6"/>
  <c r="Q68" i="6"/>
  <c r="Q104" i="6"/>
  <c r="Q31" i="6"/>
  <c r="Q97" i="6"/>
  <c r="Q11" i="6"/>
  <c r="Q3" i="6"/>
  <c r="Q10" i="6"/>
  <c r="Q38" i="6"/>
  <c r="Q59" i="6"/>
  <c r="Q6" i="6"/>
  <c r="Q69" i="6"/>
  <c r="Q12" i="6"/>
  <c r="Q71" i="6"/>
  <c r="Q45" i="6"/>
  <c r="Q61" i="6"/>
  <c r="Q86" i="6"/>
  <c r="Q94" i="6"/>
  <c r="Q7" i="6"/>
  <c r="Q13" i="6"/>
  <c r="Q72" i="6"/>
  <c r="Q46" i="6"/>
  <c r="Q34" i="6"/>
  <c r="Q43" i="6"/>
  <c r="Q62" i="6"/>
  <c r="Q66" i="6"/>
  <c r="Q17" i="6"/>
  <c r="Q73" i="6"/>
  <c r="Q81" i="6"/>
  <c r="Q22" i="6"/>
  <c r="Q18" i="6"/>
  <c r="Q4" i="6"/>
  <c r="Q84" i="6"/>
  <c r="Q90" i="6"/>
  <c r="Q8" i="6"/>
  <c r="Q63" i="6"/>
  <c r="Q74" i="6"/>
  <c r="Q19" i="6"/>
  <c r="Q47" i="6"/>
  <c r="M21" i="6"/>
  <c r="M46" i="6"/>
  <c r="M85" i="6"/>
  <c r="Q98" i="6"/>
  <c r="M3" i="6"/>
  <c r="M28" i="6"/>
  <c r="M47" i="6"/>
  <c r="M93" i="6"/>
  <c r="M10" i="6"/>
  <c r="M35" i="6"/>
  <c r="Q14" i="6"/>
  <c r="M23" i="6"/>
  <c r="M5" i="6"/>
  <c r="M31" i="6"/>
  <c r="Q91" i="6"/>
  <c r="Q30" i="6"/>
  <c r="Q64" i="6"/>
  <c r="Q92" i="6"/>
  <c r="Q32" i="6"/>
  <c r="Q65" i="6"/>
  <c r="Q57" i="6"/>
  <c r="M53" i="6"/>
  <c r="M83" i="6"/>
  <c r="M55" i="6"/>
  <c r="Q48" i="6"/>
  <c r="Q76" i="6"/>
  <c r="Q100" i="6"/>
  <c r="Q24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G7" i="6" l="1"/>
  <c r="D7" i="6"/>
  <c r="G6" i="6"/>
  <c r="D6" i="6"/>
  <c r="G5" i="6"/>
  <c r="D5" i="6"/>
  <c r="G4" i="6"/>
  <c r="D4" i="6"/>
  <c r="G8" i="6" l="1"/>
  <c r="G15" i="6" s="1"/>
  <c r="D8" i="6"/>
  <c r="D14" i="6" s="1"/>
  <c r="U13" i="1"/>
  <c r="S15" i="1"/>
  <c r="H15" i="1"/>
  <c r="J13" i="1"/>
  <c r="F26" i="1" l="1"/>
  <c r="C26" i="1"/>
  <c r="E26" i="1"/>
  <c r="H26" i="1"/>
  <c r="B26" i="1"/>
  <c r="D26" i="1"/>
  <c r="G26" i="1"/>
  <c r="G12" i="6"/>
  <c r="G16" i="6"/>
  <c r="G13" i="6"/>
  <c r="D16" i="6"/>
  <c r="D12" i="6"/>
  <c r="D13" i="6"/>
  <c r="G14" i="6"/>
  <c r="I14" i="6" s="1"/>
  <c r="J14" i="6" s="1"/>
  <c r="D15" i="6"/>
  <c r="I15" i="6" s="1"/>
  <c r="J15" i="6" s="1"/>
  <c r="S28" i="1"/>
  <c r="U26" i="1"/>
  <c r="W39" i="1"/>
  <c r="L39" i="1"/>
  <c r="A39" i="1"/>
  <c r="A26" i="1"/>
  <c r="L26" i="1"/>
  <c r="L13" i="1"/>
  <c r="AD32" i="1"/>
  <c r="S32" i="1"/>
  <c r="H32" i="1"/>
  <c r="H19" i="1"/>
  <c r="S19" i="1"/>
  <c r="S6" i="1"/>
  <c r="H6" i="1"/>
  <c r="I12" i="6" l="1"/>
  <c r="J12" i="6" s="1"/>
  <c r="K12" i="6" s="1"/>
  <c r="D33" i="6" s="1"/>
  <c r="D43" i="6" s="1"/>
  <c r="Q39" i="6" s="1"/>
  <c r="I13" i="6"/>
  <c r="J13" i="6" s="1"/>
  <c r="Q54" i="6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K14" i="6" l="1"/>
  <c r="D35" i="6" s="1"/>
  <c r="D45" i="6" s="1"/>
  <c r="Q41" i="6" s="1"/>
  <c r="K15" i="6"/>
  <c r="D36" i="6" s="1"/>
  <c r="D46" i="6" s="1"/>
  <c r="Q42" i="6" s="1"/>
  <c r="K13" i="6"/>
  <c r="D34" i="6" s="1"/>
  <c r="D44" i="6" s="1"/>
  <c r="Q40" i="6" s="1"/>
  <c r="Q55" i="6"/>
  <c r="Q56" i="6"/>
  <c r="Q15" i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G25" i="1"/>
  <c r="G23" i="1"/>
  <c r="G24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T28" i="1" s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2" i="3" s="1"/>
  <c r="B102" i="3"/>
  <c r="C13" i="3" s="1"/>
  <c r="H20" i="1" l="1"/>
  <c r="H21" i="1"/>
  <c r="H22" i="1"/>
  <c r="J23" i="1"/>
  <c r="J25" i="1"/>
  <c r="F21" i="1"/>
  <c r="J24" i="1"/>
  <c r="E21" i="1"/>
  <c r="D21" i="1"/>
  <c r="U20" i="1"/>
  <c r="U22" i="1"/>
  <c r="G22" i="1"/>
  <c r="U21" i="1"/>
  <c r="G21" i="1"/>
  <c r="B21" i="1"/>
  <c r="C21" i="1"/>
  <c r="J15" i="1"/>
  <c r="E20" i="1"/>
  <c r="U15" i="1"/>
  <c r="U28" i="1" s="1"/>
  <c r="F22" i="1"/>
  <c r="D20" i="1"/>
  <c r="F20" i="1"/>
  <c r="C22" i="1"/>
  <c r="C20" i="1"/>
  <c r="G20" i="1"/>
  <c r="E22" i="1"/>
  <c r="B20" i="1"/>
  <c r="B22" i="1"/>
  <c r="D22" i="1"/>
  <c r="C43" i="4"/>
  <c r="C13" i="4"/>
  <c r="C23" i="4"/>
  <c r="C39" i="4"/>
  <c r="C51" i="4"/>
  <c r="C81" i="4"/>
  <c r="C19" i="4"/>
  <c r="C31" i="4"/>
  <c r="C63" i="4"/>
  <c r="C11" i="4"/>
  <c r="C21" i="4"/>
  <c r="C33" i="4"/>
  <c r="C49" i="4"/>
  <c r="C71" i="4"/>
  <c r="C15" i="4"/>
  <c r="C27" i="4"/>
  <c r="C41" i="4"/>
  <c r="C59" i="4"/>
  <c r="C83" i="4"/>
  <c r="C91" i="4"/>
  <c r="C73" i="4"/>
  <c r="C95" i="4"/>
  <c r="C55" i="4"/>
  <c r="C65" i="4"/>
  <c r="C75" i="4"/>
  <c r="C87" i="4"/>
  <c r="C97" i="4"/>
  <c r="C17" i="4"/>
  <c r="C25" i="4"/>
  <c r="C35" i="4"/>
  <c r="C47" i="4"/>
  <c r="C57" i="4"/>
  <c r="C67" i="4"/>
  <c r="C79" i="4"/>
  <c r="C89" i="4"/>
  <c r="C99" i="4"/>
  <c r="G18" i="4"/>
  <c r="C29" i="4"/>
  <c r="C37" i="4"/>
  <c r="C45" i="4"/>
  <c r="C53" i="4"/>
  <c r="C61" i="4"/>
  <c r="C69" i="4"/>
  <c r="C77" i="4"/>
  <c r="C85" i="4"/>
  <c r="C93" i="4"/>
  <c r="C101" i="4"/>
  <c r="G34" i="4"/>
  <c r="G66" i="4"/>
  <c r="G12" i="4"/>
  <c r="G20" i="4"/>
  <c r="G28" i="4"/>
  <c r="G36" i="4"/>
  <c r="G44" i="4"/>
  <c r="G52" i="4"/>
  <c r="G60" i="4"/>
  <c r="G68" i="4"/>
  <c r="G82" i="4"/>
  <c r="G98" i="4"/>
  <c r="G26" i="4"/>
  <c r="G42" i="4"/>
  <c r="G50" i="4"/>
  <c r="G58" i="4"/>
  <c r="G78" i="4"/>
  <c r="G94" i="4"/>
  <c r="G16" i="4"/>
  <c r="G24" i="4"/>
  <c r="G32" i="4"/>
  <c r="G40" i="4"/>
  <c r="G48" i="4"/>
  <c r="G56" i="4"/>
  <c r="G64" i="4"/>
  <c r="G74" i="4"/>
  <c r="G90" i="4"/>
  <c r="G14" i="4"/>
  <c r="G22" i="4"/>
  <c r="G30" i="4"/>
  <c r="G38" i="4"/>
  <c r="G46" i="4"/>
  <c r="G54" i="4"/>
  <c r="G62" i="4"/>
  <c r="G70" i="4"/>
  <c r="G86" i="4"/>
  <c r="G102" i="4"/>
  <c r="G72" i="4"/>
  <c r="G76" i="4"/>
  <c r="G80" i="4"/>
  <c r="G84" i="4"/>
  <c r="G88" i="4"/>
  <c r="G92" i="4"/>
  <c r="G96" i="4"/>
  <c r="G100" i="4"/>
  <c r="G13" i="3"/>
  <c r="G17" i="3"/>
  <c r="G21" i="3"/>
  <c r="G25" i="3"/>
  <c r="G29" i="3"/>
  <c r="G33" i="3"/>
  <c r="G37" i="3"/>
  <c r="G41" i="3"/>
  <c r="G45" i="3"/>
  <c r="G49" i="3"/>
  <c r="G53" i="3"/>
  <c r="G57" i="3"/>
  <c r="G61" i="3"/>
  <c r="G65" i="3"/>
  <c r="G69" i="3"/>
  <c r="G73" i="3"/>
  <c r="G77" i="3"/>
  <c r="G81" i="3"/>
  <c r="G85" i="3"/>
  <c r="G89" i="3"/>
  <c r="G93" i="3"/>
  <c r="G97" i="3"/>
  <c r="G101" i="3"/>
  <c r="G11" i="3"/>
  <c r="G15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G87" i="3"/>
  <c r="G91" i="3"/>
  <c r="G95" i="3"/>
  <c r="G99" i="3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C102" i="3"/>
  <c r="C98" i="3"/>
  <c r="C94" i="3"/>
  <c r="C92" i="3"/>
  <c r="C88" i="3"/>
  <c r="C84" i="3"/>
  <c r="C78" i="3"/>
  <c r="C74" i="3"/>
  <c r="C66" i="3"/>
  <c r="C34" i="3"/>
  <c r="C11" i="3"/>
  <c r="C100" i="3"/>
  <c r="C96" i="3"/>
  <c r="C90" i="3"/>
  <c r="C86" i="3"/>
  <c r="C82" i="3"/>
  <c r="C80" i="3"/>
  <c r="C76" i="3"/>
  <c r="C72" i="3"/>
  <c r="C70" i="3"/>
  <c r="C68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H28" i="1" l="1"/>
  <c r="S35" i="1"/>
  <c r="S36" i="1"/>
  <c r="S38" i="1"/>
  <c r="S37" i="1"/>
  <c r="S39" i="1"/>
  <c r="S34" i="1"/>
  <c r="R39" i="1"/>
  <c r="N39" i="1"/>
  <c r="S33" i="1"/>
  <c r="Q39" i="1"/>
  <c r="P39" i="1"/>
  <c r="O39" i="1"/>
  <c r="M39" i="1"/>
  <c r="F28" i="1"/>
  <c r="G28" i="1"/>
  <c r="U39" i="1"/>
  <c r="S41" i="1"/>
  <c r="J27" i="1"/>
  <c r="U35" i="1"/>
  <c r="Q41" i="1"/>
  <c r="R41" i="1"/>
  <c r="I28" i="1"/>
  <c r="J21" i="1"/>
  <c r="Q38" i="1"/>
  <c r="N41" i="1"/>
  <c r="Q34" i="1"/>
  <c r="O34" i="1"/>
  <c r="M34" i="1"/>
  <c r="P33" i="1"/>
  <c r="O33" i="1"/>
  <c r="Q33" i="1"/>
  <c r="U34" i="1"/>
  <c r="J22" i="1"/>
  <c r="D28" i="1"/>
  <c r="M37" i="1"/>
  <c r="U41" i="1"/>
  <c r="T41" i="1"/>
  <c r="U37" i="1"/>
  <c r="P37" i="1"/>
  <c r="N37" i="1"/>
  <c r="R37" i="1"/>
  <c r="R35" i="1"/>
  <c r="N35" i="1"/>
  <c r="M35" i="1"/>
  <c r="O37" i="1"/>
  <c r="O35" i="1"/>
  <c r="Q37" i="1"/>
  <c r="U38" i="1"/>
  <c r="Q35" i="1"/>
  <c r="O38" i="1"/>
  <c r="P35" i="1"/>
  <c r="N38" i="1"/>
  <c r="M38" i="1"/>
  <c r="R34" i="1"/>
  <c r="E28" i="1"/>
  <c r="N33" i="1"/>
  <c r="B28" i="1"/>
  <c r="J20" i="1"/>
  <c r="O36" i="1"/>
  <c r="P34" i="1"/>
  <c r="R38" i="1"/>
  <c r="C28" i="1"/>
  <c r="U33" i="1"/>
  <c r="N34" i="1"/>
  <c r="U36" i="1"/>
  <c r="M33" i="1"/>
  <c r="N36" i="1"/>
  <c r="M36" i="1"/>
  <c r="P41" i="1"/>
  <c r="O41" i="1"/>
  <c r="Q36" i="1"/>
  <c r="P38" i="1"/>
  <c r="R33" i="1"/>
  <c r="M41" i="1"/>
  <c r="R36" i="1"/>
  <c r="P36" i="1"/>
  <c r="J28" i="1" l="1"/>
  <c r="G39" i="1" l="1"/>
  <c r="AC39" i="1" s="1"/>
  <c r="D39" i="1"/>
  <c r="Z39" i="1" s="1"/>
  <c r="B39" i="1"/>
  <c r="X39" i="1" s="1"/>
  <c r="H39" i="1"/>
  <c r="AD39" i="1" s="1"/>
  <c r="E39" i="1"/>
  <c r="AA39" i="1" s="1"/>
  <c r="C39" i="1"/>
  <c r="Y39" i="1" s="1"/>
  <c r="F39" i="1"/>
  <c r="AB39" i="1" s="1"/>
  <c r="H33" i="1"/>
  <c r="AD33" i="1" s="1"/>
  <c r="H36" i="1"/>
  <c r="AD36" i="1" s="1"/>
  <c r="H38" i="1"/>
  <c r="AD38" i="1" s="1"/>
  <c r="H37" i="1"/>
  <c r="AD37" i="1" s="1"/>
  <c r="H35" i="1"/>
  <c r="AD35" i="1" s="1"/>
  <c r="H34" i="1"/>
  <c r="AD34" i="1" s="1"/>
  <c r="J40" i="1"/>
  <c r="G38" i="1"/>
  <c r="J39" i="1"/>
  <c r="AF39" i="1" s="1"/>
  <c r="G37" i="1"/>
  <c r="AC37" i="1" s="1"/>
  <c r="G35" i="1"/>
  <c r="AC35" i="1" s="1"/>
  <c r="G34" i="1"/>
  <c r="AC34" i="1" s="1"/>
  <c r="G36" i="1"/>
  <c r="AC36" i="1" s="1"/>
  <c r="H41" i="1"/>
  <c r="AD41" i="1" s="1"/>
  <c r="J35" i="1"/>
  <c r="AF35" i="1" s="1"/>
  <c r="G41" i="1"/>
  <c r="AC41" i="1" s="1"/>
  <c r="F41" i="1"/>
  <c r="AB41" i="1" s="1"/>
  <c r="B41" i="1"/>
  <c r="X41" i="1" s="1"/>
  <c r="C41" i="1"/>
  <c r="Y41" i="1" s="1"/>
  <c r="D37" i="1"/>
  <c r="Z37" i="1" s="1"/>
  <c r="C38" i="1"/>
  <c r="Y38" i="1" s="1"/>
  <c r="C36" i="1"/>
  <c r="Y36" i="1" s="1"/>
  <c r="F37" i="1"/>
  <c r="AB37" i="1" s="1"/>
  <c r="E37" i="1"/>
  <c r="AA37" i="1" s="1"/>
  <c r="D36" i="1"/>
  <c r="Z36" i="1" s="1"/>
  <c r="C37" i="1"/>
  <c r="Y37" i="1" s="1"/>
  <c r="J41" i="1"/>
  <c r="AF41" i="1" s="1"/>
  <c r="F36" i="1"/>
  <c r="AB36" i="1" s="1"/>
  <c r="C34" i="1"/>
  <c r="Y34" i="1" s="1"/>
  <c r="D38" i="1"/>
  <c r="Z38" i="1" s="1"/>
  <c r="F38" i="1"/>
  <c r="AB38" i="1" s="1"/>
  <c r="B38" i="1"/>
  <c r="X38" i="1" s="1"/>
  <c r="J38" i="1"/>
  <c r="AF38" i="1" s="1"/>
  <c r="E38" i="1"/>
  <c r="AA38" i="1" s="1"/>
  <c r="J36" i="1"/>
  <c r="AF36" i="1" s="1"/>
  <c r="E34" i="1"/>
  <c r="AA34" i="1" s="1"/>
  <c r="D34" i="1"/>
  <c r="Z34" i="1" s="1"/>
  <c r="AC38" i="1"/>
  <c r="I41" i="1"/>
  <c r="AE41" i="1" s="1"/>
  <c r="B37" i="1"/>
  <c r="X37" i="1" s="1"/>
  <c r="B36" i="1"/>
  <c r="X36" i="1" s="1"/>
  <c r="J37" i="1"/>
  <c r="AF37" i="1" s="1"/>
  <c r="E36" i="1"/>
  <c r="AA36" i="1" s="1"/>
  <c r="F34" i="1"/>
  <c r="AB34" i="1" s="1"/>
  <c r="B34" i="1"/>
  <c r="X34" i="1" s="1"/>
  <c r="J34" i="1"/>
  <c r="AF34" i="1" s="1"/>
  <c r="B35" i="1"/>
  <c r="X35" i="1" s="1"/>
  <c r="B33" i="1"/>
  <c r="X33" i="1" s="1"/>
  <c r="G33" i="1"/>
  <c r="AC33" i="1" s="1"/>
  <c r="D35" i="1"/>
  <c r="Z35" i="1" s="1"/>
  <c r="C35" i="1"/>
  <c r="Y35" i="1" s="1"/>
  <c r="E35" i="1"/>
  <c r="AA35" i="1" s="1"/>
  <c r="F33" i="1"/>
  <c r="AB33" i="1" s="1"/>
  <c r="F35" i="1"/>
  <c r="AB35" i="1" s="1"/>
  <c r="E33" i="1"/>
  <c r="AA33" i="1" s="1"/>
  <c r="D33" i="1"/>
  <c r="Z33" i="1" s="1"/>
  <c r="C33" i="1"/>
  <c r="Y33" i="1" s="1"/>
  <c r="J33" i="1"/>
  <c r="AF33" i="1" s="1"/>
  <c r="E41" i="1"/>
  <c r="AA41" i="1" s="1"/>
  <c r="D41" i="1"/>
  <c r="Z41" i="1" s="1"/>
  <c r="Q52" i="6" l="1"/>
  <c r="Q53" i="6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<sst xmlns="http://schemas.openxmlformats.org/spreadsheetml/2006/main" count="716" uniqueCount="285">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</sst>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8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171" fontId="0" fillId="5" borderId="0" xfId="0" applyNumberFormat="1" applyFont="1" applyFill="1" applyBorder="1" applyAlignment="1">
      <alignment horizontal="right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8" fillId="0" borderId="0" xfId="0" applyFont="1"/>
    <xf numFmtId="0" fontId="5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0" xfId="0" applyFont="1" applyFill="1" applyBorder="1"/>
    <xf numFmtId="0" fontId="7" fillId="6" borderId="10" xfId="0" applyFont="1" applyFill="1" applyBorder="1"/>
    <xf numFmtId="0" fontId="7" fillId="6" borderId="11" xfId="0" applyFont="1" applyFill="1" applyBorder="1"/>
    <xf numFmtId="0" fontId="7" fillId="6" borderId="3" xfId="0" applyFont="1" applyFill="1" applyBorder="1"/>
    <xf numFmtId="0" fontId="7" fillId="6" borderId="12" xfId="0" applyFont="1" applyFill="1" applyBorder="1"/>
    <xf numFmtId="166" fontId="0" fillId="0" borderId="0" xfId="0" applyNumberFormat="1" applyFont="1" applyFill="1"/>
    <xf numFmtId="166" fontId="7" fillId="7" borderId="0" xfId="0" applyNumberFormat="1" applyFont="1" applyFill="1" applyAlignment="1">
      <alignment horizontal="right"/>
    </xf>
    <xf numFmtId="166" fontId="7" fillId="7" borderId="1" xfId="0" applyNumberFormat="1" applyFont="1" applyFill="1" applyBorder="1" applyAlignment="1">
      <alignment horizontal="right"/>
    </xf>
    <xf numFmtId="166" fontId="7" fillId="0" borderId="7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3.3792264370698571E-2</c:v>
                </c:pt>
                <c:pt idx="1">
                  <c:v>5.4844825397588261E-2</c:v>
                </c:pt>
                <c:pt idx="2">
                  <c:v>7.1243427693169034E-2</c:v>
                </c:pt>
                <c:pt idx="3">
                  <c:v>0.11149876199853537</c:v>
                </c:pt>
                <c:pt idx="4">
                  <c:v>0.2315889709745762</c:v>
                </c:pt>
                <c:pt idx="5">
                  <c:v>0.11870372474404918</c:v>
                </c:pt>
                <c:pt idx="6">
                  <c:v>0.14440233124297966</c:v>
                </c:pt>
                <c:pt idx="7">
                  <c:v>3.9010524194174293E-2</c:v>
                </c:pt>
                <c:pt idx="8">
                  <c:v>4.656892435643787E-2</c:v>
                </c:pt>
                <c:pt idx="9">
                  <c:v>2.9943211467801403E-2</c:v>
                </c:pt>
                <c:pt idx="10">
                  <c:v>4.407094689345014E-2</c:v>
                </c:pt>
                <c:pt idx="11">
                  <c:v>1.2546115919171848E-2</c:v>
                </c:pt>
                <c:pt idx="12">
                  <c:v>5.7379983732213646E-3</c:v>
                </c:pt>
                <c:pt idx="13">
                  <c:v>4.4632309982139996E-3</c:v>
                </c:pt>
                <c:pt idx="14">
                  <c:v>7.1946397291233616E-3</c:v>
                </c:pt>
                <c:pt idx="15">
                  <c:v>6.8372854639192678E-3</c:v>
                </c:pt>
                <c:pt idx="16">
                  <c:v>6.5928986509542981E-3</c:v>
                </c:pt>
                <c:pt idx="17">
                  <c:v>4.3053148375877554E-3</c:v>
                </c:pt>
                <c:pt idx="18">
                  <c:v>1.4368165462305287E-3</c:v>
                </c:pt>
                <c:pt idx="19">
                  <c:v>8.7258080370456663E-4</c:v>
                </c:pt>
                <c:pt idx="20">
                  <c:v>2.0768431869907139E-4</c:v>
                </c:pt>
                <c:pt idx="21">
                  <c:v>0</c:v>
                </c:pt>
                <c:pt idx="22">
                  <c:v>3.2281675688435743E-3</c:v>
                </c:pt>
                <c:pt idx="23">
                  <c:v>1.0159192336205841E-3</c:v>
                </c:pt>
                <c:pt idx="24">
                  <c:v>1.7052351171693235E-3</c:v>
                </c:pt>
                <c:pt idx="25">
                  <c:v>0</c:v>
                </c:pt>
                <c:pt idx="26">
                  <c:v>1.3180468998200088E-2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1.2838301711119459E-3</c:v>
                </c:pt>
                <c:pt idx="32">
                  <c:v>6.7018510384683413E-4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2.6414404929734909E-4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3.6132901501026665E-4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6.4151350183615588E-4</c:v>
                </c:pt>
                <c:pt idx="55">
                  <c:v>0</c:v>
                </c:pt>
                <c:pt idx="56">
                  <c:v>9.649438743696753E-4</c:v>
                </c:pt>
                <c:pt idx="57">
                  <c:v>8.2178439240814145E-4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0.15775748599253117</c:v>
                </c:pt>
                <c:pt idx="1">
                  <c:v>0.1194406355365156</c:v>
                </c:pt>
                <c:pt idx="2">
                  <c:v>8.0696485148922956E-2</c:v>
                </c:pt>
                <c:pt idx="3">
                  <c:v>5.1567270199195964E-2</c:v>
                </c:pt>
                <c:pt idx="4">
                  <c:v>0.15029553766971776</c:v>
                </c:pt>
                <c:pt idx="5">
                  <c:v>8.3908791386952369E-2</c:v>
                </c:pt>
                <c:pt idx="6">
                  <c:v>8.5951862120891537E-2</c:v>
                </c:pt>
                <c:pt idx="7">
                  <c:v>3.4754185753188262E-2</c:v>
                </c:pt>
                <c:pt idx="8">
                  <c:v>9.2865602492903529E-2</c:v>
                </c:pt>
                <c:pt idx="9">
                  <c:v>2.1061352576027786E-2</c:v>
                </c:pt>
                <c:pt idx="10">
                  <c:v>1.6242893218983659E-2</c:v>
                </c:pt>
                <c:pt idx="11">
                  <c:v>1.6550659086100251E-2</c:v>
                </c:pt>
                <c:pt idx="12">
                  <c:v>1.8520910217551999E-2</c:v>
                </c:pt>
                <c:pt idx="13">
                  <c:v>2.209868842278237E-2</c:v>
                </c:pt>
                <c:pt idx="14">
                  <c:v>7.68727690409521E-3</c:v>
                </c:pt>
                <c:pt idx="15">
                  <c:v>1.5966728311437074E-2</c:v>
                </c:pt>
                <c:pt idx="16">
                  <c:v>3.5640386575912374E-3</c:v>
                </c:pt>
                <c:pt idx="17">
                  <c:v>6.009678137357006E-3</c:v>
                </c:pt>
                <c:pt idx="18">
                  <c:v>2.2038234413170182E-3</c:v>
                </c:pt>
                <c:pt idx="19">
                  <c:v>1.2544206994528912E-3</c:v>
                </c:pt>
                <c:pt idx="20">
                  <c:v>1.4481483211646741E-3</c:v>
                </c:pt>
                <c:pt idx="21">
                  <c:v>2.6915773825062586E-3</c:v>
                </c:pt>
                <c:pt idx="22">
                  <c:v>8.3673845122323191E-4</c:v>
                </c:pt>
                <c:pt idx="23">
                  <c:v>7.2819602487407705E-4</c:v>
                </c:pt>
                <c:pt idx="24">
                  <c:v>1.4742534616790277E-3</c:v>
                </c:pt>
                <c:pt idx="25">
                  <c:v>6.5949828667840943E-4</c:v>
                </c:pt>
                <c:pt idx="26">
                  <c:v>3.2425332428355128E-4</c:v>
                </c:pt>
                <c:pt idx="27">
                  <c:v>1.7696537359203986E-3</c:v>
                </c:pt>
                <c:pt idx="28">
                  <c:v>2.4593790274049016E-4</c:v>
                </c:pt>
                <c:pt idx="29">
                  <c:v>4.3554366016053289E-4</c:v>
                </c:pt>
                <c:pt idx="30">
                  <c:v>2.5280767656005691E-4</c:v>
                </c:pt>
                <c:pt idx="31">
                  <c:v>1.3189965733568189E-4</c:v>
                </c:pt>
                <c:pt idx="32">
                  <c:v>1.6212666214177564E-4</c:v>
                </c:pt>
                <c:pt idx="33">
                  <c:v>1.0854242634915488E-4</c:v>
                </c:pt>
                <c:pt idx="34">
                  <c:v>7.0071692959580993E-5</c:v>
                </c:pt>
                <c:pt idx="35">
                  <c:v>3.5722823861747176E-5</c:v>
                </c:pt>
                <c:pt idx="36">
                  <c:v>1.2502988351611511E-4</c:v>
                </c:pt>
                <c:pt idx="37">
                  <c:v>2.7479095278267059E-5</c:v>
                </c:pt>
                <c:pt idx="38">
                  <c:v>2.4731185750440353E-5</c:v>
                </c:pt>
                <c:pt idx="39">
                  <c:v>1.0991638111306823E-5</c:v>
                </c:pt>
                <c:pt idx="40">
                  <c:v>4.1218642917400591E-6</c:v>
                </c:pt>
                <c:pt idx="41">
                  <c:v>9.6176833473934698E-6</c:v>
                </c:pt>
                <c:pt idx="42">
                  <c:v>2.7479095278267058E-6</c:v>
                </c:pt>
                <c:pt idx="43">
                  <c:v>1.3739547639133529E-6</c:v>
                </c:pt>
                <c:pt idx="44">
                  <c:v>2.7479095278267058E-6</c:v>
                </c:pt>
                <c:pt idx="45">
                  <c:v>4.1218642917400591E-6</c:v>
                </c:pt>
                <c:pt idx="46">
                  <c:v>2.7479095278267058E-6</c:v>
                </c:pt>
                <c:pt idx="47">
                  <c:v>0</c:v>
                </c:pt>
                <c:pt idx="48">
                  <c:v>0</c:v>
                </c:pt>
                <c:pt idx="49">
                  <c:v>1.3739547639133529E-6</c:v>
                </c:pt>
                <c:pt idx="50">
                  <c:v>1.3739547639133529E-6</c:v>
                </c:pt>
                <c:pt idx="51">
                  <c:v>4.1218642917400591E-6</c:v>
                </c:pt>
                <c:pt idx="52">
                  <c:v>0</c:v>
                </c:pt>
                <c:pt idx="53">
                  <c:v>2.7479095278267058E-6</c:v>
                </c:pt>
                <c:pt idx="54">
                  <c:v>0</c:v>
                </c:pt>
                <c:pt idx="55">
                  <c:v>1.3739547639133529E-6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661656"/>
        <c:axId val="344662048"/>
      </c:lineChart>
      <c:catAx>
        <c:axId val="344661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4662048"/>
        <c:crosses val="autoZero"/>
        <c:auto val="1"/>
        <c:lblAlgn val="ctr"/>
        <c:lblOffset val="100"/>
        <c:tickLblSkip val="10"/>
        <c:noMultiLvlLbl val="0"/>
      </c:catAx>
      <c:valAx>
        <c:axId val="3446620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466165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1.7516892902937368E-3</c:v>
                </c:pt>
                <c:pt idx="2">
                  <c:v>5.375022304364545E-3</c:v>
                </c:pt>
                <c:pt idx="3">
                  <c:v>3.817094805128238E-3</c:v>
                </c:pt>
                <c:pt idx="4">
                  <c:v>1.3856257787509851E-2</c:v>
                </c:pt>
                <c:pt idx="5">
                  <c:v>2.8341813204943965E-2</c:v>
                </c:pt>
                <c:pt idx="6">
                  <c:v>1.1545354338456904E-2</c:v>
                </c:pt>
                <c:pt idx="7">
                  <c:v>2.3320497665309949E-2</c:v>
                </c:pt>
                <c:pt idx="8">
                  <c:v>8.0246098191349684E-3</c:v>
                </c:pt>
                <c:pt idx="9">
                  <c:v>1.2491300773986204E-2</c:v>
                </c:pt>
                <c:pt idx="10">
                  <c:v>1.0619858892807116E-2</c:v>
                </c:pt>
                <c:pt idx="11">
                  <c:v>1.4475583411985595E-2</c:v>
                </c:pt>
                <c:pt idx="12">
                  <c:v>2.2079208855273681E-2</c:v>
                </c:pt>
                <c:pt idx="13">
                  <c:v>3.3588576523464177E-2</c:v>
                </c:pt>
                <c:pt idx="14">
                  <c:v>2.3181618634354695E-2</c:v>
                </c:pt>
                <c:pt idx="15">
                  <c:v>1.2216140129587074E-2</c:v>
                </c:pt>
                <c:pt idx="16">
                  <c:v>4.286689188854155E-2</c:v>
                </c:pt>
                <c:pt idx="17">
                  <c:v>2.7270087295846773E-2</c:v>
                </c:pt>
                <c:pt idx="18">
                  <c:v>0.12567330211842484</c:v>
                </c:pt>
                <c:pt idx="19">
                  <c:v>5.6100521383492044E-2</c:v>
                </c:pt>
                <c:pt idx="20">
                  <c:v>7.6812163885463303E-2</c:v>
                </c:pt>
                <c:pt idx="21">
                  <c:v>7.061683037884689E-2</c:v>
                </c:pt>
                <c:pt idx="22">
                  <c:v>5.6195878928019645E-2</c:v>
                </c:pt>
                <c:pt idx="23">
                  <c:v>2.666689760512387E-2</c:v>
                </c:pt>
                <c:pt idx="24">
                  <c:v>2.1261579710412745E-2</c:v>
                </c:pt>
                <c:pt idx="25">
                  <c:v>1.5507474624609314E-2</c:v>
                </c:pt>
                <c:pt idx="26">
                  <c:v>7.183390513302057E-2</c:v>
                </c:pt>
                <c:pt idx="27">
                  <c:v>8.4717477878141594E-3</c:v>
                </c:pt>
                <c:pt idx="28">
                  <c:v>2.6486774434350605E-2</c:v>
                </c:pt>
                <c:pt idx="29">
                  <c:v>1.0203965133940363E-2</c:v>
                </c:pt>
                <c:pt idx="30">
                  <c:v>3.9263726585382908E-3</c:v>
                </c:pt>
                <c:pt idx="31">
                  <c:v>4.6548715049969285E-3</c:v>
                </c:pt>
                <c:pt idx="32">
                  <c:v>5.8620306307551493E-3</c:v>
                </c:pt>
                <c:pt idx="33">
                  <c:v>5.5565518610558072E-3</c:v>
                </c:pt>
                <c:pt idx="34">
                  <c:v>1.0981230804829604E-2</c:v>
                </c:pt>
                <c:pt idx="35">
                  <c:v>2.0907867354633685E-3</c:v>
                </c:pt>
                <c:pt idx="36">
                  <c:v>2.051939630561763E-3</c:v>
                </c:pt>
                <c:pt idx="37">
                  <c:v>1.5044794473363996E-2</c:v>
                </c:pt>
                <c:pt idx="38">
                  <c:v>1.2540700469479743E-2</c:v>
                </c:pt>
                <c:pt idx="39">
                  <c:v>1.5762453072464566E-3</c:v>
                </c:pt>
                <c:pt idx="40">
                  <c:v>7.4452722805074521E-4</c:v>
                </c:pt>
                <c:pt idx="41">
                  <c:v>3.6159981822715464E-3</c:v>
                </c:pt>
                <c:pt idx="42">
                  <c:v>1.7258013282091813E-3</c:v>
                </c:pt>
                <c:pt idx="43">
                  <c:v>0</c:v>
                </c:pt>
                <c:pt idx="44">
                  <c:v>2.2691086201241927E-4</c:v>
                </c:pt>
                <c:pt idx="45">
                  <c:v>4.0474306494623351E-2</c:v>
                </c:pt>
                <c:pt idx="46">
                  <c:v>2.3187066389564227E-3</c:v>
                </c:pt>
                <c:pt idx="47">
                  <c:v>1.931798065724172E-3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1.5726094189963324E-3</c:v>
                </c:pt>
                <c:pt idx="53">
                  <c:v>0</c:v>
                </c:pt>
                <c:pt idx="54">
                  <c:v>1.5189821170501669E-2</c:v>
                </c:pt>
                <c:pt idx="55">
                  <c:v>2.6414404929734909E-4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9.2927198029633799E-4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1.5843072382684873E-2</c:v>
                </c:pt>
                <c:pt idx="1">
                  <c:v>3.2345643052048158E-2</c:v>
                </c:pt>
                <c:pt idx="2">
                  <c:v>3.9988953403698138E-2</c:v>
                </c:pt>
                <c:pt idx="3">
                  <c:v>4.2595345590841764E-2</c:v>
                </c:pt>
                <c:pt idx="4">
                  <c:v>3.9372047714701042E-2</c:v>
                </c:pt>
                <c:pt idx="5">
                  <c:v>3.5582680475828014E-2</c:v>
                </c:pt>
                <c:pt idx="6">
                  <c:v>3.2051616732570697E-2</c:v>
                </c:pt>
                <c:pt idx="7">
                  <c:v>2.9752990412543659E-2</c:v>
                </c:pt>
                <c:pt idx="8">
                  <c:v>2.597598876654585E-2</c:v>
                </c:pt>
                <c:pt idx="9">
                  <c:v>2.3318760253137425E-2</c:v>
                </c:pt>
                <c:pt idx="10">
                  <c:v>2.1880229615320147E-2</c:v>
                </c:pt>
                <c:pt idx="11">
                  <c:v>1.9920970121979704E-2</c:v>
                </c:pt>
                <c:pt idx="12">
                  <c:v>1.7976824131042308E-2</c:v>
                </c:pt>
                <c:pt idx="13">
                  <c:v>1.5885664980366185E-2</c:v>
                </c:pt>
                <c:pt idx="14">
                  <c:v>1.4170969435002323E-2</c:v>
                </c:pt>
                <c:pt idx="15">
                  <c:v>1.3238054150305155E-2</c:v>
                </c:pt>
                <c:pt idx="16">
                  <c:v>1.1938292943643123E-2</c:v>
                </c:pt>
                <c:pt idx="17">
                  <c:v>1.0749822072858073E-2</c:v>
                </c:pt>
                <c:pt idx="18">
                  <c:v>9.6066917092821641E-2</c:v>
                </c:pt>
                <c:pt idx="19">
                  <c:v>3.4263683902471198E-2</c:v>
                </c:pt>
                <c:pt idx="20">
                  <c:v>3.8031067865121608E-2</c:v>
                </c:pt>
                <c:pt idx="21">
                  <c:v>4.0060399051421634E-2</c:v>
                </c:pt>
                <c:pt idx="22">
                  <c:v>3.974164154619373E-2</c:v>
                </c:pt>
                <c:pt idx="23">
                  <c:v>2.8733515977719951E-2</c:v>
                </c:pt>
                <c:pt idx="24">
                  <c:v>2.2777422076155563E-2</c:v>
                </c:pt>
                <c:pt idx="25">
                  <c:v>3.2289310906727708E-2</c:v>
                </c:pt>
                <c:pt idx="26">
                  <c:v>2.1473539005201794E-2</c:v>
                </c:pt>
                <c:pt idx="27">
                  <c:v>1.5375927762954333E-2</c:v>
                </c:pt>
                <c:pt idx="28">
                  <c:v>1.3031960935718153E-2</c:v>
                </c:pt>
                <c:pt idx="29">
                  <c:v>1.4188830846933195E-2</c:v>
                </c:pt>
                <c:pt idx="30">
                  <c:v>3.8664461011285664E-2</c:v>
                </c:pt>
                <c:pt idx="31">
                  <c:v>1.2803884444908535E-2</c:v>
                </c:pt>
                <c:pt idx="32">
                  <c:v>2.9019298568613926E-2</c:v>
                </c:pt>
                <c:pt idx="33">
                  <c:v>8.1173247452000896E-3</c:v>
                </c:pt>
                <c:pt idx="34">
                  <c:v>1.4103645651570568E-2</c:v>
                </c:pt>
                <c:pt idx="35">
                  <c:v>5.013560933519825E-3</c:v>
                </c:pt>
                <c:pt idx="36">
                  <c:v>7.1871573700307495E-3</c:v>
                </c:pt>
                <c:pt idx="37">
                  <c:v>8.0953414689774756E-3</c:v>
                </c:pt>
                <c:pt idx="38">
                  <c:v>8.9595590154789746E-3</c:v>
                </c:pt>
                <c:pt idx="39">
                  <c:v>3.9487459914869759E-3</c:v>
                </c:pt>
                <c:pt idx="40">
                  <c:v>3.0996419473885242E-3</c:v>
                </c:pt>
                <c:pt idx="41">
                  <c:v>3.2535248809468197E-3</c:v>
                </c:pt>
                <c:pt idx="42">
                  <c:v>1.4701315973872876E-3</c:v>
                </c:pt>
                <c:pt idx="43">
                  <c:v>4.5189372185110181E-3</c:v>
                </c:pt>
                <c:pt idx="44">
                  <c:v>2.1722224817470109E-3</c:v>
                </c:pt>
                <c:pt idx="45">
                  <c:v>2.7643969849936662E-3</c:v>
                </c:pt>
                <c:pt idx="46">
                  <c:v>2.0526884172865491E-3</c:v>
                </c:pt>
                <c:pt idx="47">
                  <c:v>8.6284359173758565E-4</c:v>
                </c:pt>
                <c:pt idx="48">
                  <c:v>6.0316614135796193E-4</c:v>
                </c:pt>
                <c:pt idx="49">
                  <c:v>1.0304660729350146E-3</c:v>
                </c:pt>
                <c:pt idx="50">
                  <c:v>3.9157710771530558E-4</c:v>
                </c:pt>
                <c:pt idx="51">
                  <c:v>5.0836326264794057E-4</c:v>
                </c:pt>
                <c:pt idx="52">
                  <c:v>5.7431309131578156E-4</c:v>
                </c:pt>
                <c:pt idx="53">
                  <c:v>2.9265236471354416E-4</c:v>
                </c:pt>
                <c:pt idx="54">
                  <c:v>2.720430432548439E-4</c:v>
                </c:pt>
                <c:pt idx="55">
                  <c:v>2.8303468136615072E-4</c:v>
                </c:pt>
                <c:pt idx="56">
                  <c:v>4.0531665535443909E-4</c:v>
                </c:pt>
                <c:pt idx="57">
                  <c:v>1.7998807407264923E-4</c:v>
                </c:pt>
                <c:pt idx="58">
                  <c:v>1.3602152162742195E-4</c:v>
                </c:pt>
                <c:pt idx="59">
                  <c:v>6.5949828667840945E-5</c:v>
                </c:pt>
                <c:pt idx="60">
                  <c:v>8.106333107088782E-5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662832"/>
        <c:axId val="371274696"/>
      </c:lineChart>
      <c:catAx>
        <c:axId val="344662832"/>
        <c:scaling>
          <c:orientation val="minMax"/>
        </c:scaling>
        <c:delete val="0"/>
        <c:axPos val="b"/>
        <c:majorTickMark val="none"/>
        <c:minorTickMark val="none"/>
        <c:tickLblPos val="nextTo"/>
        <c:crossAx val="371274696"/>
        <c:crosses val="autoZero"/>
        <c:auto val="1"/>
        <c:lblAlgn val="ctr"/>
        <c:lblOffset val="100"/>
        <c:tickLblSkip val="10"/>
        <c:noMultiLvlLbl val="0"/>
      </c:catAx>
      <c:valAx>
        <c:axId val="371274696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46628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L31" sqref="L31"/>
    </sheetView>
  </sheetViews>
  <sheetFormatPr defaultRowHeight="15" x14ac:dyDescent="0.25"/>
  <cols>
    <col min="1" max="1" width="13.5703125" customWidth="1" collapsed="1"/>
    <col min="2" max="2" width="10.5703125" bestFit="1" customWidth="1" collapsed="1"/>
    <col min="6" max="6" width="10.5703125" bestFit="1" customWidth="1" collapsed="1"/>
    <col min="12" max="12" width="15.7109375" bestFit="1" customWidth="1" collapsed="1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>
        <v>23418.229396264702</v>
      </c>
      <c r="C11" s="11">
        <f>B11/B$102</f>
        <v>3.3792264370698571E-2</v>
      </c>
      <c r="E11" s="19">
        <v>0</v>
      </c>
      <c r="F11" s="343">
        <v>114820</v>
      </c>
      <c r="G11" s="11">
        <f>F11/F$102</f>
        <v>0.15775748599253117</v>
      </c>
      <c r="K11" s="8">
        <v>5.6679191572369731</v>
      </c>
      <c r="L11" s="8">
        <v>5.2934340797057216</v>
      </c>
    </row>
    <row r="12" spans="1:12" x14ac:dyDescent="0.25">
      <c r="A12">
        <v>1</v>
      </c>
      <c r="B12" s="341">
        <v>38007.772674520398</v>
      </c>
      <c r="C12" s="11">
        <f>B12/B$102</f>
        <v>5.4844825397588261E-2</v>
      </c>
      <c r="E12" s="20">
        <v>1</v>
      </c>
      <c r="F12" s="343">
        <v>86932</v>
      </c>
      <c r="G12" s="11">
        <f>F12/F$102</f>
        <v>0.1194406355365156</v>
      </c>
      <c r="K12" s="8"/>
      <c r="L12" s="289"/>
    </row>
    <row r="13" spans="1:12" x14ac:dyDescent="0.25">
      <c r="A13">
        <v>2</v>
      </c>
      <c r="B13" s="341">
        <v>49372.096358878596</v>
      </c>
      <c r="C13" s="11">
        <f t="shared" ref="C13:C76" si="0">B13/B$102</f>
        <v>7.1243427693169034E-2</v>
      </c>
      <c r="E13" s="21">
        <v>2</v>
      </c>
      <c r="F13" s="343">
        <v>58733</v>
      </c>
      <c r="G13" s="11">
        <f t="shared" ref="G13:G76" si="1">F13/F$102</f>
        <v>8.0696485148922956E-2</v>
      </c>
    </row>
    <row r="14" spans="1:12" x14ac:dyDescent="0.25">
      <c r="A14">
        <v>3</v>
      </c>
      <c r="B14" s="341">
        <v>77269.269594887606</v>
      </c>
      <c r="C14" s="11">
        <f t="shared" si="0"/>
        <v>0.11149876199853537</v>
      </c>
      <c r="E14" s="22">
        <v>3</v>
      </c>
      <c r="F14" s="343">
        <v>37532</v>
      </c>
      <c r="G14" s="11">
        <f t="shared" si="1"/>
        <v>5.1567270199195964E-2</v>
      </c>
    </row>
    <row r="15" spans="1:12" x14ac:dyDescent="0.25">
      <c r="A15">
        <v>4</v>
      </c>
      <c r="B15" s="341">
        <v>160492.46029899589</v>
      </c>
      <c r="C15" s="11">
        <f t="shared" si="0"/>
        <v>0.2315889709745762</v>
      </c>
      <c r="E15" s="23">
        <v>4</v>
      </c>
      <c r="F15" s="343">
        <v>109389</v>
      </c>
      <c r="G15" s="11">
        <f t="shared" si="1"/>
        <v>0.15029553766971776</v>
      </c>
    </row>
    <row r="16" spans="1:12" x14ac:dyDescent="0.25">
      <c r="A16">
        <v>5</v>
      </c>
      <c r="B16" s="341">
        <v>82262.349328019904</v>
      </c>
      <c r="C16" s="11">
        <f t="shared" si="0"/>
        <v>0.11870372474404918</v>
      </c>
      <c r="E16" s="24">
        <v>5</v>
      </c>
      <c r="F16" s="343">
        <v>61071</v>
      </c>
      <c r="G16" s="11">
        <f t="shared" si="1"/>
        <v>8.3908791386952369E-2</v>
      </c>
    </row>
    <row r="17" spans="1:7" x14ac:dyDescent="0.25">
      <c r="A17">
        <v>6</v>
      </c>
      <c r="B17" s="341">
        <v>100071.62826696339</v>
      </c>
      <c r="C17" s="11">
        <f t="shared" si="0"/>
        <v>0.14440233124297966</v>
      </c>
      <c r="E17" s="25">
        <v>6</v>
      </c>
      <c r="F17" s="343">
        <v>62558</v>
      </c>
      <c r="G17" s="11">
        <f t="shared" si="1"/>
        <v>8.5951862120891537E-2</v>
      </c>
    </row>
    <row r="18" spans="1:7" x14ac:dyDescent="0.25">
      <c r="A18">
        <v>7</v>
      </c>
      <c r="B18" s="341">
        <v>27034.512822995599</v>
      </c>
      <c r="C18" s="11">
        <f t="shared" si="0"/>
        <v>3.9010524194174293E-2</v>
      </c>
      <c r="E18" s="26">
        <v>7</v>
      </c>
      <c r="F18" s="343">
        <v>25295</v>
      </c>
      <c r="G18" s="11">
        <f t="shared" si="1"/>
        <v>3.4754185753188262E-2</v>
      </c>
    </row>
    <row r="19" spans="1:7" x14ac:dyDescent="0.25">
      <c r="A19">
        <v>8</v>
      </c>
      <c r="B19" s="341">
        <v>32272.5266751284</v>
      </c>
      <c r="C19" s="11">
        <f t="shared" si="0"/>
        <v>4.656892435643787E-2</v>
      </c>
      <c r="E19" s="27">
        <v>8</v>
      </c>
      <c r="F19" s="343">
        <v>67590</v>
      </c>
      <c r="G19" s="11">
        <f t="shared" si="1"/>
        <v>9.2865602492903529E-2</v>
      </c>
    </row>
    <row r="20" spans="1:7" x14ac:dyDescent="0.25">
      <c r="A20">
        <v>9</v>
      </c>
      <c r="B20" s="341">
        <v>20750.814071573899</v>
      </c>
      <c r="C20" s="11">
        <f t="shared" si="0"/>
        <v>2.9943211467801403E-2</v>
      </c>
      <c r="E20" s="28">
        <v>9</v>
      </c>
      <c r="F20" s="343">
        <v>15329</v>
      </c>
      <c r="G20" s="11">
        <f t="shared" si="1"/>
        <v>2.1061352576027786E-2</v>
      </c>
    </row>
    <row r="21" spans="1:7" x14ac:dyDescent="0.25">
      <c r="A21">
        <v>10</v>
      </c>
      <c r="B21" s="341">
        <v>30541.4142343276</v>
      </c>
      <c r="C21" s="11">
        <f t="shared" si="0"/>
        <v>4.407094689345014E-2</v>
      </c>
      <c r="E21" s="29">
        <v>10</v>
      </c>
      <c r="F21" s="343">
        <v>11822</v>
      </c>
      <c r="G21" s="11">
        <f t="shared" si="1"/>
        <v>1.6242893218983659E-2</v>
      </c>
    </row>
    <row r="22" spans="1:7" x14ac:dyDescent="0.25">
      <c r="A22">
        <v>11</v>
      </c>
      <c r="B22" s="341">
        <v>8694.5289431997007</v>
      </c>
      <c r="C22" s="11">
        <f t="shared" si="0"/>
        <v>1.2546115919171848E-2</v>
      </c>
      <c r="E22" s="30">
        <v>11</v>
      </c>
      <c r="F22" s="343">
        <v>12046</v>
      </c>
      <c r="G22" s="11">
        <f t="shared" si="1"/>
        <v>1.6550659086100251E-2</v>
      </c>
    </row>
    <row r="23" spans="1:7" x14ac:dyDescent="0.25">
      <c r="A23">
        <v>12</v>
      </c>
      <c r="B23" s="341">
        <v>3976.4651668625002</v>
      </c>
      <c r="C23" s="11">
        <f t="shared" si="0"/>
        <v>5.7379983732213646E-3</v>
      </c>
      <c r="E23" s="31">
        <v>12</v>
      </c>
      <c r="F23" s="343">
        <v>13480</v>
      </c>
      <c r="G23" s="11">
        <f t="shared" si="1"/>
        <v>1.8520910217551999E-2</v>
      </c>
    </row>
    <row r="24" spans="1:7" x14ac:dyDescent="0.25">
      <c r="A24">
        <v>13</v>
      </c>
      <c r="B24" s="341">
        <v>3093.0442014216001</v>
      </c>
      <c r="C24" s="11">
        <f t="shared" si="0"/>
        <v>4.4632309982139996E-3</v>
      </c>
      <c r="E24" s="32">
        <v>13</v>
      </c>
      <c r="F24" s="343">
        <v>16084</v>
      </c>
      <c r="G24" s="11">
        <f t="shared" si="1"/>
        <v>2.209868842278237E-2</v>
      </c>
    </row>
    <row r="25" spans="1:7" x14ac:dyDescent="0.25">
      <c r="A25">
        <v>14</v>
      </c>
      <c r="B25" s="341">
        <v>4985.9258246744002</v>
      </c>
      <c r="C25" s="11">
        <f t="shared" si="0"/>
        <v>7.1946397291233616E-3</v>
      </c>
      <c r="E25" s="33">
        <v>14</v>
      </c>
      <c r="F25" s="343">
        <v>5595</v>
      </c>
      <c r="G25" s="11">
        <f t="shared" si="1"/>
        <v>7.68727690409521E-3</v>
      </c>
    </row>
    <row r="26" spans="1:7" x14ac:dyDescent="0.25">
      <c r="A26">
        <v>15</v>
      </c>
      <c r="B26" s="341">
        <v>4738.2773076505</v>
      </c>
      <c r="C26" s="11">
        <f t="shared" si="0"/>
        <v>6.8372854639192678E-3</v>
      </c>
      <c r="E26" s="34">
        <v>15</v>
      </c>
      <c r="F26" s="343">
        <v>11621</v>
      </c>
      <c r="G26" s="11">
        <f t="shared" si="1"/>
        <v>1.5966728311437074E-2</v>
      </c>
    </row>
    <row r="27" spans="1:7" x14ac:dyDescent="0.25">
      <c r="A27">
        <v>16</v>
      </c>
      <c r="B27" s="341">
        <v>4568.9158708242003</v>
      </c>
      <c r="C27" s="11">
        <f t="shared" si="0"/>
        <v>6.5928986509542981E-3</v>
      </c>
      <c r="E27" s="35">
        <v>16</v>
      </c>
      <c r="F27" s="343">
        <v>2594</v>
      </c>
      <c r="G27" s="11">
        <f t="shared" si="1"/>
        <v>3.5640386575912374E-3</v>
      </c>
    </row>
    <row r="28" spans="1:7" x14ac:dyDescent="0.25">
      <c r="A28">
        <v>17</v>
      </c>
      <c r="B28" s="341">
        <v>2983.6074133344</v>
      </c>
      <c r="C28" s="11">
        <f t="shared" si="0"/>
        <v>4.3053148375877554E-3</v>
      </c>
      <c r="E28" s="36">
        <v>17</v>
      </c>
      <c r="F28" s="343">
        <v>4374</v>
      </c>
      <c r="G28" s="11">
        <f t="shared" si="1"/>
        <v>6.009678137357006E-3</v>
      </c>
    </row>
    <row r="29" spans="1:7" x14ac:dyDescent="0.25">
      <c r="A29">
        <v>18</v>
      </c>
      <c r="B29" s="341">
        <v>995.72195313290001</v>
      </c>
      <c r="C29" s="11">
        <f t="shared" si="0"/>
        <v>1.4368165462305287E-3</v>
      </c>
      <c r="E29" s="37">
        <v>18</v>
      </c>
      <c r="F29" s="343">
        <v>1604</v>
      </c>
      <c r="G29" s="11">
        <f t="shared" si="1"/>
        <v>2.2038234413170182E-3</v>
      </c>
    </row>
    <row r="30" spans="1:7" x14ac:dyDescent="0.25">
      <c r="A30">
        <v>19</v>
      </c>
      <c r="B30" s="341">
        <v>604.70340796839992</v>
      </c>
      <c r="C30" s="11">
        <f t="shared" si="0"/>
        <v>8.7258080370456663E-4</v>
      </c>
      <c r="E30" s="38">
        <v>19</v>
      </c>
      <c r="F30" s="343">
        <v>913</v>
      </c>
      <c r="G30" s="11">
        <f t="shared" si="1"/>
        <v>1.2544206994528912E-3</v>
      </c>
    </row>
    <row r="31" spans="1:7" x14ac:dyDescent="0.25">
      <c r="A31">
        <v>20</v>
      </c>
      <c r="B31" s="341">
        <v>143.9264017335</v>
      </c>
      <c r="C31" s="11">
        <f t="shared" si="0"/>
        <v>2.0768431869907139E-4</v>
      </c>
      <c r="E31" s="39">
        <v>20</v>
      </c>
      <c r="F31" s="343">
        <v>1054</v>
      </c>
      <c r="G31" s="11">
        <f t="shared" si="1"/>
        <v>1.4481483211646741E-3</v>
      </c>
    </row>
    <row r="32" spans="1:7" x14ac:dyDescent="0.25">
      <c r="A32">
        <v>21</v>
      </c>
      <c r="B32" s="341">
        <v>0</v>
      </c>
      <c r="C32" s="11">
        <f t="shared" si="0"/>
        <v>0</v>
      </c>
      <c r="E32" s="40">
        <v>21</v>
      </c>
      <c r="F32" s="343">
        <v>1959</v>
      </c>
      <c r="G32" s="11">
        <f t="shared" si="1"/>
        <v>2.6915773825062586E-3</v>
      </c>
    </row>
    <row r="33" spans="1:7" x14ac:dyDescent="0.25">
      <c r="A33">
        <v>22</v>
      </c>
      <c r="B33" s="341">
        <v>2237.1382937662001</v>
      </c>
      <c r="C33" s="11">
        <f t="shared" si="0"/>
        <v>3.2281675688435743E-3</v>
      </c>
      <c r="E33" s="41">
        <v>22</v>
      </c>
      <c r="F33" s="343">
        <v>609</v>
      </c>
      <c r="G33" s="11">
        <f t="shared" si="1"/>
        <v>8.3673845122323191E-4</v>
      </c>
    </row>
    <row r="34" spans="1:7" x14ac:dyDescent="0.25">
      <c r="A34">
        <v>23</v>
      </c>
      <c r="B34" s="341">
        <v>704.03774662800004</v>
      </c>
      <c r="C34" s="11">
        <f t="shared" si="0"/>
        <v>1.0159192336205841E-3</v>
      </c>
      <c r="E34" s="42">
        <v>23</v>
      </c>
      <c r="F34" s="343">
        <v>530</v>
      </c>
      <c r="G34" s="11">
        <f t="shared" si="1"/>
        <v>7.2819602487407705E-4</v>
      </c>
    </row>
    <row r="35" spans="1:7" x14ac:dyDescent="0.25">
      <c r="A35">
        <v>24</v>
      </c>
      <c r="B35" s="341">
        <v>1181.7375334889998</v>
      </c>
      <c r="C35" s="11">
        <f t="shared" si="0"/>
        <v>1.7052351171693235E-3</v>
      </c>
      <c r="E35" s="43">
        <v>24</v>
      </c>
      <c r="F35" s="343">
        <v>1073</v>
      </c>
      <c r="G35" s="11">
        <f t="shared" si="1"/>
        <v>1.4742534616790277E-3</v>
      </c>
    </row>
    <row r="36" spans="1:7" x14ac:dyDescent="0.25">
      <c r="A36">
        <v>25</v>
      </c>
      <c r="B36" s="341">
        <v>0</v>
      </c>
      <c r="C36" s="11">
        <f t="shared" si="0"/>
        <v>0</v>
      </c>
      <c r="E36" s="44">
        <v>25</v>
      </c>
      <c r="F36" s="343">
        <v>480</v>
      </c>
      <c r="G36" s="11">
        <f t="shared" si="1"/>
        <v>6.5949828667840943E-4</v>
      </c>
    </row>
    <row r="37" spans="1:7" x14ac:dyDescent="0.25">
      <c r="A37">
        <v>26</v>
      </c>
      <c r="B37" s="341">
        <v>9134.1391971899993</v>
      </c>
      <c r="C37" s="11">
        <f t="shared" si="0"/>
        <v>1.3180468998200088E-2</v>
      </c>
      <c r="E37" s="45">
        <v>26</v>
      </c>
      <c r="F37" s="343">
        <v>236</v>
      </c>
      <c r="G37" s="11">
        <f t="shared" si="1"/>
        <v>3.2425332428355128E-4</v>
      </c>
    </row>
    <row r="38" spans="1:7" x14ac:dyDescent="0.25">
      <c r="A38">
        <v>27</v>
      </c>
      <c r="B38" s="341">
        <v>0</v>
      </c>
      <c r="C38" s="11">
        <f t="shared" si="0"/>
        <v>0</v>
      </c>
      <c r="E38" s="46">
        <v>27</v>
      </c>
      <c r="F38" s="343">
        <v>1288</v>
      </c>
      <c r="G38" s="11">
        <f t="shared" si="1"/>
        <v>1.7696537359203986E-3</v>
      </c>
    </row>
    <row r="39" spans="1:7" x14ac:dyDescent="0.25">
      <c r="A39">
        <v>28</v>
      </c>
      <c r="B39" s="341">
        <v>0</v>
      </c>
      <c r="C39" s="11">
        <f t="shared" si="0"/>
        <v>0</v>
      </c>
      <c r="E39" s="47">
        <v>28</v>
      </c>
      <c r="F39" s="343">
        <v>179</v>
      </c>
      <c r="G39" s="11">
        <f t="shared" si="1"/>
        <v>2.4593790274049016E-4</v>
      </c>
    </row>
    <row r="40" spans="1:7" x14ac:dyDescent="0.25">
      <c r="A40">
        <v>29</v>
      </c>
      <c r="B40" s="341">
        <v>0</v>
      </c>
      <c r="C40" s="11">
        <f t="shared" si="0"/>
        <v>0</v>
      </c>
      <c r="E40" s="48">
        <v>29</v>
      </c>
      <c r="F40" s="343">
        <v>317</v>
      </c>
      <c r="G40" s="11">
        <f t="shared" si="1"/>
        <v>4.3554366016053289E-4</v>
      </c>
    </row>
    <row r="41" spans="1:7" x14ac:dyDescent="0.25">
      <c r="A41">
        <v>30</v>
      </c>
      <c r="B41" s="341">
        <v>0</v>
      </c>
      <c r="C41" s="11">
        <f t="shared" si="0"/>
        <v>0</v>
      </c>
      <c r="E41" s="49">
        <v>30</v>
      </c>
      <c r="F41" s="343">
        <v>184</v>
      </c>
      <c r="G41" s="11">
        <f t="shared" si="1"/>
        <v>2.5280767656005691E-4</v>
      </c>
    </row>
    <row r="42" spans="1:7" x14ac:dyDescent="0.25">
      <c r="A42">
        <v>31</v>
      </c>
      <c r="B42" s="341">
        <v>889.70153414799995</v>
      </c>
      <c r="C42" s="11">
        <f t="shared" si="0"/>
        <v>1.2838301711119459E-3</v>
      </c>
      <c r="E42" s="50">
        <v>31</v>
      </c>
      <c r="F42" s="343">
        <v>96</v>
      </c>
      <c r="G42" s="11">
        <f t="shared" si="1"/>
        <v>1.3189965733568189E-4</v>
      </c>
    </row>
    <row r="43" spans="1:7" x14ac:dyDescent="0.25">
      <c r="A43">
        <v>32</v>
      </c>
      <c r="B43" s="341">
        <v>464.44204885699997</v>
      </c>
      <c r="C43" s="11">
        <f t="shared" si="0"/>
        <v>6.7018510384683413E-4</v>
      </c>
      <c r="E43" s="51">
        <v>32</v>
      </c>
      <c r="F43" s="343">
        <v>118</v>
      </c>
      <c r="G43" s="11">
        <f t="shared" si="1"/>
        <v>1.6212666214177564E-4</v>
      </c>
    </row>
    <row r="44" spans="1:7" x14ac:dyDescent="0.25">
      <c r="A44">
        <v>33</v>
      </c>
      <c r="B44" s="341">
        <v>0</v>
      </c>
      <c r="C44" s="11">
        <f t="shared" si="0"/>
        <v>0</v>
      </c>
      <c r="E44" s="52">
        <v>33</v>
      </c>
      <c r="F44" s="343">
        <v>79</v>
      </c>
      <c r="G44" s="11">
        <f t="shared" si="1"/>
        <v>1.0854242634915488E-4</v>
      </c>
    </row>
    <row r="45" spans="1:7" x14ac:dyDescent="0.25">
      <c r="A45">
        <v>34</v>
      </c>
      <c r="B45" s="341">
        <v>0</v>
      </c>
      <c r="C45" s="11">
        <f t="shared" si="0"/>
        <v>0</v>
      </c>
      <c r="E45" s="53">
        <v>34</v>
      </c>
      <c r="F45" s="343">
        <v>51</v>
      </c>
      <c r="G45" s="11">
        <f t="shared" si="1"/>
        <v>7.0071692959580993E-5</v>
      </c>
    </row>
    <row r="46" spans="1:7" x14ac:dyDescent="0.25">
      <c r="A46">
        <v>35</v>
      </c>
      <c r="B46" s="341">
        <v>0</v>
      </c>
      <c r="C46" s="11">
        <f t="shared" si="0"/>
        <v>0</v>
      </c>
      <c r="E46" s="54">
        <v>35</v>
      </c>
      <c r="F46" s="343">
        <v>26</v>
      </c>
      <c r="G46" s="11">
        <f t="shared" si="1"/>
        <v>3.5722823861747176E-5</v>
      </c>
    </row>
    <row r="47" spans="1:7" x14ac:dyDescent="0.25">
      <c r="A47">
        <v>36</v>
      </c>
      <c r="B47" s="341">
        <v>183.053312801</v>
      </c>
      <c r="C47" s="11">
        <f t="shared" si="0"/>
        <v>2.6414404929734909E-4</v>
      </c>
      <c r="E47" s="55">
        <v>36</v>
      </c>
      <c r="F47" s="343">
        <v>91</v>
      </c>
      <c r="G47" s="11">
        <f t="shared" si="1"/>
        <v>1.2502988351611511E-4</v>
      </c>
    </row>
    <row r="48" spans="1:7" x14ac:dyDescent="0.25">
      <c r="A48">
        <v>37</v>
      </c>
      <c r="B48" s="341">
        <v>0</v>
      </c>
      <c r="C48" s="11">
        <f t="shared" si="0"/>
        <v>0</v>
      </c>
      <c r="E48" s="56">
        <v>37</v>
      </c>
      <c r="F48" s="343">
        <v>20</v>
      </c>
      <c r="G48" s="11">
        <f t="shared" si="1"/>
        <v>2.7479095278267059E-5</v>
      </c>
    </row>
    <row r="49" spans="1:7" x14ac:dyDescent="0.25">
      <c r="A49">
        <v>38</v>
      </c>
      <c r="B49" s="341">
        <v>0</v>
      </c>
      <c r="C49" s="11">
        <f t="shared" si="0"/>
        <v>0</v>
      </c>
      <c r="E49" s="57">
        <v>38</v>
      </c>
      <c r="F49" s="343">
        <v>18</v>
      </c>
      <c r="G49" s="11">
        <f t="shared" si="1"/>
        <v>2.4731185750440353E-5</v>
      </c>
    </row>
    <row r="50" spans="1:7" x14ac:dyDescent="0.25">
      <c r="A50">
        <v>39</v>
      </c>
      <c r="B50" s="341">
        <v>0</v>
      </c>
      <c r="C50" s="11">
        <f t="shared" si="0"/>
        <v>0</v>
      </c>
      <c r="E50" s="58">
        <v>39</v>
      </c>
      <c r="F50" s="343">
        <v>8</v>
      </c>
      <c r="G50" s="11">
        <f t="shared" si="1"/>
        <v>1.0991638111306823E-5</v>
      </c>
    </row>
    <row r="51" spans="1:7" x14ac:dyDescent="0.25">
      <c r="A51">
        <v>40</v>
      </c>
      <c r="B51" s="341">
        <v>0</v>
      </c>
      <c r="C51" s="11">
        <f t="shared" si="0"/>
        <v>0</v>
      </c>
      <c r="E51" s="59">
        <v>40</v>
      </c>
      <c r="F51" s="343">
        <v>3</v>
      </c>
      <c r="G51" s="11">
        <f t="shared" si="1"/>
        <v>4.1218642917400591E-6</v>
      </c>
    </row>
    <row r="52" spans="1:7" x14ac:dyDescent="0.25">
      <c r="A52">
        <v>41</v>
      </c>
      <c r="B52" s="341">
        <v>0</v>
      </c>
      <c r="C52" s="11">
        <f t="shared" si="0"/>
        <v>0</v>
      </c>
      <c r="E52" s="60">
        <v>41</v>
      </c>
      <c r="F52" s="343">
        <v>7</v>
      </c>
      <c r="G52" s="11">
        <f t="shared" si="1"/>
        <v>9.6176833473934698E-6</v>
      </c>
    </row>
    <row r="53" spans="1:7" x14ac:dyDescent="0.25">
      <c r="A53">
        <v>42</v>
      </c>
      <c r="B53" s="341">
        <v>0</v>
      </c>
      <c r="C53" s="11">
        <f t="shared" si="0"/>
        <v>0</v>
      </c>
      <c r="E53" s="61">
        <v>42</v>
      </c>
      <c r="F53" s="343">
        <v>2</v>
      </c>
      <c r="G53" s="11">
        <f t="shared" si="1"/>
        <v>2.7479095278267058E-6</v>
      </c>
    </row>
    <row r="54" spans="1:7" x14ac:dyDescent="0.25">
      <c r="A54">
        <v>43</v>
      </c>
      <c r="B54" s="341">
        <v>0</v>
      </c>
      <c r="C54" s="11">
        <f t="shared" si="0"/>
        <v>0</v>
      </c>
      <c r="E54" s="62">
        <v>43</v>
      </c>
      <c r="F54" s="343">
        <v>1</v>
      </c>
      <c r="G54" s="11">
        <f t="shared" si="1"/>
        <v>1.3739547639133529E-6</v>
      </c>
    </row>
    <row r="55" spans="1:7" x14ac:dyDescent="0.25">
      <c r="A55">
        <v>44</v>
      </c>
      <c r="B55" s="341">
        <v>0</v>
      </c>
      <c r="C55" s="11">
        <f t="shared" si="0"/>
        <v>0</v>
      </c>
      <c r="E55" s="63">
        <v>44</v>
      </c>
      <c r="F55" s="343">
        <v>2</v>
      </c>
      <c r="G55" s="11">
        <f t="shared" si="1"/>
        <v>2.7479095278267058E-6</v>
      </c>
    </row>
    <row r="56" spans="1:7" x14ac:dyDescent="0.25">
      <c r="A56">
        <v>45</v>
      </c>
      <c r="B56" s="341">
        <v>250.40304101000001</v>
      </c>
      <c r="C56" s="11">
        <f t="shared" si="0"/>
        <v>3.6132901501026665E-4</v>
      </c>
      <c r="E56" s="64">
        <v>45</v>
      </c>
      <c r="F56" s="343">
        <v>3</v>
      </c>
      <c r="G56" s="11">
        <f t="shared" si="1"/>
        <v>4.1218642917400591E-6</v>
      </c>
    </row>
    <row r="57" spans="1:7" x14ac:dyDescent="0.25">
      <c r="A57">
        <v>46</v>
      </c>
      <c r="B57" s="341">
        <v>0</v>
      </c>
      <c r="C57" s="11">
        <f t="shared" si="0"/>
        <v>0</v>
      </c>
      <c r="E57" s="65">
        <v>46</v>
      </c>
      <c r="F57" s="343">
        <v>2</v>
      </c>
      <c r="G57" s="11">
        <f t="shared" si="1"/>
        <v>2.7479095278267058E-6</v>
      </c>
    </row>
    <row r="58" spans="1:7" x14ac:dyDescent="0.25">
      <c r="A58">
        <v>47</v>
      </c>
      <c r="B58" s="341">
        <v>0</v>
      </c>
      <c r="C58" s="11">
        <f t="shared" si="0"/>
        <v>0</v>
      </c>
      <c r="E58" s="66">
        <v>47</v>
      </c>
      <c r="F58" s="343">
        <v>0</v>
      </c>
      <c r="G58" s="11">
        <f t="shared" si="1"/>
        <v>0</v>
      </c>
    </row>
    <row r="59" spans="1:7" x14ac:dyDescent="0.25">
      <c r="A59">
        <v>48</v>
      </c>
      <c r="B59" s="341">
        <v>0</v>
      </c>
      <c r="C59" s="11">
        <f t="shared" si="0"/>
        <v>0</v>
      </c>
      <c r="E59" s="67">
        <v>48</v>
      </c>
      <c r="F59" s="343">
        <v>0</v>
      </c>
      <c r="G59" s="11">
        <f t="shared" si="1"/>
        <v>0</v>
      </c>
    </row>
    <row r="60" spans="1:7" x14ac:dyDescent="0.25">
      <c r="A60">
        <v>49</v>
      </c>
      <c r="B60" s="341">
        <v>0</v>
      </c>
      <c r="C60" s="11">
        <f t="shared" si="0"/>
        <v>0</v>
      </c>
      <c r="E60" s="68">
        <v>49</v>
      </c>
      <c r="F60" s="343">
        <v>1</v>
      </c>
      <c r="G60" s="11">
        <f t="shared" si="1"/>
        <v>1.3739547639133529E-6</v>
      </c>
    </row>
    <row r="61" spans="1:7" x14ac:dyDescent="0.25">
      <c r="A61">
        <v>50</v>
      </c>
      <c r="B61" s="341">
        <v>0</v>
      </c>
      <c r="C61" s="11">
        <f t="shared" si="0"/>
        <v>0</v>
      </c>
      <c r="E61" s="69">
        <v>50</v>
      </c>
      <c r="F61" s="343">
        <v>1</v>
      </c>
      <c r="G61" s="11">
        <f t="shared" si="1"/>
        <v>1.3739547639133529E-6</v>
      </c>
    </row>
    <row r="62" spans="1:7" x14ac:dyDescent="0.25">
      <c r="A62">
        <v>51</v>
      </c>
      <c r="B62" s="341">
        <v>0</v>
      </c>
      <c r="C62" s="11">
        <f t="shared" si="0"/>
        <v>0</v>
      </c>
      <c r="E62" s="70">
        <v>51</v>
      </c>
      <c r="F62" s="343">
        <v>3</v>
      </c>
      <c r="G62" s="11">
        <f t="shared" si="1"/>
        <v>4.1218642917400591E-6</v>
      </c>
    </row>
    <row r="63" spans="1:7" x14ac:dyDescent="0.25">
      <c r="A63">
        <v>52</v>
      </c>
      <c r="B63" s="341">
        <v>0</v>
      </c>
      <c r="C63" s="11">
        <f t="shared" si="0"/>
        <v>0</v>
      </c>
      <c r="E63" s="71">
        <v>52</v>
      </c>
      <c r="F63" s="343">
        <v>0</v>
      </c>
      <c r="G63" s="11">
        <f t="shared" si="1"/>
        <v>0</v>
      </c>
    </row>
    <row r="64" spans="1:7" x14ac:dyDescent="0.25">
      <c r="A64">
        <v>53</v>
      </c>
      <c r="B64" s="341">
        <v>0</v>
      </c>
      <c r="C64" s="11">
        <f t="shared" si="0"/>
        <v>0</v>
      </c>
      <c r="E64" s="72">
        <v>53</v>
      </c>
      <c r="F64" s="343">
        <v>2</v>
      </c>
      <c r="G64" s="11">
        <f t="shared" si="1"/>
        <v>2.7479095278267058E-6</v>
      </c>
    </row>
    <row r="65" spans="1:7" x14ac:dyDescent="0.25">
      <c r="A65">
        <v>54</v>
      </c>
      <c r="B65" s="341">
        <v>444.57246729600001</v>
      </c>
      <c r="C65" s="11">
        <f t="shared" si="0"/>
        <v>6.4151350183615588E-4</v>
      </c>
      <c r="E65" s="73">
        <v>54</v>
      </c>
      <c r="F65" s="343">
        <v>0</v>
      </c>
      <c r="G65" s="11">
        <f t="shared" si="1"/>
        <v>0</v>
      </c>
    </row>
    <row r="66" spans="1:7" x14ac:dyDescent="0.25">
      <c r="A66">
        <v>55</v>
      </c>
      <c r="B66" s="341">
        <v>0</v>
      </c>
      <c r="C66" s="11">
        <f t="shared" si="0"/>
        <v>0</v>
      </c>
      <c r="E66" s="74">
        <v>55</v>
      </c>
      <c r="F66" s="343">
        <v>1</v>
      </c>
      <c r="G66" s="11">
        <f t="shared" si="1"/>
        <v>1.3739547639133529E-6</v>
      </c>
    </row>
    <row r="67" spans="1:7" x14ac:dyDescent="0.25">
      <c r="A67">
        <v>56</v>
      </c>
      <c r="B67" s="341">
        <v>668.71153577099994</v>
      </c>
      <c r="C67" s="11">
        <f t="shared" si="0"/>
        <v>9.649438743696753E-4</v>
      </c>
      <c r="E67" s="75">
        <v>56</v>
      </c>
      <c r="F67" s="343">
        <v>0</v>
      </c>
      <c r="G67" s="11">
        <f t="shared" si="1"/>
        <v>0</v>
      </c>
    </row>
    <row r="68" spans="1:7" x14ac:dyDescent="0.25">
      <c r="A68">
        <v>57</v>
      </c>
      <c r="B68" s="341">
        <v>569.50120905100005</v>
      </c>
      <c r="C68" s="11">
        <f t="shared" si="0"/>
        <v>8.2178439240814145E-4</v>
      </c>
      <c r="E68" s="76">
        <v>57</v>
      </c>
      <c r="F68" s="343">
        <v>0</v>
      </c>
      <c r="G68" s="11">
        <f t="shared" si="1"/>
        <v>0</v>
      </c>
    </row>
    <row r="69" spans="1:7" x14ac:dyDescent="0.25">
      <c r="A69">
        <v>58</v>
      </c>
      <c r="B69" s="341">
        <v>0</v>
      </c>
      <c r="C69" s="11">
        <f t="shared" si="0"/>
        <v>0</v>
      </c>
      <c r="E69" s="77">
        <v>58</v>
      </c>
      <c r="F69" s="343">
        <v>0</v>
      </c>
      <c r="G69" s="11">
        <f t="shared" si="1"/>
        <v>0</v>
      </c>
    </row>
    <row r="70" spans="1:7" x14ac:dyDescent="0.25">
      <c r="A70">
        <v>59</v>
      </c>
      <c r="B70" s="341">
        <v>0</v>
      </c>
      <c r="C70" s="11">
        <f t="shared" si="0"/>
        <v>0</v>
      </c>
      <c r="E70" s="78">
        <v>59</v>
      </c>
      <c r="F70" s="343">
        <v>0</v>
      </c>
      <c r="G70" s="11">
        <f t="shared" si="1"/>
        <v>0</v>
      </c>
    </row>
    <row r="71" spans="1:7" x14ac:dyDescent="0.25">
      <c r="A71">
        <v>60</v>
      </c>
      <c r="B71" s="341">
        <v>0</v>
      </c>
      <c r="C71" s="11">
        <f t="shared" si="0"/>
        <v>0</v>
      </c>
      <c r="E71" s="79">
        <v>60</v>
      </c>
      <c r="F71" s="343">
        <v>0</v>
      </c>
      <c r="G71" s="11">
        <f t="shared" si="1"/>
        <v>0</v>
      </c>
    </row>
    <row r="72" spans="1:7" x14ac:dyDescent="0.25">
      <c r="A72">
        <v>61</v>
      </c>
      <c r="B72" s="341">
        <v>0</v>
      </c>
      <c r="C72" s="11">
        <f t="shared" si="0"/>
        <v>0</v>
      </c>
      <c r="E72" s="80">
        <v>61</v>
      </c>
      <c r="F72" s="343">
        <v>0</v>
      </c>
      <c r="G72" s="11">
        <f t="shared" si="1"/>
        <v>0</v>
      </c>
    </row>
    <row r="73" spans="1:7" x14ac:dyDescent="0.25">
      <c r="A73">
        <v>62</v>
      </c>
      <c r="B73" s="341">
        <v>0</v>
      </c>
      <c r="C73" s="11">
        <f t="shared" si="0"/>
        <v>0</v>
      </c>
      <c r="E73" s="81">
        <v>62</v>
      </c>
      <c r="F73" s="343">
        <v>0</v>
      </c>
      <c r="G73" s="11">
        <f t="shared" si="1"/>
        <v>0</v>
      </c>
    </row>
    <row r="74" spans="1:7" x14ac:dyDescent="0.25">
      <c r="A74">
        <v>63</v>
      </c>
      <c r="B74" s="341">
        <v>0</v>
      </c>
      <c r="C74" s="11">
        <f t="shared" si="0"/>
        <v>0</v>
      </c>
      <c r="E74" s="82">
        <v>63</v>
      </c>
      <c r="F74" s="343">
        <v>0</v>
      </c>
      <c r="G74" s="11">
        <f t="shared" si="1"/>
        <v>0</v>
      </c>
    </row>
    <row r="75" spans="1:7" x14ac:dyDescent="0.25">
      <c r="A75">
        <v>64</v>
      </c>
      <c r="B75" s="341">
        <v>0</v>
      </c>
      <c r="C75" s="11">
        <f t="shared" si="0"/>
        <v>0</v>
      </c>
      <c r="E75" s="83">
        <v>64</v>
      </c>
      <c r="F75" s="343">
        <v>0</v>
      </c>
      <c r="G75" s="11">
        <f t="shared" si="1"/>
        <v>0</v>
      </c>
    </row>
    <row r="76" spans="1:7" x14ac:dyDescent="0.25">
      <c r="A76">
        <v>65</v>
      </c>
      <c r="B76" s="341">
        <v>0</v>
      </c>
      <c r="C76" s="11">
        <f t="shared" si="0"/>
        <v>0</v>
      </c>
      <c r="E76" s="84">
        <v>65</v>
      </c>
      <c r="F76" s="343">
        <v>0</v>
      </c>
      <c r="G76" s="11">
        <f t="shared" si="1"/>
        <v>0</v>
      </c>
    </row>
    <row r="77" spans="1:7" x14ac:dyDescent="0.25">
      <c r="A77">
        <v>66</v>
      </c>
      <c r="B77" s="341">
        <v>0</v>
      </c>
      <c r="C77" s="11">
        <f t="shared" ref="C77:C102" si="2">B77/B$102</f>
        <v>0</v>
      </c>
      <c r="E77" s="85">
        <v>66</v>
      </c>
      <c r="F77" s="343">
        <v>0</v>
      </c>
      <c r="G77" s="11">
        <f t="shared" ref="G77:G102" si="3">F77/F$102</f>
        <v>0</v>
      </c>
    </row>
    <row r="78" spans="1:7" x14ac:dyDescent="0.25">
      <c r="A78">
        <v>67</v>
      </c>
      <c r="B78" s="341">
        <v>0</v>
      </c>
      <c r="C78" s="11">
        <f t="shared" si="2"/>
        <v>0</v>
      </c>
      <c r="E78" s="86">
        <v>67</v>
      </c>
      <c r="F78" s="343">
        <v>0</v>
      </c>
      <c r="G78" s="11">
        <f t="shared" si="3"/>
        <v>0</v>
      </c>
    </row>
    <row r="79" spans="1:7" x14ac:dyDescent="0.25">
      <c r="A79">
        <v>68</v>
      </c>
      <c r="B79" s="341">
        <v>0</v>
      </c>
      <c r="C79" s="11">
        <f t="shared" si="2"/>
        <v>0</v>
      </c>
      <c r="E79" s="87">
        <v>68</v>
      </c>
      <c r="F79" s="343">
        <v>0</v>
      </c>
      <c r="G79" s="11">
        <f t="shared" si="3"/>
        <v>0</v>
      </c>
    </row>
    <row r="80" spans="1:7" x14ac:dyDescent="0.25">
      <c r="A80">
        <v>69</v>
      </c>
      <c r="B80" s="341">
        <v>0</v>
      </c>
      <c r="C80" s="11">
        <f t="shared" si="2"/>
        <v>0</v>
      </c>
      <c r="E80" s="88">
        <v>69</v>
      </c>
      <c r="F80" s="343">
        <v>0</v>
      </c>
      <c r="G80" s="11">
        <f t="shared" si="3"/>
        <v>0</v>
      </c>
    </row>
    <row r="81" spans="1:7" x14ac:dyDescent="0.25">
      <c r="A81">
        <v>70</v>
      </c>
      <c r="B81" s="341">
        <v>0</v>
      </c>
      <c r="C81" s="11">
        <f t="shared" si="2"/>
        <v>0</v>
      </c>
      <c r="E81" s="89">
        <v>70</v>
      </c>
      <c r="F81" s="343">
        <v>0</v>
      </c>
      <c r="G81" s="11">
        <f t="shared" si="3"/>
        <v>0</v>
      </c>
    </row>
    <row r="82" spans="1:7" x14ac:dyDescent="0.25">
      <c r="A82">
        <v>71</v>
      </c>
      <c r="B82" s="341">
        <v>0</v>
      </c>
      <c r="C82" s="11">
        <f t="shared" si="2"/>
        <v>0</v>
      </c>
      <c r="E82" s="90">
        <v>71</v>
      </c>
      <c r="F82" s="343">
        <v>0</v>
      </c>
      <c r="G82" s="11">
        <f t="shared" si="3"/>
        <v>0</v>
      </c>
    </row>
    <row r="83" spans="1:7" x14ac:dyDescent="0.25">
      <c r="A83">
        <v>72</v>
      </c>
      <c r="B83" s="341">
        <v>0</v>
      </c>
      <c r="C83" s="11">
        <f t="shared" si="2"/>
        <v>0</v>
      </c>
      <c r="E83" s="91">
        <v>72</v>
      </c>
      <c r="F83" s="343">
        <v>0</v>
      </c>
      <c r="G83" s="11">
        <f t="shared" si="3"/>
        <v>0</v>
      </c>
    </row>
    <row r="84" spans="1:7" x14ac:dyDescent="0.25">
      <c r="A84">
        <v>73</v>
      </c>
      <c r="B84" s="341">
        <v>0</v>
      </c>
      <c r="C84" s="11">
        <f t="shared" si="2"/>
        <v>0</v>
      </c>
      <c r="E84" s="92">
        <v>73</v>
      </c>
      <c r="F84" s="343">
        <v>0</v>
      </c>
      <c r="G84" s="11">
        <f t="shared" si="3"/>
        <v>0</v>
      </c>
    </row>
    <row r="85" spans="1:7" x14ac:dyDescent="0.25">
      <c r="A85">
        <v>74</v>
      </c>
      <c r="B85" s="341">
        <v>0</v>
      </c>
      <c r="C85" s="11">
        <f t="shared" si="2"/>
        <v>0</v>
      </c>
      <c r="E85" s="93">
        <v>74</v>
      </c>
      <c r="F85" s="343">
        <v>0</v>
      </c>
      <c r="G85" s="11">
        <f t="shared" si="3"/>
        <v>0</v>
      </c>
    </row>
    <row r="86" spans="1:7" x14ac:dyDescent="0.25">
      <c r="A86">
        <v>75</v>
      </c>
      <c r="B86" s="341">
        <v>0</v>
      </c>
      <c r="C86" s="11">
        <f t="shared" si="2"/>
        <v>0</v>
      </c>
      <c r="E86" s="94">
        <v>75</v>
      </c>
      <c r="F86" s="343">
        <v>0</v>
      </c>
      <c r="G86" s="11">
        <f t="shared" si="3"/>
        <v>0</v>
      </c>
    </row>
    <row r="87" spans="1:7" x14ac:dyDescent="0.25">
      <c r="A87">
        <v>76</v>
      </c>
      <c r="B87" s="341">
        <v>0</v>
      </c>
      <c r="C87" s="11">
        <f t="shared" si="2"/>
        <v>0</v>
      </c>
      <c r="E87" s="95">
        <v>76</v>
      </c>
      <c r="F87" s="343">
        <v>0</v>
      </c>
      <c r="G87" s="11">
        <f t="shared" si="3"/>
        <v>0</v>
      </c>
    </row>
    <row r="88" spans="1:7" x14ac:dyDescent="0.25">
      <c r="A88">
        <v>77</v>
      </c>
      <c r="B88" s="341">
        <v>0</v>
      </c>
      <c r="C88" s="11">
        <f t="shared" si="2"/>
        <v>0</v>
      </c>
      <c r="E88" s="96">
        <v>77</v>
      </c>
      <c r="F88" s="343">
        <v>0</v>
      </c>
      <c r="G88" s="11">
        <f t="shared" si="3"/>
        <v>0</v>
      </c>
    </row>
    <row r="89" spans="1:7" x14ac:dyDescent="0.25">
      <c r="A89">
        <v>78</v>
      </c>
      <c r="B89" s="341">
        <v>0</v>
      </c>
      <c r="C89" s="11">
        <f t="shared" si="2"/>
        <v>0</v>
      </c>
      <c r="E89" s="97">
        <v>78</v>
      </c>
      <c r="F89" s="343">
        <v>0</v>
      </c>
      <c r="G89" s="11">
        <f t="shared" si="3"/>
        <v>0</v>
      </c>
    </row>
    <row r="90" spans="1:7" x14ac:dyDescent="0.25">
      <c r="A90">
        <v>79</v>
      </c>
      <c r="B90" s="341">
        <v>0</v>
      </c>
      <c r="C90" s="11">
        <f t="shared" si="2"/>
        <v>0</v>
      </c>
      <c r="E90" s="98">
        <v>79</v>
      </c>
      <c r="F90" s="343">
        <v>0</v>
      </c>
      <c r="G90" s="11">
        <f t="shared" si="3"/>
        <v>0</v>
      </c>
    </row>
    <row r="91" spans="1:7" x14ac:dyDescent="0.25">
      <c r="A91">
        <v>80</v>
      </c>
      <c r="B91" s="341">
        <v>0</v>
      </c>
      <c r="C91" s="11">
        <f t="shared" si="2"/>
        <v>0</v>
      </c>
      <c r="E91" s="99">
        <v>80</v>
      </c>
      <c r="F91" s="343">
        <v>0</v>
      </c>
      <c r="G91" s="11">
        <f t="shared" si="3"/>
        <v>0</v>
      </c>
    </row>
    <row r="92" spans="1:7" x14ac:dyDescent="0.25">
      <c r="A92">
        <v>81</v>
      </c>
      <c r="B92" s="341">
        <v>0</v>
      </c>
      <c r="C92" s="11">
        <f t="shared" si="2"/>
        <v>0</v>
      </c>
      <c r="E92" s="100">
        <v>81</v>
      </c>
      <c r="F92" s="343">
        <v>0</v>
      </c>
      <c r="G92" s="11">
        <f t="shared" si="3"/>
        <v>0</v>
      </c>
    </row>
    <row r="93" spans="1:7" x14ac:dyDescent="0.25">
      <c r="A93">
        <v>82</v>
      </c>
      <c r="B93" s="341">
        <v>0</v>
      </c>
      <c r="C93" s="11">
        <f t="shared" si="2"/>
        <v>0</v>
      </c>
      <c r="E93" s="101">
        <v>82</v>
      </c>
      <c r="F93" s="343">
        <v>0</v>
      </c>
      <c r="G93" s="11">
        <f t="shared" si="3"/>
        <v>0</v>
      </c>
    </row>
    <row r="94" spans="1:7" x14ac:dyDescent="0.25">
      <c r="A94">
        <v>83</v>
      </c>
      <c r="B94" s="341">
        <v>0</v>
      </c>
      <c r="C94" s="11">
        <f t="shared" si="2"/>
        <v>0</v>
      </c>
      <c r="E94" s="102">
        <v>83</v>
      </c>
      <c r="F94" s="343">
        <v>0</v>
      </c>
      <c r="G94" s="11">
        <f t="shared" si="3"/>
        <v>0</v>
      </c>
    </row>
    <row r="95" spans="1:7" x14ac:dyDescent="0.25">
      <c r="A95">
        <v>84</v>
      </c>
      <c r="B95" s="341">
        <v>0</v>
      </c>
      <c r="C95" s="11">
        <f t="shared" si="2"/>
        <v>0</v>
      </c>
      <c r="E95" s="103">
        <v>84</v>
      </c>
      <c r="F95" s="343">
        <v>0</v>
      </c>
      <c r="G95" s="11">
        <f t="shared" si="3"/>
        <v>0</v>
      </c>
    </row>
    <row r="96" spans="1:7" x14ac:dyDescent="0.25">
      <c r="A96">
        <v>85</v>
      </c>
      <c r="B96" s="341">
        <v>0</v>
      </c>
      <c r="C96" s="11">
        <f t="shared" si="2"/>
        <v>0</v>
      </c>
      <c r="E96" s="104">
        <v>85</v>
      </c>
      <c r="F96" s="343">
        <v>0</v>
      </c>
      <c r="G96" s="11">
        <f t="shared" si="3"/>
        <v>0</v>
      </c>
    </row>
    <row r="97" spans="1:7" x14ac:dyDescent="0.25">
      <c r="A97">
        <v>86</v>
      </c>
      <c r="B97" s="341">
        <v>0</v>
      </c>
      <c r="C97" s="11">
        <f t="shared" si="2"/>
        <v>0</v>
      </c>
      <c r="E97" s="105">
        <v>86</v>
      </c>
      <c r="F97" s="343">
        <v>0</v>
      </c>
      <c r="G97" s="11">
        <f t="shared" si="3"/>
        <v>0</v>
      </c>
    </row>
    <row r="98" spans="1:7" x14ac:dyDescent="0.25">
      <c r="A98">
        <v>87</v>
      </c>
      <c r="B98" s="341">
        <v>0</v>
      </c>
      <c r="C98" s="11">
        <f t="shared" si="2"/>
        <v>0</v>
      </c>
      <c r="E98" s="106">
        <v>87</v>
      </c>
      <c r="F98" s="343">
        <v>0</v>
      </c>
      <c r="G98" s="11">
        <f t="shared" si="3"/>
        <v>0</v>
      </c>
    </row>
    <row r="99" spans="1:7" x14ac:dyDescent="0.25">
      <c r="A99">
        <v>88</v>
      </c>
      <c r="B99" s="341">
        <v>0</v>
      </c>
      <c r="C99" s="11">
        <f t="shared" si="2"/>
        <v>0</v>
      </c>
      <c r="E99" s="107">
        <v>88</v>
      </c>
      <c r="F99" s="343">
        <v>0</v>
      </c>
      <c r="G99" s="11">
        <f t="shared" si="3"/>
        <v>0</v>
      </c>
    </row>
    <row r="100" spans="1:7" x14ac:dyDescent="0.25">
      <c r="A100">
        <v>89</v>
      </c>
      <c r="B100" s="341">
        <v>0</v>
      </c>
      <c r="C100" s="11">
        <f t="shared" si="2"/>
        <v>0</v>
      </c>
      <c r="E100" s="108">
        <v>89</v>
      </c>
      <c r="F100" s="343">
        <v>0</v>
      </c>
      <c r="G100" s="11">
        <f t="shared" si="3"/>
        <v>0</v>
      </c>
    </row>
    <row r="101" spans="1:7" ht="15.75" thickBot="1" x14ac:dyDescent="0.3">
      <c r="A101" s="1">
        <v>90</v>
      </c>
      <c r="B101" s="342">
        <v>0</v>
      </c>
      <c r="C101" s="11">
        <f t="shared" si="2"/>
        <v>0</v>
      </c>
      <c r="E101" s="292">
        <v>90</v>
      </c>
      <c r="F101" s="344">
        <v>0</v>
      </c>
      <c r="G101" s="11">
        <f t="shared" si="3"/>
        <v>0</v>
      </c>
    </row>
    <row r="102" spans="1:7" x14ac:dyDescent="0.25">
      <c r="B102" s="341">
        <f>SUM(B11:B101)</f>
        <v>693005.6281333653</v>
      </c>
      <c r="C102" s="11">
        <f t="shared" si="2"/>
        <v>1</v>
      </c>
      <c r="F102" s="341">
        <f>SUM(F11:F101)</f>
        <v>727826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G19" sqref="G19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>
        <v>0</v>
      </c>
      <c r="C11" s="11">
        <f>B11/B$102</f>
        <v>0</v>
      </c>
      <c r="E11" s="109">
        <v>0</v>
      </c>
      <c r="F11" s="199">
        <v>11531</v>
      </c>
      <c r="G11" s="11">
        <f>F11/F$102</f>
        <v>1.5843072382684873E-2</v>
      </c>
      <c r="K11" s="8">
        <v>21.438274583191962</v>
      </c>
      <c r="L11" s="8">
        <v>17.719362531654678</v>
      </c>
    </row>
    <row r="12" spans="1:12" x14ac:dyDescent="0.25">
      <c r="A12">
        <v>1</v>
      </c>
      <c r="B12" s="8">
        <v>1213.9305369145</v>
      </c>
      <c r="C12" s="11">
        <f>B12/B$102</f>
        <v>1.7516892902937368E-3</v>
      </c>
      <c r="E12" s="110">
        <v>1</v>
      </c>
      <c r="F12" s="200">
        <v>23542</v>
      </c>
      <c r="G12" s="11">
        <f>F12/F$102</f>
        <v>3.2345643052048158E-2</v>
      </c>
      <c r="K12" s="8"/>
      <c r="L12" s="290"/>
    </row>
    <row r="13" spans="1:12" x14ac:dyDescent="0.25">
      <c r="A13">
        <v>2</v>
      </c>
      <c r="B13" s="8">
        <v>3724.920708267</v>
      </c>
      <c r="C13" s="11">
        <f t="shared" ref="C13:C76" si="0">B13/B$102</f>
        <v>5.375022304364545E-3</v>
      </c>
      <c r="E13" s="111">
        <v>2</v>
      </c>
      <c r="F13" s="201">
        <v>29105</v>
      </c>
      <c r="G13" s="11">
        <f t="shared" ref="G13:G76" si="1">F13/F$102</f>
        <v>3.9988953403698138E-2</v>
      </c>
    </row>
    <row r="14" spans="1:12" x14ac:dyDescent="0.25">
      <c r="A14">
        <v>3</v>
      </c>
      <c r="B14" s="8">
        <v>2645.2681830725001</v>
      </c>
      <c r="C14" s="11">
        <f t="shared" si="0"/>
        <v>3.817094805128238E-3</v>
      </c>
      <c r="E14" s="112">
        <v>3</v>
      </c>
      <c r="F14" s="202">
        <v>31002</v>
      </c>
      <c r="G14" s="11">
        <f t="shared" si="1"/>
        <v>4.2595345590841764E-2</v>
      </c>
    </row>
    <row r="15" spans="1:12" x14ac:dyDescent="0.25">
      <c r="A15">
        <v>4</v>
      </c>
      <c r="B15" s="8">
        <v>9602.4646316110993</v>
      </c>
      <c r="C15" s="11">
        <f t="shared" si="0"/>
        <v>1.3856257787509851E-2</v>
      </c>
      <c r="E15" s="113">
        <v>4</v>
      </c>
      <c r="F15" s="203">
        <v>28656</v>
      </c>
      <c r="G15" s="11">
        <f t="shared" si="1"/>
        <v>3.9372047714701042E-2</v>
      </c>
    </row>
    <row r="16" spans="1:12" x14ac:dyDescent="0.25">
      <c r="A16">
        <v>5</v>
      </c>
      <c r="B16" s="8">
        <v>19641.0360625307</v>
      </c>
      <c r="C16" s="11">
        <f t="shared" si="0"/>
        <v>2.8341813204943965E-2</v>
      </c>
      <c r="E16" s="114">
        <v>5</v>
      </c>
      <c r="F16" s="204">
        <v>25898</v>
      </c>
      <c r="G16" s="11">
        <f t="shared" si="1"/>
        <v>3.5582680475828014E-2</v>
      </c>
    </row>
    <row r="17" spans="1:7" x14ac:dyDescent="0.25">
      <c r="A17">
        <v>6</v>
      </c>
      <c r="B17" s="8">
        <v>8000.9955353446003</v>
      </c>
      <c r="C17" s="11">
        <f t="shared" si="0"/>
        <v>1.1545354338456904E-2</v>
      </c>
      <c r="E17" s="115">
        <v>6</v>
      </c>
      <c r="F17" s="205">
        <v>23328</v>
      </c>
      <c r="G17" s="11">
        <f t="shared" si="1"/>
        <v>3.2051616732570697E-2</v>
      </c>
    </row>
    <row r="18" spans="1:7" x14ac:dyDescent="0.25">
      <c r="A18">
        <v>7</v>
      </c>
      <c r="B18" s="8">
        <v>16161.236132930801</v>
      </c>
      <c r="C18" s="11">
        <f t="shared" si="0"/>
        <v>2.3320497665309949E-2</v>
      </c>
      <c r="E18" s="116">
        <v>7</v>
      </c>
      <c r="F18" s="206">
        <v>21655</v>
      </c>
      <c r="G18" s="11">
        <f t="shared" si="1"/>
        <v>2.9752990412543659E-2</v>
      </c>
    </row>
    <row r="19" spans="1:7" x14ac:dyDescent="0.25">
      <c r="A19">
        <v>8</v>
      </c>
      <c r="B19" s="8">
        <v>5561.0997682347997</v>
      </c>
      <c r="C19" s="11">
        <f t="shared" si="0"/>
        <v>8.0246098191349684E-3</v>
      </c>
      <c r="E19" s="117">
        <v>8</v>
      </c>
      <c r="F19" s="207">
        <v>18906</v>
      </c>
      <c r="G19" s="11">
        <f t="shared" si="1"/>
        <v>2.597598876654585E-2</v>
      </c>
    </row>
    <row r="20" spans="1:7" x14ac:dyDescent="0.25">
      <c r="A20">
        <v>9</v>
      </c>
      <c r="B20" s="8">
        <v>8656.5417390791008</v>
      </c>
      <c r="C20" s="11">
        <f t="shared" si="0"/>
        <v>1.2491300773986204E-2</v>
      </c>
      <c r="E20" s="118">
        <v>9</v>
      </c>
      <c r="F20" s="208">
        <v>16972</v>
      </c>
      <c r="G20" s="11">
        <f t="shared" si="1"/>
        <v>2.3318760253137425E-2</v>
      </c>
    </row>
    <row r="21" spans="1:7" x14ac:dyDescent="0.25">
      <c r="A21">
        <v>10</v>
      </c>
      <c r="B21" s="8">
        <v>7359.6219826975002</v>
      </c>
      <c r="C21" s="11">
        <f t="shared" si="0"/>
        <v>1.0619858892807116E-2</v>
      </c>
      <c r="E21" s="119">
        <v>10</v>
      </c>
      <c r="F21" s="209">
        <v>15925</v>
      </c>
      <c r="G21" s="11">
        <f t="shared" si="1"/>
        <v>2.1880229615320147E-2</v>
      </c>
    </row>
    <row r="22" spans="1:7" x14ac:dyDescent="0.25">
      <c r="A22">
        <v>11</v>
      </c>
      <c r="B22" s="8">
        <v>10031.66077502</v>
      </c>
      <c r="C22" s="11">
        <f t="shared" si="0"/>
        <v>1.4475583411985595E-2</v>
      </c>
      <c r="E22" s="120">
        <v>11</v>
      </c>
      <c r="F22" s="210">
        <v>14499</v>
      </c>
      <c r="G22" s="11">
        <f t="shared" si="1"/>
        <v>1.9920970121979704E-2</v>
      </c>
    </row>
    <row r="23" spans="1:7" x14ac:dyDescent="0.25">
      <c r="A23">
        <v>12</v>
      </c>
      <c r="B23" s="8">
        <v>15301.016001436699</v>
      </c>
      <c r="C23" s="11">
        <f t="shared" si="0"/>
        <v>2.2079208855273681E-2</v>
      </c>
      <c r="E23" s="121">
        <v>12</v>
      </c>
      <c r="F23" s="211">
        <v>13084</v>
      </c>
      <c r="G23" s="11">
        <f t="shared" si="1"/>
        <v>1.7976824131042308E-2</v>
      </c>
    </row>
    <row r="24" spans="1:7" x14ac:dyDescent="0.25">
      <c r="A24">
        <v>13</v>
      </c>
      <c r="B24" s="8">
        <v>23277.0725717489</v>
      </c>
      <c r="C24" s="11">
        <f t="shared" si="0"/>
        <v>3.3588576523464177E-2</v>
      </c>
      <c r="E24" s="122">
        <v>13</v>
      </c>
      <c r="F24" s="212">
        <v>11562</v>
      </c>
      <c r="G24" s="11">
        <f t="shared" si="1"/>
        <v>1.5885664980366185E-2</v>
      </c>
    </row>
    <row r="25" spans="1:7" x14ac:dyDescent="0.25">
      <c r="A25">
        <v>14</v>
      </c>
      <c r="B25" s="8">
        <v>16064.992182849101</v>
      </c>
      <c r="C25" s="11">
        <f t="shared" si="0"/>
        <v>2.3181618634354695E-2</v>
      </c>
      <c r="E25" s="123">
        <v>14</v>
      </c>
      <c r="F25" s="213">
        <v>10314</v>
      </c>
      <c r="G25" s="11">
        <f t="shared" si="1"/>
        <v>1.4170969435002323E-2</v>
      </c>
    </row>
    <row r="26" spans="1:7" x14ac:dyDescent="0.25">
      <c r="A26">
        <v>15</v>
      </c>
      <c r="B26" s="8">
        <v>8465.8538638697009</v>
      </c>
      <c r="C26" s="11">
        <f t="shared" si="0"/>
        <v>1.2216140129587074E-2</v>
      </c>
      <c r="E26" s="124">
        <v>15</v>
      </c>
      <c r="F26" s="214">
        <v>9635</v>
      </c>
      <c r="G26" s="11">
        <f t="shared" si="1"/>
        <v>1.3238054150305155E-2</v>
      </c>
    </row>
    <row r="27" spans="1:7" x14ac:dyDescent="0.25">
      <c r="A27">
        <v>16</v>
      </c>
      <c r="B27" s="8">
        <v>29706.997339343801</v>
      </c>
      <c r="C27" s="11">
        <f t="shared" si="0"/>
        <v>4.286689188854155E-2</v>
      </c>
      <c r="E27" s="125">
        <v>16</v>
      </c>
      <c r="F27" s="215">
        <v>8689</v>
      </c>
      <c r="G27" s="11">
        <f t="shared" si="1"/>
        <v>1.1938292943643123E-2</v>
      </c>
    </row>
    <row r="28" spans="1:7" x14ac:dyDescent="0.25">
      <c r="A28">
        <v>17</v>
      </c>
      <c r="B28" s="8">
        <v>18898.323975709998</v>
      </c>
      <c r="C28" s="11">
        <f t="shared" si="0"/>
        <v>2.7270087295846773E-2</v>
      </c>
      <c r="E28" s="126">
        <v>17</v>
      </c>
      <c r="F28" s="216">
        <v>7824</v>
      </c>
      <c r="G28" s="11">
        <f t="shared" si="1"/>
        <v>1.0749822072858073E-2</v>
      </c>
    </row>
    <row r="29" spans="1:7" x14ac:dyDescent="0.25">
      <c r="A29">
        <v>18</v>
      </c>
      <c r="B29" s="8">
        <v>87092.3056741732</v>
      </c>
      <c r="C29" s="11">
        <f t="shared" si="0"/>
        <v>0.12567330211842484</v>
      </c>
      <c r="E29" s="127">
        <v>18</v>
      </c>
      <c r="F29" s="217">
        <v>69920</v>
      </c>
      <c r="G29" s="11">
        <f t="shared" si="1"/>
        <v>9.6066917092821641E-2</v>
      </c>
    </row>
    <row r="30" spans="1:7" x14ac:dyDescent="0.25">
      <c r="A30">
        <v>19</v>
      </c>
      <c r="B30" s="8">
        <v>38877.977059976198</v>
      </c>
      <c r="C30" s="11">
        <f t="shared" si="0"/>
        <v>5.6100521383492044E-2</v>
      </c>
      <c r="E30" s="128">
        <v>19</v>
      </c>
      <c r="F30" s="218">
        <v>24938</v>
      </c>
      <c r="G30" s="11">
        <f t="shared" si="1"/>
        <v>3.4263683902471198E-2</v>
      </c>
    </row>
    <row r="31" spans="1:7" x14ac:dyDescent="0.25">
      <c r="A31">
        <v>20</v>
      </c>
      <c r="B31" s="8">
        <v>53231.261881728497</v>
      </c>
      <c r="C31" s="11">
        <f t="shared" si="0"/>
        <v>7.6812163885463303E-2</v>
      </c>
      <c r="E31" s="129">
        <v>20</v>
      </c>
      <c r="F31" s="219">
        <v>27680</v>
      </c>
      <c r="G31" s="11">
        <f t="shared" si="1"/>
        <v>3.8031067865121608E-2</v>
      </c>
    </row>
    <row r="32" spans="1:7" x14ac:dyDescent="0.25">
      <c r="A32">
        <v>21</v>
      </c>
      <c r="B32" s="8">
        <v>48937.860893480101</v>
      </c>
      <c r="C32" s="11">
        <f t="shared" si="0"/>
        <v>7.061683037884689E-2</v>
      </c>
      <c r="E32" s="130">
        <v>21</v>
      </c>
      <c r="F32" s="220">
        <v>29157</v>
      </c>
      <c r="G32" s="11">
        <f t="shared" si="1"/>
        <v>4.0060399051421634E-2</v>
      </c>
    </row>
    <row r="33" spans="1:7" x14ac:dyDescent="0.25">
      <c r="A33">
        <v>22</v>
      </c>
      <c r="B33" s="8">
        <v>38944.060375018802</v>
      </c>
      <c r="C33" s="11">
        <f t="shared" si="0"/>
        <v>5.6195878928019645E-2</v>
      </c>
      <c r="E33" s="131">
        <v>22</v>
      </c>
      <c r="F33" s="221">
        <v>28925</v>
      </c>
      <c r="G33" s="11">
        <f t="shared" si="1"/>
        <v>3.974164154619373E-2</v>
      </c>
    </row>
    <row r="34" spans="1:7" x14ac:dyDescent="0.25">
      <c r="A34">
        <v>23</v>
      </c>
      <c r="B34" s="8">
        <v>18480.310125207001</v>
      </c>
      <c r="C34" s="11">
        <f t="shared" si="0"/>
        <v>2.666689760512387E-2</v>
      </c>
      <c r="E34" s="132">
        <v>23</v>
      </c>
      <c r="F34" s="222">
        <v>20913</v>
      </c>
      <c r="G34" s="11">
        <f t="shared" si="1"/>
        <v>2.8733515977719951E-2</v>
      </c>
    </row>
    <row r="35" spans="1:7" x14ac:dyDescent="0.25">
      <c r="A35">
        <v>24</v>
      </c>
      <c r="B35" s="8">
        <v>14734.394402322199</v>
      </c>
      <c r="C35" s="11">
        <f t="shared" si="0"/>
        <v>2.1261579710412745E-2</v>
      </c>
      <c r="E35" s="133">
        <v>24</v>
      </c>
      <c r="F35" s="223">
        <v>16578</v>
      </c>
      <c r="G35" s="11">
        <f t="shared" si="1"/>
        <v>2.2777422076155563E-2</v>
      </c>
    </row>
    <row r="36" spans="1:7" x14ac:dyDescent="0.25">
      <c r="A36">
        <v>25</v>
      </c>
      <c r="B36" s="8">
        <v>10746.767192989601</v>
      </c>
      <c r="C36" s="11">
        <f t="shared" si="0"/>
        <v>1.5507474624609314E-2</v>
      </c>
      <c r="E36" s="134">
        <v>25</v>
      </c>
      <c r="F36" s="224">
        <v>23501</v>
      </c>
      <c r="G36" s="11">
        <f t="shared" si="1"/>
        <v>3.2289310906727708E-2</v>
      </c>
    </row>
    <row r="37" spans="1:7" x14ac:dyDescent="0.25">
      <c r="A37">
        <v>26</v>
      </c>
      <c r="B37" s="8">
        <v>49781.300547981496</v>
      </c>
      <c r="C37" s="11">
        <f t="shared" si="0"/>
        <v>7.183390513302057E-2</v>
      </c>
      <c r="E37" s="135">
        <v>26</v>
      </c>
      <c r="F37" s="225">
        <v>15629</v>
      </c>
      <c r="G37" s="11">
        <f t="shared" si="1"/>
        <v>2.1473539005201794E-2</v>
      </c>
    </row>
    <row r="38" spans="1:7" x14ac:dyDescent="0.25">
      <c r="A38">
        <v>27</v>
      </c>
      <c r="B38" s="8">
        <v>5870.9688970815996</v>
      </c>
      <c r="C38" s="11">
        <f t="shared" si="0"/>
        <v>8.4717477878141594E-3</v>
      </c>
      <c r="E38" s="136">
        <v>27</v>
      </c>
      <c r="F38" s="226">
        <v>11191</v>
      </c>
      <c r="G38" s="11">
        <f t="shared" si="1"/>
        <v>1.5375927762954333E-2</v>
      </c>
    </row>
    <row r="39" spans="1:7" x14ac:dyDescent="0.25">
      <c r="A39">
        <v>28</v>
      </c>
      <c r="B39" s="8">
        <v>18355.483754103901</v>
      </c>
      <c r="C39" s="11">
        <f t="shared" si="0"/>
        <v>2.6486774434350605E-2</v>
      </c>
      <c r="E39" s="137">
        <v>28</v>
      </c>
      <c r="F39" s="227">
        <v>9485</v>
      </c>
      <c r="G39" s="11">
        <f t="shared" si="1"/>
        <v>1.3031960935718153E-2</v>
      </c>
    </row>
    <row r="40" spans="1:7" x14ac:dyDescent="0.25">
      <c r="A40">
        <v>29</v>
      </c>
      <c r="B40" s="8">
        <v>7071.4052670973006</v>
      </c>
      <c r="C40" s="11">
        <f t="shared" si="0"/>
        <v>1.0203965133940363E-2</v>
      </c>
      <c r="E40" s="138">
        <v>29</v>
      </c>
      <c r="F40" s="228">
        <v>10327</v>
      </c>
      <c r="G40" s="11">
        <f t="shared" si="1"/>
        <v>1.4188830846933195E-2</v>
      </c>
    </row>
    <row r="41" spans="1:7" x14ac:dyDescent="0.25">
      <c r="A41">
        <v>30</v>
      </c>
      <c r="B41" s="8">
        <v>2720.9983505159998</v>
      </c>
      <c r="C41" s="11">
        <f t="shared" si="0"/>
        <v>3.9263726585382908E-3</v>
      </c>
      <c r="E41" s="139">
        <v>30</v>
      </c>
      <c r="F41" s="229">
        <v>28141</v>
      </c>
      <c r="G41" s="11">
        <f t="shared" si="1"/>
        <v>3.8664461011285664E-2</v>
      </c>
    </row>
    <row r="42" spans="1:7" x14ac:dyDescent="0.25">
      <c r="A42">
        <v>31</v>
      </c>
      <c r="B42" s="8">
        <v>3225.8521512005</v>
      </c>
      <c r="C42" s="11">
        <f t="shared" si="0"/>
        <v>4.6548715049969285E-3</v>
      </c>
      <c r="E42" s="140">
        <v>31</v>
      </c>
      <c r="F42" s="230">
        <v>9319</v>
      </c>
      <c r="G42" s="11">
        <f t="shared" si="1"/>
        <v>1.2803884444908535E-2</v>
      </c>
    </row>
    <row r="43" spans="1:7" x14ac:dyDescent="0.25">
      <c r="A43">
        <v>32</v>
      </c>
      <c r="B43" s="8">
        <v>4062.4202194034997</v>
      </c>
      <c r="C43" s="11">
        <f t="shared" si="0"/>
        <v>5.8620306307551493E-3</v>
      </c>
      <c r="E43" s="141">
        <v>32</v>
      </c>
      <c r="F43" s="231">
        <v>21121</v>
      </c>
      <c r="G43" s="11">
        <f t="shared" si="1"/>
        <v>2.9019298568613926E-2</v>
      </c>
    </row>
    <row r="44" spans="1:7" x14ac:dyDescent="0.25">
      <c r="A44">
        <v>33</v>
      </c>
      <c r="B44" s="8">
        <v>3850.7217127265999</v>
      </c>
      <c r="C44" s="11">
        <f t="shared" si="0"/>
        <v>5.5565518610558072E-3</v>
      </c>
      <c r="E44" s="142">
        <v>33</v>
      </c>
      <c r="F44" s="232">
        <v>5908</v>
      </c>
      <c r="G44" s="11">
        <f t="shared" si="1"/>
        <v>8.1173247452000896E-3</v>
      </c>
    </row>
    <row r="45" spans="1:7" x14ac:dyDescent="0.25">
      <c r="A45">
        <v>34</v>
      </c>
      <c r="B45" s="8">
        <v>7610.0547515784001</v>
      </c>
      <c r="C45" s="11">
        <f t="shared" si="0"/>
        <v>1.0981230804829604E-2</v>
      </c>
      <c r="E45" s="143">
        <v>34</v>
      </c>
      <c r="F45" s="233">
        <v>10265</v>
      </c>
      <c r="G45" s="11">
        <f t="shared" si="1"/>
        <v>1.4103645651570568E-2</v>
      </c>
    </row>
    <row r="46" spans="1:7" x14ac:dyDescent="0.25">
      <c r="A46">
        <v>35</v>
      </c>
      <c r="B46" s="8">
        <v>1448.9269749027001</v>
      </c>
      <c r="C46" s="11">
        <f t="shared" si="0"/>
        <v>2.0907867354633685E-3</v>
      </c>
      <c r="E46" s="144">
        <v>35</v>
      </c>
      <c r="F46" s="234">
        <v>3649</v>
      </c>
      <c r="G46" s="11">
        <f t="shared" si="1"/>
        <v>5.013560933519825E-3</v>
      </c>
    </row>
    <row r="47" spans="1:7" x14ac:dyDescent="0.25">
      <c r="A47">
        <v>36</v>
      </c>
      <c r="B47" s="8">
        <v>1422.0057125692001</v>
      </c>
      <c r="C47" s="11">
        <f t="shared" si="0"/>
        <v>2.051939630561763E-3</v>
      </c>
      <c r="E47" s="145">
        <v>36</v>
      </c>
      <c r="F47" s="235">
        <v>5231</v>
      </c>
      <c r="G47" s="11">
        <f t="shared" si="1"/>
        <v>7.1871573700307495E-3</v>
      </c>
    </row>
    <row r="48" spans="1:7" x14ac:dyDescent="0.25">
      <c r="A48">
        <v>37</v>
      </c>
      <c r="B48" s="8">
        <v>10426.127244150999</v>
      </c>
      <c r="C48" s="11">
        <f t="shared" si="0"/>
        <v>1.5044794473363996E-2</v>
      </c>
      <c r="E48" s="146">
        <v>37</v>
      </c>
      <c r="F48" s="236">
        <v>5892</v>
      </c>
      <c r="G48" s="11">
        <f t="shared" si="1"/>
        <v>8.0953414689774756E-3</v>
      </c>
    </row>
    <row r="49" spans="1:7" x14ac:dyDescent="0.25">
      <c r="A49">
        <v>38</v>
      </c>
      <c r="B49" s="8">
        <v>8690.7760060841993</v>
      </c>
      <c r="C49" s="11">
        <f t="shared" si="0"/>
        <v>1.2540700469479743E-2</v>
      </c>
      <c r="E49" s="147">
        <v>38</v>
      </c>
      <c r="F49" s="237">
        <v>6521</v>
      </c>
      <c r="G49" s="11">
        <f t="shared" si="1"/>
        <v>8.9595590154789746E-3</v>
      </c>
    </row>
    <row r="50" spans="1:7" x14ac:dyDescent="0.25">
      <c r="A50">
        <v>39</v>
      </c>
      <c r="B50" s="8">
        <v>1092.3468692406</v>
      </c>
      <c r="C50" s="11">
        <f t="shared" si="0"/>
        <v>1.5762453072464566E-3</v>
      </c>
      <c r="E50" s="148">
        <v>39</v>
      </c>
      <c r="F50" s="238">
        <v>2874</v>
      </c>
      <c r="G50" s="11">
        <f t="shared" si="1"/>
        <v>3.9487459914869759E-3</v>
      </c>
    </row>
    <row r="51" spans="1:7" x14ac:dyDescent="0.25">
      <c r="A51">
        <v>40</v>
      </c>
      <c r="B51" s="8">
        <v>515.96155933770001</v>
      </c>
      <c r="C51" s="11">
        <f t="shared" si="0"/>
        <v>7.4452722805074521E-4</v>
      </c>
      <c r="E51" s="149">
        <v>40</v>
      </c>
      <c r="F51" s="239">
        <v>2256</v>
      </c>
      <c r="G51" s="11">
        <f t="shared" si="1"/>
        <v>3.0996419473885242E-3</v>
      </c>
    </row>
    <row r="52" spans="1:7" x14ac:dyDescent="0.25">
      <c r="A52">
        <v>41</v>
      </c>
      <c r="B52" s="8">
        <v>2505.9070916342002</v>
      </c>
      <c r="C52" s="11">
        <f t="shared" si="0"/>
        <v>3.6159981822715464E-3</v>
      </c>
      <c r="E52" s="150">
        <v>41</v>
      </c>
      <c r="F52" s="240">
        <v>2368</v>
      </c>
      <c r="G52" s="11">
        <f t="shared" si="1"/>
        <v>3.2535248809468197E-3</v>
      </c>
    </row>
    <row r="53" spans="1:7" x14ac:dyDescent="0.25">
      <c r="A53">
        <v>42</v>
      </c>
      <c r="B53" s="8">
        <v>1195.9900334889999</v>
      </c>
      <c r="C53" s="11">
        <f t="shared" si="0"/>
        <v>1.7258013282091813E-3</v>
      </c>
      <c r="E53" s="151">
        <v>42</v>
      </c>
      <c r="F53" s="241">
        <v>1070</v>
      </c>
      <c r="G53" s="11">
        <f t="shared" si="1"/>
        <v>1.4701315973872876E-3</v>
      </c>
    </row>
    <row r="54" spans="1:7" x14ac:dyDescent="0.25">
      <c r="A54">
        <v>43</v>
      </c>
      <c r="B54" s="8">
        <v>0</v>
      </c>
      <c r="C54" s="11">
        <f t="shared" si="0"/>
        <v>0</v>
      </c>
      <c r="E54" s="152">
        <v>43</v>
      </c>
      <c r="F54" s="242">
        <v>3289</v>
      </c>
      <c r="G54" s="11">
        <f t="shared" si="1"/>
        <v>4.5189372185110181E-3</v>
      </c>
    </row>
    <row r="55" spans="1:7" x14ac:dyDescent="0.25">
      <c r="A55">
        <v>44</v>
      </c>
      <c r="B55" s="8">
        <v>157.25050445919999</v>
      </c>
      <c r="C55" s="11">
        <f t="shared" si="0"/>
        <v>2.2691086201241927E-4</v>
      </c>
      <c r="E55" s="153">
        <v>44</v>
      </c>
      <c r="F55" s="243">
        <v>1581</v>
      </c>
      <c r="G55" s="11">
        <f t="shared" si="1"/>
        <v>2.1722224817470109E-3</v>
      </c>
    </row>
    <row r="56" spans="1:7" x14ac:dyDescent="0.25">
      <c r="A56">
        <v>45</v>
      </c>
      <c r="B56" s="8">
        <v>28048.922195568801</v>
      </c>
      <c r="C56" s="11">
        <f t="shared" si="0"/>
        <v>4.0474306494623351E-2</v>
      </c>
      <c r="E56" s="154">
        <v>45</v>
      </c>
      <c r="F56" s="244">
        <v>2012</v>
      </c>
      <c r="G56" s="11">
        <f t="shared" si="1"/>
        <v>2.7643969849936662E-3</v>
      </c>
    </row>
    <row r="57" spans="1:7" x14ac:dyDescent="0.25">
      <c r="A57">
        <v>46</v>
      </c>
      <c r="B57" s="8">
        <v>1606.876750787</v>
      </c>
      <c r="C57" s="11">
        <f t="shared" si="0"/>
        <v>2.3187066389564227E-3</v>
      </c>
      <c r="E57" s="155">
        <v>46</v>
      </c>
      <c r="F57" s="245">
        <v>1494</v>
      </c>
      <c r="G57" s="11">
        <f t="shared" si="1"/>
        <v>2.0526884172865491E-3</v>
      </c>
    </row>
    <row r="58" spans="1:7" x14ac:dyDescent="0.25">
      <c r="A58">
        <v>47</v>
      </c>
      <c r="B58" s="8">
        <v>1338.7469319639999</v>
      </c>
      <c r="C58" s="11">
        <f t="shared" si="0"/>
        <v>1.931798065724172E-3</v>
      </c>
      <c r="E58" s="156">
        <v>47</v>
      </c>
      <c r="F58" s="246">
        <v>628</v>
      </c>
      <c r="G58" s="11">
        <f t="shared" si="1"/>
        <v>8.6284359173758565E-4</v>
      </c>
    </row>
    <row r="59" spans="1:7" x14ac:dyDescent="0.25">
      <c r="A59">
        <v>48</v>
      </c>
      <c r="B59" s="8">
        <v>0</v>
      </c>
      <c r="C59" s="11">
        <f t="shared" si="0"/>
        <v>0</v>
      </c>
      <c r="E59" s="157">
        <v>48</v>
      </c>
      <c r="F59" s="247">
        <v>439</v>
      </c>
      <c r="G59" s="11">
        <f t="shared" si="1"/>
        <v>6.0316614135796193E-4</v>
      </c>
    </row>
    <row r="60" spans="1:7" x14ac:dyDescent="0.25">
      <c r="A60">
        <v>49</v>
      </c>
      <c r="B60" s="8">
        <v>0</v>
      </c>
      <c r="C60" s="11">
        <f t="shared" si="0"/>
        <v>0</v>
      </c>
      <c r="E60" s="158">
        <v>49</v>
      </c>
      <c r="F60" s="248">
        <v>750</v>
      </c>
      <c r="G60" s="11">
        <f t="shared" si="1"/>
        <v>1.0304660729350146E-3</v>
      </c>
    </row>
    <row r="61" spans="1:7" x14ac:dyDescent="0.25">
      <c r="A61">
        <v>50</v>
      </c>
      <c r="B61" s="8">
        <v>0</v>
      </c>
      <c r="C61" s="11">
        <f t="shared" si="0"/>
        <v>0</v>
      </c>
      <c r="E61" s="159">
        <v>50</v>
      </c>
      <c r="F61" s="249">
        <v>285</v>
      </c>
      <c r="G61" s="11">
        <f t="shared" si="1"/>
        <v>3.9157710771530558E-4</v>
      </c>
    </row>
    <row r="62" spans="1:7" x14ac:dyDescent="0.25">
      <c r="A62">
        <v>51</v>
      </c>
      <c r="B62" s="8">
        <v>0</v>
      </c>
      <c r="C62" s="11">
        <f t="shared" si="0"/>
        <v>0</v>
      </c>
      <c r="E62" s="160">
        <v>51</v>
      </c>
      <c r="F62" s="250">
        <v>370</v>
      </c>
      <c r="G62" s="11">
        <f t="shared" si="1"/>
        <v>5.0836326264794057E-4</v>
      </c>
    </row>
    <row r="63" spans="1:7" x14ac:dyDescent="0.25">
      <c r="A63">
        <v>52</v>
      </c>
      <c r="B63" s="8">
        <v>1089.82717822</v>
      </c>
      <c r="C63" s="11">
        <f t="shared" si="0"/>
        <v>1.5726094189963324E-3</v>
      </c>
      <c r="E63" s="161">
        <v>52</v>
      </c>
      <c r="F63" s="251">
        <v>418</v>
      </c>
      <c r="G63" s="11">
        <f t="shared" si="1"/>
        <v>5.7431309131578156E-4</v>
      </c>
    </row>
    <row r="64" spans="1:7" x14ac:dyDescent="0.25">
      <c r="A64">
        <v>53</v>
      </c>
      <c r="B64" s="8">
        <v>0</v>
      </c>
      <c r="C64" s="11">
        <f t="shared" si="0"/>
        <v>0</v>
      </c>
      <c r="E64" s="162">
        <v>53</v>
      </c>
      <c r="F64" s="252">
        <v>213</v>
      </c>
      <c r="G64" s="11">
        <f t="shared" si="1"/>
        <v>2.9265236471354416E-4</v>
      </c>
    </row>
    <row r="65" spans="1:7" x14ac:dyDescent="0.25">
      <c r="A65">
        <v>54</v>
      </c>
      <c r="B65" s="8">
        <v>10526.631561496999</v>
      </c>
      <c r="C65" s="11">
        <f t="shared" si="0"/>
        <v>1.5189821170501669E-2</v>
      </c>
      <c r="E65" s="163">
        <v>54</v>
      </c>
      <c r="F65" s="253">
        <v>198</v>
      </c>
      <c r="G65" s="11">
        <f t="shared" si="1"/>
        <v>2.720430432548439E-4</v>
      </c>
    </row>
    <row r="66" spans="1:7" x14ac:dyDescent="0.25">
      <c r="A66">
        <v>55</v>
      </c>
      <c r="B66" s="8">
        <v>183.053312801</v>
      </c>
      <c r="C66" s="11">
        <f t="shared" si="0"/>
        <v>2.6414404929734909E-4</v>
      </c>
      <c r="E66" s="164">
        <v>55</v>
      </c>
      <c r="F66" s="254">
        <v>206</v>
      </c>
      <c r="G66" s="11">
        <f t="shared" si="1"/>
        <v>2.8303468136615072E-4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165">
        <v>56</v>
      </c>
      <c r="F67" s="255">
        <v>295</v>
      </c>
      <c r="G67" s="11">
        <f t="shared" si="1"/>
        <v>4.0531665535443909E-4</v>
      </c>
    </row>
    <row r="68" spans="1:7" x14ac:dyDescent="0.25">
      <c r="A68">
        <v>57</v>
      </c>
      <c r="B68" s="8">
        <v>0</v>
      </c>
      <c r="C68" s="11">
        <f t="shared" si="0"/>
        <v>0</v>
      </c>
      <c r="E68" s="166">
        <v>57</v>
      </c>
      <c r="F68" s="256">
        <v>131</v>
      </c>
      <c r="G68" s="11">
        <f t="shared" si="1"/>
        <v>1.7998807407264923E-4</v>
      </c>
    </row>
    <row r="69" spans="1:7" x14ac:dyDescent="0.25">
      <c r="A69">
        <v>58</v>
      </c>
      <c r="B69" s="8">
        <v>0</v>
      </c>
      <c r="C69" s="11">
        <f t="shared" si="0"/>
        <v>0</v>
      </c>
      <c r="E69" s="167">
        <v>58</v>
      </c>
      <c r="F69" s="257">
        <v>99</v>
      </c>
      <c r="G69" s="11">
        <f t="shared" si="1"/>
        <v>1.3602152162742195E-4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168">
        <v>59</v>
      </c>
      <c r="F70" s="258">
        <v>48</v>
      </c>
      <c r="G70" s="11">
        <f t="shared" si="1"/>
        <v>6.5949828667840945E-5</v>
      </c>
    </row>
    <row r="71" spans="1:7" x14ac:dyDescent="0.25">
      <c r="A71">
        <v>60</v>
      </c>
      <c r="B71" s="8">
        <v>643.99071241199999</v>
      </c>
      <c r="C71" s="11">
        <f t="shared" si="0"/>
        <v>9.2927198029633799E-4</v>
      </c>
      <c r="E71" s="169">
        <v>60</v>
      </c>
      <c r="F71" s="259">
        <v>59</v>
      </c>
      <c r="G71" s="11">
        <f t="shared" si="1"/>
        <v>8.106333107088782E-5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170">
        <v>61</v>
      </c>
      <c r="F72" s="260">
        <v>52</v>
      </c>
      <c r="G72" s="11">
        <f t="shared" si="1"/>
        <v>7.1445647723494352E-5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171">
        <v>62</v>
      </c>
      <c r="F73" s="261">
        <v>41</v>
      </c>
      <c r="G73" s="11">
        <f t="shared" si="1"/>
        <v>5.633214532044747E-5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172">
        <v>63</v>
      </c>
      <c r="F74" s="262">
        <v>23</v>
      </c>
      <c r="G74" s="11">
        <f t="shared" si="1"/>
        <v>3.1600959570007114E-5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173">
        <v>64</v>
      </c>
      <c r="F75" s="263">
        <v>26</v>
      </c>
      <c r="G75" s="11">
        <f t="shared" si="1"/>
        <v>3.5722823861747176E-5</v>
      </c>
    </row>
    <row r="76" spans="1:7" x14ac:dyDescent="0.25">
      <c r="A76">
        <v>65</v>
      </c>
      <c r="B76" s="8">
        <v>0</v>
      </c>
      <c r="C76" s="11">
        <f t="shared" si="0"/>
        <v>0</v>
      </c>
      <c r="E76" s="174">
        <v>65</v>
      </c>
      <c r="F76" s="264">
        <v>22</v>
      </c>
      <c r="G76" s="11">
        <f t="shared" si="1"/>
        <v>3.0227004806093763E-5</v>
      </c>
    </row>
    <row r="77" spans="1:7" x14ac:dyDescent="0.25">
      <c r="A77">
        <v>66</v>
      </c>
      <c r="B77" s="8">
        <v>250.40304101000001</v>
      </c>
      <c r="C77" s="11">
        <f t="shared" ref="C77:C102" si="2">B77/B$102</f>
        <v>3.6132901501026665E-4</v>
      </c>
      <c r="E77" s="175">
        <v>66</v>
      </c>
      <c r="F77" s="265">
        <v>19</v>
      </c>
      <c r="G77" s="11">
        <f t="shared" ref="G77:G102" si="3">F77/F$102</f>
        <v>2.6105140514353704E-5</v>
      </c>
    </row>
    <row r="78" spans="1:7" x14ac:dyDescent="0.25">
      <c r="A78">
        <v>67</v>
      </c>
      <c r="B78" s="8">
        <v>1607.3470591099999</v>
      </c>
      <c r="C78" s="11">
        <f t="shared" si="2"/>
        <v>2.3193852890335755E-3</v>
      </c>
      <c r="E78" s="176">
        <v>67</v>
      </c>
      <c r="F78" s="266">
        <v>15</v>
      </c>
      <c r="G78" s="11">
        <f t="shared" si="3"/>
        <v>2.0609321458700295E-5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177">
        <v>68</v>
      </c>
      <c r="F79" s="267">
        <v>18</v>
      </c>
      <c r="G79" s="11">
        <f t="shared" si="3"/>
        <v>2.4731185750440353E-5</v>
      </c>
    </row>
    <row r="80" spans="1:7" x14ac:dyDescent="0.25">
      <c r="A80">
        <v>69</v>
      </c>
      <c r="B80" s="8">
        <v>0</v>
      </c>
      <c r="C80" s="11">
        <f t="shared" si="2"/>
        <v>0</v>
      </c>
      <c r="E80" s="178">
        <v>69</v>
      </c>
      <c r="F80" s="268">
        <v>7</v>
      </c>
      <c r="G80" s="11">
        <f t="shared" si="3"/>
        <v>9.6176833473934698E-6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179">
        <v>70</v>
      </c>
      <c r="F81" s="269">
        <v>56</v>
      </c>
      <c r="G81" s="11">
        <f t="shared" si="3"/>
        <v>7.6941466779147758E-5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180">
        <v>71</v>
      </c>
      <c r="F82" s="270">
        <v>7</v>
      </c>
      <c r="G82" s="11">
        <f t="shared" si="3"/>
        <v>9.6176833473934698E-6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181">
        <v>72</v>
      </c>
      <c r="F83" s="271">
        <v>3</v>
      </c>
      <c r="G83" s="11">
        <f t="shared" si="3"/>
        <v>4.1218642917400591E-6</v>
      </c>
    </row>
    <row r="84" spans="1:7" x14ac:dyDescent="0.25">
      <c r="A84">
        <v>73</v>
      </c>
      <c r="B84" s="8">
        <v>0</v>
      </c>
      <c r="C84" s="11">
        <f t="shared" si="2"/>
        <v>0</v>
      </c>
      <c r="E84" s="182">
        <v>73</v>
      </c>
      <c r="F84" s="272">
        <v>6</v>
      </c>
      <c r="G84" s="11">
        <f t="shared" si="3"/>
        <v>8.2437285834801182E-6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183">
        <v>74</v>
      </c>
      <c r="F85" s="273">
        <v>8</v>
      </c>
      <c r="G85" s="11">
        <f t="shared" si="3"/>
        <v>1.0991638111306823E-5</v>
      </c>
    </row>
    <row r="86" spans="1:7" x14ac:dyDescent="0.25">
      <c r="A86">
        <v>75</v>
      </c>
      <c r="B86" s="8">
        <v>444.57246729600001</v>
      </c>
      <c r="C86" s="11">
        <f t="shared" si="2"/>
        <v>6.4151350183615588E-4</v>
      </c>
      <c r="E86" s="184">
        <v>75</v>
      </c>
      <c r="F86" s="274">
        <v>5</v>
      </c>
      <c r="G86" s="11">
        <f t="shared" si="3"/>
        <v>6.8697738195667648E-6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185">
        <v>76</v>
      </c>
      <c r="F87" s="275">
        <v>3</v>
      </c>
      <c r="G87" s="11">
        <f t="shared" si="3"/>
        <v>4.1218642917400591E-6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186">
        <v>77</v>
      </c>
      <c r="F88" s="276">
        <v>1</v>
      </c>
      <c r="G88" s="11">
        <f t="shared" si="3"/>
        <v>1.3739547639133529E-6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187">
        <v>78</v>
      </c>
      <c r="F89" s="277">
        <v>1</v>
      </c>
      <c r="G89" s="11">
        <f t="shared" si="3"/>
        <v>1.3739547639133529E-6</v>
      </c>
    </row>
    <row r="90" spans="1:7" x14ac:dyDescent="0.25">
      <c r="A90">
        <v>79</v>
      </c>
      <c r="B90" s="8">
        <v>256.37131749600002</v>
      </c>
      <c r="C90" s="11">
        <f t="shared" si="2"/>
        <v>3.6994117664894736E-4</v>
      </c>
      <c r="E90" s="188">
        <v>79</v>
      </c>
      <c r="F90" s="278">
        <v>0</v>
      </c>
      <c r="G90" s="11">
        <f t="shared" si="3"/>
        <v>0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189">
        <v>80</v>
      </c>
      <c r="F91" s="279">
        <v>1</v>
      </c>
      <c r="G91" s="11">
        <f t="shared" si="3"/>
        <v>1.3739547639133529E-6</v>
      </c>
    </row>
    <row r="92" spans="1:7" x14ac:dyDescent="0.25">
      <c r="A92">
        <v>81</v>
      </c>
      <c r="B92" s="8">
        <v>668.71153577099994</v>
      </c>
      <c r="C92" s="11">
        <f t="shared" si="2"/>
        <v>9.649438743696753E-4</v>
      </c>
      <c r="E92" s="190">
        <v>81</v>
      </c>
      <c r="F92" s="280">
        <v>4</v>
      </c>
      <c r="G92" s="11">
        <f t="shared" si="3"/>
        <v>5.4958190556534115E-6</v>
      </c>
    </row>
    <row r="93" spans="1:7" x14ac:dyDescent="0.25">
      <c r="A93">
        <v>82</v>
      </c>
      <c r="B93" s="8">
        <v>569.50120905100005</v>
      </c>
      <c r="C93" s="11">
        <f t="shared" si="2"/>
        <v>8.2178439240814145E-4</v>
      </c>
      <c r="E93" s="191">
        <v>82</v>
      </c>
      <c r="F93" s="281">
        <v>1</v>
      </c>
      <c r="G93" s="11">
        <f t="shared" si="3"/>
        <v>1.3739547639133529E-6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192">
        <v>83</v>
      </c>
      <c r="F94" s="282">
        <v>3</v>
      </c>
      <c r="G94" s="11">
        <f t="shared" si="3"/>
        <v>4.1218642917400591E-6</v>
      </c>
    </row>
    <row r="95" spans="1:7" x14ac:dyDescent="0.25">
      <c r="A95">
        <v>84</v>
      </c>
      <c r="B95" s="8">
        <v>258.88381724599998</v>
      </c>
      <c r="C95" s="11">
        <f t="shared" si="2"/>
        <v>3.7356668796949385E-4</v>
      </c>
      <c r="E95" s="193">
        <v>84</v>
      </c>
      <c r="F95" s="283">
        <v>0</v>
      </c>
      <c r="G95" s="11">
        <f t="shared" si="3"/>
        <v>0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94">
        <v>85</v>
      </c>
      <c r="F96" s="284">
        <v>1</v>
      </c>
      <c r="G96" s="11">
        <f t="shared" si="3"/>
        <v>1.3739547639133529E-6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95">
        <v>86</v>
      </c>
      <c r="F97" s="285">
        <v>1</v>
      </c>
      <c r="G97" s="11">
        <f t="shared" si="3"/>
        <v>1.3739547639133529E-6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96">
        <v>87</v>
      </c>
      <c r="F98" s="286">
        <v>0</v>
      </c>
      <c r="G98" s="11">
        <f t="shared" si="3"/>
        <v>0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97">
        <v>88</v>
      </c>
      <c r="F99" s="287">
        <v>1</v>
      </c>
      <c r="G99" s="11">
        <f t="shared" si="3"/>
        <v>1.3739547639133529E-6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98">
        <v>89</v>
      </c>
      <c r="F100" s="288">
        <v>0</v>
      </c>
      <c r="G100" s="11">
        <f t="shared" si="3"/>
        <v>0</v>
      </c>
    </row>
    <row r="101" spans="1:7" ht="15.75" thickBot="1" x14ac:dyDescent="0.3">
      <c r="A101" s="1">
        <v>90</v>
      </c>
      <c r="B101" s="9">
        <v>149.32180002199999</v>
      </c>
      <c r="C101" s="11">
        <f t="shared" si="2"/>
        <v>2.1546982298571433E-4</v>
      </c>
      <c r="E101" s="292">
        <v>90</v>
      </c>
      <c r="F101" s="292">
        <v>0</v>
      </c>
      <c r="G101" s="11">
        <f t="shared" si="3"/>
        <v>0</v>
      </c>
    </row>
    <row r="102" spans="1:7" x14ac:dyDescent="0.25">
      <c r="B102" s="8">
        <f>SUM(B11:B101)</f>
        <v>693005.6281333653</v>
      </c>
      <c r="C102" s="11">
        <f t="shared" si="2"/>
        <v>1</v>
      </c>
      <c r="F102" s="8">
        <f>SUM(F11:F101)</f>
        <v>727826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3" zoomScaleNormal="100" workbookViewId="0">
      <selection activeCell="AD37" sqref="AD37"/>
    </sheetView>
  </sheetViews>
  <sheetFormatPr defaultRowHeight="15" x14ac:dyDescent="0.25"/>
  <cols>
    <col min="4" max="4" width="12.28515625" bestFit="1" customWidth="1" collapsed="1"/>
    <col min="13" max="14" width="10.5703125" bestFit="1" customWidth="1" collapsed="1"/>
    <col min="15" max="15" width="12.42578125" bestFit="1" customWidth="1" collapsed="1"/>
    <col min="16" max="19" width="10.57031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r="5" spans="1:21" ht="15.75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>
        <v>10186.0086381006</v>
      </c>
      <c r="C7" s="12">
        <v>2849.560516044</v>
      </c>
      <c r="D7" s="12">
        <v>1770.9887547650001</v>
      </c>
      <c r="E7" s="12">
        <v>593.11938678000001</v>
      </c>
      <c r="F7" s="12">
        <v>369.3324893894</v>
      </c>
      <c r="G7" s="12">
        <v>194.27564340800001</v>
      </c>
      <c r="H7" s="12">
        <v>2005.698525535</v>
      </c>
      <c r="I7" s="12"/>
      <c r="J7" s="12">
        <f>SUM(B7:I7)</f>
        <v>17968.983954021998</v>
      </c>
      <c r="K7" s="12"/>
      <c r="L7" t="str">
        <f>$A$7</f>
        <v>Bellevue</v>
      </c>
      <c r="M7" s="343">
        <v>10669</v>
      </c>
      <c r="N7" s="343">
        <v>9094</v>
      </c>
      <c r="O7" s="343">
        <v>492</v>
      </c>
      <c r="P7" s="343">
        <v>1982</v>
      </c>
      <c r="Q7" s="343">
        <v>245</v>
      </c>
      <c r="R7" s="343">
        <v>131</v>
      </c>
      <c r="S7" s="343">
        <v>1381</v>
      </c>
      <c r="T7" s="291"/>
      <c r="U7" s="12">
        <f>SUM(M7:T7)</f>
        <v>23994</v>
      </c>
    </row>
    <row r="8" spans="1:21" x14ac:dyDescent="0.25">
      <c r="A8" t="s">
        <v>250</v>
      </c>
      <c r="B8" s="12">
        <v>421.44957801700002</v>
      </c>
      <c r="C8" s="12">
        <v>388.869709796</v>
      </c>
      <c r="D8" s="12">
        <v>0</v>
      </c>
      <c r="E8" s="12">
        <v>796.751705152</v>
      </c>
      <c r="F8" s="12">
        <v>0</v>
      </c>
      <c r="G8" s="12">
        <v>0</v>
      </c>
      <c r="H8" s="12">
        <v>0</v>
      </c>
      <c r="I8" s="12"/>
      <c r="J8" s="12">
        <f t="shared" ref="J8:J14" si="0">SUM(B8:I8)</f>
        <v>1607.0709929650002</v>
      </c>
      <c r="K8" s="12"/>
      <c r="L8" t="str">
        <f>$A$8</f>
        <v>Bellevue Downtown</v>
      </c>
      <c r="M8" s="343">
        <v>362</v>
      </c>
      <c r="N8" s="343">
        <v>2338</v>
      </c>
      <c r="O8" s="343">
        <v>20</v>
      </c>
      <c r="P8" s="343">
        <v>18</v>
      </c>
      <c r="Q8" s="343">
        <v>4</v>
      </c>
      <c r="R8" s="343">
        <v>4</v>
      </c>
      <c r="S8" s="343">
        <v>4</v>
      </c>
      <c r="T8" s="291"/>
      <c r="U8" s="12">
        <f t="shared" ref="U8:U14" si="1">SUM(M8:T8)</f>
        <v>2750</v>
      </c>
    </row>
    <row r="9" spans="1:21" x14ac:dyDescent="0.25">
      <c r="A9" t="s">
        <v>251</v>
      </c>
      <c r="B9" s="12">
        <v>298.46687061299997</v>
      </c>
      <c r="C9" s="12">
        <v>1100.6198656510001</v>
      </c>
      <c r="D9" s="12">
        <v>12876.117613169001</v>
      </c>
      <c r="E9" s="12">
        <v>2825.6530529166998</v>
      </c>
      <c r="F9" s="12">
        <v>1120.8068290428</v>
      </c>
      <c r="G9" s="12">
        <v>0</v>
      </c>
      <c r="H9" s="12">
        <v>2711.074635077</v>
      </c>
      <c r="I9" s="12"/>
      <c r="J9" s="12">
        <f t="shared" si="0"/>
        <v>20932.738866469503</v>
      </c>
      <c r="K9" s="13"/>
      <c r="L9" t="str">
        <f>$A$9</f>
        <v>Kirkland</v>
      </c>
      <c r="M9" s="343">
        <v>791</v>
      </c>
      <c r="N9" s="343">
        <v>1807</v>
      </c>
      <c r="O9" s="343">
        <v>14230</v>
      </c>
      <c r="P9" s="343">
        <v>2337</v>
      </c>
      <c r="Q9" s="343">
        <v>716</v>
      </c>
      <c r="R9" s="343">
        <v>55</v>
      </c>
      <c r="S9" s="343">
        <v>1194</v>
      </c>
      <c r="T9" s="291"/>
      <c r="U9" s="12">
        <f t="shared" si="1"/>
        <v>21130</v>
      </c>
    </row>
    <row r="10" spans="1:21" x14ac:dyDescent="0.25">
      <c r="A10" t="s">
        <v>252</v>
      </c>
      <c r="B10" s="12">
        <v>485.99543888599999</v>
      </c>
      <c r="C10" s="12">
        <v>0</v>
      </c>
      <c r="D10" s="12">
        <v>1478.4824081478</v>
      </c>
      <c r="E10" s="12">
        <v>17618.818946887699</v>
      </c>
      <c r="F10" s="12">
        <v>0</v>
      </c>
      <c r="G10" s="12">
        <v>0</v>
      </c>
      <c r="H10" s="12">
        <v>113.29750371999999</v>
      </c>
      <c r="I10" s="12"/>
      <c r="J10" s="12">
        <f t="shared" si="0"/>
        <v>19696.594297641499</v>
      </c>
      <c r="K10" s="13"/>
      <c r="L10" t="str">
        <f>$A$10</f>
        <v>Redmond</v>
      </c>
      <c r="M10" s="343">
        <v>1730</v>
      </c>
      <c r="N10" s="343">
        <v>887</v>
      </c>
      <c r="O10" s="343">
        <v>2164</v>
      </c>
      <c r="P10" s="343">
        <v>11345</v>
      </c>
      <c r="Q10" s="343">
        <v>82</v>
      </c>
      <c r="R10" s="343">
        <v>24</v>
      </c>
      <c r="S10" s="343">
        <v>497</v>
      </c>
      <c r="T10" s="291"/>
      <c r="U10" s="12">
        <f t="shared" si="1"/>
        <v>16729</v>
      </c>
    </row>
    <row r="11" spans="1:21" x14ac:dyDescent="0.25">
      <c r="A11" t="s">
        <v>248</v>
      </c>
      <c r="B11" s="12">
        <v>0</v>
      </c>
      <c r="C11" s="12">
        <v>109.05930839929999</v>
      </c>
      <c r="D11" s="12">
        <v>0</v>
      </c>
      <c r="E11" s="12">
        <v>0</v>
      </c>
      <c r="F11" s="12">
        <v>89978.831413285807</v>
      </c>
      <c r="G11" s="12">
        <v>6946.5674062645003</v>
      </c>
      <c r="H11" s="12">
        <v>8080.0100283098</v>
      </c>
      <c r="I11" s="12"/>
      <c r="J11" s="12">
        <f t="shared" si="0"/>
        <v>105114.46815625941</v>
      </c>
      <c r="K11" s="13"/>
      <c r="L11" t="str">
        <f>$A$11</f>
        <v>Seattle</v>
      </c>
      <c r="M11" s="343">
        <v>660</v>
      </c>
      <c r="N11" s="343">
        <v>1569</v>
      </c>
      <c r="O11" s="343">
        <v>1431</v>
      </c>
      <c r="P11" s="343">
        <v>350</v>
      </c>
      <c r="Q11" s="343">
        <v>83957</v>
      </c>
      <c r="R11" s="343">
        <v>9094</v>
      </c>
      <c r="S11" s="343">
        <v>7398</v>
      </c>
      <c r="T11" s="291"/>
      <c r="U11" s="12">
        <f t="shared" si="1"/>
        <v>104459</v>
      </c>
    </row>
    <row r="12" spans="1:21" x14ac:dyDescent="0.25">
      <c r="A12" t="s">
        <v>253</v>
      </c>
      <c r="B12" s="12">
        <v>71.914494349799995</v>
      </c>
      <c r="C12" s="12">
        <v>0</v>
      </c>
      <c r="D12" s="12">
        <v>0</v>
      </c>
      <c r="E12" s="12">
        <v>0</v>
      </c>
      <c r="F12" s="12">
        <v>4435.5454678812002</v>
      </c>
      <c r="G12" s="12">
        <v>8152.8204414182001</v>
      </c>
      <c r="H12" s="12">
        <v>144.23053693029999</v>
      </c>
      <c r="I12" s="12"/>
      <c r="J12" s="12">
        <f t="shared" si="0"/>
        <v>12804.510940579501</v>
      </c>
      <c r="K12" s="13"/>
      <c r="L12" t="str">
        <f>$A$12</f>
        <v>Seattle Downtown</v>
      </c>
      <c r="M12" s="343">
        <v>44</v>
      </c>
      <c r="N12" s="343">
        <v>112</v>
      </c>
      <c r="O12" s="343">
        <v>16</v>
      </c>
      <c r="P12" s="343">
        <v>7</v>
      </c>
      <c r="Q12" s="343">
        <v>1529</v>
      </c>
      <c r="R12" s="343">
        <v>12461</v>
      </c>
      <c r="S12" s="343">
        <v>100</v>
      </c>
      <c r="T12" s="291"/>
      <c r="U12" s="12">
        <f t="shared" si="1"/>
        <v>14269</v>
      </c>
    </row>
    <row r="13" spans="1:21" x14ac:dyDescent="0.25">
      <c r="A13" t="s">
        <v>254</v>
      </c>
      <c r="B13" s="12">
        <v>776.05144189999999</v>
      </c>
      <c r="C13" s="12">
        <v>1602.1303793089999</v>
      </c>
      <c r="D13" s="12">
        <v>1020.4236710519999</v>
      </c>
      <c r="E13" s="12">
        <v>272.274861354</v>
      </c>
      <c r="F13" s="12">
        <v>7156.2331998110003</v>
      </c>
      <c r="G13" s="12">
        <v>3107.520417879</v>
      </c>
      <c r="H13" s="12">
        <v>510378.81412814639</v>
      </c>
      <c r="I13" s="12"/>
      <c r="J13" s="12">
        <f t="shared" si="0"/>
        <v>524313.44809945137</v>
      </c>
      <c r="K13" s="13"/>
      <c r="L13" t="str">
        <f>$A$13</f>
        <v>Rest</v>
      </c>
      <c r="M13" s="343">
        <v>3687</v>
      </c>
      <c r="N13" s="343">
        <v>4448</v>
      </c>
      <c r="O13" s="343">
        <v>3977</v>
      </c>
      <c r="P13" s="343">
        <v>6796</v>
      </c>
      <c r="Q13" s="343">
        <v>6088</v>
      </c>
      <c r="R13" s="343">
        <v>759</v>
      </c>
      <c r="S13" s="343">
        <v>518413</v>
      </c>
      <c r="T13" s="291"/>
      <c r="U13" s="12">
        <f t="shared" si="1"/>
        <v>544168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12239.886461866399</v>
      </c>
      <c r="C15" s="15">
        <f t="shared" si="2"/>
        <v>6050.2397791992998</v>
      </c>
      <c r="D15" s="15">
        <f t="shared" si="2"/>
        <v>17146.012447133799</v>
      </c>
      <c r="E15" s="15">
        <f t="shared" si="2"/>
        <v>22106.617953090397</v>
      </c>
      <c r="F15" s="15">
        <f t="shared" si="2"/>
        <v>103060.7493994102</v>
      </c>
      <c r="G15" s="15">
        <f t="shared" si="2"/>
        <v>18401.183908969702</v>
      </c>
      <c r="H15" s="15">
        <f t="shared" si="2"/>
        <v>523433.1253577185</v>
      </c>
      <c r="I15" s="15">
        <f t="shared" si="2"/>
        <v>0</v>
      </c>
      <c r="J15" s="15">
        <f t="shared" si="2"/>
        <v>702437.81530738831</v>
      </c>
      <c r="K15" s="12"/>
      <c r="L15" s="15" t="s">
        <v>4</v>
      </c>
      <c r="M15" s="15">
        <f t="shared" ref="M15:U15" si="3">SUM(M7:M14)</f>
        <v>17943</v>
      </c>
      <c r="N15" s="15">
        <f t="shared" si="3"/>
        <v>20255</v>
      </c>
      <c r="O15" s="15">
        <f t="shared" si="3"/>
        <v>22330</v>
      </c>
      <c r="P15" s="15">
        <f t="shared" si="3"/>
        <v>22835</v>
      </c>
      <c r="Q15" s="15">
        <f t="shared" si="3"/>
        <v>92621</v>
      </c>
      <c r="R15" s="15">
        <f t="shared" si="3"/>
        <v>22528</v>
      </c>
      <c r="S15" s="15">
        <f t="shared" si="3"/>
        <v>528987</v>
      </c>
      <c r="T15" s="15">
        <f t="shared" si="3"/>
        <v>0</v>
      </c>
      <c r="U15" s="15">
        <f t="shared" si="3"/>
        <v>727499</v>
      </c>
    </row>
    <row r="18" spans="1:32" ht="15.75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t="shared" ref="B20:G20" si="4">($U7/$J7)*B7</f>
        <v>13601.386249102919</v>
      </c>
      <c r="C20" s="12">
        <f t="shared" si="4"/>
        <v>3805.0206509676332</v>
      </c>
      <c r="D20" s="12">
        <f t="shared" si="4"/>
        <v>2364.8028341814052</v>
      </c>
      <c r="E20" s="12">
        <f t="shared" si="4"/>
        <v>791.99283625682835</v>
      </c>
      <c r="F20" s="12">
        <f t="shared" si="4"/>
        <v>493.16999631610975</v>
      </c>
      <c r="G20" s="12">
        <f t="shared" si="4"/>
        <v>259.41643666993087</v>
      </c>
      <c r="H20" s="12">
        <f t="shared" ref="H20" si="5">($U7/$J7)*H7</f>
        <v>2678.2109965051768</v>
      </c>
      <c r="I20" s="12"/>
      <c r="J20" s="12">
        <f>SUM(B20:I20)</f>
        <v>23994</v>
      </c>
      <c r="K20" s="12"/>
      <c r="L20" t="str">
        <f>$A$7</f>
        <v>Bellevue</v>
      </c>
      <c r="M20" s="12">
        <f t="shared" ref="M20:M26" si="6">M7</f>
        <v>10669</v>
      </c>
      <c r="N20" s="12">
        <f t="shared" ref="N20:U20" si="7">N7</f>
        <v>9094</v>
      </c>
      <c r="O20" s="12">
        <f t="shared" si="7"/>
        <v>492</v>
      </c>
      <c r="P20" s="12">
        <f t="shared" si="7"/>
        <v>1982</v>
      </c>
      <c r="Q20" s="12">
        <f t="shared" si="7"/>
        <v>245</v>
      </c>
      <c r="R20" s="12">
        <f t="shared" si="7"/>
        <v>131</v>
      </c>
      <c r="S20" s="12">
        <f t="shared" ref="S20" si="8">S7</f>
        <v>1381</v>
      </c>
      <c r="T20" s="12"/>
      <c r="U20" s="12">
        <f t="shared" si="7"/>
        <v>23994</v>
      </c>
    </row>
    <row r="21" spans="1:32" x14ac:dyDescent="0.25">
      <c r="A21" t="str">
        <f>$A$8</f>
        <v>Bellevue Downtown</v>
      </c>
      <c r="B21" s="12">
        <f t="shared" ref="B21:G26" si="9">($U8/$J8)*B8</f>
        <v>721.17930360279433</v>
      </c>
      <c r="C21" s="12">
        <f t="shared" si="9"/>
        <v>665.42903619086724</v>
      </c>
      <c r="D21" s="12">
        <f t="shared" si="9"/>
        <v>0</v>
      </c>
      <c r="E21" s="12">
        <f t="shared" si="9"/>
        <v>1363.3916602063382</v>
      </c>
      <c r="F21" s="12">
        <f t="shared" si="9"/>
        <v>0</v>
      </c>
      <c r="G21" s="12">
        <f t="shared" si="9"/>
        <v>0</v>
      </c>
      <c r="H21" s="12">
        <f t="shared" ref="H21" si="10">($U8/$J8)*H8</f>
        <v>0</v>
      </c>
      <c r="I21" s="12"/>
      <c r="J21" s="12">
        <f t="shared" ref="J21:J27" si="11">SUM(B21:I21)</f>
        <v>2750</v>
      </c>
      <c r="K21" s="12"/>
      <c r="L21" t="str">
        <f>$A$8</f>
        <v>Bellevue Downtown</v>
      </c>
      <c r="M21" s="12">
        <f t="shared" si="6"/>
        <v>362</v>
      </c>
      <c r="N21" s="12">
        <f t="shared" ref="N21:R26" si="12">N8</f>
        <v>2338</v>
      </c>
      <c r="O21" s="12">
        <f t="shared" si="12"/>
        <v>20</v>
      </c>
      <c r="P21" s="12">
        <f t="shared" si="12"/>
        <v>18</v>
      </c>
      <c r="Q21" s="12">
        <f t="shared" si="12"/>
        <v>4</v>
      </c>
      <c r="R21" s="12">
        <f t="shared" si="12"/>
        <v>4</v>
      </c>
      <c r="S21" s="12">
        <f t="shared" ref="S21" si="13">S8</f>
        <v>4</v>
      </c>
      <c r="T21" s="12"/>
      <c r="U21" s="12">
        <f t="shared" ref="U21:U26" si="14">U8</f>
        <v>2750</v>
      </c>
    </row>
    <row r="22" spans="1:32" x14ac:dyDescent="0.25">
      <c r="A22" t="str">
        <f>$A$9</f>
        <v>Kirkland</v>
      </c>
      <c r="B22" s="12">
        <f t="shared" si="9"/>
        <v>301.27949411124314</v>
      </c>
      <c r="C22" s="12">
        <f t="shared" si="9"/>
        <v>1110.9916341839878</v>
      </c>
      <c r="D22" s="12">
        <f t="shared" si="9"/>
        <v>12997.456610996669</v>
      </c>
      <c r="E22" s="12">
        <f t="shared" si="9"/>
        <v>2852.2807927331601</v>
      </c>
      <c r="F22" s="12">
        <f t="shared" si="9"/>
        <v>1131.3688308418027</v>
      </c>
      <c r="G22" s="12">
        <f t="shared" si="9"/>
        <v>0</v>
      </c>
      <c r="H22" s="12">
        <f t="shared" ref="H22" si="15">($U9/$J9)*H9</f>
        <v>2736.6226371331331</v>
      </c>
      <c r="I22" s="12"/>
      <c r="J22" s="12">
        <f t="shared" si="11"/>
        <v>21129.999999999996</v>
      </c>
      <c r="K22" s="13"/>
      <c r="L22" t="str">
        <f>$A$9</f>
        <v>Kirkland</v>
      </c>
      <c r="M22" s="12">
        <f t="shared" si="6"/>
        <v>791</v>
      </c>
      <c r="N22" s="12">
        <f t="shared" si="12"/>
        <v>1807</v>
      </c>
      <c r="O22" s="12">
        <f t="shared" si="12"/>
        <v>14230</v>
      </c>
      <c r="P22" s="12">
        <f t="shared" si="12"/>
        <v>2337</v>
      </c>
      <c r="Q22" s="12">
        <f t="shared" si="12"/>
        <v>716</v>
      </c>
      <c r="R22" s="12">
        <f t="shared" si="12"/>
        <v>55</v>
      </c>
      <c r="S22" s="12">
        <f t="shared" ref="S22" si="16">S9</f>
        <v>1194</v>
      </c>
      <c r="T22" s="12"/>
      <c r="U22" s="12">
        <f t="shared" si="14"/>
        <v>21130</v>
      </c>
    </row>
    <row r="23" spans="1:32" x14ac:dyDescent="0.25">
      <c r="A23" t="str">
        <f>$A$10</f>
        <v>Redmond</v>
      </c>
      <c r="B23" s="12">
        <f t="shared" si="9"/>
        <v>412.77276539616895</v>
      </c>
      <c r="C23" s="12">
        <f t="shared" si="9"/>
        <v>0</v>
      </c>
      <c r="D23" s="12">
        <f t="shared" si="9"/>
        <v>1255.7263368554115</v>
      </c>
      <c r="E23" s="12">
        <f t="shared" si="9"/>
        <v>14964.273402218452</v>
      </c>
      <c r="F23" s="12">
        <f t="shared" si="9"/>
        <v>0</v>
      </c>
      <c r="G23" s="12">
        <f t="shared" si="9"/>
        <v>0</v>
      </c>
      <c r="H23" s="12">
        <f t="shared" ref="H23" si="17">($U10/$J10)*H10</f>
        <v>96.22749552996747</v>
      </c>
      <c r="I23" s="12"/>
      <c r="J23" s="12">
        <f>SUM(B23:I23)</f>
        <v>16729.000000000004</v>
      </c>
      <c r="K23" s="13"/>
      <c r="L23" t="str">
        <f>$A$10</f>
        <v>Redmond</v>
      </c>
      <c r="M23" s="12">
        <f t="shared" si="6"/>
        <v>1730</v>
      </c>
      <c r="N23" s="12">
        <f t="shared" si="12"/>
        <v>887</v>
      </c>
      <c r="O23" s="12">
        <f t="shared" si="12"/>
        <v>2164</v>
      </c>
      <c r="P23" s="12">
        <f t="shared" si="12"/>
        <v>11345</v>
      </c>
      <c r="Q23" s="12">
        <f t="shared" si="12"/>
        <v>82</v>
      </c>
      <c r="R23" s="12">
        <f t="shared" si="12"/>
        <v>24</v>
      </c>
      <c r="S23" s="12">
        <f t="shared" ref="S23" si="18">S10</f>
        <v>497</v>
      </c>
      <c r="T23" s="12"/>
      <c r="U23" s="12">
        <f t="shared" si="14"/>
        <v>16729</v>
      </c>
    </row>
    <row r="24" spans="1:32" x14ac:dyDescent="0.25">
      <c r="A24" t="str">
        <f>$A$11</f>
        <v>Seattle</v>
      </c>
      <c r="B24" s="12">
        <f t="shared" si="9"/>
        <v>0</v>
      </c>
      <c r="C24" s="12">
        <f t="shared" si="9"/>
        <v>108.3792411825478</v>
      </c>
      <c r="D24" s="12">
        <f t="shared" si="9"/>
        <v>0</v>
      </c>
      <c r="E24" s="12">
        <f t="shared" si="9"/>
        <v>0</v>
      </c>
      <c r="F24" s="12">
        <f t="shared" si="9"/>
        <v>89417.745391890858</v>
      </c>
      <c r="G24" s="12">
        <f t="shared" si="9"/>
        <v>6903.2503081524956</v>
      </c>
      <c r="H24" s="12">
        <f t="shared" ref="H24" si="19">($U11/$J11)*H11</f>
        <v>8029.6250587741069</v>
      </c>
      <c r="I24" s="12"/>
      <c r="J24" s="12">
        <f t="shared" si="11"/>
        <v>104459</v>
      </c>
      <c r="K24" s="13"/>
      <c r="L24" t="str">
        <f>$A$11</f>
        <v>Seattle</v>
      </c>
      <c r="M24" s="12">
        <f t="shared" si="6"/>
        <v>660</v>
      </c>
      <c r="N24" s="12">
        <f t="shared" si="12"/>
        <v>1569</v>
      </c>
      <c r="O24" s="12">
        <f t="shared" si="12"/>
        <v>1431</v>
      </c>
      <c r="P24" s="12">
        <f t="shared" si="12"/>
        <v>350</v>
      </c>
      <c r="Q24" s="12">
        <f t="shared" si="12"/>
        <v>83957</v>
      </c>
      <c r="R24" s="12">
        <f t="shared" si="12"/>
        <v>9094</v>
      </c>
      <c r="S24" s="12">
        <f t="shared" ref="S24" si="20">S11</f>
        <v>7398</v>
      </c>
      <c r="T24" s="12"/>
      <c r="U24" s="12">
        <f t="shared" si="14"/>
        <v>104459</v>
      </c>
    </row>
    <row r="25" spans="1:32" x14ac:dyDescent="0.25">
      <c r="A25" t="str">
        <f>$A$12</f>
        <v>Seattle Downtown</v>
      </c>
      <c r="B25" s="12">
        <f t="shared" si="9"/>
        <v>80.139563677146981</v>
      </c>
      <c r="C25" s="12">
        <f t="shared" si="9"/>
        <v>0</v>
      </c>
      <c r="D25" s="12">
        <f t="shared" si="9"/>
        <v>0</v>
      </c>
      <c r="E25" s="12">
        <f t="shared" si="9"/>
        <v>0</v>
      </c>
      <c r="F25" s="12">
        <f t="shared" si="9"/>
        <v>4942.8516696110892</v>
      </c>
      <c r="G25" s="12">
        <f t="shared" si="9"/>
        <v>9085.2821648908193</v>
      </c>
      <c r="H25" s="12">
        <f t="shared" ref="H25:H26" si="21">($U12/$J12)*H12</f>
        <v>160.72660182094464</v>
      </c>
      <c r="I25" s="12"/>
      <c r="J25" s="12">
        <f t="shared" si="11"/>
        <v>14269</v>
      </c>
      <c r="K25" s="13"/>
      <c r="L25" t="str">
        <f>$A$12</f>
        <v>Seattle Downtown</v>
      </c>
      <c r="M25" s="12">
        <f t="shared" si="6"/>
        <v>44</v>
      </c>
      <c r="N25" s="12">
        <f t="shared" si="12"/>
        <v>112</v>
      </c>
      <c r="O25" s="12">
        <f t="shared" si="12"/>
        <v>16</v>
      </c>
      <c r="P25" s="12">
        <f t="shared" si="12"/>
        <v>7</v>
      </c>
      <c r="Q25" s="12">
        <f t="shared" si="12"/>
        <v>1529</v>
      </c>
      <c r="R25" s="12">
        <f t="shared" si="12"/>
        <v>12461</v>
      </c>
      <c r="S25" s="12">
        <f t="shared" ref="S25:S26" si="22">S12</f>
        <v>100</v>
      </c>
      <c r="T25" s="12"/>
      <c r="U25" s="12">
        <f t="shared" si="14"/>
        <v>14269</v>
      </c>
    </row>
    <row r="26" spans="1:32" x14ac:dyDescent="0.25">
      <c r="A26" t="str">
        <f>$A$13</f>
        <v>Rest</v>
      </c>
      <c r="B26" s="12">
        <f t="shared" si="9"/>
        <v>805.43873624949867</v>
      </c>
      <c r="C26" s="12">
        <f t="shared" si="9"/>
        <v>1662.7993949193008</v>
      </c>
      <c r="D26" s="12">
        <f t="shared" si="9"/>
        <v>1059.0647831785145</v>
      </c>
      <c r="E26" s="12">
        <f t="shared" si="9"/>
        <v>282.58528803781508</v>
      </c>
      <c r="F26" s="12">
        <f t="shared" si="9"/>
        <v>7427.2233946898596</v>
      </c>
      <c r="G26" s="12">
        <f t="shared" si="9"/>
        <v>3225.1951135070444</v>
      </c>
      <c r="H26" s="12">
        <f t="shared" si="21"/>
        <v>529705.69328941801</v>
      </c>
      <c r="I26" s="12"/>
      <c r="J26" s="12">
        <f t="shared" si="11"/>
        <v>544168</v>
      </c>
      <c r="K26" s="13"/>
      <c r="L26" t="str">
        <f>$A$13</f>
        <v>Rest</v>
      </c>
      <c r="M26" s="12">
        <f t="shared" si="6"/>
        <v>3687</v>
      </c>
      <c r="N26" s="12">
        <f t="shared" si="12"/>
        <v>4448</v>
      </c>
      <c r="O26" s="12">
        <f t="shared" si="12"/>
        <v>3977</v>
      </c>
      <c r="P26" s="12">
        <f t="shared" si="12"/>
        <v>6796</v>
      </c>
      <c r="Q26" s="12">
        <f t="shared" si="12"/>
        <v>6088</v>
      </c>
      <c r="R26" s="12">
        <f t="shared" si="12"/>
        <v>759</v>
      </c>
      <c r="S26" s="12">
        <f t="shared" si="22"/>
        <v>518413</v>
      </c>
      <c r="T26" s="12"/>
      <c r="U26" s="12">
        <f t="shared" si="14"/>
        <v>544168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11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23">SUM(B20:B27)</f>
        <v>15922.196112139769</v>
      </c>
      <c r="C28" s="15">
        <f t="shared" si="23"/>
        <v>7352.6199574443372</v>
      </c>
      <c r="D28" s="15">
        <f t="shared" si="23"/>
        <v>17677.050565212001</v>
      </c>
      <c r="E28" s="15">
        <f t="shared" si="23"/>
        <v>20254.523979452595</v>
      </c>
      <c r="F28" s="15">
        <f t="shared" si="23"/>
        <v>103412.35928334972</v>
      </c>
      <c r="G28" s="15">
        <f t="shared" si="23"/>
        <v>19473.144023220291</v>
      </c>
      <c r="H28" s="15">
        <f t="shared" si="23"/>
        <v>543407.10607918131</v>
      </c>
      <c r="I28" s="15">
        <f t="shared" si="23"/>
        <v>0</v>
      </c>
      <c r="J28" s="15">
        <f t="shared" si="23"/>
        <v>727499</v>
      </c>
      <c r="K28" s="12"/>
      <c r="L28" s="15" t="s">
        <v>4</v>
      </c>
      <c r="M28" s="15">
        <f t="shared" ref="M28:U28" si="24">M15</f>
        <v>17943</v>
      </c>
      <c r="N28" s="15">
        <f t="shared" si="24"/>
        <v>20255</v>
      </c>
      <c r="O28" s="15">
        <f t="shared" si="24"/>
        <v>22330</v>
      </c>
      <c r="P28" s="15">
        <f t="shared" si="24"/>
        <v>22835</v>
      </c>
      <c r="Q28" s="15">
        <f t="shared" si="24"/>
        <v>92621</v>
      </c>
      <c r="R28" s="15">
        <f t="shared" si="24"/>
        <v>22528</v>
      </c>
      <c r="S28" s="15">
        <f t="shared" si="24"/>
        <v>528987</v>
      </c>
      <c r="T28" s="15">
        <f t="shared" si="24"/>
        <v>0</v>
      </c>
      <c r="U28" s="15">
        <f t="shared" si="24"/>
        <v>727499</v>
      </c>
    </row>
    <row r="31" spans="1:32" ht="15.75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t="shared" ref="B33:J39" si="25">B20/$J$28</f>
        <v>1.8696089271741843E-2</v>
      </c>
      <c r="C33" s="16">
        <f t="shared" si="25"/>
        <v>5.2302761254209738E-3</v>
      </c>
      <c r="D33" s="16">
        <f t="shared" si="25"/>
        <v>3.2505925563903254E-3</v>
      </c>
      <c r="E33" s="16">
        <f t="shared" si="25"/>
        <v>1.0886514431728818E-3</v>
      </c>
      <c r="F33" s="16">
        <f t="shared" si="25"/>
        <v>6.7789783397105661E-4</v>
      </c>
      <c r="G33" s="16">
        <f t="shared" si="25"/>
        <v>3.5658665739737221E-4</v>
      </c>
      <c r="H33" s="16">
        <f t="shared" ref="H33" si="26">H20/$J$28</f>
        <v>3.6813947462541897E-3</v>
      </c>
      <c r="I33" s="16"/>
      <c r="J33" s="16">
        <f t="shared" ref="J33:J38" si="27">J20/$J$28</f>
        <v>3.2981488634348639E-2</v>
      </c>
      <c r="K33" s="12"/>
      <c r="L33" t="str">
        <f>$A$7</f>
        <v>Bellevue</v>
      </c>
      <c r="M33" s="16">
        <f t="shared" ref="M33:R33" si="28">M20/$U$28</f>
        <v>1.4665312254724748E-2</v>
      </c>
      <c r="N33" s="16">
        <f t="shared" si="28"/>
        <v>1.2500360825238248E-2</v>
      </c>
      <c r="O33" s="16">
        <f t="shared" si="28"/>
        <v>6.762895894014975E-4</v>
      </c>
      <c r="P33" s="16">
        <f t="shared" si="28"/>
        <v>2.7244023703125366E-3</v>
      </c>
      <c r="Q33" s="16">
        <f t="shared" si="28"/>
        <v>3.3677022236456683E-4</v>
      </c>
      <c r="R33" s="16">
        <f t="shared" si="28"/>
        <v>1.800689760398296E-4</v>
      </c>
      <c r="S33" s="16">
        <f t="shared" ref="S33" si="29">S20/$U$28</f>
        <v>1.8982843962672114E-3</v>
      </c>
      <c r="T33" s="16"/>
      <c r="U33" s="16">
        <f t="shared" ref="U33:U39" si="30">U20/$U$28</f>
        <v>3.2981488634348639E-2</v>
      </c>
      <c r="W33" t="str">
        <f>$A$7</f>
        <v>Bellevue</v>
      </c>
      <c r="X33" s="16">
        <f t="shared" ref="X33:AD33" si="31">M33-B33</f>
        <v>-4.0307770170170953E-3</v>
      </c>
      <c r="Y33" s="16">
        <f t="shared" si="31"/>
        <v>7.270084699817274E-3</v>
      </c>
      <c r="Z33" s="16">
        <f t="shared" si="31"/>
        <v>-2.5743029669888281E-3</v>
      </c>
      <c r="AA33" s="16">
        <f t="shared" si="31"/>
        <v>1.6357509271396548E-3</v>
      </c>
      <c r="AB33" s="16">
        <f t="shared" si="31"/>
        <v>-3.4112761160648978E-4</v>
      </c>
      <c r="AC33" s="16">
        <f t="shared" si="31"/>
        <v>-1.765176813575426E-4</v>
      </c>
      <c r="AD33" s="16">
        <f t="shared" si="31"/>
        <v>-1.7831103499869783E-3</v>
      </c>
      <c r="AE33" s="16"/>
      <c r="AF33" s="16">
        <f t="shared" ref="AF33:AF39" si="32">U33-J33</f>
        <v>0</v>
      </c>
    </row>
    <row r="34" spans="1:32" x14ac:dyDescent="0.25">
      <c r="A34" t="str">
        <f>$A$8</f>
        <v>Bellevue Downtown</v>
      </c>
      <c r="B34" s="16">
        <f t="shared" si="25"/>
        <v>9.9131312015933253E-4</v>
      </c>
      <c r="C34" s="16">
        <f t="shared" si="25"/>
        <v>9.1468034484015401E-4</v>
      </c>
      <c r="D34" s="16">
        <f t="shared" si="25"/>
        <v>0</v>
      </c>
      <c r="E34" s="16">
        <f t="shared" si="25"/>
        <v>1.874080459500753E-3</v>
      </c>
      <c r="F34" s="16">
        <f t="shared" si="25"/>
        <v>0</v>
      </c>
      <c r="G34" s="16">
        <f t="shared" ref="G34:H34" si="33">G21/$J$28</f>
        <v>0</v>
      </c>
      <c r="H34" s="16">
        <f t="shared" si="33"/>
        <v>0</v>
      </c>
      <c r="I34" s="16"/>
      <c r="J34" s="16">
        <f t="shared" si="27"/>
        <v>3.7800739245002399E-3</v>
      </c>
      <c r="K34" s="12"/>
      <c r="L34" t="str">
        <f>$A$8</f>
        <v>Bellevue Downtown</v>
      </c>
      <c r="M34" s="16">
        <f t="shared" ref="M34:R39" si="34">M21/$U$28</f>
        <v>4.9759518569784977E-4</v>
      </c>
      <c r="N34" s="16">
        <f t="shared" si="34"/>
        <v>3.2137501219932948E-3</v>
      </c>
      <c r="O34" s="16">
        <f t="shared" si="34"/>
        <v>2.7491446723638107E-5</v>
      </c>
      <c r="P34" s="16">
        <f t="shared" si="34"/>
        <v>2.4742302051274297E-5</v>
      </c>
      <c r="Q34" s="16">
        <f t="shared" si="34"/>
        <v>5.4982893447276215E-6</v>
      </c>
      <c r="R34" s="16">
        <f t="shared" si="34"/>
        <v>5.4982893447276215E-6</v>
      </c>
      <c r="S34" s="16">
        <f t="shared" ref="S34" si="35">S21/$U$28</f>
        <v>5.4982893447276215E-6</v>
      </c>
      <c r="T34" s="16"/>
      <c r="U34" s="16">
        <f t="shared" si="30"/>
        <v>3.7800739245002399E-3</v>
      </c>
      <c r="W34" t="str">
        <f>$A$8</f>
        <v>Bellevue Downtown</v>
      </c>
      <c r="X34" s="16">
        <f t="shared" ref="X34:X38" si="36">M34-B34</f>
        <v>-4.9371793446148276E-4</v>
      </c>
      <c r="Y34" s="16">
        <f t="shared" ref="Y34:AD38" si="37">N34-C34</f>
        <v>2.2990697771531408E-3</v>
      </c>
      <c r="Z34" s="16">
        <f t="shared" si="37"/>
        <v>2.7491446723638107E-5</v>
      </c>
      <c r="AA34" s="16">
        <f t="shared" si="37"/>
        <v>-1.8493381574494787E-3</v>
      </c>
      <c r="AB34" s="16">
        <f t="shared" si="37"/>
        <v>5.4982893447276215E-6</v>
      </c>
      <c r="AC34" s="16">
        <f t="shared" si="37"/>
        <v>5.4982893447276215E-6</v>
      </c>
      <c r="AD34" s="16">
        <f t="shared" si="37"/>
        <v>5.4982893447276215E-6</v>
      </c>
      <c r="AE34" s="16"/>
      <c r="AF34" s="16">
        <f t="shared" si="32"/>
        <v>0</v>
      </c>
    </row>
    <row r="35" spans="1:32" x14ac:dyDescent="0.25">
      <c r="A35" t="str">
        <f>$A$9</f>
        <v>Kirkland</v>
      </c>
      <c r="B35" s="16">
        <f t="shared" si="25"/>
        <v>4.1413045806419407E-4</v>
      </c>
      <c r="C35" s="16">
        <f t="shared" si="25"/>
        <v>1.5271383660788369E-3</v>
      </c>
      <c r="D35" s="16">
        <f t="shared" si="25"/>
        <v>1.7865944298200643E-2</v>
      </c>
      <c r="E35" s="16">
        <f t="shared" si="25"/>
        <v>3.920666272713997E-3</v>
      </c>
      <c r="F35" s="16">
        <f t="shared" si="25"/>
        <v>1.5551482968936077E-3</v>
      </c>
      <c r="G35" s="16">
        <f t="shared" ref="G35:H35" si="38">G22/$J$28</f>
        <v>0</v>
      </c>
      <c r="H35" s="16">
        <f t="shared" si="38"/>
        <v>3.7616857715723775E-3</v>
      </c>
      <c r="I35" s="16"/>
      <c r="J35" s="16">
        <f t="shared" si="27"/>
        <v>2.9044713463523657E-2</v>
      </c>
      <c r="K35" s="13"/>
      <c r="L35" t="str">
        <f>$A$9</f>
        <v>Kirkland</v>
      </c>
      <c r="M35" s="16">
        <f t="shared" si="34"/>
        <v>1.0872867179198872E-3</v>
      </c>
      <c r="N35" s="16">
        <f t="shared" si="34"/>
        <v>2.4838522114807031E-3</v>
      </c>
      <c r="O35" s="16">
        <f t="shared" si="34"/>
        <v>1.9560164343868515E-2</v>
      </c>
      <c r="P35" s="16">
        <f t="shared" si="34"/>
        <v>3.2123755496571127E-3</v>
      </c>
      <c r="Q35" s="16">
        <f t="shared" si="34"/>
        <v>9.8419379270624436E-4</v>
      </c>
      <c r="R35" s="16">
        <f t="shared" si="34"/>
        <v>7.5601478490004804E-5</v>
      </c>
      <c r="S35" s="16">
        <f t="shared" ref="S35" si="39">S22/$U$28</f>
        <v>1.641239369401195E-3</v>
      </c>
      <c r="T35" s="16"/>
      <c r="U35" s="16">
        <f t="shared" si="30"/>
        <v>2.904471346352366E-2</v>
      </c>
      <c r="W35" t="str">
        <f>$A$9</f>
        <v>Kirkland</v>
      </c>
      <c r="X35" s="16">
        <f t="shared" si="36"/>
        <v>6.7315625985569312E-4</v>
      </c>
      <c r="Y35" s="16">
        <f t="shared" si="37"/>
        <v>9.5671384540186623E-4</v>
      </c>
      <c r="Z35" s="16">
        <f t="shared" si="37"/>
        <v>1.694220045667872E-3</v>
      </c>
      <c r="AA35" s="16">
        <f t="shared" si="37"/>
        <v>-7.0829072305688421E-4</v>
      </c>
      <c r="AB35" s="16">
        <f t="shared" si="37"/>
        <v>-5.7095450418736334E-4</v>
      </c>
      <c r="AC35" s="16">
        <f t="shared" si="37"/>
        <v>7.5601478490004804E-5</v>
      </c>
      <c r="AD35" s="16">
        <f t="shared" si="37"/>
        <v>-2.1204464021711824E-3</v>
      </c>
      <c r="AE35" s="16"/>
      <c r="AF35" s="16">
        <f t="shared" si="32"/>
        <v>0</v>
      </c>
    </row>
    <row r="36" spans="1:32" x14ac:dyDescent="0.25">
      <c r="A36" t="str">
        <f>$A$10</f>
        <v>Redmond</v>
      </c>
      <c r="B36" s="16">
        <f t="shared" si="25"/>
        <v>5.6738602444287754E-4</v>
      </c>
      <c r="C36" s="16">
        <f t="shared" si="25"/>
        <v>0</v>
      </c>
      <c r="D36" s="16">
        <f t="shared" si="25"/>
        <v>1.7260866844564893E-3</v>
      </c>
      <c r="E36" s="16">
        <f t="shared" si="25"/>
        <v>2.0569476249752167E-2</v>
      </c>
      <c r="F36" s="16">
        <f t="shared" si="25"/>
        <v>0</v>
      </c>
      <c r="G36" s="16">
        <f t="shared" ref="G36:H36" si="40">G23/$J$28</f>
        <v>0</v>
      </c>
      <c r="H36" s="16">
        <f t="shared" si="40"/>
        <v>1.3227165333556124E-4</v>
      </c>
      <c r="I36" s="16"/>
      <c r="J36" s="16">
        <f t="shared" si="27"/>
        <v>2.29952206119871E-2</v>
      </c>
      <c r="K36" s="13"/>
      <c r="L36" t="str">
        <f>$A$10</f>
        <v>Redmond</v>
      </c>
      <c r="M36" s="16">
        <f t="shared" si="34"/>
        <v>2.3780101415946963E-3</v>
      </c>
      <c r="N36" s="16">
        <f t="shared" si="34"/>
        <v>1.2192456621933502E-3</v>
      </c>
      <c r="O36" s="16">
        <f t="shared" si="34"/>
        <v>2.9745745354976434E-3</v>
      </c>
      <c r="P36" s="16">
        <f t="shared" si="34"/>
        <v>1.5594523153983717E-2</v>
      </c>
      <c r="Q36" s="16">
        <f t="shared" si="34"/>
        <v>1.1271493156691624E-4</v>
      </c>
      <c r="R36" s="16">
        <f t="shared" si="34"/>
        <v>3.2989736068365729E-5</v>
      </c>
      <c r="S36" s="16">
        <f t="shared" ref="S36" si="41">S23/$U$28</f>
        <v>6.8316245108240696E-4</v>
      </c>
      <c r="T36" s="16"/>
      <c r="U36" s="16">
        <f t="shared" si="30"/>
        <v>2.2995220611987097E-2</v>
      </c>
      <c r="W36" t="str">
        <f>$A$10</f>
        <v>Redmond</v>
      </c>
      <c r="X36" s="16">
        <f t="shared" si="36"/>
        <v>1.8106241171518189E-3</v>
      </c>
      <c r="Y36" s="16">
        <f t="shared" si="37"/>
        <v>1.2192456621933502E-3</v>
      </c>
      <c r="Z36" s="16">
        <f t="shared" si="37"/>
        <v>1.2484878510411542E-3</v>
      </c>
      <c r="AA36" s="16">
        <f t="shared" si="37"/>
        <v>-4.9749530957684494E-3</v>
      </c>
      <c r="AB36" s="16">
        <f t="shared" si="37"/>
        <v>1.1271493156691624E-4</v>
      </c>
      <c r="AC36" s="16">
        <f t="shared" si="37"/>
        <v>3.2989736068365729E-5</v>
      </c>
      <c r="AD36" s="16">
        <f t="shared" si="37"/>
        <v>5.5089079774684575E-4</v>
      </c>
      <c r="AE36" s="16"/>
      <c r="AF36" s="16">
        <f t="shared" si="32"/>
        <v>0</v>
      </c>
    </row>
    <row r="37" spans="1:32" x14ac:dyDescent="0.25">
      <c r="A37" t="str">
        <f>$A$11</f>
        <v>Seattle</v>
      </c>
      <c r="B37" s="16">
        <f t="shared" si="25"/>
        <v>0</v>
      </c>
      <c r="C37" s="16">
        <f t="shared" si="25"/>
        <v>1.489751067459169E-4</v>
      </c>
      <c r="D37" s="16">
        <f t="shared" si="25"/>
        <v>0</v>
      </c>
      <c r="E37" s="16">
        <f t="shared" si="25"/>
        <v>0</v>
      </c>
      <c r="F37" s="16">
        <f t="shared" si="25"/>
        <v>0.12291115917945022</v>
      </c>
      <c r="G37" s="16">
        <f t="shared" ref="G37:H37" si="42">G24/$J$28</f>
        <v>9.4890169033256342E-3</v>
      </c>
      <c r="H37" s="16">
        <f t="shared" si="42"/>
        <v>1.1037300475703893E-2</v>
      </c>
      <c r="I37" s="16"/>
      <c r="J37" s="16">
        <f t="shared" si="27"/>
        <v>0.14358645166522566</v>
      </c>
      <c r="K37" s="13"/>
      <c r="L37" t="str">
        <f>$A$11</f>
        <v>Seattle</v>
      </c>
      <c r="M37" s="16">
        <f t="shared" si="34"/>
        <v>9.0721774188005759E-4</v>
      </c>
      <c r="N37" s="16">
        <f t="shared" si="34"/>
        <v>2.1567039954694094E-3</v>
      </c>
      <c r="O37" s="16">
        <f t="shared" si="34"/>
        <v>1.9670130130763066E-3</v>
      </c>
      <c r="P37" s="16">
        <f t="shared" si="34"/>
        <v>4.8110031766366689E-4</v>
      </c>
      <c r="Q37" s="16">
        <f t="shared" si="34"/>
        <v>0.11540496962882424</v>
      </c>
      <c r="R37" s="16">
        <f t="shared" si="34"/>
        <v>1.2500360825238248E-2</v>
      </c>
      <c r="S37" s="16">
        <f t="shared" ref="S37" si="43">S24/$U$28</f>
        <v>1.0169086143073736E-2</v>
      </c>
      <c r="T37" s="16"/>
      <c r="U37" s="16">
        <f t="shared" si="30"/>
        <v>0.14358645166522566</v>
      </c>
      <c r="W37" t="str">
        <f>$A$11</f>
        <v>Seattle</v>
      </c>
      <c r="X37" s="16">
        <f t="shared" si="36"/>
        <v>9.0721774188005759E-4</v>
      </c>
      <c r="Y37" s="16">
        <f t="shared" si="37"/>
        <v>2.0077288887234927E-3</v>
      </c>
      <c r="Z37" s="16">
        <f t="shared" si="37"/>
        <v>1.9670130130763066E-3</v>
      </c>
      <c r="AA37" s="16">
        <f t="shared" si="37"/>
        <v>4.8110031766366689E-4</v>
      </c>
      <c r="AB37" s="16">
        <f t="shared" si="37"/>
        <v>-7.5061895506259857E-3</v>
      </c>
      <c r="AC37" s="16">
        <f t="shared" si="37"/>
        <v>3.0113439219126136E-3</v>
      </c>
      <c r="AD37" s="16">
        <f t="shared" si="37"/>
        <v>-8.6821433263015689E-4</v>
      </c>
      <c r="AE37" s="16"/>
      <c r="AF37" s="16">
        <f t="shared" si="32"/>
        <v>0</v>
      </c>
    </row>
    <row r="38" spans="1:32" x14ac:dyDescent="0.25">
      <c r="A38" t="str">
        <f>$A$12</f>
        <v>Seattle Downtown</v>
      </c>
      <c r="B38" s="16">
        <f t="shared" si="25"/>
        <v>1.101576272642945E-4</v>
      </c>
      <c r="C38" s="16">
        <f t="shared" si="25"/>
        <v>0</v>
      </c>
      <c r="D38" s="16">
        <f t="shared" si="25"/>
        <v>0</v>
      </c>
      <c r="E38" s="16">
        <f t="shared" si="25"/>
        <v>0</v>
      </c>
      <c r="F38" s="16">
        <f t="shared" si="25"/>
        <v>6.7943071668979463E-3</v>
      </c>
      <c r="G38" s="16">
        <f t="shared" ref="G38:H39" si="44">G25/$J$28</f>
        <v>1.2488377530265772E-2</v>
      </c>
      <c r="H38" s="16">
        <f t="shared" si="44"/>
        <v>2.2093034055159475E-4</v>
      </c>
      <c r="I38" s="16"/>
      <c r="J38" s="16">
        <f t="shared" si="27"/>
        <v>1.9613772664979608E-2</v>
      </c>
      <c r="K38" s="13"/>
      <c r="L38" t="str">
        <f>$A$12</f>
        <v>Seattle Downtown</v>
      </c>
      <c r="M38" s="16">
        <f t="shared" si="34"/>
        <v>6.0481182792003836E-5</v>
      </c>
      <c r="N38" s="16">
        <f t="shared" si="34"/>
        <v>1.539521016523734E-4</v>
      </c>
      <c r="O38" s="16">
        <f t="shared" si="34"/>
        <v>2.1993157378910486E-5</v>
      </c>
      <c r="P38" s="16">
        <f t="shared" si="34"/>
        <v>9.6220063532733375E-6</v>
      </c>
      <c r="Q38" s="16">
        <f t="shared" si="34"/>
        <v>2.1017211020221333E-3</v>
      </c>
      <c r="R38" s="16">
        <f t="shared" si="34"/>
        <v>1.7128545881162725E-2</v>
      </c>
      <c r="S38" s="16">
        <f t="shared" ref="S38:S39" si="45">S25/$U$28</f>
        <v>1.3745723361819053E-4</v>
      </c>
      <c r="T38" s="16"/>
      <c r="U38" s="16">
        <f t="shared" si="30"/>
        <v>1.9613772664979608E-2</v>
      </c>
      <c r="W38" t="str">
        <f>$A$12</f>
        <v>Seattle Downtown</v>
      </c>
      <c r="X38" s="16">
        <f t="shared" si="36"/>
        <v>-4.9676444472290662E-5</v>
      </c>
      <c r="Y38" s="16">
        <f t="shared" si="37"/>
        <v>1.539521016523734E-4</v>
      </c>
      <c r="Z38" s="16">
        <f t="shared" si="37"/>
        <v>2.1993157378910486E-5</v>
      </c>
      <c r="AA38" s="16">
        <f t="shared" si="37"/>
        <v>9.6220063532733375E-6</v>
      </c>
      <c r="AB38" s="16">
        <f t="shared" si="37"/>
        <v>-4.6925860648758134E-3</v>
      </c>
      <c r="AC38" s="16">
        <f t="shared" si="37"/>
        <v>4.6401683508969522E-3</v>
      </c>
      <c r="AD38" s="16">
        <f t="shared" si="37"/>
        <v>-8.3473106933404221E-5</v>
      </c>
      <c r="AE38" s="16"/>
      <c r="AF38" s="16">
        <f t="shared" si="32"/>
        <v>0</v>
      </c>
    </row>
    <row r="39" spans="1:32" x14ac:dyDescent="0.25">
      <c r="A39" t="str">
        <f>$A$13</f>
        <v>Rest</v>
      </c>
      <c r="B39" s="16">
        <f t="shared" si="25"/>
        <v>1.1071338053378749E-3</v>
      </c>
      <c r="C39" s="16">
        <f t="shared" si="25"/>
        <v>2.285638048876082E-3</v>
      </c>
      <c r="D39" s="16">
        <f t="shared" si="25"/>
        <v>1.4557611531816738E-3</v>
      </c>
      <c r="E39" s="16">
        <f t="shared" si="25"/>
        <v>3.8843391954877614E-4</v>
      </c>
      <c r="F39" s="16">
        <f t="shared" si="25"/>
        <v>1.0209255812983742E-2</v>
      </c>
      <c r="G39" s="16">
        <f t="shared" si="44"/>
        <v>4.4332639818158437E-3</v>
      </c>
      <c r="H39" s="16">
        <f t="shared" si="44"/>
        <v>0.72811879231369114</v>
      </c>
      <c r="I39" s="16"/>
      <c r="J39" s="16">
        <f t="shared" si="25"/>
        <v>0.74799827903543514</v>
      </c>
      <c r="K39" s="13"/>
      <c r="L39" t="str">
        <f>$A$13</f>
        <v>Rest</v>
      </c>
      <c r="M39" s="16">
        <f t="shared" si="34"/>
        <v>5.0680482035026855E-3</v>
      </c>
      <c r="N39" s="16">
        <f t="shared" si="34"/>
        <v>6.1140977513371155E-3</v>
      </c>
      <c r="O39" s="16">
        <f t="shared" si="34"/>
        <v>5.4666741809954377E-3</v>
      </c>
      <c r="P39" s="16">
        <f t="shared" si="34"/>
        <v>9.3415935966922291E-3</v>
      </c>
      <c r="Q39" s="16">
        <f t="shared" si="34"/>
        <v>8.3683963826754401E-3</v>
      </c>
      <c r="R39" s="16">
        <f t="shared" si="34"/>
        <v>1.0433004031620663E-3</v>
      </c>
      <c r="S39" s="16">
        <f t="shared" si="45"/>
        <v>0.71259616851707008</v>
      </c>
      <c r="T39" s="16"/>
      <c r="U39" s="16">
        <f t="shared" si="30"/>
        <v>0.74799827903543514</v>
      </c>
      <c r="W39" t="str">
        <f>$A$13</f>
        <v>Rest</v>
      </c>
      <c r="X39" s="16">
        <f t="shared" ref="X39" si="46">M39-B39</f>
        <v>3.9609143981648104E-3</v>
      </c>
      <c r="Y39" s="16">
        <f t="shared" ref="Y39" si="47">N39-C39</f>
        <v>3.8284597024610336E-3</v>
      </c>
      <c r="Z39" s="16">
        <f t="shared" ref="Z39" si="48">O39-D39</f>
        <v>4.0109130278137639E-3</v>
      </c>
      <c r="AA39" s="16">
        <f t="shared" ref="AA39" si="49">P39-E39</f>
        <v>8.9531596771434529E-3</v>
      </c>
      <c r="AB39" s="16">
        <f t="shared" ref="AB39" si="50">Q39-F39</f>
        <v>-1.8408594303083014E-3</v>
      </c>
      <c r="AC39" s="16">
        <f t="shared" ref="AC39" si="51">R39-G39</f>
        <v>-3.3899635786537774E-3</v>
      </c>
      <c r="AD39" s="16">
        <f t="shared" ref="AD39" si="52">S39-H39</f>
        <v>-1.552262379662106E-2</v>
      </c>
      <c r="AE39" s="16"/>
      <c r="AF39" s="16">
        <f t="shared" si="32"/>
        <v>0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>
        <f>J27/$J$28</f>
        <v>0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ref="B41:H41" si="53">B28/$J$28</f>
        <v>2.1886210307010413E-2</v>
      </c>
      <c r="C41" s="18">
        <f t="shared" si="53"/>
        <v>1.0106707991961965E-2</v>
      </c>
      <c r="D41" s="18">
        <f t="shared" si="53"/>
        <v>2.4298384692229131E-2</v>
      </c>
      <c r="E41" s="18">
        <f t="shared" si="53"/>
        <v>2.7841308344688578E-2</v>
      </c>
      <c r="F41" s="18">
        <f t="shared" si="53"/>
        <v>0.1421477682901966</v>
      </c>
      <c r="G41" s="18">
        <f t="shared" si="53"/>
        <v>2.6767245072804625E-2</v>
      </c>
      <c r="H41" s="18">
        <f t="shared" si="53"/>
        <v>0.7469523753011087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2.4663951428111928E-2</v>
      </c>
      <c r="N41" s="18">
        <f>N28/$U$28</f>
        <v>2.7841962669364492E-2</v>
      </c>
      <c r="O41" s="18">
        <f>O28/$U$28</f>
        <v>3.0694200266941949E-2</v>
      </c>
      <c r="P41" s="18">
        <f>P28/$U$28</f>
        <v>3.1388359296713811E-2</v>
      </c>
      <c r="Q41" s="18">
        <f t="shared" ref="Q41:S41" si="54">Q28/$U$28</f>
        <v>0.12731426434950427</v>
      </c>
      <c r="R41" s="18">
        <f t="shared" si="54"/>
        <v>3.0966365589505964E-2</v>
      </c>
      <c r="S41" s="18">
        <f t="shared" si="54"/>
        <v>0.72713089639985762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55">M41-B41</f>
        <v>2.7777411211015145E-3</v>
      </c>
      <c r="Y41" s="18">
        <f t="shared" si="55"/>
        <v>1.7735254677402529E-2</v>
      </c>
      <c r="Z41" s="18">
        <f t="shared" si="55"/>
        <v>6.3958155747128181E-3</v>
      </c>
      <c r="AA41" s="18">
        <f t="shared" si="55"/>
        <v>3.5470509520252325E-3</v>
      </c>
      <c r="AB41" s="18">
        <f t="shared" si="55"/>
        <v>-1.4833503940692327E-2</v>
      </c>
      <c r="AC41" s="18">
        <f t="shared" si="55"/>
        <v>4.1991205167013386E-3</v>
      </c>
      <c r="AD41" s="18">
        <f t="shared" si="55"/>
        <v>-1.9821478901251077E-2</v>
      </c>
      <c r="AE41" s="18">
        <f t="shared" si="55"/>
        <v>0</v>
      </c>
      <c r="AF41" s="18">
        <f t="shared" si="5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5" workbookViewId="0">
      <selection activeCell="B39" sqref="B39"/>
    </sheetView>
  </sheetViews>
  <sheetFormatPr defaultRowHeight="15" x14ac:dyDescent="0.25"/>
  <cols>
    <col min="2" max="2" width="10.7109375" customWidth="1" collapsed="1"/>
    <col min="3" max="3" width="13.7109375" customWidth="1" collapsed="1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25">
      <c r="A10" t="s">
        <v>241</v>
      </c>
    </row>
    <row r="11" spans="1:11" x14ac:dyDescent="0.2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2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2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2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2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2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2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2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2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2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2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2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2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2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2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2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2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2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2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2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2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abSelected="1" topLeftCell="F1" workbookViewId="0">
      <selection activeCell="T18" sqref="T18"/>
    </sheetView>
  </sheetViews>
  <sheetFormatPr defaultColWidth="9.140625" defaultRowHeight="15" x14ac:dyDescent="0.25"/>
  <cols>
    <col min="1" max="2" width="9.140625" style="296" collapsed="1"/>
    <col min="3" max="3" width="12.7109375" style="296" bestFit="1" customWidth="1" collapsed="1"/>
    <col min="4" max="4" width="18.85546875" style="295" customWidth="1" collapsed="1"/>
    <col min="5" max="5" width="6.7109375" style="296" customWidth="1" collapsed="1"/>
    <col min="6" max="6" width="12.7109375" style="296" customWidth="1" collapsed="1"/>
    <col min="7" max="8" width="18.85546875" style="295" customWidth="1" collapsed="1"/>
    <col min="9" max="9" width="6.5703125" style="295" customWidth="1" collapsed="1"/>
    <col min="10" max="10" width="10.140625" style="295" customWidth="1" collapsed="1"/>
    <col min="11" max="11" width="9.85546875" style="295" customWidth="1" collapsed="1"/>
    <col min="12" max="14" width="9.140625" style="296" collapsed="1"/>
    <col min="15" max="15" width="13" style="296" customWidth="1" collapsed="1"/>
    <col min="16" max="16" width="19.5703125" style="298" customWidth="1" collapsed="1"/>
    <col min="17" max="17" width="19.5703125" style="334" customWidth="1" collapsed="1"/>
    <col min="18" max="18" width="9.140625" style="296" collapsed="1"/>
    <col min="19" max="19" width="9.140625" style="296" customWidth="1" collapsed="1"/>
    <col min="20" max="16384" width="9.140625" style="296" collapsed="1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r="2" spans="3:24" ht="15.75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23418.229396264702</v>
      </c>
      <c r="F4" s="302" t="s">
        <v>48</v>
      </c>
      <c r="G4" s="303">
        <f>TLFD!F11</f>
        <v>114820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126014.50383084279</v>
      </c>
      <c r="F5" s="305" t="s">
        <v>51</v>
      </c>
      <c r="G5" s="306">
        <f>TLFD!F12+TLFD!F13+(TLFD!F14/2)</f>
        <v>164431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t="shared" ref="Q5:Q68" si="0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461518.92626112088</v>
      </c>
      <c r="F6" s="305" t="s">
        <v>54</v>
      </c>
      <c r="G6" s="306">
        <f>(TLFD!F14/2)+SUM(TLFD!F15:F20)</f>
        <v>359998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t="shared" si="0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82053.96864513692</v>
      </c>
      <c r="F7" s="308" t="s">
        <v>57</v>
      </c>
      <c r="G7" s="309">
        <f>SUM(TLFD!F21:F101)</f>
        <v>88577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t="shared" si="0"/>
        <v>-0.34490013167299999</v>
      </c>
      <c r="T7" s="321">
        <v>5</v>
      </c>
      <c r="U7" s="321" t="s">
        <v>270</v>
      </c>
      <c r="V7" s="321"/>
      <c r="W7" s="321"/>
      <c r="X7" s="321"/>
    </row>
    <row r="8" spans="3:24" ht="15.75" thickBot="1" x14ac:dyDescent="0.3">
      <c r="C8" s="311" t="s">
        <v>4</v>
      </c>
      <c r="D8" s="312">
        <f>SUM(D4:D7)</f>
        <v>693005.6281333653</v>
      </c>
      <c r="E8" s="313"/>
      <c r="F8" s="311" t="s">
        <v>4</v>
      </c>
      <c r="G8" s="312">
        <f>SUM(G4:G7)</f>
        <v>727826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t="shared" si="0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t="shared" si="0"/>
        <v>-3.9895313632499998</v>
      </c>
      <c r="T9" s="321"/>
      <c r="U9" s="365" t="s">
        <v>271</v>
      </c>
      <c r="V9" s="321"/>
      <c r="W9" s="321"/>
      <c r="X9" s="321"/>
    </row>
    <row r="10" spans="3:24" ht="15.75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t="shared" si="0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t="shared" si="0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3.3792264370698571E-2</v>
      </c>
      <c r="F12" s="302" t="s">
        <v>48</v>
      </c>
      <c r="G12" s="316">
        <f>G4/G$8</f>
        <v>0.15775748599253117</v>
      </c>
      <c r="H12" s="316"/>
      <c r="I12" s="356">
        <f>D12/G12</f>
        <v>0.21420387221623463</v>
      </c>
      <c r="J12" s="357">
        <f>LN(I12)</f>
        <v>-1.5408270435584284</v>
      </c>
      <c r="K12" s="357">
        <f>K8*J12</f>
        <v>-1.5408270435584284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t="shared" si="0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t="shared" ref="D13:D16" si="1">D5/D$8</f>
        <v>0.18183763409002496</v>
      </c>
      <c r="F13" s="305" t="s">
        <v>51</v>
      </c>
      <c r="G13" s="317">
        <f t="shared" ref="G13:G16" si="2">G5/G$8</f>
        <v>0.22592075578503654</v>
      </c>
      <c r="H13" s="317"/>
      <c r="I13" s="356">
        <f t="shared" ref="I13:I15" si="3">D13/G13</f>
        <v>0.80487352062084705</v>
      </c>
      <c r="J13" s="357">
        <f t="shared" ref="J13:J15" si="4">LN(I13)</f>
        <v>-0.21707013114896423</v>
      </c>
      <c r="K13" s="357">
        <f>K8*(J13-J12)</f>
        <v>1.3237569124094641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t="shared" si="0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t="shared" si="1"/>
        <v>0.66596706797928629</v>
      </c>
      <c r="F14" s="305" t="s">
        <v>54</v>
      </c>
      <c r="G14" s="317">
        <f t="shared" si="2"/>
        <v>0.49462096709927922</v>
      </c>
      <c r="H14" s="317"/>
      <c r="I14" s="356">
        <f t="shared" si="3"/>
        <v>1.3464190001585898</v>
      </c>
      <c r="J14" s="357">
        <f t="shared" si="4"/>
        <v>0.29744847561796461</v>
      </c>
      <c r="K14" s="357">
        <f>K8*(J14-J13-J12)</f>
        <v>2.0553456503253571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t="shared" si="0"/>
        <v>-0.80534348065299999</v>
      </c>
      <c r="T14" s="321">
        <v>5</v>
      </c>
      <c r="U14" s="294" t="s">
        <v>275</v>
      </c>
      <c r="V14" s="321"/>
      <c r="W14" s="321"/>
      <c r="X14" s="321"/>
    </row>
    <row r="15" spans="3:24" ht="15.75" thickBot="1" x14ac:dyDescent="0.3">
      <c r="C15" s="308" t="s">
        <v>57</v>
      </c>
      <c r="D15" s="317">
        <f t="shared" si="1"/>
        <v>0.11840303355999017</v>
      </c>
      <c r="F15" s="308" t="s">
        <v>57</v>
      </c>
      <c r="G15" s="317">
        <f t="shared" si="2"/>
        <v>0.12170079112315306</v>
      </c>
      <c r="H15" s="317"/>
      <c r="I15" s="358">
        <f t="shared" si="3"/>
        <v>0.97290274341909755</v>
      </c>
      <c r="J15" s="359">
        <f t="shared" si="4"/>
        <v>-2.7471157168059465E-2</v>
      </c>
      <c r="K15" s="359">
        <f>K8*(J15-J14-J13-J12)</f>
        <v>1.4329775419213684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t="shared" si="0"/>
        <v>-0.51977799879300002</v>
      </c>
      <c r="T15" s="321">
        <v>6</v>
      </c>
      <c r="U15" s="321" t="s">
        <v>276</v>
      </c>
      <c r="V15" s="321"/>
      <c r="W15" s="321"/>
      <c r="X15" s="321"/>
    </row>
    <row r="16" spans="3:24" ht="15.75" thickBot="1" x14ac:dyDescent="0.3">
      <c r="C16" s="311" t="s">
        <v>4</v>
      </c>
      <c r="D16" s="319">
        <f t="shared" si="1"/>
        <v>1</v>
      </c>
      <c r="E16" s="313"/>
      <c r="F16" s="311" t="s">
        <v>4</v>
      </c>
      <c r="G16" s="319">
        <f t="shared" si="2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t="shared" si="0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t="shared" si="0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t="shared" si="0"/>
        <v>-0.493022087256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t="shared" si="0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t="shared" si="0"/>
        <v>0</v>
      </c>
    </row>
    <row r="21" spans="2:24" ht="15.75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t="shared" si="0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t="shared" si="0"/>
        <v>0.63771148688699997</v>
      </c>
    </row>
    <row r="23" spans="2:24" x14ac:dyDescent="0.2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t="shared" si="0"/>
        <v>-12.0946718381</v>
      </c>
    </row>
    <row r="24" spans="2:24" x14ac:dyDescent="0.25">
      <c r="B24" s="346">
        <v>38</v>
      </c>
      <c r="C24" s="305" t="s">
        <v>51</v>
      </c>
      <c r="D24" s="376">
        <f t="shared" ref="D24:D26" si="5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t="shared" si="0"/>
        <v>-4.03623745316</v>
      </c>
    </row>
    <row r="25" spans="2:24" x14ac:dyDescent="0.25">
      <c r="B25" s="346">
        <v>39</v>
      </c>
      <c r="C25" s="305" t="s">
        <v>54</v>
      </c>
      <c r="D25" s="376">
        <f t="shared" si="5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t="shared" si="0"/>
        <v>-2.16371815818</v>
      </c>
    </row>
    <row r="26" spans="2:24" ht="15.75" thickBot="1" x14ac:dyDescent="0.3">
      <c r="B26" s="347">
        <v>40</v>
      </c>
      <c r="C26" s="325" t="s">
        <v>57</v>
      </c>
      <c r="D26" s="377">
        <f t="shared" si="5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t="shared" si="0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t="shared" si="0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t="shared" si="0"/>
        <v>0.417326479157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t="shared" si="0"/>
        <v>-14.8384910501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t="shared" si="0"/>
        <v>-5.1880432348000003</v>
      </c>
    </row>
    <row r="31" spans="2:24" ht="15.75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t="shared" si="0"/>
        <v>-2.6156308707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t="shared" si="0"/>
        <v>-0.91046169190000004</v>
      </c>
    </row>
    <row r="33" spans="2:18" x14ac:dyDescent="0.25">
      <c r="B33" s="346">
        <f>B23</f>
        <v>37</v>
      </c>
      <c r="C33" s="302" t="s">
        <v>48</v>
      </c>
      <c r="D33" s="378">
        <f>K12</f>
        <v>-1.5408270435584284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t="shared" si="0"/>
        <v>5.7553461640599997E-2</v>
      </c>
    </row>
    <row r="34" spans="2:18" x14ac:dyDescent="0.25">
      <c r="B34" s="346">
        <f t="shared" ref="B34:B36" si="6">B24</f>
        <v>38</v>
      </c>
      <c r="C34" s="305" t="s">
        <v>51</v>
      </c>
      <c r="D34" s="379">
        <f t="shared" ref="D34:D36" si="7">K13</f>
        <v>1.3237569124094641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t="shared" si="0"/>
        <v>0.237798002151</v>
      </c>
    </row>
    <row r="35" spans="2:18" x14ac:dyDescent="0.25">
      <c r="B35" s="346">
        <f t="shared" si="6"/>
        <v>39</v>
      </c>
      <c r="C35" s="305" t="s">
        <v>54</v>
      </c>
      <c r="D35" s="379">
        <f t="shared" si="7"/>
        <v>2.0553456503253571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t="shared" si="0"/>
        <v>0</v>
      </c>
    </row>
    <row r="36" spans="2:18" ht="15.75" thickBot="1" x14ac:dyDescent="0.3">
      <c r="B36" s="348">
        <f t="shared" si="6"/>
        <v>40</v>
      </c>
      <c r="C36" s="325" t="s">
        <v>57</v>
      </c>
      <c r="D36" s="326">
        <f t="shared" si="7"/>
        <v>1.4329775419213684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t="shared" si="0"/>
        <v>0</v>
      </c>
    </row>
    <row r="37" spans="2:18" ht="15.75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t="shared" si="0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t="shared" si="0"/>
        <v>0.61259135262599995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t="shared" si="0"/>
        <v>-22.35105543225843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t="shared" si="0"/>
        <v>-5.8598804348205364</v>
      </c>
      <c r="R40" s="296" t="str">
        <f>VLOOKUP(N40,Coeff_Descr!$A$2:$E$104,4,FALSE)</f>
        <v>distanceFromOrigin8</v>
      </c>
    </row>
    <row r="41" spans="2:18" ht="15.75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t="shared" si="0"/>
        <v>-1.604751888724643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t="shared" si="0"/>
        <v>7.2431814561368491E-2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-22.35105543225843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t="shared" si="0"/>
        <v>-0.22141031751900001</v>
      </c>
    </row>
    <row r="44" spans="2:18" x14ac:dyDescent="0.25">
      <c r="B44" s="346">
        <f t="shared" ref="B44:B46" si="8">B34</f>
        <v>38</v>
      </c>
      <c r="C44" s="305" t="s">
        <v>51</v>
      </c>
      <c r="D44" s="380">
        <f t="shared" ref="D44:D46" si="9">D24+D34</f>
        <v>-5.8598804348205364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t="shared" si="0"/>
        <v>0.64228876129599999</v>
      </c>
    </row>
    <row r="45" spans="2:18" x14ac:dyDescent="0.25">
      <c r="B45" s="346">
        <f t="shared" si="8"/>
        <v>39</v>
      </c>
      <c r="C45" s="305" t="s">
        <v>54</v>
      </c>
      <c r="D45" s="380">
        <f t="shared" si="9"/>
        <v>-1.604751888724643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t="shared" si="0"/>
        <v>0.74588429254199995</v>
      </c>
    </row>
    <row r="46" spans="2:18" ht="15.75" thickBot="1" x14ac:dyDescent="0.3">
      <c r="B46" s="348">
        <f t="shared" si="8"/>
        <v>40</v>
      </c>
      <c r="C46" s="325" t="s">
        <v>57</v>
      </c>
      <c r="D46" s="381">
        <f t="shared" si="9"/>
        <v>7.2431814561368491E-2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t="shared" si="0"/>
        <v>-32.156094092099998</v>
      </c>
    </row>
    <row r="47" spans="2:18" ht="15.75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t="shared" si="0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t="shared" si="0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t="shared" si="0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t="shared" si="0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t="shared" si="0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t="shared" si="0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t="shared" si="0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t="shared" si="0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t="shared" si="0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t="shared" si="0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t="shared" si="0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t="shared" si="0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t="shared" si="0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t="shared" si="0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t="shared" si="0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t="shared" si="0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t="shared" si="0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t="shared" si="0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t="shared" si="0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t="shared" si="0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t="shared" si="0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t="shared" si="0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t="shared" ref="Q69:Q104" si="10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t="shared" si="10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t="shared" si="10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t="shared" si="10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t="shared" si="10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t="shared" si="10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t="shared" si="10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t="shared" si="10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t="shared" si="10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t="shared" si="10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t="shared" si="10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t="shared" si="10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t="shared" si="10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t="shared" si="10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t="shared" si="10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t="shared" si="10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t="shared" si="10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t="shared" si="10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t="shared" si="10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t="shared" si="10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t="shared" si="10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t="shared" si="10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t="shared" si="10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t="shared" si="10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t="shared" si="10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t="shared" si="10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t="shared" si="10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t="shared" si="10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t="shared" si="10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t="shared" si="10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t="shared" si="10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t="shared" si="10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t="shared" si="10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t="shared" si="10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t="shared" si="10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Dong, Hu</cp:lastModifiedBy>
  <dcterms:created xsi:type="dcterms:W3CDTF">2011-01-31T15:16:09Z</dcterms:created>
  <dcterms:modified xsi:type="dcterms:W3CDTF">2019-10-07T21:07:49Z</dcterms:modified>
</cp:coreProperties>
</file>