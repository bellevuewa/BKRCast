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63A9CD2F-8A5B-45C9-9D0E-7787B6C35412}" xr6:coauthVersionLast="41" xr6:coauthVersionMax="41" xr10:uidLastSave="{00000000-0000-0000-0000-000000000000}"/>
  <bookViews>
    <workbookView xWindow="12405" yWindow="2640" windowWidth="21600" windowHeight="11265" activeTab="3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_1">TLFD!$B$11:$D$101</definedName>
    <definedName name="out_10">County_Flow!$M$7:$S$13</definedName>
    <definedName name="out_11">SchoolAtHome!$B$18:$D$24</definedName>
    <definedName name="out_12">SchoolAtHome!$I$18:$K$24</definedName>
    <definedName name="out_13">SchoolAtHome!$B$7:$D$13</definedName>
    <definedName name="out_14">SchoolAtHome!$I$7:$K$13</definedName>
    <definedName name="out_2">TLFD!$H$11:$J$101</definedName>
    <definedName name="out_3">TDFD!$B$11:$D$101</definedName>
    <definedName name="out_4">TDFD!$H$11:$J$101</definedName>
    <definedName name="out_5">TLFD!$N$11:$N$14</definedName>
    <definedName name="out_6">TLFD!$O$11:$O$14</definedName>
    <definedName name="out_7">TDFD!$N$11:$N$14</definedName>
    <definedName name="out_8">TDFD!$O$11:$O$14</definedName>
    <definedName name="out_9">County_Flow!$B$7:$H$13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4" i="1" l="1"/>
  <c r="H23" i="1"/>
  <c r="H25" i="1"/>
  <c r="Q33" i="12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B26" i="1" s="1"/>
  <c r="U9" i="1"/>
  <c r="H22" i="1" s="1"/>
  <c r="U8" i="1"/>
  <c r="H21" i="1" s="1"/>
  <c r="U7" i="1"/>
  <c r="J7" i="1"/>
  <c r="I26" i="1" l="1"/>
  <c r="G26" i="1"/>
  <c r="E26" i="1"/>
  <c r="D26" i="1"/>
  <c r="C26" i="1"/>
  <c r="H26" i="1"/>
  <c r="F26" i="1"/>
  <c r="H20" i="1"/>
  <c r="J26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Q39" i="1" l="1"/>
  <c r="S33" i="1"/>
  <c r="N39" i="1"/>
  <c r="P39" i="1"/>
  <c r="R39" i="1"/>
  <c r="S37" i="1"/>
  <c r="S36" i="1"/>
  <c r="S39" i="1"/>
  <c r="S35" i="1"/>
  <c r="S38" i="1"/>
  <c r="M39" i="1"/>
  <c r="O39" i="1"/>
  <c r="S34" i="1"/>
  <c r="G39" i="1"/>
  <c r="G17" i="15"/>
  <c r="H28" i="1"/>
  <c r="T40" i="1"/>
  <c r="N40" i="1"/>
  <c r="Q40" i="1"/>
  <c r="U40" i="1"/>
  <c r="T39" i="1"/>
  <c r="P40" i="1"/>
  <c r="M40" i="1"/>
  <c r="R40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H33" i="1" s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D39" i="1" l="1"/>
  <c r="Z39" i="1" s="1"/>
  <c r="E39" i="1"/>
  <c r="C39" i="1"/>
  <c r="I39" i="1"/>
  <c r="H39" i="1"/>
  <c r="AD39" i="1" s="1"/>
  <c r="AC39" i="1"/>
  <c r="B39" i="1"/>
  <c r="X39" i="1" s="1"/>
  <c r="H38" i="1"/>
  <c r="AD38" i="1" s="1"/>
  <c r="H35" i="1"/>
  <c r="AD35" i="1" s="1"/>
  <c r="H37" i="1"/>
  <c r="AD37" i="1" s="1"/>
  <c r="H34" i="1"/>
  <c r="AD34" i="1" s="1"/>
  <c r="H36" i="1"/>
  <c r="AD36" i="1" s="1"/>
  <c r="AA39" i="1"/>
  <c r="Y39" i="1"/>
  <c r="AD33" i="1"/>
  <c r="F39" i="1"/>
  <c r="AB39" i="1" s="1"/>
  <c r="F35" i="1"/>
  <c r="AB35" i="1" s="1"/>
  <c r="H40" i="1"/>
  <c r="AD40" i="1" s="1"/>
  <c r="J39" i="1"/>
  <c r="AF39" i="1" s="1"/>
  <c r="H41" i="1"/>
  <c r="AD41" i="1" s="1"/>
  <c r="AE39" i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<sst xmlns="http://schemas.openxmlformats.org/spreadsheetml/2006/main" count="673" uniqueCount="260">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</sst>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168" fontId="0" fillId="0" borderId="5" xfId="8" applyNumberFormat="1" applyFont="1" applyBorder="1"/>
    <xf numFmtId="168" fontId="0" fillId="0" borderId="4" xfId="8" applyNumberFormat="1" applyFont="1" applyBorder="1"/>
    <xf numFmtId="168" fontId="0" fillId="0" borderId="0" xfId="8" applyNumberFormat="1" applyFont="1"/>
    <xf numFmtId="168" fontId="0" fillId="0" borderId="1" xfId="8" applyNumberFormat="1" applyFont="1" applyBorder="1"/>
    <xf numFmtId="168" fontId="2" fillId="0" borderId="0" xfId="8" applyNumberFormat="1" applyFont="1" applyAlignment="1"/>
    <xf numFmtId="168" fontId="0" fillId="0" borderId="3" xfId="8" applyNumberFormat="1" applyFont="1" applyBorder="1"/>
    <xf numFmtId="168" fontId="0" fillId="0" borderId="0" xfId="8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28283.803500000002</c:v>
                </c:pt>
                <c:pt idx="1">
                  <c:v>37057.117700000003</c:v>
                </c:pt>
                <c:pt idx="2">
                  <c:v>41808.894600000007</c:v>
                </c:pt>
                <c:pt idx="3">
                  <c:v>61176.952599999997</c:v>
                </c:pt>
                <c:pt idx="4">
                  <c:v>124119.2781</c:v>
                </c:pt>
                <c:pt idx="5">
                  <c:v>55653.2886</c:v>
                </c:pt>
                <c:pt idx="6">
                  <c:v>93708.412800000006</c:v>
                </c:pt>
                <c:pt idx="7">
                  <c:v>28200.5867</c:v>
                </c:pt>
                <c:pt idx="8">
                  <c:v>23643.332900000001</c:v>
                </c:pt>
                <c:pt idx="9">
                  <c:v>13889.3331</c:v>
                </c:pt>
                <c:pt idx="10">
                  <c:v>28697.0995</c:v>
                </c:pt>
                <c:pt idx="11">
                  <c:v>11390.559899999998</c:v>
                </c:pt>
                <c:pt idx="12">
                  <c:v>6652.1427999999996</c:v>
                </c:pt>
                <c:pt idx="13">
                  <c:v>2205.5441999999998</c:v>
                </c:pt>
                <c:pt idx="14">
                  <c:v>3804.7914999999998</c:v>
                </c:pt>
                <c:pt idx="15">
                  <c:v>3020.4777000000004</c:v>
                </c:pt>
                <c:pt idx="16">
                  <c:v>6187.3109999999997</c:v>
                </c:pt>
                <c:pt idx="17">
                  <c:v>1403.6229999999998</c:v>
                </c:pt>
                <c:pt idx="18">
                  <c:v>3288.2235000000001</c:v>
                </c:pt>
                <c:pt idx="19">
                  <c:v>1865.4735000000001</c:v>
                </c:pt>
                <c:pt idx="20">
                  <c:v>326.2987</c:v>
                </c:pt>
                <c:pt idx="21">
                  <c:v>6190.7829000000002</c:v>
                </c:pt>
                <c:pt idx="22">
                  <c:v>266.13509999999997</c:v>
                </c:pt>
                <c:pt idx="23">
                  <c:v>3070.7799</c:v>
                </c:pt>
                <c:pt idx="24">
                  <c:v>458.12399999999997</c:v>
                </c:pt>
                <c:pt idx="25">
                  <c:v>87.069000000000003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152687</c:v>
                </c:pt>
                <c:pt idx="1">
                  <c:v>99654</c:v>
                </c:pt>
                <c:pt idx="2">
                  <c:v>59416</c:v>
                </c:pt>
                <c:pt idx="3">
                  <c:v>38427</c:v>
                </c:pt>
                <c:pt idx="4">
                  <c:v>134804</c:v>
                </c:pt>
                <c:pt idx="5">
                  <c:v>62799</c:v>
                </c:pt>
                <c:pt idx="6">
                  <c:v>68739</c:v>
                </c:pt>
                <c:pt idx="7">
                  <c:v>31226</c:v>
                </c:pt>
                <c:pt idx="8">
                  <c:v>39190</c:v>
                </c:pt>
                <c:pt idx="9">
                  <c:v>23030</c:v>
                </c:pt>
                <c:pt idx="10">
                  <c:v>9187</c:v>
                </c:pt>
                <c:pt idx="11">
                  <c:v>10222</c:v>
                </c:pt>
                <c:pt idx="12">
                  <c:v>9986</c:v>
                </c:pt>
                <c:pt idx="13">
                  <c:v>11594</c:v>
                </c:pt>
                <c:pt idx="14">
                  <c:v>6974</c:v>
                </c:pt>
                <c:pt idx="15">
                  <c:v>5111</c:v>
                </c:pt>
                <c:pt idx="16">
                  <c:v>4437</c:v>
                </c:pt>
                <c:pt idx="17">
                  <c:v>4723</c:v>
                </c:pt>
                <c:pt idx="18">
                  <c:v>3358</c:v>
                </c:pt>
                <c:pt idx="19">
                  <c:v>2538</c:v>
                </c:pt>
                <c:pt idx="20">
                  <c:v>4168</c:v>
                </c:pt>
                <c:pt idx="21">
                  <c:v>2579</c:v>
                </c:pt>
                <c:pt idx="22">
                  <c:v>2618</c:v>
                </c:pt>
                <c:pt idx="23">
                  <c:v>1733</c:v>
                </c:pt>
                <c:pt idx="24">
                  <c:v>1247</c:v>
                </c:pt>
                <c:pt idx="25">
                  <c:v>1677</c:v>
                </c:pt>
                <c:pt idx="26">
                  <c:v>1139</c:v>
                </c:pt>
                <c:pt idx="27">
                  <c:v>1327</c:v>
                </c:pt>
                <c:pt idx="28">
                  <c:v>396</c:v>
                </c:pt>
                <c:pt idx="29">
                  <c:v>1407</c:v>
                </c:pt>
                <c:pt idx="30">
                  <c:v>956</c:v>
                </c:pt>
                <c:pt idx="31">
                  <c:v>802</c:v>
                </c:pt>
                <c:pt idx="32">
                  <c:v>548</c:v>
                </c:pt>
                <c:pt idx="33">
                  <c:v>481</c:v>
                </c:pt>
                <c:pt idx="34">
                  <c:v>444</c:v>
                </c:pt>
                <c:pt idx="35">
                  <c:v>351</c:v>
                </c:pt>
                <c:pt idx="36">
                  <c:v>845</c:v>
                </c:pt>
                <c:pt idx="37">
                  <c:v>449</c:v>
                </c:pt>
                <c:pt idx="38">
                  <c:v>295</c:v>
                </c:pt>
                <c:pt idx="39">
                  <c:v>453</c:v>
                </c:pt>
                <c:pt idx="40">
                  <c:v>95</c:v>
                </c:pt>
                <c:pt idx="41">
                  <c:v>209</c:v>
                </c:pt>
                <c:pt idx="42">
                  <c:v>116</c:v>
                </c:pt>
                <c:pt idx="43">
                  <c:v>98</c:v>
                </c:pt>
                <c:pt idx="44">
                  <c:v>252</c:v>
                </c:pt>
                <c:pt idx="45">
                  <c:v>117</c:v>
                </c:pt>
                <c:pt idx="46">
                  <c:v>117</c:v>
                </c:pt>
                <c:pt idx="47">
                  <c:v>126</c:v>
                </c:pt>
                <c:pt idx="48">
                  <c:v>41</c:v>
                </c:pt>
                <c:pt idx="49">
                  <c:v>184</c:v>
                </c:pt>
                <c:pt idx="50">
                  <c:v>29</c:v>
                </c:pt>
                <c:pt idx="51">
                  <c:v>27</c:v>
                </c:pt>
                <c:pt idx="52">
                  <c:v>12</c:v>
                </c:pt>
                <c:pt idx="53">
                  <c:v>51</c:v>
                </c:pt>
                <c:pt idx="54">
                  <c:v>7</c:v>
                </c:pt>
                <c:pt idx="55">
                  <c:v>9</c:v>
                </c:pt>
                <c:pt idx="56">
                  <c:v>4</c:v>
                </c:pt>
                <c:pt idx="57">
                  <c:v>3</c:v>
                </c:pt>
                <c:pt idx="58">
                  <c:v>10</c:v>
                </c:pt>
                <c:pt idx="59">
                  <c:v>2</c:v>
                </c:pt>
                <c:pt idx="6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296976"/>
        <c:axId val="331300112"/>
      </c:lineChart>
      <c:catAx>
        <c:axId val="33129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1300112"/>
        <c:crosses val="autoZero"/>
        <c:auto val="1"/>
        <c:lblAlgn val="ctr"/>
        <c:lblOffset val="100"/>
        <c:noMultiLvlLbl val="0"/>
      </c:catAx>
      <c:valAx>
        <c:axId val="3313001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1296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8226.0259000000005</c:v>
                </c:pt>
                <c:pt idx="4">
                  <c:v>11133.814400000001</c:v>
                </c:pt>
                <c:pt idx="5">
                  <c:v>13429.1803</c:v>
                </c:pt>
                <c:pt idx="6">
                  <c:v>7461.1718000000001</c:v>
                </c:pt>
                <c:pt idx="7">
                  <c:v>10962.8501</c:v>
                </c:pt>
                <c:pt idx="8">
                  <c:v>3418.5214999999998</c:v>
                </c:pt>
                <c:pt idx="9">
                  <c:v>11882.283399999998</c:v>
                </c:pt>
                <c:pt idx="10">
                  <c:v>5144.3666000000003</c:v>
                </c:pt>
                <c:pt idx="11">
                  <c:v>9585.0202000000008</c:v>
                </c:pt>
                <c:pt idx="12">
                  <c:v>22760.1551</c:v>
                </c:pt>
                <c:pt idx="13">
                  <c:v>8704.3775999999998</c:v>
                </c:pt>
                <c:pt idx="14">
                  <c:v>13748.096600000001</c:v>
                </c:pt>
                <c:pt idx="15">
                  <c:v>1540.0192</c:v>
                </c:pt>
                <c:pt idx="16">
                  <c:v>29645.162799999998</c:v>
                </c:pt>
                <c:pt idx="17">
                  <c:v>11738.621099999998</c:v>
                </c:pt>
                <c:pt idx="18">
                  <c:v>48306.394099999998</c:v>
                </c:pt>
                <c:pt idx="19">
                  <c:v>29028.595399999998</c:v>
                </c:pt>
                <c:pt idx="20">
                  <c:v>46657.832900000009</c:v>
                </c:pt>
                <c:pt idx="21">
                  <c:v>26928.785100000001</c:v>
                </c:pt>
                <c:pt idx="22">
                  <c:v>27811.2425</c:v>
                </c:pt>
                <c:pt idx="23">
                  <c:v>6255.8771999999999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41901.392099999997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19811.379900000004</c:v>
                </c:pt>
                <c:pt idx="31">
                  <c:v>8290.7476000000006</c:v>
                </c:pt>
                <c:pt idx="32">
                  <c:v>5669.9252000000006</c:v>
                </c:pt>
                <c:pt idx="33">
                  <c:v>5997.2613999999994</c:v>
                </c:pt>
                <c:pt idx="34">
                  <c:v>14736.835499999999</c:v>
                </c:pt>
                <c:pt idx="35">
                  <c:v>826.43970000000002</c:v>
                </c:pt>
                <c:pt idx="36">
                  <c:v>1609.7055</c:v>
                </c:pt>
                <c:pt idx="37">
                  <c:v>6643.0817999999999</c:v>
                </c:pt>
                <c:pt idx="38">
                  <c:v>6114.2946999999995</c:v>
                </c:pt>
                <c:pt idx="39">
                  <c:v>2063.2050999999997</c:v>
                </c:pt>
                <c:pt idx="40">
                  <c:v>201.06739999999999</c:v>
                </c:pt>
                <c:pt idx="41">
                  <c:v>5718.7871999999998</c:v>
                </c:pt>
                <c:pt idx="42">
                  <c:v>214.2046</c:v>
                </c:pt>
                <c:pt idx="43">
                  <c:v>1068.8702000000001</c:v>
                </c:pt>
                <c:pt idx="44">
                  <c:v>1276.2198000000001</c:v>
                </c:pt>
                <c:pt idx="45">
                  <c:v>21000.450500000003</c:v>
                </c:pt>
                <c:pt idx="46">
                  <c:v>1472.4092000000001</c:v>
                </c:pt>
                <c:pt idx="47">
                  <c:v>988.41480000000001</c:v>
                </c:pt>
                <c:pt idx="48">
                  <c:v>82.013999999999996</c:v>
                </c:pt>
                <c:pt idx="49">
                  <c:v>1436.174</c:v>
                </c:pt>
                <c:pt idx="50">
                  <c:v>742.70370000000003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58320</c:v>
                </c:pt>
                <c:pt idx="1">
                  <c:v>20569</c:v>
                </c:pt>
                <c:pt idx="2">
                  <c:v>27536</c:v>
                </c:pt>
                <c:pt idx="3">
                  <c:v>29712</c:v>
                </c:pt>
                <c:pt idx="4">
                  <c:v>30324</c:v>
                </c:pt>
                <c:pt idx="5">
                  <c:v>28821</c:v>
                </c:pt>
                <c:pt idx="6">
                  <c:v>27064</c:v>
                </c:pt>
                <c:pt idx="7">
                  <c:v>25006</c:v>
                </c:pt>
                <c:pt idx="8">
                  <c:v>21031</c:v>
                </c:pt>
                <c:pt idx="9">
                  <c:v>19375</c:v>
                </c:pt>
                <c:pt idx="10">
                  <c:v>16689</c:v>
                </c:pt>
                <c:pt idx="11">
                  <c:v>14203</c:v>
                </c:pt>
                <c:pt idx="12">
                  <c:v>13018</c:v>
                </c:pt>
                <c:pt idx="13">
                  <c:v>10132</c:v>
                </c:pt>
                <c:pt idx="14">
                  <c:v>8856</c:v>
                </c:pt>
                <c:pt idx="15">
                  <c:v>9452</c:v>
                </c:pt>
                <c:pt idx="16">
                  <c:v>8082</c:v>
                </c:pt>
                <c:pt idx="17">
                  <c:v>7904</c:v>
                </c:pt>
                <c:pt idx="18">
                  <c:v>94527</c:v>
                </c:pt>
                <c:pt idx="19">
                  <c:v>24271</c:v>
                </c:pt>
                <c:pt idx="20">
                  <c:v>25906</c:v>
                </c:pt>
                <c:pt idx="21">
                  <c:v>33706</c:v>
                </c:pt>
                <c:pt idx="22">
                  <c:v>28639</c:v>
                </c:pt>
                <c:pt idx="23">
                  <c:v>26057</c:v>
                </c:pt>
                <c:pt idx="24">
                  <c:v>23389</c:v>
                </c:pt>
                <c:pt idx="25">
                  <c:v>20730</c:v>
                </c:pt>
                <c:pt idx="26">
                  <c:v>19923</c:v>
                </c:pt>
                <c:pt idx="27">
                  <c:v>12320</c:v>
                </c:pt>
                <c:pt idx="28">
                  <c:v>9977</c:v>
                </c:pt>
                <c:pt idx="29">
                  <c:v>8594</c:v>
                </c:pt>
                <c:pt idx="30">
                  <c:v>9601</c:v>
                </c:pt>
                <c:pt idx="31">
                  <c:v>13250</c:v>
                </c:pt>
                <c:pt idx="32">
                  <c:v>10561</c:v>
                </c:pt>
                <c:pt idx="33">
                  <c:v>8141</c:v>
                </c:pt>
                <c:pt idx="34">
                  <c:v>5434</c:v>
                </c:pt>
                <c:pt idx="35">
                  <c:v>4380</c:v>
                </c:pt>
                <c:pt idx="36">
                  <c:v>6016</c:v>
                </c:pt>
                <c:pt idx="37">
                  <c:v>4260</c:v>
                </c:pt>
                <c:pt idx="38">
                  <c:v>2917</c:v>
                </c:pt>
                <c:pt idx="39">
                  <c:v>4248</c:v>
                </c:pt>
                <c:pt idx="40">
                  <c:v>1645</c:v>
                </c:pt>
                <c:pt idx="41">
                  <c:v>1866</c:v>
                </c:pt>
                <c:pt idx="42">
                  <c:v>1749</c:v>
                </c:pt>
                <c:pt idx="43">
                  <c:v>1571</c:v>
                </c:pt>
                <c:pt idx="44">
                  <c:v>1397</c:v>
                </c:pt>
                <c:pt idx="45">
                  <c:v>3151</c:v>
                </c:pt>
                <c:pt idx="46">
                  <c:v>2900</c:v>
                </c:pt>
                <c:pt idx="47">
                  <c:v>691</c:v>
                </c:pt>
                <c:pt idx="48">
                  <c:v>2041</c:v>
                </c:pt>
                <c:pt idx="49">
                  <c:v>945</c:v>
                </c:pt>
                <c:pt idx="50">
                  <c:v>1261</c:v>
                </c:pt>
                <c:pt idx="51">
                  <c:v>581</c:v>
                </c:pt>
                <c:pt idx="52">
                  <c:v>1079</c:v>
                </c:pt>
                <c:pt idx="53">
                  <c:v>1635</c:v>
                </c:pt>
                <c:pt idx="54">
                  <c:v>1021</c:v>
                </c:pt>
                <c:pt idx="55">
                  <c:v>557</c:v>
                </c:pt>
                <c:pt idx="56">
                  <c:v>409</c:v>
                </c:pt>
                <c:pt idx="57">
                  <c:v>740</c:v>
                </c:pt>
                <c:pt idx="58">
                  <c:v>202</c:v>
                </c:pt>
                <c:pt idx="59">
                  <c:v>195</c:v>
                </c:pt>
                <c:pt idx="60">
                  <c:v>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297760"/>
        <c:axId val="331298544"/>
      </c:lineChart>
      <c:catAx>
        <c:axId val="33129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1298544"/>
        <c:crosses val="autoZero"/>
        <c:auto val="1"/>
        <c:lblAlgn val="ctr"/>
        <c:lblOffset val="100"/>
        <c:noMultiLvlLbl val="0"/>
      </c:catAx>
      <c:valAx>
        <c:axId val="33129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1297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workbookViewId="0">
      <selection activeCell="L21" sqref="L21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3" max="4" width="9.5703125" bestFit="1" customWidth="1" collapsed="1"/>
    <col min="5" max="5" width="10.5703125" bestFit="1" customWidth="1" collapsed="1"/>
    <col min="7" max="7" width="13.140625" customWidth="1" collapsed="1"/>
    <col min="8" max="8" width="10.5703125" bestFit="1" customWidth="1" collapsed="1"/>
    <col min="9" max="10" width="9.5703125" bestFit="1" customWidth="1" collapsed="1"/>
    <col min="11" max="11" width="15.85546875" bestFit="1" customWidth="1" collapsed="1"/>
    <col min="15" max="15" width="15.7109375" bestFit="1" customWidth="1" collapsed="1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r="9" spans="1:19" ht="15.75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r="11" spans="1:19" ht="15.75" thickBot="1" x14ac:dyDescent="0.3">
      <c r="A11">
        <v>0</v>
      </c>
      <c r="B11" s="83">
        <v>20622.883600000001</v>
      </c>
      <c r="C11" s="83">
        <v>0</v>
      </c>
      <c r="D11" s="83">
        <v>7660.9198999999999</v>
      </c>
      <c r="E11" s="83">
        <f t="shared" ref="E11:E42" si="0">SUM(B11:D11)</f>
        <v>28283.803500000002</v>
      </c>
      <c r="G11">
        <v>0</v>
      </c>
      <c r="H11" s="83">
        <v>110633</v>
      </c>
      <c r="I11" s="83">
        <v>14825</v>
      </c>
      <c r="J11" s="85">
        <v>27229</v>
      </c>
      <c r="K11" s="83">
        <f t="shared" ref="K11:K42" si="1">SUM(H11:J11)</f>
        <v>152687</v>
      </c>
      <c r="M11" t="s">
        <v>41</v>
      </c>
      <c r="N11" s="9">
        <v>5.2955866607631821</v>
      </c>
      <c r="O11" s="9">
        <v>3.5430751397724314</v>
      </c>
      <c r="Q11" s="1" t="s">
        <v>3</v>
      </c>
      <c r="R11" s="10"/>
      <c r="S11" s="10"/>
    </row>
    <row r="12" spans="1:19" x14ac:dyDescent="0.25">
      <c r="A12">
        <v>1</v>
      </c>
      <c r="B12" s="83">
        <v>32911.2192</v>
      </c>
      <c r="C12" s="83">
        <v>3301.3162000000002</v>
      </c>
      <c r="D12" s="83">
        <v>844.58230000000003</v>
      </c>
      <c r="E12" s="83">
        <f t="shared" si="0"/>
        <v>37057.117700000003</v>
      </c>
      <c r="G12">
        <v>1</v>
      </c>
      <c r="H12" s="83">
        <v>79495</v>
      </c>
      <c r="I12" s="83">
        <v>9780</v>
      </c>
      <c r="J12" s="85">
        <v>10379</v>
      </c>
      <c r="K12" s="83">
        <f t="shared" si="1"/>
        <v>99654</v>
      </c>
      <c r="M12" t="s">
        <v>42</v>
      </c>
      <c r="N12" s="9">
        <v>6.415557529988825</v>
      </c>
      <c r="O12" s="9">
        <v>5.2440187420940045</v>
      </c>
      <c r="R12" s="9"/>
      <c r="S12" s="9"/>
    </row>
    <row r="13" spans="1:19" x14ac:dyDescent="0.25">
      <c r="A13">
        <v>2</v>
      </c>
      <c r="B13" s="83">
        <v>37425.110800000002</v>
      </c>
      <c r="C13" s="83">
        <v>2652.9</v>
      </c>
      <c r="D13" s="83">
        <v>1730.8838000000001</v>
      </c>
      <c r="E13" s="83">
        <f t="shared" si="0"/>
        <v>41808.894600000007</v>
      </c>
      <c r="G13">
        <v>2</v>
      </c>
      <c r="H13" s="83">
        <v>47073</v>
      </c>
      <c r="I13" s="83">
        <v>6542</v>
      </c>
      <c r="J13" s="85">
        <v>5801</v>
      </c>
      <c r="K13" s="83">
        <f t="shared" si="1"/>
        <v>59416</v>
      </c>
      <c r="M13" s="6" t="s">
        <v>43</v>
      </c>
      <c r="N13" s="18">
        <v>8.1078064875959495</v>
      </c>
      <c r="O13" s="18">
        <v>9.1759115753817806</v>
      </c>
      <c r="Q13" s="7"/>
      <c r="R13" s="33"/>
      <c r="S13" s="33"/>
    </row>
    <row r="14" spans="1:19" ht="15.75" thickBot="1" x14ac:dyDescent="0.3">
      <c r="A14">
        <v>3</v>
      </c>
      <c r="B14" s="83">
        <v>52295.974499999997</v>
      </c>
      <c r="C14" s="83">
        <v>5458.6975000000002</v>
      </c>
      <c r="D14" s="83">
        <v>3422.2806</v>
      </c>
      <c r="E14" s="83">
        <f t="shared" si="0"/>
        <v>61176.952599999997</v>
      </c>
      <c r="G14">
        <v>3</v>
      </c>
      <c r="H14" s="83">
        <v>29073</v>
      </c>
      <c r="I14" s="83">
        <v>4721</v>
      </c>
      <c r="J14" s="85">
        <v>4633</v>
      </c>
      <c r="K14" s="83">
        <f t="shared" si="1"/>
        <v>38427</v>
      </c>
      <c r="M14" s="1" t="s">
        <v>3</v>
      </c>
      <c r="N14" s="10">
        <v>5.7395096200868521</v>
      </c>
      <c r="O14" s="10">
        <v>5.3064486747033319</v>
      </c>
    </row>
    <row r="15" spans="1:19" x14ac:dyDescent="0.25">
      <c r="A15">
        <v>4</v>
      </c>
      <c r="B15" s="83">
        <v>99648.912899999996</v>
      </c>
      <c r="C15" s="83">
        <v>12602.233</v>
      </c>
      <c r="D15" s="83">
        <v>11868.1322</v>
      </c>
      <c r="E15" s="83">
        <f t="shared" si="0"/>
        <v>124119.2781</v>
      </c>
      <c r="G15">
        <v>4</v>
      </c>
      <c r="H15" s="83">
        <v>94087</v>
      </c>
      <c r="I15" s="83">
        <v>18101</v>
      </c>
      <c r="J15" s="85">
        <v>22616</v>
      </c>
      <c r="K15" s="83">
        <f t="shared" si="1"/>
        <v>134804</v>
      </c>
    </row>
    <row r="16" spans="1:19" x14ac:dyDescent="0.25">
      <c r="A16">
        <v>5</v>
      </c>
      <c r="B16" s="83">
        <v>41873.711199999998</v>
      </c>
      <c r="C16" s="83">
        <v>8814.9107000000004</v>
      </c>
      <c r="D16" s="83">
        <v>4964.6666999999998</v>
      </c>
      <c r="E16" s="83">
        <f t="shared" si="0"/>
        <v>55653.2886</v>
      </c>
      <c r="G16">
        <v>5</v>
      </c>
      <c r="H16" s="83">
        <v>31974</v>
      </c>
      <c r="I16" s="83">
        <v>8153</v>
      </c>
      <c r="J16" s="85">
        <v>22672</v>
      </c>
      <c r="K16" s="83">
        <f t="shared" si="1"/>
        <v>62799</v>
      </c>
    </row>
    <row r="17" spans="1:11" x14ac:dyDescent="0.25">
      <c r="A17">
        <v>6</v>
      </c>
      <c r="B17" s="83">
        <v>72254.489000000001</v>
      </c>
      <c r="C17" s="83">
        <v>13808.623900000001</v>
      </c>
      <c r="D17" s="83">
        <v>7645.2999</v>
      </c>
      <c r="E17" s="83">
        <f t="shared" si="0"/>
        <v>93708.412800000006</v>
      </c>
      <c r="G17">
        <v>6</v>
      </c>
      <c r="H17" s="83">
        <v>40257</v>
      </c>
      <c r="I17" s="83">
        <v>9448</v>
      </c>
      <c r="J17" s="85">
        <v>19034</v>
      </c>
      <c r="K17" s="83">
        <f t="shared" si="1"/>
        <v>68739</v>
      </c>
    </row>
    <row r="18" spans="1:11" x14ac:dyDescent="0.25">
      <c r="A18">
        <v>7</v>
      </c>
      <c r="B18" s="83">
        <v>20062.444500000001</v>
      </c>
      <c r="C18" s="83">
        <v>2110.6226000000001</v>
      </c>
      <c r="D18" s="83">
        <v>6027.5195999999996</v>
      </c>
      <c r="E18" s="83">
        <f t="shared" si="0"/>
        <v>28200.5867</v>
      </c>
      <c r="G18">
        <v>7</v>
      </c>
      <c r="H18" s="83">
        <v>13703</v>
      </c>
      <c r="I18" s="83">
        <v>3842</v>
      </c>
      <c r="J18" s="85">
        <v>13681</v>
      </c>
      <c r="K18" s="83">
        <f t="shared" si="1"/>
        <v>31226</v>
      </c>
    </row>
    <row r="19" spans="1:11" x14ac:dyDescent="0.25">
      <c r="A19">
        <v>8</v>
      </c>
      <c r="B19" s="83">
        <v>16886.608100000001</v>
      </c>
      <c r="C19" s="83">
        <v>5540.8172000000004</v>
      </c>
      <c r="D19" s="83">
        <v>1215.9076</v>
      </c>
      <c r="E19" s="83">
        <f t="shared" si="0"/>
        <v>23643.332900000001</v>
      </c>
      <c r="G19">
        <v>8</v>
      </c>
      <c r="H19" s="83">
        <v>17857</v>
      </c>
      <c r="I19" s="83">
        <v>4759</v>
      </c>
      <c r="J19" s="85">
        <v>16574</v>
      </c>
      <c r="K19" s="83">
        <f t="shared" si="1"/>
        <v>39190</v>
      </c>
    </row>
    <row r="20" spans="1:11" x14ac:dyDescent="0.25">
      <c r="A20">
        <v>9</v>
      </c>
      <c r="B20" s="83">
        <v>9186.5568000000003</v>
      </c>
      <c r="C20" s="83">
        <v>3760.0686000000001</v>
      </c>
      <c r="D20" s="83">
        <v>942.70769999999993</v>
      </c>
      <c r="E20" s="83">
        <f t="shared" si="0"/>
        <v>13889.3331</v>
      </c>
      <c r="G20">
        <v>9</v>
      </c>
      <c r="H20" s="83">
        <v>7500</v>
      </c>
      <c r="I20" s="83">
        <v>3093</v>
      </c>
      <c r="J20" s="85">
        <v>12437</v>
      </c>
      <c r="K20" s="83">
        <f t="shared" si="1"/>
        <v>23030</v>
      </c>
    </row>
    <row r="21" spans="1:11" x14ac:dyDescent="0.25">
      <c r="A21">
        <v>10</v>
      </c>
      <c r="B21" s="83">
        <v>20560.6374</v>
      </c>
      <c r="C21" s="83">
        <v>3606.0437999999999</v>
      </c>
      <c r="D21" s="83">
        <v>4530.4183000000003</v>
      </c>
      <c r="E21" s="83">
        <f t="shared" si="0"/>
        <v>28697.0995</v>
      </c>
      <c r="G21">
        <v>10</v>
      </c>
      <c r="H21" s="83">
        <v>3799</v>
      </c>
      <c r="I21" s="83">
        <v>1601</v>
      </c>
      <c r="J21" s="85">
        <v>3787</v>
      </c>
      <c r="K21" s="83">
        <f t="shared" si="1"/>
        <v>9187</v>
      </c>
    </row>
    <row r="22" spans="1:11" x14ac:dyDescent="0.25">
      <c r="A22">
        <v>11</v>
      </c>
      <c r="B22" s="83">
        <v>9027.6643999999997</v>
      </c>
      <c r="C22" s="83">
        <v>1609.5451</v>
      </c>
      <c r="D22" s="83">
        <v>753.35039999999992</v>
      </c>
      <c r="E22" s="83">
        <f t="shared" si="0"/>
        <v>11390.559899999998</v>
      </c>
      <c r="G22">
        <v>11</v>
      </c>
      <c r="H22" s="83">
        <v>3469</v>
      </c>
      <c r="I22" s="83">
        <v>1602</v>
      </c>
      <c r="J22" s="85">
        <v>5151</v>
      </c>
      <c r="K22" s="83">
        <f t="shared" si="1"/>
        <v>10222</v>
      </c>
    </row>
    <row r="23" spans="1:11" x14ac:dyDescent="0.25">
      <c r="A23">
        <v>12</v>
      </c>
      <c r="B23" s="83">
        <v>2878.1041</v>
      </c>
      <c r="C23" s="83">
        <v>1171.1099999999999</v>
      </c>
      <c r="D23" s="83">
        <v>2602.9286999999999</v>
      </c>
      <c r="E23" s="83">
        <f t="shared" si="0"/>
        <v>6652.1427999999996</v>
      </c>
      <c r="G23">
        <v>12</v>
      </c>
      <c r="H23" s="83">
        <v>2518</v>
      </c>
      <c r="I23" s="83">
        <v>1343</v>
      </c>
      <c r="J23" s="85">
        <v>6125</v>
      </c>
      <c r="K23" s="83">
        <f t="shared" si="1"/>
        <v>9986</v>
      </c>
    </row>
    <row r="24" spans="1:11" x14ac:dyDescent="0.25">
      <c r="A24">
        <v>13</v>
      </c>
      <c r="B24" s="83">
        <v>1833.3625</v>
      </c>
      <c r="C24" s="83">
        <v>0</v>
      </c>
      <c r="D24" s="83">
        <v>372.18169999999998</v>
      </c>
      <c r="E24" s="83">
        <f t="shared" si="0"/>
        <v>2205.5441999999998</v>
      </c>
      <c r="G24">
        <v>13</v>
      </c>
      <c r="H24" s="83">
        <v>2059</v>
      </c>
      <c r="I24" s="83">
        <v>1276</v>
      </c>
      <c r="J24" s="85">
        <v>8259</v>
      </c>
      <c r="K24" s="83">
        <f t="shared" si="1"/>
        <v>11594</v>
      </c>
    </row>
    <row r="25" spans="1:11" x14ac:dyDescent="0.25">
      <c r="A25">
        <v>14</v>
      </c>
      <c r="B25" s="83">
        <v>1492.6572999999999</v>
      </c>
      <c r="C25" s="83">
        <v>0</v>
      </c>
      <c r="D25" s="83">
        <v>2312.1342</v>
      </c>
      <c r="E25" s="83">
        <f t="shared" si="0"/>
        <v>3804.7914999999998</v>
      </c>
      <c r="G25">
        <v>14</v>
      </c>
      <c r="H25" s="83">
        <v>849</v>
      </c>
      <c r="I25" s="83">
        <v>821</v>
      </c>
      <c r="J25" s="85">
        <v>5304</v>
      </c>
      <c r="K25" s="83">
        <f t="shared" si="1"/>
        <v>6974</v>
      </c>
    </row>
    <row r="26" spans="1:11" x14ac:dyDescent="0.25">
      <c r="A26">
        <v>15</v>
      </c>
      <c r="B26" s="83">
        <v>1031.4047</v>
      </c>
      <c r="C26" s="83">
        <v>0</v>
      </c>
      <c r="D26" s="83">
        <v>1989.0730000000001</v>
      </c>
      <c r="E26" s="83">
        <f t="shared" si="0"/>
        <v>3020.4777000000004</v>
      </c>
      <c r="G26">
        <v>15</v>
      </c>
      <c r="H26" s="83">
        <v>796</v>
      </c>
      <c r="I26" s="83">
        <v>731</v>
      </c>
      <c r="J26" s="85">
        <v>3584</v>
      </c>
      <c r="K26" s="83">
        <f t="shared" si="1"/>
        <v>5111</v>
      </c>
    </row>
    <row r="27" spans="1:11" x14ac:dyDescent="0.25">
      <c r="A27">
        <v>16</v>
      </c>
      <c r="B27" s="83">
        <v>4675.1828999999998</v>
      </c>
      <c r="C27" s="83">
        <v>644.34169999999995</v>
      </c>
      <c r="D27" s="83">
        <v>867.78639999999996</v>
      </c>
      <c r="E27" s="83">
        <f t="shared" si="0"/>
        <v>6187.3109999999997</v>
      </c>
      <c r="G27">
        <v>16</v>
      </c>
      <c r="H27" s="83">
        <v>445</v>
      </c>
      <c r="I27" s="83">
        <v>599</v>
      </c>
      <c r="J27" s="85">
        <v>3393</v>
      </c>
      <c r="K27" s="83">
        <f t="shared" si="1"/>
        <v>4437</v>
      </c>
    </row>
    <row r="28" spans="1:11" x14ac:dyDescent="0.25">
      <c r="A28">
        <v>17</v>
      </c>
      <c r="B28" s="83">
        <v>476.72499999999997</v>
      </c>
      <c r="C28" s="83">
        <v>542.72389999999996</v>
      </c>
      <c r="D28" s="83">
        <v>384.17410000000001</v>
      </c>
      <c r="E28" s="83">
        <f t="shared" si="0"/>
        <v>1403.6229999999998</v>
      </c>
      <c r="G28">
        <v>17</v>
      </c>
      <c r="H28" s="83">
        <v>385</v>
      </c>
      <c r="I28" s="83">
        <v>503</v>
      </c>
      <c r="J28" s="85">
        <v>3835</v>
      </c>
      <c r="K28" s="83">
        <f t="shared" si="1"/>
        <v>4723</v>
      </c>
    </row>
    <row r="29" spans="1:11" x14ac:dyDescent="0.25">
      <c r="A29">
        <v>18</v>
      </c>
      <c r="B29" s="83">
        <v>1154.3296</v>
      </c>
      <c r="C29" s="83">
        <v>522.32510000000002</v>
      </c>
      <c r="D29" s="83">
        <v>1611.5688</v>
      </c>
      <c r="E29" s="83">
        <f t="shared" si="0"/>
        <v>3288.2235000000001</v>
      </c>
      <c r="G29">
        <v>18</v>
      </c>
      <c r="H29" s="83">
        <v>165</v>
      </c>
      <c r="I29" s="83">
        <v>398</v>
      </c>
      <c r="J29" s="85">
        <v>2795</v>
      </c>
      <c r="K29" s="83">
        <f t="shared" si="1"/>
        <v>3358</v>
      </c>
    </row>
    <row r="30" spans="1:11" x14ac:dyDescent="0.25">
      <c r="A30">
        <v>19</v>
      </c>
      <c r="B30" s="83">
        <v>279.85169999999999</v>
      </c>
      <c r="C30" s="83">
        <v>438.06880000000001</v>
      </c>
      <c r="D30" s="83">
        <v>1147.5530000000001</v>
      </c>
      <c r="E30" s="83">
        <f t="shared" si="0"/>
        <v>1865.4735000000001</v>
      </c>
      <c r="G30">
        <v>19</v>
      </c>
      <c r="H30" s="83">
        <v>166</v>
      </c>
      <c r="I30" s="83">
        <v>256</v>
      </c>
      <c r="J30" s="85">
        <v>2116</v>
      </c>
      <c r="K30" s="83">
        <f t="shared" si="1"/>
        <v>2538</v>
      </c>
    </row>
    <row r="31" spans="1:11" x14ac:dyDescent="0.25">
      <c r="A31">
        <v>20</v>
      </c>
      <c r="B31" s="83">
        <v>0</v>
      </c>
      <c r="C31" s="83">
        <v>262.79070000000002</v>
      </c>
      <c r="D31" s="83">
        <v>63.507999999999996</v>
      </c>
      <c r="E31" s="83">
        <f t="shared" si="0"/>
        <v>326.2987</v>
      </c>
      <c r="G31">
        <v>20</v>
      </c>
      <c r="H31" s="83">
        <v>63</v>
      </c>
      <c r="I31" s="83">
        <v>220</v>
      </c>
      <c r="J31" s="85">
        <v>3885</v>
      </c>
      <c r="K31" s="83">
        <f t="shared" si="1"/>
        <v>4168</v>
      </c>
    </row>
    <row r="32" spans="1:11" x14ac:dyDescent="0.25">
      <c r="A32">
        <v>21</v>
      </c>
      <c r="B32" s="83">
        <v>5789.6122999999998</v>
      </c>
      <c r="C32" s="83">
        <v>309.84730000000002</v>
      </c>
      <c r="D32" s="83">
        <v>91.323299999999989</v>
      </c>
      <c r="E32" s="83">
        <f t="shared" si="0"/>
        <v>6190.7829000000002</v>
      </c>
      <c r="G32">
        <v>21</v>
      </c>
      <c r="H32" s="83">
        <v>48</v>
      </c>
      <c r="I32" s="83">
        <v>207</v>
      </c>
      <c r="J32" s="85">
        <v>2324</v>
      </c>
      <c r="K32" s="83">
        <f t="shared" si="1"/>
        <v>2579</v>
      </c>
    </row>
    <row r="33" spans="1:11" x14ac:dyDescent="0.25">
      <c r="A33">
        <v>22</v>
      </c>
      <c r="B33" s="83">
        <v>212.62309999999999</v>
      </c>
      <c r="C33" s="83">
        <v>0</v>
      </c>
      <c r="D33" s="83">
        <v>53.512</v>
      </c>
      <c r="E33" s="83">
        <f t="shared" si="0"/>
        <v>266.13509999999997</v>
      </c>
      <c r="G33">
        <v>22</v>
      </c>
      <c r="H33" s="83">
        <v>25</v>
      </c>
      <c r="I33" s="83">
        <v>163</v>
      </c>
      <c r="J33" s="85">
        <v>2430</v>
      </c>
      <c r="K33" s="83">
        <f t="shared" si="1"/>
        <v>2618</v>
      </c>
    </row>
    <row r="34" spans="1:11" x14ac:dyDescent="0.25">
      <c r="A34">
        <v>23</v>
      </c>
      <c r="B34" s="83">
        <v>2931.9002999999998</v>
      </c>
      <c r="C34" s="83">
        <v>0</v>
      </c>
      <c r="D34" s="83">
        <v>138.87960000000001</v>
      </c>
      <c r="E34" s="83">
        <f t="shared" si="0"/>
        <v>3070.7799</v>
      </c>
      <c r="G34">
        <v>23</v>
      </c>
      <c r="H34" s="83">
        <v>8</v>
      </c>
      <c r="I34" s="83">
        <v>148</v>
      </c>
      <c r="J34" s="85">
        <v>1577</v>
      </c>
      <c r="K34" s="83">
        <f t="shared" si="1"/>
        <v>1733</v>
      </c>
    </row>
    <row r="35" spans="1:11" x14ac:dyDescent="0.25">
      <c r="A35">
        <v>24</v>
      </c>
      <c r="B35" s="83">
        <v>0</v>
      </c>
      <c r="C35" s="83">
        <v>0</v>
      </c>
      <c r="D35" s="83">
        <v>458.12399999999997</v>
      </c>
      <c r="E35" s="83">
        <f t="shared" si="0"/>
        <v>458.12399999999997</v>
      </c>
      <c r="G35">
        <v>24</v>
      </c>
      <c r="H35" s="83">
        <v>16</v>
      </c>
      <c r="I35" s="83">
        <v>120</v>
      </c>
      <c r="J35" s="85">
        <v>1111</v>
      </c>
      <c r="K35" s="83">
        <f t="shared" si="1"/>
        <v>1247</v>
      </c>
    </row>
    <row r="36" spans="1:11" x14ac:dyDescent="0.25">
      <c r="A36">
        <v>25</v>
      </c>
      <c r="B36" s="83">
        <v>0</v>
      </c>
      <c r="C36" s="83">
        <v>0</v>
      </c>
      <c r="D36" s="83">
        <v>87.069000000000003</v>
      </c>
      <c r="E36" s="83">
        <f t="shared" si="0"/>
        <v>87.069000000000003</v>
      </c>
      <c r="G36">
        <v>25</v>
      </c>
      <c r="H36" s="83">
        <v>18</v>
      </c>
      <c r="I36" s="83">
        <v>88</v>
      </c>
      <c r="J36" s="85">
        <v>1571</v>
      </c>
      <c r="K36" s="83">
        <f t="shared" si="1"/>
        <v>1677</v>
      </c>
    </row>
    <row r="37" spans="1:11" x14ac:dyDescent="0.25">
      <c r="A37">
        <v>26</v>
      </c>
      <c r="B37" s="83">
        <v>775.44090000000006</v>
      </c>
      <c r="C37" s="83">
        <v>846.03430000000003</v>
      </c>
      <c r="D37" s="83">
        <v>0</v>
      </c>
      <c r="E37" s="83">
        <f t="shared" si="0"/>
        <v>1621.4752000000001</v>
      </c>
      <c r="G37">
        <v>26</v>
      </c>
      <c r="H37" s="83">
        <v>11</v>
      </c>
      <c r="I37" s="83">
        <v>77</v>
      </c>
      <c r="J37" s="85">
        <v>1051</v>
      </c>
      <c r="K37" s="83">
        <f t="shared" si="1"/>
        <v>1139</v>
      </c>
    </row>
    <row r="38" spans="1:11" x14ac:dyDescent="0.25">
      <c r="A38">
        <v>27</v>
      </c>
      <c r="B38" s="83">
        <v>0</v>
      </c>
      <c r="C38" s="83">
        <v>0</v>
      </c>
      <c r="D38" s="83">
        <v>569.28390000000002</v>
      </c>
      <c r="E38" s="83">
        <f t="shared" si="0"/>
        <v>569.28390000000002</v>
      </c>
      <c r="G38">
        <v>27</v>
      </c>
      <c r="H38" s="83">
        <v>3</v>
      </c>
      <c r="I38" s="83">
        <v>74</v>
      </c>
      <c r="J38" s="85">
        <v>1250</v>
      </c>
      <c r="K38" s="83">
        <f t="shared" si="1"/>
        <v>1327</v>
      </c>
    </row>
    <row r="39" spans="1:11" x14ac:dyDescent="0.25">
      <c r="A39">
        <v>28</v>
      </c>
      <c r="B39" s="83">
        <v>1297.2364</v>
      </c>
      <c r="C39" s="83">
        <v>0</v>
      </c>
      <c r="D39" s="83">
        <v>0</v>
      </c>
      <c r="E39" s="83">
        <f t="shared" si="0"/>
        <v>1297.2364</v>
      </c>
      <c r="G39">
        <v>28</v>
      </c>
      <c r="H39" s="83">
        <v>6</v>
      </c>
      <c r="I39" s="83">
        <v>49</v>
      </c>
      <c r="J39" s="85">
        <v>341</v>
      </c>
      <c r="K39" s="83">
        <f t="shared" si="1"/>
        <v>396</v>
      </c>
    </row>
    <row r="40" spans="1:11" x14ac:dyDescent="0.25">
      <c r="A40">
        <v>29</v>
      </c>
      <c r="B40" s="83">
        <v>0</v>
      </c>
      <c r="C40" s="83">
        <v>0</v>
      </c>
      <c r="D40" s="83">
        <v>31.814</v>
      </c>
      <c r="E40" s="83">
        <f t="shared" si="0"/>
        <v>31.814</v>
      </c>
      <c r="G40">
        <v>29</v>
      </c>
      <c r="H40" s="83">
        <v>1</v>
      </c>
      <c r="I40" s="83">
        <v>44</v>
      </c>
      <c r="J40" s="85">
        <v>1362</v>
      </c>
      <c r="K40" s="83">
        <f t="shared" si="1"/>
        <v>1407</v>
      </c>
    </row>
    <row r="41" spans="1:11" x14ac:dyDescent="0.25">
      <c r="A41">
        <v>30</v>
      </c>
      <c r="B41" s="83">
        <v>0</v>
      </c>
      <c r="C41" s="83">
        <v>0</v>
      </c>
      <c r="D41" s="83">
        <v>13.398999999999999</v>
      </c>
      <c r="E41" s="83">
        <f t="shared" si="0"/>
        <v>13.398999999999999</v>
      </c>
      <c r="G41">
        <v>30</v>
      </c>
      <c r="H41" s="83">
        <v>0</v>
      </c>
      <c r="I41" s="83">
        <v>31</v>
      </c>
      <c r="J41" s="85">
        <v>925</v>
      </c>
      <c r="K41" s="83">
        <f t="shared" si="1"/>
        <v>956</v>
      </c>
    </row>
    <row r="42" spans="1:11" x14ac:dyDescent="0.25">
      <c r="A42">
        <v>31</v>
      </c>
      <c r="B42" s="83">
        <v>0</v>
      </c>
      <c r="C42" s="83">
        <v>0</v>
      </c>
      <c r="D42" s="83">
        <v>0</v>
      </c>
      <c r="E42" s="83">
        <f t="shared" si="0"/>
        <v>0</v>
      </c>
      <c r="G42">
        <v>31</v>
      </c>
      <c r="H42" s="83">
        <v>2</v>
      </c>
      <c r="I42" s="83">
        <v>38</v>
      </c>
      <c r="J42" s="85">
        <v>762</v>
      </c>
      <c r="K42" s="83">
        <f t="shared" si="1"/>
        <v>802</v>
      </c>
    </row>
    <row r="43" spans="1:11" x14ac:dyDescent="0.25">
      <c r="A43">
        <v>32</v>
      </c>
      <c r="B43" s="83">
        <v>0</v>
      </c>
      <c r="C43" s="83">
        <v>0</v>
      </c>
      <c r="D43" s="83">
        <v>12.739000000000001</v>
      </c>
      <c r="E43" s="83">
        <f t="shared" ref="E43:E74" si="2">SUM(B43:D43)</f>
        <v>12.739000000000001</v>
      </c>
      <c r="G43">
        <v>32</v>
      </c>
      <c r="H43" s="83">
        <v>4</v>
      </c>
      <c r="I43" s="83">
        <v>26</v>
      </c>
      <c r="J43" s="85">
        <v>518</v>
      </c>
      <c r="K43" s="83">
        <f t="shared" ref="K43:K74" si="3">SUM(H43:J43)</f>
        <v>548</v>
      </c>
    </row>
    <row r="44" spans="1:11" x14ac:dyDescent="0.25">
      <c r="A44">
        <v>33</v>
      </c>
      <c r="B44" s="83">
        <v>0</v>
      </c>
      <c r="C44" s="83">
        <v>0</v>
      </c>
      <c r="D44" s="83">
        <v>10.791</v>
      </c>
      <c r="E44" s="83">
        <f t="shared" si="2"/>
        <v>10.791</v>
      </c>
      <c r="G44">
        <v>33</v>
      </c>
      <c r="H44" s="83">
        <v>1</v>
      </c>
      <c r="I44" s="83">
        <v>26</v>
      </c>
      <c r="J44" s="85">
        <v>454</v>
      </c>
      <c r="K44" s="83">
        <f t="shared" si="3"/>
        <v>481</v>
      </c>
    </row>
    <row r="45" spans="1:11" x14ac:dyDescent="0.25">
      <c r="A45">
        <v>34</v>
      </c>
      <c r="B45" s="83">
        <v>0</v>
      </c>
      <c r="C45" s="83">
        <v>78.963099999999997</v>
      </c>
      <c r="D45" s="83">
        <v>0</v>
      </c>
      <c r="E45" s="83">
        <f t="shared" si="2"/>
        <v>78.963099999999997</v>
      </c>
      <c r="G45">
        <v>34</v>
      </c>
      <c r="H45" s="83">
        <v>2</v>
      </c>
      <c r="I45" s="83">
        <v>18</v>
      </c>
      <c r="J45" s="85">
        <v>424</v>
      </c>
      <c r="K45" s="83">
        <f t="shared" si="3"/>
        <v>444</v>
      </c>
    </row>
    <row r="46" spans="1:11" x14ac:dyDescent="0.25">
      <c r="A46">
        <v>35</v>
      </c>
      <c r="B46" s="83">
        <v>0</v>
      </c>
      <c r="C46" s="83">
        <v>0</v>
      </c>
      <c r="D46" s="83">
        <v>25.786000000000001</v>
      </c>
      <c r="E46" s="83">
        <f t="shared" si="2"/>
        <v>25.786000000000001</v>
      </c>
      <c r="G46">
        <v>35</v>
      </c>
      <c r="H46" s="83">
        <v>0</v>
      </c>
      <c r="I46" s="83">
        <v>9</v>
      </c>
      <c r="J46" s="85">
        <v>342</v>
      </c>
      <c r="K46" s="83">
        <f t="shared" si="3"/>
        <v>351</v>
      </c>
    </row>
    <row r="47" spans="1:11" x14ac:dyDescent="0.25">
      <c r="A47">
        <v>36</v>
      </c>
      <c r="B47" s="83">
        <v>0</v>
      </c>
      <c r="C47" s="83">
        <v>0</v>
      </c>
      <c r="D47" s="83">
        <v>0</v>
      </c>
      <c r="E47" s="83">
        <f t="shared" si="2"/>
        <v>0</v>
      </c>
      <c r="G47">
        <v>36</v>
      </c>
      <c r="H47" s="83">
        <v>0</v>
      </c>
      <c r="I47" s="83">
        <v>10</v>
      </c>
      <c r="J47" s="85">
        <v>835</v>
      </c>
      <c r="K47" s="83">
        <f t="shared" si="3"/>
        <v>845</v>
      </c>
    </row>
    <row r="48" spans="1:11" x14ac:dyDescent="0.25">
      <c r="A48">
        <v>37</v>
      </c>
      <c r="B48" s="83">
        <v>0</v>
      </c>
      <c r="C48" s="83">
        <v>0</v>
      </c>
      <c r="D48" s="83">
        <v>0</v>
      </c>
      <c r="E48" s="83">
        <f t="shared" si="2"/>
        <v>0</v>
      </c>
      <c r="G48">
        <v>37</v>
      </c>
      <c r="H48" s="83">
        <v>0</v>
      </c>
      <c r="I48" s="83">
        <v>12</v>
      </c>
      <c r="J48" s="85">
        <v>437</v>
      </c>
      <c r="K48" s="83">
        <f t="shared" si="3"/>
        <v>449</v>
      </c>
    </row>
    <row r="49" spans="1:11" x14ac:dyDescent="0.25">
      <c r="A49">
        <v>38</v>
      </c>
      <c r="B49" s="83">
        <v>0</v>
      </c>
      <c r="C49" s="83">
        <v>0</v>
      </c>
      <c r="D49" s="83">
        <v>0</v>
      </c>
      <c r="E49" s="83">
        <f t="shared" si="2"/>
        <v>0</v>
      </c>
      <c r="G49">
        <v>38</v>
      </c>
      <c r="H49" s="83">
        <v>0</v>
      </c>
      <c r="I49" s="83">
        <v>11</v>
      </c>
      <c r="J49" s="85">
        <v>284</v>
      </c>
      <c r="K49" s="83">
        <f t="shared" si="3"/>
        <v>295</v>
      </c>
    </row>
    <row r="50" spans="1:11" x14ac:dyDescent="0.25">
      <c r="A50">
        <v>39</v>
      </c>
      <c r="B50" s="83">
        <v>0</v>
      </c>
      <c r="C50" s="83">
        <v>0</v>
      </c>
      <c r="D50" s="83">
        <v>4.1280000000000001</v>
      </c>
      <c r="E50" s="83">
        <f t="shared" si="2"/>
        <v>4.1280000000000001</v>
      </c>
      <c r="G50">
        <v>39</v>
      </c>
      <c r="H50" s="83">
        <v>0</v>
      </c>
      <c r="I50" s="83">
        <v>3</v>
      </c>
      <c r="J50" s="85">
        <v>450</v>
      </c>
      <c r="K50" s="83">
        <f t="shared" si="3"/>
        <v>453</v>
      </c>
    </row>
    <row r="51" spans="1:11" x14ac:dyDescent="0.25">
      <c r="A51">
        <v>40</v>
      </c>
      <c r="B51" s="83">
        <v>0</v>
      </c>
      <c r="C51" s="83">
        <v>0</v>
      </c>
      <c r="D51" s="83">
        <v>860.37009999999998</v>
      </c>
      <c r="E51" s="83">
        <f t="shared" si="2"/>
        <v>860.37009999999998</v>
      </c>
      <c r="G51">
        <v>40</v>
      </c>
      <c r="H51" s="83">
        <v>0</v>
      </c>
      <c r="I51" s="83">
        <v>4</v>
      </c>
      <c r="J51" s="85">
        <v>91</v>
      </c>
      <c r="K51" s="83">
        <f t="shared" si="3"/>
        <v>95</v>
      </c>
    </row>
    <row r="52" spans="1:11" x14ac:dyDescent="0.25">
      <c r="A52">
        <v>41</v>
      </c>
      <c r="B52" s="83">
        <v>0</v>
      </c>
      <c r="C52" s="83">
        <v>0</v>
      </c>
      <c r="D52" s="83">
        <v>0</v>
      </c>
      <c r="E52" s="83">
        <f t="shared" si="2"/>
        <v>0</v>
      </c>
      <c r="G52">
        <v>41</v>
      </c>
      <c r="H52" s="83">
        <v>0</v>
      </c>
      <c r="I52" s="83">
        <v>0</v>
      </c>
      <c r="J52" s="85">
        <v>209</v>
      </c>
      <c r="K52" s="83">
        <f t="shared" si="3"/>
        <v>209</v>
      </c>
    </row>
    <row r="53" spans="1:11" x14ac:dyDescent="0.25">
      <c r="A53">
        <v>42</v>
      </c>
      <c r="B53" s="83">
        <v>0</v>
      </c>
      <c r="C53" s="83">
        <v>0</v>
      </c>
      <c r="D53" s="83">
        <v>286.72039999999998</v>
      </c>
      <c r="E53" s="83">
        <f t="shared" si="2"/>
        <v>286.72039999999998</v>
      </c>
      <c r="G53">
        <v>42</v>
      </c>
      <c r="H53" s="83">
        <v>0</v>
      </c>
      <c r="I53" s="83">
        <v>4</v>
      </c>
      <c r="J53" s="85">
        <v>112</v>
      </c>
      <c r="K53" s="83">
        <f t="shared" si="3"/>
        <v>116</v>
      </c>
    </row>
    <row r="54" spans="1:11" x14ac:dyDescent="0.25">
      <c r="A54">
        <v>43</v>
      </c>
      <c r="B54" s="83">
        <v>0</v>
      </c>
      <c r="C54" s="83">
        <v>0</v>
      </c>
      <c r="D54" s="83">
        <v>0</v>
      </c>
      <c r="E54" s="83">
        <f t="shared" si="2"/>
        <v>0</v>
      </c>
      <c r="G54">
        <v>43</v>
      </c>
      <c r="H54" s="83">
        <v>0</v>
      </c>
      <c r="I54" s="83">
        <v>1</v>
      </c>
      <c r="J54" s="85">
        <v>97</v>
      </c>
      <c r="K54" s="83">
        <f t="shared" si="3"/>
        <v>98</v>
      </c>
    </row>
    <row r="55" spans="1:11" x14ac:dyDescent="0.25">
      <c r="A55">
        <v>44</v>
      </c>
      <c r="B55" s="83">
        <v>0</v>
      </c>
      <c r="C55" s="83">
        <v>0</v>
      </c>
      <c r="D55" s="83">
        <v>0</v>
      </c>
      <c r="E55" s="83">
        <f t="shared" si="2"/>
        <v>0</v>
      </c>
      <c r="G55">
        <v>44</v>
      </c>
      <c r="H55" s="83">
        <v>0</v>
      </c>
      <c r="I55" s="83">
        <v>3</v>
      </c>
      <c r="J55" s="85">
        <v>249</v>
      </c>
      <c r="K55" s="83">
        <f t="shared" si="3"/>
        <v>252</v>
      </c>
    </row>
    <row r="56" spans="1:11" x14ac:dyDescent="0.25">
      <c r="A56">
        <v>45</v>
      </c>
      <c r="B56" s="83">
        <v>0</v>
      </c>
      <c r="C56" s="83">
        <v>0</v>
      </c>
      <c r="D56" s="83">
        <v>0</v>
      </c>
      <c r="E56" s="83">
        <f t="shared" si="2"/>
        <v>0</v>
      </c>
      <c r="G56">
        <v>45</v>
      </c>
      <c r="H56" s="83">
        <v>0</v>
      </c>
      <c r="I56" s="83">
        <v>1</v>
      </c>
      <c r="J56" s="85">
        <v>116</v>
      </c>
      <c r="K56" s="83">
        <f t="shared" si="3"/>
        <v>117</v>
      </c>
    </row>
    <row r="57" spans="1:11" x14ac:dyDescent="0.25">
      <c r="A57">
        <v>46</v>
      </c>
      <c r="B57" s="83">
        <v>0</v>
      </c>
      <c r="C57" s="83">
        <v>0</v>
      </c>
      <c r="D57" s="83">
        <v>0</v>
      </c>
      <c r="E57" s="83">
        <f t="shared" si="2"/>
        <v>0</v>
      </c>
      <c r="G57">
        <v>46</v>
      </c>
      <c r="H57" s="83">
        <v>0</v>
      </c>
      <c r="I57" s="83">
        <v>4</v>
      </c>
      <c r="J57" s="85">
        <v>113</v>
      </c>
      <c r="K57" s="83">
        <f t="shared" si="3"/>
        <v>117</v>
      </c>
    </row>
    <row r="58" spans="1:11" x14ac:dyDescent="0.25">
      <c r="A58">
        <v>47</v>
      </c>
      <c r="B58" s="83">
        <v>0</v>
      </c>
      <c r="C58" s="83">
        <v>0</v>
      </c>
      <c r="D58" s="83">
        <v>0</v>
      </c>
      <c r="E58" s="83">
        <f t="shared" si="2"/>
        <v>0</v>
      </c>
      <c r="G58">
        <v>47</v>
      </c>
      <c r="H58" s="83">
        <v>0</v>
      </c>
      <c r="I58" s="83">
        <v>6</v>
      </c>
      <c r="J58" s="85">
        <v>120</v>
      </c>
      <c r="K58" s="83">
        <f t="shared" si="3"/>
        <v>126</v>
      </c>
    </row>
    <row r="59" spans="1:11" x14ac:dyDescent="0.25">
      <c r="A59">
        <v>48</v>
      </c>
      <c r="B59" s="83">
        <v>0</v>
      </c>
      <c r="C59" s="83">
        <v>0</v>
      </c>
      <c r="D59" s="83">
        <v>468.98939999999999</v>
      </c>
      <c r="E59" s="83">
        <f t="shared" si="2"/>
        <v>468.98939999999999</v>
      </c>
      <c r="G59">
        <v>48</v>
      </c>
      <c r="H59" s="83">
        <v>0</v>
      </c>
      <c r="I59" s="83">
        <v>1</v>
      </c>
      <c r="J59" s="85">
        <v>40</v>
      </c>
      <c r="K59" s="83">
        <f t="shared" si="3"/>
        <v>41</v>
      </c>
    </row>
    <row r="60" spans="1:11" x14ac:dyDescent="0.25">
      <c r="A60">
        <v>49</v>
      </c>
      <c r="B60" s="83">
        <v>0</v>
      </c>
      <c r="C60" s="83">
        <v>0</v>
      </c>
      <c r="D60" s="83">
        <v>0</v>
      </c>
      <c r="E60" s="83">
        <f t="shared" si="2"/>
        <v>0</v>
      </c>
      <c r="G60">
        <v>49</v>
      </c>
      <c r="H60" s="83">
        <v>0</v>
      </c>
      <c r="I60" s="83">
        <v>3</v>
      </c>
      <c r="J60" s="85">
        <v>181</v>
      </c>
      <c r="K60" s="83">
        <f t="shared" si="3"/>
        <v>184</v>
      </c>
    </row>
    <row r="61" spans="1:11" x14ac:dyDescent="0.25">
      <c r="A61">
        <v>50</v>
      </c>
      <c r="B61" s="83">
        <v>0</v>
      </c>
      <c r="C61" s="83">
        <v>0</v>
      </c>
      <c r="D61" s="83">
        <v>249.3058</v>
      </c>
      <c r="E61" s="83">
        <f t="shared" si="2"/>
        <v>249.3058</v>
      </c>
      <c r="G61">
        <v>50</v>
      </c>
      <c r="H61" s="83">
        <v>0</v>
      </c>
      <c r="I61" s="83">
        <v>4</v>
      </c>
      <c r="J61" s="85">
        <v>25</v>
      </c>
      <c r="K61" s="83">
        <f t="shared" si="3"/>
        <v>29</v>
      </c>
    </row>
    <row r="62" spans="1:11" x14ac:dyDescent="0.25">
      <c r="A62">
        <v>51</v>
      </c>
      <c r="B62" s="83">
        <v>0</v>
      </c>
      <c r="C62" s="83">
        <v>0</v>
      </c>
      <c r="D62" s="83">
        <v>0</v>
      </c>
      <c r="E62" s="83">
        <f t="shared" si="2"/>
        <v>0</v>
      </c>
      <c r="G62">
        <v>51</v>
      </c>
      <c r="H62" s="83">
        <v>0</v>
      </c>
      <c r="I62" s="83">
        <v>0</v>
      </c>
      <c r="J62" s="85">
        <v>27</v>
      </c>
      <c r="K62" s="83">
        <f t="shared" si="3"/>
        <v>27</v>
      </c>
    </row>
    <row r="63" spans="1:11" x14ac:dyDescent="0.25">
      <c r="A63">
        <v>52</v>
      </c>
      <c r="B63" s="83">
        <v>0</v>
      </c>
      <c r="C63" s="83">
        <v>0</v>
      </c>
      <c r="D63" s="83">
        <v>0</v>
      </c>
      <c r="E63" s="83">
        <f t="shared" si="2"/>
        <v>0</v>
      </c>
      <c r="G63">
        <v>52</v>
      </c>
      <c r="H63" s="83">
        <v>0</v>
      </c>
      <c r="I63" s="83">
        <v>0</v>
      </c>
      <c r="J63" s="85">
        <v>12</v>
      </c>
      <c r="K63" s="83">
        <f t="shared" si="3"/>
        <v>12</v>
      </c>
    </row>
    <row r="64" spans="1:11" x14ac:dyDescent="0.25">
      <c r="A64">
        <v>53</v>
      </c>
      <c r="B64" s="83">
        <v>0</v>
      </c>
      <c r="C64" s="83">
        <v>0</v>
      </c>
      <c r="D64" s="83">
        <v>13.487</v>
      </c>
      <c r="E64" s="83">
        <f t="shared" si="2"/>
        <v>13.487</v>
      </c>
      <c r="G64">
        <v>53</v>
      </c>
      <c r="H64" s="83">
        <v>0</v>
      </c>
      <c r="I64" s="83">
        <v>3</v>
      </c>
      <c r="J64" s="85">
        <v>48</v>
      </c>
      <c r="K64" s="83">
        <f t="shared" si="3"/>
        <v>51</v>
      </c>
    </row>
    <row r="65" spans="1:11" x14ac:dyDescent="0.25">
      <c r="A65">
        <v>54</v>
      </c>
      <c r="B65" s="83">
        <v>0</v>
      </c>
      <c r="C65" s="83">
        <v>0</v>
      </c>
      <c r="D65" s="83">
        <v>0</v>
      </c>
      <c r="E65" s="83">
        <f t="shared" si="2"/>
        <v>0</v>
      </c>
      <c r="G65">
        <v>54</v>
      </c>
      <c r="H65" s="83">
        <v>0</v>
      </c>
      <c r="I65" s="83">
        <v>2</v>
      </c>
      <c r="J65" s="85">
        <v>5</v>
      </c>
      <c r="K65" s="83">
        <f t="shared" si="3"/>
        <v>7</v>
      </c>
    </row>
    <row r="66" spans="1:11" x14ac:dyDescent="0.25">
      <c r="A66">
        <v>55</v>
      </c>
      <c r="B66" s="83">
        <v>0</v>
      </c>
      <c r="C66" s="83">
        <v>0</v>
      </c>
      <c r="D66" s="83">
        <v>3.6749999999999998</v>
      </c>
      <c r="E66" s="83">
        <f t="shared" si="2"/>
        <v>3.6749999999999998</v>
      </c>
      <c r="G66">
        <v>55</v>
      </c>
      <c r="H66" s="83">
        <v>0</v>
      </c>
      <c r="I66" s="83">
        <v>1</v>
      </c>
      <c r="J66" s="85">
        <v>8</v>
      </c>
      <c r="K66" s="83">
        <f t="shared" si="3"/>
        <v>9</v>
      </c>
    </row>
    <row r="67" spans="1:11" x14ac:dyDescent="0.25">
      <c r="A67">
        <v>56</v>
      </c>
      <c r="B67" s="83">
        <v>0</v>
      </c>
      <c r="C67" s="83">
        <v>0</v>
      </c>
      <c r="D67" s="83">
        <v>0</v>
      </c>
      <c r="E67" s="83">
        <f t="shared" si="2"/>
        <v>0</v>
      </c>
      <c r="G67">
        <v>56</v>
      </c>
      <c r="H67" s="83">
        <v>0</v>
      </c>
      <c r="I67" s="83">
        <v>0</v>
      </c>
      <c r="J67" s="85">
        <v>4</v>
      </c>
      <c r="K67" s="83">
        <f t="shared" si="3"/>
        <v>4</v>
      </c>
    </row>
    <row r="68" spans="1:11" x14ac:dyDescent="0.25">
      <c r="A68">
        <v>57</v>
      </c>
      <c r="B68" s="83">
        <v>0</v>
      </c>
      <c r="C68" s="83">
        <v>0</v>
      </c>
      <c r="D68" s="83">
        <v>0</v>
      </c>
      <c r="E68" s="83">
        <f t="shared" si="2"/>
        <v>0</v>
      </c>
      <c r="G68">
        <v>57</v>
      </c>
      <c r="H68" s="83">
        <v>0</v>
      </c>
      <c r="I68" s="83">
        <v>0</v>
      </c>
      <c r="J68" s="85">
        <v>3</v>
      </c>
      <c r="K68" s="83">
        <f t="shared" si="3"/>
        <v>3</v>
      </c>
    </row>
    <row r="69" spans="1:11" x14ac:dyDescent="0.25">
      <c r="A69">
        <v>58</v>
      </c>
      <c r="B69" s="83">
        <v>0</v>
      </c>
      <c r="C69" s="83">
        <v>0</v>
      </c>
      <c r="D69" s="83">
        <v>0</v>
      </c>
      <c r="E69" s="83">
        <f t="shared" si="2"/>
        <v>0</v>
      </c>
      <c r="G69">
        <v>58</v>
      </c>
      <c r="H69" s="83">
        <v>0</v>
      </c>
      <c r="I69" s="83">
        <v>1</v>
      </c>
      <c r="J69" s="85">
        <v>9</v>
      </c>
      <c r="K69" s="83">
        <f t="shared" si="3"/>
        <v>10</v>
      </c>
    </row>
    <row r="70" spans="1:11" x14ac:dyDescent="0.25">
      <c r="A70">
        <v>59</v>
      </c>
      <c r="B70" s="83">
        <v>0</v>
      </c>
      <c r="C70" s="83">
        <v>0</v>
      </c>
      <c r="D70" s="83">
        <v>0</v>
      </c>
      <c r="E70" s="83">
        <f t="shared" si="2"/>
        <v>0</v>
      </c>
      <c r="G70">
        <v>59</v>
      </c>
      <c r="H70" s="83">
        <v>0</v>
      </c>
      <c r="I70" s="83">
        <v>0</v>
      </c>
      <c r="J70" s="85">
        <v>2</v>
      </c>
      <c r="K70" s="83">
        <f t="shared" si="3"/>
        <v>2</v>
      </c>
    </row>
    <row r="71" spans="1:11" x14ac:dyDescent="0.25">
      <c r="A71">
        <v>60</v>
      </c>
      <c r="B71" s="83">
        <v>0</v>
      </c>
      <c r="C71" s="83">
        <v>0</v>
      </c>
      <c r="D71" s="83">
        <v>0</v>
      </c>
      <c r="E71" s="83">
        <f t="shared" si="2"/>
        <v>0</v>
      </c>
      <c r="G71">
        <v>60</v>
      </c>
      <c r="H71" s="83">
        <v>0</v>
      </c>
      <c r="I71" s="83">
        <v>0</v>
      </c>
      <c r="J71" s="85">
        <v>3</v>
      </c>
      <c r="K71" s="83">
        <f t="shared" si="3"/>
        <v>3</v>
      </c>
    </row>
    <row r="72" spans="1:11" x14ac:dyDescent="0.25">
      <c r="A72">
        <v>61</v>
      </c>
      <c r="B72" s="83">
        <v>0</v>
      </c>
      <c r="C72" s="83">
        <v>0</v>
      </c>
      <c r="D72" s="83">
        <v>0</v>
      </c>
      <c r="E72" s="83">
        <f t="shared" si="2"/>
        <v>0</v>
      </c>
      <c r="G72">
        <v>61</v>
      </c>
      <c r="H72" s="83">
        <v>0</v>
      </c>
      <c r="I72" s="83">
        <v>0</v>
      </c>
      <c r="J72" s="85">
        <v>1</v>
      </c>
      <c r="K72" s="83">
        <f t="shared" si="3"/>
        <v>1</v>
      </c>
    </row>
    <row r="73" spans="1:11" x14ac:dyDescent="0.25">
      <c r="A73">
        <v>62</v>
      </c>
      <c r="B73" s="83">
        <v>0</v>
      </c>
      <c r="C73" s="83">
        <v>0</v>
      </c>
      <c r="D73" s="83">
        <v>0</v>
      </c>
      <c r="E73" s="83">
        <f t="shared" si="2"/>
        <v>0</v>
      </c>
      <c r="G73">
        <v>62</v>
      </c>
      <c r="H73" s="83">
        <v>0</v>
      </c>
      <c r="I73" s="83">
        <v>0</v>
      </c>
      <c r="J73" s="85">
        <v>0</v>
      </c>
      <c r="K73" s="83">
        <f t="shared" si="3"/>
        <v>0</v>
      </c>
    </row>
    <row r="74" spans="1:11" x14ac:dyDescent="0.25">
      <c r="A74">
        <v>63</v>
      </c>
      <c r="B74" s="83">
        <v>0</v>
      </c>
      <c r="C74" s="83">
        <v>0</v>
      </c>
      <c r="D74" s="83">
        <v>0</v>
      </c>
      <c r="E74" s="83">
        <f t="shared" si="2"/>
        <v>0</v>
      </c>
      <c r="G74">
        <v>63</v>
      </c>
      <c r="H74" s="83">
        <v>0</v>
      </c>
      <c r="I74" s="83">
        <v>0</v>
      </c>
      <c r="J74" s="85">
        <v>0</v>
      </c>
      <c r="K74" s="83">
        <f t="shared" si="3"/>
        <v>0</v>
      </c>
    </row>
    <row r="75" spans="1:11" x14ac:dyDescent="0.25">
      <c r="A75">
        <v>64</v>
      </c>
      <c r="B75" s="83">
        <v>0</v>
      </c>
      <c r="C75" s="83">
        <v>0</v>
      </c>
      <c r="D75" s="83">
        <v>0</v>
      </c>
      <c r="E75" s="83">
        <f t="shared" ref="E75:E101" si="4">SUM(B75:D75)</f>
        <v>0</v>
      </c>
      <c r="G75">
        <v>64</v>
      </c>
      <c r="H75" s="83">
        <v>0</v>
      </c>
      <c r="I75" s="83">
        <v>0</v>
      </c>
      <c r="J75" s="85">
        <v>3</v>
      </c>
      <c r="K75" s="83">
        <f t="shared" ref="K75:K101" si="5">SUM(H75:J75)</f>
        <v>3</v>
      </c>
    </row>
    <row r="76" spans="1:11" x14ac:dyDescent="0.25">
      <c r="A76">
        <v>65</v>
      </c>
      <c r="B76" s="83">
        <v>0</v>
      </c>
      <c r="C76" s="83">
        <v>0</v>
      </c>
      <c r="D76" s="83">
        <v>0</v>
      </c>
      <c r="E76" s="83">
        <f t="shared" si="4"/>
        <v>0</v>
      </c>
      <c r="G76">
        <v>65</v>
      </c>
      <c r="H76" s="83">
        <v>0</v>
      </c>
      <c r="I76" s="83">
        <v>1</v>
      </c>
      <c r="J76" s="85">
        <v>0</v>
      </c>
      <c r="K76" s="83">
        <f t="shared" si="5"/>
        <v>1</v>
      </c>
    </row>
    <row r="77" spans="1:11" x14ac:dyDescent="0.25">
      <c r="A77">
        <v>66</v>
      </c>
      <c r="B77" s="83">
        <v>0</v>
      </c>
      <c r="C77" s="83">
        <v>0</v>
      </c>
      <c r="D77" s="83">
        <v>0</v>
      </c>
      <c r="E77" s="83">
        <f t="shared" si="4"/>
        <v>0</v>
      </c>
      <c r="G77">
        <v>66</v>
      </c>
      <c r="H77" s="83">
        <v>0</v>
      </c>
      <c r="I77" s="83">
        <v>0</v>
      </c>
      <c r="J77" s="83">
        <v>2</v>
      </c>
      <c r="K77" s="83">
        <f t="shared" si="5"/>
        <v>2</v>
      </c>
    </row>
    <row r="78" spans="1:11" x14ac:dyDescent="0.25">
      <c r="A78">
        <v>67</v>
      </c>
      <c r="B78" s="83">
        <v>0</v>
      </c>
      <c r="C78" s="83">
        <v>0</v>
      </c>
      <c r="D78" s="83">
        <v>0</v>
      </c>
      <c r="E78" s="83">
        <f t="shared" si="4"/>
        <v>0</v>
      </c>
      <c r="G78">
        <v>67</v>
      </c>
      <c r="H78" s="83">
        <v>0</v>
      </c>
      <c r="I78" s="83">
        <v>0</v>
      </c>
      <c r="J78" s="83">
        <v>1</v>
      </c>
      <c r="K78" s="83">
        <f t="shared" si="5"/>
        <v>1</v>
      </c>
    </row>
    <row r="79" spans="1:11" x14ac:dyDescent="0.25">
      <c r="A79">
        <v>68</v>
      </c>
      <c r="B79" s="83">
        <v>0</v>
      </c>
      <c r="C79" s="83">
        <v>0</v>
      </c>
      <c r="D79" s="83">
        <v>0</v>
      </c>
      <c r="E79" s="83">
        <f t="shared" si="4"/>
        <v>0</v>
      </c>
      <c r="G79">
        <v>68</v>
      </c>
      <c r="H79" s="83">
        <v>0</v>
      </c>
      <c r="I79" s="83">
        <v>0</v>
      </c>
      <c r="J79" s="85">
        <v>1</v>
      </c>
      <c r="K79" s="83">
        <f t="shared" si="5"/>
        <v>1</v>
      </c>
    </row>
    <row r="80" spans="1:11" x14ac:dyDescent="0.25">
      <c r="A80">
        <v>69</v>
      </c>
      <c r="B80" s="83">
        <v>0</v>
      </c>
      <c r="C80" s="83">
        <v>0</v>
      </c>
      <c r="D80" s="83">
        <v>0</v>
      </c>
      <c r="E80" s="83">
        <f t="shared" si="4"/>
        <v>0</v>
      </c>
      <c r="G80">
        <v>69</v>
      </c>
      <c r="H80" s="83">
        <v>0</v>
      </c>
      <c r="I80" s="83">
        <v>0</v>
      </c>
      <c r="J80" s="83">
        <v>0</v>
      </c>
      <c r="K80" s="83">
        <f t="shared" si="5"/>
        <v>0</v>
      </c>
    </row>
    <row r="81" spans="1:11" x14ac:dyDescent="0.25">
      <c r="A81">
        <v>70</v>
      </c>
      <c r="B81" s="83">
        <v>0</v>
      </c>
      <c r="C81" s="83">
        <v>0</v>
      </c>
      <c r="D81" s="83">
        <v>0</v>
      </c>
      <c r="E81" s="83">
        <f t="shared" si="4"/>
        <v>0</v>
      </c>
      <c r="G81">
        <v>70</v>
      </c>
      <c r="H81" s="83">
        <v>0</v>
      </c>
      <c r="I81" s="83">
        <v>0</v>
      </c>
      <c r="J81" s="85">
        <v>4</v>
      </c>
      <c r="K81" s="83">
        <f t="shared" si="5"/>
        <v>4</v>
      </c>
    </row>
    <row r="82" spans="1:11" x14ac:dyDescent="0.25">
      <c r="A82">
        <v>71</v>
      </c>
      <c r="B82" s="83">
        <v>0</v>
      </c>
      <c r="C82" s="83">
        <v>0</v>
      </c>
      <c r="D82" s="83">
        <v>0</v>
      </c>
      <c r="E82" s="83">
        <f t="shared" si="4"/>
        <v>0</v>
      </c>
      <c r="G82">
        <v>71</v>
      </c>
      <c r="H82" s="83">
        <v>0</v>
      </c>
      <c r="I82" s="83">
        <v>0</v>
      </c>
      <c r="J82" s="85">
        <v>0</v>
      </c>
      <c r="K82" s="83">
        <f t="shared" si="5"/>
        <v>0</v>
      </c>
    </row>
    <row r="83" spans="1:11" x14ac:dyDescent="0.25">
      <c r="A83">
        <v>72</v>
      </c>
      <c r="B83" s="83">
        <v>0</v>
      </c>
      <c r="C83" s="83">
        <v>0</v>
      </c>
      <c r="D83" s="83">
        <v>0</v>
      </c>
      <c r="E83" s="83">
        <f t="shared" si="4"/>
        <v>0</v>
      </c>
      <c r="G83">
        <v>72</v>
      </c>
      <c r="H83" s="83">
        <v>0</v>
      </c>
      <c r="I83" s="83">
        <v>0</v>
      </c>
      <c r="J83" s="83">
        <v>0</v>
      </c>
      <c r="K83" s="83">
        <f t="shared" si="5"/>
        <v>0</v>
      </c>
    </row>
    <row r="84" spans="1:11" x14ac:dyDescent="0.25">
      <c r="A84">
        <v>73</v>
      </c>
      <c r="B84" s="83">
        <v>0</v>
      </c>
      <c r="C84" s="83">
        <v>0</v>
      </c>
      <c r="D84" s="83">
        <v>0</v>
      </c>
      <c r="E84" s="83">
        <f t="shared" si="4"/>
        <v>0</v>
      </c>
      <c r="G84">
        <v>73</v>
      </c>
      <c r="H84" s="83">
        <v>0</v>
      </c>
      <c r="I84" s="83">
        <v>0</v>
      </c>
      <c r="J84" s="83">
        <v>0</v>
      </c>
      <c r="K84" s="83">
        <f t="shared" si="5"/>
        <v>0</v>
      </c>
    </row>
    <row r="85" spans="1:11" x14ac:dyDescent="0.25">
      <c r="A85">
        <v>74</v>
      </c>
      <c r="B85" s="83">
        <v>0</v>
      </c>
      <c r="C85" s="83">
        <v>0</v>
      </c>
      <c r="D85" s="83">
        <v>0</v>
      </c>
      <c r="E85" s="83">
        <f t="shared" si="4"/>
        <v>0</v>
      </c>
      <c r="G85">
        <v>74</v>
      </c>
      <c r="H85" s="83">
        <v>0</v>
      </c>
      <c r="I85" s="83">
        <v>0</v>
      </c>
      <c r="J85" s="83">
        <v>0</v>
      </c>
      <c r="K85" s="83">
        <f t="shared" si="5"/>
        <v>0</v>
      </c>
    </row>
    <row r="86" spans="1:11" x14ac:dyDescent="0.25">
      <c r="A86">
        <v>75</v>
      </c>
      <c r="B86" s="83">
        <v>0</v>
      </c>
      <c r="C86" s="83">
        <v>0</v>
      </c>
      <c r="D86" s="83">
        <v>0</v>
      </c>
      <c r="E86" s="83">
        <f t="shared" si="4"/>
        <v>0</v>
      </c>
      <c r="G86">
        <v>75</v>
      </c>
      <c r="H86" s="83">
        <v>0</v>
      </c>
      <c r="I86" s="83">
        <v>0</v>
      </c>
      <c r="J86" s="83">
        <v>0</v>
      </c>
      <c r="K86" s="83">
        <f t="shared" si="5"/>
        <v>0</v>
      </c>
    </row>
    <row r="87" spans="1:11" x14ac:dyDescent="0.25">
      <c r="A87">
        <v>76</v>
      </c>
      <c r="B87" s="83">
        <v>0</v>
      </c>
      <c r="C87" s="83">
        <v>0</v>
      </c>
      <c r="D87" s="83">
        <v>0</v>
      </c>
      <c r="E87" s="83">
        <f t="shared" si="4"/>
        <v>0</v>
      </c>
      <c r="G87">
        <v>76</v>
      </c>
      <c r="H87" s="83">
        <v>0</v>
      </c>
      <c r="I87" s="83">
        <v>0</v>
      </c>
      <c r="J87" s="85">
        <v>0</v>
      </c>
      <c r="K87" s="83">
        <f t="shared" si="5"/>
        <v>0</v>
      </c>
    </row>
    <row r="88" spans="1:11" x14ac:dyDescent="0.25">
      <c r="A88">
        <v>77</v>
      </c>
      <c r="B88" s="83">
        <v>0</v>
      </c>
      <c r="C88" s="83">
        <v>0</v>
      </c>
      <c r="D88" s="83">
        <v>0</v>
      </c>
      <c r="E88" s="83">
        <f t="shared" si="4"/>
        <v>0</v>
      </c>
      <c r="G88">
        <v>77</v>
      </c>
      <c r="H88" s="83">
        <v>0</v>
      </c>
      <c r="I88" s="83">
        <v>0</v>
      </c>
      <c r="J88" s="83">
        <v>0</v>
      </c>
      <c r="K88" s="83">
        <f t="shared" si="5"/>
        <v>0</v>
      </c>
    </row>
    <row r="89" spans="1:11" x14ac:dyDescent="0.25">
      <c r="A89">
        <v>78</v>
      </c>
      <c r="B89" s="83">
        <v>0</v>
      </c>
      <c r="C89" s="83">
        <v>0</v>
      </c>
      <c r="D89" s="83">
        <v>0</v>
      </c>
      <c r="E89" s="83">
        <f t="shared" si="4"/>
        <v>0</v>
      </c>
      <c r="G89">
        <v>78</v>
      </c>
      <c r="H89" s="83">
        <v>0</v>
      </c>
      <c r="I89" s="83">
        <v>0</v>
      </c>
      <c r="J89" s="85">
        <v>0</v>
      </c>
      <c r="K89" s="83">
        <f t="shared" si="5"/>
        <v>0</v>
      </c>
    </row>
    <row r="90" spans="1:11" x14ac:dyDescent="0.25">
      <c r="A90">
        <v>79</v>
      </c>
      <c r="B90" s="83">
        <v>0</v>
      </c>
      <c r="C90" s="83">
        <v>0</v>
      </c>
      <c r="D90" s="83">
        <v>0</v>
      </c>
      <c r="E90" s="83">
        <f t="shared" si="4"/>
        <v>0</v>
      </c>
      <c r="G90">
        <v>79</v>
      </c>
      <c r="H90" s="83">
        <v>0</v>
      </c>
      <c r="I90" s="83">
        <v>0</v>
      </c>
      <c r="J90" s="83">
        <v>0</v>
      </c>
      <c r="K90" s="83">
        <f t="shared" si="5"/>
        <v>0</v>
      </c>
    </row>
    <row r="91" spans="1:11" x14ac:dyDescent="0.25">
      <c r="A91">
        <v>80</v>
      </c>
      <c r="B91" s="83">
        <v>0</v>
      </c>
      <c r="C91" s="83">
        <v>0</v>
      </c>
      <c r="D91" s="83">
        <v>0</v>
      </c>
      <c r="E91" s="83">
        <f t="shared" si="4"/>
        <v>0</v>
      </c>
      <c r="G91">
        <v>80</v>
      </c>
      <c r="H91" s="83">
        <v>0</v>
      </c>
      <c r="I91" s="83">
        <v>0</v>
      </c>
      <c r="J91" s="83">
        <v>0</v>
      </c>
      <c r="K91" s="83">
        <f t="shared" si="5"/>
        <v>0</v>
      </c>
    </row>
    <row r="92" spans="1:11" x14ac:dyDescent="0.25">
      <c r="A92">
        <v>81</v>
      </c>
      <c r="B92" s="83">
        <v>0</v>
      </c>
      <c r="C92" s="83">
        <v>0</v>
      </c>
      <c r="D92" s="83">
        <v>0</v>
      </c>
      <c r="E92" s="83">
        <f t="shared" si="4"/>
        <v>0</v>
      </c>
      <c r="G92">
        <v>81</v>
      </c>
      <c r="H92" s="83">
        <v>0</v>
      </c>
      <c r="I92" s="83">
        <v>0</v>
      </c>
      <c r="J92" s="85">
        <v>0</v>
      </c>
      <c r="K92" s="83">
        <f t="shared" si="5"/>
        <v>0</v>
      </c>
    </row>
    <row r="93" spans="1:11" x14ac:dyDescent="0.25">
      <c r="A93">
        <v>82</v>
      </c>
      <c r="B93" s="83">
        <v>0</v>
      </c>
      <c r="C93" s="83">
        <v>0</v>
      </c>
      <c r="D93" s="83">
        <v>0</v>
      </c>
      <c r="E93" s="83">
        <f t="shared" si="4"/>
        <v>0</v>
      </c>
      <c r="G93">
        <v>82</v>
      </c>
      <c r="H93" s="83">
        <v>0</v>
      </c>
      <c r="I93" s="83">
        <v>0</v>
      </c>
      <c r="J93" s="83">
        <v>0</v>
      </c>
      <c r="K93" s="83">
        <f t="shared" si="5"/>
        <v>0</v>
      </c>
    </row>
    <row r="94" spans="1:11" x14ac:dyDescent="0.25">
      <c r="A94">
        <v>83</v>
      </c>
      <c r="B94" s="83">
        <v>0</v>
      </c>
      <c r="C94" s="83">
        <v>0</v>
      </c>
      <c r="D94" s="83">
        <v>0</v>
      </c>
      <c r="E94" s="83">
        <f t="shared" si="4"/>
        <v>0</v>
      </c>
      <c r="G94">
        <v>83</v>
      </c>
      <c r="H94" s="83">
        <v>0</v>
      </c>
      <c r="I94" s="83">
        <v>0</v>
      </c>
      <c r="J94" s="83">
        <v>0</v>
      </c>
      <c r="K94" s="83">
        <f t="shared" si="5"/>
        <v>0</v>
      </c>
    </row>
    <row r="95" spans="1:11" x14ac:dyDescent="0.25">
      <c r="A95">
        <v>84</v>
      </c>
      <c r="B95" s="83">
        <v>0</v>
      </c>
      <c r="C95" s="83">
        <v>0</v>
      </c>
      <c r="D95" s="83">
        <v>0</v>
      </c>
      <c r="E95" s="83">
        <f t="shared" si="4"/>
        <v>0</v>
      </c>
      <c r="G95">
        <v>84</v>
      </c>
      <c r="H95" s="83">
        <v>0</v>
      </c>
      <c r="I95" s="83">
        <v>0</v>
      </c>
      <c r="J95" s="83">
        <v>0</v>
      </c>
      <c r="K95" s="83">
        <f t="shared" si="5"/>
        <v>0</v>
      </c>
    </row>
    <row r="96" spans="1:11" x14ac:dyDescent="0.25">
      <c r="A96">
        <v>85</v>
      </c>
      <c r="B96" s="83">
        <v>0</v>
      </c>
      <c r="C96" s="83">
        <v>0</v>
      </c>
      <c r="D96" s="83">
        <v>0</v>
      </c>
      <c r="E96" s="83">
        <f t="shared" si="4"/>
        <v>0</v>
      </c>
      <c r="G96">
        <v>85</v>
      </c>
      <c r="H96" s="83">
        <v>0</v>
      </c>
      <c r="I96" s="83">
        <v>0</v>
      </c>
      <c r="J96" s="83">
        <v>0</v>
      </c>
      <c r="K96" s="83">
        <f t="shared" si="5"/>
        <v>0</v>
      </c>
    </row>
    <row r="97" spans="1:12" x14ac:dyDescent="0.25">
      <c r="A97">
        <v>86</v>
      </c>
      <c r="B97" s="83">
        <v>0</v>
      </c>
      <c r="C97" s="83">
        <v>0</v>
      </c>
      <c r="D97" s="83">
        <v>0</v>
      </c>
      <c r="E97" s="83">
        <f t="shared" si="4"/>
        <v>0</v>
      </c>
      <c r="G97">
        <v>86</v>
      </c>
      <c r="H97" s="83">
        <v>0</v>
      </c>
      <c r="I97" s="83">
        <v>0</v>
      </c>
      <c r="J97" s="83">
        <v>0</v>
      </c>
      <c r="K97" s="83">
        <f t="shared" si="5"/>
        <v>0</v>
      </c>
    </row>
    <row r="98" spans="1:12" x14ac:dyDescent="0.25">
      <c r="A98">
        <v>87</v>
      </c>
      <c r="B98" s="83">
        <v>0</v>
      </c>
      <c r="C98" s="83">
        <v>0</v>
      </c>
      <c r="D98" s="83">
        <v>0</v>
      </c>
      <c r="E98" s="83">
        <f t="shared" si="4"/>
        <v>0</v>
      </c>
      <c r="G98">
        <v>87</v>
      </c>
      <c r="H98" s="83">
        <v>0</v>
      </c>
      <c r="I98" s="83">
        <v>0</v>
      </c>
      <c r="J98" s="83">
        <v>0</v>
      </c>
      <c r="K98" s="83">
        <f t="shared" si="5"/>
        <v>0</v>
      </c>
    </row>
    <row r="99" spans="1:12" x14ac:dyDescent="0.25">
      <c r="A99">
        <v>88</v>
      </c>
      <c r="B99" s="83">
        <v>0</v>
      </c>
      <c r="C99" s="83">
        <v>0</v>
      </c>
      <c r="D99" s="83">
        <v>0</v>
      </c>
      <c r="E99" s="83">
        <f t="shared" si="4"/>
        <v>0</v>
      </c>
      <c r="G99">
        <v>88</v>
      </c>
      <c r="H99" s="83">
        <v>0</v>
      </c>
      <c r="I99" s="83">
        <v>0</v>
      </c>
      <c r="J99" s="83">
        <v>0</v>
      </c>
      <c r="K99" s="83">
        <f t="shared" si="5"/>
        <v>0</v>
      </c>
    </row>
    <row r="100" spans="1:12" x14ac:dyDescent="0.25">
      <c r="A100">
        <v>89</v>
      </c>
      <c r="B100" s="83">
        <v>0</v>
      </c>
      <c r="C100" s="83">
        <v>0</v>
      </c>
      <c r="D100" s="83">
        <v>0</v>
      </c>
      <c r="E100" s="83">
        <f t="shared" si="4"/>
        <v>0</v>
      </c>
      <c r="G100">
        <v>89</v>
      </c>
      <c r="H100" s="83">
        <v>0</v>
      </c>
      <c r="I100" s="83">
        <v>0</v>
      </c>
      <c r="J100" s="83">
        <v>0</v>
      </c>
      <c r="K100" s="83">
        <f t="shared" si="5"/>
        <v>0</v>
      </c>
    </row>
    <row r="101" spans="1:12" ht="15.75" thickBot="1" x14ac:dyDescent="0.3">
      <c r="A101" s="1">
        <v>90</v>
      </c>
      <c r="B101" s="84">
        <v>56177.107199999999</v>
      </c>
      <c r="C101" s="84">
        <v>10417.5607</v>
      </c>
      <c r="D101" s="84">
        <v>42483.839500000002</v>
      </c>
      <c r="E101" s="84">
        <f t="shared" si="4"/>
        <v>109078.5074</v>
      </c>
      <c r="G101" s="1">
        <v>90</v>
      </c>
      <c r="H101" s="84">
        <v>69360</v>
      </c>
      <c r="I101" s="84">
        <v>0</v>
      </c>
      <c r="J101" s="84">
        <v>0</v>
      </c>
      <c r="K101" s="84">
        <f t="shared" si="5"/>
        <v>69360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1"/>
  <sheetViews>
    <sheetView workbookViewId="0">
      <selection activeCell="P12" sqref="P12"/>
    </sheetView>
  </sheetViews>
  <sheetFormatPr defaultRowHeight="15" x14ac:dyDescent="0.25"/>
  <cols>
    <col min="2" max="2" width="10.5703125" bestFit="1" customWidth="1" collapsed="1"/>
    <col min="3" max="4" width="9.5703125" bestFit="1" customWidth="1" collapsed="1"/>
    <col min="5" max="5" width="10.5703125" bestFit="1" customWidth="1" collapsed="1"/>
    <col min="8" max="8" width="10.5703125" bestFit="1" customWidth="1" collapsed="1"/>
    <col min="9" max="10" width="9.5703125" bestFit="1" customWidth="1" collapsed="1"/>
    <col min="11" max="11" width="15.85546875" bestFit="1" customWidth="1" collapsed="1"/>
    <col min="15" max="15" width="15.7109375" bestFit="1" customWidth="1" collapsed="1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r="9" spans="1:15" ht="15.7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>
        <v>0</v>
      </c>
      <c r="C11" s="83">
        <v>0</v>
      </c>
      <c r="D11" s="83">
        <v>0</v>
      </c>
      <c r="E11" s="83">
        <f t="shared" ref="E11:E42" si="0">SUM(B11:D11)</f>
        <v>0</v>
      </c>
      <c r="G11">
        <v>0</v>
      </c>
      <c r="H11" s="83">
        <v>33786</v>
      </c>
      <c r="I11" s="83">
        <v>6821</v>
      </c>
      <c r="J11" s="85">
        <v>17713</v>
      </c>
      <c r="K11" s="83">
        <f t="shared" ref="K11:K42" si="1">SUM(H11:J11)</f>
        <v>58320</v>
      </c>
      <c r="M11" t="s">
        <v>41</v>
      </c>
      <c r="N11" s="9">
        <v>21.087312209213582</v>
      </c>
      <c r="O11" s="9">
        <v>13.269861293574703</v>
      </c>
    </row>
    <row r="12" spans="1:15" x14ac:dyDescent="0.25">
      <c r="A12">
        <v>1</v>
      </c>
      <c r="B12" s="83">
        <v>6745.1783000000005</v>
      </c>
      <c r="C12" s="83">
        <v>0</v>
      </c>
      <c r="D12" s="83">
        <v>0</v>
      </c>
      <c r="E12" s="83">
        <f t="shared" si="0"/>
        <v>6745.1783000000005</v>
      </c>
      <c r="G12">
        <v>1</v>
      </c>
      <c r="H12" s="83">
        <v>17514</v>
      </c>
      <c r="I12" s="83">
        <v>1756</v>
      </c>
      <c r="J12" s="85">
        <v>1299</v>
      </c>
      <c r="K12" s="83">
        <f t="shared" si="1"/>
        <v>20569</v>
      </c>
      <c r="M12" t="s">
        <v>42</v>
      </c>
      <c r="N12" s="9">
        <v>24.505741344918366</v>
      </c>
      <c r="O12" s="9">
        <v>17.169271952297542</v>
      </c>
    </row>
    <row r="13" spans="1:15" x14ac:dyDescent="0.25">
      <c r="A13">
        <v>2</v>
      </c>
      <c r="B13" s="83">
        <v>6033.2902999999997</v>
      </c>
      <c r="C13" s="83">
        <v>0</v>
      </c>
      <c r="D13" s="83">
        <v>0</v>
      </c>
      <c r="E13" s="83">
        <f t="shared" si="0"/>
        <v>6033.2902999999997</v>
      </c>
      <c r="G13">
        <v>2</v>
      </c>
      <c r="H13" s="83">
        <v>22868</v>
      </c>
      <c r="I13" s="83">
        <v>2455</v>
      </c>
      <c r="J13" s="85">
        <v>2213</v>
      </c>
      <c r="K13" s="83">
        <f t="shared" si="1"/>
        <v>27536</v>
      </c>
      <c r="M13" s="6" t="s">
        <v>43</v>
      </c>
      <c r="N13" s="18">
        <v>25.487335023638565</v>
      </c>
      <c r="O13" s="18">
        <v>24.386056247567502</v>
      </c>
    </row>
    <row r="14" spans="1:15" ht="15.75" thickBot="1" x14ac:dyDescent="0.3">
      <c r="A14">
        <v>3</v>
      </c>
      <c r="B14" s="83">
        <v>7285.3036000000002</v>
      </c>
      <c r="C14" s="83">
        <v>827.74030000000005</v>
      </c>
      <c r="D14" s="83">
        <v>112.982</v>
      </c>
      <c r="E14" s="83">
        <f t="shared" si="0"/>
        <v>8226.0259000000005</v>
      </c>
      <c r="G14">
        <v>3</v>
      </c>
      <c r="H14" s="83">
        <v>24394</v>
      </c>
      <c r="I14" s="83">
        <v>2600</v>
      </c>
      <c r="J14" s="85">
        <v>2718</v>
      </c>
      <c r="K14" s="83">
        <f t="shared" si="1"/>
        <v>29712</v>
      </c>
      <c r="M14" s="1" t="s">
        <v>3</v>
      </c>
      <c r="N14" s="19">
        <v>21.973485253303615</v>
      </c>
      <c r="O14" s="19">
        <v>16.813165213062298</v>
      </c>
    </row>
    <row r="15" spans="1:15" x14ac:dyDescent="0.25">
      <c r="A15">
        <v>4</v>
      </c>
      <c r="B15" s="83">
        <v>10392.525900000001</v>
      </c>
      <c r="C15" s="83">
        <v>728.3605</v>
      </c>
      <c r="D15" s="83">
        <v>12.928000000000001</v>
      </c>
      <c r="E15" s="83">
        <f t="shared" si="0"/>
        <v>11133.814400000001</v>
      </c>
      <c r="G15">
        <v>4</v>
      </c>
      <c r="H15" s="83">
        <v>24166</v>
      </c>
      <c r="I15" s="83">
        <v>2772</v>
      </c>
      <c r="J15" s="85">
        <v>3386</v>
      </c>
      <c r="K15" s="83">
        <f t="shared" si="1"/>
        <v>30324</v>
      </c>
    </row>
    <row r="16" spans="1:15" x14ac:dyDescent="0.25">
      <c r="A16">
        <v>5</v>
      </c>
      <c r="B16" s="83">
        <v>5646.9799000000003</v>
      </c>
      <c r="C16" s="83">
        <v>329.50459999999998</v>
      </c>
      <c r="D16" s="83">
        <v>7452.6958000000004</v>
      </c>
      <c r="E16" s="83">
        <f t="shared" si="0"/>
        <v>13429.1803</v>
      </c>
      <c r="G16">
        <v>5</v>
      </c>
      <c r="H16" s="83">
        <v>22848</v>
      </c>
      <c r="I16" s="83">
        <v>2721</v>
      </c>
      <c r="J16" s="85">
        <v>3252</v>
      </c>
      <c r="K16" s="83">
        <f t="shared" si="1"/>
        <v>28821</v>
      </c>
    </row>
    <row r="17" spans="1:11" x14ac:dyDescent="0.25">
      <c r="A17">
        <v>6</v>
      </c>
      <c r="B17" s="83">
        <v>5830.5564999999997</v>
      </c>
      <c r="C17" s="83">
        <v>1405.8462999999999</v>
      </c>
      <c r="D17" s="83">
        <v>224.76899999999998</v>
      </c>
      <c r="E17" s="83">
        <f t="shared" si="0"/>
        <v>7461.1718000000001</v>
      </c>
      <c r="G17">
        <v>6</v>
      </c>
      <c r="H17" s="83">
        <v>20692</v>
      </c>
      <c r="I17" s="83">
        <v>2683</v>
      </c>
      <c r="J17" s="85">
        <v>3689</v>
      </c>
      <c r="K17" s="83">
        <f t="shared" si="1"/>
        <v>27064</v>
      </c>
    </row>
    <row r="18" spans="1:11" x14ac:dyDescent="0.25">
      <c r="A18">
        <v>7</v>
      </c>
      <c r="B18" s="83">
        <v>9951.9981000000007</v>
      </c>
      <c r="C18" s="83">
        <v>795.16</v>
      </c>
      <c r="D18" s="83">
        <v>215.69199999999998</v>
      </c>
      <c r="E18" s="83">
        <f t="shared" si="0"/>
        <v>10962.8501</v>
      </c>
      <c r="G18">
        <v>7</v>
      </c>
      <c r="H18" s="83">
        <v>19134</v>
      </c>
      <c r="I18" s="83">
        <v>2523</v>
      </c>
      <c r="J18" s="85">
        <v>3349</v>
      </c>
      <c r="K18" s="83">
        <f t="shared" si="1"/>
        <v>25006</v>
      </c>
    </row>
    <row r="19" spans="1:11" x14ac:dyDescent="0.25">
      <c r="A19">
        <v>8</v>
      </c>
      <c r="B19" s="83">
        <v>2651.7325000000001</v>
      </c>
      <c r="C19" s="83">
        <v>0</v>
      </c>
      <c r="D19" s="83">
        <v>766.78899999999999</v>
      </c>
      <c r="E19" s="83">
        <f t="shared" si="0"/>
        <v>3418.5214999999998</v>
      </c>
      <c r="G19">
        <v>8</v>
      </c>
      <c r="H19" s="83">
        <v>16411</v>
      </c>
      <c r="I19" s="83">
        <v>2242</v>
      </c>
      <c r="J19" s="85">
        <v>2378</v>
      </c>
      <c r="K19" s="83">
        <f t="shared" si="1"/>
        <v>21031</v>
      </c>
    </row>
    <row r="20" spans="1:11" x14ac:dyDescent="0.25">
      <c r="A20">
        <v>9</v>
      </c>
      <c r="B20" s="83">
        <v>10667.088099999999</v>
      </c>
      <c r="C20" s="83">
        <v>1134.9395999999999</v>
      </c>
      <c r="D20" s="83">
        <v>80.25569999999999</v>
      </c>
      <c r="E20" s="83">
        <f t="shared" si="0"/>
        <v>11882.283399999998</v>
      </c>
      <c r="G20">
        <v>9</v>
      </c>
      <c r="H20" s="83">
        <v>14815</v>
      </c>
      <c r="I20" s="83">
        <v>2174</v>
      </c>
      <c r="J20" s="85">
        <v>2386</v>
      </c>
      <c r="K20" s="83">
        <f t="shared" si="1"/>
        <v>19375</v>
      </c>
    </row>
    <row r="21" spans="1:11" x14ac:dyDescent="0.25">
      <c r="A21">
        <v>10</v>
      </c>
      <c r="B21" s="83">
        <v>4602.3874000000005</v>
      </c>
      <c r="C21" s="83">
        <v>541.97919999999999</v>
      </c>
      <c r="D21" s="83">
        <v>0</v>
      </c>
      <c r="E21" s="83">
        <f t="shared" si="0"/>
        <v>5144.3666000000003</v>
      </c>
      <c r="G21">
        <v>10</v>
      </c>
      <c r="H21" s="83">
        <v>12281</v>
      </c>
      <c r="I21" s="83">
        <v>1911</v>
      </c>
      <c r="J21" s="85">
        <v>2497</v>
      </c>
      <c r="K21" s="83">
        <f t="shared" si="1"/>
        <v>16689</v>
      </c>
    </row>
    <row r="22" spans="1:11" x14ac:dyDescent="0.25">
      <c r="A22">
        <v>11</v>
      </c>
      <c r="B22" s="83">
        <v>8116.9630999999999</v>
      </c>
      <c r="C22" s="83">
        <v>1022.1395</v>
      </c>
      <c r="D22" s="83">
        <v>445.91759999999999</v>
      </c>
      <c r="E22" s="83">
        <f t="shared" si="0"/>
        <v>9585.0202000000008</v>
      </c>
      <c r="G22">
        <v>11</v>
      </c>
      <c r="H22" s="83">
        <v>10435</v>
      </c>
      <c r="I22" s="83">
        <v>1667</v>
      </c>
      <c r="J22" s="85">
        <v>2101</v>
      </c>
      <c r="K22" s="83">
        <f t="shared" si="1"/>
        <v>14203</v>
      </c>
    </row>
    <row r="23" spans="1:11" x14ac:dyDescent="0.25">
      <c r="A23">
        <v>12</v>
      </c>
      <c r="B23" s="83">
        <v>20061.9584</v>
      </c>
      <c r="C23" s="83">
        <v>2444.9375999999997</v>
      </c>
      <c r="D23" s="83">
        <v>253.25909999999999</v>
      </c>
      <c r="E23" s="83">
        <f t="shared" si="0"/>
        <v>22760.1551</v>
      </c>
      <c r="G23">
        <v>12</v>
      </c>
      <c r="H23" s="83">
        <v>9632</v>
      </c>
      <c r="I23" s="83">
        <v>1478</v>
      </c>
      <c r="J23" s="85">
        <v>1908</v>
      </c>
      <c r="K23" s="83">
        <f t="shared" si="1"/>
        <v>13018</v>
      </c>
    </row>
    <row r="24" spans="1:11" x14ac:dyDescent="0.25">
      <c r="A24">
        <v>13</v>
      </c>
      <c r="B24" s="83">
        <v>7538.7794000000004</v>
      </c>
      <c r="C24" s="83">
        <v>241.2413</v>
      </c>
      <c r="D24" s="83">
        <v>924.3569</v>
      </c>
      <c r="E24" s="83">
        <f t="shared" si="0"/>
        <v>8704.3775999999998</v>
      </c>
      <c r="G24">
        <v>13</v>
      </c>
      <c r="H24" s="83">
        <v>7569</v>
      </c>
      <c r="I24" s="83">
        <v>1436</v>
      </c>
      <c r="J24" s="85">
        <v>1127</v>
      </c>
      <c r="K24" s="83">
        <f t="shared" si="1"/>
        <v>10132</v>
      </c>
    </row>
    <row r="25" spans="1:11" x14ac:dyDescent="0.25">
      <c r="A25">
        <v>14</v>
      </c>
      <c r="B25" s="83">
        <v>11279.2145</v>
      </c>
      <c r="C25" s="83">
        <v>834.17840000000001</v>
      </c>
      <c r="D25" s="83">
        <v>1634.7037</v>
      </c>
      <c r="E25" s="83">
        <f t="shared" si="0"/>
        <v>13748.096600000001</v>
      </c>
      <c r="G25">
        <v>14</v>
      </c>
      <c r="H25" s="83">
        <v>6651</v>
      </c>
      <c r="I25" s="83">
        <v>1108</v>
      </c>
      <c r="J25" s="85">
        <v>1097</v>
      </c>
      <c r="K25" s="83">
        <f t="shared" si="1"/>
        <v>8856</v>
      </c>
    </row>
    <row r="26" spans="1:11" x14ac:dyDescent="0.25">
      <c r="A26">
        <v>15</v>
      </c>
      <c r="B26" s="83">
        <v>1343.0691999999999</v>
      </c>
      <c r="C26" s="83">
        <v>0</v>
      </c>
      <c r="D26" s="83">
        <v>196.95</v>
      </c>
      <c r="E26" s="83">
        <f t="shared" si="0"/>
        <v>1540.0192</v>
      </c>
      <c r="G26">
        <v>15</v>
      </c>
      <c r="H26" s="83">
        <v>7496</v>
      </c>
      <c r="I26" s="83">
        <v>1186</v>
      </c>
      <c r="J26" s="85">
        <v>770</v>
      </c>
      <c r="K26" s="83">
        <f t="shared" si="1"/>
        <v>9452</v>
      </c>
    </row>
    <row r="27" spans="1:11" x14ac:dyDescent="0.25">
      <c r="A27">
        <v>16</v>
      </c>
      <c r="B27" s="83">
        <v>25742.307499999999</v>
      </c>
      <c r="C27" s="83">
        <v>2312.2284</v>
      </c>
      <c r="D27" s="83">
        <v>1590.6269</v>
      </c>
      <c r="E27" s="83">
        <f t="shared" si="0"/>
        <v>29645.162799999998</v>
      </c>
      <c r="G27">
        <v>16</v>
      </c>
      <c r="H27" s="83">
        <v>6077</v>
      </c>
      <c r="I27" s="83">
        <v>1105</v>
      </c>
      <c r="J27" s="85">
        <v>900</v>
      </c>
      <c r="K27" s="83">
        <f t="shared" si="1"/>
        <v>8082</v>
      </c>
    </row>
    <row r="28" spans="1:11" x14ac:dyDescent="0.25">
      <c r="A28">
        <v>17</v>
      </c>
      <c r="B28" s="83">
        <v>11071.697899999999</v>
      </c>
      <c r="C28" s="83">
        <v>666.92319999999995</v>
      </c>
      <c r="D28" s="83">
        <v>0</v>
      </c>
      <c r="E28" s="83">
        <f t="shared" si="0"/>
        <v>11738.621099999998</v>
      </c>
      <c r="G28">
        <v>17</v>
      </c>
      <c r="H28" s="83">
        <v>5818</v>
      </c>
      <c r="I28" s="83">
        <v>1011</v>
      </c>
      <c r="J28" s="85">
        <v>1075</v>
      </c>
      <c r="K28" s="83">
        <f t="shared" si="1"/>
        <v>7904</v>
      </c>
    </row>
    <row r="29" spans="1:11" x14ac:dyDescent="0.25">
      <c r="A29">
        <v>18</v>
      </c>
      <c r="B29" s="83">
        <v>37230.789199999999</v>
      </c>
      <c r="C29" s="83">
        <v>5722.6716999999999</v>
      </c>
      <c r="D29" s="83">
        <v>5352.9331999999995</v>
      </c>
      <c r="E29" s="83">
        <f t="shared" si="0"/>
        <v>48306.394099999998</v>
      </c>
      <c r="G29">
        <v>18</v>
      </c>
      <c r="H29" s="83">
        <v>67198</v>
      </c>
      <c r="I29" s="83">
        <v>12841</v>
      </c>
      <c r="J29" s="85">
        <v>14488</v>
      </c>
      <c r="K29" s="83">
        <f t="shared" si="1"/>
        <v>94527</v>
      </c>
    </row>
    <row r="30" spans="1:11" x14ac:dyDescent="0.25">
      <c r="A30">
        <v>19</v>
      </c>
      <c r="B30" s="83">
        <v>19208.2896</v>
      </c>
      <c r="C30" s="83">
        <v>5036.6940000000004</v>
      </c>
      <c r="D30" s="83">
        <v>4783.6117999999997</v>
      </c>
      <c r="E30" s="83">
        <f t="shared" si="0"/>
        <v>29028.595399999998</v>
      </c>
      <c r="G30">
        <v>19</v>
      </c>
      <c r="H30" s="83">
        <v>15132</v>
      </c>
      <c r="I30" s="83">
        <v>3145</v>
      </c>
      <c r="J30" s="85">
        <v>5994</v>
      </c>
      <c r="K30" s="83">
        <f t="shared" si="1"/>
        <v>24271</v>
      </c>
    </row>
    <row r="31" spans="1:11" x14ac:dyDescent="0.25">
      <c r="A31">
        <v>20</v>
      </c>
      <c r="B31" s="83">
        <v>41266.024400000002</v>
      </c>
      <c r="C31" s="83">
        <v>2008.2398000000001</v>
      </c>
      <c r="D31" s="83">
        <v>3383.5686999999998</v>
      </c>
      <c r="E31" s="83">
        <f t="shared" si="0"/>
        <v>46657.832900000009</v>
      </c>
      <c r="G31">
        <v>20</v>
      </c>
      <c r="H31" s="83">
        <v>13576</v>
      </c>
      <c r="I31" s="83">
        <v>3272</v>
      </c>
      <c r="J31" s="85">
        <v>9058</v>
      </c>
      <c r="K31" s="83">
        <f t="shared" si="1"/>
        <v>25906</v>
      </c>
    </row>
    <row r="32" spans="1:11" x14ac:dyDescent="0.25">
      <c r="A32">
        <v>21</v>
      </c>
      <c r="B32" s="83">
        <v>20348.698100000001</v>
      </c>
      <c r="C32" s="83">
        <v>3177.5144</v>
      </c>
      <c r="D32" s="83">
        <v>3402.5726</v>
      </c>
      <c r="E32" s="83">
        <f t="shared" si="0"/>
        <v>26928.785100000001</v>
      </c>
      <c r="G32">
        <v>21</v>
      </c>
      <c r="H32" s="83">
        <v>15568</v>
      </c>
      <c r="I32" s="83">
        <v>4319</v>
      </c>
      <c r="J32" s="85">
        <v>13819</v>
      </c>
      <c r="K32" s="83">
        <f t="shared" si="1"/>
        <v>33706</v>
      </c>
    </row>
    <row r="33" spans="1:11" x14ac:dyDescent="0.25">
      <c r="A33">
        <v>22</v>
      </c>
      <c r="B33" s="83">
        <v>21622.0733</v>
      </c>
      <c r="C33" s="83">
        <v>2015.7887000000001</v>
      </c>
      <c r="D33" s="83">
        <v>4173.3805000000002</v>
      </c>
      <c r="E33" s="83">
        <f t="shared" si="0"/>
        <v>27811.2425</v>
      </c>
      <c r="G33">
        <v>22</v>
      </c>
      <c r="H33" s="83">
        <v>19597</v>
      </c>
      <c r="I33" s="83">
        <v>4677</v>
      </c>
      <c r="J33" s="85">
        <v>4365</v>
      </c>
      <c r="K33" s="83">
        <f t="shared" si="1"/>
        <v>28639</v>
      </c>
    </row>
    <row r="34" spans="1:11" x14ac:dyDescent="0.25">
      <c r="A34">
        <v>23</v>
      </c>
      <c r="B34" s="83">
        <v>3476.5962</v>
      </c>
      <c r="C34" s="83">
        <v>87.1083</v>
      </c>
      <c r="D34" s="83">
        <v>2692.1727000000001</v>
      </c>
      <c r="E34" s="83">
        <f t="shared" si="0"/>
        <v>6255.8771999999999</v>
      </c>
      <c r="G34">
        <v>23</v>
      </c>
      <c r="H34" s="83">
        <v>13816</v>
      </c>
      <c r="I34" s="83">
        <v>3000</v>
      </c>
      <c r="J34" s="85">
        <v>9241</v>
      </c>
      <c r="K34" s="83">
        <f t="shared" si="1"/>
        <v>26057</v>
      </c>
    </row>
    <row r="35" spans="1:11" x14ac:dyDescent="0.25">
      <c r="A35">
        <v>24</v>
      </c>
      <c r="B35" s="83">
        <v>14231.0566</v>
      </c>
      <c r="C35" s="83">
        <v>5333.9229000000005</v>
      </c>
      <c r="D35" s="83">
        <v>1554.6602</v>
      </c>
      <c r="E35" s="83">
        <f t="shared" si="0"/>
        <v>21119.6397</v>
      </c>
      <c r="G35">
        <v>24</v>
      </c>
      <c r="H35" s="83">
        <v>10155</v>
      </c>
      <c r="I35" s="83">
        <v>2848</v>
      </c>
      <c r="J35" s="85">
        <v>10386</v>
      </c>
      <c r="K35" s="83">
        <f t="shared" si="1"/>
        <v>23389</v>
      </c>
    </row>
    <row r="36" spans="1:11" x14ac:dyDescent="0.25">
      <c r="A36">
        <v>25</v>
      </c>
      <c r="B36" s="83">
        <v>14298.2394</v>
      </c>
      <c r="C36" s="83">
        <v>294.77409999999998</v>
      </c>
      <c r="D36" s="83">
        <v>1148.9579000000001</v>
      </c>
      <c r="E36" s="83">
        <f t="shared" si="0"/>
        <v>15741.9714</v>
      </c>
      <c r="G36">
        <v>25</v>
      </c>
      <c r="H36" s="83">
        <v>9723</v>
      </c>
      <c r="I36" s="83">
        <v>2935</v>
      </c>
      <c r="J36" s="85">
        <v>8072</v>
      </c>
      <c r="K36" s="83">
        <f t="shared" si="1"/>
        <v>20730</v>
      </c>
    </row>
    <row r="37" spans="1:11" x14ac:dyDescent="0.25">
      <c r="A37">
        <v>26</v>
      </c>
      <c r="B37" s="83">
        <v>33839.313099999999</v>
      </c>
      <c r="C37" s="83">
        <v>7174.6509999999998</v>
      </c>
      <c r="D37" s="83">
        <v>887.428</v>
      </c>
      <c r="E37" s="83">
        <f t="shared" si="0"/>
        <v>41901.392099999997</v>
      </c>
      <c r="G37">
        <v>26</v>
      </c>
      <c r="H37" s="83">
        <v>6149</v>
      </c>
      <c r="I37" s="83">
        <v>2098</v>
      </c>
      <c r="J37" s="85">
        <v>11676</v>
      </c>
      <c r="K37" s="83">
        <f t="shared" si="1"/>
        <v>19923</v>
      </c>
    </row>
    <row r="38" spans="1:11" x14ac:dyDescent="0.25">
      <c r="A38">
        <v>27</v>
      </c>
      <c r="B38" s="83">
        <v>3780.4168</v>
      </c>
      <c r="C38" s="83">
        <v>2004.8523</v>
      </c>
      <c r="D38" s="83">
        <v>451.75979999999998</v>
      </c>
      <c r="E38" s="83">
        <f t="shared" si="0"/>
        <v>6237.0288999999993</v>
      </c>
      <c r="G38">
        <v>27</v>
      </c>
      <c r="H38" s="83">
        <v>4340</v>
      </c>
      <c r="I38" s="83">
        <v>1637</v>
      </c>
      <c r="J38" s="85">
        <v>6343</v>
      </c>
      <c r="K38" s="83">
        <f t="shared" si="1"/>
        <v>12320</v>
      </c>
    </row>
    <row r="39" spans="1:11" x14ac:dyDescent="0.25">
      <c r="A39">
        <v>28</v>
      </c>
      <c r="B39" s="83">
        <v>11328.2202</v>
      </c>
      <c r="C39" s="83">
        <v>1681.9155000000001</v>
      </c>
      <c r="D39" s="83">
        <v>1986.3262</v>
      </c>
      <c r="E39" s="83">
        <f t="shared" si="0"/>
        <v>14996.461899999998</v>
      </c>
      <c r="G39">
        <v>28</v>
      </c>
      <c r="H39" s="83">
        <v>3315</v>
      </c>
      <c r="I39" s="83">
        <v>1252</v>
      </c>
      <c r="J39" s="85">
        <v>5410</v>
      </c>
      <c r="K39" s="83">
        <f t="shared" si="1"/>
        <v>9977</v>
      </c>
    </row>
    <row r="40" spans="1:11" x14ac:dyDescent="0.25">
      <c r="A40">
        <v>29</v>
      </c>
      <c r="B40" s="83">
        <v>4032.5270000000005</v>
      </c>
      <c r="C40" s="83">
        <v>2926.6144000000004</v>
      </c>
      <c r="D40" s="83">
        <v>1539.4123</v>
      </c>
      <c r="E40" s="83">
        <f t="shared" si="0"/>
        <v>8498.5537000000004</v>
      </c>
      <c r="G40">
        <v>29</v>
      </c>
      <c r="H40" s="83">
        <v>3068</v>
      </c>
      <c r="I40" s="83">
        <v>1396</v>
      </c>
      <c r="J40" s="85">
        <v>4130</v>
      </c>
      <c r="K40" s="83">
        <f t="shared" si="1"/>
        <v>8594</v>
      </c>
    </row>
    <row r="41" spans="1:11" x14ac:dyDescent="0.25">
      <c r="A41">
        <v>30</v>
      </c>
      <c r="B41" s="83">
        <v>14496.886</v>
      </c>
      <c r="C41" s="83">
        <v>3870.1862000000001</v>
      </c>
      <c r="D41" s="83">
        <v>1444.3077000000001</v>
      </c>
      <c r="E41" s="83">
        <f t="shared" si="0"/>
        <v>19811.379900000004</v>
      </c>
      <c r="G41">
        <v>30</v>
      </c>
      <c r="H41" s="83">
        <v>3526</v>
      </c>
      <c r="I41" s="83">
        <v>1465</v>
      </c>
      <c r="J41" s="85">
        <v>4610</v>
      </c>
      <c r="K41" s="83">
        <f t="shared" si="1"/>
        <v>9601</v>
      </c>
    </row>
    <row r="42" spans="1:11" x14ac:dyDescent="0.25">
      <c r="A42">
        <v>31</v>
      </c>
      <c r="B42" s="83">
        <v>4371.8630999999996</v>
      </c>
      <c r="C42" s="83">
        <v>2765.5990999999999</v>
      </c>
      <c r="D42" s="83">
        <v>1153.2854</v>
      </c>
      <c r="E42" s="83">
        <f t="shared" si="0"/>
        <v>8290.7476000000006</v>
      </c>
      <c r="G42">
        <v>31</v>
      </c>
      <c r="H42" s="83">
        <v>7444</v>
      </c>
      <c r="I42" s="83">
        <v>1913</v>
      </c>
      <c r="J42" s="85">
        <v>3893</v>
      </c>
      <c r="K42" s="83">
        <f t="shared" si="1"/>
        <v>13250</v>
      </c>
    </row>
    <row r="43" spans="1:11" x14ac:dyDescent="0.25">
      <c r="A43">
        <v>32</v>
      </c>
      <c r="B43" s="83">
        <v>4797.0135</v>
      </c>
      <c r="C43" s="83">
        <v>679.53390000000002</v>
      </c>
      <c r="D43" s="83">
        <v>193.37780000000001</v>
      </c>
      <c r="E43" s="83">
        <f t="shared" ref="E43:E74" si="2">SUM(B43:D43)</f>
        <v>5669.9252000000006</v>
      </c>
      <c r="G43">
        <v>32</v>
      </c>
      <c r="H43" s="83">
        <v>3019</v>
      </c>
      <c r="I43" s="83">
        <v>1071</v>
      </c>
      <c r="J43" s="85">
        <v>6471</v>
      </c>
      <c r="K43" s="83">
        <f t="shared" ref="K43:K74" si="3">SUM(H43:J43)</f>
        <v>10561</v>
      </c>
    </row>
    <row r="44" spans="1:11" x14ac:dyDescent="0.25">
      <c r="A44">
        <v>33</v>
      </c>
      <c r="B44" s="83">
        <v>3526.8323</v>
      </c>
      <c r="C44" s="83">
        <v>0</v>
      </c>
      <c r="D44" s="83">
        <v>2470.4290999999998</v>
      </c>
      <c r="E44" s="83">
        <f t="shared" si="2"/>
        <v>5997.2613999999994</v>
      </c>
      <c r="G44">
        <v>33</v>
      </c>
      <c r="H44" s="83">
        <v>1952</v>
      </c>
      <c r="I44" s="83">
        <v>904</v>
      </c>
      <c r="J44" s="85">
        <v>5285</v>
      </c>
      <c r="K44" s="83">
        <f t="shared" si="3"/>
        <v>8141</v>
      </c>
    </row>
    <row r="45" spans="1:11" x14ac:dyDescent="0.25">
      <c r="A45">
        <v>34</v>
      </c>
      <c r="B45" s="83">
        <v>12890.1114</v>
      </c>
      <c r="C45" s="83">
        <v>645.07359999999994</v>
      </c>
      <c r="D45" s="83">
        <v>1201.6505</v>
      </c>
      <c r="E45" s="83">
        <f t="shared" si="2"/>
        <v>14736.835499999999</v>
      </c>
      <c r="G45">
        <v>34</v>
      </c>
      <c r="H45" s="83">
        <v>1059</v>
      </c>
      <c r="I45" s="83">
        <v>599</v>
      </c>
      <c r="J45" s="85">
        <v>3776</v>
      </c>
      <c r="K45" s="83">
        <f t="shared" si="3"/>
        <v>5434</v>
      </c>
    </row>
    <row r="46" spans="1:11" x14ac:dyDescent="0.25">
      <c r="A46">
        <v>35</v>
      </c>
      <c r="B46" s="83">
        <v>0</v>
      </c>
      <c r="C46" s="83">
        <v>438.06880000000001</v>
      </c>
      <c r="D46" s="83">
        <v>388.37090000000001</v>
      </c>
      <c r="E46" s="83">
        <f t="shared" si="2"/>
        <v>826.43970000000002</v>
      </c>
      <c r="G46">
        <v>35</v>
      </c>
      <c r="H46" s="83">
        <v>1368</v>
      </c>
      <c r="I46" s="83">
        <v>688</v>
      </c>
      <c r="J46" s="85">
        <v>2324</v>
      </c>
      <c r="K46" s="83">
        <f t="shared" si="3"/>
        <v>4380</v>
      </c>
    </row>
    <row r="47" spans="1:11" x14ac:dyDescent="0.25">
      <c r="A47">
        <v>36</v>
      </c>
      <c r="B47" s="83">
        <v>264.50869999999998</v>
      </c>
      <c r="C47" s="83">
        <v>0</v>
      </c>
      <c r="D47" s="83">
        <v>1345.1967999999999</v>
      </c>
      <c r="E47" s="83">
        <f t="shared" si="2"/>
        <v>1609.7055</v>
      </c>
      <c r="G47">
        <v>36</v>
      </c>
      <c r="H47" s="83">
        <v>1165</v>
      </c>
      <c r="I47" s="83">
        <v>712</v>
      </c>
      <c r="J47" s="85">
        <v>4139</v>
      </c>
      <c r="K47" s="83">
        <f t="shared" si="3"/>
        <v>6016</v>
      </c>
    </row>
    <row r="48" spans="1:11" x14ac:dyDescent="0.25">
      <c r="A48">
        <v>37</v>
      </c>
      <c r="B48" s="83">
        <v>4936.4268000000002</v>
      </c>
      <c r="C48" s="83">
        <v>1379.2523000000001</v>
      </c>
      <c r="D48" s="83">
        <v>327.40269999999998</v>
      </c>
      <c r="E48" s="83">
        <f t="shared" si="2"/>
        <v>6643.0817999999999</v>
      </c>
      <c r="G48">
        <v>37</v>
      </c>
      <c r="H48" s="83">
        <v>772</v>
      </c>
      <c r="I48" s="83">
        <v>598</v>
      </c>
      <c r="J48" s="85">
        <v>2890</v>
      </c>
      <c r="K48" s="83">
        <f t="shared" si="3"/>
        <v>4260</v>
      </c>
    </row>
    <row r="49" spans="1:11" x14ac:dyDescent="0.25">
      <c r="A49">
        <v>38</v>
      </c>
      <c r="B49" s="83">
        <v>3535.002</v>
      </c>
      <c r="C49" s="83">
        <v>1625.885</v>
      </c>
      <c r="D49" s="83">
        <v>953.40769999999998</v>
      </c>
      <c r="E49" s="83">
        <f t="shared" si="2"/>
        <v>6114.2946999999995</v>
      </c>
      <c r="G49">
        <v>38</v>
      </c>
      <c r="H49" s="83">
        <v>443</v>
      </c>
      <c r="I49" s="83">
        <v>440</v>
      </c>
      <c r="J49" s="85">
        <v>2034</v>
      </c>
      <c r="K49" s="83">
        <f t="shared" si="3"/>
        <v>2917</v>
      </c>
    </row>
    <row r="50" spans="1:11" x14ac:dyDescent="0.25">
      <c r="A50">
        <v>39</v>
      </c>
      <c r="B50" s="83">
        <v>551.82499999999993</v>
      </c>
      <c r="C50" s="83">
        <v>0</v>
      </c>
      <c r="D50" s="83">
        <v>1511.3800999999999</v>
      </c>
      <c r="E50" s="83">
        <f t="shared" si="2"/>
        <v>2063.2050999999997</v>
      </c>
      <c r="G50">
        <v>39</v>
      </c>
      <c r="H50" s="83">
        <v>457</v>
      </c>
      <c r="I50" s="83">
        <v>406</v>
      </c>
      <c r="J50" s="85">
        <v>3385</v>
      </c>
      <c r="K50" s="83">
        <f t="shared" si="3"/>
        <v>4248</v>
      </c>
    </row>
    <row r="51" spans="1:11" x14ac:dyDescent="0.25">
      <c r="A51">
        <v>40</v>
      </c>
      <c r="B51" s="83">
        <v>0</v>
      </c>
      <c r="C51" s="83">
        <v>55.733899999999998</v>
      </c>
      <c r="D51" s="83">
        <v>145.33349999999999</v>
      </c>
      <c r="E51" s="83">
        <f t="shared" si="2"/>
        <v>201.06739999999999</v>
      </c>
      <c r="G51">
        <v>40</v>
      </c>
      <c r="H51" s="83">
        <v>257</v>
      </c>
      <c r="I51" s="83">
        <v>284</v>
      </c>
      <c r="J51" s="85">
        <v>1104</v>
      </c>
      <c r="K51" s="83">
        <f t="shared" si="3"/>
        <v>1645</v>
      </c>
    </row>
    <row r="52" spans="1:11" x14ac:dyDescent="0.25">
      <c r="A52">
        <v>41</v>
      </c>
      <c r="B52" s="83">
        <v>5402.1253999999999</v>
      </c>
      <c r="C52" s="83">
        <v>0</v>
      </c>
      <c r="D52" s="83">
        <v>316.66180000000003</v>
      </c>
      <c r="E52" s="83">
        <f t="shared" si="2"/>
        <v>5718.7871999999998</v>
      </c>
      <c r="G52">
        <v>41</v>
      </c>
      <c r="H52" s="83">
        <v>113</v>
      </c>
      <c r="I52" s="83">
        <v>195</v>
      </c>
      <c r="J52" s="85">
        <v>1558</v>
      </c>
      <c r="K52" s="83">
        <f t="shared" si="3"/>
        <v>1866</v>
      </c>
    </row>
    <row r="53" spans="1:11" x14ac:dyDescent="0.25">
      <c r="A53">
        <v>42</v>
      </c>
      <c r="B53" s="83">
        <v>0</v>
      </c>
      <c r="C53" s="83">
        <v>0</v>
      </c>
      <c r="D53" s="83">
        <v>214.2046</v>
      </c>
      <c r="E53" s="83">
        <f t="shared" si="2"/>
        <v>214.2046</v>
      </c>
      <c r="G53">
        <v>42</v>
      </c>
      <c r="H53" s="83">
        <v>113</v>
      </c>
      <c r="I53" s="83">
        <v>168</v>
      </c>
      <c r="J53" s="85">
        <v>1468</v>
      </c>
      <c r="K53" s="83">
        <f t="shared" si="3"/>
        <v>1749</v>
      </c>
    </row>
    <row r="54" spans="1:11" x14ac:dyDescent="0.25">
      <c r="A54">
        <v>43</v>
      </c>
      <c r="B54" s="83">
        <v>353.84660000000002</v>
      </c>
      <c r="C54" s="83">
        <v>254.11340000000001</v>
      </c>
      <c r="D54" s="83">
        <v>460.91019999999997</v>
      </c>
      <c r="E54" s="83">
        <f t="shared" si="2"/>
        <v>1068.8702000000001</v>
      </c>
      <c r="G54">
        <v>43</v>
      </c>
      <c r="H54" s="83">
        <v>117</v>
      </c>
      <c r="I54" s="83">
        <v>148</v>
      </c>
      <c r="J54" s="85">
        <v>1306</v>
      </c>
      <c r="K54" s="83">
        <f t="shared" si="3"/>
        <v>1571</v>
      </c>
    </row>
    <row r="55" spans="1:11" x14ac:dyDescent="0.25">
      <c r="A55">
        <v>44</v>
      </c>
      <c r="B55" s="83">
        <v>0</v>
      </c>
      <c r="C55" s="83">
        <v>262.79070000000002</v>
      </c>
      <c r="D55" s="83">
        <v>1013.4291000000001</v>
      </c>
      <c r="E55" s="83">
        <f t="shared" si="2"/>
        <v>1276.2198000000001</v>
      </c>
      <c r="G55">
        <v>44</v>
      </c>
      <c r="H55" s="83">
        <v>62</v>
      </c>
      <c r="I55" s="83">
        <v>139</v>
      </c>
      <c r="J55" s="85">
        <v>1196</v>
      </c>
      <c r="K55" s="83">
        <f t="shared" si="3"/>
        <v>1397</v>
      </c>
    </row>
    <row r="56" spans="1:11" x14ac:dyDescent="0.25">
      <c r="A56">
        <v>45</v>
      </c>
      <c r="B56" s="83">
        <v>14075.8714</v>
      </c>
      <c r="C56" s="83">
        <v>3017.0855000000001</v>
      </c>
      <c r="D56" s="83">
        <v>3907.4936000000002</v>
      </c>
      <c r="E56" s="83">
        <f t="shared" si="2"/>
        <v>21000.450500000003</v>
      </c>
      <c r="G56">
        <v>45</v>
      </c>
      <c r="H56" s="83">
        <v>98</v>
      </c>
      <c r="I56" s="83">
        <v>150</v>
      </c>
      <c r="J56" s="85">
        <v>2903</v>
      </c>
      <c r="K56" s="83">
        <f t="shared" si="3"/>
        <v>3151</v>
      </c>
    </row>
    <row r="57" spans="1:11" x14ac:dyDescent="0.25">
      <c r="A57">
        <v>46</v>
      </c>
      <c r="B57" s="83">
        <v>522.32510000000002</v>
      </c>
      <c r="C57" s="83">
        <v>522.32510000000002</v>
      </c>
      <c r="D57" s="83">
        <v>427.75900000000001</v>
      </c>
      <c r="E57" s="83">
        <f t="shared" si="2"/>
        <v>1472.4092000000001</v>
      </c>
      <c r="G57">
        <v>46</v>
      </c>
      <c r="H57" s="83">
        <v>45</v>
      </c>
      <c r="I57" s="83">
        <v>122</v>
      </c>
      <c r="J57" s="85">
        <v>2733</v>
      </c>
      <c r="K57" s="83">
        <f t="shared" si="3"/>
        <v>2900</v>
      </c>
    </row>
    <row r="58" spans="1:11" x14ac:dyDescent="0.25">
      <c r="A58">
        <v>47</v>
      </c>
      <c r="B58" s="83">
        <v>321.005</v>
      </c>
      <c r="C58" s="83">
        <v>0</v>
      </c>
      <c r="D58" s="83">
        <v>667.40980000000002</v>
      </c>
      <c r="E58" s="83">
        <f t="shared" si="2"/>
        <v>988.41480000000001</v>
      </c>
      <c r="G58">
        <v>47</v>
      </c>
      <c r="H58" s="83">
        <v>40</v>
      </c>
      <c r="I58" s="83">
        <v>94</v>
      </c>
      <c r="J58" s="85">
        <v>557</v>
      </c>
      <c r="K58" s="83">
        <f t="shared" si="3"/>
        <v>691</v>
      </c>
    </row>
    <row r="59" spans="1:11" x14ac:dyDescent="0.25">
      <c r="A59">
        <v>48</v>
      </c>
      <c r="B59" s="83">
        <v>0</v>
      </c>
      <c r="C59" s="83">
        <v>0</v>
      </c>
      <c r="D59" s="83">
        <v>82.013999999999996</v>
      </c>
      <c r="E59" s="83">
        <f t="shared" si="2"/>
        <v>82.013999999999996</v>
      </c>
      <c r="G59">
        <v>48</v>
      </c>
      <c r="H59" s="83">
        <v>32</v>
      </c>
      <c r="I59" s="83">
        <v>86</v>
      </c>
      <c r="J59" s="85">
        <v>1923</v>
      </c>
      <c r="K59" s="83">
        <f t="shared" si="3"/>
        <v>2041</v>
      </c>
    </row>
    <row r="60" spans="1:11" x14ac:dyDescent="0.25">
      <c r="A60">
        <v>49</v>
      </c>
      <c r="B60" s="83">
        <v>1297.2364</v>
      </c>
      <c r="C60" s="83">
        <v>0</v>
      </c>
      <c r="D60" s="83">
        <v>138.9376</v>
      </c>
      <c r="E60" s="83">
        <f t="shared" si="2"/>
        <v>1436.174</v>
      </c>
      <c r="G60">
        <v>49</v>
      </c>
      <c r="H60" s="83">
        <v>30</v>
      </c>
      <c r="I60" s="83">
        <v>55</v>
      </c>
      <c r="J60" s="85">
        <v>860</v>
      </c>
      <c r="K60" s="83">
        <f t="shared" si="3"/>
        <v>945</v>
      </c>
    </row>
    <row r="61" spans="1:11" x14ac:dyDescent="0.25">
      <c r="A61">
        <v>50</v>
      </c>
      <c r="B61" s="83">
        <v>279.85169999999999</v>
      </c>
      <c r="C61" s="83">
        <v>0</v>
      </c>
      <c r="D61" s="83">
        <v>462.85199999999998</v>
      </c>
      <c r="E61" s="83">
        <f t="shared" si="2"/>
        <v>742.70370000000003</v>
      </c>
      <c r="G61">
        <v>50</v>
      </c>
      <c r="H61" s="83">
        <v>20</v>
      </c>
      <c r="I61" s="83">
        <v>57</v>
      </c>
      <c r="J61" s="85">
        <v>1184</v>
      </c>
      <c r="K61" s="83">
        <f t="shared" si="3"/>
        <v>1261</v>
      </c>
    </row>
    <row r="62" spans="1:11" x14ac:dyDescent="0.25">
      <c r="A62">
        <v>51</v>
      </c>
      <c r="B62" s="83">
        <v>0</v>
      </c>
      <c r="C62" s="83">
        <v>0</v>
      </c>
      <c r="D62" s="83">
        <v>27.320999999999998</v>
      </c>
      <c r="E62" s="83">
        <f t="shared" si="2"/>
        <v>27.320999999999998</v>
      </c>
      <c r="G62">
        <v>51</v>
      </c>
      <c r="H62" s="83">
        <v>16</v>
      </c>
      <c r="I62" s="83">
        <v>57</v>
      </c>
      <c r="J62" s="85">
        <v>508</v>
      </c>
      <c r="K62" s="83">
        <f t="shared" si="3"/>
        <v>581</v>
      </c>
    </row>
    <row r="63" spans="1:11" x14ac:dyDescent="0.25">
      <c r="A63">
        <v>52</v>
      </c>
      <c r="B63" s="83">
        <v>775.44090000000006</v>
      </c>
      <c r="C63" s="83">
        <v>0</v>
      </c>
      <c r="D63" s="83">
        <v>0</v>
      </c>
      <c r="E63" s="83">
        <f t="shared" si="2"/>
        <v>775.44090000000006</v>
      </c>
      <c r="G63">
        <v>52</v>
      </c>
      <c r="H63" s="83">
        <v>10</v>
      </c>
      <c r="I63" s="83">
        <v>54</v>
      </c>
      <c r="J63" s="85">
        <v>1015</v>
      </c>
      <c r="K63" s="83">
        <f t="shared" si="3"/>
        <v>1079</v>
      </c>
    </row>
    <row r="64" spans="1:11" x14ac:dyDescent="0.25">
      <c r="A64">
        <v>53</v>
      </c>
      <c r="B64" s="83">
        <v>0</v>
      </c>
      <c r="C64" s="83">
        <v>0</v>
      </c>
      <c r="D64" s="83">
        <v>227.03720000000001</v>
      </c>
      <c r="E64" s="83">
        <f t="shared" si="2"/>
        <v>227.03720000000001</v>
      </c>
      <c r="G64">
        <v>53</v>
      </c>
      <c r="H64" s="83">
        <v>11</v>
      </c>
      <c r="I64" s="83">
        <v>40</v>
      </c>
      <c r="J64" s="85">
        <v>1584</v>
      </c>
      <c r="K64" s="83">
        <f t="shared" si="3"/>
        <v>1635</v>
      </c>
    </row>
    <row r="65" spans="1:11" x14ac:dyDescent="0.25">
      <c r="A65">
        <v>54</v>
      </c>
      <c r="B65" s="83">
        <v>0</v>
      </c>
      <c r="C65" s="83">
        <v>0</v>
      </c>
      <c r="D65" s="83">
        <v>0</v>
      </c>
      <c r="E65" s="83">
        <f t="shared" si="2"/>
        <v>0</v>
      </c>
      <c r="G65">
        <v>54</v>
      </c>
      <c r="H65" s="83">
        <v>11</v>
      </c>
      <c r="I65" s="83">
        <v>54</v>
      </c>
      <c r="J65" s="85">
        <v>956</v>
      </c>
      <c r="K65" s="83">
        <f t="shared" si="3"/>
        <v>1021</v>
      </c>
    </row>
    <row r="66" spans="1:11" x14ac:dyDescent="0.25">
      <c r="A66">
        <v>55</v>
      </c>
      <c r="B66" s="83">
        <v>1287.2831999999999</v>
      </c>
      <c r="C66" s="83">
        <v>1194.723</v>
      </c>
      <c r="D66" s="83">
        <v>31.814</v>
      </c>
      <c r="E66" s="83">
        <f t="shared" si="2"/>
        <v>2513.8201999999997</v>
      </c>
      <c r="G66">
        <v>55</v>
      </c>
      <c r="H66" s="83">
        <v>9</v>
      </c>
      <c r="I66" s="83">
        <v>26</v>
      </c>
      <c r="J66" s="85">
        <v>522</v>
      </c>
      <c r="K66" s="83">
        <f t="shared" si="3"/>
        <v>557</v>
      </c>
    </row>
    <row r="67" spans="1:11" x14ac:dyDescent="0.25">
      <c r="A67">
        <v>56</v>
      </c>
      <c r="B67" s="83">
        <v>0</v>
      </c>
      <c r="C67" s="83">
        <v>0</v>
      </c>
      <c r="D67" s="83">
        <v>0</v>
      </c>
      <c r="E67" s="83">
        <f t="shared" si="2"/>
        <v>0</v>
      </c>
      <c r="G67">
        <v>56</v>
      </c>
      <c r="H67" s="83">
        <v>5</v>
      </c>
      <c r="I67" s="83">
        <v>14</v>
      </c>
      <c r="J67" s="85">
        <v>390</v>
      </c>
      <c r="K67" s="83">
        <f t="shared" si="3"/>
        <v>409</v>
      </c>
    </row>
    <row r="68" spans="1:11" x14ac:dyDescent="0.25">
      <c r="A68">
        <v>57</v>
      </c>
      <c r="B68" s="83">
        <v>0</v>
      </c>
      <c r="C68" s="83">
        <v>0</v>
      </c>
      <c r="D68" s="83">
        <v>16.64</v>
      </c>
      <c r="E68" s="83">
        <f t="shared" si="2"/>
        <v>16.64</v>
      </c>
      <c r="G68">
        <v>57</v>
      </c>
      <c r="H68" s="83">
        <v>7</v>
      </c>
      <c r="I68" s="83">
        <v>22</v>
      </c>
      <c r="J68" s="85">
        <v>711</v>
      </c>
      <c r="K68" s="83">
        <f t="shared" si="3"/>
        <v>740</v>
      </c>
    </row>
    <row r="69" spans="1:11" x14ac:dyDescent="0.25">
      <c r="A69">
        <v>58</v>
      </c>
      <c r="B69" s="83">
        <v>0</v>
      </c>
      <c r="C69" s="83">
        <v>0</v>
      </c>
      <c r="D69" s="83">
        <v>16.385000000000002</v>
      </c>
      <c r="E69" s="83">
        <f t="shared" si="2"/>
        <v>16.385000000000002</v>
      </c>
      <c r="G69">
        <v>58</v>
      </c>
      <c r="H69" s="83">
        <v>4</v>
      </c>
      <c r="I69" s="83">
        <v>28</v>
      </c>
      <c r="J69" s="85">
        <v>170</v>
      </c>
      <c r="K69" s="83">
        <f t="shared" si="3"/>
        <v>202</v>
      </c>
    </row>
    <row r="70" spans="1:11" x14ac:dyDescent="0.25">
      <c r="A70">
        <v>59</v>
      </c>
      <c r="B70" s="83">
        <v>0</v>
      </c>
      <c r="C70" s="83">
        <v>0</v>
      </c>
      <c r="D70" s="83">
        <v>0</v>
      </c>
      <c r="E70" s="83">
        <f t="shared" si="2"/>
        <v>0</v>
      </c>
      <c r="G70">
        <v>59</v>
      </c>
      <c r="H70" s="83">
        <v>6</v>
      </c>
      <c r="I70" s="83">
        <v>18</v>
      </c>
      <c r="J70" s="85">
        <v>171</v>
      </c>
      <c r="K70" s="83">
        <f t="shared" si="3"/>
        <v>195</v>
      </c>
    </row>
    <row r="71" spans="1:11" x14ac:dyDescent="0.25">
      <c r="A71">
        <v>60</v>
      </c>
      <c r="B71" s="83">
        <v>0</v>
      </c>
      <c r="C71" s="83">
        <v>0</v>
      </c>
      <c r="D71" s="83">
        <v>0</v>
      </c>
      <c r="E71" s="83">
        <f t="shared" si="2"/>
        <v>0</v>
      </c>
      <c r="G71">
        <v>60</v>
      </c>
      <c r="H71" s="83">
        <v>3</v>
      </c>
      <c r="I71" s="83">
        <v>22</v>
      </c>
      <c r="J71" s="85">
        <v>417</v>
      </c>
      <c r="K71" s="83">
        <f t="shared" si="3"/>
        <v>442</v>
      </c>
    </row>
    <row r="72" spans="1:11" x14ac:dyDescent="0.25">
      <c r="A72">
        <v>61</v>
      </c>
      <c r="B72" s="83">
        <v>0</v>
      </c>
      <c r="C72" s="83">
        <v>0</v>
      </c>
      <c r="D72" s="83">
        <v>0</v>
      </c>
      <c r="E72" s="83">
        <f t="shared" si="2"/>
        <v>0</v>
      </c>
      <c r="G72">
        <v>61</v>
      </c>
      <c r="H72" s="83">
        <v>11</v>
      </c>
      <c r="I72" s="83">
        <v>20</v>
      </c>
      <c r="J72" s="85">
        <v>422</v>
      </c>
      <c r="K72" s="83">
        <f t="shared" si="3"/>
        <v>453</v>
      </c>
    </row>
    <row r="73" spans="1:11" x14ac:dyDescent="0.25">
      <c r="A73">
        <v>62</v>
      </c>
      <c r="B73" s="83">
        <v>0</v>
      </c>
      <c r="C73" s="83">
        <v>0</v>
      </c>
      <c r="D73" s="83">
        <v>21.709000000000003</v>
      </c>
      <c r="E73" s="83">
        <f t="shared" si="2"/>
        <v>21.709000000000003</v>
      </c>
      <c r="G73">
        <v>62</v>
      </c>
      <c r="H73" s="83">
        <v>5</v>
      </c>
      <c r="I73" s="83">
        <v>8</v>
      </c>
      <c r="J73" s="85">
        <v>696</v>
      </c>
      <c r="K73" s="83">
        <f t="shared" si="3"/>
        <v>709</v>
      </c>
    </row>
    <row r="74" spans="1:11" x14ac:dyDescent="0.25">
      <c r="A74">
        <v>63</v>
      </c>
      <c r="B74" s="83">
        <v>0</v>
      </c>
      <c r="C74" s="83">
        <v>0</v>
      </c>
      <c r="D74" s="83">
        <v>4.1280000000000001</v>
      </c>
      <c r="E74" s="83">
        <f t="shared" si="2"/>
        <v>4.1280000000000001</v>
      </c>
      <c r="G74">
        <v>63</v>
      </c>
      <c r="H74" s="83">
        <v>5</v>
      </c>
      <c r="I74" s="83">
        <v>10</v>
      </c>
      <c r="J74" s="85">
        <v>363</v>
      </c>
      <c r="K74" s="83">
        <f t="shared" si="3"/>
        <v>378</v>
      </c>
    </row>
    <row r="75" spans="1:11" x14ac:dyDescent="0.25">
      <c r="A75">
        <v>64</v>
      </c>
      <c r="B75" s="83">
        <v>0</v>
      </c>
      <c r="C75" s="83">
        <v>78.963099999999997</v>
      </c>
      <c r="D75" s="83">
        <v>10.791</v>
      </c>
      <c r="E75" s="83">
        <f t="shared" ref="E75:E101" si="4">SUM(B75:D75)</f>
        <v>89.754099999999994</v>
      </c>
      <c r="G75">
        <v>64</v>
      </c>
      <c r="H75" s="83">
        <v>2</v>
      </c>
      <c r="I75" s="83">
        <v>14</v>
      </c>
      <c r="J75" s="85">
        <v>278</v>
      </c>
      <c r="K75" s="83">
        <f t="shared" ref="K75:K101" si="5">SUM(H75:J75)</f>
        <v>294</v>
      </c>
    </row>
    <row r="76" spans="1:11" x14ac:dyDescent="0.25">
      <c r="A76">
        <v>65</v>
      </c>
      <c r="B76" s="83">
        <v>0</v>
      </c>
      <c r="C76" s="83">
        <v>0</v>
      </c>
      <c r="D76" s="83">
        <v>0</v>
      </c>
      <c r="E76" s="83">
        <f t="shared" si="4"/>
        <v>0</v>
      </c>
      <c r="G76">
        <v>65</v>
      </c>
      <c r="H76" s="83">
        <v>1</v>
      </c>
      <c r="I76" s="83">
        <v>5</v>
      </c>
      <c r="J76" s="85">
        <v>380</v>
      </c>
      <c r="K76" s="83">
        <f t="shared" si="5"/>
        <v>386</v>
      </c>
    </row>
    <row r="77" spans="1:11" x14ac:dyDescent="0.25">
      <c r="A77">
        <v>66</v>
      </c>
      <c r="B77" s="83">
        <v>0</v>
      </c>
      <c r="C77" s="83">
        <v>0</v>
      </c>
      <c r="D77" s="83">
        <v>275.56139999999999</v>
      </c>
      <c r="E77" s="83">
        <f t="shared" si="4"/>
        <v>275.56139999999999</v>
      </c>
      <c r="G77">
        <v>66</v>
      </c>
      <c r="H77" s="83">
        <v>0</v>
      </c>
      <c r="I77" s="83">
        <v>2</v>
      </c>
      <c r="J77" s="85">
        <v>154</v>
      </c>
      <c r="K77" s="83">
        <f t="shared" si="5"/>
        <v>156</v>
      </c>
    </row>
    <row r="78" spans="1:11" x14ac:dyDescent="0.25">
      <c r="A78">
        <v>67</v>
      </c>
      <c r="B78" s="83">
        <v>0</v>
      </c>
      <c r="C78" s="83">
        <v>0</v>
      </c>
      <c r="D78" s="83">
        <v>495.27499999999998</v>
      </c>
      <c r="E78" s="83">
        <f t="shared" si="4"/>
        <v>495.27499999999998</v>
      </c>
      <c r="G78">
        <v>67</v>
      </c>
      <c r="H78" s="83">
        <v>3</v>
      </c>
      <c r="I78" s="83">
        <v>4</v>
      </c>
      <c r="J78" s="85">
        <v>89</v>
      </c>
      <c r="K78" s="83">
        <f t="shared" si="5"/>
        <v>96</v>
      </c>
    </row>
    <row r="79" spans="1:11" x14ac:dyDescent="0.25">
      <c r="A79">
        <v>68</v>
      </c>
      <c r="B79" s="83">
        <v>0</v>
      </c>
      <c r="C79" s="83">
        <v>0</v>
      </c>
      <c r="D79" s="83">
        <v>0</v>
      </c>
      <c r="E79" s="83">
        <f t="shared" si="4"/>
        <v>0</v>
      </c>
      <c r="G79">
        <v>68</v>
      </c>
      <c r="H79" s="83">
        <v>3</v>
      </c>
      <c r="I79" s="83">
        <v>2</v>
      </c>
      <c r="J79" s="85">
        <v>104</v>
      </c>
      <c r="K79" s="83">
        <f t="shared" si="5"/>
        <v>109</v>
      </c>
    </row>
    <row r="80" spans="1:11" x14ac:dyDescent="0.25">
      <c r="A80">
        <v>69</v>
      </c>
      <c r="B80" s="83">
        <v>0</v>
      </c>
      <c r="C80" s="83">
        <v>0</v>
      </c>
      <c r="D80" s="83">
        <v>8.4849999999999994</v>
      </c>
      <c r="E80" s="83">
        <f t="shared" si="4"/>
        <v>8.4849999999999994</v>
      </c>
      <c r="G80">
        <v>69</v>
      </c>
      <c r="H80" s="83">
        <v>1</v>
      </c>
      <c r="I80" s="83">
        <v>3</v>
      </c>
      <c r="J80" s="85">
        <v>606</v>
      </c>
      <c r="K80" s="83">
        <f t="shared" si="5"/>
        <v>610</v>
      </c>
    </row>
    <row r="81" spans="1:11" x14ac:dyDescent="0.25">
      <c r="A81">
        <v>70</v>
      </c>
      <c r="B81" s="83">
        <v>0</v>
      </c>
      <c r="C81" s="83">
        <v>0</v>
      </c>
      <c r="D81" s="83">
        <v>0</v>
      </c>
      <c r="E81" s="83">
        <f t="shared" si="4"/>
        <v>0</v>
      </c>
      <c r="G81">
        <v>70</v>
      </c>
      <c r="H81" s="83">
        <v>9</v>
      </c>
      <c r="I81" s="83">
        <v>6</v>
      </c>
      <c r="J81" s="85">
        <v>132</v>
      </c>
      <c r="K81" s="83">
        <f t="shared" si="5"/>
        <v>147</v>
      </c>
    </row>
    <row r="82" spans="1:11" x14ac:dyDescent="0.25">
      <c r="A82">
        <v>71</v>
      </c>
      <c r="B82" s="83">
        <v>0</v>
      </c>
      <c r="C82" s="83">
        <v>0</v>
      </c>
      <c r="D82" s="83">
        <v>0</v>
      </c>
      <c r="E82" s="83">
        <f t="shared" si="4"/>
        <v>0</v>
      </c>
      <c r="G82">
        <v>71</v>
      </c>
      <c r="H82" s="83">
        <v>2</v>
      </c>
      <c r="I82" s="83">
        <v>6</v>
      </c>
      <c r="J82" s="85">
        <v>123</v>
      </c>
      <c r="K82" s="83">
        <f t="shared" si="5"/>
        <v>131</v>
      </c>
    </row>
    <row r="83" spans="1:11" x14ac:dyDescent="0.25">
      <c r="A83">
        <v>72</v>
      </c>
      <c r="B83" s="83">
        <v>99.986099999999993</v>
      </c>
      <c r="C83" s="83">
        <v>542.72389999999996</v>
      </c>
      <c r="D83" s="83">
        <v>11.159000000000001</v>
      </c>
      <c r="E83" s="83">
        <f t="shared" si="4"/>
        <v>653.86899999999991</v>
      </c>
      <c r="G83">
        <v>72</v>
      </c>
      <c r="H83" s="83">
        <v>1</v>
      </c>
      <c r="I83" s="83">
        <v>5</v>
      </c>
      <c r="J83" s="85">
        <v>37</v>
      </c>
      <c r="K83" s="83">
        <f t="shared" si="5"/>
        <v>43</v>
      </c>
    </row>
    <row r="84" spans="1:11" x14ac:dyDescent="0.25">
      <c r="A84">
        <v>73</v>
      </c>
      <c r="B84" s="83">
        <v>0</v>
      </c>
      <c r="C84" s="83">
        <v>0</v>
      </c>
      <c r="D84" s="83">
        <v>0</v>
      </c>
      <c r="E84" s="83">
        <f t="shared" si="4"/>
        <v>0</v>
      </c>
      <c r="G84">
        <v>73</v>
      </c>
      <c r="H84" s="83">
        <v>3</v>
      </c>
      <c r="I84" s="83">
        <v>3</v>
      </c>
      <c r="J84" s="85">
        <v>36</v>
      </c>
      <c r="K84" s="83">
        <f t="shared" si="5"/>
        <v>42</v>
      </c>
    </row>
    <row r="85" spans="1:11" x14ac:dyDescent="0.25">
      <c r="A85">
        <v>74</v>
      </c>
      <c r="B85" s="83">
        <v>0</v>
      </c>
      <c r="C85" s="83">
        <v>0</v>
      </c>
      <c r="D85" s="83">
        <v>0</v>
      </c>
      <c r="E85" s="83">
        <f t="shared" si="4"/>
        <v>0</v>
      </c>
      <c r="G85">
        <v>74</v>
      </c>
      <c r="H85" s="83">
        <v>0</v>
      </c>
      <c r="I85" s="83">
        <v>2</v>
      </c>
      <c r="J85" s="85">
        <v>234</v>
      </c>
      <c r="K85" s="83">
        <f t="shared" si="5"/>
        <v>236</v>
      </c>
    </row>
    <row r="86" spans="1:11" x14ac:dyDescent="0.25">
      <c r="A86">
        <v>75</v>
      </c>
      <c r="B86" s="83">
        <v>0</v>
      </c>
      <c r="C86" s="83">
        <v>0</v>
      </c>
      <c r="D86" s="83">
        <v>0</v>
      </c>
      <c r="E86" s="83">
        <f t="shared" si="4"/>
        <v>0</v>
      </c>
      <c r="G86">
        <v>75</v>
      </c>
      <c r="H86" s="83">
        <v>2</v>
      </c>
      <c r="I86" s="83">
        <v>2</v>
      </c>
      <c r="J86" s="85">
        <v>37</v>
      </c>
      <c r="K86" s="83">
        <f t="shared" si="5"/>
        <v>41</v>
      </c>
    </row>
    <row r="87" spans="1:11" x14ac:dyDescent="0.25">
      <c r="A87">
        <v>76</v>
      </c>
      <c r="B87" s="83">
        <v>0</v>
      </c>
      <c r="C87" s="83">
        <v>0</v>
      </c>
      <c r="D87" s="83">
        <v>598.72389999999996</v>
      </c>
      <c r="E87" s="83">
        <f t="shared" si="4"/>
        <v>598.72389999999996</v>
      </c>
      <c r="G87">
        <v>76</v>
      </c>
      <c r="H87" s="83">
        <v>0</v>
      </c>
      <c r="I87" s="83">
        <v>3</v>
      </c>
      <c r="J87" s="85">
        <v>74</v>
      </c>
      <c r="K87" s="83">
        <f t="shared" si="5"/>
        <v>77</v>
      </c>
    </row>
    <row r="88" spans="1:11" x14ac:dyDescent="0.25">
      <c r="A88">
        <v>77</v>
      </c>
      <c r="B88" s="83">
        <v>1031.4047</v>
      </c>
      <c r="C88" s="83">
        <v>0</v>
      </c>
      <c r="D88" s="83">
        <v>0</v>
      </c>
      <c r="E88" s="83">
        <f t="shared" si="4"/>
        <v>1031.4047</v>
      </c>
      <c r="G88">
        <v>77</v>
      </c>
      <c r="H88" s="83">
        <v>3</v>
      </c>
      <c r="I88" s="83">
        <v>1</v>
      </c>
      <c r="J88" s="85">
        <v>69</v>
      </c>
      <c r="K88" s="83">
        <f t="shared" si="5"/>
        <v>73</v>
      </c>
    </row>
    <row r="89" spans="1:11" x14ac:dyDescent="0.25">
      <c r="A89">
        <v>78</v>
      </c>
      <c r="B89" s="83">
        <v>212.62309999999999</v>
      </c>
      <c r="C89" s="83">
        <v>0</v>
      </c>
      <c r="D89" s="83">
        <v>0</v>
      </c>
      <c r="E89" s="83">
        <f t="shared" si="4"/>
        <v>212.62309999999999</v>
      </c>
      <c r="G89">
        <v>78</v>
      </c>
      <c r="H89" s="83">
        <v>1</v>
      </c>
      <c r="I89" s="83">
        <v>1</v>
      </c>
      <c r="J89" s="85">
        <v>8</v>
      </c>
      <c r="K89" s="83">
        <f t="shared" si="5"/>
        <v>10</v>
      </c>
    </row>
    <row r="90" spans="1:11" x14ac:dyDescent="0.25">
      <c r="A90">
        <v>79</v>
      </c>
      <c r="B90" s="83">
        <v>0</v>
      </c>
      <c r="C90" s="83">
        <v>0</v>
      </c>
      <c r="D90" s="83">
        <v>0</v>
      </c>
      <c r="E90" s="83">
        <f t="shared" si="4"/>
        <v>0</v>
      </c>
      <c r="G90">
        <v>79</v>
      </c>
      <c r="H90" s="83">
        <v>1</v>
      </c>
      <c r="I90" s="83">
        <v>1</v>
      </c>
      <c r="J90" s="85">
        <v>0</v>
      </c>
      <c r="K90" s="83">
        <f t="shared" si="5"/>
        <v>2</v>
      </c>
    </row>
    <row r="91" spans="1:11" x14ac:dyDescent="0.25">
      <c r="A91">
        <v>80</v>
      </c>
      <c r="B91" s="83">
        <v>0</v>
      </c>
      <c r="C91" s="83">
        <v>0</v>
      </c>
      <c r="D91" s="83">
        <v>0</v>
      </c>
      <c r="E91" s="83">
        <f t="shared" si="4"/>
        <v>0</v>
      </c>
      <c r="G91">
        <v>80</v>
      </c>
      <c r="H91" s="83">
        <v>1</v>
      </c>
      <c r="I91" s="83">
        <v>3</v>
      </c>
      <c r="J91" s="85">
        <v>6</v>
      </c>
      <c r="K91" s="83">
        <f t="shared" si="5"/>
        <v>10</v>
      </c>
    </row>
    <row r="92" spans="1:11" x14ac:dyDescent="0.25">
      <c r="A92">
        <v>81</v>
      </c>
      <c r="B92" s="83">
        <v>0</v>
      </c>
      <c r="C92" s="83">
        <v>0</v>
      </c>
      <c r="D92" s="83">
        <v>0</v>
      </c>
      <c r="E92" s="83">
        <f t="shared" si="4"/>
        <v>0</v>
      </c>
      <c r="G92">
        <v>81</v>
      </c>
      <c r="H92" s="83">
        <v>5</v>
      </c>
      <c r="I92" s="83">
        <v>1</v>
      </c>
      <c r="J92" s="85">
        <v>262</v>
      </c>
      <c r="K92" s="83">
        <f t="shared" si="5"/>
        <v>268</v>
      </c>
    </row>
    <row r="93" spans="1:11" x14ac:dyDescent="0.25">
      <c r="A93">
        <v>82</v>
      </c>
      <c r="B93" s="83">
        <v>0</v>
      </c>
      <c r="C93" s="83">
        <v>0</v>
      </c>
      <c r="D93" s="83">
        <v>0</v>
      </c>
      <c r="E93" s="83">
        <f t="shared" si="4"/>
        <v>0</v>
      </c>
      <c r="G93">
        <v>82</v>
      </c>
      <c r="H93" s="83">
        <v>0</v>
      </c>
      <c r="I93" s="83">
        <v>1</v>
      </c>
      <c r="J93" s="85">
        <v>0</v>
      </c>
      <c r="K93" s="83">
        <f t="shared" si="5"/>
        <v>1</v>
      </c>
    </row>
    <row r="94" spans="1:11" x14ac:dyDescent="0.25">
      <c r="A94">
        <v>83</v>
      </c>
      <c r="B94" s="83">
        <v>0</v>
      </c>
      <c r="C94" s="83">
        <v>0</v>
      </c>
      <c r="D94" s="83">
        <v>0</v>
      </c>
      <c r="E94" s="83">
        <f t="shared" si="4"/>
        <v>0</v>
      </c>
      <c r="G94">
        <v>83</v>
      </c>
      <c r="H94" s="83">
        <v>0</v>
      </c>
      <c r="I94" s="83">
        <v>1</v>
      </c>
      <c r="J94" s="85">
        <v>6</v>
      </c>
      <c r="K94" s="83">
        <f t="shared" si="5"/>
        <v>7</v>
      </c>
    </row>
    <row r="95" spans="1:11" x14ac:dyDescent="0.25">
      <c r="A95">
        <v>84</v>
      </c>
      <c r="B95" s="83">
        <v>0</v>
      </c>
      <c r="C95" s="83">
        <v>0</v>
      </c>
      <c r="D95" s="83">
        <v>11.269</v>
      </c>
      <c r="E95" s="83">
        <f t="shared" si="4"/>
        <v>11.269</v>
      </c>
      <c r="G95">
        <v>84</v>
      </c>
      <c r="H95" s="83">
        <v>0</v>
      </c>
      <c r="I95" s="83">
        <v>0</v>
      </c>
      <c r="J95" s="85">
        <v>2</v>
      </c>
      <c r="K95" s="83">
        <f t="shared" si="5"/>
        <v>2</v>
      </c>
    </row>
    <row r="96" spans="1:11" x14ac:dyDescent="0.25">
      <c r="A96">
        <v>85</v>
      </c>
      <c r="B96" s="83">
        <v>0</v>
      </c>
      <c r="C96" s="83">
        <v>0</v>
      </c>
      <c r="D96" s="83">
        <v>0</v>
      </c>
      <c r="E96" s="83">
        <f t="shared" si="4"/>
        <v>0</v>
      </c>
      <c r="G96">
        <v>85</v>
      </c>
      <c r="H96" s="83">
        <v>4</v>
      </c>
      <c r="I96" s="83">
        <v>1</v>
      </c>
      <c r="J96" s="85">
        <v>41</v>
      </c>
      <c r="K96" s="83">
        <f t="shared" si="5"/>
        <v>46</v>
      </c>
    </row>
    <row r="97" spans="1:11" x14ac:dyDescent="0.25">
      <c r="A97">
        <v>86</v>
      </c>
      <c r="B97" s="83">
        <v>0</v>
      </c>
      <c r="C97" s="83">
        <v>0</v>
      </c>
      <c r="D97" s="83">
        <v>468.98939999999999</v>
      </c>
      <c r="E97" s="83">
        <f t="shared" si="4"/>
        <v>468.98939999999999</v>
      </c>
      <c r="G97">
        <v>86</v>
      </c>
      <c r="H97" s="83">
        <v>0</v>
      </c>
      <c r="I97" s="83">
        <v>0</v>
      </c>
      <c r="J97" s="85">
        <v>122</v>
      </c>
      <c r="K97" s="83">
        <f t="shared" si="5"/>
        <v>122</v>
      </c>
    </row>
    <row r="98" spans="1:11" x14ac:dyDescent="0.25">
      <c r="A98">
        <v>87</v>
      </c>
      <c r="B98" s="83">
        <v>0</v>
      </c>
      <c r="C98" s="83">
        <v>0</v>
      </c>
      <c r="D98" s="83">
        <v>13.487</v>
      </c>
      <c r="E98" s="83">
        <f t="shared" si="4"/>
        <v>13.487</v>
      </c>
      <c r="G98">
        <v>87</v>
      </c>
      <c r="H98" s="83">
        <v>0</v>
      </c>
      <c r="I98" s="83">
        <v>1</v>
      </c>
      <c r="J98" s="85">
        <v>31</v>
      </c>
      <c r="K98" s="83">
        <f t="shared" si="5"/>
        <v>32</v>
      </c>
    </row>
    <row r="99" spans="1:11" x14ac:dyDescent="0.25">
      <c r="A99">
        <v>88</v>
      </c>
      <c r="B99" s="83">
        <v>0</v>
      </c>
      <c r="C99" s="83">
        <v>0</v>
      </c>
      <c r="D99" s="83">
        <v>0</v>
      </c>
      <c r="E99" s="83">
        <f t="shared" si="4"/>
        <v>0</v>
      </c>
      <c r="G99">
        <v>88</v>
      </c>
      <c r="H99" s="83">
        <v>2</v>
      </c>
      <c r="I99" s="83">
        <v>1</v>
      </c>
      <c r="J99" s="85">
        <v>0</v>
      </c>
      <c r="K99" s="83">
        <f t="shared" si="5"/>
        <v>3</v>
      </c>
    </row>
    <row r="100" spans="1:11" x14ac:dyDescent="0.25">
      <c r="A100">
        <v>89</v>
      </c>
      <c r="B100" s="83">
        <v>2931.9002999999998</v>
      </c>
      <c r="C100" s="83">
        <v>0</v>
      </c>
      <c r="D100" s="83">
        <v>3.6749999999999998</v>
      </c>
      <c r="E100" s="83">
        <f t="shared" si="4"/>
        <v>2935.5753</v>
      </c>
      <c r="G100">
        <v>89</v>
      </c>
      <c r="H100" s="83">
        <v>8</v>
      </c>
      <c r="I100" s="83">
        <v>2</v>
      </c>
      <c r="J100" s="85">
        <v>29</v>
      </c>
      <c r="K100" s="83">
        <f t="shared" si="5"/>
        <v>39</v>
      </c>
    </row>
    <row r="101" spans="1:11" ht="15.75" thickBot="1" x14ac:dyDescent="0.3">
      <c r="A101" s="1">
        <v>90</v>
      </c>
      <c r="B101" s="84">
        <v>56177.107199999999</v>
      </c>
      <c r="C101" s="84">
        <v>10417.5607</v>
      </c>
      <c r="D101" s="84">
        <v>42483.839500000002</v>
      </c>
      <c r="E101" s="84">
        <f t="shared" si="4"/>
        <v>109078.5074</v>
      </c>
      <c r="G101" s="1">
        <v>90</v>
      </c>
      <c r="H101" s="84">
        <v>69360</v>
      </c>
      <c r="I101" s="84">
        <v>0</v>
      </c>
      <c r="J101" s="84">
        <v>0</v>
      </c>
      <c r="K101" s="84">
        <f t="shared" si="5"/>
        <v>69360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width="12.140625" customWidth="1" collapsed="1"/>
    <col min="5" max="5" width="9.5703125" bestFit="1" customWidth="1" collapsed="1"/>
    <col min="8" max="8" width="10.85546875" customWidth="1" collapsed="1"/>
    <col min="12" max="12" width="9.5703125" bestFit="1" customWidth="1" collapsed="1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r="9" spans="1:12" ht="15.75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30456.2981</v>
      </c>
      <c r="C11" s="13">
        <f>SUM(TDFD!C11:C15)</f>
        <v>1556.1008000000002</v>
      </c>
      <c r="D11" s="13">
        <f>SUM(TDFD!D11:D15)</f>
        <v>125.91</v>
      </c>
      <c r="E11" s="13">
        <f>SUM(TDFD!E11:E15)</f>
        <v>32138.308900000004</v>
      </c>
      <c r="H11" t="s">
        <v>15</v>
      </c>
      <c r="I11" s="13">
        <f>SUM(TDFD!H11:H15)</f>
        <v>122728</v>
      </c>
      <c r="J11" s="13">
        <f>SUM(TDFD!I11:I15)</f>
        <v>16404</v>
      </c>
      <c r="K11" s="13">
        <f>SUM(TDFD!J11:J15)</f>
        <v>27329</v>
      </c>
      <c r="L11" s="13">
        <f>SUM(TDFD!K11:K15)</f>
        <v>166461</v>
      </c>
    </row>
    <row r="12" spans="1:12" x14ac:dyDescent="0.25">
      <c r="A12" t="s">
        <v>16</v>
      </c>
      <c r="B12" s="13">
        <f>SUM(TDFD!B16:B20)</f>
        <v>34748.355100000001</v>
      </c>
      <c r="C12" s="13">
        <f>SUM(TDFD!C16:C20)</f>
        <v>3665.4504999999999</v>
      </c>
      <c r="D12" s="13">
        <f>SUM(TDFD!D16:D20)</f>
        <v>8740.201500000001</v>
      </c>
      <c r="E12" s="13">
        <f>SUM(TDFD!E16:E20)</f>
        <v>47154.007100000003</v>
      </c>
      <c r="H12" t="s">
        <v>16</v>
      </c>
      <c r="I12" s="13">
        <f>SUM(TDFD!H16:H20)</f>
        <v>93900</v>
      </c>
      <c r="J12" s="13">
        <f>SUM(TDFD!I16:I20)</f>
        <v>12343</v>
      </c>
      <c r="K12" s="13">
        <f>SUM(TDFD!J16:J20)</f>
        <v>15054</v>
      </c>
      <c r="L12" s="13">
        <f>SUM(TDFD!K16:K20)</f>
        <v>121297</v>
      </c>
    </row>
    <row r="13" spans="1:12" x14ac:dyDescent="0.25">
      <c r="A13" t="s">
        <v>17</v>
      </c>
      <c r="B13" s="13">
        <f>SUM(TDFD!B21:B25)</f>
        <v>51599.302800000005</v>
      </c>
      <c r="C13" s="13">
        <f>SUM(TDFD!C21:C25)</f>
        <v>5084.4759999999997</v>
      </c>
      <c r="D13" s="13">
        <f>SUM(TDFD!D21:D25)</f>
        <v>3258.2372999999998</v>
      </c>
      <c r="E13" s="13">
        <f>SUM(TDFD!E21:E25)</f>
        <v>59942.016099999993</v>
      </c>
      <c r="H13" t="s">
        <v>17</v>
      </c>
      <c r="I13" s="13">
        <f>SUM(TDFD!H21:H25)</f>
        <v>46568</v>
      </c>
      <c r="J13" s="13">
        <f>SUM(TDFD!I21:I25)</f>
        <v>7600</v>
      </c>
      <c r="K13" s="13">
        <f>SUM(TDFD!J21:J25)</f>
        <v>8730</v>
      </c>
      <c r="L13" s="13">
        <f>SUM(TDFD!K21:K25)</f>
        <v>62898</v>
      </c>
    </row>
    <row r="14" spans="1:12" x14ac:dyDescent="0.25">
      <c r="A14" t="s">
        <v>18</v>
      </c>
      <c r="B14" s="13">
        <f>SUM(TDFD!B26:B30)</f>
        <v>94596.153399999996</v>
      </c>
      <c r="C14" s="13">
        <f>SUM(TDFD!C26:C30)</f>
        <v>13738.5173</v>
      </c>
      <c r="D14" s="13">
        <f>SUM(TDFD!D26:D30)</f>
        <v>11924.121899999998</v>
      </c>
      <c r="E14" s="13">
        <f>SUM(TDFD!E26:E30)</f>
        <v>120258.79259999999</v>
      </c>
      <c r="H14" t="s">
        <v>18</v>
      </c>
      <c r="I14" s="13">
        <f>SUM(TDFD!H26:H30)</f>
        <v>101721</v>
      </c>
      <c r="J14" s="13">
        <f>SUM(TDFD!I26:I30)</f>
        <v>19288</v>
      </c>
      <c r="K14" s="13">
        <f>SUM(TDFD!J26:J30)</f>
        <v>23227</v>
      </c>
      <c r="L14" s="13">
        <f>SUM(TDFD!K26:K30)</f>
        <v>144236</v>
      </c>
    </row>
    <row r="15" spans="1:12" x14ac:dyDescent="0.25">
      <c r="A15" t="s">
        <v>19</v>
      </c>
      <c r="B15" s="13">
        <f>SUM(TDFD!B31:B35)</f>
        <v>100944.4486</v>
      </c>
      <c r="C15" s="13">
        <f>SUM(TDFD!C31:C35)</f>
        <v>12622.574100000002</v>
      </c>
      <c r="D15" s="13">
        <f>SUM(TDFD!D31:D35)</f>
        <v>15206.354699999998</v>
      </c>
      <c r="E15" s="13">
        <f>SUM(TDFD!E31:E35)</f>
        <v>128773.37740000001</v>
      </c>
      <c r="H15" t="s">
        <v>19</v>
      </c>
      <c r="I15" s="13">
        <f>SUM(TDFD!H31:H35)</f>
        <v>72712</v>
      </c>
      <c r="J15" s="13">
        <f>SUM(TDFD!I31:I35)</f>
        <v>18116</v>
      </c>
      <c r="K15" s="13">
        <f>SUM(TDFD!J31:J35)</f>
        <v>46869</v>
      </c>
      <c r="L15" s="13">
        <f>SUM(TDFD!K31:K35)</f>
        <v>137697</v>
      </c>
    </row>
    <row r="16" spans="1:12" x14ac:dyDescent="0.25">
      <c r="A16" t="s">
        <v>20</v>
      </c>
      <c r="B16" s="13">
        <f>SUM(TDFD!B36:B40)</f>
        <v>67278.716499999995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87375.407999999996</v>
      </c>
      <c r="H16" t="s">
        <v>20</v>
      </c>
      <c r="I16" s="13">
        <f>SUM(TDFD!H36:H40)</f>
        <v>26595</v>
      </c>
      <c r="J16" s="13">
        <f>SUM(TDFD!I36:I40)</f>
        <v>9318</v>
      </c>
      <c r="K16" s="13">
        <f>SUM(TDFD!J36:J40)</f>
        <v>35631</v>
      </c>
      <c r="L16" s="13">
        <f>SUM(TDFD!K36:K40)</f>
        <v>71544</v>
      </c>
    </row>
    <row r="17" spans="1:12" x14ac:dyDescent="0.25">
      <c r="A17" t="s">
        <v>21</v>
      </c>
      <c r="B17" s="13">
        <f>SUM(TDFD!B41:B45)</f>
        <v>40082.706300000005</v>
      </c>
      <c r="C17" s="13">
        <f>SUM(TDFD!C41:C45)</f>
        <v>7960.3927999999996</v>
      </c>
      <c r="D17" s="13">
        <f>SUM(TDFD!D41:D45)</f>
        <v>6463.0504999999994</v>
      </c>
      <c r="E17" s="13">
        <f>SUM(TDFD!E41:E45)</f>
        <v>54506.149600000004</v>
      </c>
      <c r="H17" t="s">
        <v>21</v>
      </c>
      <c r="I17" s="13">
        <f>SUM(TDFD!H41:H45)</f>
        <v>17000</v>
      </c>
      <c r="J17" s="13">
        <f>SUM(TDFD!I41:I45)</f>
        <v>5952</v>
      </c>
      <c r="K17" s="13">
        <f>SUM(TDFD!J41:J45)</f>
        <v>24035</v>
      </c>
      <c r="L17" s="13">
        <f>SUM(TDFD!K41:K45)</f>
        <v>46987</v>
      </c>
    </row>
    <row r="18" spans="1:12" x14ac:dyDescent="0.25">
      <c r="A18" t="s">
        <v>22</v>
      </c>
      <c r="B18" s="13">
        <f>SUM(TDFD!B46:B50)</f>
        <v>9287.7625000000007</v>
      </c>
      <c r="C18" s="13">
        <f>SUM(TDFD!C46:C50)</f>
        <v>3443.2061000000003</v>
      </c>
      <c r="D18" s="13">
        <f>SUM(TDFD!D46:D50)</f>
        <v>4525.7582000000002</v>
      </c>
      <c r="E18" s="13">
        <f>SUM(TDFD!E46:E50)</f>
        <v>17256.726799999997</v>
      </c>
      <c r="H18" t="s">
        <v>22</v>
      </c>
      <c r="I18" s="13">
        <f>SUM(TDFD!H46:H50)</f>
        <v>4205</v>
      </c>
      <c r="J18" s="13">
        <f>SUM(TDFD!I46:I50)</f>
        <v>2844</v>
      </c>
      <c r="K18" s="13">
        <f>SUM(TDFD!J46:J50)</f>
        <v>14772</v>
      </c>
      <c r="L18" s="13">
        <f>SUM(TDFD!K46:K50)</f>
        <v>21821</v>
      </c>
    </row>
    <row r="19" spans="1:12" x14ac:dyDescent="0.25">
      <c r="A19" t="s">
        <v>23</v>
      </c>
      <c r="B19" s="13">
        <f>SUM(TDFD!B51:B55)</f>
        <v>5755.9719999999998</v>
      </c>
      <c r="C19" s="13">
        <f>SUM(TDFD!C51:C55)</f>
        <v>572.63800000000003</v>
      </c>
      <c r="D19" s="13">
        <f>SUM(TDFD!D51:D55)</f>
        <v>2150.5392000000002</v>
      </c>
      <c r="E19" s="13">
        <f>SUM(TDFD!E51:E55)</f>
        <v>8479.1491999999998</v>
      </c>
      <c r="H19" t="s">
        <v>23</v>
      </c>
      <c r="I19" s="13">
        <f>SUM(TDFD!H51:H55)</f>
        <v>662</v>
      </c>
      <c r="J19" s="13">
        <f>SUM(TDFD!I51:I55)</f>
        <v>934</v>
      </c>
      <c r="K19" s="13">
        <f>SUM(TDFD!J51:J55)</f>
        <v>6632</v>
      </c>
      <c r="L19" s="13">
        <f>SUM(TDFD!K51:K55)</f>
        <v>8228</v>
      </c>
    </row>
    <row r="20" spans="1:12" x14ac:dyDescent="0.2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6005.6632000000009</v>
      </c>
      <c r="E20" s="13">
        <f>SUM(TDFD!E56:E70)</f>
        <v>29298.810499999996</v>
      </c>
      <c r="H20" t="s">
        <v>24</v>
      </c>
      <c r="I20" s="13">
        <f>SUM(TDFD!H56:H70)</f>
        <v>344</v>
      </c>
      <c r="J20" s="13">
        <f>SUM(TDFD!I56:I70)</f>
        <v>877</v>
      </c>
      <c r="K20" s="13">
        <f>SUM(TDFD!J56:J70)</f>
        <v>16187</v>
      </c>
      <c r="L20" s="13">
        <f>SUM(TDFD!K56:K70)</f>
        <v>17408</v>
      </c>
    </row>
    <row r="21" spans="1:12" x14ac:dyDescent="0.2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76</v>
      </c>
      <c r="J21" s="13">
        <f>SUM(TDFD!I71:I100)</f>
        <v>131</v>
      </c>
      <c r="K21" s="13">
        <f>SUM(TDFD!J71:J100)</f>
        <v>4758</v>
      </c>
      <c r="L21" s="13">
        <f>SUM(TDFD!K71:K100)</f>
        <v>4965</v>
      </c>
    </row>
    <row r="22" spans="1:12" ht="15.75" thickBot="1" x14ac:dyDescent="0.3">
      <c r="A22" s="1" t="s">
        <v>26</v>
      </c>
      <c r="B22" s="14">
        <f>TDFD!B101</f>
        <v>56177.107199999999</v>
      </c>
      <c r="C22" s="14">
        <f>TDFD!C101</f>
        <v>10417.5607</v>
      </c>
      <c r="D22" s="14">
        <f>TDFD!D101</f>
        <v>42483.839500000002</v>
      </c>
      <c r="E22" s="14">
        <f>TDFD!E101</f>
        <v>109078.5074</v>
      </c>
      <c r="H22" s="1" t="s">
        <v>26</v>
      </c>
      <c r="I22" s="14">
        <f>TDFD!H101</f>
        <v>69360</v>
      </c>
      <c r="J22" s="14">
        <f>TDFD!I101</f>
        <v>0</v>
      </c>
      <c r="K22" s="14">
        <f>TDFD!J101</f>
        <v>0</v>
      </c>
      <c r="L22" s="14">
        <f>TDFD!K101</f>
        <v>69360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52"/>
  <sheetViews>
    <sheetView tabSelected="1" workbookViewId="0">
      <selection activeCell="L19" sqref="L19"/>
    </sheetView>
  </sheetViews>
  <sheetFormatPr defaultRowHeight="15" x14ac:dyDescent="0.25"/>
  <cols>
    <col min="1" max="1" width="18.5703125" customWidth="1" collapsed="1"/>
    <col min="4" max="4" width="12.28515625" bestFit="1" customWidth="1" collapsed="1"/>
    <col min="12" max="12" width="20" customWidth="1" collapsed="1"/>
    <col min="15" max="15" width="12.28515625" bestFit="1" customWidth="1" collapsed="1"/>
    <col min="20" max="21" width="9.5703125" bestFit="1" customWidth="1" collapsed="1"/>
    <col min="26" max="26" width="12.28515625" bestFit="1" customWidth="1" collapsed="1"/>
  </cols>
  <sheetData>
    <row r="1" spans="1:22" x14ac:dyDescent="0.25">
      <c r="A1" t="s">
        <v>27</v>
      </c>
    </row>
    <row r="2" spans="1:22" x14ac:dyDescent="0.25">
      <c r="A2" t="s">
        <v>247</v>
      </c>
    </row>
    <row r="5" spans="1:22" ht="15.75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>
        <v>22523.625499999998</v>
      </c>
      <c r="C7" s="20">
        <v>0</v>
      </c>
      <c r="D7" s="20">
        <v>176.3579</v>
      </c>
      <c r="E7" s="20">
        <v>0</v>
      </c>
      <c r="F7" s="20">
        <v>998.11929999999995</v>
      </c>
      <c r="G7" s="20">
        <v>277.97430000000003</v>
      </c>
      <c r="H7" s="20">
        <v>598.77660000000003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>
        <v>25332</v>
      </c>
      <c r="N7" s="20">
        <v>758</v>
      </c>
      <c r="O7" s="20">
        <v>1278</v>
      </c>
      <c r="P7" s="20">
        <v>1927</v>
      </c>
      <c r="Q7" s="20">
        <v>2802</v>
      </c>
      <c r="R7" s="20">
        <v>362</v>
      </c>
      <c r="S7" s="20">
        <v>1775</v>
      </c>
      <c r="T7" s="20">
        <v>2344.5</v>
      </c>
      <c r="U7" s="20">
        <f>SUM(M7:T7)</f>
        <v>36578.5</v>
      </c>
    </row>
    <row r="8" spans="1:22" x14ac:dyDescent="0.25">
      <c r="A8" t="s">
        <v>255</v>
      </c>
      <c r="B8" s="21">
        <v>82.162300000000002</v>
      </c>
      <c r="C8" s="21">
        <v>4.4429999999999996</v>
      </c>
      <c r="D8" s="21">
        <v>0</v>
      </c>
      <c r="E8" s="21">
        <v>0</v>
      </c>
      <c r="F8" s="21">
        <v>110.09829999999999</v>
      </c>
      <c r="G8" s="21">
        <v>12.077</v>
      </c>
      <c r="H8" s="21">
        <v>0</v>
      </c>
      <c r="I8" s="21">
        <v>4018.4690000000001</v>
      </c>
      <c r="J8" s="21">
        <f t="shared" ref="J8:J12" si="0">SUM(B8:I8)</f>
        <v>4227.2496000000001</v>
      </c>
      <c r="K8" s="20"/>
      <c r="L8" s="7" t="str">
        <f>$A$8</f>
        <v>Bellevue Downtown</v>
      </c>
      <c r="M8" s="21">
        <v>851</v>
      </c>
      <c r="N8" s="21">
        <v>170</v>
      </c>
      <c r="O8" s="21">
        <v>85</v>
      </c>
      <c r="P8" s="21">
        <v>16</v>
      </c>
      <c r="Q8" s="21">
        <v>384</v>
      </c>
      <c r="R8" s="21">
        <v>58</v>
      </c>
      <c r="S8" s="21">
        <v>6</v>
      </c>
      <c r="T8" s="21">
        <v>1069.8725374786757</v>
      </c>
      <c r="U8" s="21">
        <f>SUM(M8:T8)</f>
        <v>2639.8725374786754</v>
      </c>
    </row>
    <row r="9" spans="1:22" x14ac:dyDescent="0.25">
      <c r="A9" t="s">
        <v>256</v>
      </c>
      <c r="B9" s="21">
        <v>2429.8960000000002</v>
      </c>
      <c r="C9" s="21">
        <v>169.87799999999999</v>
      </c>
      <c r="D9" s="21">
        <v>14636.3289</v>
      </c>
      <c r="E9" s="21">
        <v>130.96619999999999</v>
      </c>
      <c r="F9" s="21">
        <v>32.688000000000002</v>
      </c>
      <c r="G9" s="21">
        <v>4.1609999999999996</v>
      </c>
      <c r="H9" s="21">
        <v>10.346</v>
      </c>
      <c r="I9" s="21">
        <v>28396.036</v>
      </c>
      <c r="J9" s="21">
        <f t="shared" si="0"/>
        <v>45810.3001</v>
      </c>
      <c r="K9" s="20"/>
      <c r="L9" s="7" t="str">
        <f>$A$9</f>
        <v>Kirkland</v>
      </c>
      <c r="M9" s="21">
        <v>1562</v>
      </c>
      <c r="N9" s="21">
        <v>96</v>
      </c>
      <c r="O9" s="21">
        <v>18145</v>
      </c>
      <c r="P9" s="21">
        <v>2289</v>
      </c>
      <c r="Q9" s="21">
        <v>3997</v>
      </c>
      <c r="R9" s="21">
        <v>217</v>
      </c>
      <c r="S9" s="21">
        <v>1448</v>
      </c>
      <c r="T9" s="21">
        <v>5418.9547298933257</v>
      </c>
      <c r="U9" s="21">
        <f>SUM(M9:T9)</f>
        <v>33172.954729893325</v>
      </c>
      <c r="V9" s="7"/>
    </row>
    <row r="10" spans="1:22" x14ac:dyDescent="0.25">
      <c r="A10" t="s">
        <v>257</v>
      </c>
      <c r="B10" s="21">
        <v>1720.9702</v>
      </c>
      <c r="C10" s="21">
        <v>230.28989999999999</v>
      </c>
      <c r="D10" s="21">
        <v>3736.0108</v>
      </c>
      <c r="E10" s="21">
        <v>18799.060399999998</v>
      </c>
      <c r="F10" s="21">
        <v>802.52030000000002</v>
      </c>
      <c r="G10" s="21">
        <v>3.6749999999999998</v>
      </c>
      <c r="H10" s="21">
        <v>245.15270000000001</v>
      </c>
      <c r="I10" s="21">
        <v>20922.748800000001</v>
      </c>
      <c r="J10" s="21">
        <f t="shared" si="0"/>
        <v>46460.428099999997</v>
      </c>
      <c r="K10" s="20"/>
      <c r="L10" s="7" t="str">
        <f>$A$10</f>
        <v>Redmond</v>
      </c>
      <c r="M10" s="21">
        <v>3410</v>
      </c>
      <c r="N10" s="21">
        <v>41</v>
      </c>
      <c r="O10" s="21">
        <v>4209</v>
      </c>
      <c r="P10" s="21">
        <v>12485</v>
      </c>
      <c r="Q10" s="21">
        <v>2050</v>
      </c>
      <c r="R10" s="21">
        <v>174</v>
      </c>
      <c r="S10" s="21">
        <v>1502</v>
      </c>
      <c r="T10" s="21">
        <v>5838.2308904845268</v>
      </c>
      <c r="U10" s="21">
        <f t="shared" ref="U10:U13" si="1">SUM(M10:T10)</f>
        <v>29709.230890484527</v>
      </c>
      <c r="V10" s="7"/>
    </row>
    <row r="11" spans="1:22" x14ac:dyDescent="0.25">
      <c r="A11" t="s">
        <v>253</v>
      </c>
      <c r="B11" s="21">
        <v>352.4101</v>
      </c>
      <c r="C11" s="21">
        <v>19.176000000000002</v>
      </c>
      <c r="D11" s="21">
        <v>706.44880000000001</v>
      </c>
      <c r="E11" s="21">
        <v>4.4429999999999996</v>
      </c>
      <c r="F11" s="21">
        <v>89339.202799999999</v>
      </c>
      <c r="G11" s="21">
        <v>2676.5947000000001</v>
      </c>
      <c r="H11" s="21">
        <v>3242.9781000000003</v>
      </c>
      <c r="I11" s="21">
        <v>16278.067500000001</v>
      </c>
      <c r="J11" s="21">
        <f t="shared" si="0"/>
        <v>112619.321</v>
      </c>
      <c r="K11" s="20"/>
      <c r="L11" s="7" t="str">
        <f>$A$11</f>
        <v>Seattle</v>
      </c>
      <c r="M11" s="21">
        <v>1099</v>
      </c>
      <c r="N11" s="21">
        <v>50</v>
      </c>
      <c r="O11" s="21">
        <v>1307</v>
      </c>
      <c r="P11" s="21">
        <v>132</v>
      </c>
      <c r="Q11" s="21">
        <v>111129</v>
      </c>
      <c r="R11" s="21">
        <v>5671</v>
      </c>
      <c r="S11" s="21">
        <v>5896</v>
      </c>
      <c r="T11" s="21">
        <v>2309.1428943957899</v>
      </c>
      <c r="U11" s="21">
        <f t="shared" si="1"/>
        <v>127593.14289439579</v>
      </c>
      <c r="V11" s="7"/>
    </row>
    <row r="12" spans="1:22" x14ac:dyDescent="0.25">
      <c r="A12" t="s">
        <v>258</v>
      </c>
      <c r="B12" s="21">
        <v>0</v>
      </c>
      <c r="C12" s="21">
        <v>0</v>
      </c>
      <c r="D12" s="21">
        <v>0</v>
      </c>
      <c r="E12" s="21">
        <v>0</v>
      </c>
      <c r="F12" s="21">
        <v>1835.1723</v>
      </c>
      <c r="G12" s="21">
        <v>799.15629999999999</v>
      </c>
      <c r="H12" s="21">
        <v>0</v>
      </c>
      <c r="I12" s="21">
        <v>31584.733799999998</v>
      </c>
      <c r="J12" s="21">
        <f t="shared" si="0"/>
        <v>34219.062399999995</v>
      </c>
      <c r="K12" s="20"/>
      <c r="L12" s="7" t="str">
        <f>$A$12</f>
        <v>Seattle Downtown</v>
      </c>
      <c r="M12" s="21">
        <v>80</v>
      </c>
      <c r="N12" s="21">
        <v>4</v>
      </c>
      <c r="O12" s="21">
        <v>8</v>
      </c>
      <c r="P12" s="21">
        <v>2</v>
      </c>
      <c r="Q12" s="21">
        <v>3511</v>
      </c>
      <c r="R12" s="21">
        <v>2890</v>
      </c>
      <c r="S12" s="21">
        <v>41</v>
      </c>
      <c r="T12" s="21">
        <v>4066.7245950088954</v>
      </c>
      <c r="U12" s="21">
        <f t="shared" si="1"/>
        <v>10602.724595008895</v>
      </c>
      <c r="V12" s="7"/>
    </row>
    <row r="13" spans="1:22" x14ac:dyDescent="0.25">
      <c r="A13" s="7" t="s">
        <v>259</v>
      </c>
      <c r="B13" s="21">
        <v>6247.4188999999997</v>
      </c>
      <c r="C13" s="21">
        <v>0</v>
      </c>
      <c r="D13" s="21">
        <v>9915.6819999999989</v>
      </c>
      <c r="E13" s="21">
        <v>2209.2274000000002</v>
      </c>
      <c r="F13" s="21">
        <v>13302.1106</v>
      </c>
      <c r="G13" s="21">
        <v>80.046999999999997</v>
      </c>
      <c r="H13" s="21">
        <v>398350.25270000001</v>
      </c>
      <c r="I13" s="21"/>
      <c r="J13" s="21">
        <f>SUM(B13:I13)</f>
        <v>430104.73859999998</v>
      </c>
      <c r="K13" s="20"/>
      <c r="L13" t="str">
        <f>$A$13</f>
        <v>Rest</v>
      </c>
      <c r="M13" s="21">
        <v>12941</v>
      </c>
      <c r="N13" s="21">
        <v>257</v>
      </c>
      <c r="O13" s="21">
        <v>9304</v>
      </c>
      <c r="P13" s="21">
        <v>4408</v>
      </c>
      <c r="Q13" s="21">
        <v>36787</v>
      </c>
      <c r="R13" s="21">
        <v>4508</v>
      </c>
      <c r="S13" s="21">
        <v>516088</v>
      </c>
      <c r="T13" s="21"/>
      <c r="U13" s="21">
        <f t="shared" si="1"/>
        <v>584293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r="15" spans="1:22" ht="15.75" thickBot="1" x14ac:dyDescent="0.3">
      <c r="A15" s="12" t="s">
        <v>3</v>
      </c>
      <c r="B15" s="53">
        <f t="shared" ref="B15:G15" si="2">SUM(B7:B13)</f>
        <v>33356.483</v>
      </c>
      <c r="C15" s="53">
        <f t="shared" si="2"/>
        <v>423.7869</v>
      </c>
      <c r="D15" s="53">
        <f t="shared" si="2"/>
        <v>29170.828399999999</v>
      </c>
      <c r="E15" s="53">
        <f t="shared" si="2"/>
        <v>21143.696999999996</v>
      </c>
      <c r="F15" s="53">
        <f t="shared" si="2"/>
        <v>106419.91160000001</v>
      </c>
      <c r="G15" s="53">
        <f t="shared" si="2"/>
        <v>3853.6853000000001</v>
      </c>
      <c r="H15" s="53"/>
      <c r="I15" s="53">
        <f>SUM(I7:I13)</f>
        <v>109078.5074</v>
      </c>
      <c r="J15" s="53">
        <f>SUM(J7:J13)</f>
        <v>705894.4057</v>
      </c>
      <c r="K15" s="20"/>
      <c r="L15" s="53" t="s">
        <v>3</v>
      </c>
      <c r="M15" s="53">
        <f t="shared" ref="M15:S15" si="3">SUM(M7:M13)</f>
        <v>45275</v>
      </c>
      <c r="N15" s="53">
        <f t="shared" si="3"/>
        <v>1376</v>
      </c>
      <c r="O15" s="53">
        <f t="shared" si="3"/>
        <v>34336</v>
      </c>
      <c r="P15" s="53">
        <f t="shared" si="3"/>
        <v>21259</v>
      </c>
      <c r="Q15" s="53">
        <f t="shared" si="3"/>
        <v>160660</v>
      </c>
      <c r="R15" s="53">
        <f t="shared" si="3"/>
        <v>13880</v>
      </c>
      <c r="S15" s="53">
        <f t="shared" si="3"/>
        <v>526756</v>
      </c>
      <c r="T15" s="53">
        <f>SUM(T7:T13)</f>
        <v>21047.425647261214</v>
      </c>
      <c r="U15" s="53">
        <f>SUM(U7:U13)</f>
        <v>824589.4256472612</v>
      </c>
    </row>
    <row r="18" spans="1:32" ht="15.75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t="shared" ref="B20:G26" si="4">($U7/$J7)*B7</f>
        <v>25386.641283646542</v>
      </c>
      <c r="C20" s="20">
        <f t="shared" si="4"/>
        <v>0</v>
      </c>
      <c r="D20" s="20">
        <f t="shared" si="4"/>
        <v>198.77504821935565</v>
      </c>
      <c r="E20" s="20">
        <f t="shared" si="4"/>
        <v>0</v>
      </c>
      <c r="F20" s="20">
        <f t="shared" si="4"/>
        <v>1124.9919169267127</v>
      </c>
      <c r="G20" s="20">
        <f t="shared" si="4"/>
        <v>313.30807911775793</v>
      </c>
      <c r="H20" s="20">
        <f t="shared" ref="H20" si="5">($U7/$J7)*H7</f>
        <v>674.8880970890549</v>
      </c>
      <c r="I20" s="20">
        <f t="shared" ref="I20:J26" si="6">($U7/$J7)*I7</f>
        <v>8879.8955750005734</v>
      </c>
      <c r="J20" s="20">
        <f t="shared" si="6"/>
        <v>36578.5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t="shared" si="4"/>
        <v>51.309484868384445</v>
      </c>
      <c r="C21" s="20">
        <f t="shared" si="4"/>
        <v>2.7746063738506841</v>
      </c>
      <c r="D21" s="20">
        <f t="shared" si="4"/>
        <v>0</v>
      </c>
      <c r="E21" s="20">
        <f t="shared" si="4"/>
        <v>0</v>
      </c>
      <c r="F21" s="20">
        <f t="shared" si="4"/>
        <v>68.755220555958758</v>
      </c>
      <c r="G21" s="20">
        <f t="shared" si="4"/>
        <v>7.5419584013042344</v>
      </c>
      <c r="H21" s="20">
        <f t="shared" ref="H21" si="7">($U8/$J8)*H8</f>
        <v>0</v>
      </c>
      <c r="I21" s="20">
        <f t="shared" si="6"/>
        <v>2509.4912672791775</v>
      </c>
      <c r="J21" s="20">
        <f t="shared" si="6"/>
        <v>2639.8725374786754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t="shared" si="4"/>
        <v>1759.5787373230694</v>
      </c>
      <c r="C22" s="20">
        <f t="shared" si="4"/>
        <v>123.01502481545232</v>
      </c>
      <c r="D22" s="20">
        <f t="shared" si="4"/>
        <v>10598.714152748573</v>
      </c>
      <c r="E22" s="20">
        <f t="shared" si="4"/>
        <v>94.837532482048829</v>
      </c>
      <c r="F22" s="20">
        <f t="shared" si="4"/>
        <v>23.670605559092444</v>
      </c>
      <c r="G22" s="20">
        <f t="shared" si="4"/>
        <v>3.0131360049982758</v>
      </c>
      <c r="H22" s="20">
        <f t="shared" ref="H22" si="8">($U9/$J9)*H9</f>
        <v>7.4919262455448603</v>
      </c>
      <c r="I22" s="20">
        <f t="shared" si="6"/>
        <v>20562.633614714545</v>
      </c>
      <c r="J22" s="20">
        <f t="shared" si="6"/>
        <v>33172.954729893325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t="shared" si="4"/>
        <v>1100.4784742274758</v>
      </c>
      <c r="C23" s="20">
        <f t="shared" si="4"/>
        <v>147.25942249435693</v>
      </c>
      <c r="D23" s="20">
        <f t="shared" si="4"/>
        <v>2389.0009628762723</v>
      </c>
      <c r="E23" s="20">
        <f t="shared" si="4"/>
        <v>12021.103738985228</v>
      </c>
      <c r="F23" s="20">
        <f t="shared" si="4"/>
        <v>513.17350833882892</v>
      </c>
      <c r="G23" s="20">
        <f t="shared" si="4"/>
        <v>2.3499874621803287</v>
      </c>
      <c r="H23" s="20">
        <f t="shared" ref="H23" si="9">($U10/$J10)*H10</f>
        <v>156.76347518902193</v>
      </c>
      <c r="I23" s="20">
        <f t="shared" si="6"/>
        <v>13379.101320911164</v>
      </c>
      <c r="J23" s="20">
        <f t="shared" si="6"/>
        <v>29709.230890484527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t="shared" si="4"/>
        <v>399.26641225912124</v>
      </c>
      <c r="C24" s="20">
        <f t="shared" si="4"/>
        <v>21.72563363388538</v>
      </c>
      <c r="D24" s="20">
        <f t="shared" si="4"/>
        <v>800.37796255204228</v>
      </c>
      <c r="E24" s="20">
        <f t="shared" si="4"/>
        <v>5.033739582569499</v>
      </c>
      <c r="F24" s="20">
        <f t="shared" si="4"/>
        <v>101217.70907260047</v>
      </c>
      <c r="G24" s="20">
        <f t="shared" si="4"/>
        <v>3032.4737087296276</v>
      </c>
      <c r="H24" s="20">
        <f t="shared" ref="H24" si="10">($U11/$J11)*H11</f>
        <v>3674.1632292090999</v>
      </c>
      <c r="I24" s="20">
        <f t="shared" si="6"/>
        <v>18442.393135828977</v>
      </c>
      <c r="J24" s="20">
        <f t="shared" si="6"/>
        <v>127593.14289439579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t="shared" si="4"/>
        <v>0</v>
      </c>
      <c r="C25" s="20">
        <f t="shared" si="4"/>
        <v>0</v>
      </c>
      <c r="D25" s="20">
        <f t="shared" si="4"/>
        <v>0</v>
      </c>
      <c r="E25" s="20">
        <f t="shared" si="4"/>
        <v>0</v>
      </c>
      <c r="F25" s="20">
        <f t="shared" si="4"/>
        <v>568.62535430804337</v>
      </c>
      <c r="G25" s="20">
        <f t="shared" si="4"/>
        <v>247.61736771800938</v>
      </c>
      <c r="H25" s="20">
        <f t="shared" ref="H25:H26" si="11">($U12/$J12)*H12</f>
        <v>0</v>
      </c>
      <c r="I25" s="20">
        <f t="shared" si="6"/>
        <v>9786.4818729828439</v>
      </c>
      <c r="J25" s="20">
        <f t="shared" si="6"/>
        <v>10602.724595008895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>
        <f t="shared" si="4"/>
        <v>8487.0562998668156</v>
      </c>
      <c r="C26" s="20">
        <f t="shared" si="4"/>
        <v>0</v>
      </c>
      <c r="D26" s="20">
        <f t="shared" si="4"/>
        <v>13470.355155082683</v>
      </c>
      <c r="E26" s="20">
        <f t="shared" si="4"/>
        <v>3001.2134007867458</v>
      </c>
      <c r="F26" s="20">
        <f t="shared" si="4"/>
        <v>18070.784651443038</v>
      </c>
      <c r="G26" s="20">
        <f t="shared" si="4"/>
        <v>108.7430515721363</v>
      </c>
      <c r="H26" s="20">
        <f t="shared" si="11"/>
        <v>541154.8474412486</v>
      </c>
      <c r="I26" s="20">
        <f t="shared" si="6"/>
        <v>0</v>
      </c>
      <c r="J26" s="20">
        <f t="shared" si="6"/>
        <v>584293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t="shared" ref="C27:J27" si="12">($U14/$J14)*C14</f>
        <v>#DIV/0!</v>
      </c>
      <c r="D27" s="22" t="e">
        <f t="shared" si="12"/>
        <v>#DIV/0!</v>
      </c>
      <c r="E27" s="22" t="e">
        <f t="shared" si="12"/>
        <v>#DIV/0!</v>
      </c>
      <c r="F27" s="22" t="e">
        <f t="shared" si="12"/>
        <v>#DIV/0!</v>
      </c>
      <c r="G27" s="22" t="e">
        <f t="shared" si="12"/>
        <v>#DIV/0!</v>
      </c>
      <c r="H27" s="22" t="e">
        <f t="shared" si="12"/>
        <v>#DIV/0!</v>
      </c>
      <c r="I27" s="22" t="e">
        <f t="shared" si="12"/>
        <v>#DIV/0!</v>
      </c>
      <c r="J27" s="22" t="e">
        <f t="shared" si="12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r="28" spans="1:32" ht="15.75" thickBot="1" x14ac:dyDescent="0.3">
      <c r="A28" s="1" t="s">
        <v>3</v>
      </c>
      <c r="B28" s="24">
        <f t="shared" ref="B28:H28" si="13">($U15/$J15)*B15</f>
        <v>38965.322485176672</v>
      </c>
      <c r="C28" s="24">
        <f t="shared" si="13"/>
        <v>495.04599221366703</v>
      </c>
      <c r="D28" s="24">
        <f t="shared" si="13"/>
        <v>34075.85673123123</v>
      </c>
      <c r="E28" s="24">
        <f t="shared" si="13"/>
        <v>24698.97597219294</v>
      </c>
      <c r="F28" s="24">
        <f t="shared" si="13"/>
        <v>124314.25022650001</v>
      </c>
      <c r="G28" s="24">
        <f t="shared" si="13"/>
        <v>4501.6763449217597</v>
      </c>
      <c r="H28" s="24">
        <f t="shared" si="13"/>
        <v>0</v>
      </c>
      <c r="I28" s="24">
        <f>($U15/$J15)*I15</f>
        <v>127419.88467557356</v>
      </c>
      <c r="J28" s="24">
        <f>($U15/$J15)*J15</f>
        <v>824589.4256472612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31" spans="1:32" ht="15.75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t="shared" ref="B33:J39" si="14">B20/$J$28</f>
        <v>3.0787008047937683E-2</v>
      </c>
      <c r="C33" s="26">
        <f t="shared" si="14"/>
        <v>0</v>
      </c>
      <c r="D33" s="26">
        <f t="shared" si="14"/>
        <v>2.410594194357116E-4</v>
      </c>
      <c r="E33" s="26">
        <f t="shared" si="14"/>
        <v>0</v>
      </c>
      <c r="F33" s="26">
        <f t="shared" si="14"/>
        <v>1.3643055342889593E-3</v>
      </c>
      <c r="G33" s="26">
        <f t="shared" si="14"/>
        <v>3.7995645999441098E-4</v>
      </c>
      <c r="H33" s="26">
        <f t="shared" ref="H33" si="15">H20/$J$28</f>
        <v>8.1845349467015262E-4</v>
      </c>
      <c r="I33" s="26">
        <f t="shared" ref="I33:J39" si="16">I20/$J$28</f>
        <v>1.0768869086612773E-2</v>
      </c>
      <c r="J33" s="26">
        <f t="shared" si="16"/>
        <v>4.4359652042939693E-2</v>
      </c>
      <c r="L33" t="str">
        <f>$A$7</f>
        <v>Bellevue</v>
      </c>
      <c r="M33" s="26">
        <f t="shared" ref="M33:U39" si="17">M7/$U$15</f>
        <v>3.0720743211223762E-2</v>
      </c>
      <c r="N33" s="26">
        <f t="shared" si="17"/>
        <v>9.1924535583876564E-4</v>
      </c>
      <c r="O33" s="26">
        <f t="shared" si="17"/>
        <v>1.549862222641085E-3</v>
      </c>
      <c r="P33" s="26">
        <f t="shared" si="17"/>
        <v>2.3369205814001339E-3</v>
      </c>
      <c r="Q33" s="26">
        <f t="shared" si="17"/>
        <v>3.3980547322694211E-3</v>
      </c>
      <c r="R33" s="26">
        <f t="shared" si="17"/>
        <v>4.3900635727392239E-4</v>
      </c>
      <c r="S33" s="26">
        <f t="shared" ref="S33" si="18">S7/$U$15</f>
        <v>2.1525864203348405E-3</v>
      </c>
      <c r="T33" s="26">
        <f t="shared" ref="T33:U38" si="19">T7/$U$15</f>
        <v>2.843233161957765E-3</v>
      </c>
      <c r="U33" s="26">
        <f t="shared" si="19"/>
        <v>4.4359652042939693E-2</v>
      </c>
      <c r="W33" t="str">
        <f>$A$7</f>
        <v>Bellevue</v>
      </c>
      <c r="X33" s="26">
        <f t="shared" ref="X33:Z35" si="20">M33-B33</f>
        <v>-6.6264836713920278E-5</v>
      </c>
      <c r="Y33" s="26">
        <f t="shared" si="20"/>
        <v>9.1924535583876564E-4</v>
      </c>
      <c r="Z33" s="26">
        <f t="shared" si="20"/>
        <v>1.3088028032053733E-3</v>
      </c>
      <c r="AA33" s="26">
        <f t="shared" ref="AA33:AA35" si="21">P33-E33</f>
        <v>2.3369205814001339E-3</v>
      </c>
      <c r="AB33" s="26">
        <f t="shared" ref="AB33:AB35" si="22">Q33-F33</f>
        <v>2.0337491979804615E-3</v>
      </c>
      <c r="AC33" s="26">
        <f t="shared" ref="AC33:AD40" si="23">R33-G33</f>
        <v>5.9049897279511417E-5</v>
      </c>
      <c r="AD33" s="26">
        <f t="shared" si="23"/>
        <v>1.3341329256646877E-3</v>
      </c>
      <c r="AE33" s="26">
        <f t="shared" ref="AE33:AF35" si="24">T33-I33</f>
        <v>-7.9256359246550074E-3</v>
      </c>
      <c r="AF33" s="26">
        <f t="shared" si="24"/>
        <v>0</v>
      </c>
    </row>
    <row r="34" spans="1:32" x14ac:dyDescent="0.25">
      <c r="A34" t="str">
        <f>$A$8</f>
        <v>Bellevue Downtown</v>
      </c>
      <c r="B34" s="26">
        <f t="shared" si="14"/>
        <v>6.22242818941185E-5</v>
      </c>
      <c r="C34" s="26">
        <f t="shared" si="14"/>
        <v>3.3648338040143527E-6</v>
      </c>
      <c r="D34" s="26">
        <f t="shared" si="14"/>
        <v>0</v>
      </c>
      <c r="E34" s="26">
        <f t="shared" si="14"/>
        <v>0</v>
      </c>
      <c r="F34" s="26">
        <f t="shared" si="14"/>
        <v>8.3381157237117579E-5</v>
      </c>
      <c r="G34" s="26">
        <f t="shared" si="14"/>
        <v>9.1463195703536664E-6</v>
      </c>
      <c r="H34" s="26">
        <f t="shared" ref="H34" si="25">H21/$J$28</f>
        <v>0</v>
      </c>
      <c r="I34" s="26">
        <f t="shared" si="16"/>
        <v>3.043322154306494E-3</v>
      </c>
      <c r="J34" s="26">
        <f t="shared" si="16"/>
        <v>3.2014387468120979E-3</v>
      </c>
      <c r="L34" t="str">
        <f>$A$8</f>
        <v>Bellevue Downtown</v>
      </c>
      <c r="M34" s="26">
        <f t="shared" si="17"/>
        <v>1.0320287570168727E-3</v>
      </c>
      <c r="N34" s="26">
        <f t="shared" si="17"/>
        <v>2.0616320645460443E-4</v>
      </c>
      <c r="O34" s="26">
        <f t="shared" si="17"/>
        <v>1.0308160322730221E-4</v>
      </c>
      <c r="P34" s="26">
        <f t="shared" si="17"/>
        <v>1.9403595901609829E-5</v>
      </c>
      <c r="Q34" s="26">
        <f t="shared" si="17"/>
        <v>4.6568630163863588E-4</v>
      </c>
      <c r="R34" s="26">
        <f t="shared" si="17"/>
        <v>7.0338035143335632E-5</v>
      </c>
      <c r="S34" s="26">
        <f t="shared" ref="S34" si="26">S8/$U$15</f>
        <v>7.2763484631036856E-6</v>
      </c>
      <c r="T34" s="26">
        <f t="shared" si="19"/>
        <v>1.2974608989666336E-3</v>
      </c>
      <c r="U34" s="26">
        <f t="shared" si="19"/>
        <v>3.2014387468120979E-3</v>
      </c>
      <c r="W34" t="str">
        <f>$A$8</f>
        <v>Bellevue Downtown</v>
      </c>
      <c r="X34" s="26">
        <f t="shared" si="20"/>
        <v>9.6980447512275418E-4</v>
      </c>
      <c r="Y34" s="26">
        <f t="shared" si="20"/>
        <v>2.0279837265059007E-4</v>
      </c>
      <c r="Z34" s="26">
        <f t="shared" si="20"/>
        <v>1.0308160322730221E-4</v>
      </c>
      <c r="AA34" s="26">
        <f t="shared" si="21"/>
        <v>1.9403595901609829E-5</v>
      </c>
      <c r="AB34" s="26">
        <f t="shared" si="22"/>
        <v>3.823051444015183E-4</v>
      </c>
      <c r="AC34" s="26">
        <f t="shared" si="23"/>
        <v>6.1191715572981963E-5</v>
      </c>
      <c r="AD34" s="26">
        <f t="shared" si="23"/>
        <v>7.2763484631036856E-6</v>
      </c>
      <c r="AE34" s="26">
        <f t="shared" si="24"/>
        <v>-1.7458612553398604E-3</v>
      </c>
      <c r="AF34" s="26">
        <f t="shared" si="24"/>
        <v>0</v>
      </c>
    </row>
    <row r="35" spans="1:32" x14ac:dyDescent="0.25">
      <c r="A35" t="str">
        <f>$A$9</f>
        <v>Kirkland</v>
      </c>
      <c r="B35" s="26">
        <f t="shared" si="14"/>
        <v>2.1338846735051067E-3</v>
      </c>
      <c r="C35" s="26">
        <f t="shared" si="14"/>
        <v>1.4918336445909636E-4</v>
      </c>
      <c r="D35" s="26">
        <f t="shared" si="14"/>
        <v>1.2853322906037893E-2</v>
      </c>
      <c r="E35" s="26">
        <f t="shared" si="14"/>
        <v>1.1501182228671698E-4</v>
      </c>
      <c r="F35" s="26">
        <f t="shared" si="14"/>
        <v>2.870592906343931E-5</v>
      </c>
      <c r="G35" s="26">
        <f t="shared" si="14"/>
        <v>3.6541045898485973E-6</v>
      </c>
      <c r="H35" s="26">
        <f t="shared" ref="H35" si="27">H22/$J$28</f>
        <v>9.0856443370760857E-6</v>
      </c>
      <c r="I35" s="26">
        <f t="shared" si="16"/>
        <v>2.4936814583298727E-2</v>
      </c>
      <c r="J35" s="26">
        <f t="shared" si="16"/>
        <v>4.0229663027577904E-2</v>
      </c>
      <c r="L35" t="str">
        <f>$A$9</f>
        <v>Kirkland</v>
      </c>
      <c r="M35" s="26">
        <f t="shared" si="17"/>
        <v>1.8942760498946594E-3</v>
      </c>
      <c r="N35" s="26">
        <f t="shared" si="17"/>
        <v>1.1642157540965897E-4</v>
      </c>
      <c r="O35" s="26">
        <f t="shared" si="17"/>
        <v>2.2004890477169397E-2</v>
      </c>
      <c r="P35" s="26">
        <f t="shared" si="17"/>
        <v>2.7759269386740562E-3</v>
      </c>
      <c r="Q35" s="26">
        <f t="shared" si="17"/>
        <v>4.8472608011709056E-3</v>
      </c>
      <c r="R35" s="26">
        <f t="shared" si="17"/>
        <v>2.631612694155833E-4</v>
      </c>
      <c r="S35" s="26">
        <f t="shared" ref="S35" si="28">S9/$U$15</f>
        <v>1.7560254290956896E-3</v>
      </c>
      <c r="T35" s="26">
        <f t="shared" si="19"/>
        <v>6.5717004867479585E-3</v>
      </c>
      <c r="U35" s="26">
        <f t="shared" si="19"/>
        <v>4.0229663027577904E-2</v>
      </c>
      <c r="W35" t="str">
        <f>$A$9</f>
        <v>Kirkland</v>
      </c>
      <c r="X35" s="26">
        <f t="shared" si="20"/>
        <v>-2.3960862361044723E-4</v>
      </c>
      <c r="Y35" s="26">
        <f t="shared" si="20"/>
        <v>-3.2761789049437395E-5</v>
      </c>
      <c r="Z35" s="26">
        <f t="shared" si="20"/>
        <v>9.1515675711315043E-3</v>
      </c>
      <c r="AA35" s="26">
        <f t="shared" si="21"/>
        <v>2.6609151163873392E-3</v>
      </c>
      <c r="AB35" s="26">
        <f t="shared" si="22"/>
        <v>4.8185548721074662E-3</v>
      </c>
      <c r="AC35" s="26">
        <f t="shared" si="23"/>
        <v>2.5950716482573473E-4</v>
      </c>
      <c r="AD35" s="26">
        <f t="shared" si="23"/>
        <v>1.7469397847586134E-3</v>
      </c>
      <c r="AE35" s="26">
        <f t="shared" si="24"/>
        <v>-1.8365114096550769E-2</v>
      </c>
      <c r="AF35" s="26">
        <f t="shared" si="24"/>
        <v>0</v>
      </c>
    </row>
    <row r="36" spans="1:32" x14ac:dyDescent="0.25">
      <c r="A36" t="str">
        <f>$A$10</f>
        <v>Redmond</v>
      </c>
      <c r="B36" s="26">
        <f t="shared" si="14"/>
        <v>1.3345774757706303E-3</v>
      </c>
      <c r="C36" s="26">
        <f t="shared" si="14"/>
        <v>1.7858514542405839E-4</v>
      </c>
      <c r="D36" s="26">
        <f t="shared" si="14"/>
        <v>2.8972005807629984E-3</v>
      </c>
      <c r="E36" s="26">
        <f t="shared" si="14"/>
        <v>1.4578289952662523E-2</v>
      </c>
      <c r="F36" s="26">
        <f t="shared" si="14"/>
        <v>6.2233821145112739E-4</v>
      </c>
      <c r="G36" s="26">
        <f t="shared" si="14"/>
        <v>2.8498879431247942E-6</v>
      </c>
      <c r="H36" s="26">
        <f t="shared" ref="H36" si="29">H23/$J$28</f>
        <v>1.9011094529373875E-4</v>
      </c>
      <c r="I36" s="26">
        <f t="shared" si="16"/>
        <v>1.6225167222353409E-2</v>
      </c>
      <c r="J36" s="26">
        <f t="shared" si="16"/>
        <v>3.6029119421661607E-2</v>
      </c>
      <c r="L36" t="str">
        <f>$A$10</f>
        <v>Redmond</v>
      </c>
      <c r="M36" s="26">
        <f t="shared" si="17"/>
        <v>4.1353913765305944E-3</v>
      </c>
      <c r="N36" s="26">
        <f t="shared" si="17"/>
        <v>4.9721714497875186E-5</v>
      </c>
      <c r="O36" s="26">
        <f t="shared" si="17"/>
        <v>5.1043584468672357E-3</v>
      </c>
      <c r="P36" s="26">
        <f t="shared" si="17"/>
        <v>1.5140868426974919E-2</v>
      </c>
      <c r="Q36" s="26">
        <f t="shared" si="17"/>
        <v>2.4860857248937595E-3</v>
      </c>
      <c r="R36" s="26">
        <f t="shared" si="17"/>
        <v>2.1101410543000688E-4</v>
      </c>
      <c r="S36" s="26">
        <f t="shared" ref="S36" si="30">S10/$U$15</f>
        <v>1.8215125652636228E-3</v>
      </c>
      <c r="T36" s="26">
        <f t="shared" si="19"/>
        <v>7.0801670612035917E-3</v>
      </c>
      <c r="U36" s="26">
        <f t="shared" si="19"/>
        <v>3.6029119421661607E-2</v>
      </c>
      <c r="W36" t="str">
        <f>$A$10</f>
        <v>Redmond</v>
      </c>
      <c r="X36" s="26">
        <f t="shared" ref="X36:X38" si="31">M36-B36</f>
        <v>2.8008139007599641E-3</v>
      </c>
      <c r="Y36" s="26">
        <f t="shared" ref="Y36:Y38" si="32">N36-C36</f>
        <v>-1.2886343092618319E-4</v>
      </c>
      <c r="Z36" s="26">
        <f t="shared" ref="Z36:Z38" si="33">O36-D36</f>
        <v>2.2071578661042373E-3</v>
      </c>
      <c r="AA36" s="26">
        <f t="shared" ref="AA36:AA38" si="34">P36-E36</f>
        <v>5.6257847431239599E-4</v>
      </c>
      <c r="AB36" s="26">
        <f t="shared" ref="AB36:AB38" si="35">Q36-F36</f>
        <v>1.863747513442632E-3</v>
      </c>
      <c r="AC36" s="26">
        <f t="shared" ref="AC36:AD38" si="36">R36-G36</f>
        <v>2.081642174868821E-4</v>
      </c>
      <c r="AD36" s="26">
        <f t="shared" si="36"/>
        <v>1.631401619969884E-3</v>
      </c>
      <c r="AE36" s="26">
        <f t="shared" ref="AE36:AE39" si="37">T36-I36</f>
        <v>-9.1450001611498161E-3</v>
      </c>
      <c r="AF36" s="26">
        <f t="shared" ref="AF36:AF39" si="38">U36-J36</f>
        <v>0</v>
      </c>
    </row>
    <row r="37" spans="1:32" x14ac:dyDescent="0.25">
      <c r="A37" t="str">
        <f>$A$11</f>
        <v>Seattle</v>
      </c>
      <c r="B37" s="26">
        <f t="shared" si="14"/>
        <v>4.8420025753509655E-4</v>
      </c>
      <c r="C37" s="26">
        <f t="shared" si="14"/>
        <v>2.634721348364594E-5</v>
      </c>
      <c r="D37" s="26">
        <f t="shared" si="14"/>
        <v>9.7063815961960205E-4</v>
      </c>
      <c r="E37" s="26">
        <f t="shared" si="14"/>
        <v>6.1045405458822938E-6</v>
      </c>
      <c r="F37" s="26">
        <f t="shared" si="14"/>
        <v>0.1227492203082154</v>
      </c>
      <c r="G37" s="26">
        <f t="shared" si="14"/>
        <v>3.6775559016528599E-3</v>
      </c>
      <c r="H37" s="26">
        <f t="shared" ref="H37" si="39">H24/$J$28</f>
        <v>4.4557486610079513E-3</v>
      </c>
      <c r="I37" s="26">
        <f t="shared" si="16"/>
        <v>2.2365546491640523E-2</v>
      </c>
      <c r="J37" s="26">
        <f t="shared" si="16"/>
        <v>0.15473536153370096</v>
      </c>
      <c r="L37" t="str">
        <f>$A$11</f>
        <v>Seattle</v>
      </c>
      <c r="M37" s="26">
        <f t="shared" si="17"/>
        <v>1.3327844934918251E-3</v>
      </c>
      <c r="N37" s="26">
        <f t="shared" si="17"/>
        <v>6.0636237192530713E-5</v>
      </c>
      <c r="O37" s="26">
        <f t="shared" si="17"/>
        <v>1.5850312402127529E-3</v>
      </c>
      <c r="P37" s="26">
        <f t="shared" si="17"/>
        <v>1.6007966618828109E-4</v>
      </c>
      <c r="Q37" s="26">
        <f t="shared" si="17"/>
        <v>0.13476888805937492</v>
      </c>
      <c r="R37" s="26">
        <f t="shared" si="17"/>
        <v>6.8773620223768336E-3</v>
      </c>
      <c r="S37" s="26">
        <f t="shared" ref="S37" si="40">S11/$U$15</f>
        <v>7.150225089743222E-3</v>
      </c>
      <c r="T37" s="26">
        <f t="shared" si="19"/>
        <v>2.8003547251206004E-3</v>
      </c>
      <c r="U37" s="26">
        <f t="shared" si="19"/>
        <v>0.15473536153370096</v>
      </c>
      <c r="W37" t="str">
        <f>$A$11</f>
        <v>Seattle</v>
      </c>
      <c r="X37" s="26">
        <f t="shared" si="31"/>
        <v>8.4858423595672865E-4</v>
      </c>
      <c r="Y37" s="26">
        <f t="shared" si="32"/>
        <v>3.4289023708884773E-5</v>
      </c>
      <c r="Z37" s="26">
        <f t="shared" si="33"/>
        <v>6.1439308059315083E-4</v>
      </c>
      <c r="AA37" s="26">
        <f t="shared" si="34"/>
        <v>1.5397512564239879E-4</v>
      </c>
      <c r="AB37" s="26">
        <f t="shared" si="35"/>
        <v>1.2019667751159521E-2</v>
      </c>
      <c r="AC37" s="26">
        <f t="shared" si="36"/>
        <v>3.1998061207239737E-3</v>
      </c>
      <c r="AD37" s="26">
        <f t="shared" si="36"/>
        <v>2.6944764287352707E-3</v>
      </c>
      <c r="AE37" s="26">
        <f t="shared" si="37"/>
        <v>-1.9565191766519923E-2</v>
      </c>
      <c r="AF37" s="26">
        <f t="shared" si="38"/>
        <v>0</v>
      </c>
    </row>
    <row r="38" spans="1:32" x14ac:dyDescent="0.25">
      <c r="A38" t="str">
        <f>$A$12</f>
        <v>Seattle Downtown</v>
      </c>
      <c r="B38" s="26">
        <f t="shared" si="14"/>
        <v>0</v>
      </c>
      <c r="C38" s="26">
        <f t="shared" si="14"/>
        <v>0</v>
      </c>
      <c r="D38" s="26">
        <f t="shared" si="14"/>
        <v>0</v>
      </c>
      <c r="E38" s="26">
        <f t="shared" si="14"/>
        <v>0</v>
      </c>
      <c r="F38" s="26">
        <f t="shared" si="14"/>
        <v>6.8958603715018674E-4</v>
      </c>
      <c r="G38" s="26">
        <f t="shared" si="14"/>
        <v>3.0029170883878628E-4</v>
      </c>
      <c r="H38" s="26">
        <f t="shared" ref="H38:H39" si="41">H25/$J$28</f>
        <v>0</v>
      </c>
      <c r="I38" s="26">
        <f t="shared" si="16"/>
        <v>1.18683087226118E-2</v>
      </c>
      <c r="J38" s="26">
        <f t="shared" si="16"/>
        <v>1.285818646860077E-2</v>
      </c>
      <c r="L38" t="str">
        <f>$A$12</f>
        <v>Seattle Downtown</v>
      </c>
      <c r="M38" s="26">
        <f t="shared" si="17"/>
        <v>9.7017979508049143E-5</v>
      </c>
      <c r="N38" s="26">
        <f t="shared" si="17"/>
        <v>4.8508989754024573E-6</v>
      </c>
      <c r="O38" s="26">
        <f t="shared" si="17"/>
        <v>9.7017979508049146E-6</v>
      </c>
      <c r="P38" s="26">
        <f t="shared" si="17"/>
        <v>2.4254494877012287E-6</v>
      </c>
      <c r="Q38" s="26">
        <f t="shared" si="17"/>
        <v>4.2578765756595069E-3</v>
      </c>
      <c r="R38" s="26">
        <f t="shared" si="17"/>
        <v>3.5047745097282752E-3</v>
      </c>
      <c r="S38" s="26">
        <f t="shared" ref="S38" si="42">S12/$U$15</f>
        <v>4.9721714497875186E-5</v>
      </c>
      <c r="T38" s="26">
        <f t="shared" si="19"/>
        <v>4.9318175427931557E-3</v>
      </c>
      <c r="U38" s="26">
        <f t="shared" si="19"/>
        <v>1.285818646860077E-2</v>
      </c>
      <c r="W38" t="str">
        <f>$A$12</f>
        <v>Seattle Downtown</v>
      </c>
      <c r="X38" s="26">
        <f t="shared" si="31"/>
        <v>9.7017979508049143E-5</v>
      </c>
      <c r="Y38" s="26">
        <f t="shared" si="32"/>
        <v>4.8508989754024573E-6</v>
      </c>
      <c r="Z38" s="26">
        <f t="shared" si="33"/>
        <v>9.7017979508049146E-6</v>
      </c>
      <c r="AA38" s="26">
        <f t="shared" si="34"/>
        <v>2.4254494877012287E-6</v>
      </c>
      <c r="AB38" s="26">
        <f t="shared" si="35"/>
        <v>3.56829053850932E-3</v>
      </c>
      <c r="AC38" s="26">
        <f t="shared" si="36"/>
        <v>3.2044828008894891E-3</v>
      </c>
      <c r="AD38" s="26">
        <f t="shared" si="36"/>
        <v>4.9721714497875186E-5</v>
      </c>
      <c r="AE38" s="26">
        <f t="shared" si="37"/>
        <v>-6.9364911798186438E-3</v>
      </c>
      <c r="AF38" s="26">
        <f t="shared" si="38"/>
        <v>0</v>
      </c>
    </row>
    <row r="39" spans="1:32" x14ac:dyDescent="0.25">
      <c r="A39" t="str">
        <f>$A$13</f>
        <v>Rest</v>
      </c>
      <c r="B39" s="26">
        <f t="shared" si="14"/>
        <v>1.0292463177301727E-2</v>
      </c>
      <c r="C39" s="26">
        <f t="shared" si="14"/>
        <v>0</v>
      </c>
      <c r="D39" s="26">
        <f t="shared" si="14"/>
        <v>1.6335833005024447E-2</v>
      </c>
      <c r="E39" s="26">
        <f t="shared" si="14"/>
        <v>3.6396457527101372E-3</v>
      </c>
      <c r="F39" s="26">
        <f t="shared" si="14"/>
        <v>2.191488768760087E-2</v>
      </c>
      <c r="G39" s="26">
        <f t="shared" si="14"/>
        <v>1.3187538936335313E-4</v>
      </c>
      <c r="H39" s="26">
        <f t="shared" si="41"/>
        <v>0.65627187374670648</v>
      </c>
      <c r="I39" s="26">
        <f t="shared" si="16"/>
        <v>0</v>
      </c>
      <c r="J39" s="26">
        <f t="shared" si="14"/>
        <v>0.70858657875870701</v>
      </c>
      <c r="L39" t="str">
        <f>$A$13</f>
        <v>Rest</v>
      </c>
      <c r="M39" s="26">
        <f t="shared" si="17"/>
        <v>1.5693870910170798E-2</v>
      </c>
      <c r="N39" s="26">
        <f t="shared" si="17"/>
        <v>3.1167025916960787E-4</v>
      </c>
      <c r="O39" s="26">
        <f t="shared" si="17"/>
        <v>1.1283191016786116E-2</v>
      </c>
      <c r="P39" s="26">
        <f t="shared" si="17"/>
        <v>5.3456906708935076E-3</v>
      </c>
      <c r="Q39" s="26">
        <f t="shared" si="17"/>
        <v>4.461250515203255E-2</v>
      </c>
      <c r="R39" s="26">
        <f t="shared" si="17"/>
        <v>5.4669631452785696E-3</v>
      </c>
      <c r="S39" s="26">
        <f t="shared" ref="S39" si="43">S13/$U$15</f>
        <v>0.62587268760437587</v>
      </c>
      <c r="T39" s="26">
        <f t="shared" si="17"/>
        <v>0</v>
      </c>
      <c r="U39" s="26">
        <f t="shared" si="17"/>
        <v>0.70858657875870701</v>
      </c>
      <c r="W39" t="str">
        <f>$A$13</f>
        <v>Rest</v>
      </c>
      <c r="X39" s="26">
        <f t="shared" ref="X39" si="44">M39-B39</f>
        <v>5.4014077328690714E-3</v>
      </c>
      <c r="Y39" s="26">
        <f t="shared" ref="Y39" si="45">N39-C39</f>
        <v>3.1167025916960787E-4</v>
      </c>
      <c r="Z39" s="26">
        <f t="shared" ref="Z39" si="46">O39-D39</f>
        <v>-5.0526419882383315E-3</v>
      </c>
      <c r="AA39" s="26">
        <f t="shared" ref="AA39" si="47">P39-E39</f>
        <v>1.7060449181833704E-3</v>
      </c>
      <c r="AB39" s="26">
        <f t="shared" ref="AB39" si="48">Q39-F39</f>
        <v>2.269761746443168E-2</v>
      </c>
      <c r="AC39" s="26">
        <f t="shared" ref="AC39" si="49">R39-G39</f>
        <v>5.3350877559152163E-3</v>
      </c>
      <c r="AD39" s="26">
        <f t="shared" ref="AD39" si="50">S39-H39</f>
        <v>-3.0399186142330614E-2</v>
      </c>
      <c r="AE39" s="26">
        <f t="shared" si="37"/>
        <v>0</v>
      </c>
      <c r="AF39" s="26">
        <f t="shared" si="38"/>
        <v>0</v>
      </c>
    </row>
    <row r="40" spans="1:32" x14ac:dyDescent="0.25">
      <c r="A40" s="8" t="s">
        <v>12</v>
      </c>
      <c r="B40" s="27" t="e">
        <f t="shared" ref="B40:H40" si="51">B27/$J$28</f>
        <v>#DIV/0!</v>
      </c>
      <c r="C40" s="27" t="e">
        <f t="shared" si="51"/>
        <v>#DIV/0!</v>
      </c>
      <c r="D40" s="27" t="e">
        <f t="shared" si="51"/>
        <v>#DIV/0!</v>
      </c>
      <c r="E40" s="27" t="e">
        <f t="shared" si="51"/>
        <v>#DIV/0!</v>
      </c>
      <c r="F40" s="27" t="e">
        <f t="shared" si="51"/>
        <v>#DIV/0!</v>
      </c>
      <c r="G40" s="27" t="e">
        <f t="shared" si="51"/>
        <v>#DIV/0!</v>
      </c>
      <c r="H40" s="27" t="e">
        <f t="shared" si="51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t="shared" ref="N40:U40" si="52">N14/$U$15</f>
        <v>0</v>
      </c>
      <c r="O40" s="27">
        <f t="shared" si="52"/>
        <v>0</v>
      </c>
      <c r="P40" s="27">
        <f t="shared" si="52"/>
        <v>0</v>
      </c>
      <c r="Q40" s="27">
        <f t="shared" si="52"/>
        <v>0</v>
      </c>
      <c r="R40" s="27">
        <f t="shared" si="52"/>
        <v>0</v>
      </c>
      <c r="S40" s="27">
        <f t="shared" si="52"/>
        <v>0</v>
      </c>
      <c r="T40" s="27">
        <f t="shared" si="52"/>
        <v>0</v>
      </c>
      <c r="U40" s="27">
        <f t="shared" si="52"/>
        <v>0</v>
      </c>
      <c r="W40" s="23" t="s">
        <v>12</v>
      </c>
      <c r="X40" s="27" t="e">
        <f t="shared" ref="X40:Z41" si="53">M40-B40</f>
        <v>#DIV/0!</v>
      </c>
      <c r="Y40" s="27" t="e">
        <f t="shared" si="53"/>
        <v>#DIV/0!</v>
      </c>
      <c r="Z40" s="27" t="e">
        <f t="shared" si="53"/>
        <v>#DIV/0!</v>
      </c>
      <c r="AA40" s="27" t="e">
        <f t="shared" ref="AA40:AA41" si="54">P40-E40</f>
        <v>#DIV/0!</v>
      </c>
      <c r="AB40" s="27" t="e">
        <f t="shared" ref="AB40:AB41" si="55">Q40-F40</f>
        <v>#DIV/0!</v>
      </c>
      <c r="AC40" s="27" t="e">
        <f t="shared" ref="AC40:AD41" si="56">R40-G40</f>
        <v>#DIV/0!</v>
      </c>
      <c r="AD40" s="26" t="e">
        <f t="shared" si="23"/>
        <v>#DIV/0!</v>
      </c>
      <c r="AE40" s="27" t="e">
        <f>T40-I40</f>
        <v>#DIV/0!</v>
      </c>
      <c r="AF40" s="27" t="e">
        <f>U40-J40</f>
        <v>#DIV/0!</v>
      </c>
    </row>
    <row r="41" spans="1:32" ht="15.75" thickBot="1" x14ac:dyDescent="0.3">
      <c r="A41" s="1" t="s">
        <v>3</v>
      </c>
      <c r="B41" s="28">
        <f>B28/$J$28</f>
        <v>4.7254210729892464E-2</v>
      </c>
      <c r="C41" s="28">
        <f>C28/$J$28</f>
        <v>6.0035452410159252E-4</v>
      </c>
      <c r="D41" s="28">
        <f>D28/$J$28</f>
        <v>4.1324634625872624E-2</v>
      </c>
      <c r="E41" s="28">
        <f t="shared" ref="E41:H41" si="57">E28/$J$28</f>
        <v>2.9953059309250161E-2</v>
      </c>
      <c r="F41" s="28">
        <f t="shared" si="57"/>
        <v>0.15075896726291338</v>
      </c>
      <c r="G41" s="28">
        <f t="shared" si="57"/>
        <v>5.4592942922936103E-3</v>
      </c>
      <c r="H41" s="28">
        <f t="shared" si="57"/>
        <v>0</v>
      </c>
      <c r="I41" s="28">
        <f>I28/$J$28</f>
        <v>0.15452524700465975</v>
      </c>
      <c r="J41" s="28">
        <f>J28/$J$28</f>
        <v>1</v>
      </c>
      <c r="L41" s="24" t="s">
        <v>3</v>
      </c>
      <c r="M41" s="28">
        <f>M15/$U$15</f>
        <v>5.4906112777836559E-2</v>
      </c>
      <c r="N41" s="28">
        <f>N15/$U$15</f>
        <v>1.6687092475384452E-3</v>
      </c>
      <c r="O41" s="28">
        <f>O15/$U$15</f>
        <v>4.1640116804854695E-2</v>
      </c>
      <c r="P41" s="28">
        <f t="shared" ref="P41:S41" si="58">P15/$U$15</f>
        <v>2.5781315329520209E-2</v>
      </c>
      <c r="Q41" s="28">
        <f t="shared" si="58"/>
        <v>0.19483635734703969</v>
      </c>
      <c r="R41" s="28">
        <f t="shared" si="58"/>
        <v>1.6832619444646528E-2</v>
      </c>
      <c r="S41" s="28">
        <f t="shared" si="58"/>
        <v>0.63881003517177415</v>
      </c>
      <c r="T41" s="28">
        <f>T15/$U$15</f>
        <v>2.5524733876789704E-2</v>
      </c>
      <c r="U41" s="28">
        <f>U15/$U$15</f>
        <v>1</v>
      </c>
      <c r="W41" s="24" t="s">
        <v>3</v>
      </c>
      <c r="X41" s="28">
        <f t="shared" si="53"/>
        <v>7.6519020479440952E-3</v>
      </c>
      <c r="Y41" s="28">
        <f t="shared" si="53"/>
        <v>1.0683547234368526E-3</v>
      </c>
      <c r="Z41" s="28">
        <f t="shared" si="53"/>
        <v>3.1548217898207109E-4</v>
      </c>
      <c r="AA41" s="28">
        <f t="shared" si="54"/>
        <v>-4.171743979729952E-3</v>
      </c>
      <c r="AB41" s="28">
        <f t="shared" si="55"/>
        <v>4.4077390084126311E-2</v>
      </c>
      <c r="AC41" s="28">
        <f t="shared" si="56"/>
        <v>1.1373325152352919E-2</v>
      </c>
      <c r="AD41" s="28">
        <f t="shared" si="56"/>
        <v>0.63881003517177415</v>
      </c>
      <c r="AE41" s="28">
        <f>T41-I41</f>
        <v>-0.12900051312787003</v>
      </c>
      <c r="AF41" s="28">
        <f>U41-J41</f>
        <v>0</v>
      </c>
    </row>
    <row r="44" spans="1:32" ht="15.75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r="52" spans="1:32" ht="15.75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36"/>
  <sheetViews>
    <sheetView topLeftCell="A10" workbookViewId="0">
      <selection activeCell="G14" sqref="G14"/>
    </sheetView>
  </sheetViews>
  <sheetFormatPr defaultRowHeight="15" x14ac:dyDescent="0.25"/>
  <cols>
    <col min="1" max="1" width="18.28515625" customWidth="1" collapsed="1"/>
    <col min="2" max="2" width="11.5703125" bestFit="1" customWidth="1" collapsed="1"/>
    <col min="3" max="3" width="10.5703125" bestFit="1" customWidth="1" collapsed="1"/>
    <col min="4" max="4" width="12.28515625" bestFit="1" customWidth="1" collapsed="1"/>
    <col min="5" max="5" width="11.5703125" bestFit="1" customWidth="1" collapsed="1"/>
    <col min="8" max="8" width="19.85546875" customWidth="1" collapsed="1"/>
    <col min="9" max="10" width="11.5703125" bestFit="1" customWidth="1" collapsed="1"/>
    <col min="11" max="11" width="12.28515625" bestFit="1" customWidth="1" collapsed="1"/>
    <col min="12" max="12" width="11.5703125" bestFit="1" customWidth="1" collapsed="1"/>
    <col min="13" max="13" width="9.5703125" bestFit="1" customWidth="1" collapsed="1"/>
    <col min="15" max="15" width="18.42578125" customWidth="1" collapsed="1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r="5" spans="1:19" ht="15.75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>
        <v>0</v>
      </c>
      <c r="C7" s="83">
        <v>0</v>
      </c>
      <c r="D7" s="83">
        <v>0</v>
      </c>
      <c r="E7" s="83">
        <f>SUM(B7:D7)</f>
        <v>0</v>
      </c>
      <c r="H7" s="15" t="str">
        <f>$A$7</f>
        <v>Bellevue</v>
      </c>
      <c r="I7" s="83">
        <v>57</v>
      </c>
      <c r="J7" s="83">
        <v>9</v>
      </c>
      <c r="K7" s="83">
        <v>26</v>
      </c>
      <c r="L7" s="83">
        <f>SUM(I7:K7)</f>
        <v>92</v>
      </c>
      <c r="O7" s="15" t="str">
        <f>$A$7</f>
        <v>Bellevue</v>
      </c>
      <c r="P7" s="20">
        <f>I7-B7</f>
        <v>57</v>
      </c>
      <c r="Q7" s="20">
        <f t="shared" ref="Q7:S14" si="0">J7-C7</f>
        <v>9</v>
      </c>
      <c r="R7" s="20">
        <f t="shared" si="0"/>
        <v>26</v>
      </c>
      <c r="S7" s="20">
        <f t="shared" si="0"/>
        <v>92</v>
      </c>
    </row>
    <row r="8" spans="1:19" x14ac:dyDescent="0.25">
      <c r="A8" s="7" t="s">
        <v>255</v>
      </c>
      <c r="B8" s="83">
        <v>0</v>
      </c>
      <c r="C8" s="83">
        <v>0</v>
      </c>
      <c r="D8" s="83">
        <v>0</v>
      </c>
      <c r="E8" s="83">
        <f>SUM(B8:D8)</f>
        <v>0</v>
      </c>
      <c r="H8" t="str">
        <f>$A$8</f>
        <v>Bellevue Downtown</v>
      </c>
      <c r="I8" s="83">
        <v>0</v>
      </c>
      <c r="J8" s="83">
        <v>0</v>
      </c>
      <c r="K8" s="83">
        <v>3</v>
      </c>
      <c r="L8" s="83">
        <f>SUM(I8:K8)</f>
        <v>3</v>
      </c>
      <c r="O8" t="str">
        <f>$A$8</f>
        <v>Bellevue Downtown</v>
      </c>
      <c r="P8" s="20">
        <f t="shared" ref="P8:P14" si="1">I8-B8</f>
        <v>0</v>
      </c>
      <c r="Q8" s="20">
        <f t="shared" si="0"/>
        <v>0</v>
      </c>
      <c r="R8" s="20">
        <f t="shared" si="0"/>
        <v>3</v>
      </c>
      <c r="S8" s="20">
        <f t="shared" si="0"/>
        <v>3</v>
      </c>
    </row>
    <row r="9" spans="1:19" x14ac:dyDescent="0.25">
      <c r="A9" s="7" t="s">
        <v>256</v>
      </c>
      <c r="B9" s="83">
        <v>0</v>
      </c>
      <c r="C9" s="83">
        <v>0</v>
      </c>
      <c r="D9" s="83">
        <v>0</v>
      </c>
      <c r="E9" s="83">
        <f t="shared" ref="E9:E11" si="2">SUM(B9:D9)</f>
        <v>0</v>
      </c>
      <c r="H9" t="str">
        <f>$A$9</f>
        <v>Kirkland</v>
      </c>
      <c r="I9" s="83">
        <v>41</v>
      </c>
      <c r="J9" s="83">
        <v>5</v>
      </c>
      <c r="K9" s="83">
        <v>28</v>
      </c>
      <c r="L9" s="83">
        <f t="shared" ref="L9:L11" si="3">SUM(I9:K9)</f>
        <v>74</v>
      </c>
      <c r="O9" t="str">
        <f>$A$9</f>
        <v>Kirkland</v>
      </c>
      <c r="P9" s="20">
        <f t="shared" ref="P9:P11" si="4">I9-B9</f>
        <v>41</v>
      </c>
      <c r="Q9" s="20">
        <f t="shared" ref="Q9:Q11" si="5">J9-C9</f>
        <v>5</v>
      </c>
      <c r="R9" s="20">
        <f t="shared" ref="R9:R11" si="6">K9-D9</f>
        <v>28</v>
      </c>
      <c r="S9" s="20">
        <f t="shared" ref="S9:S11" si="7">L9-E9</f>
        <v>74</v>
      </c>
    </row>
    <row r="10" spans="1:19" x14ac:dyDescent="0.25">
      <c r="A10" s="7" t="s">
        <v>257</v>
      </c>
      <c r="B10" s="83">
        <v>0</v>
      </c>
      <c r="C10" s="83">
        <v>0</v>
      </c>
      <c r="D10" s="83">
        <v>0</v>
      </c>
      <c r="E10" s="83">
        <f t="shared" si="2"/>
        <v>0</v>
      </c>
      <c r="H10" t="str">
        <f>$A$10</f>
        <v>Redmond</v>
      </c>
      <c r="I10" s="83">
        <v>81</v>
      </c>
      <c r="J10" s="83">
        <v>22</v>
      </c>
      <c r="K10" s="83">
        <v>48</v>
      </c>
      <c r="L10" s="83">
        <f t="shared" si="3"/>
        <v>151</v>
      </c>
      <c r="O10" s="7" t="str">
        <f>$A$10</f>
        <v>Redmond</v>
      </c>
      <c r="P10" s="21">
        <f t="shared" si="4"/>
        <v>81</v>
      </c>
      <c r="Q10" s="21">
        <f t="shared" si="5"/>
        <v>22</v>
      </c>
      <c r="R10" s="21">
        <f t="shared" si="6"/>
        <v>48</v>
      </c>
      <c r="S10" s="21">
        <f t="shared" si="7"/>
        <v>151</v>
      </c>
    </row>
    <row r="11" spans="1:19" x14ac:dyDescent="0.25">
      <c r="A11" s="7" t="s">
        <v>253</v>
      </c>
      <c r="B11" s="83">
        <v>0</v>
      </c>
      <c r="C11" s="83">
        <v>0</v>
      </c>
      <c r="D11" s="83">
        <v>996.87599999999998</v>
      </c>
      <c r="E11" s="83">
        <f t="shared" si="2"/>
        <v>996.87599999999998</v>
      </c>
      <c r="H11" t="str">
        <f>$A$11</f>
        <v>Seattle</v>
      </c>
      <c r="I11" s="83">
        <v>515</v>
      </c>
      <c r="J11" s="83">
        <v>58</v>
      </c>
      <c r="K11" s="83">
        <v>70</v>
      </c>
      <c r="L11" s="83">
        <f t="shared" si="3"/>
        <v>643</v>
      </c>
      <c r="O11" s="7" t="str">
        <f>$A$11</f>
        <v>Seattle</v>
      </c>
      <c r="P11" s="21">
        <f t="shared" si="4"/>
        <v>515</v>
      </c>
      <c r="Q11" s="21">
        <f t="shared" si="5"/>
        <v>58</v>
      </c>
      <c r="R11" s="21">
        <f t="shared" si="6"/>
        <v>-926.87599999999998</v>
      </c>
      <c r="S11" s="21">
        <f t="shared" si="7"/>
        <v>-353.87599999999998</v>
      </c>
    </row>
    <row r="12" spans="1:19" x14ac:dyDescent="0.25">
      <c r="A12" s="7" t="s">
        <v>258</v>
      </c>
      <c r="B12" s="87">
        <v>0</v>
      </c>
      <c r="C12" s="87">
        <v>0</v>
      </c>
      <c r="D12" s="87">
        <v>14.496</v>
      </c>
      <c r="E12" s="87">
        <f>SUM(B12:D12)</f>
        <v>14.496</v>
      </c>
      <c r="H12" s="7" t="str">
        <f>$A$12</f>
        <v>Seattle Downtown</v>
      </c>
      <c r="I12" s="87">
        <v>22</v>
      </c>
      <c r="J12" s="87">
        <v>2</v>
      </c>
      <c r="K12" s="87">
        <v>6</v>
      </c>
      <c r="L12" s="87">
        <f>SUM(I12:K12)</f>
        <v>30</v>
      </c>
      <c r="O12" s="7" t="str">
        <f>$A$12</f>
        <v>Seattle Downtown</v>
      </c>
      <c r="P12" s="21">
        <f t="shared" si="1"/>
        <v>22</v>
      </c>
      <c r="Q12" s="21">
        <f t="shared" si="0"/>
        <v>2</v>
      </c>
      <c r="R12" s="21">
        <f t="shared" si="0"/>
        <v>-8.4960000000000004</v>
      </c>
      <c r="S12" s="21">
        <f t="shared" si="0"/>
        <v>15.504</v>
      </c>
    </row>
    <row r="13" spans="1:19" x14ac:dyDescent="0.25">
      <c r="A13" s="7" t="s">
        <v>259</v>
      </c>
      <c r="B13" s="86">
        <v>2443.4439000000002</v>
      </c>
      <c r="C13" s="86">
        <v>0</v>
      </c>
      <c r="D13" s="86">
        <v>0</v>
      </c>
      <c r="E13" s="83">
        <f>SUM(B13:D13)</f>
        <v>2443.4439000000002</v>
      </c>
      <c r="H13" s="7" t="str">
        <f>$A$13</f>
        <v>Rest</v>
      </c>
      <c r="I13" s="87">
        <v>28793</v>
      </c>
      <c r="J13" s="87">
        <v>6143</v>
      </c>
      <c r="K13" s="87">
        <v>9316</v>
      </c>
      <c r="L13" s="87">
        <f>SUM(I13:K13)</f>
        <v>44252</v>
      </c>
      <c r="O13" s="7" t="str">
        <f>$A$13</f>
        <v>Rest</v>
      </c>
      <c r="P13" s="21">
        <f t="shared" si="1"/>
        <v>26349.556100000002</v>
      </c>
      <c r="Q13" s="21">
        <f t="shared" si="0"/>
        <v>6143</v>
      </c>
      <c r="R13" s="21">
        <f t="shared" si="0"/>
        <v>9316</v>
      </c>
      <c r="S13" s="21">
        <f t="shared" si="0"/>
        <v>41808.556100000002</v>
      </c>
    </row>
    <row r="14" spans="1:19" ht="15.75" thickBot="1" x14ac:dyDescent="0.3">
      <c r="A14" s="12" t="s">
        <v>3</v>
      </c>
      <c r="B14" s="84">
        <f>SUM(B7:B13)</f>
        <v>2443.4439000000002</v>
      </c>
      <c r="C14" s="84">
        <f t="shared" ref="C14" si="8">SUM(C7:C13)</f>
        <v>0</v>
      </c>
      <c r="D14" s="84">
        <f t="shared" ref="D14" si="9">SUM(D7:D13)</f>
        <v>1011.372</v>
      </c>
      <c r="E14" s="82">
        <f t="shared" ref="E14" si="10">SUM(E7:E13)</f>
        <v>3454.8159000000001</v>
      </c>
      <c r="H14" s="12" t="s">
        <v>3</v>
      </c>
      <c r="I14" s="82">
        <f>SUM(I7:I13)</f>
        <v>29509</v>
      </c>
      <c r="J14" s="82">
        <f t="shared" ref="J14:L14" si="11">SUM(J7:J13)</f>
        <v>6239</v>
      </c>
      <c r="K14" s="82">
        <f t="shared" si="11"/>
        <v>9497</v>
      </c>
      <c r="L14" s="82">
        <f t="shared" si="11"/>
        <v>45245</v>
      </c>
      <c r="O14" s="12" t="s">
        <v>3</v>
      </c>
      <c r="P14" s="12">
        <f t="shared" si="1"/>
        <v>27065.556100000002</v>
      </c>
      <c r="Q14" s="12">
        <f t="shared" si="0"/>
        <v>6239</v>
      </c>
      <c r="R14" s="12">
        <f t="shared" si="0"/>
        <v>8485.6280000000006</v>
      </c>
      <c r="S14" s="12">
        <f t="shared" si="0"/>
        <v>41790.184099999999</v>
      </c>
    </row>
    <row r="15" spans="1:19" x14ac:dyDescent="0.25">
      <c r="O15" s="20"/>
      <c r="P15" s="20"/>
      <c r="Q15" s="20"/>
      <c r="R15" s="20"/>
      <c r="S15" s="20"/>
    </row>
    <row r="16" spans="1:19" ht="15.75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>
        <v>21927.493999999999</v>
      </c>
      <c r="C18" s="83">
        <v>1905.2952</v>
      </c>
      <c r="D18" s="83">
        <v>2247.1352000000002</v>
      </c>
      <c r="E18" s="83">
        <f>SUM(B18:D18)</f>
        <v>26079.9244</v>
      </c>
      <c r="H18" s="15" t="str">
        <f>$A$7</f>
        <v>Bellevue</v>
      </c>
      <c r="I18" s="83">
        <v>24714</v>
      </c>
      <c r="J18" s="83">
        <v>4150</v>
      </c>
      <c r="K18" s="83">
        <v>8775</v>
      </c>
      <c r="L18" s="83">
        <f>SUM(I18:K18)</f>
        <v>37639</v>
      </c>
      <c r="O18" s="15" t="str">
        <f>$A$7</f>
        <v>Bellevue</v>
      </c>
      <c r="P18" s="20">
        <f>I18-B18</f>
        <v>2786.5060000000012</v>
      </c>
      <c r="Q18" s="20">
        <f t="shared" ref="Q18:Q25" si="12">J18-C18</f>
        <v>2244.7048</v>
      </c>
      <c r="R18" s="20">
        <f t="shared" ref="R18:R25" si="13">K18-D18</f>
        <v>6527.8647999999994</v>
      </c>
      <c r="S18" s="20">
        <f t="shared" ref="S18:S25" si="14">L18-E18</f>
        <v>11559.0756</v>
      </c>
    </row>
    <row r="19" spans="1:20" x14ac:dyDescent="0.25">
      <c r="A19" t="str">
        <f>$A$8</f>
        <v>Bellevue Downtown</v>
      </c>
      <c r="B19" s="83">
        <v>164.3246</v>
      </c>
      <c r="C19" s="83">
        <v>0</v>
      </c>
      <c r="D19" s="83">
        <v>128.39019999999999</v>
      </c>
      <c r="E19" s="83">
        <f>SUM(B19:D19)</f>
        <v>292.71479999999997</v>
      </c>
      <c r="H19" t="str">
        <f>$A$8</f>
        <v>Bellevue Downtown</v>
      </c>
      <c r="I19" s="83">
        <v>707</v>
      </c>
      <c r="J19" s="83">
        <v>134</v>
      </c>
      <c r="K19" s="83">
        <v>830</v>
      </c>
      <c r="L19" s="83">
        <f>SUM(I19:K19)</f>
        <v>1671</v>
      </c>
      <c r="O19" t="str">
        <f>$A$8</f>
        <v>Bellevue Downtown</v>
      </c>
      <c r="P19" s="20">
        <f t="shared" ref="P19:P25" si="15">I19-B19</f>
        <v>542.67539999999997</v>
      </c>
      <c r="Q19" s="20">
        <f t="shared" si="12"/>
        <v>134</v>
      </c>
      <c r="R19" s="20">
        <f t="shared" si="13"/>
        <v>701.60979999999995</v>
      </c>
      <c r="S19" s="20">
        <f t="shared" si="14"/>
        <v>1378.2852</v>
      </c>
    </row>
    <row r="20" spans="1:20" x14ac:dyDescent="0.25">
      <c r="A20" t="str">
        <f>$A$9</f>
        <v>Kirkland</v>
      </c>
      <c r="B20" s="83">
        <v>15498.8351</v>
      </c>
      <c r="C20" s="83">
        <v>2170.0192999999999</v>
      </c>
      <c r="D20" s="83">
        <v>1471.8117999999999</v>
      </c>
      <c r="E20" s="83">
        <f t="shared" ref="E20:E22" si="16">SUM(B20:D20)</f>
        <v>19140.6662</v>
      </c>
      <c r="H20" t="str">
        <f>$A$9</f>
        <v>Kirkland</v>
      </c>
      <c r="I20" s="83">
        <v>19251</v>
      </c>
      <c r="J20" s="83">
        <v>2856</v>
      </c>
      <c r="K20" s="83">
        <v>8074</v>
      </c>
      <c r="L20" s="83">
        <f t="shared" ref="L20:L22" si="17">SUM(I20:K20)</f>
        <v>30181</v>
      </c>
      <c r="O20" t="str">
        <f>$A$9</f>
        <v>Kirkland</v>
      </c>
      <c r="P20" s="20">
        <f t="shared" ref="P20:P22" si="18">I20-B20</f>
        <v>3752.1648999999998</v>
      </c>
      <c r="Q20" s="20">
        <f t="shared" ref="Q20:Q22" si="19">J20-C20</f>
        <v>685.98070000000007</v>
      </c>
      <c r="R20" s="20">
        <f t="shared" ref="R20:R22" si="20">K20-D20</f>
        <v>6602.1882000000005</v>
      </c>
      <c r="S20" s="20">
        <f t="shared" ref="S20:S22" si="21">L20-E20</f>
        <v>11040.3338</v>
      </c>
    </row>
    <row r="21" spans="1:20" x14ac:dyDescent="0.25">
      <c r="A21" t="str">
        <f>$A$10</f>
        <v>Redmond</v>
      </c>
      <c r="B21" s="83">
        <v>22665.746500000001</v>
      </c>
      <c r="C21" s="83">
        <v>3936.4520000000002</v>
      </c>
      <c r="D21" s="83">
        <v>3498.5259999999998</v>
      </c>
      <c r="E21" s="83">
        <f t="shared" si="16"/>
        <v>30100.724500000004</v>
      </c>
      <c r="H21" t="str">
        <f>$A$10</f>
        <v>Redmond</v>
      </c>
      <c r="I21" s="83">
        <v>17533</v>
      </c>
      <c r="J21" s="83">
        <v>2965</v>
      </c>
      <c r="K21" s="83">
        <v>5504</v>
      </c>
      <c r="L21" s="83">
        <f t="shared" si="17"/>
        <v>26002</v>
      </c>
      <c r="O21" s="7" t="str">
        <f>$A$10</f>
        <v>Redmond</v>
      </c>
      <c r="P21" s="21">
        <f t="shared" si="18"/>
        <v>-5132.7465000000011</v>
      </c>
      <c r="Q21" s="21">
        <f t="shared" si="19"/>
        <v>-971.45200000000023</v>
      </c>
      <c r="R21" s="21">
        <f t="shared" si="20"/>
        <v>2005.4740000000002</v>
      </c>
      <c r="S21" s="21">
        <f t="shared" si="21"/>
        <v>-4098.7245000000039</v>
      </c>
      <c r="T21" s="7"/>
    </row>
    <row r="22" spans="1:20" x14ac:dyDescent="0.25">
      <c r="A22" t="str">
        <f>$A$11</f>
        <v>Seattle</v>
      </c>
      <c r="B22" s="83">
        <v>73648.718999999997</v>
      </c>
      <c r="C22" s="83">
        <v>4756.9449000000004</v>
      </c>
      <c r="D22" s="83">
        <v>33744.542199999996</v>
      </c>
      <c r="E22" s="83">
        <f t="shared" si="16"/>
        <v>112150.2061</v>
      </c>
      <c r="H22" t="str">
        <f>$A$11</f>
        <v>Seattle</v>
      </c>
      <c r="I22" s="83">
        <v>72623</v>
      </c>
      <c r="J22" s="83">
        <v>10162</v>
      </c>
      <c r="K22" s="83">
        <v>51023</v>
      </c>
      <c r="L22" s="83">
        <f t="shared" si="17"/>
        <v>133808</v>
      </c>
      <c r="O22" s="7" t="str">
        <f>$A$11</f>
        <v>Seattle</v>
      </c>
      <c r="P22" s="21">
        <f t="shared" si="18"/>
        <v>-1025.7189999999973</v>
      </c>
      <c r="Q22" s="21">
        <f t="shared" si="19"/>
        <v>5405.0550999999996</v>
      </c>
      <c r="R22" s="21">
        <f t="shared" si="20"/>
        <v>17278.457800000004</v>
      </c>
      <c r="S22" s="21">
        <f t="shared" si="21"/>
        <v>21657.793900000004</v>
      </c>
      <c r="T22" s="7"/>
    </row>
    <row r="23" spans="1:20" x14ac:dyDescent="0.25">
      <c r="A23" s="7" t="str">
        <f>$A$12</f>
        <v>Seattle Downtown</v>
      </c>
      <c r="B23" s="87">
        <v>686.47450000000003</v>
      </c>
      <c r="C23" s="87">
        <v>178.05780000000001</v>
      </c>
      <c r="D23" s="87">
        <v>2427.9771000000001</v>
      </c>
      <c r="E23" s="87">
        <f>SUM(B23:D23)</f>
        <v>3292.5093999999999</v>
      </c>
      <c r="H23" s="7" t="str">
        <f>$A$12</f>
        <v>Seattle Downtown</v>
      </c>
      <c r="I23" s="87">
        <v>1436</v>
      </c>
      <c r="J23" s="87">
        <v>150</v>
      </c>
      <c r="K23" s="87">
        <v>5149</v>
      </c>
      <c r="L23" s="87">
        <f>SUM(I23:K23)</f>
        <v>6735</v>
      </c>
      <c r="O23" s="7" t="str">
        <f>$A$12</f>
        <v>Seattle Downtown</v>
      </c>
      <c r="P23" s="21">
        <f t="shared" si="15"/>
        <v>749.52549999999997</v>
      </c>
      <c r="Q23" s="21">
        <f t="shared" si="12"/>
        <v>-28.057800000000015</v>
      </c>
      <c r="R23" s="21">
        <f t="shared" si="13"/>
        <v>2721.0228999999999</v>
      </c>
      <c r="S23" s="21">
        <f t="shared" si="14"/>
        <v>3442.4906000000001</v>
      </c>
      <c r="T23" s="7"/>
    </row>
    <row r="24" spans="1:20" x14ac:dyDescent="0.25">
      <c r="A24" s="7" t="str">
        <f>$A$13</f>
        <v>Rest</v>
      </c>
      <c r="B24" s="86">
        <v>381324.3322</v>
      </c>
      <c r="C24" s="86">
        <v>65552.774999999994</v>
      </c>
      <c r="D24" s="86">
        <v>67960.553100000005</v>
      </c>
      <c r="E24" s="86">
        <f>SUM(B24:D24)</f>
        <v>514837.66029999999</v>
      </c>
      <c r="H24" s="7" t="str">
        <f>$A$13</f>
        <v>Rest</v>
      </c>
      <c r="I24" s="87">
        <v>419607</v>
      </c>
      <c r="J24" s="87">
        <v>73390</v>
      </c>
      <c r="K24" s="87">
        <v>143869</v>
      </c>
      <c r="L24" s="87">
        <f>SUM(I24:K24)</f>
        <v>636866</v>
      </c>
      <c r="O24" s="7" t="str">
        <f>$A$13</f>
        <v>Rest</v>
      </c>
      <c r="P24" s="21">
        <f t="shared" si="15"/>
        <v>38282.667799999996</v>
      </c>
      <c r="Q24" s="21">
        <f t="shared" si="12"/>
        <v>7837.2250000000058</v>
      </c>
      <c r="R24" s="21">
        <f t="shared" si="13"/>
        <v>75908.446899999995</v>
      </c>
      <c r="S24" s="21">
        <f t="shared" si="14"/>
        <v>122028.33970000001</v>
      </c>
      <c r="T24" s="7"/>
    </row>
    <row r="25" spans="1:20" ht="15.75" thickBot="1" x14ac:dyDescent="0.3">
      <c r="A25" s="12" t="s">
        <v>3</v>
      </c>
      <c r="B25" s="84">
        <f>SUM(B18:B24)</f>
        <v>515915.92590000003</v>
      </c>
      <c r="C25" s="84">
        <f t="shared" ref="C25" si="22">SUM(C18:C24)</f>
        <v>78499.544199999989</v>
      </c>
      <c r="D25" s="84">
        <f t="shared" ref="D25" si="23">SUM(D18:D24)</f>
        <v>111478.9356</v>
      </c>
      <c r="E25" s="84">
        <f t="shared" ref="E25" si="24">SUM(E18:E24)</f>
        <v>705894.4057</v>
      </c>
      <c r="H25" s="12" t="s">
        <v>3</v>
      </c>
      <c r="I25" s="82">
        <f>SUM(I18:I24)</f>
        <v>555871</v>
      </c>
      <c r="J25" s="82">
        <f t="shared" ref="J25" si="25">SUM(J18:J24)</f>
        <v>93807</v>
      </c>
      <c r="K25" s="82">
        <f t="shared" ref="K25" si="26">SUM(K18:K24)</f>
        <v>223224</v>
      </c>
      <c r="L25" s="82">
        <f t="shared" ref="L25" si="27">SUM(L18:L24)</f>
        <v>872902</v>
      </c>
      <c r="O25" s="12" t="s">
        <v>3</v>
      </c>
      <c r="P25" s="12">
        <f t="shared" si="15"/>
        <v>39955.074099999969</v>
      </c>
      <c r="Q25" s="12">
        <f t="shared" si="12"/>
        <v>15307.455800000011</v>
      </c>
      <c r="R25" s="12">
        <f t="shared" si="13"/>
        <v>111745.0644</v>
      </c>
      <c r="S25" s="12">
        <f t="shared" si="14"/>
        <v>167007.5943</v>
      </c>
      <c r="T25" s="7"/>
    </row>
    <row r="27" spans="1:20" ht="15.75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t="shared" ref="B29:E29" si="28">IF(B18&lt;&gt;0,B7/B18,0)</f>
        <v>0</v>
      </c>
      <c r="C29" s="16">
        <f t="shared" si="28"/>
        <v>0</v>
      </c>
      <c r="D29" s="16">
        <f t="shared" si="28"/>
        <v>0</v>
      </c>
      <c r="E29" s="16">
        <f t="shared" si="28"/>
        <v>0</v>
      </c>
      <c r="H29" s="15" t="str">
        <f>$A$7</f>
        <v>Bellevue</v>
      </c>
      <c r="I29" s="16">
        <f t="shared" ref="I29:L30" si="29">IF(I18&lt;&gt;0,I7/I18,0)</f>
        <v>2.3063850449138142E-3</v>
      </c>
      <c r="J29" s="16">
        <f t="shared" si="29"/>
        <v>2.1686746987951808E-3</v>
      </c>
      <c r="K29" s="16">
        <f t="shared" si="29"/>
        <v>2.9629629629629628E-3</v>
      </c>
      <c r="L29" s="16">
        <f t="shared" si="29"/>
        <v>2.4442732272377055E-3</v>
      </c>
      <c r="O29" s="15" t="str">
        <f>$A$7</f>
        <v>Bellevue</v>
      </c>
      <c r="P29" s="26">
        <f t="shared" ref="P29:S36" si="30">I29-B29</f>
        <v>2.3063850449138142E-3</v>
      </c>
      <c r="Q29" s="26">
        <f t="shared" si="30"/>
        <v>2.1686746987951808E-3</v>
      </c>
      <c r="R29" s="26">
        <f t="shared" si="30"/>
        <v>2.9629629629629628E-3</v>
      </c>
      <c r="S29" s="26">
        <f t="shared" si="30"/>
        <v>2.4442732272377055E-3</v>
      </c>
    </row>
    <row r="30" spans="1:20" x14ac:dyDescent="0.25">
      <c r="A30" t="str">
        <f>$A$8</f>
        <v>Bellevue Downtown</v>
      </c>
      <c r="B30" s="16">
        <f t="shared" ref="B30:E30" si="31">IF(B19&lt;&gt;0,B8/B19,0)</f>
        <v>0</v>
      </c>
      <c r="C30" s="16">
        <f t="shared" si="31"/>
        <v>0</v>
      </c>
      <c r="D30" s="16">
        <f t="shared" si="31"/>
        <v>0</v>
      </c>
      <c r="E30" s="16">
        <f t="shared" si="31"/>
        <v>0</v>
      </c>
      <c r="H30" t="str">
        <f>$A$8</f>
        <v>Bellevue Downtown</v>
      </c>
      <c r="I30" s="16">
        <f t="shared" si="29"/>
        <v>0</v>
      </c>
      <c r="J30" s="16">
        <f t="shared" si="29"/>
        <v>0</v>
      </c>
      <c r="K30" s="16">
        <f t="shared" si="29"/>
        <v>3.6144578313253013E-3</v>
      </c>
      <c r="L30" s="16">
        <f t="shared" si="29"/>
        <v>1.7953321364452424E-3</v>
      </c>
      <c r="O30" t="str">
        <f>$A$8</f>
        <v>Bellevue Downtown</v>
      </c>
      <c r="P30" s="26">
        <f t="shared" si="30"/>
        <v>0</v>
      </c>
      <c r="Q30" s="26">
        <f t="shared" si="30"/>
        <v>0</v>
      </c>
      <c r="R30" s="26">
        <f t="shared" si="30"/>
        <v>3.6144578313253013E-3</v>
      </c>
      <c r="S30" s="26">
        <f t="shared" si="30"/>
        <v>1.7953321364452424E-3</v>
      </c>
    </row>
    <row r="31" spans="1:20" x14ac:dyDescent="0.25">
      <c r="A31" t="str">
        <f>$A$9</f>
        <v>Kirkland</v>
      </c>
      <c r="B31" s="16">
        <f t="shared" ref="B31:E31" si="32">IF(B20&lt;&gt;0,B9/B20,0)</f>
        <v>0</v>
      </c>
      <c r="C31" s="16">
        <f t="shared" si="32"/>
        <v>0</v>
      </c>
      <c r="D31" s="16">
        <f t="shared" si="32"/>
        <v>0</v>
      </c>
      <c r="E31" s="16">
        <f t="shared" si="32"/>
        <v>0</v>
      </c>
      <c r="H31" t="str">
        <f>$A$9</f>
        <v>Kirkland</v>
      </c>
      <c r="I31" s="16">
        <f t="shared" ref="I31:L31" si="33">IF(I20&lt;&gt;0,I9/I20,0)</f>
        <v>2.1297594930133499E-3</v>
      </c>
      <c r="J31" s="16">
        <f t="shared" si="33"/>
        <v>1.7507002801120449E-3</v>
      </c>
      <c r="K31" s="16">
        <f t="shared" si="33"/>
        <v>3.4679217240525142E-3</v>
      </c>
      <c r="L31" s="16">
        <f t="shared" si="33"/>
        <v>2.45187369537126E-3</v>
      </c>
      <c r="O31" t="str">
        <f>$A$9</f>
        <v>Kirkland</v>
      </c>
      <c r="P31" s="26">
        <f t="shared" ref="P31:P33" si="34">I31-B31</f>
        <v>2.1297594930133499E-3</v>
      </c>
      <c r="Q31" s="26">
        <f t="shared" ref="Q31:Q33" si="35">J31-C31</f>
        <v>1.7507002801120449E-3</v>
      </c>
      <c r="R31" s="26">
        <f t="shared" ref="R31:R33" si="36">K31-D31</f>
        <v>3.4679217240525142E-3</v>
      </c>
      <c r="S31" s="26">
        <f t="shared" ref="S31:S33" si="37">L31-E31</f>
        <v>2.45187369537126E-3</v>
      </c>
    </row>
    <row r="32" spans="1:20" x14ac:dyDescent="0.25">
      <c r="A32" t="str">
        <f>$A$10</f>
        <v>Redmond</v>
      </c>
      <c r="B32" s="16">
        <f t="shared" ref="B32:E32" si="38">IF(B21&lt;&gt;0,B10/B21,0)</f>
        <v>0</v>
      </c>
      <c r="C32" s="16">
        <f t="shared" si="38"/>
        <v>0</v>
      </c>
      <c r="D32" s="16">
        <f t="shared" si="38"/>
        <v>0</v>
      </c>
      <c r="E32" s="16">
        <f t="shared" si="38"/>
        <v>0</v>
      </c>
      <c r="H32" t="str">
        <f>$A$10</f>
        <v>Redmond</v>
      </c>
      <c r="I32" s="16">
        <f t="shared" ref="I32:L32" si="39">IF(I21&lt;&gt;0,I10/I21,0)</f>
        <v>4.6198596931500595E-3</v>
      </c>
      <c r="J32" s="16">
        <f t="shared" si="39"/>
        <v>7.4198988195615517E-3</v>
      </c>
      <c r="K32" s="16">
        <f t="shared" si="39"/>
        <v>8.7209302325581394E-3</v>
      </c>
      <c r="L32" s="16">
        <f t="shared" si="39"/>
        <v>5.8072455964925775E-3</v>
      </c>
      <c r="O32" t="str">
        <f>$A$10</f>
        <v>Redmond</v>
      </c>
      <c r="P32" s="26">
        <f t="shared" si="34"/>
        <v>4.6198596931500595E-3</v>
      </c>
      <c r="Q32" s="26">
        <f t="shared" si="35"/>
        <v>7.4198988195615517E-3</v>
      </c>
      <c r="R32" s="26">
        <f t="shared" si="36"/>
        <v>8.7209302325581394E-3</v>
      </c>
      <c r="S32" s="26">
        <f t="shared" si="37"/>
        <v>5.8072455964925775E-3</v>
      </c>
    </row>
    <row r="33" spans="1:19" x14ac:dyDescent="0.25">
      <c r="A33" s="7" t="str">
        <f>$A$11</f>
        <v>Seattle</v>
      </c>
      <c r="B33" s="50">
        <f t="shared" ref="B33:E33" si="40">IF(B22&lt;&gt;0,B11/B22,0)</f>
        <v>0</v>
      </c>
      <c r="C33" s="50">
        <f t="shared" si="40"/>
        <v>0</v>
      </c>
      <c r="D33" s="50">
        <f t="shared" si="40"/>
        <v>2.9541843954842571E-2</v>
      </c>
      <c r="E33" s="50">
        <f t="shared" si="40"/>
        <v>8.8887576284177698E-3</v>
      </c>
      <c r="H33" s="7" t="str">
        <f>$A$11</f>
        <v>Seattle</v>
      </c>
      <c r="I33" s="50">
        <f t="shared" ref="I33:L33" si="41">IF(I22&lt;&gt;0,I11/I22,0)</f>
        <v>7.0914173195819503E-3</v>
      </c>
      <c r="J33" s="50">
        <f t="shared" si="41"/>
        <v>5.7075378862428659E-3</v>
      </c>
      <c r="K33" s="50">
        <f t="shared" si="41"/>
        <v>1.3719303059404582E-3</v>
      </c>
      <c r="L33" s="50">
        <f t="shared" si="41"/>
        <v>4.8053928016262111E-3</v>
      </c>
      <c r="O33" s="7" t="str">
        <f>$A$11</f>
        <v>Seattle</v>
      </c>
      <c r="P33" s="51">
        <f t="shared" si="34"/>
        <v>7.0914173195819503E-3</v>
      </c>
      <c r="Q33" s="51">
        <f t="shared" si="35"/>
        <v>5.7075378862428659E-3</v>
      </c>
      <c r="R33" s="51">
        <f t="shared" si="36"/>
        <v>-2.8169913648902114E-2</v>
      </c>
      <c r="S33" s="51">
        <f t="shared" si="37"/>
        <v>-4.0833648267915587E-3</v>
      </c>
    </row>
    <row r="34" spans="1:19" x14ac:dyDescent="0.25">
      <c r="A34" s="7" t="str">
        <f>$A$12</f>
        <v>Seattle Downtown</v>
      </c>
      <c r="B34" s="50">
        <f t="shared" ref="B34:E35" si="42">IF(B23&lt;&gt;0,B12/B23,0)</f>
        <v>0</v>
      </c>
      <c r="C34" s="50">
        <f t="shared" si="42"/>
        <v>0</v>
      </c>
      <c r="D34" s="50">
        <f t="shared" si="42"/>
        <v>5.9704022743871845E-3</v>
      </c>
      <c r="E34" s="50">
        <f t="shared" si="42"/>
        <v>4.4027209155424133E-3</v>
      </c>
      <c r="H34" s="7" t="str">
        <f>$A$12</f>
        <v>Seattle Downtown</v>
      </c>
      <c r="I34" s="50">
        <f t="shared" ref="I34:L35" si="43">IF(I23&lt;&gt;0,I12/I23,0)</f>
        <v>1.532033426183844E-2</v>
      </c>
      <c r="J34" s="50">
        <f t="shared" si="43"/>
        <v>1.3333333333333334E-2</v>
      </c>
      <c r="K34" s="50">
        <f t="shared" si="43"/>
        <v>1.1652748106428432E-3</v>
      </c>
      <c r="L34" s="50">
        <f t="shared" si="43"/>
        <v>4.4543429844097994E-3</v>
      </c>
      <c r="O34" s="7" t="str">
        <f>$A$12</f>
        <v>Seattle Downtown</v>
      </c>
      <c r="P34" s="51">
        <f t="shared" si="30"/>
        <v>1.532033426183844E-2</v>
      </c>
      <c r="Q34" s="51">
        <f t="shared" si="30"/>
        <v>1.3333333333333334E-2</v>
      </c>
      <c r="R34" s="51">
        <f t="shared" si="30"/>
        <v>-4.8051274637443409E-3</v>
      </c>
      <c r="S34" s="51">
        <f t="shared" si="30"/>
        <v>5.1622068867386052E-5</v>
      </c>
    </row>
    <row r="35" spans="1:19" x14ac:dyDescent="0.25">
      <c r="A35" s="7" t="str">
        <f>$A$13</f>
        <v>Rest</v>
      </c>
      <c r="B35" s="50">
        <f t="shared" si="42"/>
        <v>6.4077838566001695E-3</v>
      </c>
      <c r="C35" s="50">
        <f t="shared" si="42"/>
        <v>0</v>
      </c>
      <c r="D35" s="50">
        <f t="shared" si="42"/>
        <v>0</v>
      </c>
      <c r="E35" s="50">
        <f t="shared" si="42"/>
        <v>4.7460473240752941E-3</v>
      </c>
      <c r="H35" s="7" t="str">
        <f>$A$13</f>
        <v>Rest</v>
      </c>
      <c r="I35" s="50">
        <f t="shared" si="43"/>
        <v>6.8618969654939022E-2</v>
      </c>
      <c r="J35" s="50">
        <f t="shared" si="43"/>
        <v>8.3703501839487673E-2</v>
      </c>
      <c r="K35" s="50">
        <f t="shared" si="43"/>
        <v>6.4753352007729248E-2</v>
      </c>
      <c r="L35" s="50">
        <f t="shared" si="43"/>
        <v>6.9484004484459835E-2</v>
      </c>
      <c r="O35" s="7" t="str">
        <f>$A$13</f>
        <v>Rest</v>
      </c>
      <c r="P35" s="51">
        <f t="shared" si="30"/>
        <v>6.2211185798338856E-2</v>
      </c>
      <c r="Q35" s="51">
        <f t="shared" si="30"/>
        <v>8.3703501839487673E-2</v>
      </c>
      <c r="R35" s="51">
        <f t="shared" si="30"/>
        <v>6.4753352007729248E-2</v>
      </c>
      <c r="S35" s="51">
        <f t="shared" si="30"/>
        <v>6.4737957160384538E-2</v>
      </c>
    </row>
    <row r="36" spans="1:19" ht="15.75" thickBot="1" x14ac:dyDescent="0.3">
      <c r="A36" s="12" t="s">
        <v>3</v>
      </c>
      <c r="B36" s="17">
        <f>IF(B25&lt;&gt;0,B14/B25,0)</f>
        <v>4.7361280730721482E-3</v>
      </c>
      <c r="C36" s="17">
        <f t="shared" ref="C36:E36" si="44">IF(C25&lt;&gt;0,C14/C25,0)</f>
        <v>0</v>
      </c>
      <c r="D36" s="17">
        <f t="shared" si="44"/>
        <v>9.0723148239316345E-3</v>
      </c>
      <c r="E36" s="17">
        <f t="shared" si="44"/>
        <v>4.8942389571341519E-3</v>
      </c>
      <c r="H36" s="12" t="s">
        <v>3</v>
      </c>
      <c r="I36" s="17">
        <f>IF(I25&lt;&gt;0,I14/I25,0)</f>
        <v>5.308605773641726E-2</v>
      </c>
      <c r="J36" s="17">
        <f t="shared" ref="J36:L36" si="45">IF(J25&lt;&gt;0,J14/J25,0)</f>
        <v>6.6508895924611164E-2</v>
      </c>
      <c r="K36" s="17">
        <f t="shared" si="45"/>
        <v>4.2544708454288066E-2</v>
      </c>
      <c r="L36" s="17">
        <f t="shared" si="45"/>
        <v>5.1832851797796314E-2</v>
      </c>
      <c r="O36" s="12" t="s">
        <v>3</v>
      </c>
      <c r="P36" s="45">
        <f t="shared" si="30"/>
        <v>4.8349929663345115E-2</v>
      </c>
      <c r="Q36" s="45">
        <f t="shared" ref="Q36" si="46">J36-C36</f>
        <v>6.6508895924611164E-2</v>
      </c>
      <c r="R36" s="45">
        <f t="shared" ref="R36" si="47">K36-D36</f>
        <v>3.347239363035643E-2</v>
      </c>
      <c r="S36" s="45">
        <f t="shared" ref="S36" si="48">L36-E36</f>
        <v>4.6938612840662162E-2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width="27.42578125" bestFit="1" customWidth="1" collapsed="1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U62"/>
  <sheetViews>
    <sheetView workbookViewId="0">
      <selection activeCell="H13" sqref="H13"/>
    </sheetView>
  </sheetViews>
  <sheetFormatPr defaultRowHeight="15" x14ac:dyDescent="0.25"/>
  <cols>
    <col min="1" max="1" width="12.7109375" bestFit="1" customWidth="1" collapsed="1"/>
    <col min="2" max="3" width="11.5703125" bestFit="1" customWidth="1" collapsed="1"/>
    <col min="5" max="5" width="11.85546875" bestFit="1" customWidth="1" collapsed="1"/>
    <col min="6" max="6" width="7.7109375" customWidth="1" collapsed="1"/>
    <col min="7" max="7" width="7.140625" bestFit="1" customWidth="1" collapsed="1"/>
    <col min="8" max="8" width="17.5703125" bestFit="1" customWidth="1" collapsed="1"/>
    <col min="9" max="9" width="11" bestFit="1" customWidth="1" collapsed="1"/>
    <col min="11" max="11" width="8.42578125" customWidth="1" collapsed="1"/>
    <col min="12" max="13" width="17.5703125" bestFit="1" customWidth="1" collapsed="1"/>
    <col min="19" max="19" width="11.7109375" bestFit="1" customWidth="1" collapsed="1"/>
    <col min="20" max="21" width="17.5703125" bestFit="1" customWidth="1" collapsed="1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t="shared" ref="U4:U62" si="0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t="shared" si="0"/>
        <v>1</v>
      </c>
    </row>
    <row r="6" spans="1:21" ht="15.75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t="shared" si="0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t="shared" si="0"/>
        <v>0.1</v>
      </c>
    </row>
    <row r="8" spans="1:21" x14ac:dyDescent="0.25">
      <c r="A8" s="57" t="s">
        <v>224</v>
      </c>
      <c r="B8" s="83">
        <f>TLFD!B11</f>
        <v>20622.883600000001</v>
      </c>
      <c r="C8" s="83">
        <f>TLFD!H11</f>
        <v>110633</v>
      </c>
      <c r="D8" s="7"/>
      <c r="E8" s="57" t="s">
        <v>224</v>
      </c>
      <c r="F8" s="72">
        <f>B8/B$11</f>
        <v>4.0140947791351966E-2</v>
      </c>
      <c r="G8" s="72">
        <f>C8/C$11</f>
        <v>0.19902639281416012</v>
      </c>
      <c r="H8" s="7">
        <v>1</v>
      </c>
      <c r="I8">
        <v>10</v>
      </c>
      <c r="J8" s="9">
        <f>F8/G8</f>
        <v>0.20168655635955463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t="shared" si="0"/>
        <v>1</v>
      </c>
    </row>
    <row r="9" spans="1:21" x14ac:dyDescent="0.25">
      <c r="A9" s="57" t="s">
        <v>226</v>
      </c>
      <c r="B9" s="83">
        <f>SUM(TLFD!B12:B15)</f>
        <v>222281.21739999999</v>
      </c>
      <c r="C9" s="83">
        <f>SUM(TLFD!H12:H15)</f>
        <v>249728</v>
      </c>
      <c r="E9" s="57" t="s">
        <v>226</v>
      </c>
      <c r="F9" s="72">
        <f t="shared" ref="F9:F10" si="1">B9/B$11</f>
        <v>0.43265427452888089</v>
      </c>
      <c r="G9" s="72">
        <f t="shared" ref="G9:G10" si="2">C9/C$11</f>
        <v>0.44925531283337322</v>
      </c>
      <c r="H9">
        <v>0.1</v>
      </c>
      <c r="I9">
        <v>11</v>
      </c>
      <c r="J9" s="9">
        <f t="shared" ref="J9:J10" si="3">F9/G9</f>
        <v>0.96304765279281279</v>
      </c>
      <c r="K9" s="9">
        <f>(LN(J9)-LN(J8))*H9</f>
        <v>0.15633881031874111</v>
      </c>
      <c r="L9" s="59">
        <f t="shared" ref="L9:L10" si="4">T13</f>
        <v>-9.7518039976427993</v>
      </c>
      <c r="M9" s="59">
        <f t="shared" ref="M9:M10" si="5">L9+K9</f>
        <v>-9.5954651873240575</v>
      </c>
      <c r="R9">
        <v>7</v>
      </c>
      <c r="S9" t="s">
        <v>78</v>
      </c>
      <c r="T9" s="59">
        <f>SchoolLocationCoefficient!E17</f>
        <v>-21.977719252</v>
      </c>
      <c r="U9" s="60">
        <f t="shared" si="0"/>
        <v>-21.977719252</v>
      </c>
    </row>
    <row r="10" spans="1:21" x14ac:dyDescent="0.25">
      <c r="A10" s="69" t="s">
        <v>227</v>
      </c>
      <c r="B10" s="86">
        <f>SUM(TLFD!B16:B101)</f>
        <v>270857.64939999999</v>
      </c>
      <c r="C10" s="86">
        <f>SUM(TLFD!H16:H101)</f>
        <v>195510</v>
      </c>
      <c r="E10" s="69" t="s">
        <v>227</v>
      </c>
      <c r="F10" s="75">
        <f t="shared" si="1"/>
        <v>0.52720477767976703</v>
      </c>
      <c r="G10" s="75">
        <f t="shared" si="2"/>
        <v>0.35171829435246665</v>
      </c>
      <c r="H10">
        <v>0.1</v>
      </c>
      <c r="I10" s="6">
        <v>12</v>
      </c>
      <c r="J10" s="18">
        <f t="shared" si="3"/>
        <v>1.4989404479240438</v>
      </c>
      <c r="K10" s="18">
        <f>(LN(J10)-LN(J9)-LN(J8))*H10</f>
        <v>0.20434513630874249</v>
      </c>
      <c r="L10" s="74">
        <f t="shared" si="4"/>
        <v>-1.0599160072038001</v>
      </c>
      <c r="M10" s="74">
        <f t="shared" si="5"/>
        <v>-0.85557087089505757</v>
      </c>
      <c r="R10">
        <v>8</v>
      </c>
      <c r="S10" t="s">
        <v>79</v>
      </c>
      <c r="T10" s="59">
        <f>SchoolLocationCoefficient!E18</f>
        <v>-1.4857940511400001</v>
      </c>
      <c r="U10" s="60">
        <f t="shared" si="0"/>
        <v>-1.4857940511400001</v>
      </c>
    </row>
    <row r="11" spans="1:21" ht="15.75" thickBot="1" x14ac:dyDescent="0.3">
      <c r="A11" s="71" t="s">
        <v>3</v>
      </c>
      <c r="B11" s="82">
        <f>SUM(B8:B10)</f>
        <v>513761.75040000002</v>
      </c>
      <c r="C11" s="82">
        <f>SUM(C8:C10)</f>
        <v>555871</v>
      </c>
      <c r="D11" s="58"/>
      <c r="E11" s="71" t="s">
        <v>3</v>
      </c>
      <c r="F11" s="73">
        <f>SUM(F8:F10)</f>
        <v>0.99999999999999989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t="shared" si="0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t="shared" ref="U13:U14" si="6">M9</f>
        <v>-9.5954651873240575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t="shared" si="6"/>
        <v>-0.85557087089505757</v>
      </c>
    </row>
    <row r="15" spans="1:21" ht="15.75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t="shared" si="0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t="shared" si="0"/>
        <v>-3.04866060786</v>
      </c>
    </row>
    <row r="17" spans="1:21" x14ac:dyDescent="0.25">
      <c r="A17" s="64" t="s">
        <v>225</v>
      </c>
      <c r="B17" s="81">
        <f>SchoolAtHome!E14</f>
        <v>3454.8159000000001</v>
      </c>
      <c r="C17" s="81">
        <f>SchoolAtHome!L14</f>
        <v>45245</v>
      </c>
      <c r="E17" s="64" t="s">
        <v>225</v>
      </c>
      <c r="F17" s="77">
        <f>B17/B18</f>
        <v>4.8942389571341519E-3</v>
      </c>
      <c r="G17" s="77">
        <f>C17/C18</f>
        <v>5.1832851797796314E-2</v>
      </c>
      <c r="I17" s="65">
        <v>50</v>
      </c>
      <c r="J17" s="66">
        <f>F17/G17</f>
        <v>9.4423493737657543E-2</v>
      </c>
      <c r="K17" s="66">
        <f>LN(J17)</f>
        <v>-2.3599653624551706</v>
      </c>
      <c r="L17" s="79">
        <f>T33</f>
        <v>-52.496387392000003</v>
      </c>
      <c r="M17" s="78">
        <f t="shared" ref="M17" si="7">L17+K17</f>
        <v>-54.856352754455173</v>
      </c>
      <c r="R17">
        <v>15</v>
      </c>
      <c r="S17" t="s">
        <v>86</v>
      </c>
      <c r="T17" s="59">
        <f>SchoolLocationCoefficient!E25</f>
        <v>0</v>
      </c>
      <c r="U17" s="60">
        <f t="shared" si="0"/>
        <v>0</v>
      </c>
    </row>
    <row r="18" spans="1:21" ht="15.75" thickBot="1" x14ac:dyDescent="0.3">
      <c r="A18" s="12" t="s">
        <v>3</v>
      </c>
      <c r="B18" s="82">
        <f>SchoolAtHome!E25</f>
        <v>705894.4057</v>
      </c>
      <c r="C18" s="82">
        <f>SchoolAtHome!L25</f>
        <v>872902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t="shared" si="0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t="shared" si="0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t="shared" si="0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t="shared" si="0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t="shared" si="0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t="shared" si="0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t="shared" si="0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t="shared" si="0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t="shared" si="0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t="shared" si="0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t="shared" si="0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t="shared" si="0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t="shared" si="0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t="shared" si="0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t="shared" si="0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-54.856352754455173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t="shared" si="0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t="shared" si="0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t="shared" si="0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t="shared" si="0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t="shared" si="0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t="shared" si="0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t="shared" si="0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t="shared" si="0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t="shared" si="0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t="shared" si="0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t="shared" si="0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t="shared" si="0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t="shared" si="0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t="shared" si="0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t="shared" si="0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t="shared" si="0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t="shared" si="0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t="shared" si="0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t="shared" si="0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t="shared" si="0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t="shared" si="0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t="shared" si="0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t="shared" si="0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t="shared" si="0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t="shared" si="0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t="shared" si="0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t="shared" si="0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t="shared" si="0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2011-01-31T15:16:09Z</dcterms:created>
  <dcterms:modified xsi:type="dcterms:W3CDTF">2019-10-07T21:07:00Z</dcterms:modified>
</cp:coreProperties>
</file>