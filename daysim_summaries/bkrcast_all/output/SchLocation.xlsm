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21656B06-1B9B-AA78-C99D-37B55691406E}" lastEdited="7" lowestEdited="4" rupBuild="18201"/>
  <workbookPr codeName="ThisWorkbook" defaultThemeVersion="124226"/>
  <mc:AlternateContent>
    <mc:Choice Requires="x15">
      <x15ac:absPath xmlns:x15ac="http://schemas.microsoft.com/office/spreadsheetml/2010/11/ac" url="D:\Sensitivity Test\BKRCast_V1-3_Test13\daysim_summaries\bkrcast_all\output\"/>
    </mc:Choice>
  </mc:AlternateContent>
  <bookViews>
    <workbookView activeTab="3" windowHeight="10695" windowWidth="14190" xWindow="10050" yWindow="-15"/>
  </bookViews>
  <sheets>
    <sheet name="TLFD" r:id="rId1" sheetId="3"/>
    <sheet name="TDFD" r:id="rId2" sheetId="4"/>
    <sheet name="TDFD_Agg" r:id="rId3" sheetId="10"/>
    <sheet name="County_Flow" r:id="rId4" sheetId="1"/>
    <sheet name="SchoolAtHome" r:id="rId5" sheetId="12"/>
    <sheet name="Documentation" r:id="rId6" sheetId="7"/>
    <sheet name="CoeffDef" r:id="rId7" sheetId="13"/>
    <sheet name="SchoolLocationCoefficient" r:id="rId8" sheetId="14"/>
    <sheet name="Calibration" r:id="rId9" sheetId="15"/>
  </sheets>
  <definedNames>
    <definedName name="athm">SchoolAtHome!$I$7:$K$12</definedName>
    <definedName name="avgdist">TLFD!$O$11:$O$14</definedName>
    <definedName name="avgtime">TDFD!$O$11:$O$14</definedName>
    <definedName name="flows">County_Flow!$M$7:$O$9</definedName>
    <definedName name="Sch_dist">TLFD!$H$11:$J$101</definedName>
    <definedName name="Sch_time">TDFD!$H$11:$J$101</definedName>
    <definedName name="tot">SchoolAtHome!$I$18:$K$23</definedName>
    <definedName name="out1">TLFD!$B$11:$D$101</definedName>
    <definedName name="out3">TDFD!$B$11:$D$101</definedName>
    <definedName name="out5">TLFD!$N$11:$N$14</definedName>
    <definedName name="out7">TDFD!$N$11:$N$14</definedName>
    <definedName name="out9">County_Flow!$B$7:$H$13</definedName>
    <definedName name="out11">SchoolAtHome!$B$18:$D$24</definedName>
    <definedName name="out13">SchoolAtHome!$B$7:$D$13</definedName>
    <definedName name="out2">TLFD!$H$11:$J$101</definedName>
    <definedName name="out4">TDFD!$H$11:$J$101</definedName>
    <definedName name="out6">TLFD!$O$11:$O$14</definedName>
    <definedName name="out8">TDFD!$O$11:$O$14</definedName>
    <definedName name="out10">County_Flow!$M$7:$S$13</definedName>
    <definedName name="out12">SchoolAtHome!$I$18:$K$24</definedName>
    <definedName name="out14">SchoolAtHome!$I$7:$K$13</definedName>
  </definedNames>
  <calcPr calcId="171027"/>
</workbook>
</file>

<file path=xl/calcChain.xml><?xml version="1.0" encoding="utf-8"?>
<calcChain xmlns="http://schemas.openxmlformats.org/spreadsheetml/2006/main">
  <c i="15" l="1" r="T4"/>
  <c i="15" r="T5"/>
  <c i="15" r="T6"/>
  <c i="15" r="T7"/>
  <c i="15" r="T8"/>
  <c i="15" r="T9"/>
  <c i="15" r="T10"/>
  <c i="15" r="T11"/>
  <c i="15" r="T12"/>
  <c i="15" r="L8" s="1"/>
  <c i="15" r="T13"/>
  <c i="15" r="L9" s="1"/>
  <c i="15" r="T14"/>
  <c i="15" r="L10" s="1"/>
  <c i="15" r="T15"/>
  <c i="15" r="T16"/>
  <c i="15" r="T17"/>
  <c i="15" r="T18"/>
  <c i="15" r="T19"/>
  <c i="15" r="T20"/>
  <c i="15" r="T21"/>
  <c i="15" r="T22"/>
  <c i="15" r="T23"/>
  <c i="15" r="T24"/>
  <c i="15" r="T25"/>
  <c i="15" r="T26"/>
  <c i="15" r="T27"/>
  <c i="15" r="T28"/>
  <c i="15" r="T29"/>
  <c i="15" r="T30"/>
  <c i="15" r="T31"/>
  <c i="15" r="T32"/>
  <c i="15" r="T33"/>
  <c i="15" r="T34"/>
  <c i="15" r="T35"/>
  <c i="15" r="T36"/>
  <c i="15" r="T37"/>
  <c i="15" r="T38"/>
  <c i="15" r="T39"/>
  <c i="15" r="T40"/>
  <c i="15" r="T41"/>
  <c i="15" r="T42"/>
  <c i="15" r="T43"/>
  <c i="15" r="T44"/>
  <c i="15" r="T45"/>
  <c i="15" r="T46"/>
  <c i="15" r="T47"/>
  <c i="15" r="T48"/>
  <c i="15" r="T49"/>
  <c i="15" r="T50"/>
  <c i="15" r="T51"/>
  <c i="15" r="T52"/>
  <c i="15" r="T53"/>
  <c i="15" r="T54"/>
  <c i="15" r="T55"/>
  <c i="15" r="T56"/>
  <c i="15" r="T57"/>
  <c i="15" r="T58"/>
  <c i="15" r="T59"/>
  <c i="15" r="T60"/>
  <c i="15" r="T61"/>
  <c i="15" r="T62"/>
  <c i="15" r="T3"/>
  <c i="15" l="1" r="L17"/>
  <c i="15" l="1" r="U4"/>
  <c i="15" r="U5"/>
  <c i="15" r="U6"/>
  <c i="15" r="U7"/>
  <c i="15" r="U8"/>
  <c i="15" r="U9"/>
  <c i="15" r="U10"/>
  <c i="15" r="U11"/>
  <c i="15" r="U15"/>
  <c i="15" r="U16"/>
  <c i="15" r="U17"/>
  <c i="15" r="U18"/>
  <c i="15" r="U19"/>
  <c i="15" r="U20"/>
  <c i="15" r="U21"/>
  <c i="15" r="U22"/>
  <c i="15" r="U23"/>
  <c i="15" r="U24"/>
  <c i="15" r="U25"/>
  <c i="15" r="U26"/>
  <c i="15" r="U27"/>
  <c i="15" r="U28"/>
  <c i="15" r="U29"/>
  <c i="15" r="U30"/>
  <c i="15" r="U31"/>
  <c i="15" r="U32"/>
  <c i="15" r="U34"/>
  <c i="15" r="U35"/>
  <c i="15" r="U36"/>
  <c i="15" r="U37"/>
  <c i="15" r="U38"/>
  <c i="15" r="U39"/>
  <c i="15" r="U40"/>
  <c i="15" r="U41"/>
  <c i="15" r="U42"/>
  <c i="15" r="U43"/>
  <c i="15" r="U44"/>
  <c i="15" r="U45"/>
  <c i="15" r="U46"/>
  <c i="15" r="U47"/>
  <c i="15" r="U48"/>
  <c i="15" r="U49"/>
  <c i="15" r="U50"/>
  <c i="15" r="U51"/>
  <c i="15" r="U52"/>
  <c i="15" r="U53"/>
  <c i="15" r="U54"/>
  <c i="15" r="U55"/>
  <c i="15" r="U56"/>
  <c i="15" r="U57"/>
  <c i="15" r="U58"/>
  <c i="15" r="U59"/>
  <c i="15" r="U60"/>
  <c i="15" r="U61"/>
  <c i="15" r="U62"/>
  <c i="15" r="U3"/>
  <c i="15" r="C10"/>
  <c i="15" r="B10"/>
  <c i="15" r="C9"/>
  <c i="15" r="B9"/>
  <c i="15" r="C8"/>
  <c i="15" r="B8"/>
  <c i="15" l="1" r="C11"/>
  <c i="15" r="G10" s="1"/>
  <c i="15" r="B11"/>
  <c i="15" r="F9" s="1"/>
  <c i="1" r="C27"/>
  <c i="1" r="D27"/>
  <c i="1" r="E27"/>
  <c i="1" r="F27"/>
  <c i="1" r="G27"/>
  <c i="1" r="H27"/>
  <c i="1" r="I27"/>
  <c i="1" r="J27"/>
  <c i="1" r="B27"/>
  <c i="1" r="S15"/>
  <c i="15" l="1" r="F10"/>
  <c i="15" r="J10" s="1"/>
  <c i="15" r="F8"/>
  <c i="15" r="G8"/>
  <c i="15" r="G9"/>
  <c i="15" r="J9" s="1"/>
  <c i="1" r="L13"/>
  <c i="1" r="A26"/>
  <c i="1" r="A39"/>
  <c i="1" r="W39"/>
  <c i="1" r="L39"/>
  <c i="15" l="1" r="J8"/>
  <c i="15" r="F11"/>
  <c i="15" r="G11"/>
  <c i="12" r="O35"/>
  <c i="12" r="H35"/>
  <c i="12" r="A35"/>
  <c i="12" r="A24"/>
  <c i="12" r="H24"/>
  <c i="12" r="O24"/>
  <c i="12" r="O13"/>
  <c i="12" r="H13"/>
  <c i="1" r="AD32"/>
  <c i="1" r="S32"/>
  <c i="1" r="H32"/>
  <c i="1" r="H19"/>
  <c i="1" r="S6"/>
  <c i="1" r="H6"/>
  <c i="15" l="1" r="K8"/>
  <c i="15" r="M8" s="1"/>
  <c i="15" r="U12" s="1"/>
  <c i="15" r="K10"/>
  <c i="15" r="M10" s="1"/>
  <c i="15" r="U14" s="1"/>
  <c i="15" r="K9"/>
  <c i="15" r="M9" s="1"/>
  <c i="15" r="U13" s="1"/>
  <c i="12" r="D25"/>
  <c i="12" r="C25"/>
  <c i="12" r="B25"/>
  <c i="12" r="K25"/>
  <c i="12" r="J25"/>
  <c i="12" r="I25"/>
  <c i="12" r="J14"/>
  <c i="12" r="K14"/>
  <c i="12" r="I14"/>
  <c i="12" l="1" r="I36"/>
  <c i="12" r="J36"/>
  <c i="12" r="K36"/>
  <c i="12" r="P25"/>
  <c i="12" r="R25"/>
  <c i="12" r="Q25"/>
  <c i="1" r="AC45"/>
  <c i="1" r="AB45"/>
  <c i="1" r="AA45"/>
  <c i="1" r="Z45"/>
  <c i="1" r="Y45"/>
  <c i="1" r="X45"/>
  <c i="1" r="R45"/>
  <c i="1" r="Q45"/>
  <c i="1" r="P45"/>
  <c i="1" r="O45"/>
  <c i="1" r="N45"/>
  <c i="1" r="M45"/>
  <c i="1" r="G45"/>
  <c i="1" r="F45"/>
  <c i="1" r="E45"/>
  <c i="1" r="D45"/>
  <c i="1" r="C45"/>
  <c i="1" r="B45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51"/>
  <c i="1" r="W50"/>
  <c i="1" r="W49"/>
  <c i="1" r="W48"/>
  <c i="1" r="W47"/>
  <c i="1" r="W46"/>
  <c i="1" r="L51"/>
  <c i="1" r="L50"/>
  <c i="1" r="L49"/>
  <c i="1" r="L48"/>
  <c i="1" r="L47"/>
  <c i="1" r="L46"/>
  <c i="1" r="A51"/>
  <c i="1" r="A50"/>
  <c i="1" r="A49"/>
  <c i="1" r="A48"/>
  <c i="1" r="A47"/>
  <c i="1" r="A4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A25"/>
  <c i="1" r="A24"/>
  <c i="1" r="A23"/>
  <c i="1" r="A22"/>
  <c i="1" r="A21"/>
  <c i="1" r="A20"/>
  <c i="1" r="L12"/>
  <c i="1" r="L11"/>
  <c i="1" r="L10"/>
  <c i="1" r="L9"/>
  <c i="1" r="L8"/>
  <c i="1" r="L7"/>
  <c i="12" r="O34"/>
  <c i="12" r="O33"/>
  <c i="12" r="O32"/>
  <c i="12" r="O31"/>
  <c i="12" r="O30"/>
  <c i="12" r="O29"/>
  <c i="12" r="H34"/>
  <c i="12" r="H33"/>
  <c i="12" r="H32"/>
  <c i="12" r="H31"/>
  <c i="12" r="H30"/>
  <c i="12" r="H29"/>
  <c i="12" r="A34"/>
  <c i="12" r="A33"/>
  <c i="12" r="A32"/>
  <c i="12" r="A31"/>
  <c i="12" r="A30"/>
  <c i="12" r="A29"/>
  <c i="12" r="O23"/>
  <c i="12" r="O22"/>
  <c i="12" r="O21"/>
  <c i="12" r="O20"/>
  <c i="12" r="O19"/>
  <c i="12" r="O18"/>
  <c i="12" r="H23"/>
  <c i="12" r="H22"/>
  <c i="12" r="H21"/>
  <c i="12" r="H20"/>
  <c i="12" r="H19"/>
  <c i="12" r="H18"/>
  <c i="12" r="A23"/>
  <c i="12" r="A22"/>
  <c i="12" r="A21"/>
  <c i="12" r="A20"/>
  <c i="12" r="A19"/>
  <c i="12" r="A18"/>
  <c i="12" r="O12"/>
  <c i="12" r="O11"/>
  <c i="12" r="O10"/>
  <c i="12" r="O9"/>
  <c i="12" r="O8"/>
  <c i="12" r="O7"/>
  <c i="12" r="H12"/>
  <c i="12" r="H11"/>
  <c i="12" r="H10"/>
  <c i="12" r="H9"/>
  <c i="12" r="H8"/>
  <c i="12" r="H7"/>
  <c i="1" l="1" r="P15"/>
  <c i="1" r="Q15"/>
  <c i="1" r="R15"/>
  <c i="1" r="E15"/>
  <c i="1" r="F15"/>
  <c i="1" r="G15"/>
  <c i="12" l="1" r="L20"/>
  <c i="12" r="L21"/>
  <c i="12" r="L22"/>
  <c i="12" r="L9"/>
  <c i="12" r="L10"/>
  <c i="12" r="L11"/>
  <c i="12" r="E20"/>
  <c i="12" r="E21"/>
  <c i="12" r="E22"/>
  <c i="12" r="E9"/>
  <c i="12" r="E10"/>
  <c i="12" r="E11"/>
  <c i="12" l="1" r="B30"/>
  <c i="12" r="C30"/>
  <c i="12" r="D30"/>
  <c i="12" r="B31"/>
  <c i="12" r="C31"/>
  <c i="12" r="D31"/>
  <c i="12" r="E31"/>
  <c i="12" r="B32"/>
  <c i="12" r="C32"/>
  <c i="12" r="D32"/>
  <c i="12" r="E32"/>
  <c i="12" r="B33"/>
  <c i="12" r="C33"/>
  <c i="12" r="D33"/>
  <c i="12" r="E33"/>
  <c i="12" r="I31"/>
  <c i="12" r="P31" s="1"/>
  <c i="12" r="J31"/>
  <c i="12" r="Q31" s="1"/>
  <c i="12" r="K31"/>
  <c i="12" r="R31" s="1"/>
  <c i="12" r="L31"/>
  <c i="12" r="S31" s="1"/>
  <c i="12" r="I32"/>
  <c i="12" r="J32"/>
  <c i="12" r="Q32" s="1"/>
  <c i="12" r="K32"/>
  <c i="12" r="R32" s="1"/>
  <c i="12" r="L32"/>
  <c i="12" r="I33"/>
  <c i="12" r="P33" s="1"/>
  <c i="12" r="J33"/>
  <c i="12" r="K33"/>
  <c i="12" r="L33"/>
  <c i="12" r="P20"/>
  <c i="12" r="Q20"/>
  <c i="12" r="R20"/>
  <c i="12" r="S20"/>
  <c i="12" r="P21"/>
  <c i="12" r="Q21"/>
  <c i="12" r="R21"/>
  <c i="12" r="S21"/>
  <c i="12" r="P22"/>
  <c i="12" r="Q22"/>
  <c i="12" r="R22"/>
  <c i="12" r="S22"/>
  <c i="12" r="P9"/>
  <c i="12" r="Q9"/>
  <c i="12" r="R9"/>
  <c i="12" r="S9"/>
  <c i="12" r="P10"/>
  <c i="12" r="Q10"/>
  <c i="12" r="R10"/>
  <c i="12" r="S10"/>
  <c i="12" r="P11"/>
  <c i="12" r="Q11"/>
  <c i="12" r="R11"/>
  <c i="12" r="S11"/>
  <c i="1" r="U10"/>
  <c i="1" r="U11"/>
  <c i="1" r="U12"/>
  <c i="1" r="U13"/>
  <c i="1" r="J8"/>
  <c i="1" r="J9"/>
  <c i="1" r="J10"/>
  <c i="1" r="J11"/>
  <c i="1" r="J12"/>
  <c i="1" l="1" r="H24"/>
  <c i="1" r="H23"/>
  <c i="1" r="H25"/>
  <c i="12" r="Q33"/>
  <c i="1" r="C24"/>
  <c i="12" r="S32"/>
  <c i="1" r="J24"/>
  <c i="1" r="I24"/>
  <c i="12" r="R33"/>
  <c i="12" r="P32"/>
  <c i="1" r="B24"/>
  <c i="1" r="B23"/>
  <c i="1" r="G24"/>
  <c i="1" r="F24"/>
  <c i="1" r="E24"/>
  <c i="1" r="D24"/>
  <c i="1" r="F23"/>
  <c i="1" r="J23"/>
  <c i="1" r="I23"/>
  <c i="1" r="G23"/>
  <c i="1" r="C23"/>
  <c i="1" r="J25"/>
  <c i="1" r="I25"/>
  <c i="1" r="G25"/>
  <c i="1" r="D25"/>
  <c i="1" r="C25"/>
  <c i="1" r="B25"/>
  <c i="1" r="F25"/>
  <c i="1" r="E25"/>
  <c i="12" r="S33"/>
  <c i="1" r="E23"/>
  <c i="1" r="D23"/>
  <c i="12" r="E23"/>
  <c i="12" r="E19"/>
  <c i="12" r="E18"/>
  <c i="12" r="R23"/>
  <c i="12" r="Q23"/>
  <c i="12" r="P23"/>
  <c i="12" r="R19"/>
  <c i="12" r="Q19"/>
  <c i="12" r="P19"/>
  <c i="12" r="R18"/>
  <c i="12" r="Q18"/>
  <c i="12" r="P18"/>
  <c i="12" r="L23"/>
  <c i="12" r="L19"/>
  <c i="12" r="L18"/>
  <c i="12" r="L7"/>
  <c i="12" r="L8"/>
  <c i="12" r="L12"/>
  <c i="1" r="T15"/>
  <c i="1" r="O15"/>
  <c i="1" r="N15"/>
  <c i="1" r="M15"/>
  <c i="1" r="I15"/>
  <c i="1" r="D15"/>
  <c i="1" r="C15"/>
  <c i="1" r="B15"/>
  <c i="1" r="J13"/>
  <c i="1" r="B26" s="1"/>
  <c i="1" r="U9"/>
  <c i="1" r="H22" s="1"/>
  <c i="1" r="U8"/>
  <c i="1" r="H21" s="1"/>
  <c i="1" r="U7"/>
  <c i="1" r="J7"/>
  <c i="1" l="1" r="I26"/>
  <c i="1" r="G26"/>
  <c i="1" r="E26"/>
  <c i="1" r="D26"/>
  <c i="1" r="C26"/>
  <c i="1" r="H26"/>
  <c i="1" r="F26"/>
  <c i="1" r="H20"/>
  <c i="1" r="J26"/>
  <c i="1" r="C22"/>
  <c i="1" r="D22"/>
  <c i="1" r="E22"/>
  <c i="1" r="G22"/>
  <c i="1" r="I22"/>
  <c i="1" r="B22"/>
  <c i="1" r="F22"/>
  <c i="1" r="J22"/>
  <c i="1" r="D20"/>
  <c i="1" r="G20"/>
  <c i="1" r="E20"/>
  <c i="1" r="C20"/>
  <c i="1" r="F20"/>
  <c i="1" r="E21"/>
  <c i="1" r="F21"/>
  <c i="1" r="B21"/>
  <c i="1" r="C21"/>
  <c i="1" r="D21"/>
  <c i="1" r="G21"/>
  <c i="1" r="I21"/>
  <c i="1" r="J21"/>
  <c i="12" r="S18"/>
  <c i="12" r="E24"/>
  <c i="12" r="E25" s="1"/>
  <c i="15" r="B18" s="1"/>
  <c i="15" r="F18" s="1"/>
  <c i="12" r="P24"/>
  <c i="12" r="S19"/>
  <c i="12" r="Q24"/>
  <c i="12" r="S23"/>
  <c i="12" r="R24"/>
  <c i="12" r="L13"/>
  <c i="12" r="L14" s="1"/>
  <c i="15" r="C17" s="1"/>
  <c i="12" r="L24"/>
  <c i="12" r="L25" s="1"/>
  <c i="15" r="C18" s="1"/>
  <c i="15" r="G18" s="1"/>
  <c i="1" r="U15"/>
  <c i="1" r="J15"/>
  <c i="1" r="J20"/>
  <c i="1" r="B20"/>
  <c i="1" r="I20"/>
  <c i="1" l="1" r="Q39"/>
  <c i="1" r="S33"/>
  <c i="1" r="N39"/>
  <c i="1" r="P39"/>
  <c i="1" r="R39"/>
  <c i="1" r="S37"/>
  <c i="1" r="S36"/>
  <c i="1" r="S39"/>
  <c i="1" r="S35"/>
  <c i="1" r="S38"/>
  <c i="1" r="M39"/>
  <c i="1" r="O39"/>
  <c i="1" r="S34"/>
  <c i="1" r="G39"/>
  <c i="15" r="G17"/>
  <c i="1" r="H28"/>
  <c i="1" r="T40"/>
  <c i="1" r="N40"/>
  <c i="1" r="Q40"/>
  <c i="1" r="U40"/>
  <c i="1" r="T39"/>
  <c i="1" r="P40"/>
  <c i="1" r="M40"/>
  <c i="1" r="R40"/>
  <c i="1" r="O40"/>
  <c i="1" r="S40"/>
  <c i="1" r="S41"/>
  <c i="1" r="U39"/>
  <c i="12" r="L36"/>
  <c i="12" r="S25"/>
  <c i="1" r="R34"/>
  <c i="1" r="P35"/>
  <c i="1" r="M36"/>
  <c i="1" r="N36"/>
  <c i="1" r="P36"/>
  <c i="1" r="Q41"/>
  <c i="1" r="P37"/>
  <c i="1" r="Q38"/>
  <c i="1" r="I28"/>
  <c i="1" r="T36"/>
  <c i="1" r="R41"/>
  <c i="1" r="P33"/>
  <c i="1" r="R38"/>
  <c i="1" r="T38"/>
  <c i="1" r="Q33"/>
  <c i="1" r="M38"/>
  <c i="1" r="E28"/>
  <c i="1" r="P38"/>
  <c i="1" r="R33"/>
  <c i="1" r="P34"/>
  <c i="1" r="Q34"/>
  <c i="1" r="Q35"/>
  <c i="1" r="R35"/>
  <c i="1" r="O36"/>
  <c i="1" r="Q36"/>
  <c i="1" r="R36"/>
  <c i="1" r="M37"/>
  <c i="1" r="N37"/>
  <c i="1" r="Q37"/>
  <c i="1" r="P41"/>
  <c i="1" r="O37"/>
  <c i="1" r="R37"/>
  <c i="1" r="T37"/>
  <c i="1" r="C28"/>
  <c i="1" r="U37"/>
  <c i="1" r="D28"/>
  <c i="1" r="N38"/>
  <c i="1" r="F28"/>
  <c i="1" r="O38"/>
  <c i="1" r="G28"/>
  <c i="1" r="U38"/>
  <c i="1" r="U36"/>
  <c i="12" r="S24"/>
  <c i="1" r="N33"/>
  <c i="1" r="T34"/>
  <c i="1" r="M34"/>
  <c i="1" r="M33"/>
  <c i="1" r="U35"/>
  <c i="1" r="M35"/>
  <c i="1" r="U34"/>
  <c i="1" r="J28"/>
  <c i="1" r="H33" s="1"/>
  <c i="1" r="T35"/>
  <c i="1" r="N35"/>
  <c i="1" r="N41"/>
  <c i="1" r="O35"/>
  <c i="1" r="T33"/>
  <c i="1" r="U33"/>
  <c i="1" r="N34"/>
  <c i="1" r="M41"/>
  <c i="1" r="O33"/>
  <c i="1" r="U41"/>
  <c i="1" r="O34"/>
  <c i="1" r="O41"/>
  <c i="1" r="T41"/>
  <c i="1" r="B28"/>
  <c i="1" l="1" r="D39"/>
  <c i="1" r="Z39" s="1"/>
  <c i="1" r="E39"/>
  <c i="1" r="C39"/>
  <c i="1" r="I39"/>
  <c i="1" r="H39"/>
  <c i="1" r="AD39" s="1"/>
  <c i="1" r="AC39"/>
  <c i="1" r="B39"/>
  <c i="1" r="X39" s="1"/>
  <c i="1" r="H38"/>
  <c i="1" r="AD38" s="1"/>
  <c i="1" r="H35"/>
  <c i="1" r="AD35" s="1"/>
  <c i="1" r="H37"/>
  <c i="1" r="AD37" s="1"/>
  <c i="1" r="H34"/>
  <c i="1" r="AD34" s="1"/>
  <c i="1" r="H36"/>
  <c i="1" r="AD36" s="1"/>
  <c i="1" r="AA39"/>
  <c i="1" r="Y39"/>
  <c i="1" r="AD33"/>
  <c i="1" r="F39"/>
  <c i="1" r="AB39" s="1"/>
  <c i="1" r="F35"/>
  <c i="1" r="AB35" s="1"/>
  <c i="1" r="H40"/>
  <c i="1" r="AD40" s="1"/>
  <c i="1" r="J39"/>
  <c i="1" r="AF39" s="1"/>
  <c i="1" r="H41"/>
  <c i="1" r="AD41" s="1"/>
  <c i="1" r="AE39"/>
  <c i="1" r="G35"/>
  <c i="1" r="AC35" s="1"/>
  <c i="1" r="G41"/>
  <c i="1" r="AC41" s="1"/>
  <c i="1" r="F40"/>
  <c i="1" r="AB40" s="1"/>
  <c i="1" r="E35"/>
  <c i="1" r="AA35" s="1"/>
  <c i="1" r="E41"/>
  <c i="1" r="AA41" s="1"/>
  <c i="1" r="E34"/>
  <c i="1" r="AA34" s="1"/>
  <c i="1" r="F41"/>
  <c i="1" r="AB41" s="1"/>
  <c i="1" r="F34"/>
  <c i="1" r="AB34" s="1"/>
  <c i="1" r="G33"/>
  <c i="1" r="AC33" s="1"/>
  <c i="1" r="B37"/>
  <c i="1" r="X37" s="1"/>
  <c i="1" r="B36"/>
  <c i="1" r="X36" s="1"/>
  <c i="1" r="I37"/>
  <c i="1" r="AE37" s="1"/>
  <c i="1" r="C37"/>
  <c i="1" r="Y37" s="1"/>
  <c i="1" r="J37"/>
  <c i="1" r="AF37" s="1"/>
  <c i="1" r="F38"/>
  <c i="1" r="AB38" s="1"/>
  <c i="1" r="F36"/>
  <c i="1" r="AB36" s="1"/>
  <c i="1" r="D37"/>
  <c i="1" r="Z37" s="1"/>
  <c i="1" r="E40"/>
  <c i="1" r="AA40" s="1"/>
  <c i="1" r="E36"/>
  <c i="1" r="AA36" s="1"/>
  <c i="1" r="I36"/>
  <c i="1" r="AE36" s="1"/>
  <c i="1" r="G36"/>
  <c i="1" r="AC36" s="1"/>
  <c i="1" r="J38"/>
  <c i="1" r="AF38" s="1"/>
  <c i="1" r="G40"/>
  <c i="1" r="AC40" s="1"/>
  <c i="1" r="C38"/>
  <c i="1" r="Y38" s="1"/>
  <c i="1" r="J36"/>
  <c i="1" r="AF36" s="1"/>
  <c i="1" r="I38"/>
  <c i="1" r="AE38" s="1"/>
  <c i="1" r="G37"/>
  <c i="1" r="AC37" s="1"/>
  <c i="1" r="F37"/>
  <c i="1" r="AB37" s="1"/>
  <c i="1" r="D36"/>
  <c i="1" r="Z36" s="1"/>
  <c i="1" r="E38"/>
  <c i="1" r="AA38" s="1"/>
  <c i="1" r="D38"/>
  <c i="1" r="Z38" s="1"/>
  <c i="1" r="G38"/>
  <c i="1" r="AC38" s="1"/>
  <c i="1" r="C36"/>
  <c i="1" r="Y36" s="1"/>
  <c i="1" r="E37"/>
  <c i="1" r="AA37" s="1"/>
  <c i="1" r="B38"/>
  <c i="1" r="X38" s="1"/>
  <c i="1" r="G34"/>
  <c i="1" r="AC34" s="1"/>
  <c i="1" r="F33"/>
  <c i="1" r="AB33" s="1"/>
  <c i="1" r="E33"/>
  <c i="1" r="AA33" s="1"/>
  <c i="1" r="D33"/>
  <c i="1" r="Z33" s="1"/>
  <c i="1" r="C33"/>
  <c i="1" r="Y33" s="1"/>
  <c i="1" r="D40"/>
  <c i="1" r="Z40" s="1"/>
  <c i="1" r="D35"/>
  <c i="1" r="Z35" s="1"/>
  <c i="1" r="J40"/>
  <c i="1" r="AF40" s="1"/>
  <c i="1" r="D41"/>
  <c i="1" r="Z41" s="1"/>
  <c i="1" r="B34"/>
  <c i="1" r="X34" s="1"/>
  <c i="1" r="I34"/>
  <c i="1" r="AE34" s="1"/>
  <c i="1" r="I35"/>
  <c i="1" r="AE35" s="1"/>
  <c i="1" r="C34"/>
  <c i="1" r="Y34" s="1"/>
  <c i="1" r="I41"/>
  <c i="1" r="AE41" s="1"/>
  <c i="1" r="B41"/>
  <c i="1" r="X41" s="1"/>
  <c i="1" r="C40"/>
  <c i="1" r="Y40" s="1"/>
  <c i="1" r="I40"/>
  <c i="1" r="AE40" s="1"/>
  <c i="1" r="J33"/>
  <c i="1" r="AF33" s="1"/>
  <c i="1" r="B33"/>
  <c i="1" r="X33" s="1"/>
  <c i="1" r="J34"/>
  <c i="1" r="AF34" s="1"/>
  <c i="1" r="B35"/>
  <c i="1" r="X35" s="1"/>
  <c i="1" r="J35"/>
  <c i="1" r="AF35" s="1"/>
  <c i="1" r="B40"/>
  <c i="1" r="X40" s="1"/>
  <c i="1" r="D34"/>
  <c i="1" r="Z34" s="1"/>
  <c i="1" r="I33"/>
  <c i="1" r="AE33" s="1"/>
  <c i="1" r="C35"/>
  <c i="1" r="Y35" s="1"/>
  <c i="1" r="J41"/>
  <c i="1" r="AF41" s="1"/>
  <c i="1" r="C41"/>
  <c i="1" r="Y41" s="1"/>
  <c i="12" r="R12"/>
  <c i="12" r="Q12"/>
  <c i="12" r="P12"/>
  <c i="12" r="R8"/>
  <c i="12" r="Q8"/>
  <c i="12" r="P8"/>
  <c i="12" r="R7"/>
  <c i="12" r="Q7"/>
  <c i="12" r="P7"/>
  <c i="12" l="1" r="K34"/>
  <c i="12" r="J34"/>
  <c i="12" r="I34"/>
  <c i="12" r="D34"/>
  <c i="12" r="C34"/>
  <c i="12" r="B34"/>
  <c i="12" r="K30"/>
  <c i="12" r="J30"/>
  <c i="12" r="I30"/>
  <c i="12" r="K29"/>
  <c i="12" r="J29"/>
  <c i="12" r="I29"/>
  <c i="12" r="D29"/>
  <c i="12" r="C29"/>
  <c i="12" r="B29"/>
  <c i="12" r="E12"/>
  <c i="12" r="S12" s="1"/>
  <c i="12" r="E8"/>
  <c i="12" r="E7"/>
  <c i="12" r="S7" s="1"/>
  <c i="10" r="J22"/>
  <c i="10" r="J21"/>
  <c i="10" r="J20"/>
  <c i="10" r="J19"/>
  <c i="10" r="J18"/>
  <c i="10" r="J17"/>
  <c i="10" r="J16"/>
  <c i="10" r="J15"/>
  <c i="10" r="J14"/>
  <c i="10" r="J13"/>
  <c i="10" r="J12"/>
  <c i="10" r="I11"/>
  <c i="10" r="J11"/>
  <c i="10" r="K11"/>
  <c i="10" r="B22"/>
  <c i="10" r="C22"/>
  <c i="10" r="D22"/>
  <c i="10" r="B21"/>
  <c i="10" r="C21"/>
  <c i="10" r="D21"/>
  <c i="10" r="B20"/>
  <c i="10" r="C20"/>
  <c i="10" r="D20"/>
  <c i="10" r="B19"/>
  <c i="10" r="C19"/>
  <c i="10" r="D19"/>
  <c i="10" r="B18"/>
  <c i="10" r="C18"/>
  <c i="10" r="D18"/>
  <c i="10" r="B17"/>
  <c i="10" r="C17"/>
  <c i="10" r="D17"/>
  <c i="10" r="B16"/>
  <c i="10" r="C16"/>
  <c i="10" r="D16"/>
  <c i="10" r="B15"/>
  <c i="10" r="C15"/>
  <c i="10" r="D15"/>
  <c i="10" r="B14"/>
  <c i="10" r="C14"/>
  <c i="10" r="D14"/>
  <c i="10" r="B13"/>
  <c i="10" r="C13"/>
  <c i="10" r="D13"/>
  <c i="10" r="B12"/>
  <c i="10" r="C12"/>
  <c i="10" r="D12"/>
  <c i="10" r="B11"/>
  <c i="10" r="C11"/>
  <c i="10" r="D11"/>
  <c i="3" r="E92"/>
  <c i="3" r="E93"/>
  <c i="3" r="E94"/>
  <c i="3" r="E95"/>
  <c i="3" r="E96"/>
  <c i="3" r="E97"/>
  <c i="3" r="E98"/>
  <c i="3" r="E99"/>
  <c i="3" r="E100"/>
  <c i="3" r="E38"/>
  <c i="3" r="E39"/>
  <c i="3" r="E40"/>
  <c i="3" r="E41"/>
  <c i="3" r="E42"/>
  <c i="3" r="E43"/>
  <c i="3" r="E44"/>
  <c i="3" r="E45"/>
  <c i="3" r="E46"/>
  <c i="3" r="E47"/>
  <c i="3" r="E48"/>
  <c i="3" r="E49"/>
  <c i="3" r="E50"/>
  <c i="3" r="E51"/>
  <c i="3" r="E52"/>
  <c i="3" r="E53"/>
  <c i="3" r="E54"/>
  <c i="3" r="E55"/>
  <c i="3" r="E56"/>
  <c i="3" r="E57"/>
  <c i="3" r="E58"/>
  <c i="3" r="E59"/>
  <c i="3" r="E60"/>
  <c i="3" r="E61"/>
  <c i="3" r="E62"/>
  <c i="3" r="E63"/>
  <c i="3" r="E64"/>
  <c i="3" r="E65"/>
  <c i="3" r="E66"/>
  <c i="3" r="E67"/>
  <c i="3" r="E68"/>
  <c i="3" r="E69"/>
  <c i="3" r="E70"/>
  <c i="3" r="E71"/>
  <c i="3" r="E72"/>
  <c i="3" r="E73"/>
  <c i="3" r="E74"/>
  <c i="3" r="E75"/>
  <c i="3" r="E76"/>
  <c i="3" r="E77"/>
  <c i="3" r="E78"/>
  <c i="3" r="E79"/>
  <c i="3" r="E80"/>
  <c i="3" r="E81"/>
  <c i="3" r="E82"/>
  <c i="3" r="E83"/>
  <c i="3" r="E84"/>
  <c i="3" r="E85"/>
  <c i="3" r="E86"/>
  <c i="3" r="E87"/>
  <c i="3" r="E88"/>
  <c i="3" r="E89"/>
  <c i="3" r="E90"/>
  <c i="3" r="E91"/>
  <c i="3" r="E23"/>
  <c i="3" r="E24"/>
  <c i="3" r="E25"/>
  <c i="3" r="E26"/>
  <c i="3" r="E27"/>
  <c i="3" r="E28"/>
  <c i="3" r="E29"/>
  <c i="3" r="E30"/>
  <c i="3" r="E31"/>
  <c i="3" r="E32"/>
  <c i="3" r="E33"/>
  <c i="3" r="E34"/>
  <c i="3" r="E35"/>
  <c i="3" r="E36"/>
  <c i="3" r="E37"/>
  <c i="3" r="E12"/>
  <c i="3" r="E13"/>
  <c i="3" r="E14"/>
  <c i="3" r="E15"/>
  <c i="3" r="E16"/>
  <c i="3" r="E17"/>
  <c i="3" r="E18"/>
  <c i="3" r="E19"/>
  <c i="3" r="E20"/>
  <c i="3" r="E21"/>
  <c i="3" r="E22"/>
  <c i="3" r="E11"/>
  <c i="12" l="1" r="P13"/>
  <c i="12" r="B14"/>
  <c i="12" r="Q13"/>
  <c i="12" r="C14"/>
  <c i="12" r="R13"/>
  <c i="12" r="D14"/>
  <c i="12" r="S8"/>
  <c i="12" r="E30"/>
  <c i="12" r="P29"/>
  <c i="12" r="R30"/>
  <c i="12" r="R34"/>
  <c i="12" r="Q30"/>
  <c i="12" r="Q34"/>
  <c i="12" r="Q29"/>
  <c i="12" r="R29"/>
  <c i="12" r="P30"/>
  <c i="12" r="P34"/>
  <c i="12" r="I35"/>
  <c i="12" r="L30"/>
  <c i="12" r="L34"/>
  <c i="12" r="D35"/>
  <c i="12" r="K35"/>
  <c i="12" r="E34"/>
  <c i="12" r="C35"/>
  <c i="12" r="J35"/>
  <c i="12" r="L29"/>
  <c i="12" r="B35"/>
  <c i="12" r="E13"/>
  <c i="12" r="E29"/>
  <c i="12" r="L35"/>
  <c i="12" l="1" r="D36"/>
  <c i="12" r="R36" s="1"/>
  <c i="12" r="R14"/>
  <c i="12" r="Q14"/>
  <c i="12" r="C36"/>
  <c i="12" r="Q36" s="1"/>
  <c i="12" r="B36"/>
  <c i="12" r="P36" s="1"/>
  <c i="12" r="P14"/>
  <c i="12" r="S13"/>
  <c i="12" r="E14"/>
  <c i="15" r="B17" s="1"/>
  <c i="15" r="F17" s="1"/>
  <c i="15" r="J17" s="1"/>
  <c i="15" r="K17" s="1"/>
  <c i="15" r="M17" s="1"/>
  <c i="15" r="U33" s="1"/>
  <c i="12" r="Q35"/>
  <c i="12" r="R35"/>
  <c i="12" r="P35"/>
  <c i="12" r="S29"/>
  <c i="12" r="S30"/>
  <c i="12" r="S34"/>
  <c i="12" r="E35"/>
  <c i="12" r="S35" s="1"/>
  <c i="4" r="K11"/>
  <c i="4" r="K101"/>
  <c i="4" r="K100"/>
  <c i="4" r="K99"/>
  <c i="4" r="K98"/>
  <c i="4" r="K97"/>
  <c i="4" r="K96"/>
  <c i="4" r="K95"/>
  <c i="4" r="K94"/>
  <c i="4" r="K93"/>
  <c i="4" r="K92"/>
  <c i="4" r="K91"/>
  <c i="4" r="K90"/>
  <c i="4" r="K89"/>
  <c i="4" r="K88"/>
  <c i="4" r="K87"/>
  <c i="4" r="K86"/>
  <c i="4" r="K85"/>
  <c i="4" r="K84"/>
  <c i="4" r="K83"/>
  <c i="4" r="K82"/>
  <c i="4" r="K81"/>
  <c i="4" r="K80"/>
  <c i="4" r="K79"/>
  <c i="4" r="K78"/>
  <c i="4" r="K77"/>
  <c i="4" r="K76"/>
  <c i="4" r="K75"/>
  <c i="4" r="K74"/>
  <c i="4" r="K73"/>
  <c i="4" r="K72"/>
  <c i="4" r="K71"/>
  <c i="4" r="K70"/>
  <c i="4" r="K69"/>
  <c i="4" r="K68"/>
  <c i="4" r="K67"/>
  <c i="4" r="K66"/>
  <c i="4" r="K65"/>
  <c i="4" r="K64"/>
  <c i="4" r="K63"/>
  <c i="4" r="K62"/>
  <c i="4" r="K61"/>
  <c i="4" r="K60"/>
  <c i="4" r="K59"/>
  <c i="4" r="K58"/>
  <c i="4" r="K57"/>
  <c i="4" r="K56"/>
  <c i="4" r="K55"/>
  <c i="4" r="K54"/>
  <c i="4" r="K53"/>
  <c i="4" r="K52"/>
  <c i="4" r="K51"/>
  <c i="4" r="K50"/>
  <c i="4" r="K49"/>
  <c i="4" r="K48"/>
  <c i="4" r="K47"/>
  <c i="4" r="K46"/>
  <c i="4" r="K45"/>
  <c i="4" r="K44"/>
  <c i="4" r="K43"/>
  <c i="4" r="K42"/>
  <c i="4" r="K41"/>
  <c i="4" r="K40"/>
  <c i="4" r="K39"/>
  <c i="4" r="K38"/>
  <c i="4" r="K37"/>
  <c i="4" r="K36"/>
  <c i="4" r="K35"/>
  <c i="4" r="K34"/>
  <c i="4" r="K33"/>
  <c i="4" r="K32"/>
  <c i="4" r="K31"/>
  <c i="4" r="K30"/>
  <c i="4" r="K29"/>
  <c i="4" r="K28"/>
  <c i="4" r="K27"/>
  <c i="4" r="K26"/>
  <c i="4" r="K25"/>
  <c i="4" r="K24"/>
  <c i="4" r="K23"/>
  <c i="4" r="K22"/>
  <c i="4" r="K21"/>
  <c i="4" r="K20"/>
  <c i="4" r="K19"/>
  <c i="4" r="K18"/>
  <c i="4" r="K17"/>
  <c i="4" r="K16"/>
  <c i="4" r="K15"/>
  <c i="4" r="K14"/>
  <c i="4" r="K13"/>
  <c i="4" r="K12"/>
  <c i="3" r="K101"/>
  <c i="3" r="K12"/>
  <c i="3" r="K13"/>
  <c i="3" r="K14"/>
  <c i="3" r="K15"/>
  <c i="3" r="K16"/>
  <c i="3" r="K17"/>
  <c i="3" r="K18"/>
  <c i="3" r="K19"/>
  <c i="3" r="K20"/>
  <c i="3" r="K21"/>
  <c i="3" r="K22"/>
  <c i="3" r="K23"/>
  <c i="3" r="K24"/>
  <c i="3" r="K25"/>
  <c i="3" r="K26"/>
  <c i="3" r="K27"/>
  <c i="3" r="K28"/>
  <c i="3" r="K29"/>
  <c i="3" r="K30"/>
  <c i="3" r="K31"/>
  <c i="3" r="K32"/>
  <c i="3" r="K33"/>
  <c i="3" r="K34"/>
  <c i="3" r="K35"/>
  <c i="3" r="K36"/>
  <c i="3" r="K37"/>
  <c i="3" r="K38"/>
  <c i="3" r="K39"/>
  <c i="3" r="K40"/>
  <c i="3" r="K41"/>
  <c i="3" r="K42"/>
  <c i="3" r="K43"/>
  <c i="3" r="K44"/>
  <c i="3" r="K45"/>
  <c i="3" r="K46"/>
  <c i="3" r="K47"/>
  <c i="3" r="K48"/>
  <c i="3" r="K49"/>
  <c i="3" r="K50"/>
  <c i="3" r="K51"/>
  <c i="3" r="K52"/>
  <c i="3" r="K53"/>
  <c i="3" r="K54"/>
  <c i="3" r="K55"/>
  <c i="3" r="K56"/>
  <c i="3" r="K57"/>
  <c i="3" r="K58"/>
  <c i="3" r="K59"/>
  <c i="3" r="K60"/>
  <c i="3" r="K61"/>
  <c i="3" r="K62"/>
  <c i="3" r="K63"/>
  <c i="3" r="K64"/>
  <c i="3" r="K65"/>
  <c i="3" r="K66"/>
  <c i="3" r="K67"/>
  <c i="3" r="K68"/>
  <c i="3" r="K69"/>
  <c i="3" r="K70"/>
  <c i="3" r="K71"/>
  <c i="3" r="K72"/>
  <c i="3" r="K73"/>
  <c i="3" r="K74"/>
  <c i="3" r="K75"/>
  <c i="3" r="K76"/>
  <c i="3" r="K77"/>
  <c i="3" r="K78"/>
  <c i="3" r="K79"/>
  <c i="3" r="K80"/>
  <c i="3" r="K81"/>
  <c i="3" r="K82"/>
  <c i="3" r="K83"/>
  <c i="3" r="K84"/>
  <c i="3" r="K85"/>
  <c i="3" r="K86"/>
  <c i="3" r="K87"/>
  <c i="3" r="K88"/>
  <c i="3" r="K89"/>
  <c i="3" r="K90"/>
  <c i="3" r="K91"/>
  <c i="3" r="K92"/>
  <c i="3" r="K93"/>
  <c i="3" r="K94"/>
  <c i="3" r="K95"/>
  <c i="3" r="K96"/>
  <c i="3" r="K97"/>
  <c i="3" r="K98"/>
  <c i="3" r="K99"/>
  <c i="3" r="K100"/>
  <c i="3" r="K11"/>
  <c i="12" l="1" r="S14"/>
  <c i="12" r="E36"/>
  <c i="12" r="S36" s="1"/>
  <c i="10" r="L11"/>
  <c i="10" l="1" r="I22"/>
  <c i="10" r="K22"/>
  <c i="10" r="I21"/>
  <c i="10" r="K21"/>
  <c i="10" r="I20"/>
  <c i="10" r="K20"/>
  <c i="10" r="I19"/>
  <c i="10" r="K19"/>
  <c i="10" r="I18"/>
  <c i="10" r="K18"/>
  <c i="10" r="I17"/>
  <c i="10" r="K17"/>
  <c i="10" r="I16"/>
  <c i="10" r="K16"/>
  <c i="10" r="I15"/>
  <c i="10" r="K15"/>
  <c i="10" r="I14"/>
  <c i="10" r="K14"/>
  <c i="10" r="I13"/>
  <c i="10" r="K13"/>
  <c i="10" r="I12"/>
  <c i="10" r="K12"/>
  <c i="10" r="L22"/>
  <c i="10" l="1" r="L15"/>
  <c i="10" r="L21"/>
  <c i="10" r="L19"/>
  <c i="10" r="L20"/>
  <c i="10" r="L17"/>
  <c i="10" r="L16"/>
  <c i="10" r="L13"/>
  <c i="10" r="L12"/>
  <c i="10" r="L18"/>
  <c i="10" r="L14"/>
  <c i="4" r="E12"/>
  <c i="4" r="E13"/>
  <c i="4" r="E14"/>
  <c i="4" r="E15"/>
  <c i="4" r="E16"/>
  <c i="4" r="E17"/>
  <c i="4" r="E18"/>
  <c i="4" r="E19"/>
  <c i="4" r="E20"/>
  <c i="4" r="E21"/>
  <c i="4" r="E22"/>
  <c i="4" r="E23"/>
  <c i="4" r="E24"/>
  <c i="4" r="E25"/>
  <c i="4" r="E26"/>
  <c i="4" r="E27"/>
  <c i="4" r="E28"/>
  <c i="4" r="E29"/>
  <c i="4" r="E30"/>
  <c i="4" r="E31"/>
  <c i="4" r="E32"/>
  <c i="4" r="E33"/>
  <c i="4" r="E34"/>
  <c i="4" r="E35"/>
  <c i="4" r="E36"/>
  <c i="4" r="E37"/>
  <c i="4" r="E38"/>
  <c i="4" r="E39"/>
  <c i="4" r="E40"/>
  <c i="4" r="E41"/>
  <c i="4" r="E42"/>
  <c i="4" r="E43"/>
  <c i="4" r="E44"/>
  <c i="4" r="E45"/>
  <c i="4" r="E46"/>
  <c i="4" r="E47"/>
  <c i="4" r="E48"/>
  <c i="4" r="E49"/>
  <c i="4" r="E50"/>
  <c i="4" r="E51"/>
  <c i="4" r="E52"/>
  <c i="4" r="E53"/>
  <c i="4" r="E54"/>
  <c i="4" r="E55"/>
  <c i="4" r="E56"/>
  <c i="4" r="E57"/>
  <c i="4" r="E58"/>
  <c i="4" r="E59"/>
  <c i="4" r="E60"/>
  <c i="4" r="E61"/>
  <c i="4" r="E62"/>
  <c i="4" r="E63"/>
  <c i="4" r="E64"/>
  <c i="4" r="E65"/>
  <c i="4" r="E66"/>
  <c i="4" r="E67"/>
  <c i="4" r="E68"/>
  <c i="4" r="E69"/>
  <c i="4" r="E70"/>
  <c i="4" r="E71"/>
  <c i="4" r="E72"/>
  <c i="4" r="E73"/>
  <c i="4" r="E74"/>
  <c i="4" r="E75"/>
  <c i="4" r="E76"/>
  <c i="4" r="E77"/>
  <c i="4" r="E78"/>
  <c i="4" r="E79"/>
  <c i="4" r="E80"/>
  <c i="4" r="E81"/>
  <c i="4" r="E82"/>
  <c i="4" r="E83"/>
  <c i="4" r="E84"/>
  <c i="4" r="E85"/>
  <c i="4" r="E86"/>
  <c i="4" r="E87"/>
  <c i="4" r="E88"/>
  <c i="4" r="E89"/>
  <c i="4" r="E90"/>
  <c i="4" r="E91"/>
  <c i="4" r="E92"/>
  <c i="4" r="E93"/>
  <c i="4" r="E94"/>
  <c i="4" r="E95"/>
  <c i="4" r="E96"/>
  <c i="4" r="E97"/>
  <c i="4" r="E98"/>
  <c i="4" r="E99"/>
  <c i="4" r="E100"/>
  <c i="4" r="E101"/>
  <c i="10" r="E22" s="1"/>
  <c i="4" r="E11"/>
  <c i="3" r="E101"/>
  <c i="10" l="1" r="E11"/>
  <c i="10" r="E20"/>
  <c i="10" r="E21"/>
  <c i="10" r="E19"/>
  <c i="10" r="E15"/>
  <c i="10" r="E16"/>
  <c i="10" r="E12"/>
  <c i="10" r="E17"/>
  <c i="10" r="E13"/>
  <c i="10" r="E18"/>
  <c i="10" r="E14"/>
</calcChain>
</file>

<file path=xl/sharedStrings.xml><?xml version="1.0" encoding="utf-8"?>
<sst xmlns="http://schemas.openxmlformats.org/spreadsheetml/2006/main" count="673" uniqueCount="260">
  <si>
    <t>Trip Duration Frequency Distribution</t>
  </si>
  <si>
    <t>Trip Length Frequency Distribution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</si>
  <si>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</si>
  <si>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</si>
  <si>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</si>
  <si>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</si>
  <si>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</si>
  <si>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</si>
  <si>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</si>
  <si>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</si>
  <si>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</si>
  <si>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</si>
  <si>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</si>
  <si>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Time (min)</t>
  </si>
  <si>
    <t>Aggregate Trip Duration Frequency Distribution</t>
  </si>
  <si>
    <t>Less than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</si>
  <si>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</si>
  <si>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</si>
  <si>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</si>
  <si>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</si>
  <si>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</si>
  <si>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</si>
  <si>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</si>
  <si>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</si>
  <si>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59</t>
  </si>
  <si>
    <t>60 to 89</t>
  </si>
  <si>
    <t>90 or more</t>
  </si>
  <si>
    <t>County-level School Flows</t>
  </si>
  <si>
    <t>Table X. Estimated Student Flows by County</t>
  </si>
  <si>
    <t>County-level Work at Home Shares</t>
  </si>
  <si>
    <t>A person is assumed to work from home if the HH coordinates are exactly the same as the usual workplace coordinates</t>
  </si>
  <si>
    <t>Table X. Estimated Counts by County</t>
  </si>
  <si>
    <t>Table X. Estimated School at Home Counts by County</t>
  </si>
  <si>
    <t>Table X. Estimated School at Home Shares by County</t>
  </si>
  <si>
    <t>Table X. Average Trip Length</t>
  </si>
  <si>
    <t>DaySim</t>
  </si>
  <si>
    <t>Table X. Average Trip Duration</t>
  </si>
  <si>
    <t>Table X. Estimated-Observed Student Flows by County</t>
  </si>
  <si>
    <t>ESTIMATED STUDENT FLOWS</t>
  </si>
  <si>
    <t>EST-OBS STUDENT FLOWS</t>
  </si>
  <si>
    <t>AVG TRIP LENGTH</t>
  </si>
  <si>
    <t>Ch515</t>
  </si>
  <si>
    <t>Stu16</t>
  </si>
  <si>
    <t>Unistu</t>
  </si>
  <si>
    <t>NHTS Preparation</t>
  </si>
  <si>
    <t>Steps for generating distributions of commute time and distance</t>
  </si>
  <si>
    <t>AM Auto skims (time and distance) were merged into person file using origin (HH) and destination (school) TAZ ids</t>
  </si>
  <si>
    <t>In NHTS data, persons whose home coordinates matched their usual school coordinates were filtered out since this would mean they study at home</t>
  </si>
  <si>
    <t>In case of DaySim, home and school parcel IDs were matched to filter out school at home cases</t>
  </si>
  <si>
    <t>Distributions of HH TAZ -to- School TAZ distance and time were then derived from the population</t>
  </si>
  <si>
    <t>In NHTS, PPTYP was used to determine the class of student whereas in DaySim, PERSTYPE was used</t>
  </si>
  <si>
    <t>Ch04</t>
  </si>
  <si>
    <t>UniStu</t>
  </si>
  <si>
    <t>5-15 yrs</t>
  </si>
  <si>
    <t>0-4 yrs</t>
  </si>
  <si>
    <t>16+ yrs</t>
  </si>
  <si>
    <t>University and adult students</t>
  </si>
  <si>
    <t>PPTYP = 8</t>
  </si>
  <si>
    <t>PPTYP = 7</t>
  </si>
  <si>
    <t>PPTYP = 6</t>
  </si>
  <si>
    <t>PPTYP &gt;= 1 and PPTYP &lt;= 5</t>
  </si>
  <si>
    <t>Steps for generating county student flows</t>
  </si>
  <si>
    <t>Home and school county codes were merged using a correspondence between TAZs and counties</t>
  </si>
  <si>
    <t>A crosstabulation of home and school counties created the student flow table</t>
  </si>
  <si>
    <t>Steps for generating school at home shares</t>
  </si>
  <si>
    <t>All persons for whom a non-zero usual school location (coordinates/TAZ for NHTS and DaySim respectively) existed were designated as the pool of students</t>
  </si>
  <si>
    <t>Within those, persons with same home and school coordinates/parcels (for NHTS and DaySim respectively) were assumed to be studying at home</t>
  </si>
  <si>
    <t>The shares were calculated as the ratio of the values in steps 2 and 1 and were segmented by county and the four student types</t>
  </si>
  <si>
    <t>Table X. Difference School at Home Counts by County</t>
  </si>
  <si>
    <t>Table X. Difference Counts by County</t>
  </si>
  <si>
    <t>Table X. Difference School at Home Shares by County</t>
  </si>
  <si>
    <t>Beta00001</t>
  </si>
  <si>
    <t>T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</si>
  <si>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</si>
  <si>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</si>
  <si>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</si>
  <si>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</si>
  <si>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</si>
  <si>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</si>
  <si>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</si>
  <si>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</si>
  <si>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</si>
  <si>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</si>
  <si>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</si>
  <si>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</si>
  <si>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</si>
  <si>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</si>
  <si>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</si>
  <si>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</si>
  <si>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</si>
  <si>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</si>
  <si>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</si>
  <si>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</si>
  <si>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</si>
  <si>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</si>
  <si>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</si>
  <si>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</si>
  <si>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</si>
  <si>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</si>
  <si>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</si>
  <si>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</si>
  <si>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</si>
  <si>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Beta00050</t>
  </si>
  <si>
    <t>F</t>
  </si>
  <si>
    <t>Beta00051</t>
  </si>
  <si>
    <t>Beta00052</t>
  </si>
  <si>
    <t>LSM_060</t>
  </si>
  <si>
    <t>Gamma61</t>
  </si>
  <si>
    <t>Gamma62</t>
  </si>
  <si>
    <t>Gamma63</t>
  </si>
  <si>
    <t>Gamma64</t>
  </si>
  <si>
    <t>Gamma65</t>
  </si>
  <si>
    <t>Gamma66</t>
  </si>
  <si>
    <t>Gamma67</t>
  </si>
  <si>
    <t>Gamma68</t>
  </si>
  <si>
    <t>Gamma69</t>
  </si>
  <si>
    <t>Gamma70</t>
  </si>
  <si>
    <t>Gamma71</t>
  </si>
  <si>
    <t>Gamma72</t>
  </si>
  <si>
    <t>Gamma73</t>
  </si>
  <si>
    <t>Gamma74</t>
  </si>
  <si>
    <t>Gamma75</t>
  </si>
  <si>
    <t>Gamma76</t>
  </si>
  <si>
    <t>Gamma77</t>
  </si>
  <si>
    <t>Gamma78</t>
  </si>
  <si>
    <t>Gamma79</t>
  </si>
  <si>
    <t>Gamma80</t>
  </si>
  <si>
    <t>Gamma81</t>
  </si>
  <si>
    <t>Gamma82</t>
  </si>
  <si>
    <t>Gamma83</t>
  </si>
  <si>
    <t>Gamma84</t>
  </si>
  <si>
    <t>Gamma0098</t>
  </si>
  <si>
    <t>Nest</t>
  </si>
  <si>
    <t>Index</t>
  </si>
  <si>
    <t>Descr</t>
  </si>
  <si>
    <t>Coeff</t>
  </si>
  <si>
    <t>IsStudentAge</t>
  </si>
  <si>
    <t>Household.Size</t>
  </si>
  <si>
    <t>IsAdult ? destinationParcel.ShadowPriceForStudentsUniversity : destinationParcel.ShadowPriceForStudentsK12</t>
  </si>
  <si>
    <t>IsChildUnder5* schoolTourLogsum</t>
  </si>
  <si>
    <t>IsChildAge5Through15* schoolTourLogsum</t>
  </si>
  <si>
    <t>IsDrivingAgeStudent* schoolTourLogsum</t>
  </si>
  <si>
    <t>IsUniversityStudent* schoolTourLogsum</t>
  </si>
  <si>
    <t>IsChildUnder5* distance1</t>
  </si>
  <si>
    <t>IsChildUnder5* distance2</t>
  </si>
  <si>
    <t>IsChildUnder5* distance3</t>
  </si>
  <si>
    <t>IsChildAge5Through15* distance1</t>
  </si>
  <si>
    <t>IsChildAge5Through15* distance2</t>
  </si>
  <si>
    <t>IsChildAge5Through15* distance3</t>
  </si>
  <si>
    <t>IsDrivingAgeStudent* distanceLog</t>
  </si>
  <si>
    <t>IsUniversityStudent* distanceLog</t>
  </si>
  <si>
    <t>IsChildUnder5* aggregateLogsum</t>
  </si>
  <si>
    <t>IsChildAge5Through15* aggregateLogsum</t>
  </si>
  <si>
    <t>IsDrivingAgeStudent* aggregateLogsum</t>
  </si>
  <si>
    <t>IsUniversityStudent* aggregateLogsum</t>
  </si>
  <si>
    <t>IsChildUnder5* householdsBuffer2</t>
  </si>
  <si>
    <t>IsChildUnder5* studentsHighSchoolBuffer1</t>
  </si>
  <si>
    <t>IsChildUnder5* employmentTotalBuffer2</t>
  </si>
  <si>
    <t>IsChildAge5Through15* studentsK8Buffer1</t>
  </si>
  <si>
    <t>IsDrivingAgeStudent* studentsHighSchoolBuffer1</t>
  </si>
  <si>
    <t>IsUniversityStudent* educationBuffer1</t>
  </si>
  <si>
    <t>IsAdult* studentsUniversityBuffer1</t>
  </si>
  <si>
    <t>IsAdult* studentsUniversityBuffer2</t>
  </si>
  <si>
    <t>IsAdult* studentsK8Buffer1</t>
  </si>
  <si>
    <t>IsChildUnder5* destinationParcel.EmploymentEducation</t>
  </si>
  <si>
    <t>IsChildUnder5* destinationParcel.EmploymentService</t>
  </si>
  <si>
    <t>IsChildUnder5* destinationParcel.EmploymentOffice</t>
  </si>
  <si>
    <t>IsChildUnder5* destinationParcel.EmploymentTotal</t>
  </si>
  <si>
    <t>IsChildUnder5* 10.0 * destinationParcel.Households</t>
  </si>
  <si>
    <t>IsChildUnder5* destinationParcel.StudentsK8</t>
  </si>
  <si>
    <t>IsChildAge5Through15* destinationParcel.EmploymentEducation</t>
  </si>
  <si>
    <t>IsChildAge5Through15* destinationParcel.EmploymentService</t>
  </si>
  <si>
    <t>IsChildAge5Through15* destinationParcel.StudentsHighSchool</t>
  </si>
  <si>
    <t>IsChildAge5Through15* destinationParcel.EmploymentTotal</t>
  </si>
  <si>
    <t>IsChildAge5Through15* 10.0 * destinationParcel.Households</t>
  </si>
  <si>
    <t>IsChildAge5Through15* destinationParcel.StudentsK8</t>
  </si>
  <si>
    <t>IsDrivingAgeStudent* destinationParcel.EmploymentEducation</t>
  </si>
  <si>
    <t>IsDrivingAgeStudent* destinationParcel.EmploymentService</t>
  </si>
  <si>
    <t>IsDrivingAgeStudent* destinationParcel.EmploymentOffice</t>
  </si>
  <si>
    <t>IsDrivingAgeStudent* destinationParcel.EmploymentTotal</t>
  </si>
  <si>
    <t>IsDrivingAgeStudent* 10.0 * destinationParcel.Households</t>
  </si>
  <si>
    <t>IsDrivingAgeStudent* destinationParcel.StudentsHighSchool</t>
  </si>
  <si>
    <t>IsAdult* destinationParcel.EmploymentEducation</t>
  </si>
  <si>
    <t>IsAdult* destinationParcel.EmploymentService</t>
  </si>
  <si>
    <t>IsAdult* destinationParcel.EmploymentOffice</t>
  </si>
  <si>
    <t>IsAdult* destinationParcel.EmploymentTotal</t>
  </si>
  <si>
    <t>IsAdult* destinationParcel.StudentsUniversity</t>
  </si>
  <si>
    <t>IsAdult* destinationParcel.StudentsHighSchool</t>
  </si>
  <si>
    <t>IsStudentAge* schoolTourLogsum</t>
  </si>
  <si>
    <t>IsStudentAge* distanceLog</t>
  </si>
  <si>
    <t>IsStudentAge* distanceFromWork</t>
  </si>
  <si>
    <t>IsStudentAge* aggregateLogsum</t>
  </si>
  <si>
    <t>Table X. Observed Trip Lengths: Survey</t>
  </si>
  <si>
    <t>Table X. Observed Trip Durations: Survey</t>
  </si>
  <si>
    <t>Table X. Observed Student Flows by County: Survey</t>
  </si>
  <si>
    <t>Table X. Observed Student Flows by County: Survey (Adjusted)</t>
  </si>
  <si>
    <t>ADJ OBS STUDENT FLOWS: Survey</t>
  </si>
  <si>
    <t>Table X. Weighted Counts by County: Survey</t>
  </si>
  <si>
    <t>Table X. Weighted School at Home Shares by County: Survey</t>
  </si>
  <si>
    <t>Table X. Weighted School at Home Counts by County: Survey</t>
  </si>
  <si>
    <t>Survey</t>
  </si>
  <si>
    <t>Instructions:</t>
  </si>
  <si>
    <t>Open "WorkLocationCoefficients_SACOG-v1.5.F12" ini Notepad+</t>
  </si>
  <si>
    <t>Select all(ctrl+A)</t>
  </si>
  <si>
    <t>Paste in cell A8</t>
  </si>
  <si>
    <t>Go to "Data" --&gt;Text to Columns - Select "Delimited" ---&gt; "Space" ---&gt; Finish</t>
  </si>
  <si>
    <t>SchoolLocation</t>
  </si>
  <si>
    <t>(svn</t>
  </si>
  <si>
    <t>v1801;</t>
  </si>
  <si>
    <t>SACOG2000</t>
  </si>
  <si>
    <t>MNL</t>
  </si>
  <si>
    <t>v1902,</t>
  </si>
  <si>
    <t>NL</t>
  </si>
  <si>
    <t>v2001)</t>
  </si>
  <si>
    <t>Created</t>
  </si>
  <si>
    <t>by</t>
  </si>
  <si>
    <t>ALOGIT</t>
  </si>
  <si>
    <t>version</t>
  </si>
  <si>
    <t>on</t>
  </si>
  <si>
    <t>May</t>
  </si>
  <si>
    <t>END</t>
  </si>
  <si>
    <t>012:08:36</t>
  </si>
  <si>
    <t>Count</t>
  </si>
  <si>
    <t>Model</t>
  </si>
  <si>
    <t>CH515(0-1)</t>
  </si>
  <si>
    <t>SAH</t>
  </si>
  <si>
    <t>CH515(1-5)</t>
  </si>
  <si>
    <t>CH515(5+)</t>
  </si>
  <si>
    <t>Ratio</t>
  </si>
  <si>
    <t>Adj.</t>
  </si>
  <si>
    <t>Old Coeff.</t>
  </si>
  <si>
    <t>New Coeff.</t>
  </si>
  <si>
    <t>Coeff. Index</t>
  </si>
  <si>
    <t>Old</t>
  </si>
  <si>
    <t>New</t>
  </si>
  <si>
    <t>SchoolLocationCoefficients_SACOG-v1.8.F12</t>
  </si>
  <si>
    <t>(Do the paste in UltraEdit, in column mode from 20-38)</t>
  </si>
  <si>
    <t>Paste in the "SchoolLocationCoefficients_SACOG-v1.8.F12"</t>
  </si>
  <si>
    <t>School At Home</t>
  </si>
  <si>
    <t>Copy cells U3:U62</t>
  </si>
  <si>
    <t>Share</t>
  </si>
  <si>
    <t>Calibration:</t>
  </si>
  <si>
    <t>Do School at home calibration first</t>
  </si>
  <si>
    <t>Then do distance segmented coefficients</t>
  </si>
  <si>
    <t>Attenuation factors</t>
  </si>
  <si>
    <t>This column added after figuring that lower bin affecting the adjustments a lot</t>
  </si>
  <si>
    <t>Also, third bin seems to be more sensitive</t>
  </si>
  <si>
    <t>Observed Sources: Survey</t>
  </si>
  <si>
    <t>Observed distance (in miles) based on joining AM peak SOV skim values to HH survey</t>
  </si>
  <si>
    <t>Observed duration (in minutes) based on joining  AM peak SOV skim values to HH survey</t>
  </si>
  <si>
    <t xml:space="preserve">Observed Sources: Survey </t>
  </si>
  <si>
    <t>Observed duration (in minutes) based on joining AM peak SOV skim values to HH survey</t>
  </si>
  <si>
    <t>BKRCast (LODES)</t>
  </si>
  <si>
    <t>Seattle</t>
  </si>
  <si>
    <t>Bellevue</t>
  </si>
  <si>
    <t>Bellevue Downtown</t>
  </si>
  <si>
    <t>Kirkland</t>
  </si>
  <si>
    <t>Redmond</t>
  </si>
  <si>
    <t>Seattle Downtown</t>
  </si>
  <si>
    <t>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</si>
</sst>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"/>
    <numFmt numFmtId="168" formatCode="_(* #,##0_);_(* \(#,##0\);_(* &quot;-&quot;??_);_(@_)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5" fontId="4" numFmtId="0">
      <alignment wrapText="1"/>
    </xf>
    <xf borderId="0" fillId="0" fontId="4" numFmtId="165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165">
      <alignment wrapText="1"/>
    </xf>
    <xf applyAlignment="0" applyBorder="0" applyFill="0" applyFont="0" applyProtection="0" borderId="0" fillId="0" fontId="4" numFmtId="43"/>
  </cellStyleXfs>
  <cellXfs count="88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3" fillId="0" fontId="0" numFmtId="0" xfId="0"/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Border="1" borderId="4" fillId="0" fontId="0" numFmtId="0" xfId="0"/>
    <xf applyNumberFormat="1" borderId="0" fillId="0" fontId="0" numFmtId="1" xfId="0"/>
    <xf applyBorder="1" applyNumberFormat="1" borderId="1" fillId="0" fontId="0" numFmtId="1" xfId="0"/>
    <xf applyBorder="1" applyFill="1" borderId="0" fillId="0" fontId="0" numFmtId="0" xfId="0"/>
    <xf applyNumberFormat="1" borderId="0" fillId="0" fontId="0" numFmtId="10" xfId="0"/>
    <xf applyBorder="1" applyNumberFormat="1" borderId="4" fillId="0" fontId="0" numFmtId="10" xfId="0"/>
    <xf applyBorder="1" applyNumberFormat="1" borderId="3" fillId="0" fontId="0" numFmtId="2" xfId="0"/>
    <xf applyBorder="1" applyNumberFormat="1" borderId="4" fillId="0" fontId="0" numFmtId="2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Fill="1" applyNumberFormat="1" borderId="3" fillId="0" fontId="0" numFmtId="3" xfId="0"/>
    <xf applyBorder="1" applyNumberFormat="1" borderId="1" fillId="0" fontId="0" numFmtId="3" xfId="0"/>
    <xf applyBorder="1" applyFill="1" applyNumberFormat="1" borderId="0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Border="1" applyFill="1" applyFont="1" borderId="2" fillId="2" fontId="3" numFmtId="0" xfId="0"/>
    <xf applyAlignment="1" applyBorder="1" applyFill="1" applyFont="1" borderId="2" fillId="2" fontId="3" numFmtId="0" xfId="0">
      <alignment horizontal="center"/>
    </xf>
    <xf applyFill="1" borderId="0" fillId="3" fontId="0" numFmtId="0" xfId="0"/>
    <xf applyFill="1" applyNumberFormat="1" borderId="0" fillId="3" fontId="0" numFmtId="164" xfId="0"/>
    <xf applyBorder="1" applyNumberFormat="1" borderId="0" fillId="0" fontId="0" numFmtId="2" xfId="0"/>
    <xf applyAlignment="1" applyBorder="1" applyFill="1" applyFont="1" borderId="2" fillId="2" fontId="3" numFmtId="0" xfId="0">
      <alignment horizontal="center" vertical="top"/>
    </xf>
    <xf applyFill="1" borderId="0" fillId="4" fontId="0" numFmtId="0" xfId="0"/>
    <xf applyFill="1" applyNumberFormat="1" borderId="0" fillId="4" fontId="0" numFmtId="164" xfId="0"/>
    <xf applyBorder="1" applyFill="1" borderId="1" fillId="4" fontId="0" numFmtId="0" xfId="0"/>
    <xf applyBorder="1" applyFill="1" applyNumberFormat="1" borderId="1" fillId="4" fontId="0" numFmtId="164" xfId="0"/>
    <xf applyBorder="1" applyFill="1" applyFont="1" borderId="1" fillId="4" fontId="1" numFmtId="0" xfId="0"/>
    <xf applyBorder="1" applyFill="1" applyNumberFormat="1" borderId="1" fillId="4" fontId="0" numFmtId="3" xfId="0"/>
    <xf applyFont="1" borderId="0" fillId="0" fontId="0" numFmtId="0" xfId="0"/>
    <xf applyBorder="1" applyFont="1" applyNumberFormat="1" borderId="1" fillId="0" fontId="1" numFmtId="3" xfId="0"/>
    <xf applyBorder="1" applyNumberFormat="1" borderId="2" fillId="0" fontId="0" numFmtId="3" xfId="0"/>
    <xf applyAlignment="1" applyBorder="1" applyNumberFormat="1" borderId="2" fillId="0" fontId="0" numFmtId="3" xfId="0">
      <alignment horizontal="center"/>
    </xf>
    <xf applyBorder="1" applyNumberFormat="1" borderId="4" fillId="0" fontId="0" numFmtId="164" xfId="0"/>
    <xf applyBorder="1" applyFont="1" borderId="0" fillId="0" fontId="1" numFmtId="0" xfId="0"/>
    <xf applyAlignment="1" applyBorder="1" borderId="0" fillId="0" fontId="0" numFmtId="0" xfId="0">
      <alignment horizontal="center"/>
    </xf>
    <xf applyBorder="1" applyFill="1" borderId="3" fillId="4" fontId="0" numFmtId="0" xfId="0"/>
    <xf applyBorder="1" applyFill="1" applyNumberFormat="1" borderId="3" fillId="4" fontId="0" numFmtId="164" xfId="0"/>
    <xf applyBorder="1" applyNumberFormat="1" borderId="0" fillId="0" fontId="0" numFmtId="10" xfId="0"/>
    <xf applyBorder="1" applyNumberFormat="1" borderId="0" fillId="0" fontId="0" numFmtId="164" xfId="0"/>
    <xf applyFont="1" borderId="0" fillId="0" fontId="5" numFmtId="0" xfId="0"/>
    <xf applyBorder="1" applyNumberFormat="1" borderId="4" fillId="0" fontId="0" numFmtId="3" xfId="0"/>
    <xf applyNumberFormat="1" borderId="0" fillId="0" fontId="0" numFmtId="11" xfId="0"/>
    <xf applyFont="1" borderId="0" fillId="0" fontId="6" numFmtId="0" xfId="0"/>
    <xf applyNumberFormat="1" borderId="0" fillId="0" fontId="0" numFmtId="21" xfId="0"/>
    <xf applyFont="1" applyNumberFormat="1" borderId="0" fillId="0" fontId="0" numFmtId="3" xfId="0"/>
    <xf applyAlignment="1" applyBorder="1" applyFill="1" borderId="0" fillId="0" fontId="0" numFmtId="0" xfId="0">
      <alignment horizontal="center" vertical="top"/>
    </xf>
    <xf applyNumberFormat="1" borderId="0" fillId="0" fontId="0" numFmtId="166" xfId="0"/>
    <xf applyFill="1" applyNumberFormat="1" borderId="0" fillId="6" fontId="0" numFmtId="166" xfId="0"/>
    <xf applyFill="1" borderId="0" fillId="7" fontId="0" numFmtId="0" xfId="0"/>
    <xf applyFill="1" applyNumberFormat="1" borderId="0" fillId="7" fontId="0" numFmtId="166" xfId="0"/>
    <xf applyFont="1" applyNumberFormat="1" borderId="0" fillId="0" fontId="6" numFmtId="3" xfId="0"/>
    <xf applyBorder="1" applyFont="1" applyNumberFormat="1" borderId="5" fillId="0" fontId="0" numFmtId="3" xfId="0"/>
    <xf applyBorder="1" borderId="5" fillId="0" fontId="0" numFmtId="0" xfId="0"/>
    <xf applyBorder="1" applyNumberFormat="1" borderId="5" fillId="0" fontId="0" numFmtId="2" xfId="0"/>
    <xf applyBorder="1" applyFont="1" applyNumberFormat="1" borderId="0" fillId="0" fontId="0" numFmtId="3" xfId="0"/>
    <xf applyBorder="1" applyNumberFormat="1" borderId="0" fillId="0" fontId="0" numFmtId="1" xfId="0"/>
    <xf applyBorder="1" applyFont="1" applyNumberFormat="1" borderId="3" fillId="0" fontId="0" numFmtId="3" xfId="0"/>
    <xf applyAlignment="1" applyBorder="1" borderId="0" fillId="0" fontId="0" numFmtId="0" xfId="0">
      <alignment horizontal="center" vertical="top"/>
    </xf>
    <xf applyBorder="1" applyFont="1" applyNumberFormat="1" borderId="4" fillId="0" fontId="0" numFmtId="3" xfId="0"/>
    <xf applyNumberFormat="1" borderId="0" fillId="0" fontId="0" numFmtId="9" xfId="0"/>
    <xf applyBorder="1" applyNumberFormat="1" borderId="1" fillId="0" fontId="0" numFmtId="9" xfId="0"/>
    <xf applyBorder="1" applyNumberFormat="1" borderId="3" fillId="0" fontId="0" numFmtId="166" xfId="0"/>
    <xf applyBorder="1" applyNumberFormat="1" borderId="3" fillId="0" fontId="0" numFmtId="9" xfId="0"/>
    <xf applyBorder="1" applyFont="1" borderId="0" fillId="0" fontId="6" numFmtId="0" xfId="0"/>
    <xf applyBorder="1" applyNumberFormat="1" borderId="5" fillId="0" fontId="0" numFmtId="164" xfId="0"/>
    <xf applyBorder="1" applyNumberFormat="1" borderId="3" fillId="0" fontId="0" numFmtId="167" xfId="0"/>
    <xf applyBorder="1" applyNumberFormat="1" borderId="5" fillId="0" fontId="0" numFmtId="167" xfId="0"/>
    <xf applyBorder="1" applyFont="1" borderId="0" fillId="0" fontId="7" numFmtId="0" xfId="0"/>
    <xf applyBorder="1" applyFont="1" applyNumberFormat="1" borderId="5" fillId="0" fontId="0" numFmtId="168" xfId="8"/>
    <xf applyBorder="1" applyFont="1" applyNumberFormat="1" borderId="4" fillId="0" fontId="0" numFmtId="168" xfId="8"/>
    <xf applyFont="1" applyNumberFormat="1" borderId="0" fillId="0" fontId="0" numFmtId="168" xfId="8"/>
    <xf applyBorder="1" applyFont="1" applyNumberFormat="1" borderId="1" fillId="0" fontId="0" numFmtId="168" xfId="8"/>
    <xf applyAlignment="1" applyFont="1" applyNumberFormat="1" borderId="0" fillId="0" fontId="2" numFmtId="168" xfId="8"/>
    <xf applyBorder="1" applyFont="1" applyNumberFormat="1" borderId="3" fillId="0" fontId="0" numFmtId="168" xfId="8"/>
    <xf applyBorder="1" applyFont="1" applyNumberFormat="1" borderId="0" fillId="0" fontId="0" numFmtId="168" xfId="8"/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theme/theme1.xml" Type="http://schemas.openxmlformats.org/officeDocument/2006/relationships/theme"/>
<Relationship Id="rId11" Target="styles.xml" Type="http://schemas.openxmlformats.org/officeDocument/2006/relationships/styles"/>
<Relationship Id="rId12" Target="sharedStrings.xml" Type="http://schemas.openxmlformats.org/officeDocument/2006/relationships/sharedStrings"/>
<Relationship Id="rId13" Target="calcChain.xml" Type="http://schemas.openxmlformats.org/officeDocument/2006/relationships/calcChain"/>
<Relationship Id="rId14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262337806365801"/>
          <c:y val="5.1400554097404488E-2"/>
          <c:w val="0.8482377730952644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TLFD!$E$11:$E$71</c:f>
              <c:numCache>
                <c:formatCode>_(* #,##0_);_(* \(#,##0\);_(* "-"??_);_(@_)</c:formatCode>
                <c:ptCount val="61"/>
                <c:pt idx="0">
                  <c:v>28283.803500000002</c:v>
                </c:pt>
                <c:pt idx="1">
                  <c:v>37057.117700000003</c:v>
                </c:pt>
                <c:pt idx="2">
                  <c:v>41808.894600000007</c:v>
                </c:pt>
                <c:pt idx="3">
                  <c:v>61176.952599999997</c:v>
                </c:pt>
                <c:pt idx="4">
                  <c:v>124119.2781</c:v>
                </c:pt>
                <c:pt idx="5">
                  <c:v>55653.2886</c:v>
                </c:pt>
                <c:pt idx="6">
                  <c:v>93708.412800000006</c:v>
                </c:pt>
                <c:pt idx="7">
                  <c:v>28200.5867</c:v>
                </c:pt>
                <c:pt idx="8">
                  <c:v>23643.332900000001</c:v>
                </c:pt>
                <c:pt idx="9">
                  <c:v>13889.3331</c:v>
                </c:pt>
                <c:pt idx="10">
                  <c:v>28697.0995</c:v>
                </c:pt>
                <c:pt idx="11">
                  <c:v>11390.559899999998</c:v>
                </c:pt>
                <c:pt idx="12">
                  <c:v>6652.1427999999996</c:v>
                </c:pt>
                <c:pt idx="13">
                  <c:v>2205.5441999999998</c:v>
                </c:pt>
                <c:pt idx="14">
                  <c:v>3804.7914999999998</c:v>
                </c:pt>
                <c:pt idx="15">
                  <c:v>3020.4777000000004</c:v>
                </c:pt>
                <c:pt idx="16">
                  <c:v>6187.3109999999997</c:v>
                </c:pt>
                <c:pt idx="17">
                  <c:v>1403.6229999999998</c:v>
                </c:pt>
                <c:pt idx="18">
                  <c:v>3288.2235000000001</c:v>
                </c:pt>
                <c:pt idx="19">
                  <c:v>1865.4735000000001</c:v>
                </c:pt>
                <c:pt idx="20">
                  <c:v>326.2987</c:v>
                </c:pt>
                <c:pt idx="21">
                  <c:v>6190.7829000000002</c:v>
                </c:pt>
                <c:pt idx="22">
                  <c:v>266.13509999999997</c:v>
                </c:pt>
                <c:pt idx="23">
                  <c:v>3070.7799</c:v>
                </c:pt>
                <c:pt idx="24">
                  <c:v>458.12399999999997</c:v>
                </c:pt>
                <c:pt idx="25">
                  <c:v>87.069000000000003</c:v>
                </c:pt>
                <c:pt idx="26">
                  <c:v>1621.4752000000001</c:v>
                </c:pt>
                <c:pt idx="27">
                  <c:v>569.28390000000002</c:v>
                </c:pt>
                <c:pt idx="28">
                  <c:v>1297.2364</c:v>
                </c:pt>
                <c:pt idx="29">
                  <c:v>31.814</c:v>
                </c:pt>
                <c:pt idx="30">
                  <c:v>13.398999999999999</c:v>
                </c:pt>
                <c:pt idx="31">
                  <c:v>0</c:v>
                </c:pt>
                <c:pt idx="32">
                  <c:v>12.739000000000001</c:v>
                </c:pt>
                <c:pt idx="33">
                  <c:v>10.791</c:v>
                </c:pt>
                <c:pt idx="34">
                  <c:v>78.963099999999997</c:v>
                </c:pt>
                <c:pt idx="35">
                  <c:v>25.786000000000001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4.1280000000000001</c:v>
                </c:pt>
                <c:pt idx="40">
                  <c:v>860.37009999999998</c:v>
                </c:pt>
                <c:pt idx="41">
                  <c:v>0</c:v>
                </c:pt>
                <c:pt idx="42">
                  <c:v>286.72039999999998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468.98939999999999</c:v>
                </c:pt>
                <c:pt idx="49">
                  <c:v>0</c:v>
                </c:pt>
                <c:pt idx="50">
                  <c:v>249.3058</c:v>
                </c:pt>
                <c:pt idx="51">
                  <c:v>0</c:v>
                </c:pt>
                <c:pt idx="52">
                  <c:v>0</c:v>
                </c:pt>
                <c:pt idx="53">
                  <c:v>13.487</c:v>
                </c:pt>
                <c:pt idx="54">
                  <c:v>0</c:v>
                </c:pt>
                <c:pt idx="55">
                  <c:v>3.6749999999999998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DE-4F40-9812-74309F060F03}"/>
            </c:ext>
          </c:extLst>
        </c:ser>
        <c:ser>
          <c:idx val="1"/>
          <c:order val="1"/>
          <c:tx>
            <c:strRef>
              <c:f>TLFD!$K$10</c:f>
              <c:strCache>
                <c:ptCount val="1"/>
                <c:pt idx="0">
                  <c:v>BKRCast (LODES)</c:v>
                </c:pt>
              </c:strCache>
            </c:strRef>
          </c:tx>
          <c:marker>
            <c:symbol val="none"/>
          </c:marker>
          <c:val>
            <c:numRef>
              <c:f>TLFD!$K$11:$K$71</c:f>
              <c:numCache>
                <c:formatCode>_(* #,##0_);_(* \(#,##0\);_(* "-"??_);_(@_)</c:formatCode>
                <c:ptCount val="61"/>
                <c:pt idx="0">
                  <c:v>155137</c:v>
                </c:pt>
                <c:pt idx="1">
                  <c:v>107351</c:v>
                </c:pt>
                <c:pt idx="2">
                  <c:v>60668</c:v>
                </c:pt>
                <c:pt idx="3">
                  <c:v>35584</c:v>
                </c:pt>
                <c:pt idx="4">
                  <c:v>130903</c:v>
                </c:pt>
                <c:pt idx="5">
                  <c:v>59888</c:v>
                </c:pt>
                <c:pt idx="6">
                  <c:v>62581</c:v>
                </c:pt>
                <c:pt idx="7">
                  <c:v>31303</c:v>
                </c:pt>
                <c:pt idx="8">
                  <c:v>37696</c:v>
                </c:pt>
                <c:pt idx="9">
                  <c:v>19926</c:v>
                </c:pt>
                <c:pt idx="10">
                  <c:v>10758</c:v>
                </c:pt>
                <c:pt idx="11">
                  <c:v>10019</c:v>
                </c:pt>
                <c:pt idx="12">
                  <c:v>9750</c:v>
                </c:pt>
                <c:pt idx="13">
                  <c:v>10347</c:v>
                </c:pt>
                <c:pt idx="14">
                  <c:v>5287</c:v>
                </c:pt>
                <c:pt idx="15">
                  <c:v>4618</c:v>
                </c:pt>
                <c:pt idx="16">
                  <c:v>3334</c:v>
                </c:pt>
                <c:pt idx="17">
                  <c:v>3599</c:v>
                </c:pt>
                <c:pt idx="18">
                  <c:v>3448</c:v>
                </c:pt>
                <c:pt idx="19">
                  <c:v>2090</c:v>
                </c:pt>
                <c:pt idx="20">
                  <c:v>1895</c:v>
                </c:pt>
                <c:pt idx="21">
                  <c:v>1810</c:v>
                </c:pt>
                <c:pt idx="22">
                  <c:v>1387</c:v>
                </c:pt>
                <c:pt idx="23">
                  <c:v>1024</c:v>
                </c:pt>
                <c:pt idx="24">
                  <c:v>730</c:v>
                </c:pt>
                <c:pt idx="25">
                  <c:v>673</c:v>
                </c:pt>
                <c:pt idx="26">
                  <c:v>696</c:v>
                </c:pt>
                <c:pt idx="27">
                  <c:v>740</c:v>
                </c:pt>
                <c:pt idx="28">
                  <c:v>591</c:v>
                </c:pt>
                <c:pt idx="29">
                  <c:v>357</c:v>
                </c:pt>
                <c:pt idx="30">
                  <c:v>493</c:v>
                </c:pt>
                <c:pt idx="31">
                  <c:v>452</c:v>
                </c:pt>
                <c:pt idx="32">
                  <c:v>237</c:v>
                </c:pt>
                <c:pt idx="33">
                  <c:v>246</c:v>
                </c:pt>
                <c:pt idx="34">
                  <c:v>1297</c:v>
                </c:pt>
                <c:pt idx="35">
                  <c:v>255</c:v>
                </c:pt>
                <c:pt idx="36">
                  <c:v>163</c:v>
                </c:pt>
                <c:pt idx="37">
                  <c:v>140</c:v>
                </c:pt>
                <c:pt idx="38">
                  <c:v>245</c:v>
                </c:pt>
                <c:pt idx="39">
                  <c:v>172</c:v>
                </c:pt>
                <c:pt idx="40">
                  <c:v>41</c:v>
                </c:pt>
                <c:pt idx="41">
                  <c:v>94</c:v>
                </c:pt>
                <c:pt idx="42">
                  <c:v>51</c:v>
                </c:pt>
                <c:pt idx="43">
                  <c:v>185</c:v>
                </c:pt>
                <c:pt idx="44">
                  <c:v>63</c:v>
                </c:pt>
                <c:pt idx="45">
                  <c:v>193</c:v>
                </c:pt>
                <c:pt idx="46">
                  <c:v>77</c:v>
                </c:pt>
                <c:pt idx="47">
                  <c:v>107</c:v>
                </c:pt>
                <c:pt idx="48">
                  <c:v>38</c:v>
                </c:pt>
                <c:pt idx="49">
                  <c:v>138</c:v>
                </c:pt>
                <c:pt idx="50">
                  <c:v>33</c:v>
                </c:pt>
                <c:pt idx="51">
                  <c:v>59</c:v>
                </c:pt>
                <c:pt idx="52">
                  <c:v>19</c:v>
                </c:pt>
                <c:pt idx="53">
                  <c:v>70</c:v>
                </c:pt>
                <c:pt idx="54">
                  <c:v>11</c:v>
                </c:pt>
                <c:pt idx="55">
                  <c:v>19</c:v>
                </c:pt>
                <c:pt idx="56">
                  <c:v>18</c:v>
                </c:pt>
                <c:pt idx="57">
                  <c:v>2</c:v>
                </c:pt>
                <c:pt idx="58">
                  <c:v>4</c:v>
                </c:pt>
                <c:pt idx="59">
                  <c:v>5</c:v>
                </c:pt>
                <c:pt idx="60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DE-4F40-9812-74309F060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1296976"/>
        <c:axId val="331300112"/>
      </c:lineChart>
      <c:catAx>
        <c:axId val="331296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</a:t>
                </a:r>
                <a:r>
                  <a:rPr baseline="0" lang="en-US"/>
                  <a:t> (miles)</a:t>
                </a:r>
                <a:endParaRPr lang="en-US"/>
              </a:p>
            </c:rich>
          </c:tx>
          <c:overlay val="0"/>
        </c:title>
        <c:majorTickMark val="out"/>
        <c:minorTickMark val="none"/>
        <c:tickLblPos val="nextTo"/>
        <c:crossAx val="331300112"/>
        <c:crosses val="autoZero"/>
        <c:auto val="1"/>
        <c:lblAlgn val="ctr"/>
        <c:lblOffset val="100"/>
        <c:noMultiLvlLbl val="0"/>
      </c:catAx>
      <c:valAx>
        <c:axId val="3313001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baseline="0" lang="en-US"/>
                  <a:t> of Persons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3312969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262337806365805"/>
          <c:y val="5.1400554097404488E-2"/>
          <c:w val="0.8482377730952644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TDFD!$E$11:$E$71</c:f>
              <c:numCache>
                <c:formatCode>_(* #,##0_);_(* \(#,##0\);_(* "-"??_);_(@_)</c:formatCode>
                <c:ptCount val="61"/>
                <c:pt idx="0">
                  <c:v>0</c:v>
                </c:pt>
                <c:pt idx="1">
                  <c:v>6745.1783000000005</c:v>
                </c:pt>
                <c:pt idx="2">
                  <c:v>6033.2902999999997</c:v>
                </c:pt>
                <c:pt idx="3">
                  <c:v>8226.0259000000005</c:v>
                </c:pt>
                <c:pt idx="4">
                  <c:v>11133.814400000001</c:v>
                </c:pt>
                <c:pt idx="5">
                  <c:v>13429.1803</c:v>
                </c:pt>
                <c:pt idx="6">
                  <c:v>7461.1718000000001</c:v>
                </c:pt>
                <c:pt idx="7">
                  <c:v>10962.8501</c:v>
                </c:pt>
                <c:pt idx="8">
                  <c:v>3418.5214999999998</c:v>
                </c:pt>
                <c:pt idx="9">
                  <c:v>11882.283399999998</c:v>
                </c:pt>
                <c:pt idx="10">
                  <c:v>5144.3666000000003</c:v>
                </c:pt>
                <c:pt idx="11">
                  <c:v>9585.0202000000008</c:v>
                </c:pt>
                <c:pt idx="12">
                  <c:v>22760.1551</c:v>
                </c:pt>
                <c:pt idx="13">
                  <c:v>8704.3775999999998</c:v>
                </c:pt>
                <c:pt idx="14">
                  <c:v>13748.096600000001</c:v>
                </c:pt>
                <c:pt idx="15">
                  <c:v>1540.0192</c:v>
                </c:pt>
                <c:pt idx="16">
                  <c:v>29645.162799999998</c:v>
                </c:pt>
                <c:pt idx="17">
                  <c:v>11738.621099999998</c:v>
                </c:pt>
                <c:pt idx="18">
                  <c:v>48306.394099999998</c:v>
                </c:pt>
                <c:pt idx="19">
                  <c:v>29028.595399999998</c:v>
                </c:pt>
                <c:pt idx="20">
                  <c:v>46657.832900000009</c:v>
                </c:pt>
                <c:pt idx="21">
                  <c:v>26928.785100000001</c:v>
                </c:pt>
                <c:pt idx="22">
                  <c:v>27811.2425</c:v>
                </c:pt>
                <c:pt idx="23">
                  <c:v>6255.8771999999999</c:v>
                </c:pt>
                <c:pt idx="24">
                  <c:v>21119.6397</c:v>
                </c:pt>
                <c:pt idx="25">
                  <c:v>15741.9714</c:v>
                </c:pt>
                <c:pt idx="26">
                  <c:v>41901.392099999997</c:v>
                </c:pt>
                <c:pt idx="27">
                  <c:v>6237.0288999999993</c:v>
                </c:pt>
                <c:pt idx="28">
                  <c:v>14996.461899999998</c:v>
                </c:pt>
                <c:pt idx="29">
                  <c:v>8498.5537000000004</c:v>
                </c:pt>
                <c:pt idx="30">
                  <c:v>19811.379900000004</c:v>
                </c:pt>
                <c:pt idx="31">
                  <c:v>8290.7476000000006</c:v>
                </c:pt>
                <c:pt idx="32">
                  <c:v>5669.9252000000006</c:v>
                </c:pt>
                <c:pt idx="33">
                  <c:v>5997.2613999999994</c:v>
                </c:pt>
                <c:pt idx="34">
                  <c:v>14736.835499999999</c:v>
                </c:pt>
                <c:pt idx="35">
                  <c:v>826.43970000000002</c:v>
                </c:pt>
                <c:pt idx="36">
                  <c:v>1609.7055</c:v>
                </c:pt>
                <c:pt idx="37">
                  <c:v>6643.0817999999999</c:v>
                </c:pt>
                <c:pt idx="38">
                  <c:v>6114.2946999999995</c:v>
                </c:pt>
                <c:pt idx="39">
                  <c:v>2063.2050999999997</c:v>
                </c:pt>
                <c:pt idx="40">
                  <c:v>201.06739999999999</c:v>
                </c:pt>
                <c:pt idx="41">
                  <c:v>5718.7871999999998</c:v>
                </c:pt>
                <c:pt idx="42">
                  <c:v>214.2046</c:v>
                </c:pt>
                <c:pt idx="43">
                  <c:v>1068.8702000000001</c:v>
                </c:pt>
                <c:pt idx="44">
                  <c:v>1276.2198000000001</c:v>
                </c:pt>
                <c:pt idx="45">
                  <c:v>21000.450500000003</c:v>
                </c:pt>
                <c:pt idx="46">
                  <c:v>1472.4092000000001</c:v>
                </c:pt>
                <c:pt idx="47">
                  <c:v>988.41480000000001</c:v>
                </c:pt>
                <c:pt idx="48">
                  <c:v>82.013999999999996</c:v>
                </c:pt>
                <c:pt idx="49">
                  <c:v>1436.174</c:v>
                </c:pt>
                <c:pt idx="50">
                  <c:v>742.70370000000003</c:v>
                </c:pt>
                <c:pt idx="51">
                  <c:v>27.320999999999998</c:v>
                </c:pt>
                <c:pt idx="52">
                  <c:v>775.44090000000006</c:v>
                </c:pt>
                <c:pt idx="53">
                  <c:v>227.03720000000001</c:v>
                </c:pt>
                <c:pt idx="54">
                  <c:v>0</c:v>
                </c:pt>
                <c:pt idx="55">
                  <c:v>2513.8201999999997</c:v>
                </c:pt>
                <c:pt idx="56">
                  <c:v>0</c:v>
                </c:pt>
                <c:pt idx="57">
                  <c:v>16.64</c:v>
                </c:pt>
                <c:pt idx="58">
                  <c:v>16.385000000000002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0B-4827-B648-084AD791BE23}"/>
            </c:ext>
          </c:extLst>
        </c:ser>
        <c:ser>
          <c:idx val="1"/>
          <c:order val="1"/>
          <c:tx>
            <c:strRef>
              <c:f>TDFD!$K$10</c:f>
              <c:strCache>
                <c:ptCount val="1"/>
                <c:pt idx="0">
                  <c:v>BKRCast (LODES)</c:v>
                </c:pt>
              </c:strCache>
            </c:strRef>
          </c:tx>
          <c:marker>
            <c:symbol val="none"/>
          </c:marker>
          <c:val>
            <c:numRef>
              <c:f>TDFD!$K$11:$K$71</c:f>
              <c:numCache>
                <c:formatCode>_(* #,##0_);_(* \(#,##0\);_(* "-"??_);_(@_)</c:formatCode>
                <c:ptCount val="61"/>
                <c:pt idx="0">
                  <c:v>51125</c:v>
                </c:pt>
                <c:pt idx="1">
                  <c:v>22337</c:v>
                </c:pt>
                <c:pt idx="2">
                  <c:v>29657</c:v>
                </c:pt>
                <c:pt idx="3">
                  <c:v>32228</c:v>
                </c:pt>
                <c:pt idx="4">
                  <c:v>32345</c:v>
                </c:pt>
                <c:pt idx="5">
                  <c:v>31280</c:v>
                </c:pt>
                <c:pt idx="6">
                  <c:v>29256</c:v>
                </c:pt>
                <c:pt idx="7">
                  <c:v>26207</c:v>
                </c:pt>
                <c:pt idx="8">
                  <c:v>22619</c:v>
                </c:pt>
                <c:pt idx="9">
                  <c:v>19737</c:v>
                </c:pt>
                <c:pt idx="10">
                  <c:v>16931</c:v>
                </c:pt>
                <c:pt idx="11">
                  <c:v>14397</c:v>
                </c:pt>
                <c:pt idx="12">
                  <c:v>13043</c:v>
                </c:pt>
                <c:pt idx="13">
                  <c:v>10440</c:v>
                </c:pt>
                <c:pt idx="14">
                  <c:v>8998</c:v>
                </c:pt>
                <c:pt idx="15">
                  <c:v>8684</c:v>
                </c:pt>
                <c:pt idx="16">
                  <c:v>7126</c:v>
                </c:pt>
                <c:pt idx="17">
                  <c:v>6818</c:v>
                </c:pt>
                <c:pt idx="18">
                  <c:v>93774</c:v>
                </c:pt>
                <c:pt idx="19">
                  <c:v>22832</c:v>
                </c:pt>
                <c:pt idx="20">
                  <c:v>23771</c:v>
                </c:pt>
                <c:pt idx="21">
                  <c:v>30401</c:v>
                </c:pt>
                <c:pt idx="22">
                  <c:v>30110</c:v>
                </c:pt>
                <c:pt idx="23">
                  <c:v>25089</c:v>
                </c:pt>
                <c:pt idx="24">
                  <c:v>18299</c:v>
                </c:pt>
                <c:pt idx="25">
                  <c:v>19947</c:v>
                </c:pt>
                <c:pt idx="26">
                  <c:v>19048</c:v>
                </c:pt>
                <c:pt idx="27">
                  <c:v>15222</c:v>
                </c:pt>
                <c:pt idx="28">
                  <c:v>8118</c:v>
                </c:pt>
                <c:pt idx="29">
                  <c:v>8520</c:v>
                </c:pt>
                <c:pt idx="30">
                  <c:v>13240</c:v>
                </c:pt>
                <c:pt idx="31">
                  <c:v>9925</c:v>
                </c:pt>
                <c:pt idx="32">
                  <c:v>8702</c:v>
                </c:pt>
                <c:pt idx="33">
                  <c:v>5410</c:v>
                </c:pt>
                <c:pt idx="34">
                  <c:v>4814</c:v>
                </c:pt>
                <c:pt idx="35">
                  <c:v>4818</c:v>
                </c:pt>
                <c:pt idx="36">
                  <c:v>5334</c:v>
                </c:pt>
                <c:pt idx="37">
                  <c:v>4204</c:v>
                </c:pt>
                <c:pt idx="38">
                  <c:v>2269</c:v>
                </c:pt>
                <c:pt idx="39">
                  <c:v>2565</c:v>
                </c:pt>
                <c:pt idx="40">
                  <c:v>1884</c:v>
                </c:pt>
                <c:pt idx="41">
                  <c:v>1400</c:v>
                </c:pt>
                <c:pt idx="42">
                  <c:v>1066</c:v>
                </c:pt>
                <c:pt idx="43">
                  <c:v>874</c:v>
                </c:pt>
                <c:pt idx="44">
                  <c:v>1390</c:v>
                </c:pt>
                <c:pt idx="45">
                  <c:v>1189</c:v>
                </c:pt>
                <c:pt idx="46">
                  <c:v>1552</c:v>
                </c:pt>
                <c:pt idx="47">
                  <c:v>741</c:v>
                </c:pt>
                <c:pt idx="48">
                  <c:v>994</c:v>
                </c:pt>
                <c:pt idx="49">
                  <c:v>547</c:v>
                </c:pt>
                <c:pt idx="50">
                  <c:v>588</c:v>
                </c:pt>
                <c:pt idx="51">
                  <c:v>1145</c:v>
                </c:pt>
                <c:pt idx="52">
                  <c:v>759</c:v>
                </c:pt>
                <c:pt idx="53">
                  <c:v>748</c:v>
                </c:pt>
                <c:pt idx="54">
                  <c:v>732</c:v>
                </c:pt>
                <c:pt idx="55">
                  <c:v>203</c:v>
                </c:pt>
                <c:pt idx="56">
                  <c:v>242</c:v>
                </c:pt>
                <c:pt idx="57">
                  <c:v>398</c:v>
                </c:pt>
                <c:pt idx="58">
                  <c:v>214</c:v>
                </c:pt>
                <c:pt idx="59">
                  <c:v>120</c:v>
                </c:pt>
                <c:pt idx="60">
                  <c:v>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0B-4827-B648-084AD791B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1297760"/>
        <c:axId val="331298544"/>
      </c:lineChart>
      <c:catAx>
        <c:axId val="331297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</a:t>
                </a:r>
                <a:r>
                  <a:rPr baseline="0" lang="en-US"/>
                  <a:t> (mins)</a:t>
                </a:r>
                <a:endParaRPr lang="en-US"/>
              </a:p>
            </c:rich>
          </c:tx>
          <c:overlay val="0"/>
        </c:title>
        <c:majorTickMark val="out"/>
        <c:minorTickMark val="none"/>
        <c:tickLblPos val="nextTo"/>
        <c:crossAx val="331298544"/>
        <c:crosses val="autoZero"/>
        <c:auto val="1"/>
        <c:lblAlgn val="ctr"/>
        <c:lblOffset val="100"/>
        <c:noMultiLvlLbl val="0"/>
      </c:catAx>
      <c:valAx>
        <c:axId val="3312985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Persons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3312977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311" footer="0.30000000000000032" header="0.30000000000000032" l="0.70000000000000062" r="0.70000000000000062" t="0.75000000000000311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12</xdr:col>
      <xdr:colOff>19049</xdr:colOff>
      <xdr:row>15</xdr:row>
      <xdr:rowOff>152400</xdr:rowOff>
    </xdr:from>
    <xdr:to>
      <xdr:col>21</xdr:col>
      <xdr:colOff>104774</xdr:colOff>
      <xdr:row>32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11</xdr:col>
      <xdr:colOff>590550</xdr:colOff>
      <xdr:row>16</xdr:row>
      <xdr:rowOff>28574</xdr:rowOff>
    </xdr:from>
    <xdr:to>
      <xdr:col>22</xdr:col>
      <xdr:colOff>19050</xdr:colOff>
      <xdr:row>32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S101"/>
  <sheetViews>
    <sheetView workbookViewId="0">
      <selection activeCell="L21" sqref="L21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3" max="4" bestFit="true" customWidth="true" width="9.5703125" collapsed="true"/>
    <col min="5" max="5" bestFit="true" customWidth="true" width="10.5703125" collapsed="true"/>
    <col min="7" max="7" customWidth="true" width="13.140625" collapsed="true"/>
    <col min="8" max="8" bestFit="true" customWidth="true" width="10.5703125" collapsed="true"/>
    <col min="9" max="10" bestFit="true" customWidth="true" width="9.5703125" collapsed="true"/>
    <col min="11" max="11" bestFit="true" customWidth="true" width="15.85546875" collapsed="true"/>
    <col min="15" max="15" bestFit="true" customWidth="true" width="15.7109375" collapsed="true"/>
  </cols>
  <sheetData>
    <row r="1" spans="1:19" x14ac:dyDescent="0.25">
      <c r="A1" t="s">
        <v>1</v>
      </c>
    </row>
    <row r="2" spans="1:19" x14ac:dyDescent="0.25">
      <c r="A2" t="s">
        <v>247</v>
      </c>
    </row>
    <row r="3" spans="1:19" x14ac:dyDescent="0.25">
      <c r="A3" t="s">
        <v>248</v>
      </c>
    </row>
    <row r="4" spans="1:19" x14ac:dyDescent="0.25">
      <c r="A4" t="s">
        <v>4</v>
      </c>
    </row>
    <row r="5" spans="1:19" x14ac:dyDescent="0.25">
      <c r="A5" t="s">
        <v>5</v>
      </c>
    </row>
    <row r="7" spans="1:19" x14ac:dyDescent="0.25">
      <c r="A7" t="s">
        <v>8</v>
      </c>
    </row>
    <row ht="15.75" r="9" spans="1:19" thickBot="1" x14ac:dyDescent="0.3">
      <c r="A9" s="4" t="s">
        <v>192</v>
      </c>
      <c r="B9" s="1"/>
      <c r="C9" s="1"/>
      <c r="D9" s="1"/>
      <c r="E9" s="1"/>
      <c r="G9" s="4" t="s">
        <v>9</v>
      </c>
      <c r="H9" s="1"/>
      <c r="I9" s="1"/>
      <c r="J9" s="1"/>
      <c r="K9" s="1"/>
      <c r="L9" s="7"/>
      <c r="M9" s="11" t="s">
        <v>34</v>
      </c>
      <c r="Q9" s="11" t="s">
        <v>40</v>
      </c>
    </row>
    <row r="10" spans="1:19" x14ac:dyDescent="0.25">
      <c r="A10" s="2" t="s">
        <v>2</v>
      </c>
      <c r="B10" s="5" t="s">
        <v>41</v>
      </c>
      <c r="C10" s="5" t="s">
        <v>42</v>
      </c>
      <c r="D10" s="5" t="s">
        <v>52</v>
      </c>
      <c r="E10" s="5" t="s">
        <v>200</v>
      </c>
      <c r="G10" s="2" t="s">
        <v>2</v>
      </c>
      <c r="H10" s="5" t="s">
        <v>41</v>
      </c>
      <c r="I10" s="5" t="s">
        <v>42</v>
      </c>
      <c r="J10" s="5" t="s">
        <v>43</v>
      </c>
      <c r="K10" s="5" t="s">
        <v>252</v>
      </c>
      <c r="L10" s="5"/>
      <c r="M10" s="2"/>
      <c r="N10" s="5" t="s">
        <v>200</v>
      </c>
      <c r="O10" s="5" t="s">
        <v>252</v>
      </c>
      <c r="Q10" s="29"/>
      <c r="R10" s="34" t="s">
        <v>200</v>
      </c>
      <c r="S10" s="34" t="s">
        <v>35</v>
      </c>
    </row>
    <row ht="15.75" r="11" spans="1:19" thickBot="1" x14ac:dyDescent="0.3">
      <c r="A11">
        <v>0</v>
      </c>
      <c r="B11" s="83" t="n">
        <v>20622.8836</v>
      </c>
      <c r="C11" s="83" t="n">
        <v>0.0</v>
      </c>
      <c r="D11" s="83" t="n">
        <v>7660.9199</v>
      </c>
      <c r="E11" s="83">
        <f ref="E11:E42" si="0" t="shared">SUM(B11:D11)</f>
        <v>28283.803500000002</v>
      </c>
      <c r="G11">
        <v>0</v>
      </c>
      <c r="H11" s="83" t="n">
        <v>115261.0</v>
      </c>
      <c r="I11" s="83" t="n">
        <v>19236.0</v>
      </c>
      <c r="J11" s="85" t="n">
        <v>21399.0</v>
      </c>
      <c r="K11" s="83">
        <f ref="K11:K42" si="1" t="shared">SUM(H11:J11)</f>
        <v>155137</v>
      </c>
      <c r="M11" t="s">
        <v>41</v>
      </c>
      <c r="N11" s="9" t="n">
        <v>5.295586660763182</v>
      </c>
      <c r="O11" s="9" t="n">
        <v>3.707569033886718</v>
      </c>
      <c r="Q11" s="1" t="s">
        <v>3</v>
      </c>
      <c r="R11" s="10"/>
      <c r="S11" s="10"/>
    </row>
    <row r="12" spans="1:19" x14ac:dyDescent="0.25">
      <c r="A12">
        <v>1</v>
      </c>
      <c r="B12" s="83" t="n">
        <v>32911.2192</v>
      </c>
      <c r="C12" s="83" t="n">
        <v>3301.3162</v>
      </c>
      <c r="D12" s="83" t="n">
        <v>844.5823</v>
      </c>
      <c r="E12" s="83">
        <f si="0" t="shared"/>
        <v>37057.117700000003</v>
      </c>
      <c r="G12">
        <v>1</v>
      </c>
      <c r="H12" s="83" t="n">
        <v>83365.0</v>
      </c>
      <c r="I12" s="83" t="n">
        <v>12725.0</v>
      </c>
      <c r="J12" s="85" t="n">
        <v>11244.0</v>
      </c>
      <c r="K12" s="83">
        <f si="1" t="shared"/>
        <v>107351</v>
      </c>
      <c r="M12" t="s">
        <v>42</v>
      </c>
      <c r="N12" s="9" t="n">
        <v>6.415557529988825</v>
      </c>
      <c r="O12" s="9" t="n">
        <v>5.282329928098565</v>
      </c>
      <c r="R12" s="9"/>
      <c r="S12" s="9"/>
    </row>
    <row r="13" spans="1:19" x14ac:dyDescent="0.25">
      <c r="A13">
        <v>2</v>
      </c>
      <c r="B13" s="83" t="n">
        <v>37425.1108</v>
      </c>
      <c r="C13" s="83" t="n">
        <v>2652.9</v>
      </c>
      <c r="D13" s="83" t="n">
        <v>1730.8838</v>
      </c>
      <c r="E13" s="83">
        <f si="0" t="shared"/>
        <v>41808.894600000007</v>
      </c>
      <c r="G13">
        <v>2</v>
      </c>
      <c r="H13" s="83" t="n">
        <v>45782.0</v>
      </c>
      <c r="I13" s="83" t="n">
        <v>8679.0</v>
      </c>
      <c r="J13" s="85" t="n">
        <v>5685.0</v>
      </c>
      <c r="K13" s="83">
        <f si="1" t="shared"/>
        <v>60668</v>
      </c>
      <c r="M13" s="6" t="s">
        <v>43</v>
      </c>
      <c r="N13" s="18" t="n">
        <v>8.10780648759595</v>
      </c>
      <c r="O13" s="18" t="n">
        <v>8.000804321746454</v>
      </c>
      <c r="Q13" s="7"/>
      <c r="R13" s="33"/>
      <c r="S13" s="33"/>
    </row>
    <row ht="15.75" r="14" spans="1:19" thickBot="1" x14ac:dyDescent="0.3">
      <c r="A14">
        <v>3</v>
      </c>
      <c r="B14" s="83" t="n">
        <v>52295.9745</v>
      </c>
      <c r="C14" s="83" t="n">
        <v>5458.6975</v>
      </c>
      <c r="D14" s="83" t="n">
        <v>3422.2806</v>
      </c>
      <c r="E14" s="83">
        <f si="0" t="shared"/>
        <v>61176.952599999997</v>
      </c>
      <c r="G14">
        <v>3</v>
      </c>
      <c r="H14" s="83" t="n">
        <v>25295.0</v>
      </c>
      <c r="I14" s="83" t="n">
        <v>5870.0</v>
      </c>
      <c r="J14" s="85" t="n">
        <v>4627.0</v>
      </c>
      <c r="K14" s="83">
        <f si="1" t="shared"/>
        <v>35584</v>
      </c>
      <c r="M14" s="1" t="s">
        <v>3</v>
      </c>
      <c r="N14" s="10" t="n">
        <v>5.739509620086852</v>
      </c>
      <c r="O14" s="10" t="n">
        <v>4.910773494531479</v>
      </c>
    </row>
    <row r="15" spans="1:19" x14ac:dyDescent="0.25">
      <c r="A15">
        <v>4</v>
      </c>
      <c r="B15" s="83" t="n">
        <v>99648.9129</v>
      </c>
      <c r="C15" s="83" t="n">
        <v>12602.233</v>
      </c>
      <c r="D15" s="83" t="n">
        <v>11868.1322</v>
      </c>
      <c r="E15" s="83">
        <f si="0" t="shared"/>
        <v>124119.2781</v>
      </c>
      <c r="G15">
        <v>4</v>
      </c>
      <c r="H15" s="83" t="n">
        <v>85782.0</v>
      </c>
      <c r="I15" s="83" t="n">
        <v>22538.0</v>
      </c>
      <c r="J15" s="85" t="n">
        <v>21740.0</v>
      </c>
      <c r="K15" s="83">
        <f si="1" t="shared"/>
        <v>130903</v>
      </c>
    </row>
    <row r="16" spans="1:19" x14ac:dyDescent="0.25">
      <c r="A16">
        <v>5</v>
      </c>
      <c r="B16" s="83" t="n">
        <v>41873.7112</v>
      </c>
      <c r="C16" s="83" t="n">
        <v>8814.9107</v>
      </c>
      <c r="D16" s="83" t="n">
        <v>4964.6667</v>
      </c>
      <c r="E16" s="83">
        <f si="0" t="shared"/>
        <v>55653.2886</v>
      </c>
      <c r="G16">
        <v>5</v>
      </c>
      <c r="H16" s="83" t="n">
        <v>31716.0</v>
      </c>
      <c r="I16" s="83" t="n">
        <v>11294.0</v>
      </c>
      <c r="J16" s="85" t="n">
        <v>20001.0</v>
      </c>
      <c r="K16" s="83">
        <f si="1" t="shared"/>
        <v>59888</v>
      </c>
    </row>
    <row r="17" spans="1:11" x14ac:dyDescent="0.25">
      <c r="A17">
        <v>6</v>
      </c>
      <c r="B17" s="83" t="n">
        <v>72254.489</v>
      </c>
      <c r="C17" s="83" t="n">
        <v>13808.6239</v>
      </c>
      <c r="D17" s="83" t="n">
        <v>7645.2999</v>
      </c>
      <c r="E17" s="83">
        <f si="0" t="shared"/>
        <v>93708.412800000006</v>
      </c>
      <c r="G17">
        <v>6</v>
      </c>
      <c r="H17" s="83" t="n">
        <v>31878.0</v>
      </c>
      <c r="I17" s="83" t="n">
        <v>10917.0</v>
      </c>
      <c r="J17" s="85" t="n">
        <v>15339.0</v>
      </c>
      <c r="K17" s="83">
        <f si="1" t="shared"/>
        <v>62581</v>
      </c>
    </row>
    <row r="18" spans="1:11" x14ac:dyDescent="0.25">
      <c r="A18">
        <v>7</v>
      </c>
      <c r="B18" s="83" t="n">
        <v>20062.4445</v>
      </c>
      <c r="C18" s="83" t="n">
        <v>2110.6226</v>
      </c>
      <c r="D18" s="83" t="n">
        <v>6027.5196</v>
      </c>
      <c r="E18" s="83">
        <f si="0" t="shared"/>
        <v>28200.5867</v>
      </c>
      <c r="G18">
        <v>7</v>
      </c>
      <c r="H18" s="83" t="n">
        <v>15138.0</v>
      </c>
      <c r="I18" s="83" t="n">
        <v>5421.0</v>
      </c>
      <c r="J18" s="85" t="n">
        <v>10447.0</v>
      </c>
      <c r="K18" s="83">
        <f si="1" t="shared"/>
        <v>31303</v>
      </c>
    </row>
    <row r="19" spans="1:11" x14ac:dyDescent="0.25">
      <c r="A19">
        <v>8</v>
      </c>
      <c r="B19" s="83" t="n">
        <v>16886.6081</v>
      </c>
      <c r="C19" s="83" t="n">
        <v>5540.8172</v>
      </c>
      <c r="D19" s="83" t="n">
        <v>1215.9076</v>
      </c>
      <c r="E19" s="83">
        <f si="0" t="shared"/>
        <v>23643.332900000001</v>
      </c>
      <c r="G19">
        <v>8</v>
      </c>
      <c r="H19" s="83" t="n">
        <v>15707.0</v>
      </c>
      <c r="I19" s="83" t="n">
        <v>5544.0</v>
      </c>
      <c r="J19" s="85" t="n">
        <v>13253.0</v>
      </c>
      <c r="K19" s="83">
        <f si="1" t="shared"/>
        <v>37696</v>
      </c>
    </row>
    <row r="20" spans="1:11" x14ac:dyDescent="0.25">
      <c r="A20">
        <v>9</v>
      </c>
      <c r="B20" s="83" t="n">
        <v>9186.5568</v>
      </c>
      <c r="C20" s="83" t="n">
        <v>3760.0686</v>
      </c>
      <c r="D20" s="83" t="n">
        <v>942.7076999999999</v>
      </c>
      <c r="E20" s="83">
        <f si="0" t="shared"/>
        <v>13889.3331</v>
      </c>
      <c r="G20">
        <v>9</v>
      </c>
      <c r="H20" s="83" t="n">
        <v>10262.0</v>
      </c>
      <c r="I20" s="83" t="n">
        <v>4041.0</v>
      </c>
      <c r="J20" s="85" t="n">
        <v>10537.0</v>
      </c>
      <c r="K20" s="83">
        <f si="1" t="shared"/>
        <v>19926</v>
      </c>
    </row>
    <row r="21" spans="1:11" x14ac:dyDescent="0.25">
      <c r="A21">
        <v>10</v>
      </c>
      <c r="B21" s="83" t="n">
        <v>20560.6374</v>
      </c>
      <c r="C21" s="83" t="n">
        <v>3606.0438</v>
      </c>
      <c r="D21" s="83" t="n">
        <v>4530.4183</v>
      </c>
      <c r="E21" s="83">
        <f si="0" t="shared"/>
        <v>28697.0995</v>
      </c>
      <c r="G21">
        <v>10</v>
      </c>
      <c r="H21" s="83" t="n">
        <v>4966.0</v>
      </c>
      <c r="I21" s="83" t="n">
        <v>2031.0</v>
      </c>
      <c r="J21" s="85" t="n">
        <v>2817.0</v>
      </c>
      <c r="K21" s="83">
        <f si="1" t="shared"/>
        <v>10758</v>
      </c>
    </row>
    <row r="22" spans="1:11" x14ac:dyDescent="0.25">
      <c r="A22">
        <v>11</v>
      </c>
      <c r="B22" s="83" t="n">
        <v>9027.6644</v>
      </c>
      <c r="C22" s="83" t="n">
        <v>1609.5451</v>
      </c>
      <c r="D22" s="83" t="n">
        <v>753.3503999999999</v>
      </c>
      <c r="E22" s="83">
        <f si="0" t="shared"/>
        <v>11390.559899999998</v>
      </c>
      <c r="G22">
        <v>11</v>
      </c>
      <c r="H22" s="83" t="n">
        <v>4699.0</v>
      </c>
      <c r="I22" s="83" t="n">
        <v>1971.0</v>
      </c>
      <c r="J22" s="85" t="n">
        <v>4070.0</v>
      </c>
      <c r="K22" s="83">
        <f si="1" t="shared"/>
        <v>10019</v>
      </c>
    </row>
    <row r="23" spans="1:11" x14ac:dyDescent="0.25">
      <c r="A23">
        <v>12</v>
      </c>
      <c r="B23" s="83" t="n">
        <v>2878.1041</v>
      </c>
      <c r="C23" s="83" t="n">
        <v>1171.11</v>
      </c>
      <c r="D23" s="83" t="n">
        <v>2602.9287</v>
      </c>
      <c r="E23" s="83">
        <f si="0" t="shared"/>
        <v>6652.1427999999996</v>
      </c>
      <c r="G23">
        <v>12</v>
      </c>
      <c r="H23" s="83" t="n">
        <v>4506.0</v>
      </c>
      <c r="I23" s="83" t="n">
        <v>1752.0</v>
      </c>
      <c r="J23" s="85" t="n">
        <v>4278.0</v>
      </c>
      <c r="K23" s="83">
        <f si="1" t="shared"/>
        <v>9750</v>
      </c>
    </row>
    <row r="24" spans="1:11" x14ac:dyDescent="0.25">
      <c r="A24">
        <v>13</v>
      </c>
      <c r="B24" s="83" t="n">
        <v>1833.3625</v>
      </c>
      <c r="C24" s="83" t="n">
        <v>0.0</v>
      </c>
      <c r="D24" s="83" t="n">
        <v>372.1817</v>
      </c>
      <c r="E24" s="83">
        <f si="0" t="shared"/>
        <v>2205.5441999999998</v>
      </c>
      <c r="G24">
        <v>13</v>
      </c>
      <c r="H24" s="83" t="n">
        <v>2771.0</v>
      </c>
      <c r="I24" s="83" t="n">
        <v>1423.0</v>
      </c>
      <c r="J24" s="85" t="n">
        <v>3371.0</v>
      </c>
      <c r="K24" s="83">
        <f si="1" t="shared"/>
        <v>10347</v>
      </c>
    </row>
    <row r="25" spans="1:11" x14ac:dyDescent="0.25">
      <c r="A25">
        <v>14</v>
      </c>
      <c r="B25" s="83" t="n">
        <v>1492.6572999999999</v>
      </c>
      <c r="C25" s="83" t="n">
        <v>0.0</v>
      </c>
      <c r="D25" s="83" t="n">
        <v>2312.1342</v>
      </c>
      <c r="E25" s="83">
        <f si="0" t="shared"/>
        <v>3804.7914999999998</v>
      </c>
      <c r="G25">
        <v>14</v>
      </c>
      <c r="H25" s="83" t="n">
        <v>1644.0</v>
      </c>
      <c r="I25" s="83" t="n">
        <v>1082.0</v>
      </c>
      <c r="J25" s="85" t="n">
        <v>3792.0</v>
      </c>
      <c r="K25" s="83">
        <f si="1" t="shared"/>
        <v>5287</v>
      </c>
    </row>
    <row r="26" spans="1:11" x14ac:dyDescent="0.25">
      <c r="A26">
        <v>15</v>
      </c>
      <c r="B26" s="83" t="n">
        <v>1031.4047</v>
      </c>
      <c r="C26" s="83" t="n">
        <v>0.0</v>
      </c>
      <c r="D26" s="83" t="n">
        <v>1989.073</v>
      </c>
      <c r="E26" s="83">
        <f si="0" t="shared"/>
        <v>3020.4777000000004</v>
      </c>
      <c r="G26">
        <v>15</v>
      </c>
      <c r="H26" s="83" t="n">
        <v>1879.0</v>
      </c>
      <c r="I26" s="83" t="n">
        <v>979.0</v>
      </c>
      <c r="J26" s="85" t="n">
        <v>2575.0</v>
      </c>
      <c r="K26" s="83">
        <f si="1" t="shared"/>
        <v>4618</v>
      </c>
    </row>
    <row r="27" spans="1:11" x14ac:dyDescent="0.25">
      <c r="A27">
        <v>16</v>
      </c>
      <c r="B27" s="83" t="n">
        <v>4675.1829</v>
      </c>
      <c r="C27" s="83" t="n">
        <v>644.3417</v>
      </c>
      <c r="D27" s="83" t="n">
        <v>867.7864</v>
      </c>
      <c r="E27" s="83">
        <f si="0" t="shared"/>
        <v>6187.3109999999997</v>
      </c>
      <c r="G27">
        <v>16</v>
      </c>
      <c r="H27" s="83" t="n">
        <v>1100.0</v>
      </c>
      <c r="I27" s="83" t="n">
        <v>833.0</v>
      </c>
      <c r="J27" s="85" t="n">
        <v>1776.0</v>
      </c>
      <c r="K27" s="83">
        <f si="1" t="shared"/>
        <v>3334</v>
      </c>
    </row>
    <row r="28" spans="1:11" x14ac:dyDescent="0.25">
      <c r="A28">
        <v>17</v>
      </c>
      <c r="B28" s="83" t="n">
        <v>476.72499999999997</v>
      </c>
      <c r="C28" s="83" t="n">
        <v>542.7239</v>
      </c>
      <c r="D28" s="83" t="n">
        <v>384.1741</v>
      </c>
      <c r="E28" s="83">
        <f si="0" t="shared"/>
        <v>1403.6229999999998</v>
      </c>
      <c r="G28">
        <v>17</v>
      </c>
      <c r="H28" s="83" t="n">
        <v>902.0</v>
      </c>
      <c r="I28" s="83" t="n">
        <v>657.0</v>
      </c>
      <c r="J28" s="85" t="n">
        <v>1914.0</v>
      </c>
      <c r="K28" s="83">
        <f si="1" t="shared"/>
        <v>3599</v>
      </c>
    </row>
    <row r="29" spans="1:11" x14ac:dyDescent="0.25">
      <c r="A29">
        <v>18</v>
      </c>
      <c r="B29" s="83" t="n">
        <v>1154.3296</v>
      </c>
      <c r="C29" s="83" t="n">
        <v>522.3251</v>
      </c>
      <c r="D29" s="83" t="n">
        <v>1611.5688</v>
      </c>
      <c r="E29" s="83">
        <f si="0" t="shared"/>
        <v>3288.2235000000001</v>
      </c>
      <c r="G29">
        <v>18</v>
      </c>
      <c r="H29" s="83" t="n">
        <v>510.0</v>
      </c>
      <c r="I29" s="83" t="n">
        <v>464.0</v>
      </c>
      <c r="J29" s="85" t="n">
        <v>2029.0</v>
      </c>
      <c r="K29" s="83">
        <f si="1" t="shared"/>
        <v>3448</v>
      </c>
    </row>
    <row r="30" spans="1:11" x14ac:dyDescent="0.25">
      <c r="A30">
        <v>19</v>
      </c>
      <c r="B30" s="83" t="n">
        <v>279.8517</v>
      </c>
      <c r="C30" s="83" t="n">
        <v>438.0688</v>
      </c>
      <c r="D30" s="83" t="n">
        <v>1147.553</v>
      </c>
      <c r="E30" s="83">
        <f si="0" t="shared"/>
        <v>1865.4735000000001</v>
      </c>
      <c r="G30">
        <v>19</v>
      </c>
      <c r="H30" s="83" t="n">
        <v>607.0</v>
      </c>
      <c r="I30" s="83" t="n">
        <v>429.0</v>
      </c>
      <c r="J30" s="85" t="n">
        <v>1348.0</v>
      </c>
      <c r="K30" s="83">
        <f si="1" t="shared"/>
        <v>2090</v>
      </c>
    </row>
    <row r="31" spans="1:11" x14ac:dyDescent="0.25">
      <c r="A31">
        <v>20</v>
      </c>
      <c r="B31" s="83" t="n">
        <v>0.0</v>
      </c>
      <c r="C31" s="83" t="n">
        <v>262.7907</v>
      </c>
      <c r="D31" s="83" t="n">
        <v>63.507999999999996</v>
      </c>
      <c r="E31" s="83">
        <f si="0" t="shared"/>
        <v>326.2987</v>
      </c>
      <c r="G31">
        <v>20</v>
      </c>
      <c r="H31" s="83" t="n">
        <v>230.0</v>
      </c>
      <c r="I31" s="83" t="n">
        <v>246.0</v>
      </c>
      <c r="J31" s="85" t="n">
        <v>942.0</v>
      </c>
      <c r="K31" s="83">
        <f si="1" t="shared"/>
        <v>1895</v>
      </c>
    </row>
    <row r="32" spans="1:11" x14ac:dyDescent="0.25">
      <c r="A32">
        <v>21</v>
      </c>
      <c r="B32" s="83" t="n">
        <v>5789.6123</v>
      </c>
      <c r="C32" s="83" t="n">
        <v>309.8473</v>
      </c>
      <c r="D32" s="83" t="n">
        <v>91.32329999999999</v>
      </c>
      <c r="E32" s="83">
        <f si="0" t="shared"/>
        <v>6190.7829000000002</v>
      </c>
      <c r="G32">
        <v>21</v>
      </c>
      <c r="H32" s="83" t="n">
        <v>171.0</v>
      </c>
      <c r="I32" s="83" t="n">
        <v>231.0</v>
      </c>
      <c r="J32" s="85" t="n">
        <v>1777.0</v>
      </c>
      <c r="K32" s="83">
        <f si="1" t="shared"/>
        <v>1810</v>
      </c>
    </row>
    <row r="33" spans="1:11" x14ac:dyDescent="0.25">
      <c r="A33">
        <v>22</v>
      </c>
      <c r="B33" s="83" t="n">
        <v>212.6231</v>
      </c>
      <c r="C33" s="83" t="n">
        <v>0.0</v>
      </c>
      <c r="D33" s="83" t="n">
        <v>53.512</v>
      </c>
      <c r="E33" s="83">
        <f si="0" t="shared"/>
        <v>266.13509999999997</v>
      </c>
      <c r="G33">
        <v>22</v>
      </c>
      <c r="H33" s="83" t="n">
        <v>134.0</v>
      </c>
      <c r="I33" s="83" t="n">
        <v>244.0</v>
      </c>
      <c r="J33" s="85" t="n">
        <v>878.0</v>
      </c>
      <c r="K33" s="83">
        <f si="1" t="shared"/>
        <v>1387</v>
      </c>
    </row>
    <row r="34" spans="1:11" x14ac:dyDescent="0.25">
      <c r="A34">
        <v>23</v>
      </c>
      <c r="B34" s="83" t="n">
        <v>2931.9003</v>
      </c>
      <c r="C34" s="83" t="n">
        <v>0.0</v>
      </c>
      <c r="D34" s="83" t="n">
        <v>138.8796</v>
      </c>
      <c r="E34" s="83">
        <f si="0" t="shared"/>
        <v>3070.7799</v>
      </c>
      <c r="G34">
        <v>23</v>
      </c>
      <c r="H34" s="83" t="n">
        <v>71.0</v>
      </c>
      <c r="I34" s="83" t="n">
        <v>196.0</v>
      </c>
      <c r="J34" s="85" t="n">
        <v>781.0</v>
      </c>
      <c r="K34" s="83">
        <f si="1" t="shared"/>
        <v>1024</v>
      </c>
    </row>
    <row r="35" spans="1:11" x14ac:dyDescent="0.25">
      <c r="A35">
        <v>24</v>
      </c>
      <c r="B35" s="83" t="n">
        <v>0.0</v>
      </c>
      <c r="C35" s="83" t="n">
        <v>0.0</v>
      </c>
      <c r="D35" s="83" t="n">
        <v>458.12399999999997</v>
      </c>
      <c r="E35" s="83">
        <f si="0" t="shared"/>
        <v>458.12399999999997</v>
      </c>
      <c r="G35">
        <v>24</v>
      </c>
      <c r="H35" s="83" t="n">
        <v>75.0</v>
      </c>
      <c r="I35" s="83" t="n">
        <v>169.0</v>
      </c>
      <c r="J35" s="85" t="n">
        <v>857.0</v>
      </c>
      <c r="K35" s="83">
        <f si="1" t="shared"/>
        <v>730</v>
      </c>
    </row>
    <row r="36" spans="1:11" x14ac:dyDescent="0.25">
      <c r="A36">
        <v>25</v>
      </c>
      <c r="B36" s="83" t="n">
        <v>0.0</v>
      </c>
      <c r="C36" s="83" t="n">
        <v>0.0</v>
      </c>
      <c r="D36" s="83" t="n">
        <v>87.069</v>
      </c>
      <c r="E36" s="83">
        <f si="0" t="shared"/>
        <v>87.069000000000003</v>
      </c>
      <c r="G36">
        <v>25</v>
      </c>
      <c r="H36" s="83" t="n">
        <v>88.0</v>
      </c>
      <c r="I36" s="83" t="n">
        <v>114.0</v>
      </c>
      <c r="J36" s="85" t="n">
        <v>457.0</v>
      </c>
      <c r="K36" s="83">
        <f si="1" t="shared"/>
        <v>673</v>
      </c>
    </row>
    <row r="37" spans="1:11" x14ac:dyDescent="0.25">
      <c r="A37">
        <v>26</v>
      </c>
      <c r="B37" s="83" t="n">
        <v>775.4409</v>
      </c>
      <c r="C37" s="83" t="n">
        <v>846.0343</v>
      </c>
      <c r="D37" s="83" t="n">
        <v>0.0</v>
      </c>
      <c r="E37" s="83">
        <f si="0" t="shared"/>
        <v>1621.4752000000001</v>
      </c>
      <c r="G37">
        <v>26</v>
      </c>
      <c r="H37" s="83" t="n">
        <v>68.0</v>
      </c>
      <c r="I37" s="83" t="n">
        <v>115.0</v>
      </c>
      <c r="J37" s="85" t="n">
        <v>440.0</v>
      </c>
      <c r="K37" s="83">
        <f si="1" t="shared"/>
        <v>696</v>
      </c>
    </row>
    <row r="38" spans="1:11" x14ac:dyDescent="0.25">
      <c r="A38">
        <v>27</v>
      </c>
      <c r="B38" s="83" t="n">
        <v>0.0</v>
      </c>
      <c r="C38" s="83" t="n">
        <v>0.0</v>
      </c>
      <c r="D38" s="83" t="n">
        <v>569.2839</v>
      </c>
      <c r="E38" s="83">
        <f si="0" t="shared"/>
        <v>569.28390000000002</v>
      </c>
      <c r="G38">
        <v>27</v>
      </c>
      <c r="H38" s="83" t="n">
        <v>30.0</v>
      </c>
      <c r="I38" s="83" t="n">
        <v>88.0</v>
      </c>
      <c r="J38" s="85" t="n">
        <v>648.0</v>
      </c>
      <c r="K38" s="83">
        <f si="1" t="shared"/>
        <v>740</v>
      </c>
    </row>
    <row r="39" spans="1:11" x14ac:dyDescent="0.25">
      <c r="A39">
        <v>28</v>
      </c>
      <c r="B39" s="83" t="n">
        <v>1297.2364</v>
      </c>
      <c r="C39" s="83" t="n">
        <v>0.0</v>
      </c>
      <c r="D39" s="83" t="n">
        <v>0.0</v>
      </c>
      <c r="E39" s="83">
        <f si="0" t="shared"/>
        <v>1297.2364</v>
      </c>
      <c r="G39">
        <v>28</v>
      </c>
      <c r="H39" s="83" t="n">
        <v>70.0</v>
      </c>
      <c r="I39" s="83" t="n">
        <v>88.0</v>
      </c>
      <c r="J39" s="85" t="n">
        <v>295.0</v>
      </c>
      <c r="K39" s="83">
        <f si="1" t="shared"/>
        <v>591</v>
      </c>
    </row>
    <row r="40" spans="1:11" x14ac:dyDescent="0.25">
      <c r="A40">
        <v>29</v>
      </c>
      <c r="B40" s="83" t="n">
        <v>0.0</v>
      </c>
      <c r="C40" s="83" t="n">
        <v>0.0</v>
      </c>
      <c r="D40" s="83" t="n">
        <v>31.814</v>
      </c>
      <c r="E40" s="83">
        <f si="0" t="shared"/>
        <v>31.814</v>
      </c>
      <c r="G40">
        <v>29</v>
      </c>
      <c r="H40" s="83" t="n">
        <v>10.0</v>
      </c>
      <c r="I40" s="83" t="n">
        <v>60.0</v>
      </c>
      <c r="J40" s="85" t="n">
        <v>530.0</v>
      </c>
      <c r="K40" s="83">
        <f si="1" t="shared"/>
        <v>357</v>
      </c>
    </row>
    <row r="41" spans="1:11" x14ac:dyDescent="0.25">
      <c r="A41">
        <v>30</v>
      </c>
      <c r="B41" s="83" t="n">
        <v>0.0</v>
      </c>
      <c r="C41" s="83" t="n">
        <v>0.0</v>
      </c>
      <c r="D41" s="83" t="n">
        <v>13.399</v>
      </c>
      <c r="E41" s="83">
        <f si="0" t="shared"/>
        <v>13.398999999999999</v>
      </c>
      <c r="G41">
        <v>30</v>
      </c>
      <c r="H41" s="83" t="n">
        <v>10.0</v>
      </c>
      <c r="I41" s="83" t="n">
        <v>49.0</v>
      </c>
      <c r="J41" s="85" t="n">
        <v>501.0</v>
      </c>
      <c r="K41" s="83">
        <f si="1" t="shared"/>
        <v>493</v>
      </c>
    </row>
    <row r="42" spans="1:11" x14ac:dyDescent="0.25">
      <c r="A42">
        <v>31</v>
      </c>
      <c r="B42" s="83" t="n">
        <v>0.0</v>
      </c>
      <c r="C42" s="83" t="n">
        <v>0.0</v>
      </c>
      <c r="D42" s="83" t="n">
        <v>0.0</v>
      </c>
      <c r="E42" s="83">
        <f si="0" t="shared"/>
        <v>0</v>
      </c>
      <c r="G42">
        <v>31</v>
      </c>
      <c r="H42" s="83" t="n">
        <v>60.0</v>
      </c>
      <c r="I42" s="83" t="n">
        <v>61.0</v>
      </c>
      <c r="J42" s="85" t="n">
        <v>386.0</v>
      </c>
      <c r="K42" s="83">
        <f si="1" t="shared"/>
        <v>452</v>
      </c>
    </row>
    <row r="43" spans="1:11" x14ac:dyDescent="0.25">
      <c r="A43">
        <v>32</v>
      </c>
      <c r="B43" s="83" t="n">
        <v>0.0</v>
      </c>
      <c r="C43" s="83" t="n">
        <v>0.0</v>
      </c>
      <c r="D43" s="83" t="n">
        <v>12.739</v>
      </c>
      <c r="E43" s="83">
        <f ref="E43:E74" si="2" t="shared">SUM(B43:D43)</f>
        <v>12.739000000000001</v>
      </c>
      <c r="G43">
        <v>32</v>
      </c>
      <c r="H43" s="83" t="n">
        <v>19.0</v>
      </c>
      <c r="I43" s="83" t="n">
        <v>30.0</v>
      </c>
      <c r="J43" s="85" t="n">
        <v>161.0</v>
      </c>
      <c r="K43" s="83">
        <f ref="K43:K74" si="3" t="shared">SUM(H43:J43)</f>
        <v>237</v>
      </c>
    </row>
    <row r="44" spans="1:11" x14ac:dyDescent="0.25">
      <c r="A44">
        <v>33</v>
      </c>
      <c r="B44" s="83" t="n">
        <v>0.0</v>
      </c>
      <c r="C44" s="83" t="n">
        <v>0.0</v>
      </c>
      <c r="D44" s="83" t="n">
        <v>10.791</v>
      </c>
      <c r="E44" s="83">
        <f si="2" t="shared"/>
        <v>10.791</v>
      </c>
      <c r="G44">
        <v>33</v>
      </c>
      <c r="H44" s="83" t="n">
        <v>19.0</v>
      </c>
      <c r="I44" s="83" t="n">
        <v>38.0</v>
      </c>
      <c r="J44" s="85" t="n">
        <v>155.0</v>
      </c>
      <c r="K44" s="83">
        <f si="3" t="shared"/>
        <v>246</v>
      </c>
    </row>
    <row r="45" spans="1:11" x14ac:dyDescent="0.25">
      <c r="A45">
        <v>34</v>
      </c>
      <c r="B45" s="83" t="n">
        <v>0.0</v>
      </c>
      <c r="C45" s="83" t="n">
        <v>78.9631</v>
      </c>
      <c r="D45" s="83" t="n">
        <v>0.0</v>
      </c>
      <c r="E45" s="83">
        <f si="2" t="shared"/>
        <v>78.963099999999997</v>
      </c>
      <c r="G45">
        <v>34</v>
      </c>
      <c r="H45" s="83" t="n">
        <v>43.0</v>
      </c>
      <c r="I45" s="83" t="n">
        <v>46.0</v>
      </c>
      <c r="J45" s="85" t="n">
        <v>1365.0</v>
      </c>
      <c r="K45" s="83">
        <f si="3" t="shared"/>
        <v>1297</v>
      </c>
    </row>
    <row r="46" spans="1:11" x14ac:dyDescent="0.25">
      <c r="A46">
        <v>35</v>
      </c>
      <c r="B46" s="83" t="n">
        <v>0.0</v>
      </c>
      <c r="C46" s="83" t="n">
        <v>0.0</v>
      </c>
      <c r="D46" s="83" t="n">
        <v>25.786</v>
      </c>
      <c r="E46" s="83">
        <f si="2" t="shared"/>
        <v>25.786000000000001</v>
      </c>
      <c r="G46">
        <v>35</v>
      </c>
      <c r="H46" s="83" t="n">
        <v>0.0</v>
      </c>
      <c r="I46" s="83" t="n">
        <v>13.0</v>
      </c>
      <c r="J46" s="85" t="n">
        <v>44.0</v>
      </c>
      <c r="K46" s="83">
        <f si="3" t="shared"/>
        <v>255</v>
      </c>
    </row>
    <row r="47" spans="1:11" x14ac:dyDescent="0.25">
      <c r="A47">
        <v>36</v>
      </c>
      <c r="B47" s="83" t="n">
        <v>0.0</v>
      </c>
      <c r="C47" s="83" t="n">
        <v>0.0</v>
      </c>
      <c r="D47" s="83" t="n">
        <v>0.0</v>
      </c>
      <c r="E47" s="83">
        <f si="2" t="shared"/>
        <v>0</v>
      </c>
      <c r="G47">
        <v>36</v>
      </c>
      <c r="H47" s="83" t="n">
        <v>9.0</v>
      </c>
      <c r="I47" s="83" t="n">
        <v>18.0</v>
      </c>
      <c r="J47" s="85" t="n">
        <v>241.0</v>
      </c>
      <c r="K47" s="83">
        <f si="3" t="shared"/>
        <v>163</v>
      </c>
    </row>
    <row r="48" spans="1:11" x14ac:dyDescent="0.25">
      <c r="A48">
        <v>37</v>
      </c>
      <c r="B48" s="83" t="n">
        <v>0.0</v>
      </c>
      <c r="C48" s="83" t="n">
        <v>0.0</v>
      </c>
      <c r="D48" s="83" t="n">
        <v>0.0</v>
      </c>
      <c r="E48" s="83">
        <f si="2" t="shared"/>
        <v>0</v>
      </c>
      <c r="G48">
        <v>37</v>
      </c>
      <c r="H48" s="83" t="n">
        <v>3.0</v>
      </c>
      <c r="I48" s="83" t="n">
        <v>21.0</v>
      </c>
      <c r="J48" s="85" t="n">
        <v>144.0</v>
      </c>
      <c r="K48" s="83">
        <f si="3" t="shared"/>
        <v>140</v>
      </c>
    </row>
    <row r="49" spans="1:11" x14ac:dyDescent="0.25">
      <c r="A49">
        <v>38</v>
      </c>
      <c r="B49" s="83" t="n">
        <v>0.0</v>
      </c>
      <c r="C49" s="83" t="n">
        <v>0.0</v>
      </c>
      <c r="D49" s="83" t="n">
        <v>0.0</v>
      </c>
      <c r="E49" s="83">
        <f si="2" t="shared"/>
        <v>0</v>
      </c>
      <c r="G49">
        <v>38</v>
      </c>
      <c r="H49" s="83" t="n">
        <v>8.0</v>
      </c>
      <c r="I49" s="83" t="n">
        <v>19.0</v>
      </c>
      <c r="J49" s="85" t="n">
        <v>215.0</v>
      </c>
      <c r="K49" s="83">
        <f si="3" t="shared"/>
        <v>245</v>
      </c>
    </row>
    <row r="50" spans="1:11" x14ac:dyDescent="0.25">
      <c r="A50">
        <v>39</v>
      </c>
      <c r="B50" s="83" t="n">
        <v>0.0</v>
      </c>
      <c r="C50" s="83" t="n">
        <v>0.0</v>
      </c>
      <c r="D50" s="83" t="n">
        <v>4.128</v>
      </c>
      <c r="E50" s="83">
        <f si="2" t="shared"/>
        <v>4.1280000000000001</v>
      </c>
      <c r="G50">
        <v>39</v>
      </c>
      <c r="H50" s="83" t="n">
        <v>0.0</v>
      </c>
      <c r="I50" s="83" t="n">
        <v>11.0</v>
      </c>
      <c r="J50" s="85" t="n">
        <v>181.0</v>
      </c>
      <c r="K50" s="83">
        <f si="3" t="shared"/>
        <v>172</v>
      </c>
    </row>
    <row r="51" spans="1:11" x14ac:dyDescent="0.25">
      <c r="A51">
        <v>40</v>
      </c>
      <c r="B51" s="83" t="n">
        <v>0.0</v>
      </c>
      <c r="C51" s="83" t="n">
        <v>0.0</v>
      </c>
      <c r="D51" s="83" t="n">
        <v>860.3701</v>
      </c>
      <c r="E51" s="83">
        <f si="2" t="shared"/>
        <v>860.37009999999998</v>
      </c>
      <c r="G51">
        <v>40</v>
      </c>
      <c r="H51" s="83" t="n">
        <v>0.0</v>
      </c>
      <c r="I51" s="83" t="n">
        <v>6.0</v>
      </c>
      <c r="J51" s="85" t="n">
        <v>36.0</v>
      </c>
      <c r="K51" s="83">
        <f si="3" t="shared"/>
        <v>41</v>
      </c>
    </row>
    <row r="52" spans="1:11" x14ac:dyDescent="0.25">
      <c r="A52">
        <v>41</v>
      </c>
      <c r="B52" s="83" t="n">
        <v>0.0</v>
      </c>
      <c r="C52" s="83" t="n">
        <v>0.0</v>
      </c>
      <c r="D52" s="83" t="n">
        <v>0.0</v>
      </c>
      <c r="E52" s="83">
        <f si="2" t="shared"/>
        <v>0</v>
      </c>
      <c r="G52">
        <v>41</v>
      </c>
      <c r="H52" s="83" t="n">
        <v>2.0</v>
      </c>
      <c r="I52" s="83" t="n">
        <v>7.0</v>
      </c>
      <c r="J52" s="85" t="n">
        <v>82.0</v>
      </c>
      <c r="K52" s="83">
        <f si="3" t="shared"/>
        <v>94</v>
      </c>
    </row>
    <row r="53" spans="1:11" x14ac:dyDescent="0.25">
      <c r="A53">
        <v>42</v>
      </c>
      <c r="B53" s="83" t="n">
        <v>0.0</v>
      </c>
      <c r="C53" s="83" t="n">
        <v>0.0</v>
      </c>
      <c r="D53" s="83" t="n">
        <v>286.7204</v>
      </c>
      <c r="E53" s="83">
        <f si="2" t="shared"/>
        <v>286.72039999999998</v>
      </c>
      <c r="G53">
        <v>42</v>
      </c>
      <c r="H53" s="83" t="n">
        <v>1.0</v>
      </c>
      <c r="I53" s="83" t="n">
        <v>3.0</v>
      </c>
      <c r="J53" s="85" t="n">
        <v>35.0</v>
      </c>
      <c r="K53" s="83">
        <f si="3" t="shared"/>
        <v>51</v>
      </c>
    </row>
    <row r="54" spans="1:11" x14ac:dyDescent="0.25">
      <c r="A54">
        <v>43</v>
      </c>
      <c r="B54" s="83" t="n">
        <v>0.0</v>
      </c>
      <c r="C54" s="83" t="n">
        <v>0.0</v>
      </c>
      <c r="D54" s="83" t="n">
        <v>0.0</v>
      </c>
      <c r="E54" s="83">
        <f si="2" t="shared"/>
        <v>0</v>
      </c>
      <c r="G54">
        <v>43</v>
      </c>
      <c r="H54" s="83" t="n">
        <v>2.0</v>
      </c>
      <c r="I54" s="83" t="n">
        <v>12.0</v>
      </c>
      <c r="J54" s="85" t="n">
        <v>165.0</v>
      </c>
      <c r="K54" s="83">
        <f si="3" t="shared"/>
        <v>185</v>
      </c>
    </row>
    <row r="55" spans="1:11" x14ac:dyDescent="0.25">
      <c r="A55">
        <v>44</v>
      </c>
      <c r="B55" s="83" t="n">
        <v>0.0</v>
      </c>
      <c r="C55" s="83" t="n">
        <v>0.0</v>
      </c>
      <c r="D55" s="83" t="n">
        <v>0.0</v>
      </c>
      <c r="E55" s="83">
        <f si="2" t="shared"/>
        <v>0</v>
      </c>
      <c r="G55">
        <v>44</v>
      </c>
      <c r="H55" s="83" t="n">
        <v>0.0</v>
      </c>
      <c r="I55" s="83" t="n">
        <v>6.0</v>
      </c>
      <c r="J55" s="85" t="n">
        <v>78.0</v>
      </c>
      <c r="K55" s="83">
        <f si="3" t="shared"/>
        <v>63</v>
      </c>
    </row>
    <row r="56" spans="1:11" x14ac:dyDescent="0.25">
      <c r="A56">
        <v>45</v>
      </c>
      <c r="B56" s="83" t="n">
        <v>0.0</v>
      </c>
      <c r="C56" s="83" t="n">
        <v>0.0</v>
      </c>
      <c r="D56" s="83" t="n">
        <v>0.0</v>
      </c>
      <c r="E56" s="83">
        <f si="2" t="shared"/>
        <v>0</v>
      </c>
      <c r="G56">
        <v>45</v>
      </c>
      <c r="H56" s="83" t="n">
        <v>2.0</v>
      </c>
      <c r="I56" s="83" t="n">
        <v>17.0</v>
      </c>
      <c r="J56" s="85" t="n">
        <v>192.0</v>
      </c>
      <c r="K56" s="83">
        <f si="3" t="shared"/>
        <v>193</v>
      </c>
    </row>
    <row r="57" spans="1:11" x14ac:dyDescent="0.25">
      <c r="A57">
        <v>46</v>
      </c>
      <c r="B57" s="83" t="n">
        <v>0.0</v>
      </c>
      <c r="C57" s="83" t="n">
        <v>0.0</v>
      </c>
      <c r="D57" s="83" t="n">
        <v>0.0</v>
      </c>
      <c r="E57" s="83">
        <f si="2" t="shared"/>
        <v>0</v>
      </c>
      <c r="G57">
        <v>46</v>
      </c>
      <c r="H57" s="83" t="n">
        <v>1.0</v>
      </c>
      <c r="I57" s="83" t="n">
        <v>13.0</v>
      </c>
      <c r="J57" s="85" t="n">
        <v>64.0</v>
      </c>
      <c r="K57" s="83">
        <f si="3" t="shared"/>
        <v>77</v>
      </c>
    </row>
    <row r="58" spans="1:11" x14ac:dyDescent="0.25">
      <c r="A58">
        <v>47</v>
      </c>
      <c r="B58" s="83" t="n">
        <v>0.0</v>
      </c>
      <c r="C58" s="83" t="n">
        <v>0.0</v>
      </c>
      <c r="D58" s="83" t="n">
        <v>0.0</v>
      </c>
      <c r="E58" s="83">
        <f si="2" t="shared"/>
        <v>0</v>
      </c>
      <c r="G58">
        <v>47</v>
      </c>
      <c r="H58" s="83" t="n">
        <v>0.0</v>
      </c>
      <c r="I58" s="83" t="n">
        <v>11.0</v>
      </c>
      <c r="J58" s="85" t="n">
        <v>92.0</v>
      </c>
      <c r="K58" s="83">
        <f si="3" t="shared"/>
        <v>107</v>
      </c>
    </row>
    <row r="59" spans="1:11" x14ac:dyDescent="0.25">
      <c r="A59">
        <v>48</v>
      </c>
      <c r="B59" s="83" t="n">
        <v>0.0</v>
      </c>
      <c r="C59" s="83" t="n">
        <v>0.0</v>
      </c>
      <c r="D59" s="83" t="n">
        <v>468.9894</v>
      </c>
      <c r="E59" s="83">
        <f si="2" t="shared"/>
        <v>468.98939999999999</v>
      </c>
      <c r="G59">
        <v>48</v>
      </c>
      <c r="H59" s="83" t="n">
        <v>1.0</v>
      </c>
      <c r="I59" s="83" t="n">
        <v>5.0</v>
      </c>
      <c r="J59" s="85" t="n">
        <v>35.0</v>
      </c>
      <c r="K59" s="83">
        <f si="3" t="shared"/>
        <v>38</v>
      </c>
    </row>
    <row r="60" spans="1:11" x14ac:dyDescent="0.25">
      <c r="A60">
        <v>49</v>
      </c>
      <c r="B60" s="83" t="n">
        <v>0.0</v>
      </c>
      <c r="C60" s="83" t="n">
        <v>0.0</v>
      </c>
      <c r="D60" s="83" t="n">
        <v>0.0</v>
      </c>
      <c r="E60" s="83">
        <f si="2" t="shared"/>
        <v>0</v>
      </c>
      <c r="G60">
        <v>49</v>
      </c>
      <c r="H60" s="83" t="n">
        <v>0.0</v>
      </c>
      <c r="I60" s="83" t="n">
        <v>1.0</v>
      </c>
      <c r="J60" s="85" t="n">
        <v>129.0</v>
      </c>
      <c r="K60" s="83">
        <f si="3" t="shared"/>
        <v>138</v>
      </c>
    </row>
    <row r="61" spans="1:11" x14ac:dyDescent="0.25">
      <c r="A61">
        <v>50</v>
      </c>
      <c r="B61" s="83" t="n">
        <v>0.0</v>
      </c>
      <c r="C61" s="83" t="n">
        <v>0.0</v>
      </c>
      <c r="D61" s="83" t="n">
        <v>249.3058</v>
      </c>
      <c r="E61" s="83">
        <f si="2" t="shared"/>
        <v>249.3058</v>
      </c>
      <c r="G61">
        <v>50</v>
      </c>
      <c r="H61" s="83" t="n">
        <v>0.0</v>
      </c>
      <c r="I61" s="83" t="n">
        <v>7.0</v>
      </c>
      <c r="J61" s="85" t="n">
        <v>34.0</v>
      </c>
      <c r="K61" s="83">
        <f si="3" t="shared"/>
        <v>33</v>
      </c>
    </row>
    <row r="62" spans="1:11" x14ac:dyDescent="0.25">
      <c r="A62">
        <v>51</v>
      </c>
      <c r="B62" s="83" t="n">
        <v>0.0</v>
      </c>
      <c r="C62" s="83" t="n">
        <v>0.0</v>
      </c>
      <c r="D62" s="83" t="n">
        <v>0.0</v>
      </c>
      <c r="E62" s="83">
        <f si="2" t="shared"/>
        <v>0</v>
      </c>
      <c r="G62">
        <v>51</v>
      </c>
      <c r="H62" s="83" t="n">
        <v>1.0</v>
      </c>
      <c r="I62" s="83" t="n">
        <v>7.0</v>
      </c>
      <c r="J62" s="85" t="n">
        <v>38.0</v>
      </c>
      <c r="K62" s="83">
        <f si="3" t="shared"/>
        <v>59</v>
      </c>
    </row>
    <row r="63" spans="1:11" x14ac:dyDescent="0.25">
      <c r="A63">
        <v>52</v>
      </c>
      <c r="B63" s="83" t="n">
        <v>0.0</v>
      </c>
      <c r="C63" s="83" t="n">
        <v>0.0</v>
      </c>
      <c r="D63" s="83" t="n">
        <v>0.0</v>
      </c>
      <c r="E63" s="83">
        <f si="2" t="shared"/>
        <v>0</v>
      </c>
      <c r="G63">
        <v>52</v>
      </c>
      <c r="H63" s="83" t="n">
        <v>0.0</v>
      </c>
      <c r="I63" s="83" t="n">
        <v>3.0</v>
      </c>
      <c r="J63" s="85" t="n">
        <v>19.0</v>
      </c>
      <c r="K63" s="83">
        <f si="3" t="shared"/>
        <v>19</v>
      </c>
    </row>
    <row r="64" spans="1:11" x14ac:dyDescent="0.25">
      <c r="A64">
        <v>53</v>
      </c>
      <c r="B64" s="83" t="n">
        <v>0.0</v>
      </c>
      <c r="C64" s="83" t="n">
        <v>0.0</v>
      </c>
      <c r="D64" s="83" t="n">
        <v>13.487</v>
      </c>
      <c r="E64" s="83">
        <f si="2" t="shared"/>
        <v>13.487</v>
      </c>
      <c r="G64">
        <v>53</v>
      </c>
      <c r="H64" s="83" t="n">
        <v>0.0</v>
      </c>
      <c r="I64" s="83" t="n">
        <v>2.0</v>
      </c>
      <c r="J64" s="85" t="n">
        <v>75.0</v>
      </c>
      <c r="K64" s="83">
        <f si="3" t="shared"/>
        <v>70</v>
      </c>
    </row>
    <row r="65" spans="1:11" x14ac:dyDescent="0.25">
      <c r="A65">
        <v>54</v>
      </c>
      <c r="B65" s="83" t="n">
        <v>0.0</v>
      </c>
      <c r="C65" s="83" t="n">
        <v>0.0</v>
      </c>
      <c r="D65" s="83" t="n">
        <v>0.0</v>
      </c>
      <c r="E65" s="83">
        <f si="2" t="shared"/>
        <v>0</v>
      </c>
      <c r="G65">
        <v>54</v>
      </c>
      <c r="H65" s="83" t="n">
        <v>0.0</v>
      </c>
      <c r="I65" s="83" t="n">
        <v>1.0</v>
      </c>
      <c r="J65" s="85" t="n">
        <v>2.0</v>
      </c>
      <c r="K65" s="83">
        <f si="3" t="shared"/>
        <v>11</v>
      </c>
    </row>
    <row r="66" spans="1:11" x14ac:dyDescent="0.25">
      <c r="A66">
        <v>55</v>
      </c>
      <c r="B66" s="83" t="n">
        <v>0.0</v>
      </c>
      <c r="C66" s="83" t="n">
        <v>0.0</v>
      </c>
      <c r="D66" s="83" t="n">
        <v>3.675</v>
      </c>
      <c r="E66" s="83">
        <f si="2" t="shared"/>
        <v>3.6749999999999998</v>
      </c>
      <c r="G66">
        <v>55</v>
      </c>
      <c r="H66" s="83" t="n">
        <v>0.0</v>
      </c>
      <c r="I66" s="83" t="n">
        <v>3.0</v>
      </c>
      <c r="J66" s="85" t="n">
        <v>29.0</v>
      </c>
      <c r="K66" s="83">
        <f si="3" t="shared"/>
        <v>19</v>
      </c>
    </row>
    <row r="67" spans="1:11" x14ac:dyDescent="0.25">
      <c r="A67">
        <v>56</v>
      </c>
      <c r="B67" s="83" t="n">
        <v>0.0</v>
      </c>
      <c r="C67" s="83" t="n">
        <v>0.0</v>
      </c>
      <c r="D67" s="83" t="n">
        <v>0.0</v>
      </c>
      <c r="E67" s="83">
        <f si="2" t="shared"/>
        <v>0</v>
      </c>
      <c r="G67">
        <v>56</v>
      </c>
      <c r="H67" s="83" t="n">
        <v>0.0</v>
      </c>
      <c r="I67" s="83" t="n">
        <v>3.0</v>
      </c>
      <c r="J67" s="85" t="n">
        <v>13.0</v>
      </c>
      <c r="K67" s="83">
        <f si="3" t="shared"/>
        <v>18</v>
      </c>
    </row>
    <row r="68" spans="1:11" x14ac:dyDescent="0.25">
      <c r="A68">
        <v>57</v>
      </c>
      <c r="B68" s="83" t="n">
        <v>0.0</v>
      </c>
      <c r="C68" s="83" t="n">
        <v>0.0</v>
      </c>
      <c r="D68" s="83" t="n">
        <v>0.0</v>
      </c>
      <c r="E68" s="83">
        <f si="2" t="shared"/>
        <v>0</v>
      </c>
      <c r="G68">
        <v>57</v>
      </c>
      <c r="H68" s="83" t="n">
        <v>0.0</v>
      </c>
      <c r="I68" s="83" t="n">
        <v>2.0</v>
      </c>
      <c r="J68" s="85" t="n">
        <v>0.0</v>
      </c>
      <c r="K68" s="83">
        <f si="3" t="shared"/>
        <v>2</v>
      </c>
    </row>
    <row r="69" spans="1:11" x14ac:dyDescent="0.25">
      <c r="A69">
        <v>58</v>
      </c>
      <c r="B69" s="83" t="n">
        <v>0.0</v>
      </c>
      <c r="C69" s="83" t="n">
        <v>0.0</v>
      </c>
      <c r="D69" s="83" t="n">
        <v>0.0</v>
      </c>
      <c r="E69" s="83">
        <f si="2" t="shared"/>
        <v>0</v>
      </c>
      <c r="G69">
        <v>58</v>
      </c>
      <c r="H69" s="83" t="n">
        <v>0.0</v>
      </c>
      <c r="I69" s="83" t="n">
        <v>3.0</v>
      </c>
      <c r="J69" s="85" t="n">
        <v>1.0</v>
      </c>
      <c r="K69" s="83">
        <f si="3" t="shared"/>
        <v>4</v>
      </c>
    </row>
    <row r="70" spans="1:11" x14ac:dyDescent="0.25">
      <c r="A70">
        <v>59</v>
      </c>
      <c r="B70" s="83" t="n">
        <v>0.0</v>
      </c>
      <c r="C70" s="83" t="n">
        <v>0.0</v>
      </c>
      <c r="D70" s="83" t="n">
        <v>0.0</v>
      </c>
      <c r="E70" s="83">
        <f si="2" t="shared"/>
        <v>0</v>
      </c>
      <c r="G70">
        <v>59</v>
      </c>
      <c r="H70" s="83" t="n">
        <v>0.0</v>
      </c>
      <c r="I70" s="83" t="n">
        <v>1.0</v>
      </c>
      <c r="J70" s="85" t="n">
        <v>1.0</v>
      </c>
      <c r="K70" s="83">
        <f si="3" t="shared"/>
        <v>5</v>
      </c>
    </row>
    <row r="71" spans="1:11" x14ac:dyDescent="0.25">
      <c r="A71">
        <v>60</v>
      </c>
      <c r="B71" s="83" t="n">
        <v>0.0</v>
      </c>
      <c r="C71" s="83" t="n">
        <v>0.0</v>
      </c>
      <c r="D71" s="83" t="n">
        <v>0.0</v>
      </c>
      <c r="E71" s="83">
        <f si="2" t="shared"/>
        <v>0</v>
      </c>
      <c r="G71">
        <v>60</v>
      </c>
      <c r="H71" s="83" t="n">
        <v>0.0</v>
      </c>
      <c r="I71" s="83" t="n">
        <v>0.0</v>
      </c>
      <c r="J71" s="85" t="n">
        <v>12.0</v>
      </c>
      <c r="K71" s="83">
        <f si="3" t="shared"/>
        <v>8</v>
      </c>
    </row>
    <row r="72" spans="1:11" x14ac:dyDescent="0.25">
      <c r="A72">
        <v>61</v>
      </c>
      <c r="B72" s="83" t="n">
        <v>0.0</v>
      </c>
      <c r="C72" s="83" t="n">
        <v>0.0</v>
      </c>
      <c r="D72" s="83" t="n">
        <v>0.0</v>
      </c>
      <c r="E72" s="83">
        <f si="2" t="shared"/>
        <v>0</v>
      </c>
      <c r="G72">
        <v>61</v>
      </c>
      <c r="H72" s="83" t="n">
        <v>0.0</v>
      </c>
      <c r="I72" s="83" t="n">
        <v>2.0</v>
      </c>
      <c r="J72" s="85" t="n">
        <v>0.0</v>
      </c>
      <c r="K72" s="83">
        <f si="3" t="shared"/>
        <v>3</v>
      </c>
    </row>
    <row r="73" spans="1:11" x14ac:dyDescent="0.25">
      <c r="A73">
        <v>62</v>
      </c>
      <c r="B73" s="83" t="n">
        <v>0.0</v>
      </c>
      <c r="C73" s="83" t="n">
        <v>0.0</v>
      </c>
      <c r="D73" s="83" t="n">
        <v>0.0</v>
      </c>
      <c r="E73" s="83">
        <f si="2" t="shared"/>
        <v>0</v>
      </c>
      <c r="G73">
        <v>62</v>
      </c>
      <c r="H73" s="83" t="n">
        <v>0.0</v>
      </c>
      <c r="I73" s="83" t="n">
        <v>0.0</v>
      </c>
      <c r="J73" s="85" t="n">
        <v>3.0</v>
      </c>
      <c r="K73" s="83">
        <f si="3" t="shared"/>
        <v>1</v>
      </c>
    </row>
    <row r="74" spans="1:11" x14ac:dyDescent="0.25">
      <c r="A74">
        <v>63</v>
      </c>
      <c r="B74" s="83" t="n">
        <v>0.0</v>
      </c>
      <c r="C74" s="83" t="n">
        <v>0.0</v>
      </c>
      <c r="D74" s="83" t="n">
        <v>0.0</v>
      </c>
      <c r="E74" s="83">
        <f si="2" t="shared"/>
        <v>0</v>
      </c>
      <c r="G74">
        <v>63</v>
      </c>
      <c r="H74" s="83" t="n">
        <v>0.0</v>
      </c>
      <c r="I74" s="83" t="n">
        <v>1.0</v>
      </c>
      <c r="J74" s="85" t="n">
        <v>0.0</v>
      </c>
      <c r="K74" s="83">
        <f si="3" t="shared"/>
        <v>1</v>
      </c>
    </row>
    <row r="75" spans="1:11" x14ac:dyDescent="0.25">
      <c r="A75">
        <v>64</v>
      </c>
      <c r="B75" s="83" t="n">
        <v>0.0</v>
      </c>
      <c r="C75" s="83" t="n">
        <v>0.0</v>
      </c>
      <c r="D75" s="83" t="n">
        <v>0.0</v>
      </c>
      <c r="E75" s="83">
        <f ref="E75:E101" si="4" t="shared">SUM(B75:D75)</f>
        <v>0</v>
      </c>
      <c r="G75">
        <v>64</v>
      </c>
      <c r="H75" s="83" t="n">
        <v>0.0</v>
      </c>
      <c r="I75" s="83" t="n">
        <v>0.0</v>
      </c>
      <c r="J75" s="85" t="n">
        <v>2.0</v>
      </c>
      <c r="K75" s="83">
        <f ref="K75:K101" si="5" t="shared">SUM(H75:J75)</f>
        <v>4</v>
      </c>
    </row>
    <row r="76" spans="1:11" x14ac:dyDescent="0.25">
      <c r="A76">
        <v>65</v>
      </c>
      <c r="B76" s="83" t="n">
        <v>0.0</v>
      </c>
      <c r="C76" s="83" t="n">
        <v>0.0</v>
      </c>
      <c r="D76" s="83" t="n">
        <v>0.0</v>
      </c>
      <c r="E76" s="83">
        <f si="4" t="shared"/>
        <v>0</v>
      </c>
      <c r="G76">
        <v>65</v>
      </c>
      <c r="H76" s="83" t="n">
        <v>0.0</v>
      </c>
      <c r="I76" s="83" t="n">
        <v>0.0</v>
      </c>
      <c r="J76" s="85" t="n">
        <v>1.0</v>
      </c>
      <c r="K76" s="83">
        <f si="5" t="shared"/>
        <v>4</v>
      </c>
    </row>
    <row r="77" spans="1:11" x14ac:dyDescent="0.25">
      <c r="A77">
        <v>66</v>
      </c>
      <c r="B77" s="83" t="n">
        <v>0.0</v>
      </c>
      <c r="C77" s="83" t="n">
        <v>0.0</v>
      </c>
      <c r="D77" s="83" t="n">
        <v>0.0</v>
      </c>
      <c r="E77" s="83">
        <f si="4" t="shared"/>
        <v>0</v>
      </c>
      <c r="G77">
        <v>66</v>
      </c>
      <c r="H77" s="83" t="n">
        <v>0.0</v>
      </c>
      <c r="I77" s="83" t="n">
        <v>0.0</v>
      </c>
      <c r="J77" s="83" t="n">
        <v>0.0</v>
      </c>
      <c r="K77" s="83">
        <f si="5" t="shared"/>
        <v>1</v>
      </c>
    </row>
    <row r="78" spans="1:11" x14ac:dyDescent="0.25">
      <c r="A78">
        <v>67</v>
      </c>
      <c r="B78" s="83" t="n">
        <v>0.0</v>
      </c>
      <c r="C78" s="83" t="n">
        <v>0.0</v>
      </c>
      <c r="D78" s="83" t="n">
        <v>0.0</v>
      </c>
      <c r="E78" s="83">
        <f si="4" t="shared"/>
        <v>0</v>
      </c>
      <c r="G78">
        <v>67</v>
      </c>
      <c r="H78" s="83" t="n">
        <v>0.0</v>
      </c>
      <c r="I78" s="83" t="n">
        <v>0.0</v>
      </c>
      <c r="J78" s="83" t="n">
        <v>0.0</v>
      </c>
      <c r="K78" s="83">
        <f si="5" t="shared"/>
        <v>1</v>
      </c>
    </row>
    <row r="79" spans="1:11" x14ac:dyDescent="0.25">
      <c r="A79">
        <v>68</v>
      </c>
      <c r="B79" s="83" t="n">
        <v>0.0</v>
      </c>
      <c r="C79" s="83" t="n">
        <v>0.0</v>
      </c>
      <c r="D79" s="83" t="n">
        <v>0.0</v>
      </c>
      <c r="E79" s="83">
        <f si="4" t="shared"/>
        <v>0</v>
      </c>
      <c r="G79">
        <v>68</v>
      </c>
      <c r="H79" s="83" t="n">
        <v>0.0</v>
      </c>
      <c r="I79" s="83" t="n">
        <v>0.0</v>
      </c>
      <c r="J79" s="85" t="n">
        <v>4.0</v>
      </c>
      <c r="K79" s="83">
        <f si="5" t="shared"/>
        <v>0</v>
      </c>
    </row>
    <row r="80" spans="1:11" x14ac:dyDescent="0.25">
      <c r="A80">
        <v>69</v>
      </c>
      <c r="B80" s="83" t="n">
        <v>0.0</v>
      </c>
      <c r="C80" s="83" t="n">
        <v>0.0</v>
      </c>
      <c r="D80" s="83" t="n">
        <v>0.0</v>
      </c>
      <c r="E80" s="83">
        <f si="4" t="shared"/>
        <v>0</v>
      </c>
      <c r="G80">
        <v>69</v>
      </c>
      <c r="H80" s="83" t="n">
        <v>0.0</v>
      </c>
      <c r="I80" s="83" t="n">
        <v>0.0</v>
      </c>
      <c r="J80" s="83" t="n">
        <v>0.0</v>
      </c>
      <c r="K80" s="83">
        <f si="5" t="shared"/>
        <v>6</v>
      </c>
    </row>
    <row r="81" spans="1:11" x14ac:dyDescent="0.25">
      <c r="A81">
        <v>70</v>
      </c>
      <c r="B81" s="83" t="n">
        <v>0.0</v>
      </c>
      <c r="C81" s="83" t="n">
        <v>0.0</v>
      </c>
      <c r="D81" s="83" t="n">
        <v>0.0</v>
      </c>
      <c r="E81" s="83">
        <f si="4" t="shared"/>
        <v>0</v>
      </c>
      <c r="G81">
        <v>70</v>
      </c>
      <c r="H81" s="83" t="n">
        <v>0.0</v>
      </c>
      <c r="I81" s="83" t="n">
        <v>1.0</v>
      </c>
      <c r="J81" s="85" t="n">
        <v>10.0</v>
      </c>
      <c r="K81" s="83">
        <f si="5" t="shared"/>
        <v>11</v>
      </c>
    </row>
    <row r="82" spans="1:11" x14ac:dyDescent="0.25">
      <c r="A82">
        <v>71</v>
      </c>
      <c r="B82" s="83" t="n">
        <v>0.0</v>
      </c>
      <c r="C82" s="83" t="n">
        <v>0.0</v>
      </c>
      <c r="D82" s="83" t="n">
        <v>0.0</v>
      </c>
      <c r="E82" s="83">
        <f si="4" t="shared"/>
        <v>0</v>
      </c>
      <c r="G82">
        <v>71</v>
      </c>
      <c r="H82" s="83" t="n">
        <v>0.0</v>
      </c>
      <c r="I82" s="83" t="n">
        <v>0.0</v>
      </c>
      <c r="J82" s="85" t="n">
        <v>0.0</v>
      </c>
      <c r="K82" s="83">
        <f si="5" t="shared"/>
        <v>1</v>
      </c>
    </row>
    <row r="83" spans="1:11" x14ac:dyDescent="0.25">
      <c r="A83">
        <v>72</v>
      </c>
      <c r="B83" s="83" t="n">
        <v>0.0</v>
      </c>
      <c r="C83" s="83" t="n">
        <v>0.0</v>
      </c>
      <c r="D83" s="83" t="n">
        <v>0.0</v>
      </c>
      <c r="E83" s="83">
        <f si="4" t="shared"/>
        <v>0</v>
      </c>
      <c r="G83">
        <v>72</v>
      </c>
      <c r="H83" s="83" t="n">
        <v>0.0</v>
      </c>
      <c r="I83" s="83" t="n">
        <v>1.0</v>
      </c>
      <c r="J83" s="83" t="n">
        <v>0.0</v>
      </c>
      <c r="K83" s="83">
        <f si="5" t="shared"/>
        <v>0</v>
      </c>
    </row>
    <row r="84" spans="1:11" x14ac:dyDescent="0.25">
      <c r="A84">
        <v>73</v>
      </c>
      <c r="B84" s="83" t="n">
        <v>0.0</v>
      </c>
      <c r="C84" s="83" t="n">
        <v>0.0</v>
      </c>
      <c r="D84" s="83" t="n">
        <v>0.0</v>
      </c>
      <c r="E84" s="83">
        <f si="4" t="shared"/>
        <v>0</v>
      </c>
      <c r="G84">
        <v>73</v>
      </c>
      <c r="H84" s="83" t="n">
        <v>0.0</v>
      </c>
      <c r="I84" s="83" t="n">
        <v>0.0</v>
      </c>
      <c r="J84" s="83" t="n">
        <v>0.0</v>
      </c>
      <c r="K84" s="83">
        <f si="5" t="shared"/>
        <v>0</v>
      </c>
    </row>
    <row r="85" spans="1:11" x14ac:dyDescent="0.25">
      <c r="A85">
        <v>74</v>
      </c>
      <c r="B85" s="83" t="n">
        <v>0.0</v>
      </c>
      <c r="C85" s="83" t="n">
        <v>0.0</v>
      </c>
      <c r="D85" s="83" t="n">
        <v>0.0</v>
      </c>
      <c r="E85" s="83">
        <f si="4" t="shared"/>
        <v>0</v>
      </c>
      <c r="G85">
        <v>74</v>
      </c>
      <c r="H85" s="83" t="n">
        <v>0.0</v>
      </c>
      <c r="I85" s="83" t="n">
        <v>0.0</v>
      </c>
      <c r="J85" s="83" t="n">
        <v>0.0</v>
      </c>
      <c r="K85" s="83">
        <f si="5" t="shared"/>
        <v>1</v>
      </c>
    </row>
    <row r="86" spans="1:11" x14ac:dyDescent="0.25">
      <c r="A86">
        <v>75</v>
      </c>
      <c r="B86" s="83" t="n">
        <v>0.0</v>
      </c>
      <c r="C86" s="83" t="n">
        <v>0.0</v>
      </c>
      <c r="D86" s="83" t="n">
        <v>0.0</v>
      </c>
      <c r="E86" s="83">
        <f si="4" t="shared"/>
        <v>0</v>
      </c>
      <c r="G86">
        <v>75</v>
      </c>
      <c r="H86" s="83" t="n">
        <v>0.0</v>
      </c>
      <c r="I86" s="83" t="n">
        <v>0.0</v>
      </c>
      <c r="J86" s="83" t="n">
        <v>2.0</v>
      </c>
      <c r="K86" s="83">
        <f si="5" t="shared"/>
        <v>0</v>
      </c>
    </row>
    <row r="87" spans="1:11" x14ac:dyDescent="0.25">
      <c r="A87">
        <v>76</v>
      </c>
      <c r="B87" s="83" t="n">
        <v>0.0</v>
      </c>
      <c r="C87" s="83" t="n">
        <v>0.0</v>
      </c>
      <c r="D87" s="83" t="n">
        <v>0.0</v>
      </c>
      <c r="E87" s="83">
        <f si="4" t="shared"/>
        <v>0</v>
      </c>
      <c r="G87">
        <v>76</v>
      </c>
      <c r="H87" s="83" t="n">
        <v>0.0</v>
      </c>
      <c r="I87" s="83" t="n">
        <v>0.0</v>
      </c>
      <c r="J87" s="85" t="n">
        <v>0.0</v>
      </c>
      <c r="K87" s="83">
        <f si="5" t="shared"/>
        <v>0</v>
      </c>
    </row>
    <row r="88" spans="1:11" x14ac:dyDescent="0.25">
      <c r="A88">
        <v>77</v>
      </c>
      <c r="B88" s="83" t="n">
        <v>0.0</v>
      </c>
      <c r="C88" s="83" t="n">
        <v>0.0</v>
      </c>
      <c r="D88" s="83" t="n">
        <v>0.0</v>
      </c>
      <c r="E88" s="83">
        <f si="4" t="shared"/>
        <v>0</v>
      </c>
      <c r="G88">
        <v>77</v>
      </c>
      <c r="H88" s="83" t="n">
        <v>0.0</v>
      </c>
      <c r="I88" s="83" t="n">
        <v>0.0</v>
      </c>
      <c r="J88" s="83" t="n">
        <v>0.0</v>
      </c>
      <c r="K88" s="83">
        <f si="5" t="shared"/>
        <v>0</v>
      </c>
    </row>
    <row r="89" spans="1:11" x14ac:dyDescent="0.25">
      <c r="A89">
        <v>78</v>
      </c>
      <c r="B89" s="83" t="n">
        <v>0.0</v>
      </c>
      <c r="C89" s="83" t="n">
        <v>0.0</v>
      </c>
      <c r="D89" s="83" t="n">
        <v>0.0</v>
      </c>
      <c r="E89" s="83">
        <f si="4" t="shared"/>
        <v>0</v>
      </c>
      <c r="G89">
        <v>78</v>
      </c>
      <c r="H89" s="83" t="n">
        <v>0.0</v>
      </c>
      <c r="I89" s="83" t="n">
        <v>0.0</v>
      </c>
      <c r="J89" s="85" t="n">
        <v>2.0</v>
      </c>
      <c r="K89" s="83">
        <f si="5" t="shared"/>
        <v>1</v>
      </c>
    </row>
    <row r="90" spans="1:11" x14ac:dyDescent="0.25">
      <c r="A90">
        <v>79</v>
      </c>
      <c r="B90" s="83" t="n">
        <v>0.0</v>
      </c>
      <c r="C90" s="83" t="n">
        <v>0.0</v>
      </c>
      <c r="D90" s="83" t="n">
        <v>0.0</v>
      </c>
      <c r="E90" s="83">
        <f si="4" t="shared"/>
        <v>0</v>
      </c>
      <c r="G90">
        <v>79</v>
      </c>
      <c r="H90" s="83" t="n">
        <v>0.0</v>
      </c>
      <c r="I90" s="83" t="n">
        <v>0.0</v>
      </c>
      <c r="J90" s="83" t="n">
        <v>0.0</v>
      </c>
      <c r="K90" s="83">
        <f si="5" t="shared"/>
        <v>0</v>
      </c>
    </row>
    <row r="91" spans="1:11" x14ac:dyDescent="0.25">
      <c r="A91">
        <v>80</v>
      </c>
      <c r="B91" s="83" t="n">
        <v>0.0</v>
      </c>
      <c r="C91" s="83" t="n">
        <v>0.0</v>
      </c>
      <c r="D91" s="83" t="n">
        <v>0.0</v>
      </c>
      <c r="E91" s="83">
        <f si="4" t="shared"/>
        <v>0</v>
      </c>
      <c r="G91">
        <v>80</v>
      </c>
      <c r="H91" s="83" t="n">
        <v>0.0</v>
      </c>
      <c r="I91" s="83" t="n">
        <v>0.0</v>
      </c>
      <c r="J91" s="83" t="n">
        <v>0.0</v>
      </c>
      <c r="K91" s="83">
        <f si="5" t="shared"/>
        <v>0</v>
      </c>
    </row>
    <row r="92" spans="1:11" x14ac:dyDescent="0.25">
      <c r="A92">
        <v>81</v>
      </c>
      <c r="B92" s="83" t="n">
        <v>0.0</v>
      </c>
      <c r="C92" s="83" t="n">
        <v>0.0</v>
      </c>
      <c r="D92" s="83" t="n">
        <v>0.0</v>
      </c>
      <c r="E92" s="83">
        <f si="4" t="shared"/>
        <v>0</v>
      </c>
      <c r="G92">
        <v>81</v>
      </c>
      <c r="H92" s="83" t="n">
        <v>0.0</v>
      </c>
      <c r="I92" s="83" t="n">
        <v>3.0</v>
      </c>
      <c r="J92" s="85" t="n">
        <v>2.0</v>
      </c>
      <c r="K92" s="83">
        <f si="5" t="shared"/>
        <v>0</v>
      </c>
    </row>
    <row r="93" spans="1:11" x14ac:dyDescent="0.25">
      <c r="A93">
        <v>82</v>
      </c>
      <c r="B93" s="83" t="n">
        <v>0.0</v>
      </c>
      <c r="C93" s="83" t="n">
        <v>0.0</v>
      </c>
      <c r="D93" s="83" t="n">
        <v>0.0</v>
      </c>
      <c r="E93" s="83">
        <f si="4" t="shared"/>
        <v>0</v>
      </c>
      <c r="G93">
        <v>82</v>
      </c>
      <c r="H93" s="83" t="n">
        <v>0.0</v>
      </c>
      <c r="I93" s="83" t="n">
        <v>0.0</v>
      </c>
      <c r="J93" s="83" t="n">
        <v>0.0</v>
      </c>
      <c r="K93" s="83">
        <f si="5" t="shared"/>
        <v>0</v>
      </c>
    </row>
    <row r="94" spans="1:11" x14ac:dyDescent="0.25">
      <c r="A94">
        <v>83</v>
      </c>
      <c r="B94" s="83" t="n">
        <v>0.0</v>
      </c>
      <c r="C94" s="83" t="n">
        <v>0.0</v>
      </c>
      <c r="D94" s="83" t="n">
        <v>0.0</v>
      </c>
      <c r="E94" s="83">
        <f si="4" t="shared"/>
        <v>0</v>
      </c>
      <c r="G94">
        <v>83</v>
      </c>
      <c r="H94" s="83" t="n">
        <v>0.0</v>
      </c>
      <c r="I94" s="83" t="n">
        <v>0.0</v>
      </c>
      <c r="J94" s="83" t="n">
        <v>0.0</v>
      </c>
      <c r="K94" s="83">
        <f si="5" t="shared"/>
        <v>0</v>
      </c>
    </row>
    <row r="95" spans="1:11" x14ac:dyDescent="0.25">
      <c r="A95">
        <v>84</v>
      </c>
      <c r="B95" s="83" t="n">
        <v>0.0</v>
      </c>
      <c r="C95" s="83" t="n">
        <v>0.0</v>
      </c>
      <c r="D95" s="83" t="n">
        <v>0.0</v>
      </c>
      <c r="E95" s="83">
        <f si="4" t="shared"/>
        <v>0</v>
      </c>
      <c r="G95">
        <v>84</v>
      </c>
      <c r="H95" s="83" t="n">
        <v>0.0</v>
      </c>
      <c r="I95" s="83" t="n">
        <v>0.0</v>
      </c>
      <c r="J95" s="83" t="n">
        <v>0.0</v>
      </c>
      <c r="K95" s="83">
        <f si="5" t="shared"/>
        <v>0</v>
      </c>
    </row>
    <row r="96" spans="1:11" x14ac:dyDescent="0.25">
      <c r="A96">
        <v>85</v>
      </c>
      <c r="B96" s="83" t="n">
        <v>0.0</v>
      </c>
      <c r="C96" s="83" t="n">
        <v>0.0</v>
      </c>
      <c r="D96" s="83" t="n">
        <v>0.0</v>
      </c>
      <c r="E96" s="83">
        <f si="4" t="shared"/>
        <v>0</v>
      </c>
      <c r="G96">
        <v>85</v>
      </c>
      <c r="H96" s="83" t="n">
        <v>0.0</v>
      </c>
      <c r="I96" s="83" t="n">
        <v>0.0</v>
      </c>
      <c r="J96" s="83" t="n">
        <v>0.0</v>
      </c>
      <c r="K96" s="83">
        <f si="5" t="shared"/>
        <v>0</v>
      </c>
    </row>
    <row r="97" spans="1:12" x14ac:dyDescent="0.25">
      <c r="A97">
        <v>86</v>
      </c>
      <c r="B97" s="83" t="n">
        <v>0.0</v>
      </c>
      <c r="C97" s="83" t="n">
        <v>0.0</v>
      </c>
      <c r="D97" s="83" t="n">
        <v>0.0</v>
      </c>
      <c r="E97" s="83">
        <f si="4" t="shared"/>
        <v>0</v>
      </c>
      <c r="G97">
        <v>86</v>
      </c>
      <c r="H97" s="83" t="n">
        <v>0.0</v>
      </c>
      <c r="I97" s="83" t="n">
        <v>0.0</v>
      </c>
      <c r="J97" s="83" t="n">
        <v>0.0</v>
      </c>
      <c r="K97" s="83">
        <f si="5" t="shared"/>
        <v>0</v>
      </c>
    </row>
    <row r="98" spans="1:12" x14ac:dyDescent="0.25">
      <c r="A98">
        <v>87</v>
      </c>
      <c r="B98" s="83" t="n">
        <v>0.0</v>
      </c>
      <c r="C98" s="83" t="n">
        <v>0.0</v>
      </c>
      <c r="D98" s="83" t="n">
        <v>0.0</v>
      </c>
      <c r="E98" s="83">
        <f si="4" t="shared"/>
        <v>0</v>
      </c>
      <c r="G98">
        <v>87</v>
      </c>
      <c r="H98" s="83" t="n">
        <v>0.0</v>
      </c>
      <c r="I98" s="83" t="n">
        <v>0.0</v>
      </c>
      <c r="J98" s="83" t="n">
        <v>0.0</v>
      </c>
      <c r="K98" s="83">
        <f si="5" t="shared"/>
        <v>0</v>
      </c>
    </row>
    <row r="99" spans="1:12" x14ac:dyDescent="0.25">
      <c r="A99">
        <v>88</v>
      </c>
      <c r="B99" s="83" t="n">
        <v>0.0</v>
      </c>
      <c r="C99" s="83" t="n">
        <v>0.0</v>
      </c>
      <c r="D99" s="83" t="n">
        <v>0.0</v>
      </c>
      <c r="E99" s="83">
        <f si="4" t="shared"/>
        <v>0</v>
      </c>
      <c r="G99">
        <v>88</v>
      </c>
      <c r="H99" s="83" t="n">
        <v>0.0</v>
      </c>
      <c r="I99" s="83" t="n">
        <v>0.0</v>
      </c>
      <c r="J99" s="83" t="n">
        <v>0.0</v>
      </c>
      <c r="K99" s="83">
        <f si="5" t="shared"/>
        <v>0</v>
      </c>
    </row>
    <row r="100" spans="1:12" x14ac:dyDescent="0.25">
      <c r="A100">
        <v>89</v>
      </c>
      <c r="B100" s="83" t="n">
        <v>0.0</v>
      </c>
      <c r="C100" s="83" t="n">
        <v>0.0</v>
      </c>
      <c r="D100" s="83" t="n">
        <v>0.0</v>
      </c>
      <c r="E100" s="83">
        <f si="4" t="shared"/>
        <v>0</v>
      </c>
      <c r="G100">
        <v>89</v>
      </c>
      <c r="H100" s="83" t="n">
        <v>0.0</v>
      </c>
      <c r="I100" s="83" t="n">
        <v>0.0</v>
      </c>
      <c r="J100" s="83" t="n">
        <v>0.0</v>
      </c>
      <c r="K100" s="83">
        <f si="5" t="shared"/>
        <v>0</v>
      </c>
    </row>
    <row ht="15.75" r="101" spans="1:12" thickBot="1" x14ac:dyDescent="0.3">
      <c r="A101" s="1">
        <v>90</v>
      </c>
      <c r="B101" s="84" t="n">
        <v>56177.1072</v>
      </c>
      <c r="C101" s="84" t="n">
        <v>10417.5607</v>
      </c>
      <c r="D101" s="84" t="n">
        <v>42483.8395</v>
      </c>
      <c r="E101" s="84">
        <f si="4" t="shared"/>
        <v>109078.5074</v>
      </c>
      <c r="G101" s="1">
        <v>90</v>
      </c>
      <c r="H101" s="84" t="n">
        <v>21334.0</v>
      </c>
      <c r="I101" s="84" t="n">
        <v>0.0</v>
      </c>
      <c r="J101" s="84" t="n">
        <v>0.0</v>
      </c>
      <c r="K101" s="84">
        <f si="5" t="shared"/>
        <v>21334</v>
      </c>
      <c r="L101" s="7"/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O101"/>
  <sheetViews>
    <sheetView workbookViewId="0">
      <selection activeCell="P12" sqref="P12"/>
    </sheetView>
  </sheetViews>
  <sheetFormatPr defaultRowHeight="15" x14ac:dyDescent="0.25"/>
  <cols>
    <col min="2" max="2" bestFit="true" customWidth="true" width="10.5703125" collapsed="true"/>
    <col min="3" max="4" bestFit="true" customWidth="true" width="9.5703125" collapsed="true"/>
    <col min="5" max="5" bestFit="true" customWidth="true" width="10.5703125" collapsed="true"/>
    <col min="8" max="8" bestFit="true" customWidth="true" width="10.5703125" collapsed="true"/>
    <col min="9" max="10" bestFit="true" customWidth="true" width="9.5703125" collapsed="true"/>
    <col min="11" max="11" bestFit="true" customWidth="true" width="15.85546875" collapsed="true"/>
    <col min="15" max="15" bestFit="true" customWidth="true" width="15.7109375" collapsed="true"/>
  </cols>
  <sheetData>
    <row r="1" spans="1:15" x14ac:dyDescent="0.25">
      <c r="A1" t="s">
        <v>0</v>
      </c>
    </row>
    <row r="2" spans="1:15" x14ac:dyDescent="0.25">
      <c r="A2" t="s">
        <v>247</v>
      </c>
    </row>
    <row r="3" spans="1:15" x14ac:dyDescent="0.25">
      <c r="A3" t="s">
        <v>249</v>
      </c>
    </row>
    <row r="4" spans="1:15" x14ac:dyDescent="0.25">
      <c r="A4" t="s">
        <v>6</v>
      </c>
    </row>
    <row r="5" spans="1:15" x14ac:dyDescent="0.25">
      <c r="A5" t="s">
        <v>7</v>
      </c>
    </row>
    <row ht="15.75" r="9" spans="1:15" thickBot="1" x14ac:dyDescent="0.3">
      <c r="A9" s="4" t="s">
        <v>193</v>
      </c>
      <c r="B9" s="1"/>
      <c r="C9" s="1"/>
      <c r="D9" s="1"/>
      <c r="E9" s="1"/>
      <c r="G9" s="4" t="s">
        <v>10</v>
      </c>
      <c r="H9" s="1"/>
      <c r="I9" s="1"/>
      <c r="J9" s="1"/>
      <c r="K9" s="1"/>
      <c r="M9" s="11" t="s">
        <v>36</v>
      </c>
    </row>
    <row r="10" spans="1:15" x14ac:dyDescent="0.25">
      <c r="A10" s="2" t="s">
        <v>13</v>
      </c>
      <c r="B10" s="5" t="s">
        <v>41</v>
      </c>
      <c r="C10" s="5" t="s">
        <v>42</v>
      </c>
      <c r="D10" s="5" t="s">
        <v>52</v>
      </c>
      <c r="E10" s="5" t="s">
        <v>200</v>
      </c>
      <c r="G10" s="2" t="s">
        <v>13</v>
      </c>
      <c r="H10" s="5" t="s">
        <v>41</v>
      </c>
      <c r="I10" s="5" t="s">
        <v>42</v>
      </c>
      <c r="J10" s="5" t="s">
        <v>43</v>
      </c>
      <c r="K10" s="5" t="s">
        <v>252</v>
      </c>
      <c r="M10" s="2"/>
      <c r="N10" s="5" t="s">
        <v>200</v>
      </c>
      <c r="O10" s="5" t="s">
        <v>252</v>
      </c>
    </row>
    <row r="11" spans="1:15" x14ac:dyDescent="0.25">
      <c r="A11">
        <v>0</v>
      </c>
      <c r="B11" s="83" t="n">
        <v>0.0</v>
      </c>
      <c r="C11" s="83" t="n">
        <v>0.0</v>
      </c>
      <c r="D11" s="83" t="n">
        <v>0.0</v>
      </c>
      <c r="E11" s="83">
        <f ref="E11:E42" si="0" t="shared">SUM(B11:D11)</f>
        <v>0</v>
      </c>
      <c r="G11">
        <v>0</v>
      </c>
      <c r="H11" s="83" t="n">
        <v>32536.0</v>
      </c>
      <c r="I11" s="83" t="n">
        <v>8235.0</v>
      </c>
      <c r="J11" s="85" t="n">
        <v>10777.0</v>
      </c>
      <c r="K11" s="83">
        <f ref="K11:K42" si="1" t="shared">SUM(H11:J11)</f>
        <v>51125</v>
      </c>
      <c r="M11" t="s">
        <v>41</v>
      </c>
      <c r="N11" s="9" t="n">
        <v>21.087312209213582</v>
      </c>
      <c r="O11" s="9" t="n">
        <v>13.358507393728216</v>
      </c>
    </row>
    <row r="12" spans="1:15" x14ac:dyDescent="0.25">
      <c r="A12">
        <v>1</v>
      </c>
      <c r="B12" s="83" t="n">
        <v>6745.1783000000005</v>
      </c>
      <c r="C12" s="83" t="n">
        <v>0.0</v>
      </c>
      <c r="D12" s="83" t="n">
        <v>0.0</v>
      </c>
      <c r="E12" s="83">
        <f si="0" t="shared"/>
        <v>6745.1783000000005</v>
      </c>
      <c r="G12">
        <v>1</v>
      </c>
      <c r="H12" s="83" t="n">
        <v>18441.0</v>
      </c>
      <c r="I12" s="83" t="n">
        <v>2385.0</v>
      </c>
      <c r="J12" s="85" t="n">
        <v>1316.0</v>
      </c>
      <c r="K12" s="83">
        <f si="1" t="shared"/>
        <v>22337</v>
      </c>
      <c r="M12" t="s">
        <v>42</v>
      </c>
      <c r="N12" s="9" t="n">
        <v>24.505741344918366</v>
      </c>
      <c r="O12" s="9" t="n">
        <v>17.028685897105756</v>
      </c>
    </row>
    <row r="13" spans="1:15" x14ac:dyDescent="0.25">
      <c r="A13">
        <v>2</v>
      </c>
      <c r="B13" s="83" t="n">
        <v>6033.2903</v>
      </c>
      <c r="C13" s="83" t="n">
        <v>0.0</v>
      </c>
      <c r="D13" s="83" t="n">
        <v>0.0</v>
      </c>
      <c r="E13" s="83">
        <f si="0" t="shared"/>
        <v>6033.2902999999997</v>
      </c>
      <c r="G13">
        <v>2</v>
      </c>
      <c r="H13" s="83" t="n">
        <v>23753.0</v>
      </c>
      <c r="I13" s="83" t="n">
        <v>3204.0</v>
      </c>
      <c r="J13" s="85" t="n">
        <v>2426.0</v>
      </c>
      <c r="K13" s="83">
        <f si="1" t="shared"/>
        <v>29657</v>
      </c>
      <c r="M13" s="6" t="s">
        <v>43</v>
      </c>
      <c r="N13" s="18" t="n">
        <v>25.487335023638565</v>
      </c>
      <c r="O13" s="18" t="n">
        <v>22.030525167892762</v>
      </c>
    </row>
    <row ht="15.75" r="14" spans="1:15" thickBot="1" x14ac:dyDescent="0.3">
      <c r="A14">
        <v>3</v>
      </c>
      <c r="B14" s="83" t="n">
        <v>7285.3036</v>
      </c>
      <c r="C14" s="83" t="n">
        <v>827.7403</v>
      </c>
      <c r="D14" s="83" t="n">
        <v>112.982</v>
      </c>
      <c r="E14" s="83">
        <f si="0" t="shared"/>
        <v>8226.0259000000005</v>
      </c>
      <c r="G14">
        <v>3</v>
      </c>
      <c r="H14" s="83" t="n">
        <v>25967.0</v>
      </c>
      <c r="I14" s="83" t="n">
        <v>3499.0</v>
      </c>
      <c r="J14" s="85" t="n">
        <v>2927.0</v>
      </c>
      <c r="K14" s="83">
        <f si="1" t="shared"/>
        <v>32228</v>
      </c>
      <c r="M14" s="1" t="s">
        <v>3</v>
      </c>
      <c r="N14" s="19" t="n">
        <v>21.973485253303615</v>
      </c>
      <c r="O14" s="19" t="n">
        <v>15.864160702301028</v>
      </c>
    </row>
    <row r="15" spans="1:15" x14ac:dyDescent="0.25">
      <c r="A15">
        <v>4</v>
      </c>
      <c r="B15" s="83" t="n">
        <v>10392.5259</v>
      </c>
      <c r="C15" s="83" t="n">
        <v>728.3605</v>
      </c>
      <c r="D15" s="83" t="n">
        <v>12.928</v>
      </c>
      <c r="E15" s="83">
        <f si="0" t="shared"/>
        <v>11133.814400000001</v>
      </c>
      <c r="G15">
        <v>4</v>
      </c>
      <c r="H15" s="83" t="n">
        <v>25630.0</v>
      </c>
      <c r="I15" s="83" t="n">
        <v>3676.0</v>
      </c>
      <c r="J15" s="85" t="n">
        <v>3183.0</v>
      </c>
      <c r="K15" s="83">
        <f si="1" t="shared"/>
        <v>32345</v>
      </c>
    </row>
    <row r="16" spans="1:15" x14ac:dyDescent="0.25">
      <c r="A16">
        <v>5</v>
      </c>
      <c r="B16" s="83" t="n">
        <v>5646.9799</v>
      </c>
      <c r="C16" s="83" t="n">
        <v>329.5046</v>
      </c>
      <c r="D16" s="83" t="n">
        <v>7452.6958</v>
      </c>
      <c r="E16" s="83">
        <f si="0" t="shared"/>
        <v>13429.1803</v>
      </c>
      <c r="G16">
        <v>5</v>
      </c>
      <c r="H16" s="83" t="n">
        <v>23956.0</v>
      </c>
      <c r="I16" s="83" t="n">
        <v>3612.0</v>
      </c>
      <c r="J16" s="85" t="n">
        <v>3756.0</v>
      </c>
      <c r="K16" s="83">
        <f si="1" t="shared"/>
        <v>31280</v>
      </c>
    </row>
    <row r="17" spans="1:11" x14ac:dyDescent="0.25">
      <c r="A17">
        <v>6</v>
      </c>
      <c r="B17" s="83" t="n">
        <v>5830.5565</v>
      </c>
      <c r="C17" s="83" t="n">
        <v>1405.8463</v>
      </c>
      <c r="D17" s="83" t="n">
        <v>224.76899999999998</v>
      </c>
      <c r="E17" s="83">
        <f si="0" t="shared"/>
        <v>7461.1718000000001</v>
      </c>
      <c r="G17">
        <v>6</v>
      </c>
      <c r="H17" s="83" t="n">
        <v>21591.0</v>
      </c>
      <c r="I17" s="83" t="n">
        <v>3506.0</v>
      </c>
      <c r="J17" s="85" t="n">
        <v>4146.0</v>
      </c>
      <c r="K17" s="83">
        <f si="1" t="shared"/>
        <v>29256</v>
      </c>
    </row>
    <row r="18" spans="1:11" x14ac:dyDescent="0.25">
      <c r="A18">
        <v>7</v>
      </c>
      <c r="B18" s="83" t="n">
        <v>9951.9981</v>
      </c>
      <c r="C18" s="83" t="n">
        <v>795.16</v>
      </c>
      <c r="D18" s="83" t="n">
        <v>215.69199999999998</v>
      </c>
      <c r="E18" s="83">
        <f si="0" t="shared"/>
        <v>10962.8501</v>
      </c>
      <c r="G18">
        <v>7</v>
      </c>
      <c r="H18" s="83" t="n">
        <v>19685.0</v>
      </c>
      <c r="I18" s="83" t="n">
        <v>3343.0</v>
      </c>
      <c r="J18" s="85" t="n">
        <v>3279.0</v>
      </c>
      <c r="K18" s="83">
        <f si="1" t="shared"/>
        <v>26207</v>
      </c>
    </row>
    <row r="19" spans="1:11" x14ac:dyDescent="0.25">
      <c r="A19">
        <v>8</v>
      </c>
      <c r="B19" s="83" t="n">
        <v>2651.7325</v>
      </c>
      <c r="C19" s="83" t="n">
        <v>0.0</v>
      </c>
      <c r="D19" s="83" t="n">
        <v>766.789</v>
      </c>
      <c r="E19" s="83">
        <f si="0" t="shared"/>
        <v>3418.5214999999998</v>
      </c>
      <c r="G19">
        <v>8</v>
      </c>
      <c r="H19" s="83" t="n">
        <v>16616.0</v>
      </c>
      <c r="I19" s="83" t="n">
        <v>3027.0</v>
      </c>
      <c r="J19" s="85" t="n">
        <v>2976.0</v>
      </c>
      <c r="K19" s="83">
        <f si="1" t="shared"/>
        <v>22619</v>
      </c>
    </row>
    <row r="20" spans="1:11" x14ac:dyDescent="0.25">
      <c r="A20">
        <v>9</v>
      </c>
      <c r="B20" s="83" t="n">
        <v>10667.088099999999</v>
      </c>
      <c r="C20" s="83" t="n">
        <v>1134.9396</v>
      </c>
      <c r="D20" s="83" t="n">
        <v>80.25569999999999</v>
      </c>
      <c r="E20" s="83">
        <f si="0" t="shared"/>
        <v>11882.283399999998</v>
      </c>
      <c r="G20">
        <v>9</v>
      </c>
      <c r="H20" s="83" t="n">
        <v>14601.0</v>
      </c>
      <c r="I20" s="83" t="n">
        <v>2750.0</v>
      </c>
      <c r="J20" s="85" t="n">
        <v>2526.0</v>
      </c>
      <c r="K20" s="83">
        <f si="1" t="shared"/>
        <v>19737</v>
      </c>
    </row>
    <row r="21" spans="1:11" x14ac:dyDescent="0.25">
      <c r="A21">
        <v>10</v>
      </c>
      <c r="B21" s="83" t="n">
        <v>4602.3874000000005</v>
      </c>
      <c r="C21" s="83" t="n">
        <v>541.9792</v>
      </c>
      <c r="D21" s="83" t="n">
        <v>0.0</v>
      </c>
      <c r="E21" s="83">
        <f si="0" t="shared"/>
        <v>5144.3666000000003</v>
      </c>
      <c r="G21">
        <v>10</v>
      </c>
      <c r="H21" s="83" t="n">
        <v>12019.0</v>
      </c>
      <c r="I21" s="83" t="n">
        <v>2571.0</v>
      </c>
      <c r="J21" s="85" t="n">
        <v>2260.0</v>
      </c>
      <c r="K21" s="83">
        <f si="1" t="shared"/>
        <v>16931</v>
      </c>
    </row>
    <row r="22" spans="1:11" x14ac:dyDescent="0.25">
      <c r="A22">
        <v>11</v>
      </c>
      <c r="B22" s="83" t="n">
        <v>8116.9631</v>
      </c>
      <c r="C22" s="83" t="n">
        <v>1022.1395</v>
      </c>
      <c r="D22" s="83" t="n">
        <v>445.9176</v>
      </c>
      <c r="E22" s="83">
        <f si="0" t="shared"/>
        <v>9585.0202000000008</v>
      </c>
      <c r="G22">
        <v>11</v>
      </c>
      <c r="H22" s="83" t="n">
        <v>10060.0</v>
      </c>
      <c r="I22" s="83" t="n">
        <v>2222.0</v>
      </c>
      <c r="J22" s="85" t="n">
        <v>2056.0</v>
      </c>
      <c r="K22" s="83">
        <f si="1" t="shared"/>
        <v>14397</v>
      </c>
    </row>
    <row r="23" spans="1:11" x14ac:dyDescent="0.25">
      <c r="A23">
        <v>12</v>
      </c>
      <c r="B23" s="83" t="n">
        <v>20061.9584</v>
      </c>
      <c r="C23" s="83" t="n">
        <v>2444.9375999999997</v>
      </c>
      <c r="D23" s="83" t="n">
        <v>253.2591</v>
      </c>
      <c r="E23" s="83">
        <f si="0" t="shared"/>
        <v>22760.1551</v>
      </c>
      <c r="G23">
        <v>12</v>
      </c>
      <c r="H23" s="83" t="n">
        <v>9048.0</v>
      </c>
      <c r="I23" s="83" t="n">
        <v>1946.0</v>
      </c>
      <c r="J23" s="85" t="n">
        <v>1980.0</v>
      </c>
      <c r="K23" s="83">
        <f si="1" t="shared"/>
        <v>13043</v>
      </c>
    </row>
    <row r="24" spans="1:11" x14ac:dyDescent="0.25">
      <c r="A24">
        <v>13</v>
      </c>
      <c r="B24" s="83" t="n">
        <v>7538.7794</v>
      </c>
      <c r="C24" s="83" t="n">
        <v>241.2413</v>
      </c>
      <c r="D24" s="83" t="n">
        <v>924.3569</v>
      </c>
      <c r="E24" s="83">
        <f si="0" t="shared"/>
        <v>8704.3775999999998</v>
      </c>
      <c r="G24">
        <v>13</v>
      </c>
      <c r="H24" s="83" t="n">
        <v>7488.0</v>
      </c>
      <c r="I24" s="83" t="n">
        <v>1843.0</v>
      </c>
      <c r="J24" s="85" t="n">
        <v>1257.0</v>
      </c>
      <c r="K24" s="83">
        <f si="1" t="shared"/>
        <v>10440</v>
      </c>
    </row>
    <row r="25" spans="1:11" x14ac:dyDescent="0.25">
      <c r="A25">
        <v>14</v>
      </c>
      <c r="B25" s="83" t="n">
        <v>11279.2145</v>
      </c>
      <c r="C25" s="83" t="n">
        <v>834.1784</v>
      </c>
      <c r="D25" s="83" t="n">
        <v>1634.7037</v>
      </c>
      <c r="E25" s="83">
        <f si="0" t="shared"/>
        <v>13748.096600000001</v>
      </c>
      <c r="G25">
        <v>14</v>
      </c>
      <c r="H25" s="83" t="n">
        <v>6319.0</v>
      </c>
      <c r="I25" s="83" t="n">
        <v>1565.0</v>
      </c>
      <c r="J25" s="85" t="n">
        <v>1085.0</v>
      </c>
      <c r="K25" s="83">
        <f si="1" t="shared"/>
        <v>8998</v>
      </c>
    </row>
    <row r="26" spans="1:11" x14ac:dyDescent="0.25">
      <c r="A26">
        <v>15</v>
      </c>
      <c r="B26" s="83" t="n">
        <v>1343.0692</v>
      </c>
      <c r="C26" s="83" t="n">
        <v>0.0</v>
      </c>
      <c r="D26" s="83" t="n">
        <v>196.95</v>
      </c>
      <c r="E26" s="83">
        <f si="0" t="shared"/>
        <v>1540.0192</v>
      </c>
      <c r="G26">
        <v>15</v>
      </c>
      <c r="H26" s="83" t="n">
        <v>6248.0</v>
      </c>
      <c r="I26" s="83" t="n">
        <v>1487.0</v>
      </c>
      <c r="J26" s="85" t="n">
        <v>986.0</v>
      </c>
      <c r="K26" s="83">
        <f si="1" t="shared"/>
        <v>8684</v>
      </c>
    </row>
    <row r="27" spans="1:11" x14ac:dyDescent="0.25">
      <c r="A27">
        <v>16</v>
      </c>
      <c r="B27" s="83" t="n">
        <v>25742.3075</v>
      </c>
      <c r="C27" s="83" t="n">
        <v>2312.2284</v>
      </c>
      <c r="D27" s="83" t="n">
        <v>1590.6269</v>
      </c>
      <c r="E27" s="83">
        <f si="0" t="shared"/>
        <v>29645.162799999998</v>
      </c>
      <c r="G27">
        <v>16</v>
      </c>
      <c r="H27" s="83" t="n">
        <v>4993.0</v>
      </c>
      <c r="I27" s="83" t="n">
        <v>1334.0</v>
      </c>
      <c r="J27" s="85" t="n">
        <v>813.0</v>
      </c>
      <c r="K27" s="83">
        <f si="1" t="shared"/>
        <v>7126</v>
      </c>
    </row>
    <row r="28" spans="1:11" x14ac:dyDescent="0.25">
      <c r="A28">
        <v>17</v>
      </c>
      <c r="B28" s="83" t="n">
        <v>11071.6979</v>
      </c>
      <c r="C28" s="83" t="n">
        <v>666.9232</v>
      </c>
      <c r="D28" s="83" t="n">
        <v>0.0</v>
      </c>
      <c r="E28" s="83">
        <f si="0" t="shared"/>
        <v>11738.621099999998</v>
      </c>
      <c r="G28">
        <v>17</v>
      </c>
      <c r="H28" s="83" t="n">
        <v>4507.0</v>
      </c>
      <c r="I28" s="83" t="n">
        <v>1302.0</v>
      </c>
      <c r="J28" s="85" t="n">
        <v>1150.0</v>
      </c>
      <c r="K28" s="83">
        <f si="1" t="shared"/>
        <v>6818</v>
      </c>
    </row>
    <row r="29" spans="1:11" x14ac:dyDescent="0.25">
      <c r="A29">
        <v>18</v>
      </c>
      <c r="B29" s="83" t="n">
        <v>37230.7892</v>
      </c>
      <c r="C29" s="83" t="n">
        <v>5722.6717</v>
      </c>
      <c r="D29" s="83" t="n">
        <v>5352.9331999999995</v>
      </c>
      <c r="E29" s="83">
        <f si="0" t="shared"/>
        <v>48306.394099999998</v>
      </c>
      <c r="G29">
        <v>18</v>
      </c>
      <c r="H29" s="83" t="n">
        <v>63307.0</v>
      </c>
      <c r="I29" s="83" t="n">
        <v>16174.0</v>
      </c>
      <c r="J29" s="85" t="n">
        <v>13878.0</v>
      </c>
      <c r="K29" s="83">
        <f si="1" t="shared"/>
        <v>93774</v>
      </c>
    </row>
    <row r="30" spans="1:11" x14ac:dyDescent="0.25">
      <c r="A30">
        <v>19</v>
      </c>
      <c r="B30" s="83" t="n">
        <v>19208.2896</v>
      </c>
      <c r="C30" s="83" t="n">
        <v>5036.694</v>
      </c>
      <c r="D30" s="83" t="n">
        <v>4783.6118</v>
      </c>
      <c r="E30" s="83">
        <f si="0" t="shared"/>
        <v>29028.595399999998</v>
      </c>
      <c r="G30">
        <v>19</v>
      </c>
      <c r="H30" s="83" t="n">
        <v>13130.0</v>
      </c>
      <c r="I30" s="83" t="n">
        <v>3878.0</v>
      </c>
      <c r="J30" s="85" t="n">
        <v>6836.0</v>
      </c>
      <c r="K30" s="83">
        <f si="1" t="shared"/>
        <v>22832</v>
      </c>
    </row>
    <row r="31" spans="1:11" x14ac:dyDescent="0.25">
      <c r="A31">
        <v>20</v>
      </c>
      <c r="B31" s="83" t="n">
        <v>41266.0244</v>
      </c>
      <c r="C31" s="83" t="n">
        <v>2008.2398</v>
      </c>
      <c r="D31" s="83" t="n">
        <v>3383.5687</v>
      </c>
      <c r="E31" s="83">
        <f si="0" t="shared"/>
        <v>46657.832900000009</v>
      </c>
      <c r="G31">
        <v>20</v>
      </c>
      <c r="H31" s="83" t="n">
        <v>12436.0</v>
      </c>
      <c r="I31" s="83" t="n">
        <v>4669.0</v>
      </c>
      <c r="J31" s="85" t="n">
        <v>9859.0</v>
      </c>
      <c r="K31" s="83">
        <f si="1" t="shared"/>
        <v>23771</v>
      </c>
    </row>
    <row r="32" spans="1:11" x14ac:dyDescent="0.25">
      <c r="A32">
        <v>21</v>
      </c>
      <c r="B32" s="83" t="n">
        <v>20348.6981</v>
      </c>
      <c r="C32" s="83" t="n">
        <v>3177.5144</v>
      </c>
      <c r="D32" s="83" t="n">
        <v>3402.5726</v>
      </c>
      <c r="E32" s="83">
        <f si="0" t="shared"/>
        <v>26928.785100000001</v>
      </c>
      <c r="G32">
        <v>21</v>
      </c>
      <c r="H32" s="83" t="n">
        <v>12508.0</v>
      </c>
      <c r="I32" s="83" t="n">
        <v>4644.0</v>
      </c>
      <c r="J32" s="85" t="n">
        <v>8771.0</v>
      </c>
      <c r="K32" s="83">
        <f si="1" t="shared"/>
        <v>30401</v>
      </c>
    </row>
    <row r="33" spans="1:11" x14ac:dyDescent="0.25">
      <c r="A33">
        <v>22</v>
      </c>
      <c r="B33" s="83" t="n">
        <v>21622.0733</v>
      </c>
      <c r="C33" s="83" t="n">
        <v>2015.7887</v>
      </c>
      <c r="D33" s="83" t="n">
        <v>4173.3805</v>
      </c>
      <c r="E33" s="83">
        <f si="0" t="shared"/>
        <v>27811.2425</v>
      </c>
      <c r="G33">
        <v>22</v>
      </c>
      <c r="H33" s="83" t="n">
        <v>18757.0</v>
      </c>
      <c r="I33" s="83" t="n">
        <v>6310.0</v>
      </c>
      <c r="J33" s="85" t="n">
        <v>4674.0</v>
      </c>
      <c r="K33" s="83">
        <f si="1" t="shared"/>
        <v>30110</v>
      </c>
    </row>
    <row r="34" spans="1:11" x14ac:dyDescent="0.25">
      <c r="A34">
        <v>23</v>
      </c>
      <c r="B34" s="83" t="n">
        <v>3476.5962</v>
      </c>
      <c r="C34" s="83" t="n">
        <v>87.1083</v>
      </c>
      <c r="D34" s="83" t="n">
        <v>2692.1727</v>
      </c>
      <c r="E34" s="83">
        <f si="0" t="shared"/>
        <v>6255.8771999999999</v>
      </c>
      <c r="G34">
        <v>23</v>
      </c>
      <c r="H34" s="83" t="n">
        <v>17429.0</v>
      </c>
      <c r="I34" s="83" t="n">
        <v>5203.0</v>
      </c>
      <c r="J34" s="85" t="n">
        <v>9317.0</v>
      </c>
      <c r="K34" s="83">
        <f si="1" t="shared"/>
        <v>25089</v>
      </c>
    </row>
    <row r="35" spans="1:11" x14ac:dyDescent="0.25">
      <c r="A35">
        <v>24</v>
      </c>
      <c r="B35" s="83" t="n">
        <v>14231.0566</v>
      </c>
      <c r="C35" s="83" t="n">
        <v>5333.9229000000005</v>
      </c>
      <c r="D35" s="83" t="n">
        <v>1554.6602</v>
      </c>
      <c r="E35" s="83">
        <f si="0" t="shared"/>
        <v>21119.6397</v>
      </c>
      <c r="G35">
        <v>24</v>
      </c>
      <c r="H35" s="83" t="n">
        <v>6144.0</v>
      </c>
      <c r="I35" s="83" t="n">
        <v>2528.0</v>
      </c>
      <c r="J35" s="85" t="n">
        <v>7324.0</v>
      </c>
      <c r="K35" s="83">
        <f si="1" t="shared"/>
        <v>18299</v>
      </c>
    </row>
    <row r="36" spans="1:11" x14ac:dyDescent="0.25">
      <c r="A36">
        <v>25</v>
      </c>
      <c r="B36" s="83" t="n">
        <v>14298.2394</v>
      </c>
      <c r="C36" s="83" t="n">
        <v>294.7741</v>
      </c>
      <c r="D36" s="83" t="n">
        <v>1148.9579</v>
      </c>
      <c r="E36" s="83">
        <f si="0" t="shared"/>
        <v>15741.9714</v>
      </c>
      <c r="G36">
        <v>25</v>
      </c>
      <c r="H36" s="83" t="n">
        <v>9520.0</v>
      </c>
      <c r="I36" s="83" t="n">
        <v>3655.0</v>
      </c>
      <c r="J36" s="85" t="n">
        <v>4792.0</v>
      </c>
      <c r="K36" s="83">
        <f si="1" t="shared"/>
        <v>19947</v>
      </c>
    </row>
    <row r="37" spans="1:11" x14ac:dyDescent="0.25">
      <c r="A37">
        <v>26</v>
      </c>
      <c r="B37" s="83" t="n">
        <v>33839.3131</v>
      </c>
      <c r="C37" s="83" t="n">
        <v>7174.651</v>
      </c>
      <c r="D37" s="83" t="n">
        <v>887.428</v>
      </c>
      <c r="E37" s="83">
        <f si="0" t="shared"/>
        <v>41901.392099999997</v>
      </c>
      <c r="G37">
        <v>26</v>
      </c>
      <c r="H37" s="83" t="n">
        <v>6685.0</v>
      </c>
      <c r="I37" s="83" t="n">
        <v>2538.0</v>
      </c>
      <c r="J37" s="85" t="n">
        <v>7884.0</v>
      </c>
      <c r="K37" s="83">
        <f si="1" t="shared"/>
        <v>19048</v>
      </c>
    </row>
    <row r="38" spans="1:11" x14ac:dyDescent="0.25">
      <c r="A38">
        <v>27</v>
      </c>
      <c r="B38" s="83" t="n">
        <v>3780.4168</v>
      </c>
      <c r="C38" s="83" t="n">
        <v>2004.8523</v>
      </c>
      <c r="D38" s="83" t="n">
        <v>451.7598</v>
      </c>
      <c r="E38" s="83">
        <f si="0" t="shared"/>
        <v>6237.0288999999993</v>
      </c>
      <c r="G38">
        <v>27</v>
      </c>
      <c r="H38" s="83" t="n">
        <v>5649.0</v>
      </c>
      <c r="I38" s="83" t="n">
        <v>2578.0</v>
      </c>
      <c r="J38" s="85" t="n">
        <v>8270.0</v>
      </c>
      <c r="K38" s="83">
        <f si="1" t="shared"/>
        <v>15222</v>
      </c>
    </row>
    <row r="39" spans="1:11" x14ac:dyDescent="0.25">
      <c r="A39">
        <v>28</v>
      </c>
      <c r="B39" s="83" t="n">
        <v>11328.2202</v>
      </c>
      <c r="C39" s="83" t="n">
        <v>1681.9155</v>
      </c>
      <c r="D39" s="83" t="n">
        <v>1986.3262</v>
      </c>
      <c r="E39" s="83">
        <f si="0" t="shared"/>
        <v>14996.461899999998</v>
      </c>
      <c r="G39">
        <v>28</v>
      </c>
      <c r="H39" s="83" t="n">
        <v>3681.0</v>
      </c>
      <c r="I39" s="83" t="n">
        <v>1505.0</v>
      </c>
      <c r="J39" s="85" t="n">
        <v>3183.0</v>
      </c>
      <c r="K39" s="83">
        <f si="1" t="shared"/>
        <v>8118</v>
      </c>
    </row>
    <row r="40" spans="1:11" x14ac:dyDescent="0.25">
      <c r="A40">
        <v>29</v>
      </c>
      <c r="B40" s="83" t="n">
        <v>4032.5270000000005</v>
      </c>
      <c r="C40" s="83" t="n">
        <v>2926.6144000000004</v>
      </c>
      <c r="D40" s="83" t="n">
        <v>1539.4123</v>
      </c>
      <c r="E40" s="83">
        <f si="0" t="shared"/>
        <v>8498.5537000000004</v>
      </c>
      <c r="G40">
        <v>29</v>
      </c>
      <c r="H40" s="83" t="n">
        <v>4241.0</v>
      </c>
      <c r="I40" s="83" t="n">
        <v>1758.0</v>
      </c>
      <c r="J40" s="85" t="n">
        <v>2476.0</v>
      </c>
      <c r="K40" s="83">
        <f si="1" t="shared"/>
        <v>8520</v>
      </c>
    </row>
    <row r="41" spans="1:11" x14ac:dyDescent="0.25">
      <c r="A41">
        <v>30</v>
      </c>
      <c r="B41" s="83" t="n">
        <v>14496.886</v>
      </c>
      <c r="C41" s="83" t="n">
        <v>3870.1862</v>
      </c>
      <c r="D41" s="83" t="n">
        <v>1444.3077</v>
      </c>
      <c r="E41" s="83">
        <f si="0" t="shared"/>
        <v>19811.379900000004</v>
      </c>
      <c r="G41">
        <v>30</v>
      </c>
      <c r="H41" s="83" t="n">
        <v>6358.0</v>
      </c>
      <c r="I41" s="83" t="n">
        <v>2131.0</v>
      </c>
      <c r="J41" s="85" t="n">
        <v>3837.0</v>
      </c>
      <c r="K41" s="83">
        <f si="1" t="shared"/>
        <v>13240</v>
      </c>
    </row>
    <row r="42" spans="1:11" x14ac:dyDescent="0.25">
      <c r="A42">
        <v>31</v>
      </c>
      <c r="B42" s="83" t="n">
        <v>4371.8631</v>
      </c>
      <c r="C42" s="83" t="n">
        <v>2765.5991</v>
      </c>
      <c r="D42" s="83" t="n">
        <v>1153.2854</v>
      </c>
      <c r="E42" s="83">
        <f si="0" t="shared"/>
        <v>8290.7476000000006</v>
      </c>
      <c r="G42">
        <v>31</v>
      </c>
      <c r="H42" s="83" t="n">
        <v>4958.0</v>
      </c>
      <c r="I42" s="83" t="n">
        <v>1829.0</v>
      </c>
      <c r="J42" s="85" t="n">
        <v>3010.0</v>
      </c>
      <c r="K42" s="83">
        <f si="1" t="shared"/>
        <v>9925</v>
      </c>
    </row>
    <row r="43" spans="1:11" x14ac:dyDescent="0.25">
      <c r="A43">
        <v>32</v>
      </c>
      <c r="B43" s="83" t="n">
        <v>4797.0135</v>
      </c>
      <c r="C43" s="83" t="n">
        <v>679.5339</v>
      </c>
      <c r="D43" s="83" t="n">
        <v>193.3778</v>
      </c>
      <c r="E43" s="83">
        <f ref="E43:E74" si="2" t="shared">SUM(B43:D43)</f>
        <v>5669.9252000000006</v>
      </c>
      <c r="G43">
        <v>32</v>
      </c>
      <c r="H43" s="83" t="n">
        <v>3851.0</v>
      </c>
      <c r="I43" s="83" t="n">
        <v>1408.0</v>
      </c>
      <c r="J43" s="85" t="n">
        <v>4914.0</v>
      </c>
      <c r="K43" s="83">
        <f ref="K43:K74" si="3" t="shared">SUM(H43:J43)</f>
        <v>8702</v>
      </c>
    </row>
    <row r="44" spans="1:11" x14ac:dyDescent="0.25">
      <c r="A44">
        <v>33</v>
      </c>
      <c r="B44" s="83" t="n">
        <v>3526.8323</v>
      </c>
      <c r="C44" s="83" t="n">
        <v>0.0</v>
      </c>
      <c r="D44" s="83" t="n">
        <v>2470.4291</v>
      </c>
      <c r="E44" s="83">
        <f si="2" t="shared"/>
        <v>5997.2613999999994</v>
      </c>
      <c r="G44">
        <v>33</v>
      </c>
      <c r="H44" s="83" t="n">
        <v>1308.0</v>
      </c>
      <c r="I44" s="83" t="n">
        <v>794.0</v>
      </c>
      <c r="J44" s="85" t="n">
        <v>2258.0</v>
      </c>
      <c r="K44" s="83">
        <f si="3" t="shared"/>
        <v>5410</v>
      </c>
    </row>
    <row r="45" spans="1:11" x14ac:dyDescent="0.25">
      <c r="A45">
        <v>34</v>
      </c>
      <c r="B45" s="83" t="n">
        <v>12890.1114</v>
      </c>
      <c r="C45" s="83" t="n">
        <v>645.0735999999999</v>
      </c>
      <c r="D45" s="83" t="n">
        <v>1201.6505</v>
      </c>
      <c r="E45" s="83">
        <f si="2" t="shared"/>
        <v>14736.835499999999</v>
      </c>
      <c r="G45">
        <v>34</v>
      </c>
      <c r="H45" s="83" t="n">
        <v>2052.0</v>
      </c>
      <c r="I45" s="83" t="n">
        <v>845.0</v>
      </c>
      <c r="J45" s="85" t="n">
        <v>2517.0</v>
      </c>
      <c r="K45" s="83">
        <f si="3" t="shared"/>
        <v>4814</v>
      </c>
    </row>
    <row r="46" spans="1:11" x14ac:dyDescent="0.25">
      <c r="A46">
        <v>35</v>
      </c>
      <c r="B46" s="83" t="n">
        <v>0.0</v>
      </c>
      <c r="C46" s="83" t="n">
        <v>438.0688</v>
      </c>
      <c r="D46" s="83" t="n">
        <v>388.3709</v>
      </c>
      <c r="E46" s="83">
        <f si="2" t="shared"/>
        <v>826.43970000000002</v>
      </c>
      <c r="G46">
        <v>35</v>
      </c>
      <c r="H46" s="83" t="n">
        <v>1992.0</v>
      </c>
      <c r="I46" s="83" t="n">
        <v>797.0</v>
      </c>
      <c r="J46" s="85" t="n">
        <v>2085.0</v>
      </c>
      <c r="K46" s="83">
        <f si="3" t="shared"/>
        <v>4818</v>
      </c>
    </row>
    <row r="47" spans="1:11" x14ac:dyDescent="0.25">
      <c r="A47">
        <v>36</v>
      </c>
      <c r="B47" s="83" t="n">
        <v>264.5087</v>
      </c>
      <c r="C47" s="83" t="n">
        <v>0.0</v>
      </c>
      <c r="D47" s="83" t="n">
        <v>1345.1968</v>
      </c>
      <c r="E47" s="83">
        <f si="2" t="shared"/>
        <v>1609.7055</v>
      </c>
      <c r="G47">
        <v>36</v>
      </c>
      <c r="H47" s="83" t="n">
        <v>1825.0</v>
      </c>
      <c r="I47" s="83" t="n">
        <v>786.0</v>
      </c>
      <c r="J47" s="85" t="n">
        <v>2398.0</v>
      </c>
      <c r="K47" s="83">
        <f si="3" t="shared"/>
        <v>5334</v>
      </c>
    </row>
    <row r="48" spans="1:11" x14ac:dyDescent="0.25">
      <c r="A48">
        <v>37</v>
      </c>
      <c r="B48" s="83" t="n">
        <v>4936.4268</v>
      </c>
      <c r="C48" s="83" t="n">
        <v>1379.2523</v>
      </c>
      <c r="D48" s="83" t="n">
        <v>327.4027</v>
      </c>
      <c r="E48" s="83">
        <f si="2" t="shared"/>
        <v>6643.0817999999999</v>
      </c>
      <c r="G48">
        <v>37</v>
      </c>
      <c r="H48" s="83" t="n">
        <v>2130.0</v>
      </c>
      <c r="I48" s="83" t="n">
        <v>920.0</v>
      </c>
      <c r="J48" s="85" t="n">
        <v>1105.0</v>
      </c>
      <c r="K48" s="83">
        <f si="3" t="shared"/>
        <v>4204</v>
      </c>
    </row>
    <row r="49" spans="1:11" x14ac:dyDescent="0.25">
      <c r="A49">
        <v>38</v>
      </c>
      <c r="B49" s="83" t="n">
        <v>3535.002</v>
      </c>
      <c r="C49" s="83" t="n">
        <v>1625.885</v>
      </c>
      <c r="D49" s="83" t="n">
        <v>953.4077</v>
      </c>
      <c r="E49" s="83">
        <f si="2" t="shared"/>
        <v>6114.2946999999995</v>
      </c>
      <c r="G49">
        <v>38</v>
      </c>
      <c r="H49" s="83" t="n">
        <v>608.0</v>
      </c>
      <c r="I49" s="83" t="n">
        <v>470.0</v>
      </c>
      <c r="J49" s="85" t="n">
        <v>1160.0</v>
      </c>
      <c r="K49" s="83">
        <f si="3" t="shared"/>
        <v>2269</v>
      </c>
    </row>
    <row r="50" spans="1:11" x14ac:dyDescent="0.25">
      <c r="A50">
        <v>39</v>
      </c>
      <c r="B50" s="83" t="n">
        <v>551.8249999999999</v>
      </c>
      <c r="C50" s="83" t="n">
        <v>0.0</v>
      </c>
      <c r="D50" s="83" t="n">
        <v>1511.3800999999999</v>
      </c>
      <c r="E50" s="83">
        <f si="2" t="shared"/>
        <v>2063.2050999999997</v>
      </c>
      <c r="G50">
        <v>39</v>
      </c>
      <c r="H50" s="83" t="n">
        <v>516.0</v>
      </c>
      <c r="I50" s="83" t="n">
        <v>402.0</v>
      </c>
      <c r="J50" s="85" t="n">
        <v>870.0</v>
      </c>
      <c r="K50" s="83">
        <f si="3" t="shared"/>
        <v>2565</v>
      </c>
    </row>
    <row r="51" spans="1:11" x14ac:dyDescent="0.25">
      <c r="A51">
        <v>40</v>
      </c>
      <c r="B51" s="83" t="n">
        <v>0.0</v>
      </c>
      <c r="C51" s="83" t="n">
        <v>55.7339</v>
      </c>
      <c r="D51" s="83" t="n">
        <v>145.3335</v>
      </c>
      <c r="E51" s="83">
        <f si="2" t="shared"/>
        <v>201.06739999999999</v>
      </c>
      <c r="G51">
        <v>40</v>
      </c>
      <c r="H51" s="83" t="n">
        <v>669.0</v>
      </c>
      <c r="I51" s="83" t="n">
        <v>462.0</v>
      </c>
      <c r="J51" s="85" t="n">
        <v>1250.0</v>
      </c>
      <c r="K51" s="83">
        <f si="3" t="shared"/>
        <v>1884</v>
      </c>
    </row>
    <row r="52" spans="1:11" x14ac:dyDescent="0.25">
      <c r="A52">
        <v>41</v>
      </c>
      <c r="B52" s="83" t="n">
        <v>5402.1254</v>
      </c>
      <c r="C52" s="83" t="n">
        <v>0.0</v>
      </c>
      <c r="D52" s="83" t="n">
        <v>316.6618</v>
      </c>
      <c r="E52" s="83">
        <f si="2" t="shared"/>
        <v>5718.7871999999998</v>
      </c>
      <c r="G52">
        <v>41</v>
      </c>
      <c r="H52" s="83" t="n">
        <v>214.0</v>
      </c>
      <c r="I52" s="83" t="n">
        <v>178.0</v>
      </c>
      <c r="J52" s="85" t="n">
        <v>552.0</v>
      </c>
      <c r="K52" s="83">
        <f si="3" t="shared"/>
        <v>1400</v>
      </c>
    </row>
    <row r="53" spans="1:11" x14ac:dyDescent="0.25">
      <c r="A53">
        <v>42</v>
      </c>
      <c r="B53" s="83" t="n">
        <v>0.0</v>
      </c>
      <c r="C53" s="83" t="n">
        <v>0.0</v>
      </c>
      <c r="D53" s="83" t="n">
        <v>214.2046</v>
      </c>
      <c r="E53" s="83">
        <f si="2" t="shared"/>
        <v>214.2046</v>
      </c>
      <c r="G53">
        <v>42</v>
      </c>
      <c r="H53" s="83" t="n">
        <v>220.0</v>
      </c>
      <c r="I53" s="83" t="n">
        <v>211.0</v>
      </c>
      <c r="J53" s="85" t="n">
        <v>973.0</v>
      </c>
      <c r="K53" s="83">
        <f si="3" t="shared"/>
        <v>1066</v>
      </c>
    </row>
    <row r="54" spans="1:11" x14ac:dyDescent="0.25">
      <c r="A54">
        <v>43</v>
      </c>
      <c r="B54" s="83" t="n">
        <v>353.8466</v>
      </c>
      <c r="C54" s="83" t="n">
        <v>254.1134</v>
      </c>
      <c r="D54" s="83" t="n">
        <v>460.9102</v>
      </c>
      <c r="E54" s="83">
        <f si="2" t="shared"/>
        <v>1068.8702000000001</v>
      </c>
      <c r="G54">
        <v>43</v>
      </c>
      <c r="H54" s="83" t="n">
        <v>110.0</v>
      </c>
      <c r="I54" s="83" t="n">
        <v>155.0</v>
      </c>
      <c r="J54" s="85" t="n">
        <v>742.0</v>
      </c>
      <c r="K54" s="83">
        <f si="3" t="shared"/>
        <v>874</v>
      </c>
    </row>
    <row r="55" spans="1:11" x14ac:dyDescent="0.25">
      <c r="A55">
        <v>44</v>
      </c>
      <c r="B55" s="83" t="n">
        <v>0.0</v>
      </c>
      <c r="C55" s="83" t="n">
        <v>262.7907</v>
      </c>
      <c r="D55" s="83" t="n">
        <v>1013.4291000000001</v>
      </c>
      <c r="E55" s="83">
        <f si="2" t="shared"/>
        <v>1276.2198000000001</v>
      </c>
      <c r="G55">
        <v>44</v>
      </c>
      <c r="H55" s="83" t="n">
        <v>113.0</v>
      </c>
      <c r="I55" s="83" t="n">
        <v>135.0</v>
      </c>
      <c r="J55" s="85" t="n">
        <v>793.0</v>
      </c>
      <c r="K55" s="83">
        <f si="3" t="shared"/>
        <v>1390</v>
      </c>
    </row>
    <row r="56" spans="1:11" x14ac:dyDescent="0.25">
      <c r="A56">
        <v>45</v>
      </c>
      <c r="B56" s="83" t="n">
        <v>14075.8714</v>
      </c>
      <c r="C56" s="83" t="n">
        <v>3017.0855</v>
      </c>
      <c r="D56" s="83" t="n">
        <v>3907.4936000000002</v>
      </c>
      <c r="E56" s="83">
        <f si="2" t="shared"/>
        <v>21000.450500000003</v>
      </c>
      <c r="G56">
        <v>45</v>
      </c>
      <c r="H56" s="83" t="n">
        <v>227.0</v>
      </c>
      <c r="I56" s="83" t="n">
        <v>197.0</v>
      </c>
      <c r="J56" s="85" t="n">
        <v>1067.0</v>
      </c>
      <c r="K56" s="83">
        <f si="3" t="shared"/>
        <v>1189</v>
      </c>
    </row>
    <row r="57" spans="1:11" x14ac:dyDescent="0.25">
      <c r="A57">
        <v>46</v>
      </c>
      <c r="B57" s="83" t="n">
        <v>522.3251</v>
      </c>
      <c r="C57" s="83" t="n">
        <v>522.3251</v>
      </c>
      <c r="D57" s="83" t="n">
        <v>427.759</v>
      </c>
      <c r="E57" s="83">
        <f si="2" t="shared"/>
        <v>1472.4092000000001</v>
      </c>
      <c r="G57">
        <v>46</v>
      </c>
      <c r="H57" s="83" t="n">
        <v>142.0</v>
      </c>
      <c r="I57" s="83" t="n">
        <v>160.0</v>
      </c>
      <c r="J57" s="85" t="n">
        <v>843.0</v>
      </c>
      <c r="K57" s="83">
        <f si="3" t="shared"/>
        <v>1552</v>
      </c>
    </row>
    <row r="58" spans="1:11" x14ac:dyDescent="0.25">
      <c r="A58">
        <v>47</v>
      </c>
      <c r="B58" s="83" t="n">
        <v>321.005</v>
      </c>
      <c r="C58" s="83" t="n">
        <v>0.0</v>
      </c>
      <c r="D58" s="83" t="n">
        <v>667.4098</v>
      </c>
      <c r="E58" s="83">
        <f si="2" t="shared"/>
        <v>988.41480000000001</v>
      </c>
      <c r="G58">
        <v>47</v>
      </c>
      <c r="H58" s="83" t="n">
        <v>110.0</v>
      </c>
      <c r="I58" s="83" t="n">
        <v>107.0</v>
      </c>
      <c r="J58" s="85" t="n">
        <v>479.0</v>
      </c>
      <c r="K58" s="83">
        <f si="3" t="shared"/>
        <v>741</v>
      </c>
    </row>
    <row r="59" spans="1:11" x14ac:dyDescent="0.25">
      <c r="A59">
        <v>48</v>
      </c>
      <c r="B59" s="83" t="n">
        <v>0.0</v>
      </c>
      <c r="C59" s="83" t="n">
        <v>0.0</v>
      </c>
      <c r="D59" s="83" t="n">
        <v>82.014</v>
      </c>
      <c r="E59" s="83">
        <f si="2" t="shared"/>
        <v>82.013999999999996</v>
      </c>
      <c r="G59">
        <v>48</v>
      </c>
      <c r="H59" s="83" t="n">
        <v>112.0</v>
      </c>
      <c r="I59" s="83" t="n">
        <v>141.0</v>
      </c>
      <c r="J59" s="85" t="n">
        <v>933.0</v>
      </c>
      <c r="K59" s="83">
        <f si="3" t="shared"/>
        <v>994</v>
      </c>
    </row>
    <row r="60" spans="1:11" x14ac:dyDescent="0.25">
      <c r="A60">
        <v>49</v>
      </c>
      <c r="B60" s="83" t="n">
        <v>1297.2364</v>
      </c>
      <c r="C60" s="83" t="n">
        <v>0.0</v>
      </c>
      <c r="D60" s="83" t="n">
        <v>138.9376</v>
      </c>
      <c r="E60" s="83">
        <f si="2" t="shared"/>
        <v>1436.174</v>
      </c>
      <c r="G60">
        <v>49</v>
      </c>
      <c r="H60" s="83" t="n">
        <v>48.0</v>
      </c>
      <c r="I60" s="83" t="n">
        <v>100.0</v>
      </c>
      <c r="J60" s="85" t="n">
        <v>323.0</v>
      </c>
      <c r="K60" s="83">
        <f si="3" t="shared"/>
        <v>547</v>
      </c>
    </row>
    <row r="61" spans="1:11" x14ac:dyDescent="0.25">
      <c r="A61">
        <v>50</v>
      </c>
      <c r="B61" s="83" t="n">
        <v>279.8517</v>
      </c>
      <c r="C61" s="83" t="n">
        <v>0.0</v>
      </c>
      <c r="D61" s="83" t="n">
        <v>462.852</v>
      </c>
      <c r="E61" s="83">
        <f si="2" t="shared"/>
        <v>742.70370000000003</v>
      </c>
      <c r="G61">
        <v>50</v>
      </c>
      <c r="H61" s="83" t="n">
        <v>45.0</v>
      </c>
      <c r="I61" s="83" t="n">
        <v>78.0</v>
      </c>
      <c r="J61" s="85" t="n">
        <v>80.0</v>
      </c>
      <c r="K61" s="83">
        <f si="3" t="shared"/>
        <v>588</v>
      </c>
    </row>
    <row r="62" spans="1:11" x14ac:dyDescent="0.25">
      <c r="A62">
        <v>51</v>
      </c>
      <c r="B62" s="83" t="n">
        <v>0.0</v>
      </c>
      <c r="C62" s="83" t="n">
        <v>0.0</v>
      </c>
      <c r="D62" s="83" t="n">
        <v>27.320999999999998</v>
      </c>
      <c r="E62" s="83">
        <f si="2" t="shared"/>
        <v>27.320999999999998</v>
      </c>
      <c r="G62">
        <v>51</v>
      </c>
      <c r="H62" s="83" t="n">
        <v>75.0</v>
      </c>
      <c r="I62" s="83" t="n">
        <v>96.0</v>
      </c>
      <c r="J62" s="85" t="n">
        <v>1452.0</v>
      </c>
      <c r="K62" s="83">
        <f si="3" t="shared"/>
        <v>1145</v>
      </c>
    </row>
    <row r="63" spans="1:11" x14ac:dyDescent="0.25">
      <c r="A63">
        <v>52</v>
      </c>
      <c r="B63" s="83" t="n">
        <v>775.4409</v>
      </c>
      <c r="C63" s="83" t="n">
        <v>0.0</v>
      </c>
      <c r="D63" s="83" t="n">
        <v>0.0</v>
      </c>
      <c r="E63" s="83">
        <f si="2" t="shared"/>
        <v>775.44090000000006</v>
      </c>
      <c r="G63">
        <v>52</v>
      </c>
      <c r="H63" s="83" t="n">
        <v>53.0</v>
      </c>
      <c r="I63" s="83" t="n">
        <v>61.0</v>
      </c>
      <c r="J63" s="85" t="n">
        <v>843.0</v>
      </c>
      <c r="K63" s="83">
        <f si="3" t="shared"/>
        <v>759</v>
      </c>
    </row>
    <row r="64" spans="1:11" x14ac:dyDescent="0.25">
      <c r="A64">
        <v>53</v>
      </c>
      <c r="B64" s="83" t="n">
        <v>0.0</v>
      </c>
      <c r="C64" s="83" t="n">
        <v>0.0</v>
      </c>
      <c r="D64" s="83" t="n">
        <v>227.0372</v>
      </c>
      <c r="E64" s="83">
        <f si="2" t="shared"/>
        <v>227.03720000000001</v>
      </c>
      <c r="G64">
        <v>53</v>
      </c>
      <c r="H64" s="83" t="n">
        <v>21.0</v>
      </c>
      <c r="I64" s="83" t="n">
        <v>51.0</v>
      </c>
      <c r="J64" s="85" t="n">
        <v>493.0</v>
      </c>
      <c r="K64" s="83">
        <f si="3" t="shared"/>
        <v>748</v>
      </c>
    </row>
    <row r="65" spans="1:11" x14ac:dyDescent="0.25">
      <c r="A65">
        <v>54</v>
      </c>
      <c r="B65" s="83" t="n">
        <v>0.0</v>
      </c>
      <c r="C65" s="83" t="n">
        <v>0.0</v>
      </c>
      <c r="D65" s="83" t="n">
        <v>0.0</v>
      </c>
      <c r="E65" s="83">
        <f si="2" t="shared"/>
        <v>0</v>
      </c>
      <c r="G65">
        <v>54</v>
      </c>
      <c r="H65" s="83" t="n">
        <v>24.0</v>
      </c>
      <c r="I65" s="83" t="n">
        <v>34.0</v>
      </c>
      <c r="J65" s="85" t="n">
        <v>131.0</v>
      </c>
      <c r="K65" s="83">
        <f si="3" t="shared"/>
        <v>732</v>
      </c>
    </row>
    <row r="66" spans="1:11" x14ac:dyDescent="0.25">
      <c r="A66">
        <v>55</v>
      </c>
      <c r="B66" s="83" t="n">
        <v>1287.2831999999999</v>
      </c>
      <c r="C66" s="83" t="n">
        <v>1194.723</v>
      </c>
      <c r="D66" s="83" t="n">
        <v>31.814</v>
      </c>
      <c r="E66" s="83">
        <f si="2" t="shared"/>
        <v>2513.8201999999997</v>
      </c>
      <c r="G66">
        <v>55</v>
      </c>
      <c r="H66" s="83" t="n">
        <v>21.0</v>
      </c>
      <c r="I66" s="83" t="n">
        <v>40.0</v>
      </c>
      <c r="J66" s="85" t="n">
        <v>199.0</v>
      </c>
      <c r="K66" s="83">
        <f si="3" t="shared"/>
        <v>203</v>
      </c>
    </row>
    <row r="67" spans="1:11" x14ac:dyDescent="0.25">
      <c r="A67">
        <v>56</v>
      </c>
      <c r="B67" s="83" t="n">
        <v>0.0</v>
      </c>
      <c r="C67" s="83" t="n">
        <v>0.0</v>
      </c>
      <c r="D67" s="83" t="n">
        <v>0.0</v>
      </c>
      <c r="E67" s="83">
        <f si="2" t="shared"/>
        <v>0</v>
      </c>
      <c r="G67">
        <v>56</v>
      </c>
      <c r="H67" s="83" t="n">
        <v>17.0</v>
      </c>
      <c r="I67" s="83" t="n">
        <v>27.0</v>
      </c>
      <c r="J67" s="85" t="n">
        <v>156.0</v>
      </c>
      <c r="K67" s="83">
        <f si="3" t="shared"/>
        <v>242</v>
      </c>
    </row>
    <row r="68" spans="1:11" x14ac:dyDescent="0.25">
      <c r="A68">
        <v>57</v>
      </c>
      <c r="B68" s="83" t="n">
        <v>0.0</v>
      </c>
      <c r="C68" s="83" t="n">
        <v>0.0</v>
      </c>
      <c r="D68" s="83" t="n">
        <v>16.64</v>
      </c>
      <c r="E68" s="83">
        <f si="2" t="shared"/>
        <v>16.64</v>
      </c>
      <c r="G68">
        <v>57</v>
      </c>
      <c r="H68" s="83" t="n">
        <v>12.0</v>
      </c>
      <c r="I68" s="83" t="n">
        <v>37.0</v>
      </c>
      <c r="J68" s="85" t="n">
        <v>221.0</v>
      </c>
      <c r="K68" s="83">
        <f si="3" t="shared"/>
        <v>398</v>
      </c>
    </row>
    <row r="69" spans="1:11" x14ac:dyDescent="0.25">
      <c r="A69">
        <v>58</v>
      </c>
      <c r="B69" s="83" t="n">
        <v>0.0</v>
      </c>
      <c r="C69" s="83" t="n">
        <v>0.0</v>
      </c>
      <c r="D69" s="83" t="n">
        <v>16.385</v>
      </c>
      <c r="E69" s="83">
        <f si="2" t="shared"/>
        <v>16.385000000000002</v>
      </c>
      <c r="G69">
        <v>58</v>
      </c>
      <c r="H69" s="83" t="n">
        <v>12.0</v>
      </c>
      <c r="I69" s="83" t="n">
        <v>23.0</v>
      </c>
      <c r="J69" s="85" t="n">
        <v>169.0</v>
      </c>
      <c r="K69" s="83">
        <f si="3" t="shared"/>
        <v>214</v>
      </c>
    </row>
    <row r="70" spans="1:11" x14ac:dyDescent="0.25">
      <c r="A70">
        <v>59</v>
      </c>
      <c r="B70" s="83" t="n">
        <v>0.0</v>
      </c>
      <c r="C70" s="83" t="n">
        <v>0.0</v>
      </c>
      <c r="D70" s="83" t="n">
        <v>0.0</v>
      </c>
      <c r="E70" s="83">
        <f si="2" t="shared"/>
        <v>0</v>
      </c>
      <c r="G70">
        <v>59</v>
      </c>
      <c r="H70" s="83" t="n">
        <v>12.0</v>
      </c>
      <c r="I70" s="83" t="n">
        <v>22.0</v>
      </c>
      <c r="J70" s="85" t="n">
        <v>245.0</v>
      </c>
      <c r="K70" s="83">
        <f si="3" t="shared"/>
        <v>120</v>
      </c>
    </row>
    <row r="71" spans="1:11" x14ac:dyDescent="0.25">
      <c r="A71">
        <v>60</v>
      </c>
      <c r="B71" s="83" t="n">
        <v>0.0</v>
      </c>
      <c r="C71" s="83" t="n">
        <v>0.0</v>
      </c>
      <c r="D71" s="83" t="n">
        <v>0.0</v>
      </c>
      <c r="E71" s="83">
        <f si="2" t="shared"/>
        <v>0</v>
      </c>
      <c r="G71">
        <v>60</v>
      </c>
      <c r="H71" s="83" t="n">
        <v>3.0</v>
      </c>
      <c r="I71" s="83" t="n">
        <v>26.0</v>
      </c>
      <c r="J71" s="85" t="n">
        <v>95.0</v>
      </c>
      <c r="K71" s="83">
        <f si="3" t="shared"/>
        <v>123</v>
      </c>
    </row>
    <row r="72" spans="1:11" x14ac:dyDescent="0.25">
      <c r="A72">
        <v>61</v>
      </c>
      <c r="B72" s="83" t="n">
        <v>0.0</v>
      </c>
      <c r="C72" s="83" t="n">
        <v>0.0</v>
      </c>
      <c r="D72" s="83" t="n">
        <v>0.0</v>
      </c>
      <c r="E72" s="83">
        <f si="2" t="shared"/>
        <v>0</v>
      </c>
      <c r="G72">
        <v>61</v>
      </c>
      <c r="H72" s="83" t="n">
        <v>5.0</v>
      </c>
      <c r="I72" s="83" t="n">
        <v>23.0</v>
      </c>
      <c r="J72" s="85" t="n">
        <v>50.0</v>
      </c>
      <c r="K72" s="83">
        <f si="3" t="shared"/>
        <v>131</v>
      </c>
    </row>
    <row r="73" spans="1:11" x14ac:dyDescent="0.25">
      <c r="A73">
        <v>62</v>
      </c>
      <c r="B73" s="83" t="n">
        <v>0.0</v>
      </c>
      <c r="C73" s="83" t="n">
        <v>0.0</v>
      </c>
      <c r="D73" s="83" t="n">
        <v>21.709000000000003</v>
      </c>
      <c r="E73" s="83">
        <f si="2" t="shared"/>
        <v>21.709000000000003</v>
      </c>
      <c r="G73">
        <v>62</v>
      </c>
      <c r="H73" s="83" t="n">
        <v>2.0</v>
      </c>
      <c r="I73" s="83" t="n">
        <v>14.0</v>
      </c>
      <c r="J73" s="85" t="n">
        <v>194.0</v>
      </c>
      <c r="K73" s="83">
        <f si="3" t="shared"/>
        <v>160</v>
      </c>
    </row>
    <row r="74" spans="1:11" x14ac:dyDescent="0.25">
      <c r="A74">
        <v>63</v>
      </c>
      <c r="B74" s="83" t="n">
        <v>0.0</v>
      </c>
      <c r="C74" s="83" t="n">
        <v>0.0</v>
      </c>
      <c r="D74" s="83" t="n">
        <v>4.128</v>
      </c>
      <c r="E74" s="83">
        <f si="2" t="shared"/>
        <v>4.1280000000000001</v>
      </c>
      <c r="G74">
        <v>63</v>
      </c>
      <c r="H74" s="83" t="n">
        <v>5.0</v>
      </c>
      <c r="I74" s="83" t="n">
        <v>22.0</v>
      </c>
      <c r="J74" s="85" t="n">
        <v>361.0</v>
      </c>
      <c r="K74" s="83">
        <f si="3" t="shared"/>
        <v>356</v>
      </c>
    </row>
    <row r="75" spans="1:11" x14ac:dyDescent="0.25">
      <c r="A75">
        <v>64</v>
      </c>
      <c r="B75" s="83" t="n">
        <v>0.0</v>
      </c>
      <c r="C75" s="83" t="n">
        <v>78.9631</v>
      </c>
      <c r="D75" s="83" t="n">
        <v>10.791</v>
      </c>
      <c r="E75" s="83">
        <f ref="E75:E101" si="4" t="shared">SUM(B75:D75)</f>
        <v>89.754099999999994</v>
      </c>
      <c r="G75">
        <v>64</v>
      </c>
      <c r="H75" s="83" t="n">
        <v>11.0</v>
      </c>
      <c r="I75" s="83" t="n">
        <v>29.0</v>
      </c>
      <c r="J75" s="85" t="n">
        <v>284.0</v>
      </c>
      <c r="K75" s="83">
        <f ref="K75:K101" si="5" t="shared">SUM(H75:J75)</f>
        <v>415</v>
      </c>
    </row>
    <row r="76" spans="1:11" x14ac:dyDescent="0.25">
      <c r="A76">
        <v>65</v>
      </c>
      <c r="B76" s="83" t="n">
        <v>0.0</v>
      </c>
      <c r="C76" s="83" t="n">
        <v>0.0</v>
      </c>
      <c r="D76" s="83" t="n">
        <v>0.0</v>
      </c>
      <c r="E76" s="83">
        <f si="4" t="shared"/>
        <v>0</v>
      </c>
      <c r="G76">
        <v>65</v>
      </c>
      <c r="H76" s="83" t="n">
        <v>2.0</v>
      </c>
      <c r="I76" s="83" t="n">
        <v>8.0</v>
      </c>
      <c r="J76" s="85" t="n">
        <v>22.0</v>
      </c>
      <c r="K76" s="83">
        <f si="5" t="shared"/>
        <v>132</v>
      </c>
    </row>
    <row r="77" spans="1:11" x14ac:dyDescent="0.25">
      <c r="A77">
        <v>66</v>
      </c>
      <c r="B77" s="83" t="n">
        <v>0.0</v>
      </c>
      <c r="C77" s="83" t="n">
        <v>0.0</v>
      </c>
      <c r="D77" s="83" t="n">
        <v>275.5614</v>
      </c>
      <c r="E77" s="83">
        <f si="4" t="shared"/>
        <v>275.56139999999999</v>
      </c>
      <c r="G77">
        <v>66</v>
      </c>
      <c r="H77" s="83" t="n">
        <v>0.0</v>
      </c>
      <c r="I77" s="83" t="n">
        <v>8.0</v>
      </c>
      <c r="J77" s="85" t="n">
        <v>130.0</v>
      </c>
      <c r="K77" s="83">
        <f si="5" t="shared"/>
        <v>126</v>
      </c>
    </row>
    <row r="78" spans="1:11" x14ac:dyDescent="0.25">
      <c r="A78">
        <v>67</v>
      </c>
      <c r="B78" s="83" t="n">
        <v>0.0</v>
      </c>
      <c r="C78" s="83" t="n">
        <v>0.0</v>
      </c>
      <c r="D78" s="83" t="n">
        <v>495.275</v>
      </c>
      <c r="E78" s="83">
        <f si="4" t="shared"/>
        <v>495.27499999999998</v>
      </c>
      <c r="G78">
        <v>67</v>
      </c>
      <c r="H78" s="83" t="n">
        <v>6.0</v>
      </c>
      <c r="I78" s="83" t="n">
        <v>8.0</v>
      </c>
      <c r="J78" s="85" t="n">
        <v>258.0</v>
      </c>
      <c r="K78" s="83">
        <f si="5" t="shared"/>
        <v>101</v>
      </c>
    </row>
    <row r="79" spans="1:11" x14ac:dyDescent="0.25">
      <c r="A79">
        <v>68</v>
      </c>
      <c r="B79" s="83" t="n">
        <v>0.0</v>
      </c>
      <c r="C79" s="83" t="n">
        <v>0.0</v>
      </c>
      <c r="D79" s="83" t="n">
        <v>0.0</v>
      </c>
      <c r="E79" s="83">
        <f si="4" t="shared"/>
        <v>0</v>
      </c>
      <c r="G79">
        <v>68</v>
      </c>
      <c r="H79" s="83" t="n">
        <v>0.0</v>
      </c>
      <c r="I79" s="83" t="n">
        <v>9.0</v>
      </c>
      <c r="J79" s="85" t="n">
        <v>121.0</v>
      </c>
      <c r="K79" s="83">
        <f si="5" t="shared"/>
        <v>72</v>
      </c>
    </row>
    <row r="80" spans="1:11" x14ac:dyDescent="0.25">
      <c r="A80">
        <v>69</v>
      </c>
      <c r="B80" s="83" t="n">
        <v>0.0</v>
      </c>
      <c r="C80" s="83" t="n">
        <v>0.0</v>
      </c>
      <c r="D80" s="83" t="n">
        <v>8.485</v>
      </c>
      <c r="E80" s="83">
        <f si="4" t="shared"/>
        <v>8.4849999999999994</v>
      </c>
      <c r="G80">
        <v>69</v>
      </c>
      <c r="H80" s="83" t="n">
        <v>0.0</v>
      </c>
      <c r="I80" s="83" t="n">
        <v>7.0</v>
      </c>
      <c r="J80" s="85" t="n">
        <v>101.0</v>
      </c>
      <c r="K80" s="83">
        <f si="5" t="shared"/>
        <v>277</v>
      </c>
    </row>
    <row r="81" spans="1:11" x14ac:dyDescent="0.25">
      <c r="A81">
        <v>70</v>
      </c>
      <c r="B81" s="83" t="n">
        <v>0.0</v>
      </c>
      <c r="C81" s="83" t="n">
        <v>0.0</v>
      </c>
      <c r="D81" s="83" t="n">
        <v>0.0</v>
      </c>
      <c r="E81" s="83">
        <f si="4" t="shared"/>
        <v>0</v>
      </c>
      <c r="G81">
        <v>70</v>
      </c>
      <c r="H81" s="83" t="n">
        <v>11.0</v>
      </c>
      <c r="I81" s="83" t="n">
        <v>5.0</v>
      </c>
      <c r="J81" s="85" t="n">
        <v>27.0</v>
      </c>
      <c r="K81" s="83">
        <f si="5" t="shared"/>
        <v>199</v>
      </c>
    </row>
    <row r="82" spans="1:11" x14ac:dyDescent="0.25">
      <c r="A82">
        <v>71</v>
      </c>
      <c r="B82" s="83" t="n">
        <v>0.0</v>
      </c>
      <c r="C82" s="83" t="n">
        <v>0.0</v>
      </c>
      <c r="D82" s="83" t="n">
        <v>0.0</v>
      </c>
      <c r="E82" s="83">
        <f si="4" t="shared"/>
        <v>0</v>
      </c>
      <c r="G82">
        <v>71</v>
      </c>
      <c r="H82" s="83" t="n">
        <v>1.0</v>
      </c>
      <c r="I82" s="83" t="n">
        <v>5.0</v>
      </c>
      <c r="J82" s="85" t="n">
        <v>68.0</v>
      </c>
      <c r="K82" s="83">
        <f si="5" t="shared"/>
        <v>34</v>
      </c>
    </row>
    <row r="83" spans="1:11" x14ac:dyDescent="0.25">
      <c r="A83">
        <v>72</v>
      </c>
      <c r="B83" s="83" t="n">
        <v>99.9861</v>
      </c>
      <c r="C83" s="83" t="n">
        <v>542.7239</v>
      </c>
      <c r="D83" s="83" t="n">
        <v>11.159</v>
      </c>
      <c r="E83" s="83">
        <f si="4" t="shared"/>
        <v>653.86899999999991</v>
      </c>
      <c r="G83">
        <v>72</v>
      </c>
      <c r="H83" s="83" t="n">
        <v>0.0</v>
      </c>
      <c r="I83" s="83" t="n">
        <v>9.0</v>
      </c>
      <c r="J83" s="85" t="n">
        <v>96.0</v>
      </c>
      <c r="K83" s="83">
        <f si="5" t="shared"/>
        <v>103</v>
      </c>
    </row>
    <row r="84" spans="1:11" x14ac:dyDescent="0.25">
      <c r="A84">
        <v>73</v>
      </c>
      <c r="B84" s="83" t="n">
        <v>0.0</v>
      </c>
      <c r="C84" s="83" t="n">
        <v>0.0</v>
      </c>
      <c r="D84" s="83" t="n">
        <v>0.0</v>
      </c>
      <c r="E84" s="83">
        <f si="4" t="shared"/>
        <v>0</v>
      </c>
      <c r="G84">
        <v>73</v>
      </c>
      <c r="H84" s="83" t="n">
        <v>10.0</v>
      </c>
      <c r="I84" s="83" t="n">
        <v>3.0</v>
      </c>
      <c r="J84" s="85" t="n">
        <v>7.0</v>
      </c>
      <c r="K84" s="83">
        <f si="5" t="shared"/>
        <v>45</v>
      </c>
    </row>
    <row r="85" spans="1:11" x14ac:dyDescent="0.25">
      <c r="A85">
        <v>74</v>
      </c>
      <c r="B85" s="83" t="n">
        <v>0.0</v>
      </c>
      <c r="C85" s="83" t="n">
        <v>0.0</v>
      </c>
      <c r="D85" s="83" t="n">
        <v>0.0</v>
      </c>
      <c r="E85" s="83">
        <f si="4" t="shared"/>
        <v>0</v>
      </c>
      <c r="G85">
        <v>74</v>
      </c>
      <c r="H85" s="83" t="n">
        <v>0.0</v>
      </c>
      <c r="I85" s="83" t="n">
        <v>5.0</v>
      </c>
      <c r="J85" s="85" t="n">
        <v>42.0</v>
      </c>
      <c r="K85" s="83">
        <f si="5" t="shared"/>
        <v>25</v>
      </c>
    </row>
    <row r="86" spans="1:11" x14ac:dyDescent="0.25">
      <c r="A86">
        <v>75</v>
      </c>
      <c r="B86" s="83" t="n">
        <v>0.0</v>
      </c>
      <c r="C86" s="83" t="n">
        <v>0.0</v>
      </c>
      <c r="D86" s="83" t="n">
        <v>0.0</v>
      </c>
      <c r="E86" s="83">
        <f si="4" t="shared"/>
        <v>0</v>
      </c>
      <c r="G86">
        <v>75</v>
      </c>
      <c r="H86" s="83" t="n">
        <v>4.0</v>
      </c>
      <c r="I86" s="83" t="n">
        <v>5.0</v>
      </c>
      <c r="J86" s="85" t="n">
        <v>38.0</v>
      </c>
      <c r="K86" s="83">
        <f si="5" t="shared"/>
        <v>62</v>
      </c>
    </row>
    <row r="87" spans="1:11" x14ac:dyDescent="0.25">
      <c r="A87">
        <v>76</v>
      </c>
      <c r="B87" s="83" t="n">
        <v>0.0</v>
      </c>
      <c r="C87" s="83" t="n">
        <v>0.0</v>
      </c>
      <c r="D87" s="83" t="n">
        <v>598.7239</v>
      </c>
      <c r="E87" s="83">
        <f si="4" t="shared"/>
        <v>598.72389999999996</v>
      </c>
      <c r="G87">
        <v>76</v>
      </c>
      <c r="H87" s="83" t="n">
        <v>0.0</v>
      </c>
      <c r="I87" s="83" t="n">
        <v>5.0</v>
      </c>
      <c r="J87" s="85" t="n">
        <v>1.0</v>
      </c>
      <c r="K87" s="83">
        <f si="5" t="shared"/>
        <v>35</v>
      </c>
    </row>
    <row r="88" spans="1:11" x14ac:dyDescent="0.25">
      <c r="A88">
        <v>77</v>
      </c>
      <c r="B88" s="83" t="n">
        <v>1031.4047</v>
      </c>
      <c r="C88" s="83" t="n">
        <v>0.0</v>
      </c>
      <c r="D88" s="83" t="n">
        <v>0.0</v>
      </c>
      <c r="E88" s="83">
        <f si="4" t="shared"/>
        <v>1031.4047</v>
      </c>
      <c r="G88">
        <v>77</v>
      </c>
      <c r="H88" s="83" t="n">
        <v>13.0</v>
      </c>
      <c r="I88" s="83" t="n">
        <v>3.0</v>
      </c>
      <c r="J88" s="85" t="n">
        <v>9.0</v>
      </c>
      <c r="K88" s="83">
        <f si="5" t="shared"/>
        <v>30</v>
      </c>
    </row>
    <row r="89" spans="1:11" x14ac:dyDescent="0.25">
      <c r="A89">
        <v>78</v>
      </c>
      <c r="B89" s="83" t="n">
        <v>212.6231</v>
      </c>
      <c r="C89" s="83" t="n">
        <v>0.0</v>
      </c>
      <c r="D89" s="83" t="n">
        <v>0.0</v>
      </c>
      <c r="E89" s="83">
        <f si="4" t="shared"/>
        <v>212.62309999999999</v>
      </c>
      <c r="G89">
        <v>78</v>
      </c>
      <c r="H89" s="83" t="n">
        <v>3.0</v>
      </c>
      <c r="I89" s="83" t="n">
        <v>6.0</v>
      </c>
      <c r="J89" s="85" t="n">
        <v>81.0</v>
      </c>
      <c r="K89" s="83">
        <f si="5" t="shared"/>
        <v>25</v>
      </c>
    </row>
    <row r="90" spans="1:11" x14ac:dyDescent="0.25">
      <c r="A90">
        <v>79</v>
      </c>
      <c r="B90" s="83" t="n">
        <v>0.0</v>
      </c>
      <c r="C90" s="83" t="n">
        <v>0.0</v>
      </c>
      <c r="D90" s="83" t="n">
        <v>0.0</v>
      </c>
      <c r="E90" s="83">
        <f si="4" t="shared"/>
        <v>0</v>
      </c>
      <c r="G90">
        <v>79</v>
      </c>
      <c r="H90" s="83" t="n">
        <v>0.0</v>
      </c>
      <c r="I90" s="83" t="n">
        <v>1.0</v>
      </c>
      <c r="J90" s="85" t="n">
        <v>14.0</v>
      </c>
      <c r="K90" s="83">
        <f si="5" t="shared"/>
        <v>10</v>
      </c>
    </row>
    <row r="91" spans="1:11" x14ac:dyDescent="0.25">
      <c r="A91">
        <v>80</v>
      </c>
      <c r="B91" s="83" t="n">
        <v>0.0</v>
      </c>
      <c r="C91" s="83" t="n">
        <v>0.0</v>
      </c>
      <c r="D91" s="83" t="n">
        <v>0.0</v>
      </c>
      <c r="E91" s="83">
        <f si="4" t="shared"/>
        <v>0</v>
      </c>
      <c r="G91">
        <v>80</v>
      </c>
      <c r="H91" s="83" t="n">
        <v>4.0</v>
      </c>
      <c r="I91" s="83" t="n">
        <v>3.0</v>
      </c>
      <c r="J91" s="85" t="n">
        <v>4.0</v>
      </c>
      <c r="K91" s="83">
        <f si="5" t="shared"/>
        <v>46</v>
      </c>
    </row>
    <row r="92" spans="1:11" x14ac:dyDescent="0.25">
      <c r="A92">
        <v>81</v>
      </c>
      <c r="B92" s="83" t="n">
        <v>0.0</v>
      </c>
      <c r="C92" s="83" t="n">
        <v>0.0</v>
      </c>
      <c r="D92" s="83" t="n">
        <v>0.0</v>
      </c>
      <c r="E92" s="83">
        <f si="4" t="shared"/>
        <v>0</v>
      </c>
      <c r="G92">
        <v>81</v>
      </c>
      <c r="H92" s="83" t="n">
        <v>6.0</v>
      </c>
      <c r="I92" s="83" t="n">
        <v>2.0</v>
      </c>
      <c r="J92" s="85" t="n">
        <v>1.0</v>
      </c>
      <c r="K92" s="83">
        <f si="5" t="shared"/>
        <v>52</v>
      </c>
    </row>
    <row r="93" spans="1:11" x14ac:dyDescent="0.25">
      <c r="A93">
        <v>82</v>
      </c>
      <c r="B93" s="83" t="n">
        <v>0.0</v>
      </c>
      <c r="C93" s="83" t="n">
        <v>0.0</v>
      </c>
      <c r="D93" s="83" t="n">
        <v>0.0</v>
      </c>
      <c r="E93" s="83">
        <f si="4" t="shared"/>
        <v>0</v>
      </c>
      <c r="G93">
        <v>82</v>
      </c>
      <c r="H93" s="83" t="n">
        <v>0.0</v>
      </c>
      <c r="I93" s="83" t="n">
        <v>1.0</v>
      </c>
      <c r="J93" s="85" t="n">
        <v>5.0</v>
      </c>
      <c r="K93" s="83">
        <f si="5" t="shared"/>
        <v>7</v>
      </c>
    </row>
    <row r="94" spans="1:11" x14ac:dyDescent="0.25">
      <c r="A94">
        <v>83</v>
      </c>
      <c r="B94" s="83" t="n">
        <v>0.0</v>
      </c>
      <c r="C94" s="83" t="n">
        <v>0.0</v>
      </c>
      <c r="D94" s="83" t="n">
        <v>0.0</v>
      </c>
      <c r="E94" s="83">
        <f si="4" t="shared"/>
        <v>0</v>
      </c>
      <c r="G94">
        <v>83</v>
      </c>
      <c r="H94" s="83" t="n">
        <v>0.0</v>
      </c>
      <c r="I94" s="83" t="n">
        <v>0.0</v>
      </c>
      <c r="J94" s="85" t="n">
        <v>61.0</v>
      </c>
      <c r="K94" s="83">
        <f si="5" t="shared"/>
        <v>11</v>
      </c>
    </row>
    <row r="95" spans="1:11" x14ac:dyDescent="0.25">
      <c r="A95">
        <v>84</v>
      </c>
      <c r="B95" s="83" t="n">
        <v>0.0</v>
      </c>
      <c r="C95" s="83" t="n">
        <v>0.0</v>
      </c>
      <c r="D95" s="83" t="n">
        <v>11.269</v>
      </c>
      <c r="E95" s="83">
        <f si="4" t="shared"/>
        <v>11.269</v>
      </c>
      <c r="G95">
        <v>84</v>
      </c>
      <c r="H95" s="83" t="n">
        <v>1.0</v>
      </c>
      <c r="I95" s="83" t="n">
        <v>1.0</v>
      </c>
      <c r="J95" s="85" t="n">
        <v>18.0</v>
      </c>
      <c r="K95" s="83">
        <f si="5" t="shared"/>
        <v>24</v>
      </c>
    </row>
    <row r="96" spans="1:11" x14ac:dyDescent="0.25">
      <c r="A96">
        <v>85</v>
      </c>
      <c r="B96" s="83" t="n">
        <v>0.0</v>
      </c>
      <c r="C96" s="83" t="n">
        <v>0.0</v>
      </c>
      <c r="D96" s="83" t="n">
        <v>0.0</v>
      </c>
      <c r="E96" s="83">
        <f si="4" t="shared"/>
        <v>0</v>
      </c>
      <c r="G96">
        <v>85</v>
      </c>
      <c r="H96" s="83" t="n">
        <v>1.0</v>
      </c>
      <c r="I96" s="83" t="n">
        <v>1.0</v>
      </c>
      <c r="J96" s="85" t="n">
        <v>1.0</v>
      </c>
      <c r="K96" s="83">
        <f si="5" t="shared"/>
        <v>42</v>
      </c>
    </row>
    <row r="97" spans="1:11" x14ac:dyDescent="0.25">
      <c r="A97">
        <v>86</v>
      </c>
      <c r="B97" s="83" t="n">
        <v>0.0</v>
      </c>
      <c r="C97" s="83" t="n">
        <v>0.0</v>
      </c>
      <c r="D97" s="83" t="n">
        <v>468.9894</v>
      </c>
      <c r="E97" s="83">
        <f si="4" t="shared"/>
        <v>468.98939999999999</v>
      </c>
      <c r="G97">
        <v>86</v>
      </c>
      <c r="H97" s="83" t="n">
        <v>0.0</v>
      </c>
      <c r="I97" s="83" t="n">
        <v>2.0</v>
      </c>
      <c r="J97" s="85" t="n">
        <v>7.0</v>
      </c>
      <c r="K97" s="83">
        <f si="5" t="shared"/>
        <v>37</v>
      </c>
    </row>
    <row r="98" spans="1:11" x14ac:dyDescent="0.25">
      <c r="A98">
        <v>87</v>
      </c>
      <c r="B98" s="83" t="n">
        <v>0.0</v>
      </c>
      <c r="C98" s="83" t="n">
        <v>0.0</v>
      </c>
      <c r="D98" s="83" t="n">
        <v>13.487</v>
      </c>
      <c r="E98" s="83">
        <f si="4" t="shared"/>
        <v>13.487</v>
      </c>
      <c r="G98">
        <v>87</v>
      </c>
      <c r="H98" s="83" t="n">
        <v>0.0</v>
      </c>
      <c r="I98" s="83" t="n">
        <v>1.0</v>
      </c>
      <c r="J98" s="85" t="n">
        <v>1.0</v>
      </c>
      <c r="K98" s="83">
        <f si="5" t="shared"/>
        <v>0</v>
      </c>
    </row>
    <row r="99" spans="1:11" x14ac:dyDescent="0.25">
      <c r="A99">
        <v>88</v>
      </c>
      <c r="B99" s="83" t="n">
        <v>0.0</v>
      </c>
      <c r="C99" s="83" t="n">
        <v>0.0</v>
      </c>
      <c r="D99" s="83" t="n">
        <v>0.0</v>
      </c>
      <c r="E99" s="83">
        <f si="4" t="shared"/>
        <v>0</v>
      </c>
      <c r="G99">
        <v>88</v>
      </c>
      <c r="H99" s="83" t="n">
        <v>0.0</v>
      </c>
      <c r="I99" s="83" t="n">
        <v>0.0</v>
      </c>
      <c r="J99" s="85" t="n">
        <v>13.0</v>
      </c>
      <c r="K99" s="83">
        <f si="5" t="shared"/>
        <v>8</v>
      </c>
    </row>
    <row r="100" spans="1:11" x14ac:dyDescent="0.25">
      <c r="A100">
        <v>89</v>
      </c>
      <c r="B100" s="83" t="n">
        <v>2931.9003</v>
      </c>
      <c r="C100" s="83" t="n">
        <v>0.0</v>
      </c>
      <c r="D100" s="83" t="n">
        <v>3.675</v>
      </c>
      <c r="E100" s="83">
        <f si="4" t="shared"/>
        <v>2935.5753</v>
      </c>
      <c r="G100">
        <v>89</v>
      </c>
      <c r="H100" s="83" t="n">
        <v>10.0</v>
      </c>
      <c r="I100" s="83" t="n">
        <v>8.0</v>
      </c>
      <c r="J100" s="85" t="n">
        <v>27.0</v>
      </c>
      <c r="K100" s="83">
        <f si="5" t="shared"/>
        <v>46</v>
      </c>
    </row>
    <row ht="15.75" r="101" spans="1:11" thickBot="1" x14ac:dyDescent="0.3">
      <c r="A101" s="1">
        <v>90</v>
      </c>
      <c r="B101" s="84" t="n">
        <v>56177.1072</v>
      </c>
      <c r="C101" s="84" t="n">
        <v>10417.5607</v>
      </c>
      <c r="D101" s="84" t="n">
        <v>42483.8395</v>
      </c>
      <c r="E101" s="84">
        <f si="4" t="shared"/>
        <v>109078.5074</v>
      </c>
      <c r="G101" s="1">
        <v>90</v>
      </c>
      <c r="H101" s="84" t="n">
        <v>21334.0</v>
      </c>
      <c r="I101" s="84" t="n">
        <v>0.0</v>
      </c>
      <c r="J101" s="84" t="n">
        <v>0.0</v>
      </c>
      <c r="K101" s="84">
        <f si="5" t="shared"/>
        <v>21334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L22"/>
  <sheetViews>
    <sheetView workbookViewId="0">
      <selection activeCell="C2" sqref="C2"/>
    </sheetView>
  </sheetViews>
  <sheetFormatPr defaultRowHeight="15" x14ac:dyDescent="0.25"/>
  <cols>
    <col min="1" max="1" customWidth="true" width="12.140625" collapsed="true"/>
    <col min="5" max="5" bestFit="true" customWidth="true" width="9.5703125" collapsed="true"/>
    <col min="8" max="8" customWidth="true" width="10.85546875" collapsed="true"/>
    <col min="12" max="12" bestFit="true" customWidth="true" width="9.5703125" collapsed="true"/>
  </cols>
  <sheetData>
    <row r="1" spans="1:12" x14ac:dyDescent="0.25">
      <c r="A1" t="s">
        <v>14</v>
      </c>
    </row>
    <row r="2" spans="1:12" x14ac:dyDescent="0.25">
      <c r="A2" t="s">
        <v>250</v>
      </c>
    </row>
    <row r="3" spans="1:12" x14ac:dyDescent="0.25">
      <c r="A3" t="s">
        <v>251</v>
      </c>
    </row>
    <row r="4" spans="1:12" x14ac:dyDescent="0.25">
      <c r="A4" t="s">
        <v>6</v>
      </c>
    </row>
    <row r="5" spans="1:12" x14ac:dyDescent="0.25">
      <c r="A5" t="s">
        <v>7</v>
      </c>
    </row>
    <row ht="15.75" r="9" spans="1:12" thickBot="1" x14ac:dyDescent="0.3">
      <c r="A9" s="4" t="s">
        <v>193</v>
      </c>
      <c r="B9" s="1"/>
      <c r="C9" s="1"/>
      <c r="D9" s="1"/>
      <c r="E9" s="1"/>
      <c r="H9" s="4" t="s">
        <v>10</v>
      </c>
      <c r="I9" s="1"/>
      <c r="J9" s="1"/>
      <c r="K9" s="1"/>
      <c r="L9" s="1"/>
    </row>
    <row r="10" spans="1:12" x14ac:dyDescent="0.25">
      <c r="A10" s="2" t="s">
        <v>13</v>
      </c>
      <c r="B10" s="5" t="s">
        <v>41</v>
      </c>
      <c r="C10" s="5" t="s">
        <v>42</v>
      </c>
      <c r="D10" s="5" t="s">
        <v>43</v>
      </c>
      <c r="E10" s="5" t="s">
        <v>3</v>
      </c>
      <c r="H10" s="2" t="s">
        <v>13</v>
      </c>
      <c r="I10" s="5" t="s">
        <v>41</v>
      </c>
      <c r="J10" s="5" t="s">
        <v>42</v>
      </c>
      <c r="K10" s="5" t="s">
        <v>43</v>
      </c>
      <c r="L10" s="5" t="s">
        <v>3</v>
      </c>
    </row>
    <row r="11" spans="1:12" x14ac:dyDescent="0.25">
      <c r="A11" t="s">
        <v>15</v>
      </c>
      <c r="B11" s="13">
        <f>SUM(TDFD!B11:B15)</f>
        <v>30456.2981</v>
      </c>
      <c r="C11" s="13">
        <f>SUM(TDFD!C11:C15)</f>
        <v>1556.1008000000002</v>
      </c>
      <c r="D11" s="13">
        <f>SUM(TDFD!D11:D15)</f>
        <v>125.91</v>
      </c>
      <c r="E11" s="13">
        <f>SUM(TDFD!E11:E15)</f>
        <v>32138.308900000004</v>
      </c>
      <c r="H11" t="s">
        <v>15</v>
      </c>
      <c r="I11" s="13">
        <f>SUM(TDFD!H11:H15)</f>
        <v>125815</v>
      </c>
      <c r="J11" s="13">
        <f>SUM(TDFD!I11:I15)</f>
        <v>21290</v>
      </c>
      <c r="K11" s="13">
        <f>SUM(TDFD!J11:J15)</f>
        <v>20587</v>
      </c>
      <c r="L11" s="13">
        <f>SUM(TDFD!K11:K15)</f>
        <v>167692</v>
      </c>
    </row>
    <row r="12" spans="1:12" x14ac:dyDescent="0.25">
      <c r="A12" t="s">
        <v>16</v>
      </c>
      <c r="B12" s="13">
        <f>SUM(TDFD!B16:B20)</f>
        <v>34748.355100000001</v>
      </c>
      <c r="C12" s="13">
        <f>SUM(TDFD!C16:C20)</f>
        <v>3665.4504999999999</v>
      </c>
      <c r="D12" s="13">
        <f>SUM(TDFD!D16:D20)</f>
        <v>8740.201500000001</v>
      </c>
      <c r="E12" s="13">
        <f>SUM(TDFD!E16:E20)</f>
        <v>47154.007100000003</v>
      </c>
      <c r="H12" t="s">
        <v>16</v>
      </c>
      <c r="I12" s="13">
        <f>SUM(TDFD!H16:H20)</f>
        <v>96172</v>
      </c>
      <c r="J12" s="13">
        <f>SUM(TDFD!I16:I20)</f>
        <v>16238</v>
      </c>
      <c r="K12" s="13">
        <f>SUM(TDFD!J16:J20)</f>
        <v>16689</v>
      </c>
      <c r="L12" s="13">
        <f>SUM(TDFD!K16:K20)</f>
        <v>129099</v>
      </c>
    </row>
    <row r="13" spans="1:12" x14ac:dyDescent="0.25">
      <c r="A13" t="s">
        <v>17</v>
      </c>
      <c r="B13" s="13">
        <f>SUM(TDFD!B21:B25)</f>
        <v>51599.302800000005</v>
      </c>
      <c r="C13" s="13">
        <f>SUM(TDFD!C21:C25)</f>
        <v>5084.4759999999997</v>
      </c>
      <c r="D13" s="13">
        <f>SUM(TDFD!D21:D25)</f>
        <v>3258.2372999999998</v>
      </c>
      <c r="E13" s="13">
        <f>SUM(TDFD!E21:E25)</f>
        <v>59942.016099999993</v>
      </c>
      <c r="H13" t="s">
        <v>17</v>
      </c>
      <c r="I13" s="13">
        <f>SUM(TDFD!H21:H25)</f>
        <v>45066</v>
      </c>
      <c r="J13" s="13">
        <f>SUM(TDFD!I21:I25)</f>
        <v>10081</v>
      </c>
      <c r="K13" s="13">
        <f>SUM(TDFD!J21:J25)</f>
        <v>8662</v>
      </c>
      <c r="L13" s="13">
        <f>SUM(TDFD!K21:K25)</f>
        <v>63809</v>
      </c>
    </row>
    <row r="14" spans="1:12" x14ac:dyDescent="0.25">
      <c r="A14" t="s">
        <v>18</v>
      </c>
      <c r="B14" s="13">
        <f>SUM(TDFD!B26:B30)</f>
        <v>94596.153399999996</v>
      </c>
      <c r="C14" s="13">
        <f>SUM(TDFD!C26:C30)</f>
        <v>13738.5173</v>
      </c>
      <c r="D14" s="13">
        <f>SUM(TDFD!D26:D30)</f>
        <v>11924.121899999998</v>
      </c>
      <c r="E14" s="13">
        <f>SUM(TDFD!E26:E30)</f>
        <v>120258.79259999999</v>
      </c>
      <c r="H14" t="s">
        <v>18</v>
      </c>
      <c r="I14" s="13">
        <f>SUM(TDFD!H26:H30)</f>
        <v>92509</v>
      </c>
      <c r="J14" s="13">
        <f>SUM(TDFD!I26:I30)</f>
        <v>24213</v>
      </c>
      <c r="K14" s="13">
        <f>SUM(TDFD!J26:J30)</f>
        <v>22512</v>
      </c>
      <c r="L14" s="13">
        <f>SUM(TDFD!K26:K30)</f>
        <v>139234</v>
      </c>
    </row>
    <row r="15" spans="1:12" x14ac:dyDescent="0.25">
      <c r="A15" t="s">
        <v>19</v>
      </c>
      <c r="B15" s="13">
        <f>SUM(TDFD!B31:B35)</f>
        <v>100944.4486</v>
      </c>
      <c r="C15" s="13">
        <f>SUM(TDFD!C31:C35)</f>
        <v>12622.574100000002</v>
      </c>
      <c r="D15" s="13">
        <f>SUM(TDFD!D31:D35)</f>
        <v>15206.354699999998</v>
      </c>
      <c r="E15" s="13">
        <f>SUM(TDFD!E31:E35)</f>
        <v>128773.37740000001</v>
      </c>
      <c r="H15" t="s">
        <v>19</v>
      </c>
      <c r="I15" s="13">
        <f>SUM(TDFD!H31:H35)</f>
        <v>66431</v>
      </c>
      <c r="J15" s="13">
        <f>SUM(TDFD!I31:I35)</f>
        <v>22829</v>
      </c>
      <c r="K15" s="13">
        <f>SUM(TDFD!J31:J35)</f>
        <v>38410</v>
      </c>
      <c r="L15" s="13">
        <f>SUM(TDFD!K31:K35)</f>
        <v>127670</v>
      </c>
    </row>
    <row r="16" spans="1:12" x14ac:dyDescent="0.25">
      <c r="A16" t="s">
        <v>20</v>
      </c>
      <c r="B16" s="13">
        <f>SUM(TDFD!B36:B40)</f>
        <v>67278.716499999995</v>
      </c>
      <c r="C16" s="13">
        <f>SUM(TDFD!C36:C40)</f>
        <v>14082.807299999999</v>
      </c>
      <c r="D16" s="13">
        <f>SUM(TDFD!D36:D40)</f>
        <v>6013.8842000000004</v>
      </c>
      <c r="E16" s="13">
        <f>SUM(TDFD!E36:E40)</f>
        <v>87375.407999999996</v>
      </c>
      <c r="H16" t="s">
        <v>20</v>
      </c>
      <c r="I16" s="13">
        <f>SUM(TDFD!H36:H40)</f>
        <v>30070</v>
      </c>
      <c r="J16" s="13">
        <f>SUM(TDFD!I36:I40)</f>
        <v>12071</v>
      </c>
      <c r="K16" s="13">
        <f>SUM(TDFD!J36:J40)</f>
        <v>28714</v>
      </c>
      <c r="L16" s="13">
        <f>SUM(TDFD!K36:K40)</f>
        <v>70855</v>
      </c>
    </row>
    <row r="17" spans="1:12" x14ac:dyDescent="0.25">
      <c r="A17" t="s">
        <v>21</v>
      </c>
      <c r="B17" s="13">
        <f>SUM(TDFD!B41:B45)</f>
        <v>40082.706300000005</v>
      </c>
      <c r="C17" s="13">
        <f>SUM(TDFD!C41:C45)</f>
        <v>7960.3927999999996</v>
      </c>
      <c r="D17" s="13">
        <f>SUM(TDFD!D41:D45)</f>
        <v>6463.0504999999994</v>
      </c>
      <c r="E17" s="13">
        <f>SUM(TDFD!E41:E45)</f>
        <v>54506.149600000004</v>
      </c>
      <c r="H17" t="s">
        <v>21</v>
      </c>
      <c r="I17" s="13">
        <f>SUM(TDFD!H41:H45)</f>
        <v>19436</v>
      </c>
      <c r="J17" s="13">
        <f>SUM(TDFD!I41:I45)</f>
        <v>7122</v>
      </c>
      <c r="K17" s="13">
        <f>SUM(TDFD!J41:J45)</f>
        <v>15533</v>
      </c>
      <c r="L17" s="13">
        <f>SUM(TDFD!K41:K45)</f>
        <v>42091</v>
      </c>
    </row>
    <row r="18" spans="1:12" x14ac:dyDescent="0.25">
      <c r="A18" t="s">
        <v>22</v>
      </c>
      <c r="B18" s="13">
        <f>SUM(TDFD!B46:B50)</f>
        <v>9287.7625000000007</v>
      </c>
      <c r="C18" s="13">
        <f>SUM(TDFD!C46:C50)</f>
        <v>3443.2061000000003</v>
      </c>
      <c r="D18" s="13">
        <f>SUM(TDFD!D46:D50)</f>
        <v>4525.7582000000002</v>
      </c>
      <c r="E18" s="13">
        <f>SUM(TDFD!E46:E50)</f>
        <v>17256.726799999997</v>
      </c>
      <c r="H18" t="s">
        <v>22</v>
      </c>
      <c r="I18" s="13">
        <f>SUM(TDFD!H46:H50)</f>
        <v>6939</v>
      </c>
      <c r="J18" s="13">
        <f>SUM(TDFD!I46:I50)</f>
        <v>3420</v>
      </c>
      <c r="K18" s="13">
        <f>SUM(TDFD!J46:J50)</f>
        <v>8831</v>
      </c>
      <c r="L18" s="13">
        <f>SUM(TDFD!K46:K50)</f>
        <v>19190</v>
      </c>
    </row>
    <row r="19" spans="1:12" x14ac:dyDescent="0.25">
      <c r="A19" t="s">
        <v>23</v>
      </c>
      <c r="B19" s="13">
        <f>SUM(TDFD!B51:B55)</f>
        <v>5755.9719999999998</v>
      </c>
      <c r="C19" s="13">
        <f>SUM(TDFD!C51:C55)</f>
        <v>572.63800000000003</v>
      </c>
      <c r="D19" s="13">
        <f>SUM(TDFD!D51:D55)</f>
        <v>2150.5392000000002</v>
      </c>
      <c r="E19" s="13">
        <f>SUM(TDFD!E51:E55)</f>
        <v>8479.1491999999998</v>
      </c>
      <c r="H19" t="s">
        <v>23</v>
      </c>
      <c r="I19" s="13">
        <f>SUM(TDFD!H51:H55)</f>
        <v>1439</v>
      </c>
      <c r="J19" s="13">
        <f>SUM(TDFD!I51:I55)</f>
        <v>1207</v>
      </c>
      <c r="K19" s="13">
        <f>SUM(TDFD!J51:J55)</f>
        <v>3968</v>
      </c>
      <c r="L19" s="13">
        <f>SUM(TDFD!K51:K55)</f>
        <v>6614</v>
      </c>
    </row>
    <row r="20" spans="1:12" x14ac:dyDescent="0.25">
      <c r="A20" t="s">
        <v>24</v>
      </c>
      <c r="B20" s="13">
        <f>SUM(TDFD!B56:B70)</f>
        <v>18559.013700000003</v>
      </c>
      <c r="C20" s="13">
        <f>SUM(TDFD!C56:C70)</f>
        <v>4734.1336000000001</v>
      </c>
      <c r="D20" s="13">
        <f>SUM(TDFD!D56:D70)</f>
        <v>6005.6632000000009</v>
      </c>
      <c r="E20" s="13">
        <f>SUM(TDFD!E56:E70)</f>
        <v>29298.810499999996</v>
      </c>
      <c r="H20" t="s">
        <v>24</v>
      </c>
      <c r="I20" s="13">
        <f>SUM(TDFD!H56:H70)</f>
        <v>901</v>
      </c>
      <c r="J20" s="13">
        <f>SUM(TDFD!I56:I70)</f>
        <v>1139</v>
      </c>
      <c r="K20" s="13">
        <f>SUM(TDFD!J56:J70)</f>
        <v>8132</v>
      </c>
      <c r="L20" s="13">
        <f>SUM(TDFD!K56:K70)</f>
        <v>10172</v>
      </c>
    </row>
    <row r="21" spans="1:12" x14ac:dyDescent="0.25">
      <c r="A21" t="s">
        <v>25</v>
      </c>
      <c r="B21" s="13">
        <f>SUM(TDFD!B71:B100)</f>
        <v>4275.9142000000002</v>
      </c>
      <c r="C21" s="13">
        <f>SUM(TDFD!C71:C100)</f>
        <v>621.6869999999999</v>
      </c>
      <c r="D21" s="13">
        <f>SUM(TDFD!D71:D100)</f>
        <v>1923.2527</v>
      </c>
      <c r="E21" s="13">
        <f>SUM(TDFD!E71:E100)</f>
        <v>6820.8539000000001</v>
      </c>
      <c r="H21" t="s">
        <v>25</v>
      </c>
      <c r="I21" s="13">
        <f>SUM(TDFD!H71:H100)</f>
        <v>120</v>
      </c>
      <c r="J21" s="13">
        <f>SUM(TDFD!I71:I100)</f>
        <v>254</v>
      </c>
      <c r="K21" s="13">
        <f>SUM(TDFD!J71:J100)</f>
        <v>2360</v>
      </c>
      <c r="L21" s="13">
        <f>SUM(TDFD!K71:K100)</f>
        <v>2734</v>
      </c>
    </row>
    <row ht="15.75" r="22" spans="1:12" thickBot="1" x14ac:dyDescent="0.3">
      <c r="A22" s="1" t="s">
        <v>26</v>
      </c>
      <c r="B22" s="14">
        <f>TDFD!B101</f>
        <v>56177.107199999999</v>
      </c>
      <c r="C22" s="14">
        <f>TDFD!C101</f>
        <v>10417.5607</v>
      </c>
      <c r="D22" s="14">
        <f>TDFD!D101</f>
        <v>42483.839500000002</v>
      </c>
      <c r="E22" s="14">
        <f>TDFD!E101</f>
        <v>109078.5074</v>
      </c>
      <c r="H22" s="1" t="s">
        <v>26</v>
      </c>
      <c r="I22" s="14">
        <f>TDFD!H101</f>
        <v>21334</v>
      </c>
      <c r="J22" s="14">
        <f>TDFD!I101</f>
        <v>0</v>
      </c>
      <c r="K22" s="14">
        <f>TDFD!J101</f>
        <v>0</v>
      </c>
      <c r="L22" s="14">
        <f>TDFD!K101</f>
        <v>21334</v>
      </c>
    </row>
  </sheetData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F52"/>
  <sheetViews>
    <sheetView tabSelected="1" workbookViewId="0">
      <selection activeCell="L19" sqref="L19"/>
    </sheetView>
  </sheetViews>
  <sheetFormatPr defaultRowHeight="15" x14ac:dyDescent="0.25"/>
  <cols>
    <col min="1" max="1" customWidth="true" width="18.5703125" collapsed="true"/>
    <col min="4" max="4" bestFit="true" customWidth="true" width="12.28515625" collapsed="true"/>
    <col min="12" max="12" customWidth="true" width="20.0" collapsed="true"/>
    <col min="15" max="15" bestFit="true" customWidth="true" width="12.28515625" collapsed="true"/>
    <col min="20" max="21" bestFit="true" customWidth="true" width="9.5703125" collapsed="true"/>
    <col min="26" max="26" bestFit="true" customWidth="true" width="12.28515625" collapsed="true"/>
  </cols>
  <sheetData>
    <row r="1" spans="1:22" x14ac:dyDescent="0.25">
      <c r="A1" t="s">
        <v>27</v>
      </c>
    </row>
    <row r="2" spans="1:22" x14ac:dyDescent="0.25">
      <c r="A2" t="s">
        <v>247</v>
      </c>
    </row>
    <row ht="15.75" r="5" spans="1:22" thickBot="1" x14ac:dyDescent="0.3">
      <c r="A5" s="4" t="s">
        <v>194</v>
      </c>
      <c r="B5" s="1"/>
      <c r="C5" s="1"/>
      <c r="D5" s="1"/>
      <c r="E5" s="1"/>
      <c r="F5" s="1"/>
      <c r="G5" s="1"/>
      <c r="H5" s="1"/>
      <c r="I5" s="1"/>
      <c r="J5" s="1"/>
      <c r="L5" s="4" t="s">
        <v>28</v>
      </c>
      <c r="M5" s="1"/>
      <c r="N5" s="1"/>
      <c r="O5" s="1"/>
      <c r="P5" s="1"/>
      <c r="Q5" s="1"/>
      <c r="R5" s="1"/>
      <c r="S5" s="1"/>
      <c r="T5" s="1"/>
      <c r="U5" s="1"/>
    </row>
    <row r="6" spans="1:22" x14ac:dyDescent="0.25">
      <c r="A6" s="2" t="s">
        <v>11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12</v>
      </c>
      <c r="J6" s="3" t="s">
        <v>3</v>
      </c>
      <c r="L6" s="2" t="s">
        <v>11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12</v>
      </c>
      <c r="U6" s="3" t="s">
        <v>3</v>
      </c>
    </row>
    <row r="7" spans="1:22" x14ac:dyDescent="0.25">
      <c r="A7" s="52" t="s">
        <v>254</v>
      </c>
      <c r="B7" s="20" t="n">
        <v>22523.6255</v>
      </c>
      <c r="C7" s="20" t="n">
        <v>0.0</v>
      </c>
      <c r="D7" s="20" t="n">
        <v>176.3579</v>
      </c>
      <c r="E7" s="20" t="n">
        <v>0.0</v>
      </c>
      <c r="F7" s="20" t="n">
        <v>998.1193</v>
      </c>
      <c r="G7" s="20" t="n">
        <v>277.9743</v>
      </c>
      <c r="H7" s="20" t="n">
        <v>598.7766</v>
      </c>
      <c r="I7" s="20">
        <v>7878.4522999999999</v>
      </c>
      <c r="J7" s="20">
        <f>SUM(B7:I7)</f>
        <v>32453.305899999999</v>
      </c>
      <c r="K7" s="20"/>
      <c r="L7" t="str">
        <f>$A$7</f>
        <v>Bellevue</v>
      </c>
      <c r="M7" s="20" t="n">
        <v>25231.0</v>
      </c>
      <c r="N7" s="20" t="n">
        <v>1127.0</v>
      </c>
      <c r="O7" s="20" t="n">
        <v>1435.0</v>
      </c>
      <c r="P7" s="20" t="n">
        <v>1904.0</v>
      </c>
      <c r="Q7" s="20" t="n">
        <v>1325.0</v>
      </c>
      <c r="R7" s="20" t="n">
        <v>164.0</v>
      </c>
      <c r="S7" s="20" t="n">
        <v>1801.0</v>
      </c>
      <c r="T7" s="20">
        <v>2344.5</v>
      </c>
      <c r="U7" s="20">
        <f>SUM(M7:T7)</f>
        <v>35331.5</v>
      </c>
    </row>
    <row r="8" spans="1:22" x14ac:dyDescent="0.25">
      <c r="A8" t="s">
        <v>255</v>
      </c>
      <c r="B8" s="21" t="n">
        <v>82.1623</v>
      </c>
      <c r="C8" s="21" t="n">
        <v>4.443</v>
      </c>
      <c r="D8" s="21" t="n">
        <v>0.0</v>
      </c>
      <c r="E8" s="21" t="n">
        <v>0.0</v>
      </c>
      <c r="F8" s="21" t="n">
        <v>110.0983</v>
      </c>
      <c r="G8" s="21" t="n">
        <v>12.077</v>
      </c>
      <c r="H8" s="21" t="n">
        <v>0.0</v>
      </c>
      <c r="I8" s="21">
        <v>4018.4690000000001</v>
      </c>
      <c r="J8" s="21">
        <f ref="J8:J12" si="0" t="shared">SUM(B8:I8)</f>
        <v>4227.2496000000001</v>
      </c>
      <c r="K8" s="20"/>
      <c r="L8" s="7" t="str">
        <f>$A$8</f>
        <v>Bellevue Downtown</v>
      </c>
      <c r="M8" s="21" t="n">
        <v>556.0</v>
      </c>
      <c r="N8" s="21" t="n">
        <v>233.0</v>
      </c>
      <c r="O8" s="21" t="n">
        <v>69.0</v>
      </c>
      <c r="P8" s="21" t="n">
        <v>18.0</v>
      </c>
      <c r="Q8" s="21" t="n">
        <v>81.0</v>
      </c>
      <c r="R8" s="21" t="n">
        <v>24.0</v>
      </c>
      <c r="S8" s="21" t="n">
        <v>16.0</v>
      </c>
      <c r="T8" s="21">
        <v>1069.8725374786757</v>
      </c>
      <c r="U8" s="21">
        <f>SUM(M8:T8)</f>
        <v>2066.8725374786754</v>
      </c>
    </row>
    <row r="9" spans="1:22" x14ac:dyDescent="0.25">
      <c r="A9" t="s">
        <v>256</v>
      </c>
      <c r="B9" s="21" t="n">
        <v>2429.896</v>
      </c>
      <c r="C9" s="21" t="n">
        <v>169.878</v>
      </c>
      <c r="D9" s="21" t="n">
        <v>14636.3289</v>
      </c>
      <c r="E9" s="21" t="n">
        <v>130.9662</v>
      </c>
      <c r="F9" s="21" t="n">
        <v>32.688</v>
      </c>
      <c r="G9" s="21" t="n">
        <v>4.161</v>
      </c>
      <c r="H9" s="21" t="n">
        <v>10.346</v>
      </c>
      <c r="I9" s="21">
        <v>28396.036</v>
      </c>
      <c r="J9" s="21">
        <f si="0" t="shared"/>
        <v>45810.3001</v>
      </c>
      <c r="K9" s="20"/>
      <c r="L9" s="7" t="str">
        <f>$A$9</f>
        <v>Kirkland</v>
      </c>
      <c r="M9" s="21" t="n">
        <v>1577.0</v>
      </c>
      <c r="N9" s="21" t="n">
        <v>135.0</v>
      </c>
      <c r="O9" s="21" t="n">
        <v>19148.0</v>
      </c>
      <c r="P9" s="21" t="n">
        <v>2278.0</v>
      </c>
      <c r="Q9" s="21" t="n">
        <v>2117.0</v>
      </c>
      <c r="R9" s="21" t="n">
        <v>80.0</v>
      </c>
      <c r="S9" s="21" t="n">
        <v>1567.0</v>
      </c>
      <c r="T9" s="21">
        <v>5418.9547298933257</v>
      </c>
      <c r="U9" s="21">
        <f>SUM(M9:T9)</f>
        <v>32320.954729893325</v>
      </c>
      <c r="V9" s="7"/>
    </row>
    <row r="10" spans="1:22" x14ac:dyDescent="0.25">
      <c r="A10" t="s">
        <v>257</v>
      </c>
      <c r="B10" s="21" t="n">
        <v>1720.9702</v>
      </c>
      <c r="C10" s="21" t="n">
        <v>230.2899</v>
      </c>
      <c r="D10" s="21" t="n">
        <v>3736.0108</v>
      </c>
      <c r="E10" s="21" t="n">
        <v>18799.0604</v>
      </c>
      <c r="F10" s="21" t="n">
        <v>802.5203</v>
      </c>
      <c r="G10" s="21" t="n">
        <v>3.675</v>
      </c>
      <c r="H10" s="21" t="n">
        <v>245.1527</v>
      </c>
      <c r="I10" s="21">
        <v>20922.748800000001</v>
      </c>
      <c r="J10" s="21">
        <f si="0" t="shared"/>
        <v>46460.428099999997</v>
      </c>
      <c r="K10" s="20"/>
      <c r="L10" s="7" t="str">
        <f>$A$10</f>
        <v>Redmond</v>
      </c>
      <c r="M10" s="21" t="n">
        <v>3302.0</v>
      </c>
      <c r="N10" s="21" t="n">
        <v>99.0</v>
      </c>
      <c r="O10" s="21" t="n">
        <v>4387.0</v>
      </c>
      <c r="P10" s="21" t="n">
        <v>12495.0</v>
      </c>
      <c r="Q10" s="21" t="n">
        <v>781.0</v>
      </c>
      <c r="R10" s="21" t="n">
        <v>65.0</v>
      </c>
      <c r="S10" s="21" t="n">
        <v>1484.0</v>
      </c>
      <c r="T10" s="21">
        <v>5838.2308904845268</v>
      </c>
      <c r="U10" s="21">
        <f ref="U10:U13" si="1" t="shared">SUM(M10:T10)</f>
        <v>28451.230890484527</v>
      </c>
      <c r="V10" s="7"/>
    </row>
    <row r="11" spans="1:22" x14ac:dyDescent="0.25">
      <c r="A11" t="s">
        <v>253</v>
      </c>
      <c r="B11" s="21" t="n">
        <v>352.4101</v>
      </c>
      <c r="C11" s="21" t="n">
        <v>19.176000000000002</v>
      </c>
      <c r="D11" s="21" t="n">
        <v>706.4488</v>
      </c>
      <c r="E11" s="21" t="n">
        <v>4.443</v>
      </c>
      <c r="F11" s="21" t="n">
        <v>89339.2028</v>
      </c>
      <c r="G11" s="21" t="n">
        <v>2676.5947</v>
      </c>
      <c r="H11" s="21" t="n">
        <v>3242.9781000000003</v>
      </c>
      <c r="I11" s="21">
        <v>16278.067500000001</v>
      </c>
      <c r="J11" s="21">
        <f si="0" t="shared"/>
        <v>112619.321</v>
      </c>
      <c r="K11" s="20"/>
      <c r="L11" s="7" t="str">
        <f>$A$11</f>
        <v>Seattle</v>
      </c>
      <c r="M11" s="21" t="n">
        <v>1650.0</v>
      </c>
      <c r="N11" s="21" t="n">
        <v>78.0</v>
      </c>
      <c r="O11" s="21" t="n">
        <v>1737.0</v>
      </c>
      <c r="P11" s="21" t="n">
        <v>239.0</v>
      </c>
      <c r="Q11" s="21" t="n">
        <v>102787.0</v>
      </c>
      <c r="R11" s="21" t="n">
        <v>4670.0</v>
      </c>
      <c r="S11" s="21" t="n">
        <v>6018.0</v>
      </c>
      <c r="T11" s="21">
        <v>2309.1428943957899</v>
      </c>
      <c r="U11" s="21">
        <f si="1" t="shared"/>
        <v>119488.14289439579</v>
      </c>
      <c r="V11" s="7"/>
    </row>
    <row r="12" spans="1:22" x14ac:dyDescent="0.25">
      <c r="A12" t="s">
        <v>258</v>
      </c>
      <c r="B12" s="21" t="n">
        <v>0.0</v>
      </c>
      <c r="C12" s="21" t="n">
        <v>0.0</v>
      </c>
      <c r="D12" s="21" t="n">
        <v>0.0</v>
      </c>
      <c r="E12" s="21" t="n">
        <v>0.0</v>
      </c>
      <c r="F12" s="21" t="n">
        <v>1835.1723</v>
      </c>
      <c r="G12" s="21" t="n">
        <v>799.1563</v>
      </c>
      <c r="H12" s="21" t="n">
        <v>0.0</v>
      </c>
      <c r="I12" s="21">
        <v>31584.733799999998</v>
      </c>
      <c r="J12" s="21">
        <f si="0" t="shared"/>
        <v>34219.062399999995</v>
      </c>
      <c r="K12" s="20"/>
      <c r="L12" s="7" t="str">
        <f>$A$12</f>
        <v>Seattle Downtown</v>
      </c>
      <c r="M12" s="21" t="n">
        <v>136.0</v>
      </c>
      <c r="N12" s="21" t="n">
        <v>7.0</v>
      </c>
      <c r="O12" s="21" t="n">
        <v>11.0</v>
      </c>
      <c r="P12" s="21" t="n">
        <v>3.0</v>
      </c>
      <c r="Q12" s="21" t="n">
        <v>2402.0</v>
      </c>
      <c r="R12" s="21" t="n">
        <v>2584.0</v>
      </c>
      <c r="S12" s="21" t="n">
        <v>41.0</v>
      </c>
      <c r="T12" s="21">
        <v>4066.7245950088954</v>
      </c>
      <c r="U12" s="21">
        <f si="1" t="shared"/>
        <v>9250.7245950088945</v>
      </c>
      <c r="V12" s="7"/>
    </row>
    <row r="13" spans="1:22" x14ac:dyDescent="0.25">
      <c r="A13" s="7" t="s">
        <v>259</v>
      </c>
      <c r="B13" s="21" t="n">
        <v>6247.4189</v>
      </c>
      <c r="C13" s="21" t="n">
        <v>0.0</v>
      </c>
      <c r="D13" s="21" t="n">
        <v>9915.681999999999</v>
      </c>
      <c r="E13" s="21" t="n">
        <v>2209.2274</v>
      </c>
      <c r="F13" s="21" t="n">
        <v>13302.1106</v>
      </c>
      <c r="G13" s="21" t="n">
        <v>80.047</v>
      </c>
      <c r="H13" s="21" t="n">
        <v>398350.2527</v>
      </c>
      <c r="I13" s="21"/>
      <c r="J13" s="21">
        <f>SUM(B13:I13)</f>
        <v>430104.73859999998</v>
      </c>
      <c r="K13" s="20"/>
      <c r="L13" t="str">
        <f>$A$13</f>
        <v>Rest</v>
      </c>
      <c r="M13" s="21" t="n">
        <v>12512.0</v>
      </c>
      <c r="N13" s="21" t="n">
        <v>335.0</v>
      </c>
      <c r="O13" s="21" t="n">
        <v>9514.0</v>
      </c>
      <c r="P13" s="21" t="n">
        <v>5367.0</v>
      </c>
      <c r="Q13" s="21" t="n">
        <v>20141.0</v>
      </c>
      <c r="R13" s="21" t="n">
        <v>2116.0</v>
      </c>
      <c r="S13" s="21" t="n">
        <v>523313.0</v>
      </c>
      <c r="T13" s="21"/>
      <c r="U13" s="21">
        <f si="1" t="shared"/>
        <v>573298</v>
      </c>
    </row>
    <row r="14" spans="1:22" x14ac:dyDescent="0.25">
      <c r="A14" s="25" t="s">
        <v>12</v>
      </c>
      <c r="B14" s="21"/>
      <c r="C14" s="21"/>
      <c r="D14" s="21"/>
      <c r="E14" s="21"/>
      <c r="F14" s="21"/>
      <c r="G14" s="21"/>
      <c r="H14" s="21"/>
      <c r="I14" s="21"/>
      <c r="J14" s="21"/>
      <c r="K14" s="20"/>
      <c r="L14" s="25" t="s">
        <v>12</v>
      </c>
      <c r="M14" s="21"/>
      <c r="N14" s="21"/>
      <c r="O14" s="21"/>
      <c r="P14" s="21"/>
      <c r="Q14" s="21"/>
      <c r="R14" s="21"/>
      <c r="S14" s="21"/>
      <c r="T14" s="21"/>
      <c r="U14" s="21"/>
    </row>
    <row ht="15.75" r="15" spans="1:22" thickBot="1" x14ac:dyDescent="0.3">
      <c r="A15" s="12" t="s">
        <v>3</v>
      </c>
      <c r="B15" s="53">
        <f ref="B15:G15" si="2" t="shared">SUM(B7:B13)</f>
        <v>33356.483</v>
      </c>
      <c r="C15" s="53">
        <f si="2" t="shared"/>
        <v>423.7869</v>
      </c>
      <c r="D15" s="53">
        <f si="2" t="shared"/>
        <v>29170.828399999999</v>
      </c>
      <c r="E15" s="53">
        <f si="2" t="shared"/>
        <v>21143.696999999996</v>
      </c>
      <c r="F15" s="53">
        <f si="2" t="shared"/>
        <v>106419.91160000001</v>
      </c>
      <c r="G15" s="53">
        <f si="2" t="shared"/>
        <v>3853.6853000000001</v>
      </c>
      <c r="H15" s="53"/>
      <c r="I15" s="53">
        <f>SUM(I7:I13)</f>
        <v>109078.5074</v>
      </c>
      <c r="J15" s="53">
        <f>SUM(J7:J13)</f>
        <v>705894.4057</v>
      </c>
      <c r="K15" s="20"/>
      <c r="L15" s="53" t="s">
        <v>3</v>
      </c>
      <c r="M15" s="53">
        <f ref="M15:S15" si="3" t="shared">SUM(M7:M13)</f>
        <v>45077</v>
      </c>
      <c r="N15" s="53">
        <f si="3" t="shared"/>
        <v>1410</v>
      </c>
      <c r="O15" s="53">
        <f si="3" t="shared"/>
        <v>34876</v>
      </c>
      <c r="P15" s="53">
        <f si="3" t="shared"/>
        <v>19641</v>
      </c>
      <c r="Q15" s="53">
        <f si="3" t="shared"/>
        <v>130348</v>
      </c>
      <c r="R15" s="53">
        <f si="3" t="shared"/>
        <v>9821</v>
      </c>
      <c r="S15" s="53">
        <f si="3" t="shared"/>
        <v>537987</v>
      </c>
      <c r="T15" s="53">
        <f>SUM(T7:T13)</f>
        <v>21047.425647261214</v>
      </c>
      <c r="U15" s="53">
        <f>SUM(U7:U13)</f>
        <v>800207.4256472612</v>
      </c>
    </row>
    <row ht="15.75" r="18" spans="1:32" thickBot="1" x14ac:dyDescent="0.3">
      <c r="A18" s="4" t="s">
        <v>195</v>
      </c>
      <c r="B18" s="1"/>
      <c r="C18" s="1"/>
      <c r="D18" s="1"/>
      <c r="E18" s="1"/>
      <c r="F18" s="1"/>
      <c r="G18" s="1"/>
      <c r="H18" s="1"/>
      <c r="I18" s="1"/>
      <c r="J18" s="1"/>
      <c r="L18" s="46"/>
      <c r="M18" s="7"/>
      <c r="N18" s="7"/>
      <c r="O18" s="7"/>
      <c r="P18" s="7"/>
      <c r="Q18" s="7"/>
      <c r="R18" s="7"/>
      <c r="S18" s="7"/>
      <c r="T18" s="7"/>
      <c r="U18" s="7"/>
    </row>
    <row r="19" spans="1:32" x14ac:dyDescent="0.25">
      <c r="A19" s="2" t="s">
        <v>11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12</v>
      </c>
      <c r="J19" s="3" t="s">
        <v>3</v>
      </c>
      <c r="L19" s="7"/>
      <c r="M19" s="47"/>
      <c r="N19" s="47"/>
      <c r="O19" s="47"/>
      <c r="P19" s="47"/>
      <c r="Q19" s="47"/>
      <c r="R19" s="47"/>
      <c r="S19" s="47"/>
      <c r="T19" s="47"/>
      <c r="U19" s="47"/>
    </row>
    <row r="20" spans="1:32" x14ac:dyDescent="0.25">
      <c r="A20" t="str">
        <f>$A$7</f>
        <v>Bellevue</v>
      </c>
      <c r="B20" s="20">
        <f ref="B20:G26" si="4" t="shared">($U7/$J7)*B7</f>
        <v>24521.18366015987</v>
      </c>
      <c r="C20" s="20">
        <f si="4" t="shared"/>
        <v>0</v>
      </c>
      <c r="D20" s="20">
        <f si="4" t="shared"/>
        <v>191.99859524480678</v>
      </c>
      <c r="E20" s="20">
        <f si="4" t="shared"/>
        <v>0</v>
      </c>
      <c r="F20" s="20">
        <f si="4" t="shared"/>
        <v>1086.6397450113086</v>
      </c>
      <c r="G20" s="20">
        <f si="4" t="shared"/>
        <v>302.62707320827985</v>
      </c>
      <c r="H20" s="20">
        <f ref="H20" si="5" t="shared">($U7/$J7)*H7</f>
        <v>651.88044349281529</v>
      </c>
      <c r="I20" s="20">
        <f ref="I20:J26" si="6" t="shared">($U7/$J7)*I7</f>
        <v>8577.170482882917</v>
      </c>
      <c r="J20" s="20">
        <f si="6" t="shared"/>
        <v>35331.5</v>
      </c>
      <c r="K20" s="20"/>
      <c r="L20" s="21"/>
      <c r="M20" s="21"/>
      <c r="N20" s="21"/>
      <c r="O20" s="21"/>
      <c r="P20" s="21"/>
      <c r="Q20" s="21"/>
      <c r="R20" s="21"/>
      <c r="S20" s="21"/>
      <c r="T20" s="21"/>
      <c r="U20" s="21"/>
    </row>
    <row r="21" spans="1:32" x14ac:dyDescent="0.25">
      <c r="A21" t="str">
        <f>$A$8</f>
        <v>Bellevue Downtown</v>
      </c>
      <c r="B21" s="20">
        <f si="4" t="shared"/>
        <v>40.172456692901257</v>
      </c>
      <c r="C21" s="20">
        <f si="4" t="shared"/>
        <v>2.1723615951179589</v>
      </c>
      <c r="D21" s="20">
        <f si="4" t="shared"/>
        <v>0</v>
      </c>
      <c r="E21" s="20">
        <f si="4" t="shared"/>
        <v>0</v>
      </c>
      <c r="F21" s="20">
        <f si="4" t="shared"/>
        <v>53.831491921624036</v>
      </c>
      <c r="G21" s="20">
        <f si="4" t="shared"/>
        <v>5.9049315742155279</v>
      </c>
      <c r="H21" s="20">
        <f ref="H21" si="7" t="shared">($U8/$J8)*H8</f>
        <v>0</v>
      </c>
      <c r="I21" s="20">
        <f si="6" t="shared"/>
        <v>1964.7912956948164</v>
      </c>
      <c r="J21" s="20">
        <f si="6" t="shared"/>
        <v>2066.8725374786754</v>
      </c>
      <c r="K21" s="20"/>
      <c r="L21" s="21"/>
      <c r="M21" s="21"/>
      <c r="N21" s="21"/>
      <c r="O21" s="21"/>
      <c r="P21" s="21"/>
      <c r="Q21" s="21"/>
      <c r="R21" s="21"/>
      <c r="S21" s="21"/>
      <c r="T21" s="21"/>
      <c r="U21" s="21"/>
    </row>
    <row r="22" spans="1:32" x14ac:dyDescent="0.25">
      <c r="A22" t="str">
        <f>$A$9</f>
        <v>Kirkland</v>
      </c>
      <c r="B22" s="20">
        <f si="4" t="shared"/>
        <v>1714.3864686088114</v>
      </c>
      <c r="C22" s="20">
        <f si="4" t="shared"/>
        <v>119.85555946193895</v>
      </c>
      <c r="D22" s="20">
        <f si="4" t="shared"/>
        <v>10326.501305515992</v>
      </c>
      <c r="E22" s="20">
        <f si="4" t="shared"/>
        <v>92.401765806073698</v>
      </c>
      <c r="F22" s="20">
        <f si="4" t="shared"/>
        <v>23.062659836422966</v>
      </c>
      <c r="G22" s="20">
        <f si="4" t="shared"/>
        <v>2.9357479068574386</v>
      </c>
      <c r="H22" s="20">
        <f ref="H22" si="8" t="shared">($U9/$J9)*H9</f>
        <v>7.2995068119074897</v>
      </c>
      <c r="I22" s="20">
        <f si="6" t="shared"/>
        <v>20034.511715945322</v>
      </c>
      <c r="J22" s="20">
        <f si="6" t="shared"/>
        <v>32320.954729893325</v>
      </c>
      <c r="K22" s="20"/>
      <c r="L22" s="21"/>
      <c r="M22" s="21"/>
      <c r="N22" s="21"/>
      <c r="O22" s="21"/>
      <c r="P22" s="21"/>
      <c r="Q22" s="21"/>
      <c r="R22" s="21"/>
      <c r="S22" s="21"/>
      <c r="T22" s="21"/>
      <c r="U22" s="21"/>
    </row>
    <row r="23" spans="1:32" x14ac:dyDescent="0.25">
      <c r="A23" t="str">
        <f>$A$10</f>
        <v>Redmond</v>
      </c>
      <c r="B23" s="20">
        <f si="4" t="shared"/>
        <v>1053.8800979288294</v>
      </c>
      <c r="C23" s="20">
        <f si="4" t="shared"/>
        <v>141.02390754007263</v>
      </c>
      <c r="D23" s="20">
        <f si="4" t="shared"/>
        <v>2287.8417230973346</v>
      </c>
      <c r="E23" s="20">
        <f si="4" t="shared"/>
        <v>11512.08522688073</v>
      </c>
      <c r="F23" s="20">
        <f si="4" t="shared"/>
        <v>491.44382183600482</v>
      </c>
      <c r="G23" s="20">
        <f si="4" t="shared"/>
        <v>2.2504801999990747</v>
      </c>
      <c r="H23" s="20">
        <f ref="H23" si="9" t="shared">($U10/$J10)*H10</f>
        <v>150.12552308199</v>
      </c>
      <c r="I23" s="20">
        <f si="6" t="shared"/>
        <v>12812.580109919567</v>
      </c>
      <c r="J23" s="20">
        <f si="6" t="shared"/>
        <v>28451.230890484527</v>
      </c>
      <c r="K23" s="20"/>
      <c r="L23" s="21"/>
      <c r="M23" s="21"/>
      <c r="N23" s="21"/>
      <c r="O23" s="21"/>
      <c r="P23" s="21"/>
      <c r="Q23" s="21"/>
      <c r="R23" s="21"/>
      <c r="S23" s="21"/>
      <c r="T23" s="21"/>
      <c r="U23" s="21"/>
    </row>
    <row r="24" spans="1:32" x14ac:dyDescent="0.25">
      <c r="A24" t="str">
        <f>$A$11</f>
        <v>Seattle</v>
      </c>
      <c r="B24" s="20">
        <f si="4" t="shared"/>
        <v>373.90412242166076</v>
      </c>
      <c r="C24" s="20">
        <f si="4" t="shared"/>
        <v>20.345573102353672</v>
      </c>
      <c r="D24" s="20">
        <f si="4" t="shared"/>
        <v>749.53617560857458</v>
      </c>
      <c r="E24" s="20">
        <f si="4" t="shared"/>
        <v>4.7139852572881384</v>
      </c>
      <c r="F24" s="20">
        <f si="4" t="shared"/>
        <v>94788.135245796817</v>
      </c>
      <c r="G24" s="20">
        <f si="4" t="shared"/>
        <v>2839.8442393732994</v>
      </c>
      <c r="H24" s="20">
        <f ref="H24" si="10" t="shared">($U11/$J11)*H11</f>
        <v>3440.7722154193793</v>
      </c>
      <c r="I24" s="20">
        <f si="6" t="shared"/>
        <v>17270.891337416429</v>
      </c>
      <c r="J24" s="20">
        <f si="6" t="shared"/>
        <v>119488.14289439579</v>
      </c>
      <c r="K24" s="20"/>
      <c r="L24" s="21"/>
      <c r="M24" s="21"/>
      <c r="N24" s="21"/>
      <c r="O24" s="21"/>
      <c r="P24" s="21"/>
      <c r="Q24" s="21"/>
      <c r="R24" s="21"/>
      <c r="S24" s="21"/>
      <c r="T24" s="21"/>
      <c r="U24" s="21"/>
    </row>
    <row r="25" spans="1:32" x14ac:dyDescent="0.25">
      <c r="A25" t="str">
        <f>$A$12</f>
        <v>Seattle Downtown</v>
      </c>
      <c r="B25" s="20">
        <f si="4" t="shared"/>
        <v>0</v>
      </c>
      <c r="C25" s="20">
        <f si="4" t="shared"/>
        <v>0</v>
      </c>
      <c r="D25" s="20">
        <f si="4" t="shared"/>
        <v>0</v>
      </c>
      <c r="E25" s="20">
        <f si="4" t="shared"/>
        <v>0</v>
      </c>
      <c r="F25" s="20">
        <f si="4" t="shared"/>
        <v>496.11743691986845</v>
      </c>
      <c r="G25" s="20">
        <f si="4" t="shared"/>
        <v>216.04258916417029</v>
      </c>
      <c r="H25" s="20">
        <f ref="H25:H26" si="11" t="shared">($U12/$J12)*H12</f>
        <v>0</v>
      </c>
      <c r="I25" s="20">
        <f si="6" t="shared"/>
        <v>8538.5645689248558</v>
      </c>
      <c r="J25" s="20">
        <f si="6" t="shared"/>
        <v>9250.7245950088945</v>
      </c>
      <c r="K25" s="20"/>
      <c r="L25" s="21"/>
      <c r="M25" s="21"/>
      <c r="N25" s="21"/>
      <c r="O25" s="21"/>
      <c r="P25" s="21"/>
      <c r="Q25" s="21"/>
      <c r="R25" s="21"/>
      <c r="S25" s="21"/>
      <c r="T25" s="21"/>
      <c r="U25" s="21"/>
    </row>
    <row r="26" spans="1:32" x14ac:dyDescent="0.25">
      <c r="A26" t="str">
        <f>$A$13</f>
        <v>Rest</v>
      </c>
      <c r="B26" s="20">
        <f si="4" t="shared"/>
        <v>8327.3501524082021</v>
      </c>
      <c r="C26" s="20">
        <f si="4" t="shared"/>
        <v>0</v>
      </c>
      <c r="D26" s="20">
        <f si="4" t="shared"/>
        <v>13216.87521448758</v>
      </c>
      <c r="E26" s="20">
        <f si="4" t="shared"/>
        <v>2944.7377261823085</v>
      </c>
      <c r="F26" s="20">
        <f si="4" t="shared"/>
        <v>17730.735605429112</v>
      </c>
      <c r="G26" s="20">
        <f si="4" t="shared"/>
        <v>106.69676682794864</v>
      </c>
      <c r="H26" s="20">
        <f si="11" t="shared"/>
        <v>530971.60453466489</v>
      </c>
      <c r="I26" s="20">
        <f si="6" t="shared"/>
        <v>0</v>
      </c>
      <c r="J26" s="20">
        <f si="6" t="shared"/>
        <v>573298</v>
      </c>
      <c r="K26" s="20"/>
      <c r="L26" s="21"/>
      <c r="M26" s="21"/>
      <c r="N26" s="21"/>
      <c r="O26" s="21"/>
      <c r="P26" s="21"/>
      <c r="Q26" s="21"/>
      <c r="R26" s="21"/>
      <c r="S26" s="21"/>
      <c r="T26" s="21"/>
      <c r="U26" s="21"/>
    </row>
    <row r="27" spans="1:32" x14ac:dyDescent="0.25">
      <c r="A27" s="8" t="s">
        <v>12</v>
      </c>
      <c r="B27" s="22" t="e">
        <f>($U14/$J14)*B14</f>
        <v>#DIV/0!</v>
      </c>
      <c r="C27" s="22" t="e">
        <f ref="C27:J27" si="12" t="shared">($U14/$J14)*C14</f>
        <v>#DIV/0!</v>
      </c>
      <c r="D27" s="22" t="e">
        <f si="12" t="shared"/>
        <v>#DIV/0!</v>
      </c>
      <c r="E27" s="22" t="e">
        <f si="12" t="shared"/>
        <v>#DIV/0!</v>
      </c>
      <c r="F27" s="22" t="e">
        <f si="12" t="shared"/>
        <v>#DIV/0!</v>
      </c>
      <c r="G27" s="22" t="e">
        <f si="12" t="shared"/>
        <v>#DIV/0!</v>
      </c>
      <c r="H27" s="22" t="e">
        <f si="12" t="shared"/>
        <v>#DIV/0!</v>
      </c>
      <c r="I27" s="22" t="e">
        <f si="12" t="shared"/>
        <v>#DIV/0!</v>
      </c>
      <c r="J27" s="22" t="e">
        <f si="12" t="shared"/>
        <v>#DIV/0!</v>
      </c>
      <c r="K27" s="20"/>
      <c r="L27" s="25"/>
      <c r="M27" s="21"/>
      <c r="N27" s="21"/>
      <c r="O27" s="21"/>
      <c r="P27" s="21"/>
      <c r="Q27" s="21"/>
      <c r="R27" s="21"/>
      <c r="S27" s="21"/>
      <c r="T27" s="21"/>
      <c r="U27" s="21"/>
    </row>
    <row ht="15.75" r="28" spans="1:32" thickBot="1" x14ac:dyDescent="0.3">
      <c r="A28" s="1" t="s">
        <v>3</v>
      </c>
      <c r="B28" s="24">
        <f ref="B28:H28" si="13" t="shared">($U15/$J15)*B15</f>
        <v>37813.170319160432</v>
      </c>
      <c r="C28" s="24">
        <f si="13" t="shared"/>
        <v>480.40814820702201</v>
      </c>
      <c r="D28" s="24">
        <f si="13" t="shared"/>
        <v>33068.279489783206</v>
      </c>
      <c r="E28" s="24">
        <f si="13" t="shared"/>
        <v>23968.660480114806</v>
      </c>
      <c r="F28" s="24">
        <f si="13" t="shared"/>
        <v>120638.44508669565</v>
      </c>
      <c r="G28" s="24">
        <f si="13" t="shared"/>
        <v>4368.5678314870565</v>
      </c>
      <c r="H28" s="24">
        <f si="13" t="shared"/>
        <v>0</v>
      </c>
      <c r="I28" s="24">
        <f>($U15/$J15)*I15</f>
        <v>123652.25010310594</v>
      </c>
      <c r="J28" s="24">
        <f>($U15/$J15)*J15</f>
        <v>800207.4256472612</v>
      </c>
      <c r="K28" s="20"/>
      <c r="L28" s="21"/>
      <c r="M28" s="21"/>
      <c r="N28" s="21"/>
      <c r="O28" s="21"/>
      <c r="P28" s="21"/>
      <c r="Q28" s="21"/>
      <c r="R28" s="21"/>
      <c r="S28" s="21"/>
      <c r="T28" s="21"/>
      <c r="U28" s="21"/>
    </row>
    <row ht="15.75" r="31" spans="1:32" thickBot="1" x14ac:dyDescent="0.3">
      <c r="A31" s="4" t="s">
        <v>195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28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37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11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12</v>
      </c>
      <c r="J32" s="3" t="s">
        <v>3</v>
      </c>
      <c r="L32" s="2" t="s">
        <v>11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12</v>
      </c>
      <c r="U32" s="3" t="s">
        <v>3</v>
      </c>
      <c r="W32" s="2" t="s">
        <v>11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12</v>
      </c>
      <c r="AF32" s="3" t="s">
        <v>3</v>
      </c>
    </row>
    <row r="33" spans="1:32" x14ac:dyDescent="0.25">
      <c r="A33" t="str">
        <f>$A$7</f>
        <v>Bellevue</v>
      </c>
      <c r="B33" s="26">
        <f ref="B33:J39" si="14" t="shared">B20/$J$28</f>
        <v>3.0643534256540421E-2</v>
      </c>
      <c r="C33" s="26">
        <f si="14" t="shared"/>
        <v>0</v>
      </c>
      <c r="D33" s="26">
        <f si="14" t="shared"/>
        <v>2.3993603294733925E-4</v>
      </c>
      <c r="E33" s="26">
        <f si="14" t="shared"/>
        <v>0</v>
      </c>
      <c r="F33" s="26">
        <f si="14" t="shared"/>
        <v>1.3579475898169301E-3</v>
      </c>
      <c r="G33" s="26">
        <f si="14" t="shared"/>
        <v>3.7818578472137378E-4</v>
      </c>
      <c r="H33" s="26">
        <f ref="H33" si="15" t="shared">H20/$J$28</f>
        <v>8.1463933300235359E-4</v>
      </c>
      <c r="I33" s="26">
        <f ref="I33:J39" si="16" t="shared">I20/$J$28</f>
        <v>1.0718683941160791E-2</v>
      </c>
      <c r="J33" s="26">
        <f si="16" t="shared"/>
        <v>4.4152926938189209E-2</v>
      </c>
      <c r="L33" t="str">
        <f>$A$7</f>
        <v>Bellevue</v>
      </c>
      <c r="M33" s="26">
        <f ref="M33:U39" si="17" t="shared">M7/$U$15</f>
        <v>3.2352861483457555E-2</v>
      </c>
      <c r="N33" s="26">
        <f si="17" t="shared"/>
        <v>1.0147368969279436E-3</v>
      </c>
      <c r="O33" s="26">
        <f si="17" t="shared"/>
        <v>1.8195282289742438E-3</v>
      </c>
      <c r="P33" s="26">
        <f si="17" t="shared"/>
        <v>1.5121079375404085E-3</v>
      </c>
      <c r="Q33" s="26">
        <f si="17" t="shared"/>
        <v>1.7932850333640382E-3</v>
      </c>
      <c r="R33" s="26">
        <f si="17" t="shared"/>
        <v>2.3618876049184893E-4</v>
      </c>
      <c r="S33" s="26">
        <f ref="S33" si="18" t="shared">S7/$U$15</f>
        <v>2.4943532589509548E-3</v>
      </c>
      <c r="T33" s="26">
        <f ref="T33:U38" si="19" t="shared">T7/$U$15</f>
        <v>2.9298653384822217E-3</v>
      </c>
      <c r="U33" s="26">
        <f si="19" t="shared"/>
        <v>4.4152926938189209E-2</v>
      </c>
      <c r="W33" t="str">
        <f>$A$7</f>
        <v>Bellevue</v>
      </c>
      <c r="X33" s="26">
        <f ref="X33:Z35" si="20" t="shared">M33-B33</f>
        <v>1.7093272269171345E-3</v>
      </c>
      <c r="Y33" s="26">
        <f si="20" t="shared"/>
        <v>1.0147368969279436E-3</v>
      </c>
      <c r="Z33" s="26">
        <f si="20" t="shared"/>
        <v>1.5795921960269047E-3</v>
      </c>
      <c r="AA33" s="26">
        <f ref="AA33:AA35" si="21" t="shared">P33-E33</f>
        <v>1.5121079375404085E-3</v>
      </c>
      <c r="AB33" s="26">
        <f ref="AB33:AB35" si="22" t="shared">Q33-F33</f>
        <v>4.3533744354710816E-4</v>
      </c>
      <c r="AC33" s="26">
        <f ref="AC33:AD40" si="23" t="shared">R33-G33</f>
        <v>-1.4199702422952484E-4</v>
      </c>
      <c r="AD33" s="26">
        <f si="23" t="shared"/>
        <v>1.6797139259486012E-3</v>
      </c>
      <c r="AE33" s="26">
        <f ref="AE33:AF35" si="24" t="shared">T33-I33</f>
        <v>-7.7888186026785697E-3</v>
      </c>
      <c r="AF33" s="26">
        <f si="24" t="shared"/>
        <v>0</v>
      </c>
    </row>
    <row r="34" spans="1:32" x14ac:dyDescent="0.25">
      <c r="A34" t="str">
        <f>$A$8</f>
        <v>Bellevue Downtown</v>
      </c>
      <c r="B34" s="26">
        <f si="14" t="shared"/>
        <v>5.0202554244491161E-5</v>
      </c>
      <c r="C34" s="26">
        <f si="14" t="shared"/>
        <v>2.7147481084180239E-6</v>
      </c>
      <c r="D34" s="26">
        <f si="14" t="shared"/>
        <v>0</v>
      </c>
      <c r="E34" s="26">
        <f si="14" t="shared"/>
        <v>0</v>
      </c>
      <c r="F34" s="26">
        <f si="14" t="shared"/>
        <v>6.7271922499446352E-5</v>
      </c>
      <c r="G34" s="26">
        <f si="14" t="shared"/>
        <v>7.379251160334116E-6</v>
      </c>
      <c r="H34" s="26">
        <f ref="H34" si="25" t="shared">H21/$J$28</f>
        <v>0</v>
      </c>
      <c r="I34" s="26">
        <f si="16" t="shared"/>
        <v>2.4553524907689555E-3</v>
      </c>
      <c r="J34" s="26">
        <f si="16" t="shared"/>
        <v>2.5829209667816455E-3</v>
      </c>
      <c r="L34" t="str">
        <f>$A$8</f>
        <v>Bellevue Downtown</v>
      </c>
      <c r="M34" s="26">
        <f si="17" t="shared"/>
        <v>7.3730882904862901E-4</v>
      </c>
      <c r="N34" s="26">
        <f si="17" t="shared"/>
        <v>2.1119524086308185E-4</v>
      </c>
      <c r="O34" s="26">
        <f si="17" t="shared"/>
        <v>1.1372051431089024E-4</v>
      </c>
      <c r="P34" s="26">
        <f si="17" t="shared"/>
        <v>3.2491575517397212E-5</v>
      </c>
      <c r="Q34" s="26">
        <f si="17" t="shared"/>
        <v>1.0247343047794504E-4</v>
      </c>
      <c r="R34" s="26">
        <f si="17" t="shared"/>
        <v>2.374384364732873E-5</v>
      </c>
      <c r="S34" s="26">
        <f ref="S34" si="26" t="shared">S8/$U$15</f>
        <v>2.4993519628767084E-5</v>
      </c>
      <c r="T34" s="26">
        <f si="19" t="shared"/>
        <v>1.3369940132876065E-3</v>
      </c>
      <c r="U34" s="26">
        <f si="19" t="shared"/>
        <v>2.5829209667816455E-3</v>
      </c>
      <c r="W34" t="str">
        <f>$A$8</f>
        <v>Bellevue Downtown</v>
      </c>
      <c r="X34" s="26">
        <f si="20" t="shared"/>
        <v>6.8710627480413782E-4</v>
      </c>
      <c r="Y34" s="26">
        <f si="20" t="shared"/>
        <v>2.0848049275466382E-4</v>
      </c>
      <c r="Z34" s="26">
        <f si="20" t="shared"/>
        <v>1.1372051431089024E-4</v>
      </c>
      <c r="AA34" s="26">
        <f si="21" t="shared"/>
        <v>3.2491575517397212E-5</v>
      </c>
      <c r="AB34" s="26">
        <f si="22" t="shared"/>
        <v>3.5201507978498692E-5</v>
      </c>
      <c r="AC34" s="26">
        <f si="23" t="shared"/>
        <v>1.6364592486994614E-5</v>
      </c>
      <c r="AD34" s="26">
        <f si="23" t="shared"/>
        <v>2.4993519628767084E-5</v>
      </c>
      <c r="AE34" s="26">
        <f si="24" t="shared"/>
        <v>-1.118358477481349E-3</v>
      </c>
      <c r="AF34" s="26">
        <f si="24" t="shared"/>
        <v>0</v>
      </c>
    </row>
    <row r="35" spans="1:32" x14ac:dyDescent="0.25">
      <c r="A35" t="str">
        <f>$A$9</f>
        <v>Kirkland</v>
      </c>
      <c r="B35" s="26">
        <f si="14" t="shared"/>
        <v>2.1424275927233506E-3</v>
      </c>
      <c r="C35" s="26">
        <f si="14" t="shared"/>
        <v>1.4978061390144158E-4</v>
      </c>
      <c r="D35" s="26">
        <f si="14" t="shared"/>
        <v>1.2904780653795144E-2</v>
      </c>
      <c r="E35" s="26">
        <f si="14" t="shared"/>
        <v>1.154722673703421E-4</v>
      </c>
      <c r="F35" s="26">
        <f si="14" t="shared"/>
        <v>2.8820852065660784E-5</v>
      </c>
      <c r="G35" s="26">
        <f si="14" t="shared"/>
        <v>3.6687336467576638E-6</v>
      </c>
      <c r="H35" s="26">
        <f ref="H35" si="27" t="shared">H22/$J$28</f>
        <v>9.1220183391864436E-6</v>
      </c>
      <c r="I35" s="26">
        <f si="16" t="shared"/>
        <v>2.5036648091262177E-2</v>
      </c>
      <c r="J35" s="26">
        <f si="16" t="shared"/>
        <v>4.0390720823104055E-2</v>
      </c>
      <c r="L35" t="str">
        <f>$A$9</f>
        <v>Kirkland</v>
      </c>
      <c r="M35" s="26">
        <f si="17" t="shared"/>
        <v>2.0732124532062295E-3</v>
      </c>
      <c r="N35" s="26">
        <f si="17" t="shared"/>
        <v>1.2996630206958885E-4</v>
      </c>
      <c r="O35" s="26">
        <f si="17" t="shared"/>
        <v>2.3808826798363523E-2</v>
      </c>
      <c r="P35" s="26">
        <f si="17" t="shared"/>
        <v>2.4706094153036265E-3</v>
      </c>
      <c r="Q35" s="26">
        <f si="17" t="shared"/>
        <v>2.7067981757954752E-3</v>
      </c>
      <c r="R35" s="26">
        <f si="17" t="shared"/>
        <v>1.1372051431089024E-4</v>
      </c>
      <c r="S35" s="26">
        <f ref="S35" si="28" t="shared">S9/$U$15</f>
        <v>2.3156495936052703E-3</v>
      </c>
      <c r="T35" s="26">
        <f si="19" t="shared"/>
        <v>6.7719375704494537E-3</v>
      </c>
      <c r="U35" s="26">
        <f si="19" t="shared"/>
        <v>4.0390720823104055E-2</v>
      </c>
      <c r="W35" t="str">
        <f>$A$9</f>
        <v>Kirkland</v>
      </c>
      <c r="X35" s="26">
        <f si="20" t="shared"/>
        <v>-6.9215139517121022E-5</v>
      </c>
      <c r="Y35" s="26">
        <f si="20" t="shared"/>
        <v>-1.9814311831852736E-5</v>
      </c>
      <c r="Z35" s="26">
        <f si="20" t="shared"/>
        <v>1.0904046144568379E-2</v>
      </c>
      <c r="AA35" s="26">
        <f si="21" t="shared"/>
        <v>2.3551371479332843E-3</v>
      </c>
      <c r="AB35" s="26">
        <f si="22" t="shared"/>
        <v>2.6779773237298144E-3</v>
      </c>
      <c r="AC35" s="26">
        <f si="23" t="shared"/>
        <v>1.1005178066413257E-4</v>
      </c>
      <c r="AD35" s="26">
        <f si="23" t="shared"/>
        <v>2.306527575266084E-3</v>
      </c>
      <c r="AE35" s="26">
        <f si="24" t="shared"/>
        <v>-1.8264710520812723E-2</v>
      </c>
      <c r="AF35" s="26">
        <f si="24" t="shared"/>
        <v>0</v>
      </c>
    </row>
    <row r="36" spans="1:32" x14ac:dyDescent="0.25">
      <c r="A36" t="str">
        <f>$A$10</f>
        <v>Redmond</v>
      </c>
      <c r="B36" s="26">
        <f si="14" t="shared"/>
        <v>1.3170086456975587E-3</v>
      </c>
      <c r="C36" s="26">
        <f si="14" t="shared"/>
        <v>1.7623419006141197E-4</v>
      </c>
      <c r="D36" s="26">
        <f si="14" t="shared"/>
        <v>2.8590608506872772E-3</v>
      </c>
      <c r="E36" s="26">
        <f si="14" t="shared"/>
        <v>1.4386376404304155E-2</v>
      </c>
      <c r="F36" s="26">
        <f si="14" t="shared"/>
        <v>6.1414554037472497E-4</v>
      </c>
      <c r="G36" s="26">
        <f si="14" t="shared"/>
        <v>2.8123710526414271E-6</v>
      </c>
      <c r="H36" s="26">
        <f ref="H36" si="29" t="shared">H23/$J$28</f>
        <v>1.8760826039643214E-4</v>
      </c>
      <c r="I36" s="26">
        <f si="16" t="shared"/>
        <v>1.601157362362127E-2</v>
      </c>
      <c r="J36" s="26">
        <f si="16" t="shared"/>
        <v>3.5554819886195473E-2</v>
      </c>
      <c r="L36" t="str">
        <f>$A$10</f>
        <v>Redmond</v>
      </c>
      <c r="M36" s="26">
        <f si="17" t="shared"/>
        <v>4.6675397906722526E-3</v>
      </c>
      <c r="N36" s="26">
        <f si="17" t="shared"/>
        <v>7.6230234867739603E-5</v>
      </c>
      <c r="O36" s="26">
        <f si="17" t="shared"/>
        <v>5.4648330668299232E-3</v>
      </c>
      <c r="P36" s="26">
        <f si="17" t="shared"/>
        <v>1.4696189541715046E-2</v>
      </c>
      <c r="Q36" s="26">
        <f si="17" t="shared"/>
        <v>9.9474208122493006E-4</v>
      </c>
      <c r="R36" s="26">
        <f si="17" t="shared"/>
        <v>8.3728290756369727E-5</v>
      </c>
      <c r="S36" s="26">
        <f ref="S36" si="30" t="shared">S10/$U$15</f>
        <v>2.2756599621992432E-3</v>
      </c>
      <c r="T36" s="26">
        <f si="19" t="shared"/>
        <v>7.2958969179299678E-3</v>
      </c>
      <c r="U36" s="26">
        <f si="19" t="shared"/>
        <v>3.5554819886195473E-2</v>
      </c>
      <c r="W36" t="str">
        <f>$A$10</f>
        <v>Redmond</v>
      </c>
      <c r="X36" s="26">
        <f ref="X36:X38" si="31" t="shared">M36-B36</f>
        <v>3.3505311449746941E-3</v>
      </c>
      <c r="Y36" s="26">
        <f ref="Y36:Y38" si="32" t="shared">N36-C36</f>
        <v>-1.0000395519367237E-4</v>
      </c>
      <c r="Z36" s="26">
        <f ref="Z36:Z38" si="33" t="shared">O36-D36</f>
        <v>2.605772216142646E-3</v>
      </c>
      <c r="AA36" s="26">
        <f ref="AA36:AA38" si="34" t="shared">P36-E36</f>
        <v>3.0981313741089075E-4</v>
      </c>
      <c r="AB36" s="26">
        <f ref="AB36:AB38" si="35" t="shared">Q36-F36</f>
        <v>3.8059654085020509E-4</v>
      </c>
      <c r="AC36" s="26">
        <f ref="AC36:AD38" si="36" t="shared">R36-G36</f>
        <v>8.0915919703728302E-5</v>
      </c>
      <c r="AD36" s="26">
        <f si="36" t="shared"/>
        <v>2.0880517018028112E-3</v>
      </c>
      <c r="AE36" s="26">
        <f ref="AE36:AE39" si="37" t="shared">T36-I36</f>
        <v>-8.7156767056913026E-3</v>
      </c>
      <c r="AF36" s="26">
        <f ref="AF36:AF39" si="38" t="shared">U36-J36</f>
        <v>0</v>
      </c>
    </row>
    <row r="37" spans="1:32" x14ac:dyDescent="0.25">
      <c r="A37" t="str">
        <f>$A$11</f>
        <v>Seattle</v>
      </c>
      <c r="B37" s="26">
        <f si="14" t="shared"/>
        <v>4.6725900115113543E-4</v>
      </c>
      <c r="C37" s="26">
        <f si="14" t="shared"/>
        <v>2.5425374034609605E-5</v>
      </c>
      <c r="D37" s="26">
        <f si="14" t="shared"/>
        <v>9.36677355877196E-4</v>
      </c>
      <c r="E37" s="26">
        <f si="14" t="shared"/>
        <v>5.890954152887487E-6</v>
      </c>
      <c r="F37" s="26">
        <f si="14" t="shared"/>
        <v>0.11845445594200259</v>
      </c>
      <c r="G37" s="26">
        <f si="14" t="shared"/>
        <v>3.5488851369708846E-3</v>
      </c>
      <c r="H37" s="26">
        <f ref="H37" si="39" t="shared">H24/$J$28</f>
        <v>4.2998503952100331E-3</v>
      </c>
      <c r="I37" s="26">
        <f si="16" t="shared"/>
        <v>2.1583018082401047E-2</v>
      </c>
      <c r="J37" s="26">
        <f si="16" t="shared"/>
        <v>0.14932146224180037</v>
      </c>
      <c r="L37" t="str">
        <f>$A$11</f>
        <v>Seattle</v>
      </c>
      <c r="M37" s="26">
        <f si="17" t="shared"/>
        <v>1.8195282289742438E-3</v>
      </c>
      <c r="N37" s="26">
        <f si="17" t="shared"/>
        <v>6.4983151034794424E-5</v>
      </c>
      <c r="O37" s="26">
        <f si="17" t="shared"/>
        <v>1.933248743285134E-3</v>
      </c>
      <c r="P37" s="26">
        <f si="17" t="shared"/>
        <v>1.7870366534568466E-4</v>
      </c>
      <c r="Q37" s="26">
        <f si="17" t="shared"/>
        <v>0.12879285632301823</v>
      </c>
      <c r="R37" s="26">
        <f si="17" t="shared"/>
        <v>5.9159660961291688E-3</v>
      </c>
      <c r="S37" s="26">
        <f ref="S37" si="40" t="shared">S11/$U$15</f>
        <v>7.7304956211776592E-3</v>
      </c>
      <c r="T37" s="26">
        <f si="19" t="shared"/>
        <v>2.8856804128354605E-3</v>
      </c>
      <c r="U37" s="26">
        <f si="19" t="shared"/>
        <v>0.14932146224180037</v>
      </c>
      <c r="W37" t="str">
        <f>$A$11</f>
        <v>Seattle</v>
      </c>
      <c r="X37" s="26">
        <f si="31" t="shared"/>
        <v>1.3522692278231084E-3</v>
      </c>
      <c r="Y37" s="26">
        <f si="32" t="shared"/>
        <v>3.9557777000184816E-5</v>
      </c>
      <c r="Z37" s="26">
        <f si="33" t="shared"/>
        <v>9.9657138740793811E-4</v>
      </c>
      <c r="AA37" s="26">
        <f si="34" t="shared"/>
        <v>1.7281271119279717E-4</v>
      </c>
      <c r="AB37" s="26">
        <f si="35" t="shared"/>
        <v>1.0338400381015647E-2</v>
      </c>
      <c r="AC37" s="26">
        <f si="36" t="shared"/>
        <v>2.3670809591582842E-3</v>
      </c>
      <c r="AD37" s="26">
        <f si="36" t="shared"/>
        <v>3.4306452259676261E-3</v>
      </c>
      <c r="AE37" s="26">
        <f si="37" t="shared"/>
        <v>-1.8697337669565585E-2</v>
      </c>
      <c r="AF37" s="26">
        <f si="38" t="shared"/>
        <v>0</v>
      </c>
    </row>
    <row r="38" spans="1:32" x14ac:dyDescent="0.25">
      <c r="A38" t="str">
        <f>$A$12</f>
        <v>Seattle Downtown</v>
      </c>
      <c r="B38" s="26">
        <f si="14" t="shared"/>
        <v>0</v>
      </c>
      <c r="C38" s="26">
        <f si="14" t="shared"/>
        <v>0</v>
      </c>
      <c r="D38" s="26">
        <f si="14" t="shared"/>
        <v>0</v>
      </c>
      <c r="E38" s="26">
        <f si="14" t="shared"/>
        <v>0</v>
      </c>
      <c r="F38" s="26">
        <f si="14" t="shared"/>
        <v>6.1998604489151737E-4</v>
      </c>
      <c r="G38" s="26">
        <f si="14" t="shared"/>
        <v>2.6998323464621766E-4</v>
      </c>
      <c r="H38" s="26">
        <f ref="H38:H39" si="41" t="shared">H25/$J$28</f>
        <v>0</v>
      </c>
      <c r="I38" s="26">
        <f si="16" t="shared"/>
        <v>1.0670439057745926E-2</v>
      </c>
      <c r="J38" s="26">
        <f si="16" t="shared"/>
        <v>1.1560408337283662E-2</v>
      </c>
      <c r="L38" t="str">
        <f>$A$12</f>
        <v>Seattle Downtown</v>
      </c>
      <c r="M38" s="26">
        <f si="17" t="shared"/>
        <v>1.2996630206958885E-4</v>
      </c>
      <c r="N38" s="26">
        <f si="17" t="shared"/>
        <v>2.4993519628767085E-6</v>
      </c>
      <c r="O38" s="26">
        <f si="17" t="shared"/>
        <v>1.3746435795821896E-5</v>
      </c>
      <c r="P38" s="26">
        <f si="17" t="shared"/>
        <v>3.7490279443150625E-6</v>
      </c>
      <c r="Q38" s="26">
        <f si="17" t="shared"/>
        <v>3.0067204113406803E-3</v>
      </c>
      <c r="R38" s="26">
        <f si="17" t="shared"/>
        <v>3.2691523674427347E-3</v>
      </c>
      <c r="S38" s="26">
        <f ref="S38" si="42" t="shared">S12/$U$15</f>
        <v>5.2486391220410876E-5</v>
      </c>
      <c r="T38" s="26">
        <f si="19" t="shared"/>
        <v>5.0820880495072353E-3</v>
      </c>
      <c r="U38" s="26">
        <f si="19" t="shared"/>
        <v>1.1560408337283662E-2</v>
      </c>
      <c r="W38" t="str">
        <f>$A$12</f>
        <v>Seattle Downtown</v>
      </c>
      <c r="X38" s="26">
        <f si="31" t="shared"/>
        <v>1.2996630206958885E-4</v>
      </c>
      <c r="Y38" s="26">
        <f si="32" t="shared"/>
        <v>2.4993519628767085E-6</v>
      </c>
      <c r="Z38" s="26">
        <f si="33" t="shared"/>
        <v>1.3746435795821896E-5</v>
      </c>
      <c r="AA38" s="26">
        <f si="34" t="shared"/>
        <v>3.7490279443150625E-6</v>
      </c>
      <c r="AB38" s="26">
        <f si="35" t="shared"/>
        <v>2.3867343664491628E-3</v>
      </c>
      <c r="AC38" s="26">
        <f si="36" t="shared"/>
        <v>2.9991691327965172E-3</v>
      </c>
      <c r="AD38" s="26">
        <f si="36" t="shared"/>
        <v>5.2486391220410876E-5</v>
      </c>
      <c r="AE38" s="26">
        <f si="37" t="shared"/>
        <v>-5.5883510082386911E-3</v>
      </c>
      <c r="AF38" s="26">
        <f si="38" t="shared"/>
        <v>0</v>
      </c>
    </row>
    <row r="39" spans="1:32" x14ac:dyDescent="0.25">
      <c r="A39" t="str">
        <f>$A$13</f>
        <v>Rest</v>
      </c>
      <c r="B39" s="26">
        <f si="14" t="shared"/>
        <v>1.0406489474491548E-2</v>
      </c>
      <c r="C39" s="26">
        <f si="14" t="shared"/>
        <v>0</v>
      </c>
      <c r="D39" s="26">
        <f si="14" t="shared"/>
        <v>1.6516811505213023E-2</v>
      </c>
      <c r="E39" s="26">
        <f si="14" t="shared"/>
        <v>3.6799680080454237E-3</v>
      </c>
      <c r="F39" s="26">
        <f si="14" t="shared"/>
        <v>2.2157674419338597E-2</v>
      </c>
      <c r="G39" s="26">
        <f si="14" t="shared"/>
        <v>1.3333638680201594E-4</v>
      </c>
      <c r="H39" s="26">
        <f si="41" t="shared"/>
        <v>0.66354246101275505</v>
      </c>
      <c r="I39" s="26">
        <f si="16" t="shared"/>
        <v>0</v>
      </c>
      <c r="J39" s="26">
        <f si="14" t="shared"/>
        <v>0.71643674080664554</v>
      </c>
      <c r="L39" t="str">
        <f>$A$13</f>
        <v>Rest</v>
      </c>
      <c r="M39" s="26">
        <f si="17" t="shared"/>
        <v>1.4551227127868197E-2</v>
      </c>
      <c r="N39" s="26">
        <f si="17" t="shared"/>
        <v>2.6243195610205439E-4</v>
      </c>
      <c r="O39" s="26">
        <f si="17" t="shared"/>
        <v>1.0429795741084505E-2</v>
      </c>
      <c r="P39" s="26">
        <f si="17" t="shared"/>
        <v>5.6510347880642381E-3</v>
      </c>
      <c r="Q39" s="26">
        <f si="17" t="shared"/>
        <v>2.5495889373305304E-2</v>
      </c>
      <c r="R39" s="26">
        <f si="17" t="shared"/>
        <v>2.6305679409277358E-3</v>
      </c>
      <c r="S39" s="26">
        <f ref="S39" si="43" t="shared">S13/$U$15</f>
        <v>0.65741579387929361</v>
      </c>
      <c r="T39" s="26">
        <f si="17" t="shared"/>
        <v>0</v>
      </c>
      <c r="U39" s="26">
        <f si="17" t="shared"/>
        <v>0.71643674080664554</v>
      </c>
      <c r="W39" t="str">
        <f>$A$13</f>
        <v>Rest</v>
      </c>
      <c r="X39" s="26">
        <f ref="X39" si="44" t="shared">M39-B39</f>
        <v>4.1447376533766487E-3</v>
      </c>
      <c r="Y39" s="26">
        <f ref="Y39" si="45" t="shared">N39-C39</f>
        <v>2.6243195610205439E-4</v>
      </c>
      <c r="Z39" s="26">
        <f ref="Z39" si="46" t="shared">O39-D39</f>
        <v>-6.0870157641285186E-3</v>
      </c>
      <c r="AA39" s="26">
        <f ref="AA39" si="47" t="shared">P39-E39</f>
        <v>1.9710667800188143E-3</v>
      </c>
      <c r="AB39" s="26">
        <f ref="AB39" si="48" t="shared">Q39-F39</f>
        <v>3.3382149539667068E-3</v>
      </c>
      <c r="AC39" s="26">
        <f ref="AC39" si="49" t="shared">R39-G39</f>
        <v>2.4972315541257201E-3</v>
      </c>
      <c r="AD39" s="26">
        <f ref="AD39" si="50" t="shared">S39-H39</f>
        <v>-6.1266671334614387E-3</v>
      </c>
      <c r="AE39" s="26">
        <f si="37" t="shared"/>
        <v>0</v>
      </c>
      <c r="AF39" s="26">
        <f si="38" t="shared"/>
        <v>0</v>
      </c>
    </row>
    <row r="40" spans="1:32" x14ac:dyDescent="0.25">
      <c r="A40" s="8" t="s">
        <v>12</v>
      </c>
      <c r="B40" s="27" t="e">
        <f ref="B40:H40" si="51" t="shared">B27/$J$28</f>
        <v>#DIV/0!</v>
      </c>
      <c r="C40" s="27" t="e">
        <f si="51" t="shared"/>
        <v>#DIV/0!</v>
      </c>
      <c r="D40" s="27" t="e">
        <f si="51" t="shared"/>
        <v>#DIV/0!</v>
      </c>
      <c r="E40" s="27" t="e">
        <f si="51" t="shared"/>
        <v>#DIV/0!</v>
      </c>
      <c r="F40" s="27" t="e">
        <f si="51" t="shared"/>
        <v>#DIV/0!</v>
      </c>
      <c r="G40" s="27" t="e">
        <f si="51" t="shared"/>
        <v>#DIV/0!</v>
      </c>
      <c r="H40" s="27" t="e">
        <f si="51" t="shared"/>
        <v>#DIV/0!</v>
      </c>
      <c r="I40" s="27" t="e">
        <f>I27/$J$28</f>
        <v>#DIV/0!</v>
      </c>
      <c r="J40" s="27" t="e">
        <f>J27/$J$28</f>
        <v>#DIV/0!</v>
      </c>
      <c r="L40" s="23" t="s">
        <v>12</v>
      </c>
      <c r="M40" s="27">
        <f>M14/$U$15</f>
        <v>0</v>
      </c>
      <c r="N40" s="27">
        <f ref="N40:U40" si="52" t="shared">N14/$U$15</f>
        <v>0</v>
      </c>
      <c r="O40" s="27">
        <f si="52" t="shared"/>
        <v>0</v>
      </c>
      <c r="P40" s="27">
        <f si="52" t="shared"/>
        <v>0</v>
      </c>
      <c r="Q40" s="27">
        <f si="52" t="shared"/>
        <v>0</v>
      </c>
      <c r="R40" s="27">
        <f si="52" t="shared"/>
        <v>0</v>
      </c>
      <c r="S40" s="27">
        <f si="52" t="shared"/>
        <v>0</v>
      </c>
      <c r="T40" s="27">
        <f si="52" t="shared"/>
        <v>0</v>
      </c>
      <c r="U40" s="27">
        <f si="52" t="shared"/>
        <v>0</v>
      </c>
      <c r="W40" s="23" t="s">
        <v>12</v>
      </c>
      <c r="X40" s="27" t="e">
        <f ref="X40:Z41" si="53" t="shared">M40-B40</f>
        <v>#DIV/0!</v>
      </c>
      <c r="Y40" s="27" t="e">
        <f si="53" t="shared"/>
        <v>#DIV/0!</v>
      </c>
      <c r="Z40" s="27" t="e">
        <f si="53" t="shared"/>
        <v>#DIV/0!</v>
      </c>
      <c r="AA40" s="27" t="e">
        <f ref="AA40:AA41" si="54" t="shared">P40-E40</f>
        <v>#DIV/0!</v>
      </c>
      <c r="AB40" s="27" t="e">
        <f ref="AB40:AB41" si="55" t="shared">Q40-F40</f>
        <v>#DIV/0!</v>
      </c>
      <c r="AC40" s="27" t="e">
        <f ref="AC40:AD41" si="56" t="shared">R40-G40</f>
        <v>#DIV/0!</v>
      </c>
      <c r="AD40" s="26" t="e">
        <f si="23" t="shared"/>
        <v>#DIV/0!</v>
      </c>
      <c r="AE40" s="27" t="e">
        <f>T40-I40</f>
        <v>#DIV/0!</v>
      </c>
      <c r="AF40" s="27" t="e">
        <f>U40-J40</f>
        <v>#DIV/0!</v>
      </c>
    </row>
    <row ht="15.75" r="41" spans="1:32" thickBot="1" x14ac:dyDescent="0.3">
      <c r="A41" s="1" t="s">
        <v>3</v>
      </c>
      <c r="B41" s="28">
        <f>B28/$J$28</f>
        <v>4.7254210729892457E-2</v>
      </c>
      <c r="C41" s="28">
        <f>C28/$J$28</f>
        <v>6.0035452410159252E-4</v>
      </c>
      <c r="D41" s="28">
        <f>D28/$J$28</f>
        <v>4.132463462587263E-2</v>
      </c>
      <c r="E41" s="28">
        <f ref="E41:H41" si="57" t="shared">E28/$J$28</f>
        <v>2.9953059309250164E-2</v>
      </c>
      <c r="F41" s="28">
        <f si="57" t="shared"/>
        <v>0.15075896726291338</v>
      </c>
      <c r="G41" s="28">
        <f si="57" t="shared"/>
        <v>5.4592942922936103E-3</v>
      </c>
      <c r="H41" s="28">
        <f si="57" t="shared"/>
        <v>0</v>
      </c>
      <c r="I41" s="28">
        <f>I28/$J$28</f>
        <v>0.15452524700465975</v>
      </c>
      <c r="J41" s="28">
        <f>J28/$J$28</f>
        <v>1</v>
      </c>
      <c r="L41" s="24" t="s">
        <v>3</v>
      </c>
      <c r="M41" s="28">
        <f>M15/$U$15</f>
        <v>5.633164421529669E-2</v>
      </c>
      <c r="N41" s="28">
        <f>N15/$U$15</f>
        <v>1.7620431338280795E-3</v>
      </c>
      <c r="O41" s="28">
        <f>O15/$U$15</f>
        <v>4.3583699528644042E-2</v>
      </c>
      <c r="P41" s="28">
        <f ref="P41:S41" si="58" t="shared">P15/$U$15</f>
        <v>2.4544885951430714E-2</v>
      </c>
      <c r="Q41" s="28">
        <f si="58" t="shared"/>
        <v>0.1628927648285266</v>
      </c>
      <c r="R41" s="28">
        <f si="58" t="shared"/>
        <v>1.2273067813706077E-2</v>
      </c>
      <c r="S41" s="28">
        <f si="58" t="shared"/>
        <v>0.67230943222607586</v>
      </c>
      <c r="T41" s="28">
        <f>T15/$U$15</f>
        <v>2.6302462302491947E-2</v>
      </c>
      <c r="U41" s="28">
        <f>U15/$U$15</f>
        <v>1</v>
      </c>
      <c r="W41" s="24" t="s">
        <v>3</v>
      </c>
      <c r="X41" s="28">
        <f si="53" t="shared"/>
        <v>9.0774334854042335E-3</v>
      </c>
      <c r="Y41" s="28">
        <f si="53" t="shared"/>
        <v>1.1616886097264869E-3</v>
      </c>
      <c r="Z41" s="28">
        <f si="53" t="shared"/>
        <v>2.2590649027714113E-3</v>
      </c>
      <c r="AA41" s="28">
        <f si="54" t="shared"/>
        <v>-5.4081733578194499E-3</v>
      </c>
      <c r="AB41" s="28">
        <f si="55" t="shared"/>
        <v>1.2133797565613225E-2</v>
      </c>
      <c r="AC41" s="28">
        <f si="56" t="shared"/>
        <v>6.8137735214124666E-3</v>
      </c>
      <c r="AD41" s="28">
        <f si="56" t="shared"/>
        <v>0.67230943222607586</v>
      </c>
      <c r="AE41" s="28">
        <f>T41-I41</f>
        <v>-0.1282227847021678</v>
      </c>
      <c r="AF41" s="28">
        <f>U41-J41</f>
        <v>0</v>
      </c>
    </row>
    <row ht="15.75" r="44" spans="1:32" thickBot="1" x14ac:dyDescent="0.3">
      <c r="A44" s="39" t="s">
        <v>196</v>
      </c>
      <c r="B44" s="37"/>
      <c r="C44" s="37"/>
      <c r="D44" s="37"/>
      <c r="E44" s="37"/>
      <c r="F44" s="37"/>
      <c r="G44" s="37"/>
      <c r="H44" s="37"/>
      <c r="I44" s="37"/>
      <c r="J44" s="7"/>
      <c r="L44" s="39" t="s">
        <v>38</v>
      </c>
      <c r="M44" s="37"/>
      <c r="N44" s="37"/>
      <c r="O44" s="37"/>
      <c r="P44" s="37"/>
      <c r="Q44" s="37"/>
      <c r="R44" s="37"/>
      <c r="S44" s="37"/>
      <c r="T44" s="37"/>
      <c r="U44" s="7"/>
      <c r="W44" s="39" t="s">
        <v>39</v>
      </c>
      <c r="X44" s="37"/>
      <c r="Y44" s="37"/>
      <c r="Z44" s="37"/>
      <c r="AA44" s="37"/>
      <c r="AB44" s="37"/>
      <c r="AC44" s="37"/>
      <c r="AD44" s="37"/>
      <c r="AE44" s="37"/>
      <c r="AF44" s="7"/>
    </row>
    <row r="45" spans="1:32" x14ac:dyDescent="0.25">
      <c r="A45" s="29" t="s">
        <v>11</v>
      </c>
      <c r="B45" s="30" t="str">
        <f>$A$7</f>
        <v>Bellevue</v>
      </c>
      <c r="C45" s="30" t="str">
        <f>$A$8</f>
        <v>Bellevue Downtown</v>
      </c>
      <c r="D45" s="30" t="str">
        <f>$A$9</f>
        <v>Kirkland</v>
      </c>
      <c r="E45" s="30" t="str">
        <f>$A$10</f>
        <v>Redmond</v>
      </c>
      <c r="F45" s="30" t="str">
        <f>$A$11</f>
        <v>Seattle</v>
      </c>
      <c r="G45" s="30" t="str">
        <f>$A$12</f>
        <v>Seattle Downtown</v>
      </c>
      <c r="H45" s="30"/>
      <c r="I45" s="30" t="s">
        <v>3</v>
      </c>
      <c r="J45" s="7"/>
      <c r="L45" s="29" t="s">
        <v>11</v>
      </c>
      <c r="M45" s="30" t="str">
        <f>$A$7</f>
        <v>Bellevue</v>
      </c>
      <c r="N45" s="30" t="str">
        <f>$A$8</f>
        <v>Bellevue Downtown</v>
      </c>
      <c r="O45" s="30" t="str">
        <f>$A$9</f>
        <v>Kirkland</v>
      </c>
      <c r="P45" s="30" t="str">
        <f>$A$10</f>
        <v>Redmond</v>
      </c>
      <c r="Q45" s="30" t="str">
        <f>$A$11</f>
        <v>Seattle</v>
      </c>
      <c r="R45" s="30" t="str">
        <f>$A$12</f>
        <v>Seattle Downtown</v>
      </c>
      <c r="S45" s="30"/>
      <c r="T45" s="30" t="s">
        <v>3</v>
      </c>
      <c r="U45" s="7"/>
      <c r="W45" s="29" t="s">
        <v>11</v>
      </c>
      <c r="X45" s="30" t="str">
        <f>$A$7</f>
        <v>Bellevue</v>
      </c>
      <c r="Y45" s="30" t="str">
        <f>$A$8</f>
        <v>Bellevue Downtown</v>
      </c>
      <c r="Z45" s="30" t="str">
        <f>$A$9</f>
        <v>Kirkland</v>
      </c>
      <c r="AA45" s="30" t="str">
        <f>$A$10</f>
        <v>Redmond</v>
      </c>
      <c r="AB45" s="30" t="str">
        <f>$A$11</f>
        <v>Seattle</v>
      </c>
      <c r="AC45" s="30" t="str">
        <f>$A$12</f>
        <v>Seattle Downtown</v>
      </c>
      <c r="AD45" s="30"/>
      <c r="AE45" s="30" t="s">
        <v>3</v>
      </c>
      <c r="AF45" s="7"/>
    </row>
    <row r="46" spans="1:32" x14ac:dyDescent="0.25">
      <c r="A46" s="35" t="str">
        <f>$A$7</f>
        <v>Bellevue</v>
      </c>
      <c r="B46" s="36"/>
      <c r="C46" s="36"/>
      <c r="D46" s="36"/>
      <c r="E46" s="36"/>
      <c r="F46" s="36"/>
      <c r="G46" s="36"/>
      <c r="H46" s="36"/>
      <c r="I46" s="36"/>
      <c r="J46" s="7"/>
      <c r="L46" s="35" t="str">
        <f>$A$7</f>
        <v>Bellevue</v>
      </c>
      <c r="M46" s="36"/>
      <c r="N46" s="36"/>
      <c r="O46" s="36"/>
      <c r="P46" s="36"/>
      <c r="Q46" s="36"/>
      <c r="R46" s="36"/>
      <c r="S46" s="36"/>
      <c r="T46" s="36"/>
      <c r="U46" s="7"/>
      <c r="W46" s="35" t="str">
        <f>$A$7</f>
        <v>Bellevue</v>
      </c>
      <c r="X46" s="36"/>
      <c r="Y46" s="36"/>
      <c r="Z46" s="36"/>
      <c r="AA46" s="36"/>
      <c r="AB46" s="36"/>
      <c r="AC46" s="36"/>
      <c r="AD46" s="36"/>
      <c r="AE46" s="36"/>
      <c r="AF46" s="7"/>
    </row>
    <row r="47" spans="1:32" x14ac:dyDescent="0.25">
      <c r="A47" s="31" t="str">
        <f>$A$8</f>
        <v>Bellevue Downtown</v>
      </c>
      <c r="B47" s="32"/>
      <c r="C47" s="32"/>
      <c r="D47" s="32"/>
      <c r="E47" s="32"/>
      <c r="F47" s="32"/>
      <c r="G47" s="32"/>
      <c r="H47" s="32"/>
      <c r="I47" s="32"/>
      <c r="J47" s="7"/>
      <c r="L47" s="31" t="str">
        <f>$A$8</f>
        <v>Bellevue Downtown</v>
      </c>
      <c r="M47" s="32"/>
      <c r="N47" s="32"/>
      <c r="O47" s="32"/>
      <c r="P47" s="32"/>
      <c r="Q47" s="32"/>
      <c r="R47" s="32"/>
      <c r="S47" s="32"/>
      <c r="T47" s="32"/>
      <c r="U47" s="7"/>
      <c r="W47" s="31" t="str">
        <f>$A$8</f>
        <v>Bellevue Downtown</v>
      </c>
      <c r="X47" s="32"/>
      <c r="Y47" s="32"/>
      <c r="Z47" s="32"/>
      <c r="AA47" s="32"/>
      <c r="AB47" s="32"/>
      <c r="AC47" s="32"/>
      <c r="AD47" s="32"/>
      <c r="AE47" s="32"/>
      <c r="AF47" s="7"/>
    </row>
    <row r="48" spans="1:32" x14ac:dyDescent="0.25">
      <c r="A48" s="31" t="str">
        <f>$A$9</f>
        <v>Kirkland</v>
      </c>
      <c r="B48" s="32"/>
      <c r="C48" s="32"/>
      <c r="D48" s="32"/>
      <c r="E48" s="32"/>
      <c r="F48" s="32"/>
      <c r="G48" s="32"/>
      <c r="H48" s="32"/>
      <c r="I48" s="32"/>
      <c r="J48" s="7"/>
      <c r="L48" s="31" t="str">
        <f>$A$9</f>
        <v>Kirkland</v>
      </c>
      <c r="M48" s="32"/>
      <c r="N48" s="32"/>
      <c r="O48" s="32"/>
      <c r="P48" s="32"/>
      <c r="Q48" s="32"/>
      <c r="R48" s="32"/>
      <c r="S48" s="32"/>
      <c r="T48" s="32"/>
      <c r="U48" s="7"/>
      <c r="W48" s="31" t="str">
        <f>$A$9</f>
        <v>Kirkland</v>
      </c>
      <c r="X48" s="32"/>
      <c r="Y48" s="32"/>
      <c r="Z48" s="32"/>
      <c r="AA48" s="32"/>
      <c r="AB48" s="32"/>
      <c r="AC48" s="32"/>
      <c r="AD48" s="32"/>
      <c r="AE48" s="32"/>
      <c r="AF48" s="7"/>
    </row>
    <row r="49" spans="1:32" x14ac:dyDescent="0.25">
      <c r="A49" s="31" t="str">
        <f>$A$10</f>
        <v>Redmond</v>
      </c>
      <c r="B49" s="32"/>
      <c r="C49" s="32"/>
      <c r="D49" s="32"/>
      <c r="E49" s="32"/>
      <c r="F49" s="32"/>
      <c r="G49" s="32"/>
      <c r="H49" s="32"/>
      <c r="I49" s="32"/>
      <c r="J49" s="7"/>
      <c r="L49" s="31" t="str">
        <f>$A$10</f>
        <v>Redmond</v>
      </c>
      <c r="M49" s="32"/>
      <c r="N49" s="32"/>
      <c r="O49" s="32"/>
      <c r="P49" s="32"/>
      <c r="Q49" s="32"/>
      <c r="R49" s="32"/>
      <c r="S49" s="32"/>
      <c r="T49" s="32"/>
      <c r="U49" s="7"/>
      <c r="W49" s="31" t="str">
        <f>$A$10</f>
        <v>Redmond</v>
      </c>
      <c r="X49" s="32"/>
      <c r="Y49" s="32"/>
      <c r="Z49" s="32"/>
      <c r="AA49" s="32"/>
      <c r="AB49" s="32"/>
      <c r="AC49" s="32"/>
      <c r="AD49" s="32"/>
      <c r="AE49" s="32"/>
      <c r="AF49" s="7"/>
    </row>
    <row r="50" spans="1:32" x14ac:dyDescent="0.25">
      <c r="A50" s="31" t="str">
        <f>$A$11</f>
        <v>Seattle</v>
      </c>
      <c r="B50" s="32"/>
      <c r="C50" s="32"/>
      <c r="D50" s="32"/>
      <c r="E50" s="32"/>
      <c r="F50" s="32"/>
      <c r="G50" s="32"/>
      <c r="H50" s="32"/>
      <c r="I50" s="32"/>
      <c r="J50" s="7"/>
      <c r="L50" s="31" t="str">
        <f>$A$11</f>
        <v>Seattle</v>
      </c>
      <c r="M50" s="32"/>
      <c r="N50" s="32"/>
      <c r="O50" s="32"/>
      <c r="P50" s="32"/>
      <c r="Q50" s="32"/>
      <c r="R50" s="32"/>
      <c r="S50" s="32"/>
      <c r="T50" s="32"/>
      <c r="U50" s="7"/>
      <c r="W50" s="31" t="str">
        <f>$A$11</f>
        <v>Seattle</v>
      </c>
      <c r="X50" s="32"/>
      <c r="Y50" s="32"/>
      <c r="Z50" s="32"/>
      <c r="AA50" s="32"/>
      <c r="AB50" s="32"/>
      <c r="AC50" s="32"/>
      <c r="AD50" s="32"/>
      <c r="AE50" s="32"/>
      <c r="AF50" s="7"/>
    </row>
    <row r="51" spans="1:32" x14ac:dyDescent="0.25">
      <c r="A51" s="48" t="str">
        <f>$A$12</f>
        <v>Seattle Downtown</v>
      </c>
      <c r="B51" s="49"/>
      <c r="C51" s="49"/>
      <c r="D51" s="49"/>
      <c r="E51" s="49"/>
      <c r="F51" s="49"/>
      <c r="G51" s="49"/>
      <c r="H51" s="49"/>
      <c r="I51" s="49"/>
      <c r="J51" s="7"/>
      <c r="L51" s="48" t="str">
        <f>$A$12</f>
        <v>Seattle Downtown</v>
      </c>
      <c r="M51" s="49"/>
      <c r="N51" s="49"/>
      <c r="O51" s="49"/>
      <c r="P51" s="49"/>
      <c r="Q51" s="49"/>
      <c r="R51" s="49"/>
      <c r="S51" s="49"/>
      <c r="T51" s="49"/>
      <c r="U51" s="7"/>
      <c r="W51" s="48" t="str">
        <f>$A$12</f>
        <v>Seattle Downtown</v>
      </c>
      <c r="X51" s="49"/>
      <c r="Y51" s="49"/>
      <c r="Z51" s="49"/>
      <c r="AA51" s="49"/>
      <c r="AB51" s="49"/>
      <c r="AC51" s="49"/>
      <c r="AD51" s="49"/>
      <c r="AE51" s="49"/>
      <c r="AF51" s="7"/>
    </row>
    <row ht="15.75" r="52" spans="1:32" thickBot="1" x14ac:dyDescent="0.3">
      <c r="A52" s="37" t="s">
        <v>3</v>
      </c>
      <c r="B52" s="38"/>
      <c r="C52" s="38"/>
      <c r="D52" s="38"/>
      <c r="E52" s="38"/>
      <c r="F52" s="38"/>
      <c r="G52" s="38"/>
      <c r="H52" s="38"/>
      <c r="I52" s="38"/>
      <c r="L52" s="40" t="s">
        <v>3</v>
      </c>
      <c r="M52" s="38"/>
      <c r="N52" s="38"/>
      <c r="O52" s="38"/>
      <c r="P52" s="38"/>
      <c r="Q52" s="38"/>
      <c r="R52" s="38"/>
      <c r="S52" s="38"/>
      <c r="T52" s="38"/>
      <c r="W52" s="40" t="s">
        <v>3</v>
      </c>
      <c r="X52" s="38"/>
      <c r="Y52" s="38"/>
      <c r="Z52" s="38"/>
      <c r="AA52" s="38"/>
      <c r="AB52" s="38"/>
      <c r="AC52" s="38"/>
      <c r="AD52" s="38"/>
      <c r="AE52" s="38"/>
    </row>
  </sheetData>
  <pageMargins bottom="0.75" footer="0.3" header="0.3" left="0.7" right="0.7" top="0.75"/>
  <pageSetup orientation="portrait"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T36"/>
  <sheetViews>
    <sheetView topLeftCell="A10" workbookViewId="0">
      <selection activeCell="G14" sqref="G14"/>
    </sheetView>
  </sheetViews>
  <sheetFormatPr defaultRowHeight="15" x14ac:dyDescent="0.25"/>
  <cols>
    <col min="1" max="1" customWidth="true" width="18.28515625" collapsed="true"/>
    <col min="2" max="2" bestFit="true" customWidth="true" width="11.5703125" collapsed="true"/>
    <col min="3" max="3" bestFit="true" customWidth="true" width="10.5703125" collapsed="true"/>
    <col min="4" max="4" bestFit="true" customWidth="true" width="12.28515625" collapsed="true"/>
    <col min="5" max="5" bestFit="true" customWidth="true" width="11.5703125" collapsed="true"/>
    <col min="8" max="8" customWidth="true" width="19.85546875" collapsed="true"/>
    <col min="9" max="10" bestFit="true" customWidth="true" width="11.5703125" collapsed="true"/>
    <col min="11" max="11" bestFit="true" customWidth="true" width="12.28515625" collapsed="true"/>
    <col min="12" max="12" bestFit="true" customWidth="true" width="11.5703125" collapsed="true"/>
    <col min="13" max="13" bestFit="true" customWidth="true" width="9.5703125" collapsed="true"/>
    <col min="15" max="15" customWidth="true" width="18.42578125" collapsed="true"/>
  </cols>
  <sheetData>
    <row r="1" spans="1:19" x14ac:dyDescent="0.25">
      <c r="A1" t="s">
        <v>29</v>
      </c>
    </row>
    <row r="2" spans="1:19" x14ac:dyDescent="0.25">
      <c r="A2" t="s">
        <v>247</v>
      </c>
    </row>
    <row r="3" spans="1:19" x14ac:dyDescent="0.25">
      <c r="A3" t="s">
        <v>30</v>
      </c>
    </row>
    <row ht="15.75" r="5" spans="1:19" thickBot="1" x14ac:dyDescent="0.3">
      <c r="A5" s="4" t="s">
        <v>199</v>
      </c>
      <c r="B5" s="1"/>
      <c r="C5" s="1"/>
      <c r="D5" s="1"/>
      <c r="H5" s="4" t="s">
        <v>32</v>
      </c>
      <c r="I5" s="1"/>
      <c r="J5" s="1"/>
      <c r="K5" s="1"/>
      <c r="O5" s="4" t="s">
        <v>68</v>
      </c>
      <c r="P5" s="1"/>
      <c r="Q5" s="1"/>
      <c r="R5" s="1"/>
      <c r="S5" s="1"/>
    </row>
    <row r="6" spans="1:19" x14ac:dyDescent="0.25">
      <c r="A6" s="2"/>
      <c r="B6" s="5" t="s">
        <v>41</v>
      </c>
      <c r="C6" s="5" t="s">
        <v>42</v>
      </c>
      <c r="D6" s="5" t="s">
        <v>43</v>
      </c>
      <c r="E6" s="3" t="s">
        <v>3</v>
      </c>
      <c r="H6" s="2"/>
      <c r="I6" s="5" t="s">
        <v>41</v>
      </c>
      <c r="J6" s="5" t="s">
        <v>42</v>
      </c>
      <c r="K6" s="5" t="s">
        <v>43</v>
      </c>
      <c r="L6" s="3" t="s">
        <v>3</v>
      </c>
      <c r="O6" s="2"/>
      <c r="P6" s="5" t="s">
        <v>41</v>
      </c>
      <c r="Q6" s="5" t="s">
        <v>42</v>
      </c>
      <c r="R6" s="5" t="s">
        <v>43</v>
      </c>
      <c r="S6" s="3" t="s">
        <v>3</v>
      </c>
    </row>
    <row r="7" spans="1:19" x14ac:dyDescent="0.25">
      <c r="A7" s="52" t="s">
        <v>254</v>
      </c>
      <c r="B7" s="83" t="n">
        <v>0.0</v>
      </c>
      <c r="C7" s="83" t="n">
        <v>0.0</v>
      </c>
      <c r="D7" s="83" t="n">
        <v>0.0</v>
      </c>
      <c r="E7" s="83">
        <f>SUM(B7:D7)</f>
        <v>0</v>
      </c>
      <c r="H7" s="15" t="str">
        <f>$A$7</f>
        <v>Bellevue</v>
      </c>
      <c r="I7" s="83" t="n">
        <v>45.0</v>
      </c>
      <c r="J7" s="83" t="n">
        <v>14.0</v>
      </c>
      <c r="K7" s="83" t="n">
        <v>18.0</v>
      </c>
      <c r="L7" s="83">
        <f>SUM(I7:K7)</f>
        <v>101</v>
      </c>
      <c r="O7" s="15" t="str">
        <f>$A$7</f>
        <v>Bellevue</v>
      </c>
      <c r="P7" s="20">
        <f>I7-B7</f>
        <v>60</v>
      </c>
      <c r="Q7" s="20">
        <f ref="Q7:S14" si="0" t="shared">J7-C7</f>
        <v>24</v>
      </c>
      <c r="R7" s="20">
        <f si="0" t="shared"/>
        <v>17</v>
      </c>
      <c r="S7" s="20">
        <f si="0" t="shared"/>
        <v>101</v>
      </c>
    </row>
    <row r="8" spans="1:19" x14ac:dyDescent="0.25">
      <c r="A8" s="7" t="s">
        <v>255</v>
      </c>
      <c r="B8" s="83" t="n">
        <v>0.0</v>
      </c>
      <c r="C8" s="83" t="n">
        <v>0.0</v>
      </c>
      <c r="D8" s="83" t="n">
        <v>0.0</v>
      </c>
      <c r="E8" s="83">
        <f>SUM(B8:D8)</f>
        <v>0</v>
      </c>
      <c r="H8" t="str">
        <f>$A$8</f>
        <v>Bellevue Downtown</v>
      </c>
      <c r="I8" s="83" t="n">
        <v>0.0</v>
      </c>
      <c r="J8" s="83" t="n">
        <v>0.0</v>
      </c>
      <c r="K8" s="83" t="n">
        <v>1.0</v>
      </c>
      <c r="L8" s="83">
        <f>SUM(I8:K8)</f>
        <v>1</v>
      </c>
      <c r="O8" t="str">
        <f>$A$8</f>
        <v>Bellevue Downtown</v>
      </c>
      <c r="P8" s="20">
        <f ref="P8:P14" si="1" t="shared">I8-B8</f>
        <v>1</v>
      </c>
      <c r="Q8" s="20">
        <f si="0" t="shared"/>
        <v>0</v>
      </c>
      <c r="R8" s="20">
        <f si="0" t="shared"/>
        <v>0</v>
      </c>
      <c r="S8" s="20">
        <f si="0" t="shared"/>
        <v>1</v>
      </c>
    </row>
    <row r="9" spans="1:19" x14ac:dyDescent="0.25">
      <c r="A9" s="7" t="s">
        <v>256</v>
      </c>
      <c r="B9" s="83" t="n">
        <v>0.0</v>
      </c>
      <c r="C9" s="83" t="n">
        <v>0.0</v>
      </c>
      <c r="D9" s="83" t="n">
        <v>0.0</v>
      </c>
      <c r="E9" s="83">
        <f ref="E9:E11" si="2" t="shared">SUM(B9:D9)</f>
        <v>0</v>
      </c>
      <c r="H9" t="str">
        <f>$A$9</f>
        <v>Kirkland</v>
      </c>
      <c r="I9" s="83" t="n">
        <v>52.0</v>
      </c>
      <c r="J9" s="83" t="n">
        <v>16.0</v>
      </c>
      <c r="K9" s="83" t="n">
        <v>9.0</v>
      </c>
      <c r="L9" s="83">
        <f ref="L9:L11" si="3" t="shared">SUM(I9:K9)</f>
        <v>98</v>
      </c>
      <c r="O9" t="str">
        <f>$A$9</f>
        <v>Kirkland</v>
      </c>
      <c r="P9" s="20">
        <f ref="P9:P11" si="4" t="shared">I9-B9</f>
        <v>68</v>
      </c>
      <c r="Q9" s="20">
        <f ref="Q9:Q11" si="5" t="shared">J9-C9</f>
        <v>21</v>
      </c>
      <c r="R9" s="20">
        <f ref="R9:R11" si="6" t="shared">K9-D9</f>
        <v>9</v>
      </c>
      <c r="S9" s="20">
        <f ref="S9:S11" si="7" t="shared">L9-E9</f>
        <v>98</v>
      </c>
    </row>
    <row r="10" spans="1:19" x14ac:dyDescent="0.25">
      <c r="A10" s="7" t="s">
        <v>257</v>
      </c>
      <c r="B10" s="83" t="n">
        <v>0.0</v>
      </c>
      <c r="C10" s="83" t="n">
        <v>0.0</v>
      </c>
      <c r="D10" s="83" t="n">
        <v>0.0</v>
      </c>
      <c r="E10" s="83">
        <f si="2" t="shared"/>
        <v>0</v>
      </c>
      <c r="H10" t="str">
        <f>$A$10</f>
        <v>Redmond</v>
      </c>
      <c r="I10" s="83" t="n">
        <v>50.0</v>
      </c>
      <c r="J10" s="83" t="n">
        <v>24.0</v>
      </c>
      <c r="K10" s="83" t="n">
        <v>42.0</v>
      </c>
      <c r="L10" s="83">
        <f si="3" t="shared"/>
        <v>141</v>
      </c>
      <c r="O10" s="7" t="str">
        <f>$A$10</f>
        <v>Redmond</v>
      </c>
      <c r="P10" s="21">
        <f si="4" t="shared"/>
        <v>66</v>
      </c>
      <c r="Q10" s="21">
        <f si="5" t="shared"/>
        <v>33</v>
      </c>
      <c r="R10" s="21">
        <f si="6" t="shared"/>
        <v>42</v>
      </c>
      <c r="S10" s="21">
        <f si="7" t="shared"/>
        <v>141</v>
      </c>
    </row>
    <row r="11" spans="1:19" x14ac:dyDescent="0.25">
      <c r="A11" s="7" t="s">
        <v>253</v>
      </c>
      <c r="B11" s="83" t="n">
        <v>0.0</v>
      </c>
      <c r="C11" s="83" t="n">
        <v>0.0</v>
      </c>
      <c r="D11" s="83" t="n">
        <v>996.876</v>
      </c>
      <c r="E11" s="83">
        <f si="2" t="shared"/>
        <v>996.87599999999998</v>
      </c>
      <c r="H11" t="str">
        <f>$A$11</f>
        <v>Seattle</v>
      </c>
      <c r="I11" s="83" t="n">
        <v>420.0</v>
      </c>
      <c r="J11" s="83" t="n">
        <v>106.0</v>
      </c>
      <c r="K11" s="83" t="n">
        <v>35.0</v>
      </c>
      <c r="L11" s="83">
        <f si="3" t="shared"/>
        <v>572</v>
      </c>
      <c r="O11" s="7" t="str">
        <f>$A$11</f>
        <v>Seattle</v>
      </c>
      <c r="P11" s="21">
        <f si="4" t="shared"/>
        <v>425</v>
      </c>
      <c r="Q11" s="21">
        <f si="5" t="shared"/>
        <v>106</v>
      </c>
      <c r="R11" s="21">
        <f si="6" t="shared"/>
        <v>-955.87599999999998</v>
      </c>
      <c r="S11" s="21">
        <f si="7" t="shared"/>
        <v>-424.87599999999998</v>
      </c>
    </row>
    <row r="12" spans="1:19" x14ac:dyDescent="0.25">
      <c r="A12" s="7" t="s">
        <v>258</v>
      </c>
      <c r="B12" s="87" t="n">
        <v>0.0</v>
      </c>
      <c r="C12" s="87" t="n">
        <v>0.0</v>
      </c>
      <c r="D12" s="87" t="n">
        <v>14.496</v>
      </c>
      <c r="E12" s="87">
        <f>SUM(B12:D12)</f>
        <v>14.496</v>
      </c>
      <c r="H12" s="7" t="str">
        <f>$A$12</f>
        <v>Seattle Downtown</v>
      </c>
      <c r="I12" s="87" t="n">
        <v>15.0</v>
      </c>
      <c r="J12" s="87" t="n">
        <v>1.0</v>
      </c>
      <c r="K12" s="87" t="n">
        <v>2.0</v>
      </c>
      <c r="L12" s="87">
        <f>SUM(I12:K12)</f>
        <v>24</v>
      </c>
      <c r="O12" s="7" t="str">
        <f>$A$12</f>
        <v>Seattle Downtown</v>
      </c>
      <c r="P12" s="21">
        <f si="1" t="shared"/>
        <v>18</v>
      </c>
      <c r="Q12" s="21">
        <f si="0" t="shared"/>
        <v>1</v>
      </c>
      <c r="R12" s="21">
        <f si="0" t="shared"/>
        <v>-9.4960000000000004</v>
      </c>
      <c r="S12" s="21">
        <f si="0" t="shared"/>
        <v>9.5039999999999996</v>
      </c>
    </row>
    <row r="13" spans="1:19" x14ac:dyDescent="0.25">
      <c r="A13" s="7" t="s">
        <v>259</v>
      </c>
      <c r="B13" s="86" t="n">
        <v>2443.4439</v>
      </c>
      <c r="C13" s="86" t="n">
        <v>0.0</v>
      </c>
      <c r="D13" s="86" t="n">
        <v>0.0</v>
      </c>
      <c r="E13" s="83">
        <f>SUM(B13:D13)</f>
        <v>2443.4439000000002</v>
      </c>
      <c r="H13" s="7" t="str">
        <f>$A$13</f>
        <v>Rest</v>
      </c>
      <c r="I13" s="87" t="n">
        <v>27438.0</v>
      </c>
      <c r="J13" s="87" t="n">
        <v>7585.0</v>
      </c>
      <c r="K13" s="87" t="n">
        <v>8194.0</v>
      </c>
      <c r="L13" s="87">
        <f>SUM(I13:K13)</f>
        <v>42939</v>
      </c>
      <c r="O13" s="7" t="str">
        <f>$A$13</f>
        <v>Rest</v>
      </c>
      <c r="P13" s="21">
        <f si="1" t="shared"/>
        <v>24682.556100000002</v>
      </c>
      <c r="Q13" s="21">
        <f si="0" t="shared"/>
        <v>7597</v>
      </c>
      <c r="R13" s="21">
        <f si="0" t="shared"/>
        <v>8216</v>
      </c>
      <c r="S13" s="21">
        <f si="0" t="shared"/>
        <v>40495.556100000002</v>
      </c>
    </row>
    <row ht="15.75" r="14" spans="1:19" thickBot="1" x14ac:dyDescent="0.3">
      <c r="A14" s="12" t="s">
        <v>3</v>
      </c>
      <c r="B14" s="84">
        <f>SUM(B7:B13)</f>
        <v>2443.4439000000002</v>
      </c>
      <c r="C14" s="84">
        <f ref="C14" si="8" t="shared">SUM(C7:C13)</f>
        <v>0</v>
      </c>
      <c r="D14" s="84">
        <f ref="D14" si="9" t="shared">SUM(D7:D13)</f>
        <v>1011.372</v>
      </c>
      <c r="E14" s="82">
        <f ref="E14" si="10" t="shared">SUM(E7:E13)</f>
        <v>3454.8159000000001</v>
      </c>
      <c r="H14" s="12" t="s">
        <v>3</v>
      </c>
      <c r="I14" s="82">
        <f>SUM(I7:I13)</f>
        <v>27764</v>
      </c>
      <c r="J14" s="82">
        <f ref="J14:L14" si="11" t="shared">SUM(J7:J13)</f>
        <v>7782</v>
      </c>
      <c r="K14" s="82">
        <f si="11" t="shared"/>
        <v>8330</v>
      </c>
      <c r="L14" s="82">
        <f si="11" t="shared"/>
        <v>43876</v>
      </c>
      <c r="O14" s="12" t="s">
        <v>3</v>
      </c>
      <c r="P14" s="12">
        <f si="1" t="shared"/>
        <v>25320.556100000002</v>
      </c>
      <c r="Q14" s="12">
        <f si="0" t="shared"/>
        <v>7782</v>
      </c>
      <c r="R14" s="12">
        <f si="0" t="shared"/>
        <v>7318.6279999999997</v>
      </c>
      <c r="S14" s="12">
        <f si="0" t="shared"/>
        <v>40421.184099999999</v>
      </c>
    </row>
    <row r="15" spans="1:19" x14ac:dyDescent="0.25">
      <c r="O15" s="20"/>
      <c r="P15" s="20"/>
      <c r="Q15" s="20"/>
      <c r="R15" s="20"/>
      <c r="S15" s="20"/>
    </row>
    <row ht="15.75" r="16" spans="1:19" thickBot="1" x14ac:dyDescent="0.3">
      <c r="A16" s="4" t="s">
        <v>197</v>
      </c>
      <c r="B16" s="1"/>
      <c r="C16" s="1"/>
      <c r="D16" s="1"/>
      <c r="H16" s="4" t="s">
        <v>31</v>
      </c>
      <c r="I16" s="1"/>
      <c r="J16" s="1"/>
      <c r="K16" s="1"/>
      <c r="O16" s="42" t="s">
        <v>69</v>
      </c>
      <c r="P16" s="24"/>
      <c r="Q16" s="24"/>
      <c r="R16" s="24"/>
      <c r="S16" s="24"/>
    </row>
    <row r="17" spans="1:20" x14ac:dyDescent="0.25">
      <c r="A17" s="2"/>
      <c r="B17" s="5" t="s">
        <v>41</v>
      </c>
      <c r="C17" s="5" t="s">
        <v>42</v>
      </c>
      <c r="D17" s="5" t="s">
        <v>43</v>
      </c>
      <c r="E17" s="3" t="s">
        <v>3</v>
      </c>
      <c r="H17" s="2"/>
      <c r="I17" s="5" t="s">
        <v>41</v>
      </c>
      <c r="J17" s="5" t="s">
        <v>42</v>
      </c>
      <c r="K17" s="5" t="s">
        <v>43</v>
      </c>
      <c r="L17" s="3" t="s">
        <v>3</v>
      </c>
      <c r="O17" s="43"/>
      <c r="P17" s="5" t="s">
        <v>41</v>
      </c>
      <c r="Q17" s="5" t="s">
        <v>42</v>
      </c>
      <c r="R17" s="5" t="s">
        <v>43</v>
      </c>
      <c r="S17" s="44" t="s">
        <v>3</v>
      </c>
    </row>
    <row r="18" spans="1:20" x14ac:dyDescent="0.25">
      <c r="A18" s="15" t="str">
        <f>$A$7</f>
        <v>Bellevue</v>
      </c>
      <c r="B18" s="83" t="n">
        <v>21927.494</v>
      </c>
      <c r="C18" s="83" t="n">
        <v>1905.2952</v>
      </c>
      <c r="D18" s="83" t="n">
        <v>2247.1352</v>
      </c>
      <c r="E18" s="83">
        <f>SUM(B18:D18)</f>
        <v>26079.9244</v>
      </c>
      <c r="H18" s="15" t="str">
        <f>$A$7</f>
        <v>Bellevue</v>
      </c>
      <c r="I18" s="83" t="n">
        <v>21629.0</v>
      </c>
      <c r="J18" s="83" t="n">
        <v>5131.0</v>
      </c>
      <c r="K18" s="83" t="n">
        <v>7150.0</v>
      </c>
      <c r="L18" s="83">
        <f>SUM(I18:K18)</f>
        <v>33910</v>
      </c>
      <c r="O18" s="15" t="str">
        <f>$A$7</f>
        <v>Bellevue</v>
      </c>
      <c r="P18" s="20">
        <f>I18-B18</f>
        <v>-298.49399999999878</v>
      </c>
      <c r="Q18" s="20">
        <f ref="Q18:Q25" si="12" t="shared">J18-C18</f>
        <v>3225.7048</v>
      </c>
      <c r="R18" s="20">
        <f ref="R18:R25" si="13" t="shared">K18-D18</f>
        <v>4902.8647999999994</v>
      </c>
      <c r="S18" s="20">
        <f ref="S18:S25" si="14" t="shared">L18-E18</f>
        <v>7830.0756000000001</v>
      </c>
    </row>
    <row r="19" spans="1:20" x14ac:dyDescent="0.25">
      <c r="A19" t="str">
        <f>$A$8</f>
        <v>Bellevue Downtown</v>
      </c>
      <c r="B19" s="83" t="n">
        <v>164.3246</v>
      </c>
      <c r="C19" s="83" t="n">
        <v>0.0</v>
      </c>
      <c r="D19" s="83" t="n">
        <v>128.3902</v>
      </c>
      <c r="E19" s="83">
        <f>SUM(B19:D19)</f>
        <v>292.71479999999997</v>
      </c>
      <c r="H19" t="str">
        <f>$A$8</f>
        <v>Bellevue Downtown</v>
      </c>
      <c r="I19" s="83" t="n">
        <v>511.0</v>
      </c>
      <c r="J19" s="83" t="n">
        <v>145.0</v>
      </c>
      <c r="K19" s="83" t="n">
        <v>374.0</v>
      </c>
      <c r="L19" s="83">
        <f>SUM(I19:K19)</f>
        <v>1030</v>
      </c>
      <c r="O19" t="str">
        <f>$A$8</f>
        <v>Bellevue Downtown</v>
      </c>
      <c r="P19" s="20">
        <f ref="P19:P25" si="15" t="shared">I19-B19</f>
        <v>346.67539999999997</v>
      </c>
      <c r="Q19" s="20">
        <f si="12" t="shared"/>
        <v>145</v>
      </c>
      <c r="R19" s="20">
        <f si="13" t="shared"/>
        <v>245.60980000000001</v>
      </c>
      <c r="S19" s="20">
        <f si="14" t="shared"/>
        <v>737.28520000000003</v>
      </c>
    </row>
    <row r="20" spans="1:20" x14ac:dyDescent="0.25">
      <c r="A20" t="str">
        <f>$A$9</f>
        <v>Kirkland</v>
      </c>
      <c r="B20" s="83" t="n">
        <v>15498.8351</v>
      </c>
      <c r="C20" s="83" t="n">
        <v>2170.0193</v>
      </c>
      <c r="D20" s="83" t="n">
        <v>1471.8118</v>
      </c>
      <c r="E20" s="83">
        <f ref="E20:E22" si="16" t="shared">SUM(B20:D20)</f>
        <v>19140.6662</v>
      </c>
      <c r="H20" t="str">
        <f>$A$9</f>
        <v>Kirkland</v>
      </c>
      <c r="I20" s="83" t="n">
        <v>17430.0</v>
      </c>
      <c r="J20" s="83" t="n">
        <v>4248.0</v>
      </c>
      <c r="K20" s="83" t="n">
        <v>5979.0</v>
      </c>
      <c r="L20" s="83">
        <f ref="L20:L22" si="17" t="shared">SUM(I20:K20)</f>
        <v>27657</v>
      </c>
      <c r="O20" t="str">
        <f>$A$9</f>
        <v>Kirkland</v>
      </c>
      <c r="P20" s="20">
        <f ref="P20:P22" si="18" t="shared">I20-B20</f>
        <v>1931.1648999999998</v>
      </c>
      <c r="Q20" s="20">
        <f ref="Q20:Q22" si="19" t="shared">J20-C20</f>
        <v>2077.9807000000001</v>
      </c>
      <c r="R20" s="20">
        <f ref="R20:R22" si="20" t="shared">K20-D20</f>
        <v>4507.1882000000005</v>
      </c>
      <c r="S20" s="20">
        <f ref="S20:S22" si="21" t="shared">L20-E20</f>
        <v>8516.3338000000003</v>
      </c>
    </row>
    <row r="21" spans="1:20" x14ac:dyDescent="0.25">
      <c r="A21" t="str">
        <f>$A$10</f>
        <v>Redmond</v>
      </c>
      <c r="B21" s="83" t="n">
        <v>22665.7465</v>
      </c>
      <c r="C21" s="83" t="n">
        <v>3936.452</v>
      </c>
      <c r="D21" s="83" t="n">
        <v>3498.526</v>
      </c>
      <c r="E21" s="83">
        <f si="16" t="shared"/>
        <v>30100.724500000004</v>
      </c>
      <c r="H21" t="str">
        <f>$A$10</f>
        <v>Redmond</v>
      </c>
      <c r="I21" s="83" t="n">
        <v>15615.0</v>
      </c>
      <c r="J21" s="83" t="n">
        <v>3578.0</v>
      </c>
      <c r="K21" s="83" t="n">
        <v>4091.0</v>
      </c>
      <c r="L21" s="83">
        <f si="17" t="shared"/>
        <v>23284</v>
      </c>
      <c r="O21" s="7" t="str">
        <f>$A$10</f>
        <v>Redmond</v>
      </c>
      <c r="P21" s="21">
        <f si="18" t="shared"/>
        <v>-7050.7465000000011</v>
      </c>
      <c r="Q21" s="21">
        <f si="19" t="shared"/>
        <v>-358.45200000000023</v>
      </c>
      <c r="R21" s="21">
        <f si="20" t="shared"/>
        <v>592.47400000000016</v>
      </c>
      <c r="S21" s="21">
        <f si="21" t="shared"/>
        <v>-6816.7245000000039</v>
      </c>
      <c r="T21" s="7"/>
    </row>
    <row r="22" spans="1:20" x14ac:dyDescent="0.25">
      <c r="A22" t="str">
        <f>$A$11</f>
        <v>Seattle</v>
      </c>
      <c r="B22" s="83" t="n">
        <v>73648.719</v>
      </c>
      <c r="C22" s="83" t="n">
        <v>4756.9449</v>
      </c>
      <c r="D22" s="83" t="n">
        <v>33744.542199999996</v>
      </c>
      <c r="E22" s="83">
        <f si="16" t="shared"/>
        <v>112150.2061</v>
      </c>
      <c r="H22" t="str">
        <f>$A$11</f>
        <v>Seattle</v>
      </c>
      <c r="I22" s="83" t="n">
        <v>61311.0</v>
      </c>
      <c r="J22" s="83" t="n">
        <v>13913.0</v>
      </c>
      <c r="K22" s="83" t="n">
        <v>44169.0</v>
      </c>
      <c r="L22" s="83">
        <f si="17" t="shared"/>
        <v>119393</v>
      </c>
      <c r="O22" s="7" t="str">
        <f>$A$11</f>
        <v>Seattle</v>
      </c>
      <c r="P22" s="21">
        <f si="18" t="shared"/>
        <v>-12337.718999999997</v>
      </c>
      <c r="Q22" s="21">
        <f si="19" t="shared"/>
        <v>9156.0550999999996</v>
      </c>
      <c r="R22" s="21">
        <f si="20" t="shared"/>
        <v>10424.457800000004</v>
      </c>
      <c r="S22" s="21">
        <f si="21" t="shared"/>
        <v>7242.7939000000042</v>
      </c>
      <c r="T22" s="7"/>
    </row>
    <row r="23" spans="1:20" x14ac:dyDescent="0.25">
      <c r="A23" s="7" t="str">
        <f>$A$12</f>
        <v>Seattle Downtown</v>
      </c>
      <c r="B23" s="87" t="n">
        <v>686.4745</v>
      </c>
      <c r="C23" s="87" t="n">
        <v>178.05780000000001</v>
      </c>
      <c r="D23" s="87" t="n">
        <v>2427.9771</v>
      </c>
      <c r="E23" s="87">
        <f>SUM(B23:D23)</f>
        <v>3292.5093999999999</v>
      </c>
      <c r="H23" s="7" t="str">
        <f>$A$12</f>
        <v>Seattle Downtown</v>
      </c>
      <c r="I23" s="87" t="n">
        <v>1132.0</v>
      </c>
      <c r="J23" s="87" t="n">
        <v>319.0</v>
      </c>
      <c r="K23" s="87" t="n">
        <v>3763.0</v>
      </c>
      <c r="L23" s="87">
        <f>SUM(I23:K23)</f>
        <v>5214</v>
      </c>
      <c r="O23" s="7" t="str">
        <f>$A$12</f>
        <v>Seattle Downtown</v>
      </c>
      <c r="P23" s="21">
        <f si="15" t="shared"/>
        <v>445.52549999999997</v>
      </c>
      <c r="Q23" s="21">
        <f si="12" t="shared"/>
        <v>140.94219999999999</v>
      </c>
      <c r="R23" s="21">
        <f si="13" t="shared"/>
        <v>1335.0228999999999</v>
      </c>
      <c r="S23" s="21">
        <f si="14" t="shared"/>
        <v>1921.4906000000001</v>
      </c>
      <c r="T23" s="7"/>
    </row>
    <row r="24" spans="1:20" x14ac:dyDescent="0.25">
      <c r="A24" s="7" t="str">
        <f>$A$13</f>
        <v>Rest</v>
      </c>
      <c r="B24" s="86" t="n">
        <v>381324.3322</v>
      </c>
      <c r="C24" s="86" t="n">
        <v>65552.775</v>
      </c>
      <c r="D24" s="86" t="n">
        <v>67960.5531</v>
      </c>
      <c r="E24" s="86">
        <f>SUM(B24:D24)</f>
        <v>514837.66029999999</v>
      </c>
      <c r="H24" s="7" t="str">
        <f>$A$13</f>
        <v>Rest</v>
      </c>
      <c r="I24" s="87" t="n">
        <v>388604.0</v>
      </c>
      <c r="J24" s="87" t="n">
        <v>92530.0</v>
      </c>
      <c r="K24" s="87" t="n">
        <v>108872.0</v>
      </c>
      <c r="L24" s="87">
        <f>SUM(I24:K24)</f>
        <v>590006</v>
      </c>
      <c r="O24" s="7" t="str">
        <f>$A$13</f>
        <v>Rest</v>
      </c>
      <c r="P24" s="21">
        <f si="15" t="shared"/>
        <v>7279.6677999999956</v>
      </c>
      <c r="Q24" s="21">
        <f si="12" t="shared"/>
        <v>26977.225000000006</v>
      </c>
      <c r="R24" s="21">
        <f si="13" t="shared"/>
        <v>40911.446899999995</v>
      </c>
      <c r="S24" s="21">
        <f si="14" t="shared"/>
        <v>75168.339700000011</v>
      </c>
      <c r="T24" s="7"/>
    </row>
    <row ht="15.75" r="25" spans="1:20" thickBot="1" x14ac:dyDescent="0.3">
      <c r="A25" s="12" t="s">
        <v>3</v>
      </c>
      <c r="B25" s="84">
        <f>SUM(B18:B24)</f>
        <v>515915.92590000003</v>
      </c>
      <c r="C25" s="84">
        <f ref="C25" si="22" t="shared">SUM(C18:C24)</f>
        <v>78499.544199999989</v>
      </c>
      <c r="D25" s="84">
        <f ref="D25" si="23" t="shared">SUM(D18:D24)</f>
        <v>111478.9356</v>
      </c>
      <c r="E25" s="84">
        <f ref="E25" si="24" t="shared">SUM(E18:E24)</f>
        <v>705894.4057</v>
      </c>
      <c r="H25" s="12" t="s">
        <v>3</v>
      </c>
      <c r="I25" s="82">
        <f>SUM(I18:I24)</f>
        <v>506232</v>
      </c>
      <c r="J25" s="82">
        <f ref="J25" si="25" t="shared">SUM(J18:J24)</f>
        <v>119864</v>
      </c>
      <c r="K25" s="82">
        <f ref="K25" si="26" t="shared">SUM(K18:K24)</f>
        <v>174398</v>
      </c>
      <c r="L25" s="82">
        <f ref="L25" si="27" t="shared">SUM(L18:L24)</f>
        <v>800494</v>
      </c>
      <c r="O25" s="12" t="s">
        <v>3</v>
      </c>
      <c r="P25" s="12">
        <f si="15" t="shared"/>
        <v>-9683.9259000000311</v>
      </c>
      <c r="Q25" s="12">
        <f si="12" t="shared"/>
        <v>41364.455800000011</v>
      </c>
      <c r="R25" s="12">
        <f si="13" t="shared"/>
        <v>62919.064400000003</v>
      </c>
      <c r="S25" s="12">
        <f si="14" t="shared"/>
        <v>94599.594299999997</v>
      </c>
      <c r="T25" s="7"/>
    </row>
    <row ht="15.75" r="27" spans="1:20" thickBot="1" x14ac:dyDescent="0.3">
      <c r="A27" s="4" t="s">
        <v>198</v>
      </c>
      <c r="B27" s="1"/>
      <c r="C27" s="1"/>
      <c r="D27" s="1"/>
      <c r="H27" s="4" t="s">
        <v>33</v>
      </c>
      <c r="I27" s="1"/>
      <c r="J27" s="1"/>
      <c r="K27" s="1"/>
      <c r="O27" s="4" t="s">
        <v>70</v>
      </c>
      <c r="P27" s="1"/>
      <c r="Q27" s="1"/>
      <c r="R27" s="1"/>
      <c r="S27" s="1"/>
    </row>
    <row r="28" spans="1:20" x14ac:dyDescent="0.25">
      <c r="A28" s="2"/>
      <c r="B28" s="5" t="s">
        <v>41</v>
      </c>
      <c r="C28" s="5" t="s">
        <v>42</v>
      </c>
      <c r="D28" s="5" t="s">
        <v>43</v>
      </c>
      <c r="E28" s="3" t="s">
        <v>3</v>
      </c>
      <c r="H28" s="2"/>
      <c r="I28" s="5" t="s">
        <v>41</v>
      </c>
      <c r="J28" s="5" t="s">
        <v>42</v>
      </c>
      <c r="K28" s="5" t="s">
        <v>43</v>
      </c>
      <c r="L28" s="3" t="s">
        <v>3</v>
      </c>
      <c r="O28" s="2"/>
      <c r="P28" s="5" t="s">
        <v>41</v>
      </c>
      <c r="Q28" s="5" t="s">
        <v>42</v>
      </c>
      <c r="R28" s="5" t="s">
        <v>43</v>
      </c>
      <c r="S28" s="3" t="s">
        <v>3</v>
      </c>
    </row>
    <row r="29" spans="1:20" x14ac:dyDescent="0.25">
      <c r="A29" s="15" t="str">
        <f>$A$7</f>
        <v>Bellevue</v>
      </c>
      <c r="B29" s="16">
        <f ref="B29:E29" si="28" t="shared">IF(B18&lt;&gt;0,B7/B18,0)</f>
        <v>0</v>
      </c>
      <c r="C29" s="16">
        <f si="28" t="shared"/>
        <v>0</v>
      </c>
      <c r="D29" s="16">
        <f si="28" t="shared"/>
        <v>0</v>
      </c>
      <c r="E29" s="16">
        <f si="28" t="shared"/>
        <v>0</v>
      </c>
      <c r="H29" s="15" t="str">
        <f>$A$7</f>
        <v>Bellevue</v>
      </c>
      <c r="I29" s="16">
        <f ref="I29:L30" si="29" t="shared">IF(I18&lt;&gt;0,I7/I18,0)</f>
        <v>2.7740533542928475E-3</v>
      </c>
      <c r="J29" s="16">
        <f si="29" t="shared"/>
        <v>4.677450789319821E-3</v>
      </c>
      <c r="K29" s="16">
        <f si="29" t="shared"/>
        <v>2.3776223776223776E-3</v>
      </c>
      <c r="L29" s="16">
        <f si="29" t="shared"/>
        <v>2.9784724270126807E-3</v>
      </c>
      <c r="O29" s="15" t="str">
        <f>$A$7</f>
        <v>Bellevue</v>
      </c>
      <c r="P29" s="26">
        <f ref="P29:S36" si="30" t="shared">I29-B29</f>
        <v>2.7740533542928475E-3</v>
      </c>
      <c r="Q29" s="26">
        <f si="30" t="shared"/>
        <v>4.677450789319821E-3</v>
      </c>
      <c r="R29" s="26">
        <f si="30" t="shared"/>
        <v>2.3776223776223776E-3</v>
      </c>
      <c r="S29" s="26">
        <f si="30" t="shared"/>
        <v>2.9784724270126807E-3</v>
      </c>
    </row>
    <row r="30" spans="1:20" x14ac:dyDescent="0.25">
      <c r="A30" t="str">
        <f>$A$8</f>
        <v>Bellevue Downtown</v>
      </c>
      <c r="B30" s="16">
        <f ref="B30:E30" si="31" t="shared">IF(B19&lt;&gt;0,B8/B19,0)</f>
        <v>0</v>
      </c>
      <c r="C30" s="16">
        <f si="31" t="shared"/>
        <v>0</v>
      </c>
      <c r="D30" s="16">
        <f si="31" t="shared"/>
        <v>0</v>
      </c>
      <c r="E30" s="16">
        <f si="31" t="shared"/>
        <v>0</v>
      </c>
      <c r="H30" t="str">
        <f>$A$8</f>
        <v>Bellevue Downtown</v>
      </c>
      <c r="I30" s="16">
        <f si="29" t="shared"/>
        <v>1.9569471624266144E-3</v>
      </c>
      <c r="J30" s="16">
        <f si="29" t="shared"/>
        <v>0</v>
      </c>
      <c r="K30" s="16">
        <f si="29" t="shared"/>
        <v>0</v>
      </c>
      <c r="L30" s="16">
        <f si="29" t="shared"/>
        <v>9.7087378640776695E-4</v>
      </c>
      <c r="O30" t="str">
        <f>$A$8</f>
        <v>Bellevue Downtown</v>
      </c>
      <c r="P30" s="26">
        <f si="30" t="shared"/>
        <v>1.9569471624266144E-3</v>
      </c>
      <c r="Q30" s="26">
        <f si="30" t="shared"/>
        <v>0</v>
      </c>
      <c r="R30" s="26">
        <f si="30" t="shared"/>
        <v>0</v>
      </c>
      <c r="S30" s="26">
        <f si="30" t="shared"/>
        <v>9.7087378640776695E-4</v>
      </c>
    </row>
    <row r="31" spans="1:20" x14ac:dyDescent="0.25">
      <c r="A31" t="str">
        <f>$A$9</f>
        <v>Kirkland</v>
      </c>
      <c r="B31" s="16">
        <f ref="B31:E31" si="32" t="shared">IF(B20&lt;&gt;0,B9/B20,0)</f>
        <v>0</v>
      </c>
      <c r="C31" s="16">
        <f si="32" t="shared"/>
        <v>0</v>
      </c>
      <c r="D31" s="16">
        <f si="32" t="shared"/>
        <v>0</v>
      </c>
      <c r="E31" s="16">
        <f si="32" t="shared"/>
        <v>0</v>
      </c>
      <c r="H31" t="str">
        <f>$A$9</f>
        <v>Kirkland</v>
      </c>
      <c r="I31" s="16">
        <f ref="I31:L31" si="33" t="shared">IF(I20&lt;&gt;0,I9/I20,0)</f>
        <v>3.9013195639701665E-3</v>
      </c>
      <c r="J31" s="16">
        <f si="33" t="shared"/>
        <v>4.9435028248587575E-3</v>
      </c>
      <c r="K31" s="16">
        <f si="33" t="shared"/>
        <v>1.5052684395383843E-3</v>
      </c>
      <c r="L31" s="16">
        <f si="33" t="shared"/>
        <v>3.5434067324727919E-3</v>
      </c>
      <c r="O31" t="str">
        <f>$A$9</f>
        <v>Kirkland</v>
      </c>
      <c r="P31" s="26">
        <f ref="P31:P33" si="34" t="shared">I31-B31</f>
        <v>3.9013195639701665E-3</v>
      </c>
      <c r="Q31" s="26">
        <f ref="Q31:Q33" si="35" t="shared">J31-C31</f>
        <v>4.9435028248587575E-3</v>
      </c>
      <c r="R31" s="26">
        <f ref="R31:R33" si="36" t="shared">K31-D31</f>
        <v>1.5052684395383843E-3</v>
      </c>
      <c r="S31" s="26">
        <f ref="S31:S33" si="37" t="shared">L31-E31</f>
        <v>3.5434067324727919E-3</v>
      </c>
    </row>
    <row r="32" spans="1:20" x14ac:dyDescent="0.25">
      <c r="A32" t="str">
        <f>$A$10</f>
        <v>Redmond</v>
      </c>
      <c r="B32" s="16">
        <f ref="B32:E32" si="38" t="shared">IF(B21&lt;&gt;0,B10/B21,0)</f>
        <v>0</v>
      </c>
      <c r="C32" s="16">
        <f si="38" t="shared"/>
        <v>0</v>
      </c>
      <c r="D32" s="16">
        <f si="38" t="shared"/>
        <v>0</v>
      </c>
      <c r="E32" s="16">
        <f si="38" t="shared"/>
        <v>0</v>
      </c>
      <c r="H32" t="str">
        <f>$A$10</f>
        <v>Redmond</v>
      </c>
      <c r="I32" s="16">
        <f ref="I32:L32" si="39" t="shared">IF(I21&lt;&gt;0,I10/I21,0)</f>
        <v>4.2267050912584052E-3</v>
      </c>
      <c r="J32" s="16">
        <f si="39" t="shared"/>
        <v>9.2230296254891004E-3</v>
      </c>
      <c r="K32" s="16">
        <f si="39" t="shared"/>
        <v>1.0266438523588365E-2</v>
      </c>
      <c r="L32" s="16">
        <f si="39" t="shared"/>
        <v>6.0556605394262155E-3</v>
      </c>
      <c r="O32" t="str">
        <f>$A$10</f>
        <v>Redmond</v>
      </c>
      <c r="P32" s="26">
        <f si="34" t="shared"/>
        <v>4.2267050912584052E-3</v>
      </c>
      <c r="Q32" s="26">
        <f si="35" t="shared"/>
        <v>9.2230296254891004E-3</v>
      </c>
      <c r="R32" s="26">
        <f si="36" t="shared"/>
        <v>1.0266438523588365E-2</v>
      </c>
      <c r="S32" s="26">
        <f si="37" t="shared"/>
        <v>6.0556605394262155E-3</v>
      </c>
    </row>
    <row r="33" spans="1:19" x14ac:dyDescent="0.25">
      <c r="A33" s="7" t="str">
        <f>$A$11</f>
        <v>Seattle</v>
      </c>
      <c r="B33" s="50">
        <f ref="B33:E33" si="40" t="shared">IF(B22&lt;&gt;0,B11/B22,0)</f>
        <v>0</v>
      </c>
      <c r="C33" s="50">
        <f si="40" t="shared"/>
        <v>0</v>
      </c>
      <c r="D33" s="50">
        <f si="40" t="shared"/>
        <v>2.9541843954842571E-2</v>
      </c>
      <c r="E33" s="50">
        <f si="40" t="shared"/>
        <v>8.8887576284177698E-3</v>
      </c>
      <c r="H33" s="7" t="str">
        <f>$A$11</f>
        <v>Seattle</v>
      </c>
      <c r="I33" s="50">
        <f ref="I33:L33" si="41" t="shared">IF(I22&lt;&gt;0,I11/I22,0)</f>
        <v>6.9318719316272771E-3</v>
      </c>
      <c r="J33" s="50">
        <f si="41" t="shared"/>
        <v>7.6187738086681521E-3</v>
      </c>
      <c r="K33" s="50">
        <f si="41" t="shared"/>
        <v>9.2825284701940271E-4</v>
      </c>
      <c r="L33" s="50">
        <f si="41" t="shared"/>
        <v>4.7909006390659415E-3</v>
      </c>
      <c r="O33" s="7" t="str">
        <f>$A$11</f>
        <v>Seattle</v>
      </c>
      <c r="P33" s="51">
        <f si="34" t="shared"/>
        <v>6.9318719316272771E-3</v>
      </c>
      <c r="Q33" s="51">
        <f si="35" t="shared"/>
        <v>7.6187738086681521E-3</v>
      </c>
      <c r="R33" s="51">
        <f si="36" t="shared"/>
        <v>-2.8613591107823168E-2</v>
      </c>
      <c r="S33" s="51">
        <f si="37" t="shared"/>
        <v>-4.0978569893518283E-3</v>
      </c>
    </row>
    <row r="34" spans="1:19" x14ac:dyDescent="0.25">
      <c r="A34" s="7" t="str">
        <f>$A$12</f>
        <v>Seattle Downtown</v>
      </c>
      <c r="B34" s="50">
        <f ref="B34:E35" si="42" t="shared">IF(B23&lt;&gt;0,B12/B23,0)</f>
        <v>0</v>
      </c>
      <c r="C34" s="50">
        <f si="42" t="shared"/>
        <v>0</v>
      </c>
      <c r="D34" s="50">
        <f si="42" t="shared"/>
        <v>5.9704022743871845E-3</v>
      </c>
      <c r="E34" s="50">
        <f si="42" t="shared"/>
        <v>4.4027209155424133E-3</v>
      </c>
      <c r="H34" s="7" t="str">
        <f>$A$12</f>
        <v>Seattle Downtown</v>
      </c>
      <c r="I34" s="50">
        <f ref="I34:L35" si="43" t="shared">IF(I23&lt;&gt;0,I12/I23,0)</f>
        <v>1.5901060070671377E-2</v>
      </c>
      <c r="J34" s="50">
        <f si="43" t="shared"/>
        <v>3.134796238244514E-3</v>
      </c>
      <c r="K34" s="50">
        <f si="43" t="shared"/>
        <v>1.3287270794578793E-3</v>
      </c>
      <c r="L34" s="50">
        <f si="43" t="shared"/>
        <v>4.6029919447640967E-3</v>
      </c>
      <c r="O34" s="7" t="str">
        <f>$A$12</f>
        <v>Seattle Downtown</v>
      </c>
      <c r="P34" s="51">
        <f si="30" t="shared"/>
        <v>1.5901060070671377E-2</v>
      </c>
      <c r="Q34" s="51">
        <f si="30" t="shared"/>
        <v>3.134796238244514E-3</v>
      </c>
      <c r="R34" s="51">
        <f si="30" t="shared"/>
        <v>-4.641675194929305E-3</v>
      </c>
      <c r="S34" s="51">
        <f si="30" t="shared"/>
        <v>2.0027102922168336E-4</v>
      </c>
    </row>
    <row r="35" spans="1:19" x14ac:dyDescent="0.25">
      <c r="A35" s="7" t="str">
        <f>$A$13</f>
        <v>Rest</v>
      </c>
      <c r="B35" s="50">
        <f si="42" t="shared"/>
        <v>6.4077838566001695E-3</v>
      </c>
      <c r="C35" s="50">
        <f si="42" t="shared"/>
        <v>0</v>
      </c>
      <c r="D35" s="50">
        <f si="42" t="shared"/>
        <v>0</v>
      </c>
      <c r="E35" s="50">
        <f si="42" t="shared"/>
        <v>4.7460473240752941E-3</v>
      </c>
      <c r="H35" s="7" t="str">
        <f>$A$13</f>
        <v>Rest</v>
      </c>
      <c r="I35" s="50">
        <f si="43" t="shared"/>
        <v>6.9803707630389802E-2</v>
      </c>
      <c r="J35" s="50">
        <f si="43" t="shared"/>
        <v>8.2103101696747005E-2</v>
      </c>
      <c r="K35" s="50">
        <f si="43" t="shared"/>
        <v>7.5464765963700497E-2</v>
      </c>
      <c r="L35" s="50">
        <f si="43" t="shared"/>
        <v>7.2777225994311925E-2</v>
      </c>
      <c r="O35" s="7" t="str">
        <f>$A$13</f>
        <v>Rest</v>
      </c>
      <c r="P35" s="51">
        <f si="30" t="shared"/>
        <v>6.3395923773789636E-2</v>
      </c>
      <c r="Q35" s="51">
        <f si="30" t="shared"/>
        <v>8.2103101696747005E-2</v>
      </c>
      <c r="R35" s="51">
        <f si="30" t="shared"/>
        <v>7.5464765963700497E-2</v>
      </c>
      <c r="S35" s="51">
        <f si="30" t="shared"/>
        <v>6.8031178670236628E-2</v>
      </c>
    </row>
    <row ht="15.75" r="36" spans="1:19" thickBot="1" x14ac:dyDescent="0.3">
      <c r="A36" s="12" t="s">
        <v>3</v>
      </c>
      <c r="B36" s="17">
        <f>IF(B25&lt;&gt;0,B14/B25,0)</f>
        <v>4.7361280730721482E-3</v>
      </c>
      <c r="C36" s="17">
        <f ref="C36:E36" si="44" t="shared">IF(C25&lt;&gt;0,C14/C25,0)</f>
        <v>0</v>
      </c>
      <c r="D36" s="17">
        <f si="44" t="shared"/>
        <v>9.0723148239316345E-3</v>
      </c>
      <c r="E36" s="17">
        <f si="44" t="shared"/>
        <v>4.8942389571341519E-3</v>
      </c>
      <c r="H36" s="12" t="s">
        <v>3</v>
      </c>
      <c r="I36" s="17">
        <f>IF(I25&lt;&gt;0,I14/I25,0)</f>
        <v>5.4844419159594808E-2</v>
      </c>
      <c r="J36" s="17">
        <f ref="J36:L36" si="45" t="shared">IF(J25&lt;&gt;0,J14/J25,0)</f>
        <v>6.4923580057398386E-2</v>
      </c>
      <c r="K36" s="17">
        <f si="45" t="shared"/>
        <v>4.776430922372963E-2</v>
      </c>
      <c r="L36" s="17">
        <f si="45" t="shared"/>
        <v>5.4811154112335635E-2</v>
      </c>
      <c r="O36" s="12" t="s">
        <v>3</v>
      </c>
      <c r="P36" s="45">
        <f si="30" t="shared"/>
        <v>5.0108291086522663E-2</v>
      </c>
      <c r="Q36" s="45">
        <f ref="Q36" si="46" t="shared">J36-C36</f>
        <v>6.4923580057398386E-2</v>
      </c>
      <c r="R36" s="45">
        <f ref="R36" si="47" t="shared">K36-D36</f>
        <v>3.8691994399797994E-2</v>
      </c>
      <c r="S36" s="45">
        <f ref="S36" si="48" t="shared">L36-E36</f>
        <v>4.9916915155201483E-2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1:D35"/>
  <sheetViews>
    <sheetView workbookViewId="0">
      <selection activeCell="B16" sqref="B16"/>
    </sheetView>
  </sheetViews>
  <sheetFormatPr defaultRowHeight="15" x14ac:dyDescent="0.25"/>
  <cols>
    <col min="3" max="3" bestFit="true" customWidth="true" width="27.42578125" collapsed="true"/>
  </cols>
  <sheetData>
    <row r="1" spans="1:2" x14ac:dyDescent="0.25">
      <c r="A1" s="11" t="s">
        <v>44</v>
      </c>
    </row>
    <row r="2" spans="1:2" x14ac:dyDescent="0.25">
      <c r="A2" s="41"/>
    </row>
    <row r="3" spans="1:2" x14ac:dyDescent="0.25">
      <c r="A3" s="11"/>
    </row>
    <row r="12" spans="1:2" x14ac:dyDescent="0.25">
      <c r="A12" s="11" t="s">
        <v>45</v>
      </c>
    </row>
    <row r="13" spans="1:2" x14ac:dyDescent="0.25">
      <c r="A13">
        <v>1</v>
      </c>
      <c r="B13" t="s">
        <v>46</v>
      </c>
    </row>
    <row r="15" spans="1:2" x14ac:dyDescent="0.25">
      <c r="A15">
        <v>2</v>
      </c>
      <c r="B15" t="s">
        <v>47</v>
      </c>
    </row>
    <row r="16" spans="1:2" x14ac:dyDescent="0.25">
      <c r="B16" t="s">
        <v>48</v>
      </c>
    </row>
    <row r="18" spans="1:4" x14ac:dyDescent="0.25">
      <c r="A18">
        <v>3</v>
      </c>
      <c r="B18" t="s">
        <v>49</v>
      </c>
    </row>
    <row r="19" spans="1:4" x14ac:dyDescent="0.25">
      <c r="B19" t="s">
        <v>50</v>
      </c>
    </row>
    <row r="20" spans="1:4" x14ac:dyDescent="0.25">
      <c r="B20" t="s">
        <v>51</v>
      </c>
      <c r="C20" t="s">
        <v>54</v>
      </c>
      <c r="D20" t="s">
        <v>57</v>
      </c>
    </row>
    <row r="21" spans="1:4" x14ac:dyDescent="0.25">
      <c r="B21" t="s">
        <v>41</v>
      </c>
      <c r="C21" t="s">
        <v>53</v>
      </c>
      <c r="D21" t="s">
        <v>58</v>
      </c>
    </row>
    <row r="22" spans="1:4" x14ac:dyDescent="0.25">
      <c r="B22" t="s">
        <v>42</v>
      </c>
      <c r="C22" t="s">
        <v>55</v>
      </c>
      <c r="D22" t="s">
        <v>59</v>
      </c>
    </row>
    <row r="23" spans="1:4" x14ac:dyDescent="0.25">
      <c r="B23" t="s">
        <v>52</v>
      </c>
      <c r="C23" t="s">
        <v>56</v>
      </c>
      <c r="D23" t="s">
        <v>60</v>
      </c>
    </row>
    <row r="25" spans="1:4" x14ac:dyDescent="0.25">
      <c r="A25" s="11" t="s">
        <v>61</v>
      </c>
    </row>
    <row r="26" spans="1:4" x14ac:dyDescent="0.25">
      <c r="A26">
        <v>1</v>
      </c>
      <c r="B26" t="s">
        <v>62</v>
      </c>
    </row>
    <row r="28" spans="1:4" x14ac:dyDescent="0.25">
      <c r="A28">
        <v>2</v>
      </c>
      <c r="B28" t="s">
        <v>63</v>
      </c>
    </row>
    <row r="30" spans="1:4" x14ac:dyDescent="0.25">
      <c r="A30" s="11" t="s">
        <v>64</v>
      </c>
    </row>
    <row r="31" spans="1:4" x14ac:dyDescent="0.25">
      <c r="A31">
        <v>1</v>
      </c>
      <c r="B31" t="s">
        <v>65</v>
      </c>
    </row>
    <row r="33" spans="1:2" x14ac:dyDescent="0.25">
      <c r="A33" s="11">
        <v>2</v>
      </c>
      <c r="B33" t="s">
        <v>66</v>
      </c>
    </row>
    <row r="35" spans="1:2" x14ac:dyDescent="0.25">
      <c r="A35">
        <v>3</v>
      </c>
      <c r="B35" t="s">
        <v>67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F61"/>
  <sheetViews>
    <sheetView workbookViewId="0">
      <selection activeCell="A32" sqref="A32:E32"/>
    </sheetView>
  </sheetViews>
  <sheetFormatPr defaultRowHeight="15" x14ac:dyDescent="0.25"/>
  <sheetData>
    <row r="1" spans="1:6" x14ac:dyDescent="0.25">
      <c r="A1" t="s">
        <v>133</v>
      </c>
      <c r="B1" t="s">
        <v>135</v>
      </c>
      <c r="F1" t="s">
        <v>134</v>
      </c>
    </row>
    <row r="2" spans="1:6" x14ac:dyDescent="0.25">
      <c r="A2">
        <v>1</v>
      </c>
      <c r="B2" t="s">
        <v>71</v>
      </c>
      <c r="C2" t="s">
        <v>72</v>
      </c>
      <c r="D2">
        <v>1</v>
      </c>
      <c r="E2">
        <v>0</v>
      </c>
      <c r="F2" t="s">
        <v>138</v>
      </c>
    </row>
    <row r="3" spans="1:6" x14ac:dyDescent="0.25">
      <c r="A3">
        <v>2</v>
      </c>
      <c r="B3" t="s">
        <v>73</v>
      </c>
      <c r="C3" t="s">
        <v>72</v>
      </c>
      <c r="D3">
        <v>1</v>
      </c>
      <c r="E3">
        <v>0</v>
      </c>
      <c r="F3" t="s">
        <v>139</v>
      </c>
    </row>
    <row r="4" spans="1:6" x14ac:dyDescent="0.25">
      <c r="A4">
        <v>3</v>
      </c>
      <c r="B4" t="s">
        <v>74</v>
      </c>
      <c r="C4" t="s">
        <v>72</v>
      </c>
      <c r="D4">
        <v>1</v>
      </c>
      <c r="E4">
        <v>0</v>
      </c>
      <c r="F4" t="s">
        <v>140</v>
      </c>
    </row>
    <row r="5" spans="1:6" x14ac:dyDescent="0.25">
      <c r="A5">
        <v>4</v>
      </c>
      <c r="B5" t="s">
        <v>75</v>
      </c>
      <c r="C5" t="s">
        <v>72</v>
      </c>
      <c r="D5">
        <v>0.5</v>
      </c>
      <c r="E5">
        <v>0</v>
      </c>
      <c r="F5" t="s">
        <v>141</v>
      </c>
    </row>
    <row r="6" spans="1:6" x14ac:dyDescent="0.25">
      <c r="A6">
        <v>5</v>
      </c>
      <c r="B6" t="s">
        <v>76</v>
      </c>
      <c r="C6" t="s">
        <v>72</v>
      </c>
      <c r="D6">
        <v>0.1</v>
      </c>
      <c r="E6">
        <v>0</v>
      </c>
      <c r="F6" t="s">
        <v>142</v>
      </c>
    </row>
    <row r="7" spans="1:6" x14ac:dyDescent="0.25">
      <c r="A7">
        <v>6</v>
      </c>
      <c r="B7" t="s">
        <v>77</v>
      </c>
      <c r="C7" t="s">
        <v>72</v>
      </c>
      <c r="D7">
        <v>1</v>
      </c>
      <c r="E7">
        <v>0</v>
      </c>
      <c r="F7" t="s">
        <v>188</v>
      </c>
    </row>
    <row r="8" spans="1:6" x14ac:dyDescent="0.25">
      <c r="A8">
        <v>7</v>
      </c>
      <c r="B8" t="s">
        <v>78</v>
      </c>
      <c r="C8" t="s">
        <v>72</v>
      </c>
      <c r="D8">
        <v>-21.977719252</v>
      </c>
      <c r="E8">
        <v>0</v>
      </c>
      <c r="F8" t="s">
        <v>143</v>
      </c>
    </row>
    <row r="9" spans="1:6" x14ac:dyDescent="0.25">
      <c r="A9">
        <v>8</v>
      </c>
      <c r="B9" t="s">
        <v>79</v>
      </c>
      <c r="C9" t="s">
        <v>72</v>
      </c>
      <c r="D9">
        <v>-1.4857940511400001</v>
      </c>
      <c r="E9">
        <v>0</v>
      </c>
      <c r="F9" t="s">
        <v>144</v>
      </c>
    </row>
    <row r="10" spans="1:6" x14ac:dyDescent="0.25">
      <c r="A10">
        <v>9</v>
      </c>
      <c r="B10" t="s">
        <v>80</v>
      </c>
      <c r="C10" t="s">
        <v>72</v>
      </c>
      <c r="D10">
        <v>-4.85028348146</v>
      </c>
      <c r="E10">
        <v>0</v>
      </c>
      <c r="F10" t="s">
        <v>145</v>
      </c>
    </row>
    <row r="11" spans="1:6" x14ac:dyDescent="0.25">
      <c r="A11">
        <v>10</v>
      </c>
      <c r="B11" t="s">
        <v>81</v>
      </c>
      <c r="C11" t="s">
        <v>72</v>
      </c>
      <c r="D11">
        <v>-15.3921330935</v>
      </c>
      <c r="E11">
        <v>0</v>
      </c>
      <c r="F11" t="s">
        <v>146</v>
      </c>
    </row>
    <row r="12" spans="1:6" x14ac:dyDescent="0.25">
      <c r="A12">
        <v>11</v>
      </c>
      <c r="B12" t="s">
        <v>82</v>
      </c>
      <c r="C12" t="s">
        <v>72</v>
      </c>
      <c r="D12">
        <v>-11.245247773539999</v>
      </c>
      <c r="E12">
        <v>0</v>
      </c>
      <c r="F12" t="s">
        <v>147</v>
      </c>
    </row>
    <row r="13" spans="1:6" x14ac:dyDescent="0.25">
      <c r="A13">
        <v>12</v>
      </c>
      <c r="B13" t="s">
        <v>83</v>
      </c>
      <c r="C13" t="s">
        <v>72</v>
      </c>
      <c r="D13">
        <v>-4.2752113423699996</v>
      </c>
      <c r="E13">
        <v>0</v>
      </c>
      <c r="F13" t="s">
        <v>148</v>
      </c>
    </row>
    <row r="14" spans="1:6" x14ac:dyDescent="0.25">
      <c r="A14">
        <v>13</v>
      </c>
      <c r="B14" t="s">
        <v>84</v>
      </c>
      <c r="C14" t="s">
        <v>72</v>
      </c>
      <c r="D14">
        <v>-6.5192578502799998</v>
      </c>
      <c r="E14">
        <v>0</v>
      </c>
      <c r="F14" t="s">
        <v>149</v>
      </c>
    </row>
    <row r="15" spans="1:6" x14ac:dyDescent="0.25">
      <c r="A15">
        <v>14</v>
      </c>
      <c r="B15" t="s">
        <v>85</v>
      </c>
      <c r="C15" t="s">
        <v>72</v>
      </c>
      <c r="D15">
        <v>-3.04866060786</v>
      </c>
      <c r="E15">
        <v>0</v>
      </c>
      <c r="F15" t="s">
        <v>150</v>
      </c>
    </row>
    <row r="16" spans="1:6" x14ac:dyDescent="0.25">
      <c r="A16">
        <v>15</v>
      </c>
      <c r="B16" t="s">
        <v>86</v>
      </c>
      <c r="C16" t="s">
        <v>72</v>
      </c>
      <c r="D16">
        <v>0</v>
      </c>
      <c r="E16">
        <v>0</v>
      </c>
      <c r="F16" t="s">
        <v>189</v>
      </c>
    </row>
    <row r="17" spans="1:6" x14ac:dyDescent="0.25">
      <c r="A17">
        <v>16</v>
      </c>
      <c r="B17" t="s">
        <v>87</v>
      </c>
      <c r="C17" t="s">
        <v>72</v>
      </c>
      <c r="D17">
        <v>-2.2084934246199999</v>
      </c>
      <c r="E17">
        <v>0</v>
      </c>
      <c r="F17" t="s">
        <v>190</v>
      </c>
    </row>
    <row r="18" spans="1:6" x14ac:dyDescent="0.25">
      <c r="A18">
        <v>17</v>
      </c>
      <c r="B18" t="s">
        <v>88</v>
      </c>
      <c r="C18" t="s">
        <v>72</v>
      </c>
      <c r="D18">
        <v>0</v>
      </c>
      <c r="E18">
        <v>0</v>
      </c>
      <c r="F18" t="s">
        <v>151</v>
      </c>
    </row>
    <row r="19" spans="1:6" x14ac:dyDescent="0.25">
      <c r="A19">
        <v>18</v>
      </c>
      <c r="B19" t="s">
        <v>89</v>
      </c>
      <c r="C19" t="s">
        <v>72</v>
      </c>
      <c r="D19">
        <v>0</v>
      </c>
      <c r="E19">
        <v>0</v>
      </c>
      <c r="F19" t="s">
        <v>152</v>
      </c>
    </row>
    <row r="20" spans="1:6" x14ac:dyDescent="0.25">
      <c r="A20">
        <v>19</v>
      </c>
      <c r="B20" t="s">
        <v>90</v>
      </c>
      <c r="C20" t="s">
        <v>72</v>
      </c>
      <c r="D20">
        <v>0</v>
      </c>
      <c r="E20">
        <v>0</v>
      </c>
      <c r="F20" t="s">
        <v>153</v>
      </c>
    </row>
    <row r="21" spans="1:6" x14ac:dyDescent="0.25">
      <c r="A21">
        <v>20</v>
      </c>
      <c r="B21" t="s">
        <v>91</v>
      </c>
      <c r="C21" t="s">
        <v>72</v>
      </c>
      <c r="D21">
        <v>0</v>
      </c>
      <c r="E21">
        <v>0</v>
      </c>
      <c r="F21" t="s">
        <v>154</v>
      </c>
    </row>
    <row r="22" spans="1:6" x14ac:dyDescent="0.25">
      <c r="A22">
        <v>21</v>
      </c>
      <c r="B22" t="s">
        <v>92</v>
      </c>
      <c r="C22" t="s">
        <v>72</v>
      </c>
      <c r="D22">
        <v>0</v>
      </c>
      <c r="E22">
        <v>0</v>
      </c>
      <c r="F22" t="s">
        <v>191</v>
      </c>
    </row>
    <row r="23" spans="1:6" x14ac:dyDescent="0.25">
      <c r="A23">
        <v>30</v>
      </c>
      <c r="B23" t="s">
        <v>93</v>
      </c>
      <c r="C23" t="s">
        <v>72</v>
      </c>
      <c r="D23">
        <v>0</v>
      </c>
      <c r="E23">
        <v>0</v>
      </c>
      <c r="F23" t="s">
        <v>155</v>
      </c>
    </row>
    <row r="24" spans="1:6" x14ac:dyDescent="0.25">
      <c r="A24">
        <v>31</v>
      </c>
      <c r="B24" t="s">
        <v>94</v>
      </c>
      <c r="C24" t="s">
        <v>72</v>
      </c>
      <c r="D24">
        <v>0</v>
      </c>
      <c r="E24">
        <v>0</v>
      </c>
      <c r="F24" t="s">
        <v>156</v>
      </c>
    </row>
    <row r="25" spans="1:6" x14ac:dyDescent="0.25">
      <c r="A25">
        <v>32</v>
      </c>
      <c r="B25" t="s">
        <v>95</v>
      </c>
      <c r="C25" t="s">
        <v>72</v>
      </c>
      <c r="D25">
        <v>0</v>
      </c>
      <c r="E25">
        <v>0</v>
      </c>
      <c r="F25" t="s">
        <v>157</v>
      </c>
    </row>
    <row r="26" spans="1:6" x14ac:dyDescent="0.25">
      <c r="A26">
        <v>33</v>
      </c>
      <c r="B26" t="s">
        <v>96</v>
      </c>
      <c r="C26" t="s">
        <v>72</v>
      </c>
      <c r="D26">
        <v>0.20475756801299999</v>
      </c>
      <c r="E26">
        <v>0</v>
      </c>
      <c r="F26" t="s">
        <v>158</v>
      </c>
    </row>
    <row r="27" spans="1:6" x14ac:dyDescent="0.25">
      <c r="A27">
        <v>34</v>
      </c>
      <c r="B27" t="s">
        <v>97</v>
      </c>
      <c r="C27" t="s">
        <v>72</v>
      </c>
      <c r="D27">
        <v>0.73914409694299998</v>
      </c>
      <c r="E27">
        <v>0</v>
      </c>
      <c r="F27" t="s">
        <v>159</v>
      </c>
    </row>
    <row r="28" spans="1:6" x14ac:dyDescent="0.25">
      <c r="A28">
        <v>35</v>
      </c>
      <c r="B28" t="s">
        <v>98</v>
      </c>
      <c r="C28" t="s">
        <v>72</v>
      </c>
      <c r="D28">
        <v>0.91950533972299997</v>
      </c>
      <c r="E28">
        <v>0</v>
      </c>
      <c r="F28" t="s">
        <v>160</v>
      </c>
    </row>
    <row r="29" spans="1:6" x14ac:dyDescent="0.25">
      <c r="A29">
        <v>36</v>
      </c>
      <c r="B29" t="s">
        <v>99</v>
      </c>
      <c r="C29" t="s">
        <v>72</v>
      </c>
      <c r="D29">
        <v>0</v>
      </c>
      <c r="E29">
        <v>0</v>
      </c>
      <c r="F29" t="s">
        <v>161</v>
      </c>
    </row>
    <row r="30" spans="1:6" x14ac:dyDescent="0.25">
      <c r="A30">
        <v>37</v>
      </c>
      <c r="B30" t="s">
        <v>100</v>
      </c>
      <c r="C30" t="s">
        <v>72</v>
      </c>
      <c r="D30">
        <v>0.47967991030399998</v>
      </c>
      <c r="E30">
        <v>0</v>
      </c>
      <c r="F30" t="s">
        <v>162</v>
      </c>
    </row>
    <row r="31" spans="1:6" x14ac:dyDescent="0.25">
      <c r="A31">
        <v>38</v>
      </c>
      <c r="B31" t="s">
        <v>101</v>
      </c>
      <c r="C31" t="s">
        <v>72</v>
      </c>
      <c r="D31">
        <v>-0.117361085083</v>
      </c>
      <c r="E31">
        <v>0</v>
      </c>
      <c r="F31" t="s">
        <v>163</v>
      </c>
    </row>
    <row r="32" spans="1:6" x14ac:dyDescent="0.25">
      <c r="A32">
        <v>50</v>
      </c>
      <c r="B32" t="s">
        <v>102</v>
      </c>
      <c r="C32" t="s">
        <v>103</v>
      </c>
      <c r="D32">
        <v>-49.658779198200001</v>
      </c>
      <c r="E32">
        <v>33.148214292299997</v>
      </c>
      <c r="F32">
        <v>1</v>
      </c>
    </row>
    <row r="33" spans="1:6" x14ac:dyDescent="0.25">
      <c r="A33">
        <v>51</v>
      </c>
      <c r="B33" t="s">
        <v>104</v>
      </c>
      <c r="C33" t="s">
        <v>103</v>
      </c>
      <c r="D33">
        <v>17.602734273900001</v>
      </c>
      <c r="E33">
        <v>9.4985609110600002</v>
      </c>
      <c r="F33" t="s">
        <v>136</v>
      </c>
    </row>
    <row r="34" spans="1:6" x14ac:dyDescent="0.25">
      <c r="A34">
        <v>52</v>
      </c>
      <c r="B34" t="s">
        <v>105</v>
      </c>
      <c r="C34" t="s">
        <v>103</v>
      </c>
      <c r="D34">
        <v>4.20952630757</v>
      </c>
      <c r="E34">
        <v>2.7008716882299999</v>
      </c>
      <c r="F34" t="s">
        <v>137</v>
      </c>
    </row>
    <row r="35" spans="1:6" x14ac:dyDescent="0.25">
      <c r="A35">
        <v>60</v>
      </c>
      <c r="B35" t="s">
        <v>106</v>
      </c>
      <c r="C35" t="s">
        <v>72</v>
      </c>
      <c r="D35">
        <v>0.20359321296800001</v>
      </c>
      <c r="E35">
        <v>0</v>
      </c>
    </row>
    <row r="36" spans="1:6" x14ac:dyDescent="0.25">
      <c r="A36">
        <v>61</v>
      </c>
      <c r="B36" t="s">
        <v>107</v>
      </c>
      <c r="C36" t="s">
        <v>72</v>
      </c>
      <c r="D36">
        <v>-3.7139025588600001</v>
      </c>
      <c r="E36">
        <v>0</v>
      </c>
      <c r="F36" t="s">
        <v>164</v>
      </c>
    </row>
    <row r="37" spans="1:6" x14ac:dyDescent="0.25">
      <c r="A37">
        <v>62</v>
      </c>
      <c r="B37" t="s">
        <v>108</v>
      </c>
      <c r="C37" t="s">
        <v>72</v>
      </c>
      <c r="D37">
        <v>-14.9292134206</v>
      </c>
      <c r="E37">
        <v>0</v>
      </c>
      <c r="F37" t="s">
        <v>165</v>
      </c>
    </row>
    <row r="38" spans="1:6" x14ac:dyDescent="0.25">
      <c r="A38">
        <v>63</v>
      </c>
      <c r="B38" t="s">
        <v>109</v>
      </c>
      <c r="C38" t="s">
        <v>72</v>
      </c>
      <c r="D38">
        <v>-18.363643827400001</v>
      </c>
      <c r="E38">
        <v>0</v>
      </c>
      <c r="F38" t="s">
        <v>166</v>
      </c>
    </row>
    <row r="39" spans="1:6" x14ac:dyDescent="0.25">
      <c r="A39">
        <v>64</v>
      </c>
      <c r="B39" t="s">
        <v>110</v>
      </c>
      <c r="C39" t="s">
        <v>72</v>
      </c>
      <c r="D39">
        <v>-19.6107408341</v>
      </c>
      <c r="E39">
        <v>0</v>
      </c>
      <c r="F39" t="s">
        <v>167</v>
      </c>
    </row>
    <row r="40" spans="1:6" x14ac:dyDescent="0.25">
      <c r="A40">
        <v>65</v>
      </c>
      <c r="B40" t="s">
        <v>111</v>
      </c>
      <c r="C40" t="s">
        <v>72</v>
      </c>
      <c r="D40">
        <v>-29.386377866</v>
      </c>
      <c r="E40">
        <v>0</v>
      </c>
      <c r="F40" t="s">
        <v>168</v>
      </c>
    </row>
    <row r="41" spans="1:6" x14ac:dyDescent="0.25">
      <c r="A41">
        <v>66</v>
      </c>
      <c r="B41" t="s">
        <v>112</v>
      </c>
      <c r="C41" t="s">
        <v>72</v>
      </c>
      <c r="D41">
        <v>0</v>
      </c>
      <c r="E41">
        <v>0</v>
      </c>
      <c r="F41" t="s">
        <v>169</v>
      </c>
    </row>
    <row r="42" spans="1:6" x14ac:dyDescent="0.25">
      <c r="A42">
        <v>67</v>
      </c>
      <c r="B42" t="s">
        <v>113</v>
      </c>
      <c r="C42" t="s">
        <v>72</v>
      </c>
      <c r="D42">
        <v>-6.7290240321499999</v>
      </c>
      <c r="E42">
        <v>0</v>
      </c>
      <c r="F42" t="s">
        <v>170</v>
      </c>
    </row>
    <row r="43" spans="1:6" x14ac:dyDescent="0.25">
      <c r="A43">
        <v>68</v>
      </c>
      <c r="B43" t="s">
        <v>114</v>
      </c>
      <c r="C43" t="s">
        <v>72</v>
      </c>
      <c r="D43">
        <v>-26.1597322567</v>
      </c>
      <c r="E43">
        <v>0</v>
      </c>
      <c r="F43" t="s">
        <v>171</v>
      </c>
    </row>
    <row r="44" spans="1:6" x14ac:dyDescent="0.25">
      <c r="A44">
        <v>69</v>
      </c>
      <c r="B44" t="s">
        <v>115</v>
      </c>
      <c r="C44" t="s">
        <v>72</v>
      </c>
      <c r="D44">
        <v>-0.14966845132199999</v>
      </c>
      <c r="E44">
        <v>0</v>
      </c>
      <c r="F44" t="s">
        <v>172</v>
      </c>
    </row>
    <row r="45" spans="1:6" x14ac:dyDescent="0.25">
      <c r="A45">
        <v>70</v>
      </c>
      <c r="B45" t="s">
        <v>116</v>
      </c>
      <c r="C45" t="s">
        <v>72</v>
      </c>
      <c r="D45">
        <v>-28.815960729</v>
      </c>
      <c r="E45">
        <v>0</v>
      </c>
      <c r="F45" t="s">
        <v>173</v>
      </c>
    </row>
    <row r="46" spans="1:6" x14ac:dyDescent="0.25">
      <c r="A46">
        <v>71</v>
      </c>
      <c r="B46" t="s">
        <v>117</v>
      </c>
      <c r="C46" t="s">
        <v>72</v>
      </c>
      <c r="D46">
        <v>-38.204969650199999</v>
      </c>
      <c r="E46">
        <v>0</v>
      </c>
      <c r="F46" t="s">
        <v>174</v>
      </c>
    </row>
    <row r="47" spans="1:6" x14ac:dyDescent="0.25">
      <c r="A47">
        <v>72</v>
      </c>
      <c r="B47" t="s">
        <v>118</v>
      </c>
      <c r="C47" t="s">
        <v>72</v>
      </c>
      <c r="D47">
        <v>0</v>
      </c>
      <c r="E47">
        <v>0</v>
      </c>
      <c r="F47" t="s">
        <v>175</v>
      </c>
    </row>
    <row r="48" spans="1:6" x14ac:dyDescent="0.25">
      <c r="A48">
        <v>73</v>
      </c>
      <c r="B48" t="s">
        <v>119</v>
      </c>
      <c r="C48" t="s">
        <v>72</v>
      </c>
      <c r="D48">
        <v>-0.78460574570499997</v>
      </c>
      <c r="E48">
        <v>0</v>
      </c>
      <c r="F48" t="s">
        <v>176</v>
      </c>
    </row>
    <row r="49" spans="1:6" x14ac:dyDescent="0.25">
      <c r="A49">
        <v>74</v>
      </c>
      <c r="B49" t="s">
        <v>120</v>
      </c>
      <c r="C49" t="s">
        <v>72</v>
      </c>
      <c r="D49">
        <v>-60</v>
      </c>
      <c r="E49">
        <v>0</v>
      </c>
      <c r="F49" t="s">
        <v>177</v>
      </c>
    </row>
    <row r="50" spans="1:6" x14ac:dyDescent="0.25">
      <c r="A50">
        <v>75</v>
      </c>
      <c r="B50" t="s">
        <v>121</v>
      </c>
      <c r="C50" t="s">
        <v>72</v>
      </c>
      <c r="D50">
        <v>-40</v>
      </c>
      <c r="E50">
        <v>0</v>
      </c>
      <c r="F50" t="s">
        <v>178</v>
      </c>
    </row>
    <row r="51" spans="1:6" x14ac:dyDescent="0.25">
      <c r="A51">
        <v>76</v>
      </c>
      <c r="B51" t="s">
        <v>122</v>
      </c>
      <c r="C51" t="s">
        <v>72</v>
      </c>
      <c r="D51">
        <v>-19.3366724551</v>
      </c>
      <c r="E51">
        <v>0</v>
      </c>
      <c r="F51" t="s">
        <v>179</v>
      </c>
    </row>
    <row r="52" spans="1:6" x14ac:dyDescent="0.25">
      <c r="A52">
        <v>77</v>
      </c>
      <c r="B52" t="s">
        <v>123</v>
      </c>
      <c r="C52" t="s">
        <v>72</v>
      </c>
      <c r="D52">
        <v>-29.8899113495</v>
      </c>
      <c r="E52">
        <v>0</v>
      </c>
      <c r="F52" t="s">
        <v>180</v>
      </c>
    </row>
    <row r="53" spans="1:6" x14ac:dyDescent="0.25">
      <c r="A53">
        <v>78</v>
      </c>
      <c r="B53" t="s">
        <v>124</v>
      </c>
      <c r="C53" t="s">
        <v>72</v>
      </c>
      <c r="D53">
        <v>0</v>
      </c>
      <c r="E53">
        <v>0</v>
      </c>
      <c r="F53" t="s">
        <v>181</v>
      </c>
    </row>
    <row r="54" spans="1:6" x14ac:dyDescent="0.25">
      <c r="A54">
        <v>79</v>
      </c>
      <c r="B54" t="s">
        <v>125</v>
      </c>
      <c r="C54" t="s">
        <v>72</v>
      </c>
      <c r="D54">
        <v>-4.6085602533700003</v>
      </c>
      <c r="E54">
        <v>0</v>
      </c>
      <c r="F54" t="s">
        <v>182</v>
      </c>
    </row>
    <row r="55" spans="1:6" x14ac:dyDescent="0.25">
      <c r="A55">
        <v>80</v>
      </c>
      <c r="B55" t="s">
        <v>126</v>
      </c>
      <c r="C55" t="s">
        <v>72</v>
      </c>
      <c r="D55">
        <v>-20</v>
      </c>
      <c r="E55">
        <v>0</v>
      </c>
      <c r="F55" t="s">
        <v>183</v>
      </c>
    </row>
    <row r="56" spans="1:6" x14ac:dyDescent="0.25">
      <c r="A56">
        <v>81</v>
      </c>
      <c r="B56" t="s">
        <v>127</v>
      </c>
      <c r="C56" t="s">
        <v>72</v>
      </c>
      <c r="D56">
        <v>-16.8297323695</v>
      </c>
      <c r="E56">
        <v>0</v>
      </c>
      <c r="F56" t="s">
        <v>184</v>
      </c>
    </row>
    <row r="57" spans="1:6" x14ac:dyDescent="0.25">
      <c r="A57">
        <v>82</v>
      </c>
      <c r="B57" t="s">
        <v>128</v>
      </c>
      <c r="C57" t="s">
        <v>72</v>
      </c>
      <c r="D57">
        <v>-30</v>
      </c>
      <c r="E57">
        <v>0</v>
      </c>
      <c r="F57" t="s">
        <v>185</v>
      </c>
    </row>
    <row r="58" spans="1:6" x14ac:dyDescent="0.25">
      <c r="A58">
        <v>83</v>
      </c>
      <c r="B58" t="s">
        <v>129</v>
      </c>
      <c r="C58" t="s">
        <v>72</v>
      </c>
      <c r="D58">
        <v>0</v>
      </c>
      <c r="E58">
        <v>0</v>
      </c>
      <c r="F58" t="s">
        <v>186</v>
      </c>
    </row>
    <row r="59" spans="1:6" x14ac:dyDescent="0.25">
      <c r="A59">
        <v>84</v>
      </c>
      <c r="B59" t="s">
        <v>130</v>
      </c>
      <c r="C59" t="s">
        <v>72</v>
      </c>
      <c r="D59">
        <v>-3.8243167264700002</v>
      </c>
      <c r="E59">
        <v>0</v>
      </c>
      <c r="F59" t="s">
        <v>187</v>
      </c>
    </row>
    <row r="60" spans="1:6" x14ac:dyDescent="0.25">
      <c r="A60">
        <v>98</v>
      </c>
      <c r="B60" t="s">
        <v>131</v>
      </c>
      <c r="C60" t="s">
        <v>72</v>
      </c>
      <c r="D60">
        <v>0</v>
      </c>
      <c r="E60">
        <v>0</v>
      </c>
      <c r="F60">
        <v>100</v>
      </c>
    </row>
    <row r="61" spans="1:6" x14ac:dyDescent="0.25">
      <c r="A61">
        <v>99</v>
      </c>
      <c r="B61" t="s">
        <v>132</v>
      </c>
      <c r="C61" t="s">
        <v>103</v>
      </c>
      <c r="D61">
        <v>0.11248071060500001</v>
      </c>
      <c r="E61" s="54">
        <v>6.8437874180799996E-2</v>
      </c>
    </row>
  </sheetData>
  <pageMargins bottom="0.75" footer="0.3" header="0.3" left="0.7" right="0.7" top="0.75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250"/>
  <sheetViews>
    <sheetView workbookViewId="0">
      <selection activeCell="A8" sqref="A8:K250"/>
    </sheetView>
  </sheetViews>
  <sheetFormatPr defaultRowHeight="15" x14ac:dyDescent="0.25"/>
  <sheetData>
    <row r="1" spans="1:10" x14ac:dyDescent="0.25">
      <c r="A1" s="55" t="s">
        <v>201</v>
      </c>
    </row>
    <row r="2" spans="1:10" x14ac:dyDescent="0.25">
      <c r="A2">
        <v>1</v>
      </c>
      <c r="B2" t="s">
        <v>202</v>
      </c>
    </row>
    <row r="3" spans="1:10" x14ac:dyDescent="0.25">
      <c r="A3">
        <v>2</v>
      </c>
      <c r="B3" t="s">
        <v>203</v>
      </c>
    </row>
    <row r="4" spans="1:10" x14ac:dyDescent="0.25">
      <c r="A4">
        <v>3</v>
      </c>
      <c r="B4" t="s">
        <v>204</v>
      </c>
    </row>
    <row r="5" spans="1:10" x14ac:dyDescent="0.25">
      <c r="A5">
        <v>4</v>
      </c>
      <c r="B5" t="s">
        <v>205</v>
      </c>
    </row>
    <row r="8" spans="1:10" x14ac:dyDescent="0.25">
      <c r="A8" t="s">
        <v>206</v>
      </c>
      <c r="B8" t="s">
        <v>207</v>
      </c>
      <c r="C8" t="s">
        <v>208</v>
      </c>
      <c r="D8" t="s">
        <v>209</v>
      </c>
      <c r="E8" t="s">
        <v>210</v>
      </c>
      <c r="F8" t="s">
        <v>211</v>
      </c>
      <c r="G8" t="s">
        <v>212</v>
      </c>
      <c r="H8" t="s">
        <v>213</v>
      </c>
    </row>
    <row r="9" spans="1:10" x14ac:dyDescent="0.25">
      <c r="A9" t="s">
        <v>214</v>
      </c>
      <c r="B9" t="s">
        <v>215</v>
      </c>
      <c r="C9" t="s">
        <v>216</v>
      </c>
      <c r="D9" t="s">
        <v>217</v>
      </c>
      <c r="E9">
        <v>4</v>
      </c>
      <c r="F9" s="56">
        <v>0.50597222222222216</v>
      </c>
      <c r="G9" t="s">
        <v>218</v>
      </c>
      <c r="H9">
        <v>29</v>
      </c>
      <c r="I9" t="s">
        <v>219</v>
      </c>
      <c r="J9">
        <v>12</v>
      </c>
    </row>
    <row r="10" spans="1:10" x14ac:dyDescent="0.25">
      <c r="A10" t="s">
        <v>220</v>
      </c>
    </row>
    <row r="11" spans="1:10" x14ac:dyDescent="0.25">
      <c r="B11">
        <v>1</v>
      </c>
      <c r="C11" t="s">
        <v>71</v>
      </c>
      <c r="D11" t="s">
        <v>72</v>
      </c>
      <c r="E11">
        <v>1</v>
      </c>
      <c r="F11">
        <v>0</v>
      </c>
    </row>
    <row r="12" spans="1:10" x14ac:dyDescent="0.25">
      <c r="B12">
        <v>2</v>
      </c>
      <c r="C12" t="s">
        <v>73</v>
      </c>
      <c r="D12" t="s">
        <v>72</v>
      </c>
      <c r="E12">
        <v>1</v>
      </c>
      <c r="F12">
        <v>0</v>
      </c>
    </row>
    <row r="13" spans="1:10" x14ac:dyDescent="0.25">
      <c r="B13">
        <v>3</v>
      </c>
      <c r="C13" t="s">
        <v>74</v>
      </c>
      <c r="D13" t="s">
        <v>72</v>
      </c>
      <c r="E13">
        <v>1</v>
      </c>
      <c r="F13">
        <v>0</v>
      </c>
    </row>
    <row r="14" spans="1:10" x14ac:dyDescent="0.25">
      <c r="B14">
        <v>4</v>
      </c>
      <c r="C14" t="s">
        <v>75</v>
      </c>
      <c r="D14" t="s">
        <v>72</v>
      </c>
      <c r="E14">
        <v>0.5</v>
      </c>
      <c r="F14">
        <v>0</v>
      </c>
    </row>
    <row r="15" spans="1:10" x14ac:dyDescent="0.25">
      <c r="B15">
        <v>5</v>
      </c>
      <c r="C15" t="s">
        <v>76</v>
      </c>
      <c r="D15" t="s">
        <v>72</v>
      </c>
      <c r="E15">
        <v>0.1</v>
      </c>
      <c r="F15">
        <v>0</v>
      </c>
    </row>
    <row r="16" spans="1:10" x14ac:dyDescent="0.25">
      <c r="B16">
        <v>6</v>
      </c>
      <c r="C16" t="s">
        <v>77</v>
      </c>
      <c r="D16" t="s">
        <v>72</v>
      </c>
      <c r="E16">
        <v>1</v>
      </c>
      <c r="F16">
        <v>0</v>
      </c>
    </row>
    <row r="17" spans="2:6" x14ac:dyDescent="0.25">
      <c r="B17">
        <v>7</v>
      </c>
      <c r="C17" t="s">
        <v>78</v>
      </c>
      <c r="D17" t="s">
        <v>72</v>
      </c>
      <c r="E17">
        <v>-21.977719252</v>
      </c>
      <c r="F17">
        <v>0</v>
      </c>
    </row>
    <row r="18" spans="2:6" x14ac:dyDescent="0.25">
      <c r="B18">
        <v>8</v>
      </c>
      <c r="C18" t="s">
        <v>79</v>
      </c>
      <c r="D18" t="s">
        <v>72</v>
      </c>
      <c r="E18">
        <v>-1.4857940511400001</v>
      </c>
      <c r="F18">
        <v>0</v>
      </c>
    </row>
    <row r="19" spans="2:6" x14ac:dyDescent="0.25">
      <c r="B19">
        <v>9</v>
      </c>
      <c r="C19" t="s">
        <v>80</v>
      </c>
      <c r="D19" t="s">
        <v>72</v>
      </c>
      <c r="E19">
        <v>-4.85028348146</v>
      </c>
      <c r="F19">
        <v>0</v>
      </c>
    </row>
    <row r="20" spans="2:6" x14ac:dyDescent="0.25">
      <c r="B20">
        <v>10</v>
      </c>
      <c r="C20" t="s">
        <v>81</v>
      </c>
      <c r="D20" t="s">
        <v>72</v>
      </c>
      <c r="E20">
        <v>-15.3921330935</v>
      </c>
      <c r="F20">
        <v>0</v>
      </c>
    </row>
    <row r="21" spans="2:6" x14ac:dyDescent="0.25">
      <c r="B21">
        <v>11</v>
      </c>
      <c r="C21" t="s">
        <v>82</v>
      </c>
      <c r="D21" t="s">
        <v>72</v>
      </c>
      <c r="E21">
        <v>-9.7518039976427993</v>
      </c>
      <c r="F21">
        <v>0</v>
      </c>
    </row>
    <row r="22" spans="2:6" x14ac:dyDescent="0.25">
      <c r="B22">
        <v>12</v>
      </c>
      <c r="C22" t="s">
        <v>83</v>
      </c>
      <c r="D22" t="s">
        <v>72</v>
      </c>
      <c r="E22">
        <v>-1.0599160072038001</v>
      </c>
      <c r="F22">
        <v>0</v>
      </c>
    </row>
    <row r="23" spans="2:6" x14ac:dyDescent="0.25">
      <c r="B23">
        <v>13</v>
      </c>
      <c r="C23" t="s">
        <v>84</v>
      </c>
      <c r="D23" t="s">
        <v>72</v>
      </c>
      <c r="E23">
        <v>-6.5192578502799998</v>
      </c>
      <c r="F23">
        <v>0</v>
      </c>
    </row>
    <row r="24" spans="2:6" x14ac:dyDescent="0.25">
      <c r="B24">
        <v>14</v>
      </c>
      <c r="C24" t="s">
        <v>85</v>
      </c>
      <c r="D24" t="s">
        <v>72</v>
      </c>
      <c r="E24">
        <v>-3.04866060786</v>
      </c>
      <c r="F24">
        <v>0</v>
      </c>
    </row>
    <row r="25" spans="2:6" x14ac:dyDescent="0.25">
      <c r="B25">
        <v>15</v>
      </c>
      <c r="C25" t="s">
        <v>86</v>
      </c>
      <c r="D25" t="s">
        <v>72</v>
      </c>
      <c r="E25">
        <v>0</v>
      </c>
      <c r="F25">
        <v>0</v>
      </c>
    </row>
    <row r="26" spans="2:6" x14ac:dyDescent="0.25">
      <c r="B26">
        <v>16</v>
      </c>
      <c r="C26" t="s">
        <v>87</v>
      </c>
      <c r="D26" t="s">
        <v>72</v>
      </c>
      <c r="E26">
        <v>-2.2084934246199999</v>
      </c>
      <c r="F26">
        <v>0</v>
      </c>
    </row>
    <row r="27" spans="2:6" x14ac:dyDescent="0.25">
      <c r="B27">
        <v>17</v>
      </c>
      <c r="C27" t="s">
        <v>88</v>
      </c>
      <c r="D27" t="s">
        <v>72</v>
      </c>
      <c r="E27">
        <v>0</v>
      </c>
      <c r="F27">
        <v>0</v>
      </c>
    </row>
    <row r="28" spans="2:6" x14ac:dyDescent="0.25">
      <c r="B28">
        <v>18</v>
      </c>
      <c r="C28" t="s">
        <v>89</v>
      </c>
      <c r="D28" t="s">
        <v>72</v>
      </c>
      <c r="E28">
        <v>0</v>
      </c>
      <c r="F28">
        <v>0</v>
      </c>
    </row>
    <row r="29" spans="2:6" x14ac:dyDescent="0.25">
      <c r="B29">
        <v>19</v>
      </c>
      <c r="C29" t="s">
        <v>90</v>
      </c>
      <c r="D29" t="s">
        <v>72</v>
      </c>
      <c r="E29">
        <v>0</v>
      </c>
      <c r="F29">
        <v>0</v>
      </c>
    </row>
    <row r="30" spans="2:6" x14ac:dyDescent="0.25">
      <c r="B30">
        <v>20</v>
      </c>
      <c r="C30" t="s">
        <v>91</v>
      </c>
      <c r="D30" t="s">
        <v>72</v>
      </c>
      <c r="E30">
        <v>0</v>
      </c>
      <c r="F30">
        <v>0</v>
      </c>
    </row>
    <row r="31" spans="2:6" x14ac:dyDescent="0.25">
      <c r="B31">
        <v>21</v>
      </c>
      <c r="C31" t="s">
        <v>92</v>
      </c>
      <c r="D31" t="s">
        <v>72</v>
      </c>
      <c r="E31">
        <v>0</v>
      </c>
      <c r="F31">
        <v>0</v>
      </c>
    </row>
    <row r="32" spans="2:6" x14ac:dyDescent="0.25">
      <c r="B32">
        <v>30</v>
      </c>
      <c r="C32" t="s">
        <v>93</v>
      </c>
      <c r="D32" t="s">
        <v>72</v>
      </c>
      <c r="E32">
        <v>0</v>
      </c>
      <c r="F32">
        <v>0</v>
      </c>
    </row>
    <row r="33" spans="2:6" x14ac:dyDescent="0.25">
      <c r="B33">
        <v>31</v>
      </c>
      <c r="C33" t="s">
        <v>94</v>
      </c>
      <c r="D33" t="s">
        <v>72</v>
      </c>
      <c r="E33">
        <v>0</v>
      </c>
      <c r="F33">
        <v>0</v>
      </c>
    </row>
    <row r="34" spans="2:6" x14ac:dyDescent="0.25">
      <c r="B34">
        <v>32</v>
      </c>
      <c r="C34" t="s">
        <v>95</v>
      </c>
      <c r="D34" t="s">
        <v>72</v>
      </c>
      <c r="E34">
        <v>0</v>
      </c>
      <c r="F34">
        <v>0</v>
      </c>
    </row>
    <row r="35" spans="2:6" x14ac:dyDescent="0.25">
      <c r="B35">
        <v>33</v>
      </c>
      <c r="C35" t="s">
        <v>96</v>
      </c>
      <c r="D35" t="s">
        <v>72</v>
      </c>
      <c r="E35">
        <v>0.20475756801299999</v>
      </c>
      <c r="F35">
        <v>0</v>
      </c>
    </row>
    <row r="36" spans="2:6" x14ac:dyDescent="0.25">
      <c r="B36">
        <v>34</v>
      </c>
      <c r="C36" t="s">
        <v>97</v>
      </c>
      <c r="D36" t="s">
        <v>72</v>
      </c>
      <c r="E36">
        <v>0.73914409694299998</v>
      </c>
      <c r="F36">
        <v>0</v>
      </c>
    </row>
    <row r="37" spans="2:6" x14ac:dyDescent="0.25">
      <c r="B37">
        <v>35</v>
      </c>
      <c r="C37" t="s">
        <v>98</v>
      </c>
      <c r="D37" t="s">
        <v>72</v>
      </c>
      <c r="E37">
        <v>0.91950533972299997</v>
      </c>
      <c r="F37">
        <v>0</v>
      </c>
    </row>
    <row r="38" spans="2:6" x14ac:dyDescent="0.25">
      <c r="B38">
        <v>36</v>
      </c>
      <c r="C38" t="s">
        <v>99</v>
      </c>
      <c r="D38" t="s">
        <v>72</v>
      </c>
      <c r="E38">
        <v>0</v>
      </c>
      <c r="F38">
        <v>0</v>
      </c>
    </row>
    <row r="39" spans="2:6" x14ac:dyDescent="0.25">
      <c r="B39">
        <v>37</v>
      </c>
      <c r="C39" t="s">
        <v>100</v>
      </c>
      <c r="D39" t="s">
        <v>72</v>
      </c>
      <c r="E39">
        <v>0.47967991030399998</v>
      </c>
      <c r="F39">
        <v>0</v>
      </c>
    </row>
    <row r="40" spans="2:6" x14ac:dyDescent="0.25">
      <c r="B40">
        <v>38</v>
      </c>
      <c r="C40" t="s">
        <v>101</v>
      </c>
      <c r="D40" t="s">
        <v>72</v>
      </c>
      <c r="E40">
        <v>-0.117361085083</v>
      </c>
      <c r="F40">
        <v>0</v>
      </c>
    </row>
    <row r="41" spans="2:6" x14ac:dyDescent="0.25">
      <c r="B41">
        <v>50</v>
      </c>
      <c r="C41" t="s">
        <v>102</v>
      </c>
      <c r="D41" t="s">
        <v>103</v>
      </c>
      <c r="E41">
        <v>-52.496387392000003</v>
      </c>
      <c r="F41">
        <v>33.148214292299997</v>
      </c>
    </row>
    <row r="42" spans="2:6" x14ac:dyDescent="0.25">
      <c r="B42">
        <v>51</v>
      </c>
      <c r="C42" t="s">
        <v>104</v>
      </c>
      <c r="D42" t="s">
        <v>103</v>
      </c>
      <c r="E42">
        <v>17.602734273900001</v>
      </c>
      <c r="F42">
        <v>9.4985609110600002</v>
      </c>
    </row>
    <row r="43" spans="2:6" x14ac:dyDescent="0.25">
      <c r="B43">
        <v>52</v>
      </c>
      <c r="C43" t="s">
        <v>105</v>
      </c>
      <c r="D43" t="s">
        <v>103</v>
      </c>
      <c r="E43">
        <v>4.20952630757</v>
      </c>
      <c r="F43">
        <v>2.7008716882299999</v>
      </c>
    </row>
    <row r="44" spans="2:6" x14ac:dyDescent="0.25">
      <c r="B44">
        <v>60</v>
      </c>
      <c r="C44" t="s">
        <v>106</v>
      </c>
      <c r="D44" t="s">
        <v>72</v>
      </c>
      <c r="E44">
        <v>0.20359321296800001</v>
      </c>
      <c r="F44">
        <v>0</v>
      </c>
    </row>
    <row r="45" spans="2:6" x14ac:dyDescent="0.25">
      <c r="B45">
        <v>61</v>
      </c>
      <c r="C45" t="s">
        <v>107</v>
      </c>
      <c r="D45" t="s">
        <v>72</v>
      </c>
      <c r="E45">
        <v>-3.7139025588600001</v>
      </c>
      <c r="F45">
        <v>0</v>
      </c>
    </row>
    <row r="46" spans="2:6" x14ac:dyDescent="0.25">
      <c r="B46">
        <v>62</v>
      </c>
      <c r="C46" t="s">
        <v>108</v>
      </c>
      <c r="D46" t="s">
        <v>72</v>
      </c>
      <c r="E46">
        <v>-14.9292134206</v>
      </c>
      <c r="F46">
        <v>0</v>
      </c>
    </row>
    <row r="47" spans="2:6" x14ac:dyDescent="0.25">
      <c r="B47">
        <v>63</v>
      </c>
      <c r="C47" t="s">
        <v>109</v>
      </c>
      <c r="D47" t="s">
        <v>72</v>
      </c>
      <c r="E47">
        <v>-18.363643827400001</v>
      </c>
      <c r="F47">
        <v>0</v>
      </c>
    </row>
    <row r="48" spans="2:6" x14ac:dyDescent="0.25">
      <c r="B48">
        <v>64</v>
      </c>
      <c r="C48" t="s">
        <v>110</v>
      </c>
      <c r="D48" t="s">
        <v>72</v>
      </c>
      <c r="E48">
        <v>-19.6107408341</v>
      </c>
      <c r="F48">
        <v>0</v>
      </c>
    </row>
    <row r="49" spans="2:6" x14ac:dyDescent="0.25">
      <c r="B49">
        <v>65</v>
      </c>
      <c r="C49" t="s">
        <v>111</v>
      </c>
      <c r="D49" t="s">
        <v>72</v>
      </c>
      <c r="E49">
        <v>-29.386377866</v>
      </c>
      <c r="F49">
        <v>0</v>
      </c>
    </row>
    <row r="50" spans="2:6" x14ac:dyDescent="0.25">
      <c r="B50">
        <v>66</v>
      </c>
      <c r="C50" t="s">
        <v>112</v>
      </c>
      <c r="D50" t="s">
        <v>72</v>
      </c>
      <c r="E50">
        <v>0</v>
      </c>
      <c r="F50">
        <v>0</v>
      </c>
    </row>
    <row r="51" spans="2:6" x14ac:dyDescent="0.25">
      <c r="B51">
        <v>67</v>
      </c>
      <c r="C51" t="s">
        <v>113</v>
      </c>
      <c r="D51" t="s">
        <v>72</v>
      </c>
      <c r="E51">
        <v>-6.7290240321499999</v>
      </c>
      <c r="F51">
        <v>0</v>
      </c>
    </row>
    <row r="52" spans="2:6" x14ac:dyDescent="0.25">
      <c r="B52">
        <v>68</v>
      </c>
      <c r="C52" t="s">
        <v>114</v>
      </c>
      <c r="D52" t="s">
        <v>72</v>
      </c>
      <c r="E52">
        <v>-26.1597322567</v>
      </c>
      <c r="F52">
        <v>0</v>
      </c>
    </row>
    <row r="53" spans="2:6" x14ac:dyDescent="0.25">
      <c r="B53">
        <v>69</v>
      </c>
      <c r="C53" t="s">
        <v>115</v>
      </c>
      <c r="D53" t="s">
        <v>72</v>
      </c>
      <c r="E53">
        <v>-0.14966845132199999</v>
      </c>
      <c r="F53">
        <v>0</v>
      </c>
    </row>
    <row r="54" spans="2:6" x14ac:dyDescent="0.25">
      <c r="B54">
        <v>70</v>
      </c>
      <c r="C54" t="s">
        <v>116</v>
      </c>
      <c r="D54" t="s">
        <v>72</v>
      </c>
      <c r="E54">
        <v>-28.815960729</v>
      </c>
      <c r="F54">
        <v>0</v>
      </c>
    </row>
    <row r="55" spans="2:6" x14ac:dyDescent="0.25">
      <c r="B55">
        <v>71</v>
      </c>
      <c r="C55" t="s">
        <v>117</v>
      </c>
      <c r="D55" t="s">
        <v>72</v>
      </c>
      <c r="E55">
        <v>-38.204969650199999</v>
      </c>
      <c r="F55">
        <v>0</v>
      </c>
    </row>
    <row r="56" spans="2:6" x14ac:dyDescent="0.25">
      <c r="B56">
        <v>72</v>
      </c>
      <c r="C56" t="s">
        <v>118</v>
      </c>
      <c r="D56" t="s">
        <v>72</v>
      </c>
      <c r="E56">
        <v>0</v>
      </c>
      <c r="F56">
        <v>0</v>
      </c>
    </row>
    <row r="57" spans="2:6" x14ac:dyDescent="0.25">
      <c r="B57">
        <v>73</v>
      </c>
      <c r="C57" t="s">
        <v>119</v>
      </c>
      <c r="D57" t="s">
        <v>72</v>
      </c>
      <c r="E57">
        <v>-0.78460574570499997</v>
      </c>
      <c r="F57">
        <v>0</v>
      </c>
    </row>
    <row r="58" spans="2:6" x14ac:dyDescent="0.25">
      <c r="B58">
        <v>74</v>
      </c>
      <c r="C58" t="s">
        <v>120</v>
      </c>
      <c r="D58" t="s">
        <v>72</v>
      </c>
      <c r="E58">
        <v>-60</v>
      </c>
      <c r="F58">
        <v>0</v>
      </c>
    </row>
    <row r="59" spans="2:6" x14ac:dyDescent="0.25">
      <c r="B59">
        <v>75</v>
      </c>
      <c r="C59" t="s">
        <v>121</v>
      </c>
      <c r="D59" t="s">
        <v>72</v>
      </c>
      <c r="E59">
        <v>-40</v>
      </c>
      <c r="F59">
        <v>0</v>
      </c>
    </row>
    <row r="60" spans="2:6" x14ac:dyDescent="0.25">
      <c r="B60">
        <v>76</v>
      </c>
      <c r="C60" t="s">
        <v>122</v>
      </c>
      <c r="D60" t="s">
        <v>72</v>
      </c>
      <c r="E60">
        <v>-19.3366724551</v>
      </c>
      <c r="F60">
        <v>0</v>
      </c>
    </row>
    <row r="61" spans="2:6" x14ac:dyDescent="0.25">
      <c r="B61">
        <v>77</v>
      </c>
      <c r="C61" t="s">
        <v>123</v>
      </c>
      <c r="D61" t="s">
        <v>72</v>
      </c>
      <c r="E61">
        <v>-29.8899113495</v>
      </c>
      <c r="F61">
        <v>0</v>
      </c>
    </row>
    <row r="62" spans="2:6" x14ac:dyDescent="0.25">
      <c r="B62">
        <v>78</v>
      </c>
      <c r="C62" t="s">
        <v>124</v>
      </c>
      <c r="D62" t="s">
        <v>72</v>
      </c>
      <c r="E62">
        <v>0</v>
      </c>
      <c r="F62">
        <v>0</v>
      </c>
    </row>
    <row r="63" spans="2:6" x14ac:dyDescent="0.25">
      <c r="B63">
        <v>79</v>
      </c>
      <c r="C63" t="s">
        <v>125</v>
      </c>
      <c r="D63" t="s">
        <v>72</v>
      </c>
      <c r="E63">
        <v>-4.6085602533700003</v>
      </c>
      <c r="F63">
        <v>0</v>
      </c>
    </row>
    <row r="64" spans="2:6" x14ac:dyDescent="0.25">
      <c r="B64">
        <v>80</v>
      </c>
      <c r="C64" t="s">
        <v>126</v>
      </c>
      <c r="D64" t="s">
        <v>72</v>
      </c>
      <c r="E64">
        <v>-20</v>
      </c>
      <c r="F64">
        <v>0</v>
      </c>
    </row>
    <row r="65" spans="2:11" x14ac:dyDescent="0.25">
      <c r="B65">
        <v>81</v>
      </c>
      <c r="C65" t="s">
        <v>127</v>
      </c>
      <c r="D65" t="s">
        <v>72</v>
      </c>
      <c r="E65">
        <v>-16.8297323695</v>
      </c>
      <c r="F65">
        <v>0</v>
      </c>
    </row>
    <row r="66" spans="2:11" x14ac:dyDescent="0.25">
      <c r="B66">
        <v>82</v>
      </c>
      <c r="C66" t="s">
        <v>128</v>
      </c>
      <c r="D66" t="s">
        <v>72</v>
      </c>
      <c r="E66">
        <v>-30</v>
      </c>
      <c r="F66">
        <v>0</v>
      </c>
    </row>
    <row r="67" spans="2:11" x14ac:dyDescent="0.25">
      <c r="B67">
        <v>83</v>
      </c>
      <c r="C67" t="s">
        <v>129</v>
      </c>
      <c r="D67" t="s">
        <v>72</v>
      </c>
      <c r="E67">
        <v>0</v>
      </c>
      <c r="F67">
        <v>0</v>
      </c>
    </row>
    <row r="68" spans="2:11" x14ac:dyDescent="0.25">
      <c r="B68">
        <v>84</v>
      </c>
      <c r="C68" t="s">
        <v>130</v>
      </c>
      <c r="D68" t="s">
        <v>72</v>
      </c>
      <c r="E68">
        <v>-3.8243167264700002</v>
      </c>
      <c r="F68">
        <v>0</v>
      </c>
    </row>
    <row r="69" spans="2:11" x14ac:dyDescent="0.25">
      <c r="B69">
        <v>98</v>
      </c>
      <c r="C69" t="s">
        <v>131</v>
      </c>
      <c r="D69" t="s">
        <v>72</v>
      </c>
      <c r="E69">
        <v>0</v>
      </c>
      <c r="F69">
        <v>0</v>
      </c>
    </row>
    <row r="70" spans="2:11" x14ac:dyDescent="0.25">
      <c r="B70">
        <v>99</v>
      </c>
      <c r="C70" t="s">
        <v>132</v>
      </c>
      <c r="D70" t="s">
        <v>103</v>
      </c>
      <c r="E70">
        <v>0.11248071060500001</v>
      </c>
      <c r="F70" s="54">
        <v>6.8437874180799996E-2</v>
      </c>
    </row>
    <row r="71" spans="2:11" x14ac:dyDescent="0.25">
      <c r="B71">
        <v>-1</v>
      </c>
    </row>
    <row r="72" spans="2:11" x14ac:dyDescent="0.25">
      <c r="B72">
        <v>1846</v>
      </c>
      <c r="C72" s="54">
        <v>-4533.6591421499998</v>
      </c>
      <c r="D72" s="54">
        <v>-7099.1720403199997</v>
      </c>
      <c r="E72" s="54">
        <v>-3827.4189976100001</v>
      </c>
    </row>
    <row r="73" spans="2:11" x14ac:dyDescent="0.25">
      <c r="B73">
        <v>24</v>
      </c>
      <c r="C73" t="s">
        <v>221</v>
      </c>
      <c r="D73" t="s">
        <v>218</v>
      </c>
      <c r="E73">
        <v>29</v>
      </c>
      <c r="F73" t="s">
        <v>219</v>
      </c>
      <c r="G73">
        <v>12</v>
      </c>
    </row>
    <row r="74" spans="2:11" x14ac:dyDescent="0.25"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</row>
    <row r="75" spans="2:11" x14ac:dyDescent="0.25"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</row>
    <row r="76" spans="2:11" x14ac:dyDescent="0.25"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</row>
    <row r="77" spans="2:11" x14ac:dyDescent="0.25"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</row>
    <row r="78" spans="2:11" x14ac:dyDescent="0.25"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</row>
    <row r="79" spans="2:11" x14ac:dyDescent="0.25"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</row>
    <row r="80" spans="2:11" x14ac:dyDescent="0.25"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</row>
    <row r="81" spans="2:11" x14ac:dyDescent="0.25"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</row>
    <row r="82" spans="2:11" x14ac:dyDescent="0.25"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</row>
    <row r="83" spans="2:11" x14ac:dyDescent="0.25"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</row>
    <row r="84" spans="2:11" x14ac:dyDescent="0.25"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</row>
    <row r="85" spans="2:11" x14ac:dyDescent="0.25"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</row>
    <row r="86" spans="2:11" x14ac:dyDescent="0.2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</row>
    <row r="87" spans="2:11" x14ac:dyDescent="0.25"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 x14ac:dyDescent="0.2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 x14ac:dyDescent="0.25"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</row>
    <row r="90" spans="2:11" x14ac:dyDescent="0.25"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</row>
    <row r="91" spans="2:11" x14ac:dyDescent="0.25"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2:11" x14ac:dyDescent="0.25"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2:11" x14ac:dyDescent="0.25"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2:11" x14ac:dyDescent="0.25"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2:11" x14ac:dyDescent="0.25"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25"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2:11" x14ac:dyDescent="0.2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25"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2:11" x14ac:dyDescent="0.2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2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2:11" x14ac:dyDescent="0.25"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2:11" x14ac:dyDescent="0.25"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2:11" x14ac:dyDescent="0.25"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2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2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-92121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2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-98684</v>
      </c>
      <c r="I126">
        <v>91083</v>
      </c>
      <c r="J126">
        <v>0</v>
      </c>
      <c r="K126">
        <v>0</v>
      </c>
    </row>
    <row r="127" spans="2:11" x14ac:dyDescent="0.2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2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2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25"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2:11" x14ac:dyDescent="0.25"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2:11" x14ac:dyDescent="0.25"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2:11" x14ac:dyDescent="0.25"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2:11" x14ac:dyDescent="0.25"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25"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2:11" x14ac:dyDescent="0.25"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2:11" x14ac:dyDescent="0.2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25"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2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2:11" x14ac:dyDescent="0.2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2:11" x14ac:dyDescent="0.25"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2:11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2:11" x14ac:dyDescent="0.25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2:11" x14ac:dyDescent="0.2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</row>
    <row r="164" spans="2:11" x14ac:dyDescent="0.25"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2:11" x14ac:dyDescent="0.25"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2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2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2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2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2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 x14ac:dyDescent="0.2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2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2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2:11" x14ac:dyDescent="0.2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2:11" x14ac:dyDescent="0.2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2:11" x14ac:dyDescent="0.25"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2:11" x14ac:dyDescent="0.25"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2:11" x14ac:dyDescent="0.2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2:11" x14ac:dyDescent="0.25"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2:11" x14ac:dyDescent="0.2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25"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2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2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2:11" x14ac:dyDescent="0.25"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2:11" x14ac:dyDescent="0.25"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2:11" x14ac:dyDescent="0.25"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2:11" x14ac:dyDescent="0.25"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2:11" x14ac:dyDescent="0.25"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2:11" x14ac:dyDescent="0.25"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2:11" x14ac:dyDescent="0.25"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2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2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2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2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2:11" x14ac:dyDescent="0.25"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2:11" x14ac:dyDescent="0.25"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2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2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2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2:11" x14ac:dyDescent="0.2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25"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25"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2:11" x14ac:dyDescent="0.25"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2:11" x14ac:dyDescent="0.25"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2:11" x14ac:dyDescent="0.25"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2:11" x14ac:dyDescent="0.25"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2:11" x14ac:dyDescent="0.25"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2:11" x14ac:dyDescent="0.25"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2:11" x14ac:dyDescent="0.25"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2:11" x14ac:dyDescent="0.25"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2:11" x14ac:dyDescent="0.25"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</row>
    <row r="234" spans="2:11" x14ac:dyDescent="0.25"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</row>
    <row r="235" spans="2:11" x14ac:dyDescent="0.25"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</row>
    <row r="236" spans="2:11" x14ac:dyDescent="0.25"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</row>
    <row r="237" spans="2:11" x14ac:dyDescent="0.25"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</row>
    <row r="238" spans="2:11" x14ac:dyDescent="0.25"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2:11" x14ac:dyDescent="0.25"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2:11" x14ac:dyDescent="0.25"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2:11" x14ac:dyDescent="0.25"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2:11" x14ac:dyDescent="0.2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2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2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2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25">
      <c r="B248">
        <v>0</v>
      </c>
      <c r="C248">
        <v>99135</v>
      </c>
      <c r="D248">
        <v>-90225</v>
      </c>
      <c r="E248">
        <v>-96126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2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2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</sheetData>
  <pageMargins bottom="0.75" footer="0.3" header="0.3" left="0.7" right="0.7" top="0.75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U62"/>
  <sheetViews>
    <sheetView workbookViewId="0">
      <selection activeCell="H13" sqref="H13"/>
    </sheetView>
  </sheetViews>
  <sheetFormatPr defaultRowHeight="15" x14ac:dyDescent="0.25"/>
  <cols>
    <col min="1" max="1" bestFit="true" customWidth="true" width="12.7109375" collapsed="true"/>
    <col min="2" max="3" bestFit="true" customWidth="true" width="11.5703125" collapsed="true"/>
    <col min="5" max="5" bestFit="true" customWidth="true" width="11.85546875" collapsed="true"/>
    <col min="6" max="6" customWidth="true" width="7.7109375" collapsed="true"/>
    <col min="7" max="7" bestFit="true" customWidth="true" width="7.140625" collapsed="true"/>
    <col min="8" max="8" bestFit="true" customWidth="true" width="17.5703125" collapsed="true"/>
    <col min="9" max="9" bestFit="true" customWidth="true" width="11.0" collapsed="true"/>
    <col min="11" max="11" customWidth="true" width="8.42578125" collapsed="true"/>
    <col min="12" max="13" bestFit="true" customWidth="true" width="17.5703125" collapsed="true"/>
    <col min="19" max="19" bestFit="true" customWidth="true" width="11.7109375" collapsed="true"/>
    <col min="20" max="21" bestFit="true" customWidth="true" width="17.5703125" collapsed="true"/>
  </cols>
  <sheetData>
    <row r="1" spans="1:21" x14ac:dyDescent="0.25">
      <c r="K1" s="55" t="s">
        <v>201</v>
      </c>
      <c r="R1" s="55" t="s">
        <v>235</v>
      </c>
    </row>
    <row r="2" spans="1:21" x14ac:dyDescent="0.25">
      <c r="B2" s="11"/>
      <c r="F2" s="11"/>
      <c r="K2">
        <v>1</v>
      </c>
      <c r="L2" t="s">
        <v>239</v>
      </c>
      <c r="T2" t="s">
        <v>233</v>
      </c>
      <c r="U2" t="s">
        <v>234</v>
      </c>
    </row>
    <row r="3" spans="1:21" x14ac:dyDescent="0.25">
      <c r="K3">
        <v>2</v>
      </c>
      <c r="L3" t="s">
        <v>237</v>
      </c>
      <c r="R3">
        <v>1</v>
      </c>
      <c r="S3" t="s">
        <v>71</v>
      </c>
      <c r="T3" s="59">
        <f>SchoolLocationCoefficient!E11</f>
        <v>1</v>
      </c>
      <c r="U3" s="60">
        <f>T3</f>
        <v>1</v>
      </c>
    </row>
    <row r="4" spans="1:21" x14ac:dyDescent="0.25">
      <c r="D4" s="58"/>
      <c r="E4" s="70"/>
      <c r="F4" s="70"/>
      <c r="G4" s="70"/>
      <c r="H4" s="70"/>
      <c r="I4" s="70"/>
      <c r="L4" t="s">
        <v>236</v>
      </c>
      <c r="R4">
        <v>2</v>
      </c>
      <c r="S4" t="s">
        <v>73</v>
      </c>
      <c r="T4" s="59">
        <f>SchoolLocationCoefficient!E12</f>
        <v>1</v>
      </c>
      <c r="U4" s="60">
        <f ref="U4:U62" si="0" t="shared">T4</f>
        <v>1</v>
      </c>
    </row>
    <row r="5" spans="1:21" x14ac:dyDescent="0.25">
      <c r="E5" s="7"/>
      <c r="F5" s="33"/>
      <c r="G5" s="33"/>
      <c r="H5" s="80" t="s">
        <v>245</v>
      </c>
      <c r="I5" s="33"/>
      <c r="R5">
        <v>3</v>
      </c>
      <c r="S5" t="s">
        <v>74</v>
      </c>
      <c r="T5" s="59">
        <f>SchoolLocationCoefficient!E13</f>
        <v>1</v>
      </c>
      <c r="U5" s="60">
        <f si="0" t="shared"/>
        <v>1</v>
      </c>
    </row>
    <row ht="15.75" r="6" spans="1:21" thickBot="1" x14ac:dyDescent="0.3">
      <c r="A6" s="55" t="s">
        <v>222</v>
      </c>
      <c r="E6" s="76" t="s">
        <v>240</v>
      </c>
      <c r="F6" s="33"/>
      <c r="G6" s="33"/>
      <c r="H6" s="80" t="s">
        <v>246</v>
      </c>
      <c r="I6" s="33"/>
      <c r="R6">
        <v>4</v>
      </c>
      <c r="S6" t="s">
        <v>75</v>
      </c>
      <c r="T6" s="59">
        <f>SchoolLocationCoefficient!E14</f>
        <v>0.5</v>
      </c>
      <c r="U6" s="60">
        <f si="0" t="shared"/>
        <v>0.5</v>
      </c>
    </row>
    <row r="7" spans="1:21" x14ac:dyDescent="0.25">
      <c r="A7" s="5" t="s">
        <v>2</v>
      </c>
      <c r="B7" s="5" t="s">
        <v>200</v>
      </c>
      <c r="C7" s="5" t="s">
        <v>223</v>
      </c>
      <c r="D7" s="7"/>
      <c r="E7" s="5" t="s">
        <v>2</v>
      </c>
      <c r="F7" s="5" t="s">
        <v>200</v>
      </c>
      <c r="G7" s="5" t="s">
        <v>223</v>
      </c>
      <c r="H7" t="s">
        <v>244</v>
      </c>
      <c r="I7" s="5" t="s">
        <v>232</v>
      </c>
      <c r="J7" s="5" t="s">
        <v>228</v>
      </c>
      <c r="K7" s="5" t="s">
        <v>229</v>
      </c>
      <c r="L7" s="5" t="s">
        <v>230</v>
      </c>
      <c r="M7" s="5" t="s">
        <v>231</v>
      </c>
      <c r="R7">
        <v>5</v>
      </c>
      <c r="S7" t="s">
        <v>76</v>
      </c>
      <c r="T7" s="59">
        <f>SchoolLocationCoefficient!E15</f>
        <v>0.1</v>
      </c>
      <c r="U7" s="60">
        <f si="0" t="shared"/>
        <v>0.1</v>
      </c>
    </row>
    <row r="8" spans="1:21" x14ac:dyDescent="0.25">
      <c r="A8" s="57" t="s">
        <v>224</v>
      </c>
      <c r="B8" s="83">
        <f>TLFD!B11</f>
        <v>20622.883600000001</v>
      </c>
      <c r="C8" s="83">
        <f>TLFD!H11</f>
        <v>114370</v>
      </c>
      <c r="D8" s="7"/>
      <c r="E8" s="57" t="s">
        <v>224</v>
      </c>
      <c r="F8" s="72">
        <f>B8/B$11</f>
        <v>4.0140947791351966E-2</v>
      </c>
      <c r="G8" s="72">
        <f>C8/C$11</f>
        <v>0.22592408223897342</v>
      </c>
      <c r="H8" s="7">
        <v>1</v>
      </c>
      <c r="I8">
        <v>10</v>
      </c>
      <c r="J8" s="9">
        <f>F8/G8</f>
        <v>0.17767449752830017</v>
      </c>
      <c r="K8" s="9">
        <f>(LN(J8)-LN(J8))*H8</f>
        <v>0</v>
      </c>
      <c r="L8" s="59">
        <f>T12</f>
        <v>-15.3921330935</v>
      </c>
      <c r="M8" s="59">
        <f>L8+K8</f>
        <v>-15.3921330935</v>
      </c>
      <c r="R8">
        <v>6</v>
      </c>
      <c r="S8" t="s">
        <v>77</v>
      </c>
      <c r="T8" s="59">
        <f>SchoolLocationCoefficient!E16</f>
        <v>1</v>
      </c>
      <c r="U8" s="60">
        <f si="0" t="shared"/>
        <v>1</v>
      </c>
    </row>
    <row r="9" spans="1:21" x14ac:dyDescent="0.25">
      <c r="A9" s="57" t="s">
        <v>226</v>
      </c>
      <c r="B9" s="83">
        <f>SUM(TLFD!B12:B15)</f>
        <v>222281.21739999999</v>
      </c>
      <c r="C9" s="83">
        <f>SUM(TLFD!H12:H15)</f>
        <v>240797</v>
      </c>
      <c r="E9" s="57" t="s">
        <v>226</v>
      </c>
      <c r="F9" s="72">
        <f ref="F9:F10" si="1" t="shared">B9/B$11</f>
        <v>0.43265427452888089</v>
      </c>
      <c r="G9" s="72">
        <f ref="G9:G10" si="2" t="shared">C9/C$11</f>
        <v>0.47566530760599884</v>
      </c>
      <c r="H9">
        <v>0.1</v>
      </c>
      <c r="I9">
        <v>11</v>
      </c>
      <c r="J9" s="9">
        <f ref="J9:J10" si="3" t="shared">F9/G9</f>
        <v>0.90957710728665397</v>
      </c>
      <c r="K9" s="9">
        <f>(LN(J9)-LN(J8))*H9</f>
        <v>0.16330265635582591</v>
      </c>
      <c r="L9" s="59">
        <f ref="L9:L10" si="4" t="shared">T13</f>
        <v>-9.7518039976427993</v>
      </c>
      <c r="M9" s="59">
        <f ref="M9:M10" si="5" t="shared">L9+K9</f>
        <v>-9.5885013412869728</v>
      </c>
      <c r="R9">
        <v>7</v>
      </c>
      <c r="S9" t="s">
        <v>78</v>
      </c>
      <c r="T9" s="59">
        <f>SchoolLocationCoefficient!E17</f>
        <v>-21.977719252</v>
      </c>
      <c r="U9" s="60">
        <f si="0" t="shared"/>
        <v>-21.977719252</v>
      </c>
    </row>
    <row r="10" spans="1:21" x14ac:dyDescent="0.25">
      <c r="A10" s="69" t="s">
        <v>227</v>
      </c>
      <c r="B10" s="86">
        <f>SUM(TLFD!B16:B101)</f>
        <v>270857.64939999999</v>
      </c>
      <c r="C10" s="86">
        <f>SUM(TLFD!H16:H101)</f>
        <v>151065</v>
      </c>
      <c r="E10" s="69" t="s">
        <v>227</v>
      </c>
      <c r="F10" s="75">
        <f si="1" t="shared"/>
        <v>0.52720477767976703</v>
      </c>
      <c r="G10" s="75">
        <f si="2" t="shared"/>
        <v>0.29841061015502773</v>
      </c>
      <c r="H10">
        <v>0.1</v>
      </c>
      <c r="I10" s="6">
        <v>12</v>
      </c>
      <c r="J10" s="18">
        <f si="3" t="shared"/>
        <v>1.7667092246012235</v>
      </c>
      <c r="K10" s="18">
        <f>(LN(J10)-LN(J9)-LN(J8))*H10</f>
        <v>0.23916961940613782</v>
      </c>
      <c r="L10" s="74">
        <f si="4" t="shared"/>
        <v>-1.0599160072038001</v>
      </c>
      <c r="M10" s="74">
        <f si="5" t="shared"/>
        <v>-0.82074638779766229</v>
      </c>
      <c r="R10">
        <v>8</v>
      </c>
      <c r="S10" t="s">
        <v>79</v>
      </c>
      <c r="T10" s="59">
        <f>SchoolLocationCoefficient!E18</f>
        <v>-1.4857940511400001</v>
      </c>
      <c r="U10" s="60">
        <f si="0" t="shared"/>
        <v>-1.4857940511400001</v>
      </c>
    </row>
    <row ht="15.75" r="11" spans="1:21" thickBot="1" x14ac:dyDescent="0.3">
      <c r="A11" s="71" t="s">
        <v>3</v>
      </c>
      <c r="B11" s="82">
        <f>SUM(B8:B10)</f>
        <v>513761.75040000002</v>
      </c>
      <c r="C11" s="82">
        <f>SUM(C8:C10)</f>
        <v>506232</v>
      </c>
      <c r="D11" s="58"/>
      <c r="E11" s="71" t="s">
        <v>3</v>
      </c>
      <c r="F11" s="73">
        <f>SUM(F8:F10)</f>
        <v>0.99999999999999989</v>
      </c>
      <c r="G11" s="73">
        <f>SUM(G8:G10)</f>
        <v>1</v>
      </c>
      <c r="R11">
        <v>9</v>
      </c>
      <c r="S11" t="s">
        <v>80</v>
      </c>
      <c r="T11" s="59">
        <f>SchoolLocationCoefficient!E19</f>
        <v>-4.85028348146</v>
      </c>
      <c r="U11" s="60">
        <f si="0" t="shared"/>
        <v>-4.85028348146</v>
      </c>
    </row>
    <row r="12" spans="1:21" x14ac:dyDescent="0.25">
      <c r="A12" s="67"/>
      <c r="B12" s="68"/>
      <c r="C12" s="68"/>
      <c r="R12" s="61">
        <v>10</v>
      </c>
      <c r="S12" s="61" t="s">
        <v>81</v>
      </c>
      <c r="T12" s="59">
        <f>SchoolLocationCoefficient!E20</f>
        <v>-15.3921330935</v>
      </c>
      <c r="U12" s="60">
        <f>M8</f>
        <v>-15.3921330935</v>
      </c>
    </row>
    <row r="13" spans="1:21" x14ac:dyDescent="0.25">
      <c r="A13" s="67"/>
      <c r="B13" s="68"/>
      <c r="C13" s="68"/>
      <c r="D13" s="7"/>
      <c r="R13" s="61">
        <v>11</v>
      </c>
      <c r="S13" s="61" t="s">
        <v>82</v>
      </c>
      <c r="T13" s="59">
        <f>SchoolLocationCoefficient!E21</f>
        <v>-9.7518039976427993</v>
      </c>
      <c r="U13" s="60">
        <f ref="U13:U14" si="6" t="shared">M9</f>
        <v>-9.5885013412869728</v>
      </c>
    </row>
    <row r="14" spans="1:21" x14ac:dyDescent="0.25">
      <c r="A14" s="63" t="s">
        <v>238</v>
      </c>
      <c r="R14" s="61">
        <v>12</v>
      </c>
      <c r="S14" s="61" t="s">
        <v>83</v>
      </c>
      <c r="T14" s="59">
        <f>SchoolLocationCoefficient!E22</f>
        <v>-1.0599160072038001</v>
      </c>
      <c r="U14" s="60">
        <f si="6" t="shared"/>
        <v>-0.82074638779766229</v>
      </c>
    </row>
    <row ht="15.75" r="15" spans="1:21" thickBot="1" x14ac:dyDescent="0.3">
      <c r="R15">
        <v>13</v>
      </c>
      <c r="S15" t="s">
        <v>84</v>
      </c>
      <c r="T15" s="59">
        <f>SchoolLocationCoefficient!E23</f>
        <v>-6.5192578502799998</v>
      </c>
      <c r="U15" s="60">
        <f si="0" t="shared"/>
        <v>-6.5192578502799998</v>
      </c>
    </row>
    <row r="16" spans="1:21" x14ac:dyDescent="0.25">
      <c r="A16" s="5" t="s">
        <v>2</v>
      </c>
      <c r="B16" s="5" t="s">
        <v>200</v>
      </c>
      <c r="C16" s="5" t="s">
        <v>223</v>
      </c>
      <c r="D16" s="58"/>
      <c r="E16" s="5" t="s">
        <v>2</v>
      </c>
      <c r="F16" s="5" t="s">
        <v>200</v>
      </c>
      <c r="G16" s="5" t="s">
        <v>223</v>
      </c>
      <c r="I16" s="5" t="s">
        <v>232</v>
      </c>
      <c r="J16" s="5" t="s">
        <v>228</v>
      </c>
      <c r="K16" s="5" t="s">
        <v>229</v>
      </c>
      <c r="L16" s="5" t="s">
        <v>230</v>
      </c>
      <c r="M16" s="5" t="s">
        <v>231</v>
      </c>
      <c r="R16">
        <v>14</v>
      </c>
      <c r="S16" t="s">
        <v>85</v>
      </c>
      <c r="T16" s="59">
        <f>SchoolLocationCoefficient!E24</f>
        <v>-3.04866060786</v>
      </c>
      <c r="U16" s="60">
        <f si="0" t="shared"/>
        <v>-3.04866060786</v>
      </c>
    </row>
    <row r="17" spans="1:21" x14ac:dyDescent="0.25">
      <c r="A17" s="64" t="s">
        <v>225</v>
      </c>
      <c r="B17" s="81">
        <f>SchoolAtHome!E14</f>
        <v>3454.8159000000001</v>
      </c>
      <c r="C17" s="81">
        <f>SchoolAtHome!L14</f>
        <v>43876</v>
      </c>
      <c r="E17" s="64" t="s">
        <v>225</v>
      </c>
      <c r="F17" s="77">
        <f>B17/B18</f>
        <v>4.8942389571341519E-3</v>
      </c>
      <c r="G17" s="77">
        <f>C17/C18</f>
        <v>5.4811154112335635E-2</v>
      </c>
      <c r="I17" s="65">
        <v>50</v>
      </c>
      <c r="J17" s="66">
        <f>F17/G17</f>
        <v>8.9292755031273263E-2</v>
      </c>
      <c r="K17" s="66">
        <f>LN(J17)</f>
        <v>-2.4158349250597868</v>
      </c>
      <c r="L17" s="79">
        <f>T33</f>
        <v>-52.496387392000003</v>
      </c>
      <c r="M17" s="78">
        <f ref="M17" si="7" t="shared">L17+K17</f>
        <v>-54.912222317059786</v>
      </c>
      <c r="R17">
        <v>15</v>
      </c>
      <c r="S17" t="s">
        <v>86</v>
      </c>
      <c r="T17" s="59">
        <f>SchoolLocationCoefficient!E25</f>
        <v>0</v>
      </c>
      <c r="U17" s="60">
        <f si="0" t="shared"/>
        <v>0</v>
      </c>
    </row>
    <row ht="15.75" r="18" spans="1:21" thickBot="1" x14ac:dyDescent="0.3">
      <c r="A18" s="12" t="s">
        <v>3</v>
      </c>
      <c r="B18" s="82">
        <f>SchoolAtHome!E25</f>
        <v>705894.4057</v>
      </c>
      <c r="C18" s="82">
        <f>SchoolAtHome!L25</f>
        <v>800494</v>
      </c>
      <c r="E18" s="12" t="s">
        <v>3</v>
      </c>
      <c r="F18" s="73">
        <f>B18/B18</f>
        <v>1</v>
      </c>
      <c r="G18" s="73">
        <f>C18/C18</f>
        <v>1</v>
      </c>
      <c r="R18">
        <v>16</v>
      </c>
      <c r="S18" t="s">
        <v>87</v>
      </c>
      <c r="T18" s="59">
        <f>SchoolLocationCoefficient!E26</f>
        <v>-2.2084934246199999</v>
      </c>
      <c r="U18" s="60">
        <f si="0" t="shared"/>
        <v>-2.2084934246199999</v>
      </c>
    </row>
    <row r="19" spans="1:21" x14ac:dyDescent="0.25">
      <c r="R19">
        <v>17</v>
      </c>
      <c r="S19" t="s">
        <v>88</v>
      </c>
      <c r="T19" s="59">
        <f>SchoolLocationCoefficient!E27</f>
        <v>0</v>
      </c>
      <c r="U19" s="60">
        <f si="0" t="shared"/>
        <v>0</v>
      </c>
    </row>
    <row r="20" spans="1:21" x14ac:dyDescent="0.25">
      <c r="R20">
        <v>18</v>
      </c>
      <c r="S20" t="s">
        <v>89</v>
      </c>
      <c r="T20" s="59">
        <f>SchoolLocationCoefficient!E28</f>
        <v>0</v>
      </c>
      <c r="U20" s="60">
        <f si="0" t="shared"/>
        <v>0</v>
      </c>
    </row>
    <row r="21" spans="1:21" x14ac:dyDescent="0.25">
      <c r="R21">
        <v>19</v>
      </c>
      <c r="S21" t="s">
        <v>90</v>
      </c>
      <c r="T21" s="59">
        <f>SchoolLocationCoefficient!E29</f>
        <v>0</v>
      </c>
      <c r="U21" s="60">
        <f si="0" t="shared"/>
        <v>0</v>
      </c>
    </row>
    <row r="22" spans="1:21" x14ac:dyDescent="0.25">
      <c r="G22" s="7"/>
      <c r="R22">
        <v>20</v>
      </c>
      <c r="S22" t="s">
        <v>91</v>
      </c>
      <c r="T22" s="59">
        <f>SchoolLocationCoefficient!E30</f>
        <v>0</v>
      </c>
      <c r="U22" s="60">
        <f si="0" t="shared"/>
        <v>0</v>
      </c>
    </row>
    <row r="23" spans="1:21" x14ac:dyDescent="0.25">
      <c r="G23" s="7"/>
      <c r="R23">
        <v>21</v>
      </c>
      <c r="S23" t="s">
        <v>92</v>
      </c>
      <c r="T23" s="59">
        <f>SchoolLocationCoefficient!E31</f>
        <v>0</v>
      </c>
      <c r="U23" s="60">
        <f si="0" t="shared"/>
        <v>0</v>
      </c>
    </row>
    <row r="24" spans="1:21" x14ac:dyDescent="0.25">
      <c r="R24">
        <v>30</v>
      </c>
      <c r="S24" t="s">
        <v>93</v>
      </c>
      <c r="T24" s="59">
        <f>SchoolLocationCoefficient!E32</f>
        <v>0</v>
      </c>
      <c r="U24" s="60">
        <f si="0" t="shared"/>
        <v>0</v>
      </c>
    </row>
    <row r="25" spans="1:21" x14ac:dyDescent="0.25">
      <c r="R25">
        <v>31</v>
      </c>
      <c r="S25" t="s">
        <v>94</v>
      </c>
      <c r="T25" s="59">
        <f>SchoolLocationCoefficient!E33</f>
        <v>0</v>
      </c>
      <c r="U25" s="60">
        <f si="0" t="shared"/>
        <v>0</v>
      </c>
    </row>
    <row r="26" spans="1:21" x14ac:dyDescent="0.25">
      <c r="R26">
        <v>32</v>
      </c>
      <c r="S26" t="s">
        <v>95</v>
      </c>
      <c r="T26" s="59">
        <f>SchoolLocationCoefficient!E34</f>
        <v>0</v>
      </c>
      <c r="U26" s="60">
        <f si="0" t="shared"/>
        <v>0</v>
      </c>
    </row>
    <row r="27" spans="1:21" x14ac:dyDescent="0.25">
      <c r="R27">
        <v>33</v>
      </c>
      <c r="S27" t="s">
        <v>96</v>
      </c>
      <c r="T27" s="59">
        <f>SchoolLocationCoefficient!E35</f>
        <v>0.20475756801299999</v>
      </c>
      <c r="U27" s="60">
        <f si="0" t="shared"/>
        <v>0.20475756801299999</v>
      </c>
    </row>
    <row r="28" spans="1:21" x14ac:dyDescent="0.25">
      <c r="J28" t="s">
        <v>241</v>
      </c>
      <c r="R28">
        <v>34</v>
      </c>
      <c r="S28" t="s">
        <v>97</v>
      </c>
      <c r="T28" s="59">
        <f>SchoolLocationCoefficient!E36</f>
        <v>0.73914409694299998</v>
      </c>
      <c r="U28" s="60">
        <f si="0" t="shared"/>
        <v>0.73914409694299998</v>
      </c>
    </row>
    <row r="29" spans="1:21" x14ac:dyDescent="0.25">
      <c r="J29" t="s">
        <v>242</v>
      </c>
      <c r="R29">
        <v>35</v>
      </c>
      <c r="S29" t="s">
        <v>98</v>
      </c>
      <c r="T29" s="59">
        <f>SchoolLocationCoefficient!E37</f>
        <v>0.91950533972299997</v>
      </c>
      <c r="U29" s="60">
        <f si="0" t="shared"/>
        <v>0.91950533972299997</v>
      </c>
    </row>
    <row r="30" spans="1:21" x14ac:dyDescent="0.25">
      <c r="J30" t="s">
        <v>243</v>
      </c>
      <c r="R30">
        <v>36</v>
      </c>
      <c r="S30" t="s">
        <v>99</v>
      </c>
      <c r="T30" s="59">
        <f>SchoolLocationCoefficient!E38</f>
        <v>0</v>
      </c>
      <c r="U30" s="60">
        <f si="0" t="shared"/>
        <v>0</v>
      </c>
    </row>
    <row r="31" spans="1:21" x14ac:dyDescent="0.25">
      <c r="R31">
        <v>37</v>
      </c>
      <c r="S31" t="s">
        <v>100</v>
      </c>
      <c r="T31" s="59">
        <f>SchoolLocationCoefficient!E39</f>
        <v>0.47967991030399998</v>
      </c>
      <c r="U31" s="60">
        <f si="0" t="shared"/>
        <v>0.47967991030399998</v>
      </c>
    </row>
    <row r="32" spans="1:21" x14ac:dyDescent="0.25">
      <c r="R32">
        <v>38</v>
      </c>
      <c r="S32" t="s">
        <v>101</v>
      </c>
      <c r="T32" s="59">
        <f>SchoolLocationCoefficient!E40</f>
        <v>-0.117361085083</v>
      </c>
      <c r="U32" s="60">
        <f si="0" t="shared"/>
        <v>-0.117361085083</v>
      </c>
    </row>
    <row r="33" spans="18:21" x14ac:dyDescent="0.25">
      <c r="R33" s="61">
        <v>50</v>
      </c>
      <c r="S33" s="61" t="s">
        <v>102</v>
      </c>
      <c r="T33" s="59">
        <f>SchoolLocationCoefficient!E41</f>
        <v>-52.496387392000003</v>
      </c>
      <c r="U33" s="62">
        <f>M17</f>
        <v>-54.912222317059786</v>
      </c>
    </row>
    <row r="34" spans="18:21" x14ac:dyDescent="0.25">
      <c r="R34">
        <v>51</v>
      </c>
      <c r="S34" t="s">
        <v>104</v>
      </c>
      <c r="T34" s="59">
        <f>SchoolLocationCoefficient!E42</f>
        <v>17.602734273900001</v>
      </c>
      <c r="U34" s="60">
        <f si="0" t="shared"/>
        <v>17.602734273900001</v>
      </c>
    </row>
    <row r="35" spans="18:21" x14ac:dyDescent="0.25">
      <c r="R35">
        <v>52</v>
      </c>
      <c r="S35" t="s">
        <v>105</v>
      </c>
      <c r="T35" s="59">
        <f>SchoolLocationCoefficient!E43</f>
        <v>4.20952630757</v>
      </c>
      <c r="U35" s="60">
        <f si="0" t="shared"/>
        <v>4.20952630757</v>
      </c>
    </row>
    <row r="36" spans="18:21" x14ac:dyDescent="0.25">
      <c r="R36">
        <v>60</v>
      </c>
      <c r="S36" t="s">
        <v>106</v>
      </c>
      <c r="T36" s="59">
        <f>SchoolLocationCoefficient!E44</f>
        <v>0.20359321296800001</v>
      </c>
      <c r="U36" s="60">
        <f si="0" t="shared"/>
        <v>0.20359321296800001</v>
      </c>
    </row>
    <row r="37" spans="18:21" x14ac:dyDescent="0.25">
      <c r="R37">
        <v>61</v>
      </c>
      <c r="S37" t="s">
        <v>107</v>
      </c>
      <c r="T37" s="59">
        <f>SchoolLocationCoefficient!E45</f>
        <v>-3.7139025588600001</v>
      </c>
      <c r="U37" s="60">
        <f si="0" t="shared"/>
        <v>-3.7139025588600001</v>
      </c>
    </row>
    <row r="38" spans="18:21" x14ac:dyDescent="0.25">
      <c r="R38">
        <v>62</v>
      </c>
      <c r="S38" t="s">
        <v>108</v>
      </c>
      <c r="T38" s="59">
        <f>SchoolLocationCoefficient!E46</f>
        <v>-14.9292134206</v>
      </c>
      <c r="U38" s="60">
        <f si="0" t="shared"/>
        <v>-14.9292134206</v>
      </c>
    </row>
    <row r="39" spans="18:21" x14ac:dyDescent="0.25">
      <c r="R39">
        <v>63</v>
      </c>
      <c r="S39" t="s">
        <v>109</v>
      </c>
      <c r="T39" s="59">
        <f>SchoolLocationCoefficient!E47</f>
        <v>-18.363643827400001</v>
      </c>
      <c r="U39" s="60">
        <f si="0" t="shared"/>
        <v>-18.363643827400001</v>
      </c>
    </row>
    <row r="40" spans="18:21" x14ac:dyDescent="0.25">
      <c r="R40">
        <v>64</v>
      </c>
      <c r="S40" t="s">
        <v>110</v>
      </c>
      <c r="T40" s="59">
        <f>SchoolLocationCoefficient!E48</f>
        <v>-19.6107408341</v>
      </c>
      <c r="U40" s="60">
        <f si="0" t="shared"/>
        <v>-19.6107408341</v>
      </c>
    </row>
    <row r="41" spans="18:21" x14ac:dyDescent="0.25">
      <c r="R41">
        <v>65</v>
      </c>
      <c r="S41" t="s">
        <v>111</v>
      </c>
      <c r="T41" s="59">
        <f>SchoolLocationCoefficient!E49</f>
        <v>-29.386377866</v>
      </c>
      <c r="U41" s="60">
        <f si="0" t="shared"/>
        <v>-29.386377866</v>
      </c>
    </row>
    <row r="42" spans="18:21" x14ac:dyDescent="0.25">
      <c r="R42">
        <v>66</v>
      </c>
      <c r="S42" t="s">
        <v>112</v>
      </c>
      <c r="T42" s="59">
        <f>SchoolLocationCoefficient!E50</f>
        <v>0</v>
      </c>
      <c r="U42" s="60">
        <f si="0" t="shared"/>
        <v>0</v>
      </c>
    </row>
    <row r="43" spans="18:21" x14ac:dyDescent="0.25">
      <c r="R43">
        <v>67</v>
      </c>
      <c r="S43" t="s">
        <v>113</v>
      </c>
      <c r="T43" s="59">
        <f>SchoolLocationCoefficient!E51</f>
        <v>-6.7290240321499999</v>
      </c>
      <c r="U43" s="60">
        <f si="0" t="shared"/>
        <v>-6.7290240321499999</v>
      </c>
    </row>
    <row r="44" spans="18:21" x14ac:dyDescent="0.25">
      <c r="R44">
        <v>68</v>
      </c>
      <c r="S44" t="s">
        <v>114</v>
      </c>
      <c r="T44" s="59">
        <f>SchoolLocationCoefficient!E52</f>
        <v>-26.1597322567</v>
      </c>
      <c r="U44" s="60">
        <f si="0" t="shared"/>
        <v>-26.1597322567</v>
      </c>
    </row>
    <row r="45" spans="18:21" x14ac:dyDescent="0.25">
      <c r="R45">
        <v>69</v>
      </c>
      <c r="S45" t="s">
        <v>115</v>
      </c>
      <c r="T45" s="59">
        <f>SchoolLocationCoefficient!E53</f>
        <v>-0.14966845132199999</v>
      </c>
      <c r="U45" s="60">
        <f si="0" t="shared"/>
        <v>-0.14966845132199999</v>
      </c>
    </row>
    <row r="46" spans="18:21" x14ac:dyDescent="0.25">
      <c r="R46">
        <v>70</v>
      </c>
      <c r="S46" t="s">
        <v>116</v>
      </c>
      <c r="T46" s="59">
        <f>SchoolLocationCoefficient!E54</f>
        <v>-28.815960729</v>
      </c>
      <c r="U46" s="60">
        <f si="0" t="shared"/>
        <v>-28.815960729</v>
      </c>
    </row>
    <row r="47" spans="18:21" x14ac:dyDescent="0.25">
      <c r="R47">
        <v>71</v>
      </c>
      <c r="S47" t="s">
        <v>117</v>
      </c>
      <c r="T47" s="59">
        <f>SchoolLocationCoefficient!E55</f>
        <v>-38.204969650199999</v>
      </c>
      <c r="U47" s="60">
        <f si="0" t="shared"/>
        <v>-38.204969650199999</v>
      </c>
    </row>
    <row r="48" spans="18:21" x14ac:dyDescent="0.25">
      <c r="R48">
        <v>72</v>
      </c>
      <c r="S48" t="s">
        <v>118</v>
      </c>
      <c r="T48" s="59">
        <f>SchoolLocationCoefficient!E56</f>
        <v>0</v>
      </c>
      <c r="U48" s="60">
        <f si="0" t="shared"/>
        <v>0</v>
      </c>
    </row>
    <row r="49" spans="18:21" x14ac:dyDescent="0.25">
      <c r="R49">
        <v>73</v>
      </c>
      <c r="S49" t="s">
        <v>119</v>
      </c>
      <c r="T49" s="59">
        <f>SchoolLocationCoefficient!E57</f>
        <v>-0.78460574570499997</v>
      </c>
      <c r="U49" s="60">
        <f si="0" t="shared"/>
        <v>-0.78460574570499997</v>
      </c>
    </row>
    <row r="50" spans="18:21" x14ac:dyDescent="0.25">
      <c r="R50">
        <v>74</v>
      </c>
      <c r="S50" t="s">
        <v>120</v>
      </c>
      <c r="T50" s="59">
        <f>SchoolLocationCoefficient!E58</f>
        <v>-60</v>
      </c>
      <c r="U50" s="60">
        <f si="0" t="shared"/>
        <v>-60</v>
      </c>
    </row>
    <row r="51" spans="18:21" x14ac:dyDescent="0.25">
      <c r="R51">
        <v>75</v>
      </c>
      <c r="S51" t="s">
        <v>121</v>
      </c>
      <c r="T51" s="59">
        <f>SchoolLocationCoefficient!E59</f>
        <v>-40</v>
      </c>
      <c r="U51" s="60">
        <f si="0" t="shared"/>
        <v>-40</v>
      </c>
    </row>
    <row r="52" spans="18:21" x14ac:dyDescent="0.25">
      <c r="R52">
        <v>76</v>
      </c>
      <c r="S52" t="s">
        <v>122</v>
      </c>
      <c r="T52" s="59">
        <f>SchoolLocationCoefficient!E60</f>
        <v>-19.3366724551</v>
      </c>
      <c r="U52" s="60">
        <f si="0" t="shared"/>
        <v>-19.3366724551</v>
      </c>
    </row>
    <row r="53" spans="18:21" x14ac:dyDescent="0.25">
      <c r="R53">
        <v>77</v>
      </c>
      <c r="S53" t="s">
        <v>123</v>
      </c>
      <c r="T53" s="59">
        <f>SchoolLocationCoefficient!E61</f>
        <v>-29.8899113495</v>
      </c>
      <c r="U53" s="60">
        <f si="0" t="shared"/>
        <v>-29.8899113495</v>
      </c>
    </row>
    <row r="54" spans="18:21" x14ac:dyDescent="0.25">
      <c r="R54">
        <v>78</v>
      </c>
      <c r="S54" t="s">
        <v>124</v>
      </c>
      <c r="T54" s="59">
        <f>SchoolLocationCoefficient!E62</f>
        <v>0</v>
      </c>
      <c r="U54" s="60">
        <f si="0" t="shared"/>
        <v>0</v>
      </c>
    </row>
    <row r="55" spans="18:21" x14ac:dyDescent="0.25">
      <c r="R55">
        <v>79</v>
      </c>
      <c r="S55" t="s">
        <v>125</v>
      </c>
      <c r="T55" s="59">
        <f>SchoolLocationCoefficient!E63</f>
        <v>-4.6085602533700003</v>
      </c>
      <c r="U55" s="60">
        <f si="0" t="shared"/>
        <v>-4.6085602533700003</v>
      </c>
    </row>
    <row r="56" spans="18:21" x14ac:dyDescent="0.25">
      <c r="R56">
        <v>80</v>
      </c>
      <c r="S56" t="s">
        <v>126</v>
      </c>
      <c r="T56" s="59">
        <f>SchoolLocationCoefficient!E64</f>
        <v>-20</v>
      </c>
      <c r="U56" s="60">
        <f si="0" t="shared"/>
        <v>-20</v>
      </c>
    </row>
    <row r="57" spans="18:21" x14ac:dyDescent="0.25">
      <c r="R57">
        <v>81</v>
      </c>
      <c r="S57" t="s">
        <v>127</v>
      </c>
      <c r="T57" s="59">
        <f>SchoolLocationCoefficient!E65</f>
        <v>-16.8297323695</v>
      </c>
      <c r="U57" s="60">
        <f si="0" t="shared"/>
        <v>-16.8297323695</v>
      </c>
    </row>
    <row r="58" spans="18:21" x14ac:dyDescent="0.25">
      <c r="R58">
        <v>82</v>
      </c>
      <c r="S58" t="s">
        <v>128</v>
      </c>
      <c r="T58" s="59">
        <f>SchoolLocationCoefficient!E66</f>
        <v>-30</v>
      </c>
      <c r="U58" s="60">
        <f si="0" t="shared"/>
        <v>-30</v>
      </c>
    </row>
    <row r="59" spans="18:21" x14ac:dyDescent="0.25">
      <c r="R59">
        <v>83</v>
      </c>
      <c r="S59" t="s">
        <v>129</v>
      </c>
      <c r="T59" s="59">
        <f>SchoolLocationCoefficient!E67</f>
        <v>0</v>
      </c>
      <c r="U59" s="60">
        <f si="0" t="shared"/>
        <v>0</v>
      </c>
    </row>
    <row r="60" spans="18:21" x14ac:dyDescent="0.25">
      <c r="R60">
        <v>84</v>
      </c>
      <c r="S60" t="s">
        <v>130</v>
      </c>
      <c r="T60" s="59">
        <f>SchoolLocationCoefficient!E68</f>
        <v>-3.8243167264700002</v>
      </c>
      <c r="U60" s="60">
        <f si="0" t="shared"/>
        <v>-3.8243167264700002</v>
      </c>
    </row>
    <row r="61" spans="18:21" x14ac:dyDescent="0.25">
      <c r="R61">
        <v>98</v>
      </c>
      <c r="S61" t="s">
        <v>131</v>
      </c>
      <c r="T61" s="59">
        <f>SchoolLocationCoefficient!E69</f>
        <v>0</v>
      </c>
      <c r="U61" s="60">
        <f si="0" t="shared"/>
        <v>0</v>
      </c>
    </row>
    <row r="62" spans="18:21" x14ac:dyDescent="0.25">
      <c r="R62">
        <v>99</v>
      </c>
      <c r="S62" t="s">
        <v>132</v>
      </c>
      <c r="T62" s="59">
        <f>SchoolLocationCoefficient!E70</f>
        <v>0.11248071060500001</v>
      </c>
      <c r="U62" s="60">
        <f si="0" t="shared"/>
        <v>0.11248071060500001</v>
      </c>
    </row>
  </sheetData>
  <pageMargins bottom="0.75" footer="0.3" header="0.3" left="0.7" right="0.7" top="0.75"/>
  <pageSetup orientation="portrait" r:id="rId1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baseType="lpstr" size="30">
      <vt:lpstr>TLFD</vt:lpstr>
      <vt:lpstr>TDFD</vt:lpstr>
      <vt:lpstr>TDFD_Agg</vt:lpstr>
      <vt:lpstr>County_Flow</vt:lpstr>
      <vt:lpstr>SchoolAtHome</vt:lpstr>
      <vt:lpstr>Documentation</vt:lpstr>
      <vt:lpstr>CoeffDef</vt:lpstr>
      <vt:lpstr>SchoolLocationCoefficient</vt:lpstr>
      <vt:lpstr>Calibration</vt:lpstr>
      <vt:lpstr>athm</vt:lpstr>
      <vt:lpstr>avgdist</vt:lpstr>
      <vt:lpstr>avgtime</vt:lpstr>
      <vt:lpstr>flows</vt:lpstr>
      <vt:lpstr>out1</vt:lpstr>
      <vt:lpstr>out10</vt:lpstr>
      <vt:lpstr>out11</vt:lpstr>
      <vt:lpstr>out12</vt:lpstr>
      <vt:lpstr>out13</vt:lpstr>
      <vt:lpstr>out14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Sch_dist</vt:lpstr>
      <vt:lpstr>Sch_time</vt:lpstr>
      <vt:lpstr>tot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2017-10-26T15:42:08Z</dcterms:modified>
</cp:coreProperties>
</file>