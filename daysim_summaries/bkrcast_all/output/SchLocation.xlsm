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6F34C953-25B8-46D4-AF85-D9F6AF6EC521}" xr6:coauthVersionLast="47" xr6:coauthVersionMax="47" xr10:uidLastSave="{00000000-0000-0000-0000-000000000000}"/>
  <bookViews>
    <workbookView xWindow="10545" yWindow="4890" windowWidth="7200" windowHeight="4050" firstSheet="3" activeTab="3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County_Flow!$M$7:$S$13</definedName>
    <definedName name="out_12">SchoolAtHome!$I$18:$K$24</definedName>
    <definedName name="out_14">SchoolAtHome!$I$7:$K$13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Q33" i="12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B26" i="1" s="1"/>
  <c r="U9" i="1"/>
  <c r="H22" i="1" s="1"/>
  <c r="U8" i="1"/>
  <c r="H21" i="1" s="1"/>
  <c r="U7" i="1"/>
  <c r="J7" i="1"/>
  <c r="I26" i="1" l="1"/>
  <c r="G26" i="1"/>
  <c r="E26" i="1"/>
  <c r="D26" i="1"/>
  <c r="C26" i="1"/>
  <c r="H26" i="1"/>
  <c r="F26" i="1"/>
  <c r="H20" i="1"/>
  <c r="J26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Q39" i="1" l="1"/>
  <c r="S33" i="1"/>
  <c r="N39" i="1"/>
  <c r="P39" i="1"/>
  <c r="R39" i="1"/>
  <c r="S37" i="1"/>
  <c r="S36" i="1"/>
  <c r="S39" i="1"/>
  <c r="S35" i="1"/>
  <c r="S38" i="1"/>
  <c r="M39" i="1"/>
  <c r="O39" i="1"/>
  <c r="S34" i="1"/>
  <c r="G17" i="15"/>
  <c r="H28" i="1"/>
  <c r="T40" i="1"/>
  <c r="N40" i="1"/>
  <c r="Q40" i="1"/>
  <c r="U40" i="1"/>
  <c r="T39" i="1"/>
  <c r="P40" i="1"/>
  <c r="M40" i="1"/>
  <c r="R40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H33" i="1" s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G39" i="1" l="1"/>
  <c r="D39" i="1"/>
  <c r="Z39" i="1" s="1"/>
  <c r="E39" i="1"/>
  <c r="C39" i="1"/>
  <c r="Y39" i="1" s="1"/>
  <c r="I39" i="1"/>
  <c r="H39" i="1"/>
  <c r="AD39" i="1" s="1"/>
  <c r="AC39" i="1"/>
  <c r="B39" i="1"/>
  <c r="X39" i="1" s="1"/>
  <c r="H38" i="1"/>
  <c r="AD38" i="1" s="1"/>
  <c r="H35" i="1"/>
  <c r="AD35" i="1" s="1"/>
  <c r="H37" i="1"/>
  <c r="AD37" i="1" s="1"/>
  <c r="H34" i="1"/>
  <c r="AD34" i="1" s="1"/>
  <c r="H36" i="1"/>
  <c r="AD36" i="1" s="1"/>
  <c r="AA39" i="1"/>
  <c r="AD33" i="1"/>
  <c r="F39" i="1"/>
  <c r="AB39" i="1" s="1"/>
  <c r="F35" i="1"/>
  <c r="AB35" i="1" s="1"/>
  <c r="H40" i="1"/>
  <c r="AD40" i="1" s="1"/>
  <c r="J39" i="1"/>
  <c r="AF39" i="1" s="1"/>
  <c r="H41" i="1"/>
  <c r="AD41" i="1" s="1"/>
  <c r="AE39" i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<sst xmlns="http://schemas.openxmlformats.org/spreadsheetml/2006/main" count="673" uniqueCount="260">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</sst>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168" fontId="0" fillId="0" borderId="5" xfId="8" applyNumberFormat="1" applyFont="1" applyBorder="1"/>
    <xf numFmtId="168" fontId="0" fillId="0" borderId="4" xfId="8" applyNumberFormat="1" applyFont="1" applyBorder="1"/>
    <xf numFmtId="168" fontId="0" fillId="0" borderId="0" xfId="8" applyNumberFormat="1" applyFont="1"/>
    <xf numFmtId="168" fontId="0" fillId="0" borderId="1" xfId="8" applyNumberFormat="1" applyFont="1" applyBorder="1"/>
    <xf numFmtId="168" fontId="2" fillId="0" borderId="0" xfId="8" applyNumberFormat="1" applyFont="1" applyAlignment="1"/>
    <xf numFmtId="168" fontId="0" fillId="0" borderId="3" xfId="8" applyNumberFormat="1" applyFont="1" applyBorder="1"/>
    <xf numFmtId="168" fontId="0" fillId="0" borderId="0" xfId="8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28283.803500000002</c:v>
                </c:pt>
                <c:pt idx="1">
                  <c:v>37057.117700000003</c:v>
                </c:pt>
                <c:pt idx="2">
                  <c:v>41808.894600000007</c:v>
                </c:pt>
                <c:pt idx="3">
                  <c:v>61176.952599999997</c:v>
                </c:pt>
                <c:pt idx="4">
                  <c:v>124119.2781</c:v>
                </c:pt>
                <c:pt idx="5">
                  <c:v>55653.2886</c:v>
                </c:pt>
                <c:pt idx="6">
                  <c:v>93708.412800000006</c:v>
                </c:pt>
                <c:pt idx="7">
                  <c:v>28200.5867</c:v>
                </c:pt>
                <c:pt idx="8">
                  <c:v>23643.332900000001</c:v>
                </c:pt>
                <c:pt idx="9">
                  <c:v>13889.3331</c:v>
                </c:pt>
                <c:pt idx="10">
                  <c:v>28697.0995</c:v>
                </c:pt>
                <c:pt idx="11">
                  <c:v>11390.559899999998</c:v>
                </c:pt>
                <c:pt idx="12">
                  <c:v>6652.1427999999996</c:v>
                </c:pt>
                <c:pt idx="13">
                  <c:v>2205.5441999999998</c:v>
                </c:pt>
                <c:pt idx="14">
                  <c:v>3804.7914999999998</c:v>
                </c:pt>
                <c:pt idx="15">
                  <c:v>3020.4777000000004</c:v>
                </c:pt>
                <c:pt idx="16">
                  <c:v>6187.3109999999997</c:v>
                </c:pt>
                <c:pt idx="17">
                  <c:v>1403.6229999999998</c:v>
                </c:pt>
                <c:pt idx="18">
                  <c:v>3288.2235000000001</c:v>
                </c:pt>
                <c:pt idx="19">
                  <c:v>1865.4735000000001</c:v>
                </c:pt>
                <c:pt idx="20">
                  <c:v>326.2987</c:v>
                </c:pt>
                <c:pt idx="21">
                  <c:v>6190.7829000000002</c:v>
                </c:pt>
                <c:pt idx="22">
                  <c:v>266.13509999999997</c:v>
                </c:pt>
                <c:pt idx="23">
                  <c:v>3070.7799</c:v>
                </c:pt>
                <c:pt idx="24">
                  <c:v>458.12399999999997</c:v>
                </c:pt>
                <c:pt idx="25">
                  <c:v>87.069000000000003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154554</c:v>
                </c:pt>
                <c:pt idx="1">
                  <c:v>102764</c:v>
                </c:pt>
                <c:pt idx="2">
                  <c:v>61626</c:v>
                </c:pt>
                <c:pt idx="3">
                  <c:v>38955</c:v>
                </c:pt>
                <c:pt idx="4">
                  <c:v>138249</c:v>
                </c:pt>
                <c:pt idx="5">
                  <c:v>68285</c:v>
                </c:pt>
                <c:pt idx="6">
                  <c:v>65567</c:v>
                </c:pt>
                <c:pt idx="7">
                  <c:v>37877</c:v>
                </c:pt>
                <c:pt idx="8">
                  <c:v>35203</c:v>
                </c:pt>
                <c:pt idx="9">
                  <c:v>24449</c:v>
                </c:pt>
                <c:pt idx="10">
                  <c:v>9749</c:v>
                </c:pt>
                <c:pt idx="11">
                  <c:v>11080</c:v>
                </c:pt>
                <c:pt idx="12">
                  <c:v>9357</c:v>
                </c:pt>
                <c:pt idx="13">
                  <c:v>10847</c:v>
                </c:pt>
                <c:pt idx="14">
                  <c:v>7637</c:v>
                </c:pt>
                <c:pt idx="15">
                  <c:v>5039</c:v>
                </c:pt>
                <c:pt idx="16">
                  <c:v>4434</c:v>
                </c:pt>
                <c:pt idx="17">
                  <c:v>3749</c:v>
                </c:pt>
                <c:pt idx="18">
                  <c:v>4375</c:v>
                </c:pt>
                <c:pt idx="19">
                  <c:v>1941</c:v>
                </c:pt>
                <c:pt idx="20">
                  <c:v>4137</c:v>
                </c:pt>
                <c:pt idx="21">
                  <c:v>2779</c:v>
                </c:pt>
                <c:pt idx="22">
                  <c:v>2173</c:v>
                </c:pt>
                <c:pt idx="23">
                  <c:v>1769</c:v>
                </c:pt>
                <c:pt idx="24">
                  <c:v>1877</c:v>
                </c:pt>
                <c:pt idx="25">
                  <c:v>1239</c:v>
                </c:pt>
                <c:pt idx="26">
                  <c:v>971</c:v>
                </c:pt>
                <c:pt idx="27">
                  <c:v>1447</c:v>
                </c:pt>
                <c:pt idx="28">
                  <c:v>1012</c:v>
                </c:pt>
                <c:pt idx="29">
                  <c:v>290</c:v>
                </c:pt>
                <c:pt idx="30">
                  <c:v>1319</c:v>
                </c:pt>
                <c:pt idx="31">
                  <c:v>799</c:v>
                </c:pt>
                <c:pt idx="32">
                  <c:v>524</c:v>
                </c:pt>
                <c:pt idx="33">
                  <c:v>504</c:v>
                </c:pt>
                <c:pt idx="34">
                  <c:v>449</c:v>
                </c:pt>
                <c:pt idx="35">
                  <c:v>173</c:v>
                </c:pt>
                <c:pt idx="36">
                  <c:v>752</c:v>
                </c:pt>
                <c:pt idx="37">
                  <c:v>209</c:v>
                </c:pt>
                <c:pt idx="38">
                  <c:v>327</c:v>
                </c:pt>
                <c:pt idx="39">
                  <c:v>217</c:v>
                </c:pt>
                <c:pt idx="40">
                  <c:v>205</c:v>
                </c:pt>
                <c:pt idx="41">
                  <c:v>140</c:v>
                </c:pt>
                <c:pt idx="42">
                  <c:v>67</c:v>
                </c:pt>
                <c:pt idx="43">
                  <c:v>98</c:v>
                </c:pt>
                <c:pt idx="44">
                  <c:v>44</c:v>
                </c:pt>
                <c:pt idx="45">
                  <c:v>205</c:v>
                </c:pt>
                <c:pt idx="46">
                  <c:v>175</c:v>
                </c:pt>
                <c:pt idx="47">
                  <c:v>79</c:v>
                </c:pt>
                <c:pt idx="48">
                  <c:v>25</c:v>
                </c:pt>
                <c:pt idx="49">
                  <c:v>161</c:v>
                </c:pt>
                <c:pt idx="50">
                  <c:v>4</c:v>
                </c:pt>
                <c:pt idx="51">
                  <c:v>30</c:v>
                </c:pt>
                <c:pt idx="52">
                  <c:v>7</c:v>
                </c:pt>
                <c:pt idx="53">
                  <c:v>36</c:v>
                </c:pt>
                <c:pt idx="54">
                  <c:v>3</c:v>
                </c:pt>
                <c:pt idx="55">
                  <c:v>0</c:v>
                </c:pt>
                <c:pt idx="56">
                  <c:v>9</c:v>
                </c:pt>
                <c:pt idx="57">
                  <c:v>3</c:v>
                </c:pt>
                <c:pt idx="58">
                  <c:v>7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6976"/>
        <c:axId val="331300112"/>
      </c:lineChart>
      <c:catAx>
        <c:axId val="33129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300112"/>
        <c:crosses val="autoZero"/>
        <c:auto val="1"/>
        <c:lblAlgn val="ctr"/>
        <c:lblOffset val="100"/>
        <c:noMultiLvlLbl val="0"/>
      </c:catAx>
      <c:valAx>
        <c:axId val="3313001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6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8226.0259000000005</c:v>
                </c:pt>
                <c:pt idx="4">
                  <c:v>11133.814400000001</c:v>
                </c:pt>
                <c:pt idx="5">
                  <c:v>13429.1803</c:v>
                </c:pt>
                <c:pt idx="6">
                  <c:v>7461.1718000000001</c:v>
                </c:pt>
                <c:pt idx="7">
                  <c:v>10962.8501</c:v>
                </c:pt>
                <c:pt idx="8">
                  <c:v>3418.5214999999998</c:v>
                </c:pt>
                <c:pt idx="9">
                  <c:v>11882.283399999998</c:v>
                </c:pt>
                <c:pt idx="10">
                  <c:v>5144.3666000000003</c:v>
                </c:pt>
                <c:pt idx="11">
                  <c:v>9585.0202000000008</c:v>
                </c:pt>
                <c:pt idx="12">
                  <c:v>22760.1551</c:v>
                </c:pt>
                <c:pt idx="13">
                  <c:v>8704.3775999999998</c:v>
                </c:pt>
                <c:pt idx="14">
                  <c:v>13748.096600000001</c:v>
                </c:pt>
                <c:pt idx="15">
                  <c:v>1540.0192</c:v>
                </c:pt>
                <c:pt idx="16">
                  <c:v>29645.162799999998</c:v>
                </c:pt>
                <c:pt idx="17">
                  <c:v>11738.621099999998</c:v>
                </c:pt>
                <c:pt idx="18">
                  <c:v>48306.394099999998</c:v>
                </c:pt>
                <c:pt idx="19">
                  <c:v>29028.595399999998</c:v>
                </c:pt>
                <c:pt idx="20">
                  <c:v>46657.832900000009</c:v>
                </c:pt>
                <c:pt idx="21">
                  <c:v>26928.785100000001</c:v>
                </c:pt>
                <c:pt idx="22">
                  <c:v>27811.2425</c:v>
                </c:pt>
                <c:pt idx="23">
                  <c:v>6255.8771999999999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41901.392099999997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19811.379900000004</c:v>
                </c:pt>
                <c:pt idx="31">
                  <c:v>8290.7476000000006</c:v>
                </c:pt>
                <c:pt idx="32">
                  <c:v>5669.9252000000006</c:v>
                </c:pt>
                <c:pt idx="33">
                  <c:v>5997.2613999999994</c:v>
                </c:pt>
                <c:pt idx="34">
                  <c:v>14736.835499999999</c:v>
                </c:pt>
                <c:pt idx="35">
                  <c:v>826.43970000000002</c:v>
                </c:pt>
                <c:pt idx="36">
                  <c:v>1609.7055</c:v>
                </c:pt>
                <c:pt idx="37">
                  <c:v>6643.0817999999999</c:v>
                </c:pt>
                <c:pt idx="38">
                  <c:v>6114.2946999999995</c:v>
                </c:pt>
                <c:pt idx="39">
                  <c:v>2063.2050999999997</c:v>
                </c:pt>
                <c:pt idx="40">
                  <c:v>201.06739999999999</c:v>
                </c:pt>
                <c:pt idx="41">
                  <c:v>5718.7871999999998</c:v>
                </c:pt>
                <c:pt idx="42">
                  <c:v>214.2046</c:v>
                </c:pt>
                <c:pt idx="43">
                  <c:v>1068.8702000000001</c:v>
                </c:pt>
                <c:pt idx="44">
                  <c:v>1276.2198000000001</c:v>
                </c:pt>
                <c:pt idx="45">
                  <c:v>21000.450500000003</c:v>
                </c:pt>
                <c:pt idx="46">
                  <c:v>1472.4092000000001</c:v>
                </c:pt>
                <c:pt idx="47">
                  <c:v>988.41480000000001</c:v>
                </c:pt>
                <c:pt idx="48">
                  <c:v>82.013999999999996</c:v>
                </c:pt>
                <c:pt idx="49">
                  <c:v>1436.174</c:v>
                </c:pt>
                <c:pt idx="50">
                  <c:v>742.70370000000003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56999</c:v>
                </c:pt>
                <c:pt idx="1">
                  <c:v>21686</c:v>
                </c:pt>
                <c:pt idx="2">
                  <c:v>28264</c:v>
                </c:pt>
                <c:pt idx="3">
                  <c:v>30883</c:v>
                </c:pt>
                <c:pt idx="4">
                  <c:v>31000</c:v>
                </c:pt>
                <c:pt idx="5">
                  <c:v>29564</c:v>
                </c:pt>
                <c:pt idx="6">
                  <c:v>28242</c:v>
                </c:pt>
                <c:pt idx="7">
                  <c:v>25319</c:v>
                </c:pt>
                <c:pt idx="8">
                  <c:v>21928</c:v>
                </c:pt>
                <c:pt idx="9">
                  <c:v>19670</c:v>
                </c:pt>
                <c:pt idx="10">
                  <c:v>17278</c:v>
                </c:pt>
                <c:pt idx="11">
                  <c:v>14535</c:v>
                </c:pt>
                <c:pt idx="12">
                  <c:v>13183</c:v>
                </c:pt>
                <c:pt idx="13">
                  <c:v>10916</c:v>
                </c:pt>
                <c:pt idx="14">
                  <c:v>10438</c:v>
                </c:pt>
                <c:pt idx="15">
                  <c:v>8789</c:v>
                </c:pt>
                <c:pt idx="16">
                  <c:v>9382</c:v>
                </c:pt>
                <c:pt idx="17">
                  <c:v>7992</c:v>
                </c:pt>
                <c:pt idx="18">
                  <c:v>95927</c:v>
                </c:pt>
                <c:pt idx="19">
                  <c:v>23591</c:v>
                </c:pt>
                <c:pt idx="20">
                  <c:v>31660</c:v>
                </c:pt>
                <c:pt idx="21">
                  <c:v>28601</c:v>
                </c:pt>
                <c:pt idx="22">
                  <c:v>28617</c:v>
                </c:pt>
                <c:pt idx="23">
                  <c:v>25171</c:v>
                </c:pt>
                <c:pt idx="24">
                  <c:v>22433</c:v>
                </c:pt>
                <c:pt idx="25">
                  <c:v>21199</c:v>
                </c:pt>
                <c:pt idx="26">
                  <c:v>17526</c:v>
                </c:pt>
                <c:pt idx="27">
                  <c:v>16293</c:v>
                </c:pt>
                <c:pt idx="28">
                  <c:v>13929</c:v>
                </c:pt>
                <c:pt idx="29">
                  <c:v>9198</c:v>
                </c:pt>
                <c:pt idx="30">
                  <c:v>9004</c:v>
                </c:pt>
                <c:pt idx="31">
                  <c:v>8415</c:v>
                </c:pt>
                <c:pt idx="32">
                  <c:v>11250</c:v>
                </c:pt>
                <c:pt idx="33">
                  <c:v>10609</c:v>
                </c:pt>
                <c:pt idx="34">
                  <c:v>6522</c:v>
                </c:pt>
                <c:pt idx="35">
                  <c:v>3702</c:v>
                </c:pt>
                <c:pt idx="36">
                  <c:v>4196</c:v>
                </c:pt>
                <c:pt idx="37">
                  <c:v>6060</c:v>
                </c:pt>
                <c:pt idx="38">
                  <c:v>2210</c:v>
                </c:pt>
                <c:pt idx="39">
                  <c:v>5152</c:v>
                </c:pt>
                <c:pt idx="40">
                  <c:v>3122</c:v>
                </c:pt>
                <c:pt idx="41">
                  <c:v>1819</c:v>
                </c:pt>
                <c:pt idx="42">
                  <c:v>2135</c:v>
                </c:pt>
                <c:pt idx="43">
                  <c:v>1574</c:v>
                </c:pt>
                <c:pt idx="44">
                  <c:v>1086</c:v>
                </c:pt>
                <c:pt idx="45">
                  <c:v>2601</c:v>
                </c:pt>
                <c:pt idx="46">
                  <c:v>1121</c:v>
                </c:pt>
                <c:pt idx="47">
                  <c:v>2809</c:v>
                </c:pt>
                <c:pt idx="48">
                  <c:v>1900</c:v>
                </c:pt>
                <c:pt idx="49">
                  <c:v>1610</c:v>
                </c:pt>
                <c:pt idx="50">
                  <c:v>818</c:v>
                </c:pt>
                <c:pt idx="51">
                  <c:v>1456</c:v>
                </c:pt>
                <c:pt idx="52">
                  <c:v>833</c:v>
                </c:pt>
                <c:pt idx="53">
                  <c:v>514</c:v>
                </c:pt>
                <c:pt idx="54">
                  <c:v>959</c:v>
                </c:pt>
                <c:pt idx="55">
                  <c:v>1227</c:v>
                </c:pt>
                <c:pt idx="56">
                  <c:v>854</c:v>
                </c:pt>
                <c:pt idx="57">
                  <c:v>831</c:v>
                </c:pt>
                <c:pt idx="58">
                  <c:v>535</c:v>
                </c:pt>
                <c:pt idx="59">
                  <c:v>328</c:v>
                </c:pt>
                <c:pt idx="60">
                  <c:v>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7760"/>
        <c:axId val="331298544"/>
      </c:lineChart>
      <c:catAx>
        <c:axId val="33129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298544"/>
        <c:crosses val="autoZero"/>
        <c:auto val="1"/>
        <c:lblAlgn val="ctr"/>
        <c:lblOffset val="100"/>
        <c:noMultiLvlLbl val="0"/>
      </c:catAx>
      <c:valAx>
        <c:axId val="33129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7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workbookViewId="0">
      <selection activeCell="L21" sqref="L2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7" max="7" customWidth="true" width="13.13281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9" x14ac:dyDescent="0.45">
      <c r="A1" t="s">
        <v>1</v>
      </c>
    </row>
    <row r="2" spans="1:19" x14ac:dyDescent="0.45">
      <c r="A2" t="s">
        <v>247</v>
      </c>
    </row>
    <row r="3" spans="1:19" x14ac:dyDescent="0.45">
      <c r="A3" t="s">
        <v>248</v>
      </c>
    </row>
    <row r="4" spans="1:19" x14ac:dyDescent="0.45">
      <c r="A4" t="s">
        <v>4</v>
      </c>
    </row>
    <row r="5" spans="1:19" x14ac:dyDescent="0.45">
      <c r="A5" t="s">
        <v>5</v>
      </c>
    </row>
    <row r="7" spans="1:19" x14ac:dyDescent="0.45">
      <c r="A7" t="s">
        <v>8</v>
      </c>
    </row>
    <row r="9" spans="1:19" ht="14.65" thickBot="1" x14ac:dyDescent="0.5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4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r="11" spans="1:19" ht="14.65" thickBot="1" x14ac:dyDescent="0.5">
      <c r="A11">
        <v>0</v>
      </c>
      <c r="B11" s="83" t="n">
        <v>20622.8836</v>
      </c>
      <c r="C11" s="83" t="n">
        <v>0.0</v>
      </c>
      <c r="D11" s="83" t="n">
        <v>7660.9199</v>
      </c>
      <c r="E11" s="83">
        <f t="shared" ref="E11:E42" si="0">SUM(B11:D11)</f>
        <v>28283.803500000002</v>
      </c>
      <c r="G11">
        <v>0</v>
      </c>
      <c r="H11" s="83" t="n">
        <v>113961.0</v>
      </c>
      <c r="I11" s="83" t="n">
        <v>15192.0</v>
      </c>
      <c r="J11" s="85" t="n">
        <v>26752.0</v>
      </c>
      <c r="K11" s="83">
        <f t="shared" ref="K11:K42" si="1">SUM(H11:J11)</f>
        <v>154554</v>
      </c>
      <c r="M11" t="s">
        <v>41</v>
      </c>
      <c r="N11" s="9" t="n">
        <v>5.295586660763182</v>
      </c>
      <c r="O11" s="9" t="n">
        <v>3.5233419769219387</v>
      </c>
      <c r="Q11" s="1" t="s">
        <v>3</v>
      </c>
      <c r="R11" s="10"/>
      <c r="S11" s="10"/>
    </row>
    <row r="12" spans="1:19" x14ac:dyDescent="0.45">
      <c r="A12">
        <v>1</v>
      </c>
      <c r="B12" s="83" t="n">
        <v>32911.2192</v>
      </c>
      <c r="C12" s="83" t="n">
        <v>3301.3162</v>
      </c>
      <c r="D12" s="83" t="n">
        <v>844.5823</v>
      </c>
      <c r="E12" s="83">
        <f t="shared" si="0"/>
        <v>37057.117700000003</v>
      </c>
      <c r="G12">
        <v>1</v>
      </c>
      <c r="H12" s="83" t="n">
        <v>81262.0</v>
      </c>
      <c r="I12" s="83" t="n">
        <v>9740.0</v>
      </c>
      <c r="J12" s="85" t="n">
        <v>11357.0</v>
      </c>
      <c r="K12" s="83">
        <f t="shared" si="1"/>
        <v>102764</v>
      </c>
      <c r="M12" t="s">
        <v>42</v>
      </c>
      <c r="N12" s="9" t="n">
        <v>6.415557529988825</v>
      </c>
      <c r="O12" s="9" t="n">
        <v>5.203377522289548</v>
      </c>
      <c r="R12" s="9"/>
      <c r="S12" s="9"/>
    </row>
    <row r="13" spans="1:19" x14ac:dyDescent="0.45">
      <c r="A13">
        <v>2</v>
      </c>
      <c r="B13" s="83" t="n">
        <v>37425.1108</v>
      </c>
      <c r="C13" s="83" t="n">
        <v>2652.9</v>
      </c>
      <c r="D13" s="83" t="n">
        <v>1730.8838</v>
      </c>
      <c r="E13" s="83">
        <f t="shared" si="0"/>
        <v>41808.894600000007</v>
      </c>
      <c r="G13">
        <v>2</v>
      </c>
      <c r="H13" s="83" t="n">
        <v>48031.0</v>
      </c>
      <c r="I13" s="83" t="n">
        <v>6821.0</v>
      </c>
      <c r="J13" s="85" t="n">
        <v>6578.0</v>
      </c>
      <c r="K13" s="83">
        <f t="shared" si="1"/>
        <v>61626</v>
      </c>
      <c r="M13" s="6" t="s">
        <v>43</v>
      </c>
      <c r="N13" s="18" t="n">
        <v>8.10780648759595</v>
      </c>
      <c r="O13" s="18" t="n">
        <v>8.086794032780965</v>
      </c>
      <c r="Q13" s="7"/>
      <c r="R13" s="33"/>
      <c r="S13" s="33"/>
    </row>
    <row r="14" spans="1:19" ht="14.65" thickBot="1" x14ac:dyDescent="0.5">
      <c r="A14">
        <v>3</v>
      </c>
      <c r="B14" s="83" t="n">
        <v>52295.9745</v>
      </c>
      <c r="C14" s="83" t="n">
        <v>5458.6975</v>
      </c>
      <c r="D14" s="83" t="n">
        <v>3422.2806</v>
      </c>
      <c r="E14" s="83">
        <f t="shared" si="0"/>
        <v>61176.952599999997</v>
      </c>
      <c r="G14">
        <v>3</v>
      </c>
      <c r="H14" s="83" t="n">
        <v>29107.0</v>
      </c>
      <c r="I14" s="83" t="n">
        <v>4699.0</v>
      </c>
      <c r="J14" s="85" t="n">
        <v>5551.0</v>
      </c>
      <c r="K14" s="83">
        <f t="shared" si="1"/>
        <v>38955</v>
      </c>
      <c r="M14" s="1" t="s">
        <v>3</v>
      </c>
      <c r="N14" s="10" t="n">
        <v>5.739509620086852</v>
      </c>
      <c r="O14" s="10" t="n">
        <v>4.98785877757526</v>
      </c>
    </row>
    <row r="15" spans="1:19" x14ac:dyDescent="0.45">
      <c r="A15">
        <v>4</v>
      </c>
      <c r="B15" s="83" t="n">
        <v>99648.9129</v>
      </c>
      <c r="C15" s="83" t="n">
        <v>12602.233</v>
      </c>
      <c r="D15" s="83" t="n">
        <v>11868.1322</v>
      </c>
      <c r="E15" s="83">
        <f t="shared" si="0"/>
        <v>124119.2781</v>
      </c>
      <c r="G15">
        <v>4</v>
      </c>
      <c r="H15" s="83" t="n">
        <v>95858.0</v>
      </c>
      <c r="I15" s="83" t="n">
        <v>18300.0</v>
      </c>
      <c r="J15" s="85" t="n">
        <v>25470.0</v>
      </c>
      <c r="K15" s="83">
        <f t="shared" si="1"/>
        <v>138249</v>
      </c>
    </row>
    <row r="16" spans="1:19" x14ac:dyDescent="0.45">
      <c r="A16">
        <v>5</v>
      </c>
      <c r="B16" s="83" t="n">
        <v>41873.7112</v>
      </c>
      <c r="C16" s="83" t="n">
        <v>8814.9107</v>
      </c>
      <c r="D16" s="83" t="n">
        <v>4964.6667</v>
      </c>
      <c r="E16" s="83">
        <f t="shared" si="0"/>
        <v>55653.2886</v>
      </c>
      <c r="G16">
        <v>5</v>
      </c>
      <c r="H16" s="83" t="n">
        <v>36436.0</v>
      </c>
      <c r="I16" s="83" t="n">
        <v>9262.0</v>
      </c>
      <c r="J16" s="85" t="n">
        <v>24682.0</v>
      </c>
      <c r="K16" s="83">
        <f t="shared" si="1"/>
        <v>68285</v>
      </c>
    </row>
    <row r="17" spans="1:11" x14ac:dyDescent="0.45">
      <c r="A17">
        <v>6</v>
      </c>
      <c r="B17" s="83" t="n">
        <v>72254.489</v>
      </c>
      <c r="C17" s="83" t="n">
        <v>13808.6239</v>
      </c>
      <c r="D17" s="83" t="n">
        <v>7645.2999</v>
      </c>
      <c r="E17" s="83">
        <f t="shared" si="0"/>
        <v>93708.412800000006</v>
      </c>
      <c r="G17">
        <v>6</v>
      </c>
      <c r="H17" s="83" t="n">
        <v>37575.0</v>
      </c>
      <c r="I17" s="83" t="n">
        <v>9000.0</v>
      </c>
      <c r="J17" s="85" t="n">
        <v>22372.0</v>
      </c>
      <c r="K17" s="83">
        <f t="shared" si="1"/>
        <v>65567</v>
      </c>
    </row>
    <row r="18" spans="1:11" x14ac:dyDescent="0.45">
      <c r="A18">
        <v>7</v>
      </c>
      <c r="B18" s="83" t="n">
        <v>20062.4445</v>
      </c>
      <c r="C18" s="83" t="n">
        <v>2110.6226</v>
      </c>
      <c r="D18" s="83" t="n">
        <v>6027.5196</v>
      </c>
      <c r="E18" s="83">
        <f t="shared" si="0"/>
        <v>28200.5867</v>
      </c>
      <c r="G18">
        <v>7</v>
      </c>
      <c r="H18" s="83" t="n">
        <v>14138.0</v>
      </c>
      <c r="I18" s="83" t="n">
        <v>4055.0</v>
      </c>
      <c r="J18" s="85" t="n">
        <v>15693.0</v>
      </c>
      <c r="K18" s="83">
        <f t="shared" si="1"/>
        <v>37877</v>
      </c>
    </row>
    <row r="19" spans="1:11" x14ac:dyDescent="0.45">
      <c r="A19">
        <v>8</v>
      </c>
      <c r="B19" s="83" t="n">
        <v>16886.6081</v>
      </c>
      <c r="C19" s="83" t="n">
        <v>5540.8172</v>
      </c>
      <c r="D19" s="83" t="n">
        <v>1215.9076</v>
      </c>
      <c r="E19" s="83">
        <f t="shared" si="0"/>
        <v>23643.332900000001</v>
      </c>
      <c r="G19">
        <v>8</v>
      </c>
      <c r="H19" s="83" t="n">
        <v>17936.0</v>
      </c>
      <c r="I19" s="83" t="n">
        <v>4795.0</v>
      </c>
      <c r="J19" s="85" t="n">
        <v>16306.0</v>
      </c>
      <c r="K19" s="83">
        <f t="shared" si="1"/>
        <v>35203</v>
      </c>
    </row>
    <row r="20" spans="1:11" x14ac:dyDescent="0.45">
      <c r="A20">
        <v>9</v>
      </c>
      <c r="B20" s="83" t="n">
        <v>9186.5568</v>
      </c>
      <c r="C20" s="83" t="n">
        <v>3760.0686</v>
      </c>
      <c r="D20" s="83" t="n">
        <v>942.7076999999999</v>
      </c>
      <c r="E20" s="83">
        <f t="shared" si="0"/>
        <v>13889.3331</v>
      </c>
      <c r="G20">
        <v>9</v>
      </c>
      <c r="H20" s="83" t="n">
        <v>6283.0</v>
      </c>
      <c r="I20" s="83" t="n">
        <v>2576.0</v>
      </c>
      <c r="J20" s="85" t="n">
        <v>13716.0</v>
      </c>
      <c r="K20" s="83">
        <f t="shared" si="1"/>
        <v>24449</v>
      </c>
    </row>
    <row r="21" spans="1:11" x14ac:dyDescent="0.45">
      <c r="A21">
        <v>10</v>
      </c>
      <c r="B21" s="83" t="n">
        <v>20560.6374</v>
      </c>
      <c r="C21" s="83" t="n">
        <v>3606.0438</v>
      </c>
      <c r="D21" s="83" t="n">
        <v>4530.4183</v>
      </c>
      <c r="E21" s="83">
        <f t="shared" si="0"/>
        <v>28697.0995</v>
      </c>
      <c r="G21">
        <v>10</v>
      </c>
      <c r="H21" s="83" t="n">
        <v>3882.0</v>
      </c>
      <c r="I21" s="83" t="n">
        <v>1655.0</v>
      </c>
      <c r="J21" s="85" t="n">
        <v>4333.0</v>
      </c>
      <c r="K21" s="83">
        <f t="shared" si="1"/>
        <v>9749</v>
      </c>
    </row>
    <row r="22" spans="1:11" x14ac:dyDescent="0.45">
      <c r="A22">
        <v>11</v>
      </c>
      <c r="B22" s="83" t="n">
        <v>9027.6644</v>
      </c>
      <c r="C22" s="83" t="n">
        <v>1609.5451</v>
      </c>
      <c r="D22" s="83" t="n">
        <v>753.3503999999999</v>
      </c>
      <c r="E22" s="83">
        <f t="shared" si="0"/>
        <v>11390.559899999998</v>
      </c>
      <c r="G22">
        <v>11</v>
      </c>
      <c r="H22" s="83" t="n">
        <v>4763.0</v>
      </c>
      <c r="I22" s="83" t="n">
        <v>1912.0</v>
      </c>
      <c r="J22" s="85" t="n">
        <v>6003.0</v>
      </c>
      <c r="K22" s="83">
        <f t="shared" si="1"/>
        <v>11080</v>
      </c>
    </row>
    <row r="23" spans="1:11" x14ac:dyDescent="0.45">
      <c r="A23">
        <v>12</v>
      </c>
      <c r="B23" s="83" t="n">
        <v>2878.1041</v>
      </c>
      <c r="C23" s="83" t="n">
        <v>1171.11</v>
      </c>
      <c r="D23" s="83" t="n">
        <v>2602.9287</v>
      </c>
      <c r="E23" s="83">
        <f t="shared" si="0"/>
        <v>6652.1427999999996</v>
      </c>
      <c r="G23">
        <v>12</v>
      </c>
      <c r="H23" s="83" t="n">
        <v>2593.0</v>
      </c>
      <c r="I23" s="83" t="n">
        <v>1201.0</v>
      </c>
      <c r="J23" s="85" t="n">
        <v>6935.0</v>
      </c>
      <c r="K23" s="83">
        <f t="shared" si="1"/>
        <v>9357</v>
      </c>
    </row>
    <row r="24" spans="1:11" x14ac:dyDescent="0.45">
      <c r="A24">
        <v>13</v>
      </c>
      <c r="B24" s="83" t="n">
        <v>1833.3625</v>
      </c>
      <c r="C24" s="83" t="n">
        <v>0.0</v>
      </c>
      <c r="D24" s="83" t="n">
        <v>372.1817</v>
      </c>
      <c r="E24" s="83">
        <f t="shared" si="0"/>
        <v>2205.5441999999998</v>
      </c>
      <c r="G24">
        <v>13</v>
      </c>
      <c r="H24" s="83" t="n">
        <v>1589.0</v>
      </c>
      <c r="I24" s="83" t="n">
        <v>1193.0</v>
      </c>
      <c r="J24" s="85" t="n">
        <v>6695.0</v>
      </c>
      <c r="K24" s="83">
        <f t="shared" si="1"/>
        <v>10847</v>
      </c>
    </row>
    <row r="25" spans="1:11" x14ac:dyDescent="0.45">
      <c r="A25">
        <v>14</v>
      </c>
      <c r="B25" s="83" t="n">
        <v>1492.6572999999999</v>
      </c>
      <c r="C25" s="83" t="n">
        <v>0.0</v>
      </c>
      <c r="D25" s="83" t="n">
        <v>2312.1342</v>
      </c>
      <c r="E25" s="83">
        <f t="shared" si="0"/>
        <v>3804.7914999999998</v>
      </c>
      <c r="G25">
        <v>14</v>
      </c>
      <c r="H25" s="83" t="n">
        <v>767.0</v>
      </c>
      <c r="I25" s="83" t="n">
        <v>733.0</v>
      </c>
      <c r="J25" s="85" t="n">
        <v>6079.0</v>
      </c>
      <c r="K25" s="83">
        <f t="shared" si="1"/>
        <v>7637</v>
      </c>
    </row>
    <row r="26" spans="1:11" x14ac:dyDescent="0.45">
      <c r="A26">
        <v>15</v>
      </c>
      <c r="B26" s="83" t="n">
        <v>1031.4047</v>
      </c>
      <c r="C26" s="83" t="n">
        <v>0.0</v>
      </c>
      <c r="D26" s="83" t="n">
        <v>1989.073</v>
      </c>
      <c r="E26" s="83">
        <f t="shared" si="0"/>
        <v>3020.4777000000004</v>
      </c>
      <c r="G26">
        <v>15</v>
      </c>
      <c r="H26" s="83" t="n">
        <v>907.0</v>
      </c>
      <c r="I26" s="83" t="n">
        <v>908.0</v>
      </c>
      <c r="J26" s="85" t="n">
        <v>3479.0</v>
      </c>
      <c r="K26" s="83">
        <f t="shared" si="1"/>
        <v>5039</v>
      </c>
    </row>
    <row r="27" spans="1:11" x14ac:dyDescent="0.45">
      <c r="A27">
        <v>16</v>
      </c>
      <c r="B27" s="83" t="n">
        <v>4675.1829</v>
      </c>
      <c r="C27" s="83" t="n">
        <v>644.3417</v>
      </c>
      <c r="D27" s="83" t="n">
        <v>867.7864</v>
      </c>
      <c r="E27" s="83">
        <f t="shared" si="0"/>
        <v>6187.3109999999997</v>
      </c>
      <c r="G27">
        <v>16</v>
      </c>
      <c r="H27" s="83" t="n">
        <v>386.0</v>
      </c>
      <c r="I27" s="83" t="n">
        <v>580.0</v>
      </c>
      <c r="J27" s="85" t="n">
        <v>3871.0</v>
      </c>
      <c r="K27" s="83">
        <f t="shared" si="1"/>
        <v>4434</v>
      </c>
    </row>
    <row r="28" spans="1:11" x14ac:dyDescent="0.45">
      <c r="A28">
        <v>17</v>
      </c>
      <c r="B28" s="83" t="n">
        <v>476.72499999999997</v>
      </c>
      <c r="C28" s="83" t="n">
        <v>542.7239</v>
      </c>
      <c r="D28" s="83" t="n">
        <v>384.1741</v>
      </c>
      <c r="E28" s="83">
        <f t="shared" si="0"/>
        <v>1403.6229999999998</v>
      </c>
      <c r="G28">
        <v>17</v>
      </c>
      <c r="H28" s="83" t="n">
        <v>326.0</v>
      </c>
      <c r="I28" s="83" t="n">
        <v>552.0</v>
      </c>
      <c r="J28" s="85" t="n">
        <v>3223.0</v>
      </c>
      <c r="K28" s="83">
        <f t="shared" si="1"/>
        <v>3749</v>
      </c>
    </row>
    <row r="29" spans="1:11" x14ac:dyDescent="0.45">
      <c r="A29">
        <v>18</v>
      </c>
      <c r="B29" s="83" t="n">
        <v>1154.3296</v>
      </c>
      <c r="C29" s="83" t="n">
        <v>522.3251</v>
      </c>
      <c r="D29" s="83" t="n">
        <v>1611.5688</v>
      </c>
      <c r="E29" s="83">
        <f t="shared" si="0"/>
        <v>3288.2235000000001</v>
      </c>
      <c r="G29">
        <v>18</v>
      </c>
      <c r="H29" s="83" t="n">
        <v>171.0</v>
      </c>
      <c r="I29" s="83" t="n">
        <v>398.0</v>
      </c>
      <c r="J29" s="85" t="n">
        <v>2837.0</v>
      </c>
      <c r="K29" s="83">
        <f t="shared" si="1"/>
        <v>4375</v>
      </c>
    </row>
    <row r="30" spans="1:11" x14ac:dyDescent="0.45">
      <c r="A30">
        <v>19</v>
      </c>
      <c r="B30" s="83" t="n">
        <v>279.8517</v>
      </c>
      <c r="C30" s="83" t="n">
        <v>438.0688</v>
      </c>
      <c r="D30" s="83" t="n">
        <v>1147.553</v>
      </c>
      <c r="E30" s="83">
        <f t="shared" si="0"/>
        <v>1865.4735000000001</v>
      </c>
      <c r="G30">
        <v>19</v>
      </c>
      <c r="H30" s="83" t="n">
        <v>82.0</v>
      </c>
      <c r="I30" s="83" t="n">
        <v>251.0</v>
      </c>
      <c r="J30" s="85" t="n">
        <v>1433.0</v>
      </c>
      <c r="K30" s="83">
        <f t="shared" si="1"/>
        <v>1941</v>
      </c>
    </row>
    <row r="31" spans="1:11" x14ac:dyDescent="0.45">
      <c r="A31">
        <v>20</v>
      </c>
      <c r="B31" s="83" t="n">
        <v>0.0</v>
      </c>
      <c r="C31" s="83" t="n">
        <v>262.7907</v>
      </c>
      <c r="D31" s="83" t="n">
        <v>63.507999999999996</v>
      </c>
      <c r="E31" s="83">
        <f t="shared" si="0"/>
        <v>326.2987</v>
      </c>
      <c r="G31">
        <v>20</v>
      </c>
      <c r="H31" s="83" t="n">
        <v>63.0</v>
      </c>
      <c r="I31" s="83" t="n">
        <v>256.0</v>
      </c>
      <c r="J31" s="85" t="n">
        <v>3272.0</v>
      </c>
      <c r="K31" s="83">
        <f t="shared" si="1"/>
        <v>4137</v>
      </c>
    </row>
    <row r="32" spans="1:11" x14ac:dyDescent="0.45">
      <c r="A32">
        <v>21</v>
      </c>
      <c r="B32" s="83" t="n">
        <v>5789.6123</v>
      </c>
      <c r="C32" s="83" t="n">
        <v>309.8473</v>
      </c>
      <c r="D32" s="83" t="n">
        <v>91.32329999999999</v>
      </c>
      <c r="E32" s="83">
        <f t="shared" si="0"/>
        <v>6190.7829000000002</v>
      </c>
      <c r="G32">
        <v>21</v>
      </c>
      <c r="H32" s="83" t="n">
        <v>50.0</v>
      </c>
      <c r="I32" s="83" t="n">
        <v>178.0</v>
      </c>
      <c r="J32" s="85" t="n">
        <v>1747.0</v>
      </c>
      <c r="K32" s="83">
        <f t="shared" si="1"/>
        <v>2779</v>
      </c>
    </row>
    <row r="33" spans="1:11" x14ac:dyDescent="0.45">
      <c r="A33">
        <v>22</v>
      </c>
      <c r="B33" s="83" t="n">
        <v>212.6231</v>
      </c>
      <c r="C33" s="83" t="n">
        <v>0.0</v>
      </c>
      <c r="D33" s="83" t="n">
        <v>53.512</v>
      </c>
      <c r="E33" s="83">
        <f t="shared" si="0"/>
        <v>266.13509999999997</v>
      </c>
      <c r="G33">
        <v>22</v>
      </c>
      <c r="H33" s="83" t="n">
        <v>16.0</v>
      </c>
      <c r="I33" s="83" t="n">
        <v>136.0</v>
      </c>
      <c r="J33" s="85" t="n">
        <v>1528.0</v>
      </c>
      <c r="K33" s="83">
        <f t="shared" si="1"/>
        <v>2173</v>
      </c>
    </row>
    <row r="34" spans="1:11" x14ac:dyDescent="0.45">
      <c r="A34">
        <v>23</v>
      </c>
      <c r="B34" s="83" t="n">
        <v>2931.9003</v>
      </c>
      <c r="C34" s="83" t="n">
        <v>0.0</v>
      </c>
      <c r="D34" s="83" t="n">
        <v>138.8796</v>
      </c>
      <c r="E34" s="83">
        <f t="shared" si="0"/>
        <v>3070.7799</v>
      </c>
      <c r="G34">
        <v>23</v>
      </c>
      <c r="H34" s="83" t="n">
        <v>13.0</v>
      </c>
      <c r="I34" s="83" t="n">
        <v>138.0</v>
      </c>
      <c r="J34" s="85" t="n">
        <v>893.0</v>
      </c>
      <c r="K34" s="83">
        <f t="shared" si="1"/>
        <v>1769</v>
      </c>
    </row>
    <row r="35" spans="1:11" x14ac:dyDescent="0.45">
      <c r="A35">
        <v>24</v>
      </c>
      <c r="B35" s="83" t="n">
        <v>0.0</v>
      </c>
      <c r="C35" s="83" t="n">
        <v>0.0</v>
      </c>
      <c r="D35" s="83" t="n">
        <v>458.12399999999997</v>
      </c>
      <c r="E35" s="83">
        <f t="shared" si="0"/>
        <v>458.12399999999997</v>
      </c>
      <c r="G35">
        <v>24</v>
      </c>
      <c r="H35" s="83" t="n">
        <v>10.0</v>
      </c>
      <c r="I35" s="83" t="n">
        <v>154.0</v>
      </c>
      <c r="J35" s="85" t="n">
        <v>1139.0</v>
      </c>
      <c r="K35" s="83">
        <f t="shared" si="1"/>
        <v>1877</v>
      </c>
    </row>
    <row r="36" spans="1:11" x14ac:dyDescent="0.45">
      <c r="A36">
        <v>25</v>
      </c>
      <c r="B36" s="83" t="n">
        <v>0.0</v>
      </c>
      <c r="C36" s="83" t="n">
        <v>0.0</v>
      </c>
      <c r="D36" s="83" t="n">
        <v>87.069</v>
      </c>
      <c r="E36" s="83">
        <f t="shared" si="0"/>
        <v>87.069000000000003</v>
      </c>
      <c r="G36">
        <v>25</v>
      </c>
      <c r="H36" s="83" t="n">
        <v>12.0</v>
      </c>
      <c r="I36" s="83" t="n">
        <v>74.0</v>
      </c>
      <c r="J36" s="85" t="n">
        <v>994.0</v>
      </c>
      <c r="K36" s="83">
        <f t="shared" si="1"/>
        <v>1239</v>
      </c>
    </row>
    <row r="37" spans="1:11" x14ac:dyDescent="0.45">
      <c r="A37">
        <v>26</v>
      </c>
      <c r="B37" s="83" t="n">
        <v>775.4409</v>
      </c>
      <c r="C37" s="83" t="n">
        <v>846.0343</v>
      </c>
      <c r="D37" s="83" t="n">
        <v>0.0</v>
      </c>
      <c r="E37" s="83">
        <f t="shared" si="0"/>
        <v>1621.4752000000001</v>
      </c>
      <c r="G37">
        <v>26</v>
      </c>
      <c r="H37" s="83" t="n">
        <v>6.0</v>
      </c>
      <c r="I37" s="83" t="n">
        <v>65.0</v>
      </c>
      <c r="J37" s="85" t="n">
        <v>520.0</v>
      </c>
      <c r="K37" s="83">
        <f t="shared" si="1"/>
        <v>971</v>
      </c>
    </row>
    <row r="38" spans="1:11" x14ac:dyDescent="0.45">
      <c r="A38">
        <v>27</v>
      </c>
      <c r="B38" s="83" t="n">
        <v>0.0</v>
      </c>
      <c r="C38" s="83" t="n">
        <v>0.0</v>
      </c>
      <c r="D38" s="83" t="n">
        <v>569.2839</v>
      </c>
      <c r="E38" s="83">
        <f t="shared" si="0"/>
        <v>569.28390000000002</v>
      </c>
      <c r="G38">
        <v>27</v>
      </c>
      <c r="H38" s="83" t="n">
        <v>3.0</v>
      </c>
      <c r="I38" s="83" t="n">
        <v>72.0</v>
      </c>
      <c r="J38" s="85" t="n">
        <v>889.0</v>
      </c>
      <c r="K38" s="83">
        <f t="shared" si="1"/>
        <v>1447</v>
      </c>
    </row>
    <row r="39" spans="1:11" x14ac:dyDescent="0.45">
      <c r="A39">
        <v>28</v>
      </c>
      <c r="B39" s="83" t="n">
        <v>1297.2364</v>
      </c>
      <c r="C39" s="83" t="n">
        <v>0.0</v>
      </c>
      <c r="D39" s="83" t="n">
        <v>0.0</v>
      </c>
      <c r="E39" s="83">
        <f t="shared" si="0"/>
        <v>1297.2364</v>
      </c>
      <c r="G39">
        <v>28</v>
      </c>
      <c r="H39" s="83" t="n">
        <v>3.0</v>
      </c>
      <c r="I39" s="83" t="n">
        <v>51.0</v>
      </c>
      <c r="J39" s="85" t="n">
        <v>308.0</v>
      </c>
      <c r="K39" s="83">
        <f t="shared" si="1"/>
        <v>1012</v>
      </c>
    </row>
    <row r="40" spans="1:11" x14ac:dyDescent="0.45">
      <c r="A40">
        <v>29</v>
      </c>
      <c r="B40" s="83" t="n">
        <v>0.0</v>
      </c>
      <c r="C40" s="83" t="n">
        <v>0.0</v>
      </c>
      <c r="D40" s="83" t="n">
        <v>31.814</v>
      </c>
      <c r="E40" s="83">
        <f t="shared" si="0"/>
        <v>31.814</v>
      </c>
      <c r="G40">
        <v>29</v>
      </c>
      <c r="H40" s="83" t="n">
        <v>2.0</v>
      </c>
      <c r="I40" s="83" t="n">
        <v>53.0</v>
      </c>
      <c r="J40" s="85" t="n">
        <v>393.0</v>
      </c>
      <c r="K40" s="83">
        <f t="shared" si="1"/>
        <v>290</v>
      </c>
    </row>
    <row r="41" spans="1:11" x14ac:dyDescent="0.45">
      <c r="A41">
        <v>30</v>
      </c>
      <c r="B41" s="83" t="n">
        <v>0.0</v>
      </c>
      <c r="C41" s="83" t="n">
        <v>0.0</v>
      </c>
      <c r="D41" s="83" t="n">
        <v>13.399</v>
      </c>
      <c r="E41" s="83">
        <f t="shared" si="0"/>
        <v>13.398999999999999</v>
      </c>
      <c r="G41">
        <v>30</v>
      </c>
      <c r="H41" s="83" t="n">
        <v>1.0</v>
      </c>
      <c r="I41" s="83" t="n">
        <v>30.0</v>
      </c>
      <c r="J41" s="85" t="n">
        <v>400.0</v>
      </c>
      <c r="K41" s="83">
        <f t="shared" si="1"/>
        <v>1319</v>
      </c>
    </row>
    <row r="42" spans="1:11" x14ac:dyDescent="0.45">
      <c r="A42">
        <v>31</v>
      </c>
      <c r="B42" s="83" t="n">
        <v>0.0</v>
      </c>
      <c r="C42" s="83" t="n">
        <v>0.0</v>
      </c>
      <c r="D42" s="83" t="n">
        <v>0.0</v>
      </c>
      <c r="E42" s="83">
        <f t="shared" si="0"/>
        <v>0</v>
      </c>
      <c r="G42">
        <v>31</v>
      </c>
      <c r="H42" s="83" t="n">
        <v>0.0</v>
      </c>
      <c r="I42" s="83" t="n">
        <v>21.0</v>
      </c>
      <c r="J42" s="85" t="n">
        <v>219.0</v>
      </c>
      <c r="K42" s="83">
        <f t="shared" si="1"/>
        <v>799</v>
      </c>
    </row>
    <row r="43" spans="1:11" x14ac:dyDescent="0.45">
      <c r="A43">
        <v>32</v>
      </c>
      <c r="B43" s="83" t="n">
        <v>0.0</v>
      </c>
      <c r="C43" s="83" t="n">
        <v>0.0</v>
      </c>
      <c r="D43" s="83" t="n">
        <v>12.739</v>
      </c>
      <c r="E43" s="83">
        <f t="shared" ref="E43:E74" si="2">SUM(B43:D43)</f>
        <v>12.739000000000001</v>
      </c>
      <c r="G43">
        <v>32</v>
      </c>
      <c r="H43" s="83" t="n">
        <v>0.0</v>
      </c>
      <c r="I43" s="83" t="n">
        <v>20.0</v>
      </c>
      <c r="J43" s="85" t="n">
        <v>470.0</v>
      </c>
      <c r="K43" s="83">
        <f t="shared" ref="K43:K74" si="3">SUM(H43:J43)</f>
        <v>524</v>
      </c>
    </row>
    <row r="44" spans="1:11" x14ac:dyDescent="0.45">
      <c r="A44">
        <v>33</v>
      </c>
      <c r="B44" s="83" t="n">
        <v>0.0</v>
      </c>
      <c r="C44" s="83" t="n">
        <v>0.0</v>
      </c>
      <c r="D44" s="83" t="n">
        <v>10.791</v>
      </c>
      <c r="E44" s="83">
        <f t="shared" si="2"/>
        <v>10.791</v>
      </c>
      <c r="G44">
        <v>33</v>
      </c>
      <c r="H44" s="83" t="n">
        <v>0.0</v>
      </c>
      <c r="I44" s="83" t="n">
        <v>13.0</v>
      </c>
      <c r="J44" s="85" t="n">
        <v>188.0</v>
      </c>
      <c r="K44" s="83">
        <f t="shared" si="3"/>
        <v>504</v>
      </c>
    </row>
    <row r="45" spans="1:11" x14ac:dyDescent="0.45">
      <c r="A45">
        <v>34</v>
      </c>
      <c r="B45" s="83" t="n">
        <v>0.0</v>
      </c>
      <c r="C45" s="83" t="n">
        <v>78.9631</v>
      </c>
      <c r="D45" s="83" t="n">
        <v>0.0</v>
      </c>
      <c r="E45" s="83">
        <f t="shared" si="2"/>
        <v>78.963099999999997</v>
      </c>
      <c r="G45">
        <v>34</v>
      </c>
      <c r="H45" s="83" t="n">
        <v>0.0</v>
      </c>
      <c r="I45" s="83" t="n">
        <v>16.0</v>
      </c>
      <c r="J45" s="85" t="n">
        <v>229.0</v>
      </c>
      <c r="K45" s="83">
        <f t="shared" si="3"/>
        <v>449</v>
      </c>
    </row>
    <row r="46" spans="1:11" x14ac:dyDescent="0.45">
      <c r="A46">
        <v>35</v>
      </c>
      <c r="B46" s="83" t="n">
        <v>0.0</v>
      </c>
      <c r="C46" s="83" t="n">
        <v>0.0</v>
      </c>
      <c r="D46" s="83" t="n">
        <v>25.786</v>
      </c>
      <c r="E46" s="83">
        <f t="shared" si="2"/>
        <v>25.786000000000001</v>
      </c>
      <c r="G46">
        <v>35</v>
      </c>
      <c r="H46" s="83" t="n">
        <v>0.0</v>
      </c>
      <c r="I46" s="83" t="n">
        <v>9.0</v>
      </c>
      <c r="J46" s="85" t="n">
        <v>62.0</v>
      </c>
      <c r="K46" s="83">
        <f t="shared" si="3"/>
        <v>173</v>
      </c>
    </row>
    <row r="47" spans="1:11" x14ac:dyDescent="0.45">
      <c r="A47">
        <v>36</v>
      </c>
      <c r="B47" s="83" t="n">
        <v>0.0</v>
      </c>
      <c r="C47" s="83" t="n">
        <v>0.0</v>
      </c>
      <c r="D47" s="83" t="n">
        <v>0.0</v>
      </c>
      <c r="E47" s="83">
        <f t="shared" si="2"/>
        <v>0</v>
      </c>
      <c r="G47">
        <v>36</v>
      </c>
      <c r="H47" s="83" t="n">
        <v>0.0</v>
      </c>
      <c r="I47" s="83" t="n">
        <v>9.0</v>
      </c>
      <c r="J47" s="85" t="n">
        <v>438.0</v>
      </c>
      <c r="K47" s="83">
        <f t="shared" si="3"/>
        <v>752</v>
      </c>
    </row>
    <row r="48" spans="1:11" x14ac:dyDescent="0.45">
      <c r="A48">
        <v>37</v>
      </c>
      <c r="B48" s="83" t="n">
        <v>0.0</v>
      </c>
      <c r="C48" s="83" t="n">
        <v>0.0</v>
      </c>
      <c r="D48" s="83" t="n">
        <v>0.0</v>
      </c>
      <c r="E48" s="83">
        <f t="shared" si="2"/>
        <v>0</v>
      </c>
      <c r="G48">
        <v>37</v>
      </c>
      <c r="H48" s="83" t="n">
        <v>0.0</v>
      </c>
      <c r="I48" s="83" t="n">
        <v>8.0</v>
      </c>
      <c r="J48" s="85" t="n">
        <v>135.0</v>
      </c>
      <c r="K48" s="83">
        <f t="shared" si="3"/>
        <v>209</v>
      </c>
    </row>
    <row r="49" spans="1:11" x14ac:dyDescent="0.45">
      <c r="A49">
        <v>38</v>
      </c>
      <c r="B49" s="83" t="n">
        <v>0.0</v>
      </c>
      <c r="C49" s="83" t="n">
        <v>0.0</v>
      </c>
      <c r="D49" s="83" t="n">
        <v>0.0</v>
      </c>
      <c r="E49" s="83">
        <f t="shared" si="2"/>
        <v>0</v>
      </c>
      <c r="G49">
        <v>38</v>
      </c>
      <c r="H49" s="83" t="n">
        <v>0.0</v>
      </c>
      <c r="I49" s="83" t="n">
        <v>3.0</v>
      </c>
      <c r="J49" s="85" t="n">
        <v>133.0</v>
      </c>
      <c r="K49" s="83">
        <f t="shared" si="3"/>
        <v>327</v>
      </c>
    </row>
    <row r="50" spans="1:11" x14ac:dyDescent="0.45">
      <c r="A50">
        <v>39</v>
      </c>
      <c r="B50" s="83" t="n">
        <v>0.0</v>
      </c>
      <c r="C50" s="83" t="n">
        <v>0.0</v>
      </c>
      <c r="D50" s="83" t="n">
        <v>4.128</v>
      </c>
      <c r="E50" s="83">
        <f t="shared" si="2"/>
        <v>4.1280000000000001</v>
      </c>
      <c r="G50">
        <v>39</v>
      </c>
      <c r="H50" s="83" t="n">
        <v>0.0</v>
      </c>
      <c r="I50" s="83" t="n">
        <v>10.0</v>
      </c>
      <c r="J50" s="85" t="n">
        <v>59.0</v>
      </c>
      <c r="K50" s="83">
        <f t="shared" si="3"/>
        <v>217</v>
      </c>
    </row>
    <row r="51" spans="1:11" x14ac:dyDescent="0.45">
      <c r="A51">
        <v>40</v>
      </c>
      <c r="B51" s="83" t="n">
        <v>0.0</v>
      </c>
      <c r="C51" s="83" t="n">
        <v>0.0</v>
      </c>
      <c r="D51" s="83" t="n">
        <v>860.3701</v>
      </c>
      <c r="E51" s="83">
        <f t="shared" si="2"/>
        <v>860.37009999999998</v>
      </c>
      <c r="G51">
        <v>40</v>
      </c>
      <c r="H51" s="83" t="n">
        <v>0.0</v>
      </c>
      <c r="I51" s="83" t="n">
        <v>7.0</v>
      </c>
      <c r="J51" s="85" t="n">
        <v>109.0</v>
      </c>
      <c r="K51" s="83">
        <f t="shared" si="3"/>
        <v>205</v>
      </c>
    </row>
    <row r="52" spans="1:11" x14ac:dyDescent="0.45">
      <c r="A52">
        <v>41</v>
      </c>
      <c r="B52" s="83" t="n">
        <v>0.0</v>
      </c>
      <c r="C52" s="83" t="n">
        <v>0.0</v>
      </c>
      <c r="D52" s="83" t="n">
        <v>0.0</v>
      </c>
      <c r="E52" s="83">
        <f t="shared" si="2"/>
        <v>0</v>
      </c>
      <c r="G52">
        <v>41</v>
      </c>
      <c r="H52" s="83" t="n">
        <v>0.0</v>
      </c>
      <c r="I52" s="83" t="n">
        <v>4.0</v>
      </c>
      <c r="J52" s="85" t="n">
        <v>41.0</v>
      </c>
      <c r="K52" s="83">
        <f t="shared" si="3"/>
        <v>140</v>
      </c>
    </row>
    <row r="53" spans="1:11" x14ac:dyDescent="0.45">
      <c r="A53">
        <v>42</v>
      </c>
      <c r="B53" s="83" t="n">
        <v>0.0</v>
      </c>
      <c r="C53" s="83" t="n">
        <v>0.0</v>
      </c>
      <c r="D53" s="83" t="n">
        <v>286.7204</v>
      </c>
      <c r="E53" s="83">
        <f t="shared" si="2"/>
        <v>286.72039999999998</v>
      </c>
      <c r="G53">
        <v>42</v>
      </c>
      <c r="H53" s="83" t="n">
        <v>0.0</v>
      </c>
      <c r="I53" s="83" t="n">
        <v>4.0</v>
      </c>
      <c r="J53" s="85" t="n">
        <v>24.0</v>
      </c>
      <c r="K53" s="83">
        <f t="shared" si="3"/>
        <v>67</v>
      </c>
    </row>
    <row r="54" spans="1:11" x14ac:dyDescent="0.45">
      <c r="A54">
        <v>43</v>
      </c>
      <c r="B54" s="83" t="n">
        <v>0.0</v>
      </c>
      <c r="C54" s="83" t="n">
        <v>0.0</v>
      </c>
      <c r="D54" s="83" t="n">
        <v>0.0</v>
      </c>
      <c r="E54" s="83">
        <f t="shared" si="2"/>
        <v>0</v>
      </c>
      <c r="G54">
        <v>43</v>
      </c>
      <c r="H54" s="83" t="n">
        <v>0.0</v>
      </c>
      <c r="I54" s="83" t="n">
        <v>2.0</v>
      </c>
      <c r="J54" s="85" t="n">
        <v>25.0</v>
      </c>
      <c r="K54" s="83">
        <f t="shared" si="3"/>
        <v>98</v>
      </c>
    </row>
    <row r="55" spans="1:11" x14ac:dyDescent="0.45">
      <c r="A55">
        <v>44</v>
      </c>
      <c r="B55" s="83" t="n">
        <v>0.0</v>
      </c>
      <c r="C55" s="83" t="n">
        <v>0.0</v>
      </c>
      <c r="D55" s="83" t="n">
        <v>0.0</v>
      </c>
      <c r="E55" s="83">
        <f t="shared" si="2"/>
        <v>0</v>
      </c>
      <c r="G55">
        <v>44</v>
      </c>
      <c r="H55" s="83" t="n">
        <v>0.0</v>
      </c>
      <c r="I55" s="83" t="n">
        <v>2.0</v>
      </c>
      <c r="J55" s="85" t="n">
        <v>18.0</v>
      </c>
      <c r="K55" s="83">
        <f t="shared" si="3"/>
        <v>44</v>
      </c>
    </row>
    <row r="56" spans="1:11" x14ac:dyDescent="0.45">
      <c r="A56">
        <v>45</v>
      </c>
      <c r="B56" s="83" t="n">
        <v>0.0</v>
      </c>
      <c r="C56" s="83" t="n">
        <v>0.0</v>
      </c>
      <c r="D56" s="83" t="n">
        <v>0.0</v>
      </c>
      <c r="E56" s="83">
        <f t="shared" si="2"/>
        <v>0</v>
      </c>
      <c r="G56">
        <v>45</v>
      </c>
      <c r="H56" s="83" t="n">
        <v>0.0</v>
      </c>
      <c r="I56" s="83" t="n">
        <v>2.0</v>
      </c>
      <c r="J56" s="85" t="n">
        <v>16.0</v>
      </c>
      <c r="K56" s="83">
        <f t="shared" si="3"/>
        <v>205</v>
      </c>
    </row>
    <row r="57" spans="1:11" x14ac:dyDescent="0.45">
      <c r="A57">
        <v>46</v>
      </c>
      <c r="B57" s="83" t="n">
        <v>0.0</v>
      </c>
      <c r="C57" s="83" t="n">
        <v>0.0</v>
      </c>
      <c r="D57" s="83" t="n">
        <v>0.0</v>
      </c>
      <c r="E57" s="83">
        <f t="shared" si="2"/>
        <v>0</v>
      </c>
      <c r="G57">
        <v>46</v>
      </c>
      <c r="H57" s="83" t="n">
        <v>0.0</v>
      </c>
      <c r="I57" s="83" t="n">
        <v>3.0</v>
      </c>
      <c r="J57" s="85" t="n">
        <v>88.0</v>
      </c>
      <c r="K57" s="83">
        <f t="shared" si="3"/>
        <v>175</v>
      </c>
    </row>
    <row r="58" spans="1:11" x14ac:dyDescent="0.45">
      <c r="A58">
        <v>47</v>
      </c>
      <c r="B58" s="83" t="n">
        <v>0.0</v>
      </c>
      <c r="C58" s="83" t="n">
        <v>0.0</v>
      </c>
      <c r="D58" s="83" t="n">
        <v>0.0</v>
      </c>
      <c r="E58" s="83">
        <f t="shared" si="2"/>
        <v>0</v>
      </c>
      <c r="G58">
        <v>47</v>
      </c>
      <c r="H58" s="83" t="n">
        <v>0.0</v>
      </c>
      <c r="I58" s="83" t="n">
        <v>1.0</v>
      </c>
      <c r="J58" s="85" t="n">
        <v>82.0</v>
      </c>
      <c r="K58" s="83">
        <f t="shared" si="3"/>
        <v>79</v>
      </c>
    </row>
    <row r="59" spans="1:11" x14ac:dyDescent="0.45">
      <c r="A59">
        <v>48</v>
      </c>
      <c r="B59" s="83" t="n">
        <v>0.0</v>
      </c>
      <c r="C59" s="83" t="n">
        <v>0.0</v>
      </c>
      <c r="D59" s="83" t="n">
        <v>468.9894</v>
      </c>
      <c r="E59" s="83">
        <f t="shared" si="2"/>
        <v>468.98939999999999</v>
      </c>
      <c r="G59">
        <v>48</v>
      </c>
      <c r="H59" s="83" t="n">
        <v>0.0</v>
      </c>
      <c r="I59" s="83" t="n">
        <v>0.0</v>
      </c>
      <c r="J59" s="85" t="n">
        <v>66.0</v>
      </c>
      <c r="K59" s="83">
        <f t="shared" si="3"/>
        <v>25</v>
      </c>
    </row>
    <row r="60" spans="1:11" x14ac:dyDescent="0.45">
      <c r="A60">
        <v>49</v>
      </c>
      <c r="B60" s="83" t="n">
        <v>0.0</v>
      </c>
      <c r="C60" s="83" t="n">
        <v>0.0</v>
      </c>
      <c r="D60" s="83" t="n">
        <v>0.0</v>
      </c>
      <c r="E60" s="83">
        <f t="shared" si="2"/>
        <v>0</v>
      </c>
      <c r="G60">
        <v>49</v>
      </c>
      <c r="H60" s="83" t="n">
        <v>0.0</v>
      </c>
      <c r="I60" s="83" t="n">
        <v>1.0</v>
      </c>
      <c r="J60" s="85" t="n">
        <v>25.0</v>
      </c>
      <c r="K60" s="83">
        <f t="shared" si="3"/>
        <v>161</v>
      </c>
    </row>
    <row r="61" spans="1:11" x14ac:dyDescent="0.45">
      <c r="A61">
        <v>50</v>
      </c>
      <c r="B61" s="83" t="n">
        <v>0.0</v>
      </c>
      <c r="C61" s="83" t="n">
        <v>0.0</v>
      </c>
      <c r="D61" s="83" t="n">
        <v>249.3058</v>
      </c>
      <c r="E61" s="83">
        <f t="shared" si="2"/>
        <v>249.3058</v>
      </c>
      <c r="G61">
        <v>50</v>
      </c>
      <c r="H61" s="83" t="n">
        <v>0.0</v>
      </c>
      <c r="I61" s="83" t="n">
        <v>1.0</v>
      </c>
      <c r="J61" s="85" t="n">
        <v>5.0</v>
      </c>
      <c r="K61" s="83">
        <f t="shared" si="3"/>
        <v>4</v>
      </c>
    </row>
    <row r="62" spans="1:11" x14ac:dyDescent="0.45">
      <c r="A62">
        <v>51</v>
      </c>
      <c r="B62" s="83" t="n">
        <v>0.0</v>
      </c>
      <c r="C62" s="83" t="n">
        <v>0.0</v>
      </c>
      <c r="D62" s="83" t="n">
        <v>0.0</v>
      </c>
      <c r="E62" s="83">
        <f t="shared" si="2"/>
        <v>0</v>
      </c>
      <c r="G62">
        <v>51</v>
      </c>
      <c r="H62" s="83" t="n">
        <v>0.0</v>
      </c>
      <c r="I62" s="83" t="n">
        <v>0.0</v>
      </c>
      <c r="J62" s="85" t="n">
        <v>6.0</v>
      </c>
      <c r="K62" s="83">
        <f t="shared" si="3"/>
        <v>30</v>
      </c>
    </row>
    <row r="63" spans="1:11" x14ac:dyDescent="0.45">
      <c r="A63">
        <v>52</v>
      </c>
      <c r="B63" s="83" t="n">
        <v>0.0</v>
      </c>
      <c r="C63" s="83" t="n">
        <v>0.0</v>
      </c>
      <c r="D63" s="83" t="n">
        <v>0.0</v>
      </c>
      <c r="E63" s="83">
        <f t="shared" si="2"/>
        <v>0</v>
      </c>
      <c r="G63">
        <v>52</v>
      </c>
      <c r="H63" s="83" t="n">
        <v>0.0</v>
      </c>
      <c r="I63" s="83" t="n">
        <v>3.0</v>
      </c>
      <c r="J63" s="85" t="n">
        <v>2.0</v>
      </c>
      <c r="K63" s="83">
        <f t="shared" si="3"/>
        <v>7</v>
      </c>
    </row>
    <row r="64" spans="1:11" x14ac:dyDescent="0.45">
      <c r="A64">
        <v>53</v>
      </c>
      <c r="B64" s="83" t="n">
        <v>0.0</v>
      </c>
      <c r="C64" s="83" t="n">
        <v>0.0</v>
      </c>
      <c r="D64" s="83" t="n">
        <v>13.487</v>
      </c>
      <c r="E64" s="83">
        <f t="shared" si="2"/>
        <v>13.487</v>
      </c>
      <c r="G64">
        <v>53</v>
      </c>
      <c r="H64" s="83" t="n">
        <v>0.0</v>
      </c>
      <c r="I64" s="83" t="n">
        <v>0.0</v>
      </c>
      <c r="J64" s="85" t="n">
        <v>0.0</v>
      </c>
      <c r="K64" s="83">
        <f t="shared" si="3"/>
        <v>36</v>
      </c>
    </row>
    <row r="65" spans="1:11" x14ac:dyDescent="0.4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0.0</v>
      </c>
      <c r="I65" s="83" t="n">
        <v>1.0</v>
      </c>
      <c r="J65" s="85" t="n">
        <v>2.0</v>
      </c>
      <c r="K65" s="83">
        <f t="shared" si="3"/>
        <v>3</v>
      </c>
    </row>
    <row r="66" spans="1:11" x14ac:dyDescent="0.45">
      <c r="A66">
        <v>55</v>
      </c>
      <c r="B66" s="83" t="n">
        <v>0.0</v>
      </c>
      <c r="C66" s="83" t="n">
        <v>0.0</v>
      </c>
      <c r="D66" s="83" t="n">
        <v>3.675</v>
      </c>
      <c r="E66" s="83">
        <f t="shared" si="2"/>
        <v>3.6749999999999998</v>
      </c>
      <c r="G66">
        <v>55</v>
      </c>
      <c r="H66" s="83" t="n">
        <v>0.0</v>
      </c>
      <c r="I66" s="83" t="n">
        <v>0.0</v>
      </c>
      <c r="J66" s="85" t="n">
        <v>0.0</v>
      </c>
      <c r="K66" s="83">
        <f t="shared" si="3"/>
        <v>0</v>
      </c>
    </row>
    <row r="67" spans="1:11" x14ac:dyDescent="0.4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0.0</v>
      </c>
      <c r="I67" s="83" t="n">
        <v>0.0</v>
      </c>
      <c r="J67" s="85" t="n">
        <v>0.0</v>
      </c>
      <c r="K67" s="83">
        <f t="shared" si="3"/>
        <v>9</v>
      </c>
    </row>
    <row r="68" spans="1:11" x14ac:dyDescent="0.45">
      <c r="A68">
        <v>57</v>
      </c>
      <c r="B68" s="83" t="n">
        <v>0.0</v>
      </c>
      <c r="C68" s="83" t="n">
        <v>0.0</v>
      </c>
      <c r="D68" s="83" t="n">
        <v>0.0</v>
      </c>
      <c r="E68" s="83">
        <f t="shared" si="2"/>
        <v>0</v>
      </c>
      <c r="G68">
        <v>57</v>
      </c>
      <c r="H68" s="83" t="n">
        <v>0.0</v>
      </c>
      <c r="I68" s="83" t="n">
        <v>0.0</v>
      </c>
      <c r="J68" s="85" t="n">
        <v>0.0</v>
      </c>
      <c r="K68" s="83">
        <f t="shared" si="3"/>
        <v>3</v>
      </c>
    </row>
    <row r="69" spans="1:11" x14ac:dyDescent="0.45">
      <c r="A69">
        <v>58</v>
      </c>
      <c r="B69" s="83" t="n">
        <v>0.0</v>
      </c>
      <c r="C69" s="83" t="n">
        <v>0.0</v>
      </c>
      <c r="D69" s="83" t="n">
        <v>0.0</v>
      </c>
      <c r="E69" s="83">
        <f t="shared" si="2"/>
        <v>0</v>
      </c>
      <c r="G69">
        <v>58</v>
      </c>
      <c r="H69" s="83" t="n">
        <v>0.0</v>
      </c>
      <c r="I69" s="83" t="n">
        <v>1.0</v>
      </c>
      <c r="J69" s="85" t="n">
        <v>3.0</v>
      </c>
      <c r="K69" s="83">
        <f t="shared" si="3"/>
        <v>7</v>
      </c>
    </row>
    <row r="70" spans="1:11" x14ac:dyDescent="0.4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0.0</v>
      </c>
      <c r="I70" s="83" t="n">
        <v>1.0</v>
      </c>
      <c r="J70" s="85" t="n">
        <v>0.0</v>
      </c>
      <c r="K70" s="83">
        <f t="shared" si="3"/>
        <v>0</v>
      </c>
    </row>
    <row r="71" spans="1:11" x14ac:dyDescent="0.4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0.0</v>
      </c>
      <c r="I71" s="83" t="n">
        <v>0.0</v>
      </c>
      <c r="J71" s="85" t="n">
        <v>0.0</v>
      </c>
      <c r="K71" s="83">
        <f t="shared" si="3"/>
        <v>0</v>
      </c>
    </row>
    <row r="72" spans="1:11" x14ac:dyDescent="0.4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0.0</v>
      </c>
      <c r="I72" s="83" t="n">
        <v>0.0</v>
      </c>
      <c r="J72" s="85" t="n">
        <v>0.0</v>
      </c>
      <c r="K72" s="83">
        <f t="shared" si="3"/>
        <v>1</v>
      </c>
    </row>
    <row r="73" spans="1:11" x14ac:dyDescent="0.45">
      <c r="A73">
        <v>62</v>
      </c>
      <c r="B73" s="83" t="n">
        <v>0.0</v>
      </c>
      <c r="C73" s="83" t="n">
        <v>0.0</v>
      </c>
      <c r="D73" s="83" t="n">
        <v>0.0</v>
      </c>
      <c r="E73" s="83">
        <f t="shared" si="2"/>
        <v>0</v>
      </c>
      <c r="G73">
        <v>62</v>
      </c>
      <c r="H73" s="83" t="n">
        <v>0.0</v>
      </c>
      <c r="I73" s="83" t="n">
        <v>0.0</v>
      </c>
      <c r="J73" s="85" t="n">
        <v>0.0</v>
      </c>
      <c r="K73" s="83">
        <f t="shared" si="3"/>
        <v>0</v>
      </c>
    </row>
    <row r="74" spans="1:11" x14ac:dyDescent="0.45">
      <c r="A74">
        <v>63</v>
      </c>
      <c r="B74" s="83" t="n">
        <v>0.0</v>
      </c>
      <c r="C74" s="83" t="n">
        <v>0.0</v>
      </c>
      <c r="D74" s="83" t="n">
        <v>0.0</v>
      </c>
      <c r="E74" s="83">
        <f t="shared" si="2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t="shared" si="3"/>
        <v>0</v>
      </c>
    </row>
    <row r="75" spans="1:11" x14ac:dyDescent="0.45">
      <c r="A75">
        <v>64</v>
      </c>
      <c r="B75" s="83" t="n">
        <v>0.0</v>
      </c>
      <c r="C75" s="83" t="n">
        <v>0.0</v>
      </c>
      <c r="D75" s="83" t="n">
        <v>0.0</v>
      </c>
      <c r="E75" s="83">
        <f t="shared" ref="E75:E101" si="4">SUM(B75:D75)</f>
        <v>0</v>
      </c>
      <c r="G75">
        <v>64</v>
      </c>
      <c r="H75" s="83" t="n">
        <v>0.0</v>
      </c>
      <c r="I75" s="83" t="n">
        <v>0.0</v>
      </c>
      <c r="J75" s="85" t="n">
        <v>0.0</v>
      </c>
      <c r="K75" s="83">
        <f t="shared" ref="K75:K101" si="5">SUM(H75:J75)</f>
        <v>0</v>
      </c>
    </row>
    <row r="76" spans="1:11" x14ac:dyDescent="0.4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t="shared" si="5"/>
        <v>0</v>
      </c>
    </row>
    <row r="77" spans="1:11" x14ac:dyDescent="0.45">
      <c r="A77">
        <v>66</v>
      </c>
      <c r="B77" s="83" t="n">
        <v>0.0</v>
      </c>
      <c r="C77" s="83" t="n">
        <v>0.0</v>
      </c>
      <c r="D77" s="83" t="n">
        <v>0.0</v>
      </c>
      <c r="E77" s="83">
        <f t="shared" si="4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t="shared" si="5"/>
        <v>0</v>
      </c>
    </row>
    <row r="78" spans="1:11" x14ac:dyDescent="0.45">
      <c r="A78">
        <v>67</v>
      </c>
      <c r="B78" s="83" t="n">
        <v>0.0</v>
      </c>
      <c r="C78" s="83" t="n">
        <v>0.0</v>
      </c>
      <c r="D78" s="83" t="n">
        <v>0.0</v>
      </c>
      <c r="E78" s="83">
        <f t="shared" si="4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t="shared" si="5"/>
        <v>1</v>
      </c>
    </row>
    <row r="79" spans="1:11" x14ac:dyDescent="0.4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t="shared" si="5"/>
        <v>0</v>
      </c>
    </row>
    <row r="80" spans="1:11" x14ac:dyDescent="0.45">
      <c r="A80">
        <v>69</v>
      </c>
      <c r="B80" s="83" t="n">
        <v>0.0</v>
      </c>
      <c r="C80" s="83" t="n">
        <v>0.0</v>
      </c>
      <c r="D80" s="83" t="n">
        <v>0.0</v>
      </c>
      <c r="E80" s="83">
        <f t="shared" si="4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t="shared" si="5"/>
        <v>0</v>
      </c>
    </row>
    <row r="81" spans="1:11" x14ac:dyDescent="0.4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0.0</v>
      </c>
      <c r="I81" s="83" t="n">
        <v>0.0</v>
      </c>
      <c r="J81" s="85" t="n">
        <v>0.0</v>
      </c>
      <c r="K81" s="83">
        <f t="shared" si="5"/>
        <v>0</v>
      </c>
    </row>
    <row r="82" spans="1:11" x14ac:dyDescent="0.4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t="shared" si="5"/>
        <v>0</v>
      </c>
    </row>
    <row r="83" spans="1:11" x14ac:dyDescent="0.45">
      <c r="A83">
        <v>72</v>
      </c>
      <c r="B83" s="83" t="n">
        <v>0.0</v>
      </c>
      <c r="C83" s="83" t="n">
        <v>0.0</v>
      </c>
      <c r="D83" s="83" t="n">
        <v>0.0</v>
      </c>
      <c r="E83" s="83">
        <f t="shared" si="4"/>
        <v>0</v>
      </c>
      <c r="G83">
        <v>72</v>
      </c>
      <c r="H83" s="83" t="n">
        <v>0.0</v>
      </c>
      <c r="I83" s="83" t="n">
        <v>0.0</v>
      </c>
      <c r="J83" s="83" t="n">
        <v>1.0</v>
      </c>
      <c r="K83" s="83">
        <f t="shared" si="5"/>
        <v>1</v>
      </c>
    </row>
    <row r="84" spans="1:11" x14ac:dyDescent="0.4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t="shared" si="5"/>
        <v>0</v>
      </c>
    </row>
    <row r="85" spans="1:11" x14ac:dyDescent="0.4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t="shared" si="5"/>
        <v>0</v>
      </c>
    </row>
    <row r="86" spans="1:11" x14ac:dyDescent="0.4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0.0</v>
      </c>
      <c r="I86" s="83" t="n">
        <v>0.0</v>
      </c>
      <c r="J86" s="83" t="n">
        <v>0.0</v>
      </c>
      <c r="K86" s="83">
        <f t="shared" si="5"/>
        <v>2</v>
      </c>
    </row>
    <row r="87" spans="1:11" x14ac:dyDescent="0.45">
      <c r="A87">
        <v>76</v>
      </c>
      <c r="B87" s="83" t="n">
        <v>0.0</v>
      </c>
      <c r="C87" s="83" t="n">
        <v>0.0</v>
      </c>
      <c r="D87" s="83" t="n">
        <v>0.0</v>
      </c>
      <c r="E87" s="83">
        <f t="shared" si="4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t="shared" si="5"/>
        <v>0</v>
      </c>
    </row>
    <row r="88" spans="1:11" x14ac:dyDescent="0.45">
      <c r="A88">
        <v>77</v>
      </c>
      <c r="B88" s="83" t="n">
        <v>0.0</v>
      </c>
      <c r="C88" s="83" t="n">
        <v>0.0</v>
      </c>
      <c r="D88" s="83" t="n">
        <v>0.0</v>
      </c>
      <c r="E88" s="83">
        <f t="shared" si="4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t="shared" si="5"/>
        <v>0</v>
      </c>
    </row>
    <row r="89" spans="1:11" x14ac:dyDescent="0.45">
      <c r="A89">
        <v>78</v>
      </c>
      <c r="B89" s="83" t="n">
        <v>0.0</v>
      </c>
      <c r="C89" s="83" t="n">
        <v>0.0</v>
      </c>
      <c r="D89" s="83" t="n">
        <v>0.0</v>
      </c>
      <c r="E89" s="83">
        <f t="shared" si="4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t="shared" si="5"/>
        <v>1</v>
      </c>
    </row>
    <row r="90" spans="1:11" x14ac:dyDescent="0.4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t="shared" si="5"/>
        <v>0</v>
      </c>
    </row>
    <row r="91" spans="1:11" x14ac:dyDescent="0.4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t="shared" si="5"/>
        <v>0</v>
      </c>
    </row>
    <row r="92" spans="1:11" x14ac:dyDescent="0.4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t="shared" si="5"/>
        <v>0</v>
      </c>
    </row>
    <row r="93" spans="1:11" x14ac:dyDescent="0.4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t="shared" si="5"/>
        <v>0</v>
      </c>
    </row>
    <row r="94" spans="1:11" x14ac:dyDescent="0.4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t="shared" si="5"/>
        <v>0</v>
      </c>
    </row>
    <row r="95" spans="1:11" x14ac:dyDescent="0.45">
      <c r="A95">
        <v>84</v>
      </c>
      <c r="B95" s="83" t="n">
        <v>0.0</v>
      </c>
      <c r="C95" s="83" t="n">
        <v>0.0</v>
      </c>
      <c r="D95" s="83" t="n">
        <v>0.0</v>
      </c>
      <c r="E95" s="83">
        <f t="shared" si="4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t="shared" si="5"/>
        <v>0</v>
      </c>
    </row>
    <row r="96" spans="1:11" x14ac:dyDescent="0.4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t="shared" si="5"/>
        <v>0</v>
      </c>
    </row>
    <row r="97" spans="1:12" x14ac:dyDescent="0.45">
      <c r="A97">
        <v>86</v>
      </c>
      <c r="B97" s="83" t="n">
        <v>0.0</v>
      </c>
      <c r="C97" s="83" t="n">
        <v>0.0</v>
      </c>
      <c r="D97" s="83" t="n">
        <v>0.0</v>
      </c>
      <c r="E97" s="83">
        <f t="shared" si="4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t="shared" si="5"/>
        <v>0</v>
      </c>
    </row>
    <row r="98" spans="1:12" x14ac:dyDescent="0.45">
      <c r="A98">
        <v>87</v>
      </c>
      <c r="B98" s="83" t="n">
        <v>0.0</v>
      </c>
      <c r="C98" s="83" t="n">
        <v>0.0</v>
      </c>
      <c r="D98" s="83" t="n">
        <v>0.0</v>
      </c>
      <c r="E98" s="83">
        <f t="shared" si="4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t="shared" si="5"/>
        <v>0</v>
      </c>
    </row>
    <row r="99" spans="1:12" x14ac:dyDescent="0.4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t="shared" si="5"/>
        <v>0</v>
      </c>
    </row>
    <row r="100" spans="1:12" x14ac:dyDescent="0.45">
      <c r="A100">
        <v>89</v>
      </c>
      <c r="B100" s="83" t="n">
        <v>0.0</v>
      </c>
      <c r="C100" s="83" t="n">
        <v>0.0</v>
      </c>
      <c r="D100" s="83" t="n">
        <v>0.0</v>
      </c>
      <c r="E100" s="83">
        <f t="shared" si="4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t="shared" si="5"/>
        <v>0</v>
      </c>
    </row>
    <row r="101" spans="1:12" ht="14.65" thickBot="1" x14ac:dyDescent="0.5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t="shared" si="4"/>
        <v>109078.5074</v>
      </c>
      <c r="G101" s="1">
        <v>90</v>
      </c>
      <c r="H101" s="84" t="n">
        <v>71073.0</v>
      </c>
      <c r="I101" s="84" t="n">
        <v>0.0</v>
      </c>
      <c r="J101" s="84" t="n">
        <v>0.0</v>
      </c>
      <c r="K101" s="84">
        <f t="shared" si="5"/>
        <v>70799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1"/>
  <sheetViews>
    <sheetView workbookViewId="0">
      <selection activeCell="P12" sqref="P12"/>
    </sheetView>
  </sheetViews>
  <sheetFormatPr defaultRowHeight="14.25" x14ac:dyDescent="0.45"/>
  <cols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5" x14ac:dyDescent="0.45">
      <c r="A1" t="s">
        <v>0</v>
      </c>
    </row>
    <row r="2" spans="1:15" x14ac:dyDescent="0.45">
      <c r="A2" t="s">
        <v>247</v>
      </c>
    </row>
    <row r="3" spans="1:15" x14ac:dyDescent="0.45">
      <c r="A3" t="s">
        <v>249</v>
      </c>
    </row>
    <row r="4" spans="1:15" x14ac:dyDescent="0.45">
      <c r="A4" t="s">
        <v>6</v>
      </c>
    </row>
    <row r="5" spans="1:15" x14ac:dyDescent="0.45">
      <c r="A5" t="s">
        <v>7</v>
      </c>
    </row>
    <row r="9" spans="1:15" ht="14.65" thickBot="1" x14ac:dyDescent="0.5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4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45">
      <c r="A11">
        <v>0</v>
      </c>
      <c r="B11" s="83" t="n">
        <v>0.0</v>
      </c>
      <c r="C11" s="83" t="n">
        <v>0.0</v>
      </c>
      <c r="D11" s="83" t="n">
        <v>0.0</v>
      </c>
      <c r="E11" s="83">
        <f t="shared" ref="E11:E42" si="0">SUM(B11:D11)</f>
        <v>0</v>
      </c>
      <c r="G11">
        <v>0</v>
      </c>
      <c r="H11" s="83" t="n">
        <v>34273.0</v>
      </c>
      <c r="I11" s="83" t="n">
        <v>7146.0</v>
      </c>
      <c r="J11" s="85" t="n">
        <v>16465.0</v>
      </c>
      <c r="K11" s="83">
        <f t="shared" ref="K11:K42" si="1">SUM(H11:J11)</f>
        <v>56999</v>
      </c>
      <c r="M11" t="s">
        <v>41</v>
      </c>
      <c r="N11" s="9" t="n">
        <v>21.087312209213582</v>
      </c>
      <c r="O11" s="9" t="n">
        <v>13.234417677436209</v>
      </c>
    </row>
    <row r="12" spans="1:15" x14ac:dyDescent="0.45">
      <c r="A12">
        <v>1</v>
      </c>
      <c r="B12" s="83" t="n">
        <v>6745.1783000000005</v>
      </c>
      <c r="C12" s="83" t="n">
        <v>0.0</v>
      </c>
      <c r="D12" s="83" t="n">
        <v>0.0</v>
      </c>
      <c r="E12" s="83">
        <f t="shared" si="0"/>
        <v>6745.1783000000005</v>
      </c>
      <c r="G12">
        <v>1</v>
      </c>
      <c r="H12" s="83" t="n">
        <v>18321.0</v>
      </c>
      <c r="I12" s="83" t="n">
        <v>1815.0</v>
      </c>
      <c r="J12" s="85" t="n">
        <v>1460.0</v>
      </c>
      <c r="K12" s="83">
        <f t="shared" si="1"/>
        <v>21686</v>
      </c>
      <c r="M12" t="s">
        <v>42</v>
      </c>
      <c r="N12" s="9" t="n">
        <v>24.505741344918366</v>
      </c>
      <c r="O12" s="9" t="n">
        <v>17.18375958663945</v>
      </c>
    </row>
    <row r="13" spans="1:15" x14ac:dyDescent="0.45">
      <c r="A13">
        <v>2</v>
      </c>
      <c r="B13" s="83" t="n">
        <v>6033.2903</v>
      </c>
      <c r="C13" s="83" t="n">
        <v>0.0</v>
      </c>
      <c r="D13" s="83" t="n">
        <v>0.0</v>
      </c>
      <c r="E13" s="83">
        <f t="shared" si="0"/>
        <v>6033.2902999999997</v>
      </c>
      <c r="G13">
        <v>2</v>
      </c>
      <c r="H13" s="83" t="n">
        <v>23680.0</v>
      </c>
      <c r="I13" s="83" t="n">
        <v>2434.0</v>
      </c>
      <c r="J13" s="85" t="n">
        <v>2429.0</v>
      </c>
      <c r="K13" s="83">
        <f t="shared" si="1"/>
        <v>28264</v>
      </c>
      <c r="M13" s="6" t="s">
        <v>43</v>
      </c>
      <c r="N13" s="18" t="n">
        <v>25.487335023638565</v>
      </c>
      <c r="O13" s="18" t="n">
        <v>23.06155302027494</v>
      </c>
    </row>
    <row r="14" spans="1:15" ht="14.65" thickBot="1" x14ac:dyDescent="0.5">
      <c r="A14">
        <v>3</v>
      </c>
      <c r="B14" s="83" t="n">
        <v>7285.3036</v>
      </c>
      <c r="C14" s="83" t="n">
        <v>827.7403</v>
      </c>
      <c r="D14" s="83" t="n">
        <v>112.982</v>
      </c>
      <c r="E14" s="83">
        <f t="shared" si="0"/>
        <v>8226.0259000000005</v>
      </c>
      <c r="G14">
        <v>3</v>
      </c>
      <c r="H14" s="83" t="n">
        <v>25432.0</v>
      </c>
      <c r="I14" s="83" t="n">
        <v>2719.0</v>
      </c>
      <c r="J14" s="85" t="n">
        <v>2996.0</v>
      </c>
      <c r="K14" s="83">
        <f t="shared" si="1"/>
        <v>30883</v>
      </c>
      <c r="M14" s="1" t="s">
        <v>3</v>
      </c>
      <c r="N14" s="19" t="n">
        <v>21.973485253303615</v>
      </c>
      <c r="O14" s="19" t="n">
        <v>16.426677331437045</v>
      </c>
    </row>
    <row r="15" spans="1:15" x14ac:dyDescent="0.45">
      <c r="A15">
        <v>4</v>
      </c>
      <c r="B15" s="83" t="n">
        <v>10392.5259</v>
      </c>
      <c r="C15" s="83" t="n">
        <v>728.3605</v>
      </c>
      <c r="D15" s="83" t="n">
        <v>12.928</v>
      </c>
      <c r="E15" s="83">
        <f t="shared" si="0"/>
        <v>11133.814400000001</v>
      </c>
      <c r="G15">
        <v>4</v>
      </c>
      <c r="H15" s="83" t="n">
        <v>24799.0</v>
      </c>
      <c r="I15" s="83" t="n">
        <v>2743.0</v>
      </c>
      <c r="J15" s="85" t="n">
        <v>3523.0</v>
      </c>
      <c r="K15" s="83">
        <f t="shared" si="1"/>
        <v>31000</v>
      </c>
    </row>
    <row r="16" spans="1:15" x14ac:dyDescent="0.45">
      <c r="A16">
        <v>5</v>
      </c>
      <c r="B16" s="83" t="n">
        <v>5646.9799</v>
      </c>
      <c r="C16" s="83" t="n">
        <v>329.5046</v>
      </c>
      <c r="D16" s="83" t="n">
        <v>7452.6958</v>
      </c>
      <c r="E16" s="83">
        <f t="shared" si="0"/>
        <v>13429.1803</v>
      </c>
      <c r="G16">
        <v>5</v>
      </c>
      <c r="H16" s="83" t="n">
        <v>23206.0</v>
      </c>
      <c r="I16" s="83" t="n">
        <v>2692.0</v>
      </c>
      <c r="J16" s="85" t="n">
        <v>3492.0</v>
      </c>
      <c r="K16" s="83">
        <f t="shared" si="1"/>
        <v>29564</v>
      </c>
    </row>
    <row r="17" spans="1:11" x14ac:dyDescent="0.45">
      <c r="A17">
        <v>6</v>
      </c>
      <c r="B17" s="83" t="n">
        <v>5830.5565</v>
      </c>
      <c r="C17" s="83" t="n">
        <v>1405.8463</v>
      </c>
      <c r="D17" s="83" t="n">
        <v>224.76899999999998</v>
      </c>
      <c r="E17" s="83">
        <f t="shared" si="0"/>
        <v>7461.1718000000001</v>
      </c>
      <c r="G17">
        <v>6</v>
      </c>
      <c r="H17" s="83" t="n">
        <v>21250.0</v>
      </c>
      <c r="I17" s="83" t="n">
        <v>2643.0</v>
      </c>
      <c r="J17" s="85" t="n">
        <v>4054.0</v>
      </c>
      <c r="K17" s="83">
        <f t="shared" si="1"/>
        <v>28242</v>
      </c>
    </row>
    <row r="18" spans="1:11" x14ac:dyDescent="0.45">
      <c r="A18">
        <v>7</v>
      </c>
      <c r="B18" s="83" t="n">
        <v>9951.9981</v>
      </c>
      <c r="C18" s="83" t="n">
        <v>795.16</v>
      </c>
      <c r="D18" s="83" t="n">
        <v>215.69199999999998</v>
      </c>
      <c r="E18" s="83">
        <f t="shared" si="0"/>
        <v>10962.8501</v>
      </c>
      <c r="G18">
        <v>7</v>
      </c>
      <c r="H18" s="83" t="n">
        <v>19323.0</v>
      </c>
      <c r="I18" s="83" t="n">
        <v>2470.0</v>
      </c>
      <c r="J18" s="85" t="n">
        <v>3478.0</v>
      </c>
      <c r="K18" s="83">
        <f t="shared" si="1"/>
        <v>25319</v>
      </c>
    </row>
    <row r="19" spans="1:11" x14ac:dyDescent="0.45">
      <c r="A19">
        <v>8</v>
      </c>
      <c r="B19" s="83" t="n">
        <v>2651.7325</v>
      </c>
      <c r="C19" s="83" t="n">
        <v>0.0</v>
      </c>
      <c r="D19" s="83" t="n">
        <v>766.789</v>
      </c>
      <c r="E19" s="83">
        <f t="shared" si="0"/>
        <v>3418.5214999999998</v>
      </c>
      <c r="G19">
        <v>8</v>
      </c>
      <c r="H19" s="83" t="n">
        <v>16745.0</v>
      </c>
      <c r="I19" s="83" t="n">
        <v>2338.0</v>
      </c>
      <c r="J19" s="85" t="n">
        <v>2864.0</v>
      </c>
      <c r="K19" s="83">
        <f t="shared" si="1"/>
        <v>21928</v>
      </c>
    </row>
    <row r="20" spans="1:11" x14ac:dyDescent="0.45">
      <c r="A20">
        <v>9</v>
      </c>
      <c r="B20" s="83" t="n">
        <v>10667.088099999999</v>
      </c>
      <c r="C20" s="83" t="n">
        <v>1134.9396</v>
      </c>
      <c r="D20" s="83" t="n">
        <v>80.25569999999999</v>
      </c>
      <c r="E20" s="83">
        <f t="shared" si="0"/>
        <v>11882.283399999998</v>
      </c>
      <c r="G20">
        <v>9</v>
      </c>
      <c r="H20" s="83" t="n">
        <v>15083.0</v>
      </c>
      <c r="I20" s="83" t="n">
        <v>2154.0</v>
      </c>
      <c r="J20" s="85" t="n">
        <v>2720.0</v>
      </c>
      <c r="K20" s="83">
        <f t="shared" si="1"/>
        <v>19670</v>
      </c>
    </row>
    <row r="21" spans="1:11" x14ac:dyDescent="0.45">
      <c r="A21">
        <v>10</v>
      </c>
      <c r="B21" s="83" t="n">
        <v>4602.3874000000005</v>
      </c>
      <c r="C21" s="83" t="n">
        <v>541.9792</v>
      </c>
      <c r="D21" s="83" t="n">
        <v>0.0</v>
      </c>
      <c r="E21" s="83">
        <f t="shared" si="0"/>
        <v>5144.3666000000003</v>
      </c>
      <c r="G21">
        <v>10</v>
      </c>
      <c r="H21" s="83" t="n">
        <v>12579.0</v>
      </c>
      <c r="I21" s="83" t="n">
        <v>1943.0</v>
      </c>
      <c r="J21" s="85" t="n">
        <v>3043.0</v>
      </c>
      <c r="K21" s="83">
        <f t="shared" si="1"/>
        <v>17278</v>
      </c>
    </row>
    <row r="22" spans="1:11" x14ac:dyDescent="0.45">
      <c r="A22">
        <v>11</v>
      </c>
      <c r="B22" s="83" t="n">
        <v>8116.9631</v>
      </c>
      <c r="C22" s="83" t="n">
        <v>1022.1395</v>
      </c>
      <c r="D22" s="83" t="n">
        <v>445.9176</v>
      </c>
      <c r="E22" s="83">
        <f t="shared" si="0"/>
        <v>9585.0202000000008</v>
      </c>
      <c r="G22">
        <v>11</v>
      </c>
      <c r="H22" s="83" t="n">
        <v>10712.0</v>
      </c>
      <c r="I22" s="83" t="n">
        <v>1656.0</v>
      </c>
      <c r="J22" s="85" t="n">
        <v>2222.0</v>
      </c>
      <c r="K22" s="83">
        <f t="shared" si="1"/>
        <v>14535</v>
      </c>
    </row>
    <row r="23" spans="1:11" x14ac:dyDescent="0.45">
      <c r="A23">
        <v>12</v>
      </c>
      <c r="B23" s="83" t="n">
        <v>20061.9584</v>
      </c>
      <c r="C23" s="83" t="n">
        <v>2444.9375999999997</v>
      </c>
      <c r="D23" s="83" t="n">
        <v>253.2591</v>
      </c>
      <c r="E23" s="83">
        <f t="shared" si="0"/>
        <v>22760.1551</v>
      </c>
      <c r="G23">
        <v>12</v>
      </c>
      <c r="H23" s="83" t="n">
        <v>9669.0</v>
      </c>
      <c r="I23" s="83" t="n">
        <v>1548.0</v>
      </c>
      <c r="J23" s="85" t="n">
        <v>2036.0</v>
      </c>
      <c r="K23" s="83">
        <f t="shared" si="1"/>
        <v>13183</v>
      </c>
    </row>
    <row r="24" spans="1:11" x14ac:dyDescent="0.45">
      <c r="A24">
        <v>13</v>
      </c>
      <c r="B24" s="83" t="n">
        <v>7538.7794</v>
      </c>
      <c r="C24" s="83" t="n">
        <v>241.2413</v>
      </c>
      <c r="D24" s="83" t="n">
        <v>924.3569</v>
      </c>
      <c r="E24" s="83">
        <f t="shared" si="0"/>
        <v>8704.3775999999998</v>
      </c>
      <c r="G24">
        <v>13</v>
      </c>
      <c r="H24" s="83" t="n">
        <v>8087.0</v>
      </c>
      <c r="I24" s="83" t="n">
        <v>1353.0</v>
      </c>
      <c r="J24" s="85" t="n">
        <v>1523.0</v>
      </c>
      <c r="K24" s="83">
        <f t="shared" si="1"/>
        <v>10916</v>
      </c>
    </row>
    <row r="25" spans="1:11" x14ac:dyDescent="0.45">
      <c r="A25">
        <v>14</v>
      </c>
      <c r="B25" s="83" t="n">
        <v>11279.2145</v>
      </c>
      <c r="C25" s="83" t="n">
        <v>834.1784</v>
      </c>
      <c r="D25" s="83" t="n">
        <v>1634.7037</v>
      </c>
      <c r="E25" s="83">
        <f t="shared" si="0"/>
        <v>13748.096600000001</v>
      </c>
      <c r="G25">
        <v>14</v>
      </c>
      <c r="H25" s="83" t="n">
        <v>7210.0</v>
      </c>
      <c r="I25" s="83" t="n">
        <v>1197.0</v>
      </c>
      <c r="J25" s="85" t="n">
        <v>1279.0</v>
      </c>
      <c r="K25" s="83">
        <f t="shared" si="1"/>
        <v>10438</v>
      </c>
    </row>
    <row r="26" spans="1:11" x14ac:dyDescent="0.45">
      <c r="A26">
        <v>15</v>
      </c>
      <c r="B26" s="83" t="n">
        <v>1343.0692</v>
      </c>
      <c r="C26" s="83" t="n">
        <v>0.0</v>
      </c>
      <c r="D26" s="83" t="n">
        <v>196.95</v>
      </c>
      <c r="E26" s="83">
        <f t="shared" si="0"/>
        <v>1540.0192</v>
      </c>
      <c r="G26">
        <v>15</v>
      </c>
      <c r="H26" s="83" t="n">
        <v>7571.0</v>
      </c>
      <c r="I26" s="83" t="n">
        <v>1231.0</v>
      </c>
      <c r="J26" s="85" t="n">
        <v>888.0</v>
      </c>
      <c r="K26" s="83">
        <f t="shared" si="1"/>
        <v>8789</v>
      </c>
    </row>
    <row r="27" spans="1:11" x14ac:dyDescent="0.45">
      <c r="A27">
        <v>16</v>
      </c>
      <c r="B27" s="83" t="n">
        <v>25742.3075</v>
      </c>
      <c r="C27" s="83" t="n">
        <v>2312.2284</v>
      </c>
      <c r="D27" s="83" t="n">
        <v>1590.6269</v>
      </c>
      <c r="E27" s="83">
        <f t="shared" si="0"/>
        <v>29645.162799999998</v>
      </c>
      <c r="G27">
        <v>16</v>
      </c>
      <c r="H27" s="83" t="n">
        <v>6365.0</v>
      </c>
      <c r="I27" s="83" t="n">
        <v>1178.0</v>
      </c>
      <c r="J27" s="85" t="n">
        <v>1579.0</v>
      </c>
      <c r="K27" s="83">
        <f t="shared" si="1"/>
        <v>9382</v>
      </c>
    </row>
    <row r="28" spans="1:11" x14ac:dyDescent="0.45">
      <c r="A28">
        <v>17</v>
      </c>
      <c r="B28" s="83" t="n">
        <v>11071.6979</v>
      </c>
      <c r="C28" s="83" t="n">
        <v>666.9232</v>
      </c>
      <c r="D28" s="83" t="n">
        <v>0.0</v>
      </c>
      <c r="E28" s="83">
        <f t="shared" si="0"/>
        <v>11738.621099999998</v>
      </c>
      <c r="G28">
        <v>17</v>
      </c>
      <c r="H28" s="83" t="n">
        <v>5910.0</v>
      </c>
      <c r="I28" s="83" t="n">
        <v>1081.0</v>
      </c>
      <c r="J28" s="85" t="n">
        <v>1293.0</v>
      </c>
      <c r="K28" s="83">
        <f t="shared" si="1"/>
        <v>7992</v>
      </c>
    </row>
    <row r="29" spans="1:11" x14ac:dyDescent="0.45">
      <c r="A29">
        <v>18</v>
      </c>
      <c r="B29" s="83" t="n">
        <v>37230.7892</v>
      </c>
      <c r="C29" s="83" t="n">
        <v>5722.6717</v>
      </c>
      <c r="D29" s="83" t="n">
        <v>5352.9331999999995</v>
      </c>
      <c r="E29" s="83">
        <f t="shared" si="0"/>
        <v>48306.394099999998</v>
      </c>
      <c r="G29">
        <v>18</v>
      </c>
      <c r="H29" s="83" t="n">
        <v>68121.0</v>
      </c>
      <c r="I29" s="83" t="n">
        <v>12829.0</v>
      </c>
      <c r="J29" s="85" t="n">
        <v>16380.0</v>
      </c>
      <c r="K29" s="83">
        <f t="shared" si="1"/>
        <v>95927</v>
      </c>
    </row>
    <row r="30" spans="1:11" x14ac:dyDescent="0.45">
      <c r="A30">
        <v>19</v>
      </c>
      <c r="B30" s="83" t="n">
        <v>19208.2896</v>
      </c>
      <c r="C30" s="83" t="n">
        <v>5036.694</v>
      </c>
      <c r="D30" s="83" t="n">
        <v>4783.6118</v>
      </c>
      <c r="E30" s="83">
        <f t="shared" si="0"/>
        <v>29028.595399999998</v>
      </c>
      <c r="G30">
        <v>19</v>
      </c>
      <c r="H30" s="83" t="n">
        <v>15392.0</v>
      </c>
      <c r="I30" s="83" t="n">
        <v>3215.0</v>
      </c>
      <c r="J30" s="85" t="n">
        <v>5261.0</v>
      </c>
      <c r="K30" s="83">
        <f t="shared" si="1"/>
        <v>23591</v>
      </c>
    </row>
    <row r="31" spans="1:11" x14ac:dyDescent="0.45">
      <c r="A31">
        <v>20</v>
      </c>
      <c r="B31" s="83" t="n">
        <v>41266.0244</v>
      </c>
      <c r="C31" s="83" t="n">
        <v>2008.2398</v>
      </c>
      <c r="D31" s="83" t="n">
        <v>3383.5687</v>
      </c>
      <c r="E31" s="83">
        <f t="shared" si="0"/>
        <v>46657.832900000009</v>
      </c>
      <c r="G31">
        <v>20</v>
      </c>
      <c r="H31" s="83" t="n">
        <v>14123.0</v>
      </c>
      <c r="I31" s="83" t="n">
        <v>3500.0</v>
      </c>
      <c r="J31" s="85" t="n">
        <v>9383.0</v>
      </c>
      <c r="K31" s="83">
        <f t="shared" si="1"/>
        <v>31660</v>
      </c>
    </row>
    <row r="32" spans="1:11" x14ac:dyDescent="0.45">
      <c r="A32">
        <v>21</v>
      </c>
      <c r="B32" s="83" t="n">
        <v>20348.6981</v>
      </c>
      <c r="C32" s="83" t="n">
        <v>3177.5144</v>
      </c>
      <c r="D32" s="83" t="n">
        <v>3402.5726</v>
      </c>
      <c r="E32" s="83">
        <f t="shared" si="0"/>
        <v>26928.785100000001</v>
      </c>
      <c r="G32">
        <v>21</v>
      </c>
      <c r="H32" s="83" t="n">
        <v>15516.0</v>
      </c>
      <c r="I32" s="83" t="n">
        <v>4527.0</v>
      </c>
      <c r="J32" s="85" t="n">
        <v>16368.0</v>
      </c>
      <c r="K32" s="83">
        <f t="shared" si="1"/>
        <v>28601</v>
      </c>
    </row>
    <row r="33" spans="1:11" x14ac:dyDescent="0.45">
      <c r="A33">
        <v>22</v>
      </c>
      <c r="B33" s="83" t="n">
        <v>21622.0733</v>
      </c>
      <c r="C33" s="83" t="n">
        <v>2015.7887</v>
      </c>
      <c r="D33" s="83" t="n">
        <v>4173.3805</v>
      </c>
      <c r="E33" s="83">
        <f t="shared" si="0"/>
        <v>27811.2425</v>
      </c>
      <c r="G33">
        <v>22</v>
      </c>
      <c r="H33" s="83" t="n">
        <v>19599.0</v>
      </c>
      <c r="I33" s="83" t="n">
        <v>4700.0</v>
      </c>
      <c r="J33" s="85" t="n">
        <v>4844.0</v>
      </c>
      <c r="K33" s="83">
        <f t="shared" si="1"/>
        <v>28617</v>
      </c>
    </row>
    <row r="34" spans="1:11" x14ac:dyDescent="0.45">
      <c r="A34">
        <v>23</v>
      </c>
      <c r="B34" s="83" t="n">
        <v>3476.5962</v>
      </c>
      <c r="C34" s="83" t="n">
        <v>87.1083</v>
      </c>
      <c r="D34" s="83" t="n">
        <v>2692.1727</v>
      </c>
      <c r="E34" s="83">
        <f t="shared" si="0"/>
        <v>6255.8771999999999</v>
      </c>
      <c r="G34">
        <v>23</v>
      </c>
      <c r="H34" s="83" t="n">
        <v>15630.0</v>
      </c>
      <c r="I34" s="83" t="n">
        <v>3436.0</v>
      </c>
      <c r="J34" s="85" t="n">
        <v>10757.0</v>
      </c>
      <c r="K34" s="83">
        <f t="shared" si="1"/>
        <v>25171</v>
      </c>
    </row>
    <row r="35" spans="1:11" x14ac:dyDescent="0.45">
      <c r="A35">
        <v>24</v>
      </c>
      <c r="B35" s="83" t="n">
        <v>14231.0566</v>
      </c>
      <c r="C35" s="83" t="n">
        <v>5333.9229000000005</v>
      </c>
      <c r="D35" s="83" t="n">
        <v>1554.6602</v>
      </c>
      <c r="E35" s="83">
        <f t="shared" si="0"/>
        <v>21119.6397</v>
      </c>
      <c r="G35">
        <v>24</v>
      </c>
      <c r="H35" s="83" t="n">
        <v>8118.0</v>
      </c>
      <c r="I35" s="83" t="n">
        <v>2448.0</v>
      </c>
      <c r="J35" s="85" t="n">
        <v>10124.0</v>
      </c>
      <c r="K35" s="83">
        <f t="shared" si="1"/>
        <v>22433</v>
      </c>
    </row>
    <row r="36" spans="1:11" x14ac:dyDescent="0.45">
      <c r="A36">
        <v>25</v>
      </c>
      <c r="B36" s="83" t="n">
        <v>14298.2394</v>
      </c>
      <c r="C36" s="83" t="n">
        <v>294.7741</v>
      </c>
      <c r="D36" s="83" t="n">
        <v>1148.9579</v>
      </c>
      <c r="E36" s="83">
        <f t="shared" si="0"/>
        <v>15741.9714</v>
      </c>
      <c r="G36">
        <v>25</v>
      </c>
      <c r="H36" s="83" t="n">
        <v>8794.0</v>
      </c>
      <c r="I36" s="83" t="n">
        <v>2719.0</v>
      </c>
      <c r="J36" s="85" t="n">
        <v>7556.0</v>
      </c>
      <c r="K36" s="83">
        <f t="shared" si="1"/>
        <v>21199</v>
      </c>
    </row>
    <row r="37" spans="1:11" x14ac:dyDescent="0.45">
      <c r="A37">
        <v>26</v>
      </c>
      <c r="B37" s="83" t="n">
        <v>33839.3131</v>
      </c>
      <c r="C37" s="83" t="n">
        <v>7174.651</v>
      </c>
      <c r="D37" s="83" t="n">
        <v>887.428</v>
      </c>
      <c r="E37" s="83">
        <f t="shared" si="0"/>
        <v>41901.392099999997</v>
      </c>
      <c r="G37">
        <v>26</v>
      </c>
      <c r="H37" s="83" t="n">
        <v>5591.0</v>
      </c>
      <c r="I37" s="83" t="n">
        <v>1709.0</v>
      </c>
      <c r="J37" s="85" t="n">
        <v>9435.0</v>
      </c>
      <c r="K37" s="83">
        <f t="shared" si="1"/>
        <v>17526</v>
      </c>
    </row>
    <row r="38" spans="1:11" x14ac:dyDescent="0.45">
      <c r="A38">
        <v>27</v>
      </c>
      <c r="B38" s="83" t="n">
        <v>3780.4168</v>
      </c>
      <c r="C38" s="83" t="n">
        <v>2004.8523</v>
      </c>
      <c r="D38" s="83" t="n">
        <v>451.7598</v>
      </c>
      <c r="E38" s="83">
        <f t="shared" si="0"/>
        <v>6237.0288999999993</v>
      </c>
      <c r="G38">
        <v>27</v>
      </c>
      <c r="H38" s="83" t="n">
        <v>5790.0</v>
      </c>
      <c r="I38" s="83" t="n">
        <v>2269.0</v>
      </c>
      <c r="J38" s="85" t="n">
        <v>12571.0</v>
      </c>
      <c r="K38" s="83">
        <f t="shared" si="1"/>
        <v>16293</v>
      </c>
    </row>
    <row r="39" spans="1:11" x14ac:dyDescent="0.45">
      <c r="A39">
        <v>28</v>
      </c>
      <c r="B39" s="83" t="n">
        <v>11328.2202</v>
      </c>
      <c r="C39" s="83" t="n">
        <v>1681.9155</v>
      </c>
      <c r="D39" s="83" t="n">
        <v>1986.3262</v>
      </c>
      <c r="E39" s="83">
        <f t="shared" si="0"/>
        <v>14996.461899999998</v>
      </c>
      <c r="G39">
        <v>28</v>
      </c>
      <c r="H39" s="83" t="n">
        <v>3319.0</v>
      </c>
      <c r="I39" s="83" t="n">
        <v>1351.0</v>
      </c>
      <c r="J39" s="85" t="n">
        <v>6067.0</v>
      </c>
      <c r="K39" s="83">
        <f t="shared" si="1"/>
        <v>13929</v>
      </c>
    </row>
    <row r="40" spans="1:11" x14ac:dyDescent="0.45">
      <c r="A40">
        <v>29</v>
      </c>
      <c r="B40" s="83" t="n">
        <v>4032.5270000000005</v>
      </c>
      <c r="C40" s="83" t="n">
        <v>2926.6144000000004</v>
      </c>
      <c r="D40" s="83" t="n">
        <v>1539.4123</v>
      </c>
      <c r="E40" s="83">
        <f t="shared" si="0"/>
        <v>8498.5537000000004</v>
      </c>
      <c r="G40">
        <v>29</v>
      </c>
      <c r="H40" s="83" t="n">
        <v>2326.0</v>
      </c>
      <c r="I40" s="83" t="n">
        <v>1102.0</v>
      </c>
      <c r="J40" s="85" t="n">
        <v>5772.0</v>
      </c>
      <c r="K40" s="83">
        <f t="shared" si="1"/>
        <v>9198</v>
      </c>
    </row>
    <row r="41" spans="1:11" x14ac:dyDescent="0.45">
      <c r="A41">
        <v>30</v>
      </c>
      <c r="B41" s="83" t="n">
        <v>14496.886</v>
      </c>
      <c r="C41" s="83" t="n">
        <v>3870.1862</v>
      </c>
      <c r="D41" s="83" t="n">
        <v>1444.3077</v>
      </c>
      <c r="E41" s="83">
        <f t="shared" si="0"/>
        <v>19811.379900000004</v>
      </c>
      <c r="G41">
        <v>30</v>
      </c>
      <c r="H41" s="83" t="n">
        <v>6272.0</v>
      </c>
      <c r="I41" s="83" t="n">
        <v>1676.0</v>
      </c>
      <c r="J41" s="85" t="n">
        <v>3451.0</v>
      </c>
      <c r="K41" s="83">
        <f t="shared" si="1"/>
        <v>9004</v>
      </c>
    </row>
    <row r="42" spans="1:11" x14ac:dyDescent="0.45">
      <c r="A42">
        <v>31</v>
      </c>
      <c r="B42" s="83" t="n">
        <v>4371.8631</v>
      </c>
      <c r="C42" s="83" t="n">
        <v>2765.5991</v>
      </c>
      <c r="D42" s="83" t="n">
        <v>1153.2854</v>
      </c>
      <c r="E42" s="83">
        <f t="shared" si="0"/>
        <v>8290.7476000000006</v>
      </c>
      <c r="G42">
        <v>31</v>
      </c>
      <c r="H42" s="83" t="n">
        <v>4444.0</v>
      </c>
      <c r="I42" s="83" t="n">
        <v>1506.0</v>
      </c>
      <c r="J42" s="85" t="n">
        <v>3571.0</v>
      </c>
      <c r="K42" s="83">
        <f t="shared" si="1"/>
        <v>8415</v>
      </c>
    </row>
    <row r="43" spans="1:11" x14ac:dyDescent="0.45">
      <c r="A43">
        <v>32</v>
      </c>
      <c r="B43" s="83" t="n">
        <v>4797.0135</v>
      </c>
      <c r="C43" s="83" t="n">
        <v>679.5339</v>
      </c>
      <c r="D43" s="83" t="n">
        <v>193.3778</v>
      </c>
      <c r="E43" s="83">
        <f t="shared" ref="E43:E74" si="2">SUM(B43:D43)</f>
        <v>5669.9252000000006</v>
      </c>
      <c r="G43">
        <v>32</v>
      </c>
      <c r="H43" s="83" t="n">
        <v>3745.0</v>
      </c>
      <c r="I43" s="83" t="n">
        <v>1335.0</v>
      </c>
      <c r="J43" s="85" t="n">
        <v>7140.0</v>
      </c>
      <c r="K43" s="83">
        <f t="shared" ref="K43:K74" si="3">SUM(H43:J43)</f>
        <v>11250</v>
      </c>
    </row>
    <row r="44" spans="1:11" x14ac:dyDescent="0.45">
      <c r="A44">
        <v>33</v>
      </c>
      <c r="B44" s="83" t="n">
        <v>3526.8323</v>
      </c>
      <c r="C44" s="83" t="n">
        <v>0.0</v>
      </c>
      <c r="D44" s="83" t="n">
        <v>2470.4291</v>
      </c>
      <c r="E44" s="83">
        <f t="shared" si="2"/>
        <v>5997.2613999999994</v>
      </c>
      <c r="G44">
        <v>33</v>
      </c>
      <c r="H44" s="83" t="n">
        <v>924.0</v>
      </c>
      <c r="I44" s="83" t="n">
        <v>711.0</v>
      </c>
      <c r="J44" s="85" t="n">
        <v>3911.0</v>
      </c>
      <c r="K44" s="83">
        <f t="shared" si="3"/>
        <v>10609</v>
      </c>
    </row>
    <row r="45" spans="1:11" x14ac:dyDescent="0.45">
      <c r="A45">
        <v>34</v>
      </c>
      <c r="B45" s="83" t="n">
        <v>12890.1114</v>
      </c>
      <c r="C45" s="83" t="n">
        <v>645.0735999999999</v>
      </c>
      <c r="D45" s="83" t="n">
        <v>1201.6505</v>
      </c>
      <c r="E45" s="83">
        <f t="shared" si="2"/>
        <v>14736.835499999999</v>
      </c>
      <c r="G45">
        <v>34</v>
      </c>
      <c r="H45" s="83" t="n">
        <v>573.0</v>
      </c>
      <c r="I45" s="83" t="n">
        <v>517.0</v>
      </c>
      <c r="J45" s="85" t="n">
        <v>4515.0</v>
      </c>
      <c r="K45" s="83">
        <f t="shared" si="3"/>
        <v>6522</v>
      </c>
    </row>
    <row r="46" spans="1:11" x14ac:dyDescent="0.45">
      <c r="A46">
        <v>35</v>
      </c>
      <c r="B46" s="83" t="n">
        <v>0.0</v>
      </c>
      <c r="C46" s="83" t="n">
        <v>438.0688</v>
      </c>
      <c r="D46" s="83" t="n">
        <v>388.3709</v>
      </c>
      <c r="E46" s="83">
        <f t="shared" si="2"/>
        <v>826.43970000000002</v>
      </c>
      <c r="G46">
        <v>35</v>
      </c>
      <c r="H46" s="83" t="n">
        <v>1461.0</v>
      </c>
      <c r="I46" s="83" t="n">
        <v>573.0</v>
      </c>
      <c r="J46" s="85" t="n">
        <v>1300.0</v>
      </c>
      <c r="K46" s="83">
        <f t="shared" si="3"/>
        <v>3702</v>
      </c>
    </row>
    <row r="47" spans="1:11" x14ac:dyDescent="0.45">
      <c r="A47">
        <v>36</v>
      </c>
      <c r="B47" s="83" t="n">
        <v>264.5087</v>
      </c>
      <c r="C47" s="83" t="n">
        <v>0.0</v>
      </c>
      <c r="D47" s="83" t="n">
        <v>1345.1968</v>
      </c>
      <c r="E47" s="83">
        <f t="shared" si="2"/>
        <v>1609.7055</v>
      </c>
      <c r="G47">
        <v>36</v>
      </c>
      <c r="H47" s="83" t="n">
        <v>3431.0</v>
      </c>
      <c r="I47" s="83" t="n">
        <v>1178.0</v>
      </c>
      <c r="J47" s="85" t="n">
        <v>4479.0</v>
      </c>
      <c r="K47" s="83">
        <f t="shared" si="3"/>
        <v>4196</v>
      </c>
    </row>
    <row r="48" spans="1:11" x14ac:dyDescent="0.45">
      <c r="A48">
        <v>37</v>
      </c>
      <c r="B48" s="83" t="n">
        <v>4936.4268</v>
      </c>
      <c r="C48" s="83" t="n">
        <v>1379.2523</v>
      </c>
      <c r="D48" s="83" t="n">
        <v>327.4027</v>
      </c>
      <c r="E48" s="83">
        <f t="shared" si="2"/>
        <v>6643.0817999999999</v>
      </c>
      <c r="G48">
        <v>37</v>
      </c>
      <c r="H48" s="83" t="n">
        <v>406.0</v>
      </c>
      <c r="I48" s="83" t="n">
        <v>372.0</v>
      </c>
      <c r="J48" s="85" t="n">
        <v>2766.0</v>
      </c>
      <c r="K48" s="83">
        <f t="shared" si="3"/>
        <v>6060</v>
      </c>
    </row>
    <row r="49" spans="1:11" x14ac:dyDescent="0.45">
      <c r="A49">
        <v>38</v>
      </c>
      <c r="B49" s="83" t="n">
        <v>3535.002</v>
      </c>
      <c r="C49" s="83" t="n">
        <v>1625.885</v>
      </c>
      <c r="D49" s="83" t="n">
        <v>953.4077</v>
      </c>
      <c r="E49" s="83">
        <f t="shared" si="2"/>
        <v>6114.2946999999995</v>
      </c>
      <c r="G49">
        <v>38</v>
      </c>
      <c r="H49" s="83" t="n">
        <v>828.0</v>
      </c>
      <c r="I49" s="83" t="n">
        <v>581.0</v>
      </c>
      <c r="J49" s="85" t="n">
        <v>1792.0</v>
      </c>
      <c r="K49" s="83">
        <f t="shared" si="3"/>
        <v>2210</v>
      </c>
    </row>
    <row r="50" spans="1:11" x14ac:dyDescent="0.45">
      <c r="A50">
        <v>39</v>
      </c>
      <c r="B50" s="83" t="n">
        <v>551.8249999999999</v>
      </c>
      <c r="C50" s="83" t="n">
        <v>0.0</v>
      </c>
      <c r="D50" s="83" t="n">
        <v>1511.3800999999999</v>
      </c>
      <c r="E50" s="83">
        <f t="shared" si="2"/>
        <v>2063.2050999999997</v>
      </c>
      <c r="G50">
        <v>39</v>
      </c>
      <c r="H50" s="83" t="n">
        <v>516.0</v>
      </c>
      <c r="I50" s="83" t="n">
        <v>486.0</v>
      </c>
      <c r="J50" s="85" t="n">
        <v>3707.0</v>
      </c>
      <c r="K50" s="83">
        <f t="shared" si="3"/>
        <v>5152</v>
      </c>
    </row>
    <row r="51" spans="1:11" x14ac:dyDescent="0.45">
      <c r="A51">
        <v>40</v>
      </c>
      <c r="B51" s="83" t="n">
        <v>0.0</v>
      </c>
      <c r="C51" s="83" t="n">
        <v>55.7339</v>
      </c>
      <c r="D51" s="83" t="n">
        <v>145.3335</v>
      </c>
      <c r="E51" s="83">
        <f t="shared" si="2"/>
        <v>201.06739999999999</v>
      </c>
      <c r="G51">
        <v>40</v>
      </c>
      <c r="H51" s="83" t="n">
        <v>178.0</v>
      </c>
      <c r="I51" s="83" t="n">
        <v>305.0</v>
      </c>
      <c r="J51" s="85" t="n">
        <v>1311.0</v>
      </c>
      <c r="K51" s="83">
        <f t="shared" si="3"/>
        <v>3122</v>
      </c>
    </row>
    <row r="52" spans="1:11" x14ac:dyDescent="0.45">
      <c r="A52">
        <v>41</v>
      </c>
      <c r="B52" s="83" t="n">
        <v>5402.1254</v>
      </c>
      <c r="C52" s="83" t="n">
        <v>0.0</v>
      </c>
      <c r="D52" s="83" t="n">
        <v>316.6618</v>
      </c>
      <c r="E52" s="83">
        <f t="shared" si="2"/>
        <v>5718.7871999999998</v>
      </c>
      <c r="G52">
        <v>41</v>
      </c>
      <c r="H52" s="83" t="n">
        <v>210.0</v>
      </c>
      <c r="I52" s="83" t="n">
        <v>242.0</v>
      </c>
      <c r="J52" s="85" t="n">
        <v>1235.0</v>
      </c>
      <c r="K52" s="83">
        <f t="shared" si="3"/>
        <v>1819</v>
      </c>
    </row>
    <row r="53" spans="1:11" x14ac:dyDescent="0.45">
      <c r="A53">
        <v>42</v>
      </c>
      <c r="B53" s="83" t="n">
        <v>0.0</v>
      </c>
      <c r="C53" s="83" t="n">
        <v>0.0</v>
      </c>
      <c r="D53" s="83" t="n">
        <v>214.2046</v>
      </c>
      <c r="E53" s="83">
        <f t="shared" si="2"/>
        <v>214.2046</v>
      </c>
      <c r="G53">
        <v>42</v>
      </c>
      <c r="H53" s="83" t="n">
        <v>101.0</v>
      </c>
      <c r="I53" s="83" t="n">
        <v>183.0</v>
      </c>
      <c r="J53" s="85" t="n">
        <v>1128.0</v>
      </c>
      <c r="K53" s="83">
        <f t="shared" si="3"/>
        <v>2135</v>
      </c>
    </row>
    <row r="54" spans="1:11" x14ac:dyDescent="0.45">
      <c r="A54">
        <v>43</v>
      </c>
      <c r="B54" s="83" t="n">
        <v>353.8466</v>
      </c>
      <c r="C54" s="83" t="n">
        <v>254.1134</v>
      </c>
      <c r="D54" s="83" t="n">
        <v>460.9102</v>
      </c>
      <c r="E54" s="83">
        <f t="shared" si="2"/>
        <v>1068.8702000000001</v>
      </c>
      <c r="G54">
        <v>43</v>
      </c>
      <c r="H54" s="83" t="n">
        <v>92.0</v>
      </c>
      <c r="I54" s="83" t="n">
        <v>162.0</v>
      </c>
      <c r="J54" s="85" t="n">
        <v>1323.0</v>
      </c>
      <c r="K54" s="83">
        <f t="shared" si="3"/>
        <v>1574</v>
      </c>
    </row>
    <row r="55" spans="1:11" x14ac:dyDescent="0.45">
      <c r="A55">
        <v>44</v>
      </c>
      <c r="B55" s="83" t="n">
        <v>0.0</v>
      </c>
      <c r="C55" s="83" t="n">
        <v>262.7907</v>
      </c>
      <c r="D55" s="83" t="n">
        <v>1013.4291000000001</v>
      </c>
      <c r="E55" s="83">
        <f t="shared" si="2"/>
        <v>1276.2198000000001</v>
      </c>
      <c r="G55">
        <v>44</v>
      </c>
      <c r="H55" s="83" t="n">
        <v>55.0</v>
      </c>
      <c r="I55" s="83" t="n">
        <v>106.0</v>
      </c>
      <c r="J55" s="85" t="n">
        <v>753.0</v>
      </c>
      <c r="K55" s="83">
        <f t="shared" si="3"/>
        <v>1086</v>
      </c>
    </row>
    <row r="56" spans="1:11" x14ac:dyDescent="0.45">
      <c r="A56">
        <v>45</v>
      </c>
      <c r="B56" s="83" t="n">
        <v>14075.8714</v>
      </c>
      <c r="C56" s="83" t="n">
        <v>3017.0855</v>
      </c>
      <c r="D56" s="83" t="n">
        <v>3907.4936000000002</v>
      </c>
      <c r="E56" s="83">
        <f t="shared" si="2"/>
        <v>21000.450500000003</v>
      </c>
      <c r="G56">
        <v>45</v>
      </c>
      <c r="H56" s="83" t="n">
        <v>82.0</v>
      </c>
      <c r="I56" s="83" t="n">
        <v>150.0</v>
      </c>
      <c r="J56" s="85" t="n">
        <v>2375.0</v>
      </c>
      <c r="K56" s="83">
        <f t="shared" si="3"/>
        <v>2601</v>
      </c>
    </row>
    <row r="57" spans="1:11" x14ac:dyDescent="0.45">
      <c r="A57">
        <v>46</v>
      </c>
      <c r="B57" s="83" t="n">
        <v>522.3251</v>
      </c>
      <c r="C57" s="83" t="n">
        <v>522.3251</v>
      </c>
      <c r="D57" s="83" t="n">
        <v>427.759</v>
      </c>
      <c r="E57" s="83">
        <f t="shared" si="2"/>
        <v>1472.4092000000001</v>
      </c>
      <c r="G57">
        <v>46</v>
      </c>
      <c r="H57" s="83" t="n">
        <v>48.0</v>
      </c>
      <c r="I57" s="83" t="n">
        <v>125.0</v>
      </c>
      <c r="J57" s="85" t="n">
        <v>822.0</v>
      </c>
      <c r="K57" s="83">
        <f t="shared" si="3"/>
        <v>1121</v>
      </c>
    </row>
    <row r="58" spans="1:11" x14ac:dyDescent="0.45">
      <c r="A58">
        <v>47</v>
      </c>
      <c r="B58" s="83" t="n">
        <v>321.005</v>
      </c>
      <c r="C58" s="83" t="n">
        <v>0.0</v>
      </c>
      <c r="D58" s="83" t="n">
        <v>667.4098</v>
      </c>
      <c r="E58" s="83">
        <f t="shared" si="2"/>
        <v>988.41480000000001</v>
      </c>
      <c r="G58">
        <v>47</v>
      </c>
      <c r="H58" s="83" t="n">
        <v>56.0</v>
      </c>
      <c r="I58" s="83" t="n">
        <v>96.0</v>
      </c>
      <c r="J58" s="85" t="n">
        <v>2030.0</v>
      </c>
      <c r="K58" s="83">
        <f t="shared" si="3"/>
        <v>2809</v>
      </c>
    </row>
    <row r="59" spans="1:11" x14ac:dyDescent="0.45">
      <c r="A59">
        <v>48</v>
      </c>
      <c r="B59" s="83" t="n">
        <v>0.0</v>
      </c>
      <c r="C59" s="83" t="n">
        <v>0.0</v>
      </c>
      <c r="D59" s="83" t="n">
        <v>82.014</v>
      </c>
      <c r="E59" s="83">
        <f t="shared" si="2"/>
        <v>82.013999999999996</v>
      </c>
      <c r="G59">
        <v>48</v>
      </c>
      <c r="H59" s="83" t="n">
        <v>98.0</v>
      </c>
      <c r="I59" s="83" t="n">
        <v>141.0</v>
      </c>
      <c r="J59" s="85" t="n">
        <v>1500.0</v>
      </c>
      <c r="K59" s="83">
        <f t="shared" si="3"/>
        <v>1900</v>
      </c>
    </row>
    <row r="60" spans="1:11" x14ac:dyDescent="0.45">
      <c r="A60">
        <v>49</v>
      </c>
      <c r="B60" s="83" t="n">
        <v>1297.2364</v>
      </c>
      <c r="C60" s="83" t="n">
        <v>0.0</v>
      </c>
      <c r="D60" s="83" t="n">
        <v>138.9376</v>
      </c>
      <c r="E60" s="83">
        <f t="shared" si="2"/>
        <v>1436.174</v>
      </c>
      <c r="G60">
        <v>49</v>
      </c>
      <c r="H60" s="83" t="n">
        <v>19.0</v>
      </c>
      <c r="I60" s="83" t="n">
        <v>63.0</v>
      </c>
      <c r="J60" s="85" t="n">
        <v>767.0</v>
      </c>
      <c r="K60" s="83">
        <f t="shared" si="3"/>
        <v>1610</v>
      </c>
    </row>
    <row r="61" spans="1:11" x14ac:dyDescent="0.45">
      <c r="A61">
        <v>50</v>
      </c>
      <c r="B61" s="83" t="n">
        <v>279.8517</v>
      </c>
      <c r="C61" s="83" t="n">
        <v>0.0</v>
      </c>
      <c r="D61" s="83" t="n">
        <v>462.852</v>
      </c>
      <c r="E61" s="83">
        <f t="shared" si="2"/>
        <v>742.70370000000003</v>
      </c>
      <c r="G61">
        <v>50</v>
      </c>
      <c r="H61" s="83" t="n">
        <v>19.0</v>
      </c>
      <c r="I61" s="83" t="n">
        <v>66.0</v>
      </c>
      <c r="J61" s="85" t="n">
        <v>416.0</v>
      </c>
      <c r="K61" s="83">
        <f t="shared" si="3"/>
        <v>818</v>
      </c>
    </row>
    <row r="62" spans="1:11" x14ac:dyDescent="0.45">
      <c r="A62">
        <v>51</v>
      </c>
      <c r="B62" s="83" t="n">
        <v>0.0</v>
      </c>
      <c r="C62" s="83" t="n">
        <v>0.0</v>
      </c>
      <c r="D62" s="83" t="n">
        <v>27.320999999999998</v>
      </c>
      <c r="E62" s="83">
        <f t="shared" si="2"/>
        <v>27.320999999999998</v>
      </c>
      <c r="G62">
        <v>51</v>
      </c>
      <c r="H62" s="83" t="n">
        <v>17.0</v>
      </c>
      <c r="I62" s="83" t="n">
        <v>55.0</v>
      </c>
      <c r="J62" s="85" t="n">
        <v>643.0</v>
      </c>
      <c r="K62" s="83">
        <f t="shared" si="3"/>
        <v>1456</v>
      </c>
    </row>
    <row r="63" spans="1:11" x14ac:dyDescent="0.45">
      <c r="A63">
        <v>52</v>
      </c>
      <c r="B63" s="83" t="n">
        <v>775.4409</v>
      </c>
      <c r="C63" s="83" t="n">
        <v>0.0</v>
      </c>
      <c r="D63" s="83" t="n">
        <v>0.0</v>
      </c>
      <c r="E63" s="83">
        <f t="shared" si="2"/>
        <v>775.44090000000006</v>
      </c>
      <c r="G63">
        <v>52</v>
      </c>
      <c r="H63" s="83" t="n">
        <v>19.0</v>
      </c>
      <c r="I63" s="83" t="n">
        <v>35.0</v>
      </c>
      <c r="J63" s="85" t="n">
        <v>649.0</v>
      </c>
      <c r="K63" s="83">
        <f t="shared" si="3"/>
        <v>833</v>
      </c>
    </row>
    <row r="64" spans="1:11" x14ac:dyDescent="0.45">
      <c r="A64">
        <v>53</v>
      </c>
      <c r="B64" s="83" t="n">
        <v>0.0</v>
      </c>
      <c r="C64" s="83" t="n">
        <v>0.0</v>
      </c>
      <c r="D64" s="83" t="n">
        <v>227.0372</v>
      </c>
      <c r="E64" s="83">
        <f t="shared" si="2"/>
        <v>227.03720000000001</v>
      </c>
      <c r="G64">
        <v>53</v>
      </c>
      <c r="H64" s="83" t="n">
        <v>8.0</v>
      </c>
      <c r="I64" s="83" t="n">
        <v>55.0</v>
      </c>
      <c r="J64" s="85" t="n">
        <v>229.0</v>
      </c>
      <c r="K64" s="83">
        <f t="shared" si="3"/>
        <v>514</v>
      </c>
    </row>
    <row r="65" spans="1:11" x14ac:dyDescent="0.4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3.0</v>
      </c>
      <c r="I65" s="83" t="n">
        <v>50.0</v>
      </c>
      <c r="J65" s="85" t="n">
        <v>708.0</v>
      </c>
      <c r="K65" s="83">
        <f t="shared" si="3"/>
        <v>959</v>
      </c>
    </row>
    <row r="66" spans="1:11" x14ac:dyDescent="0.45">
      <c r="A66">
        <v>55</v>
      </c>
      <c r="B66" s="83" t="n">
        <v>1287.2831999999999</v>
      </c>
      <c r="C66" s="83" t="n">
        <v>1194.723</v>
      </c>
      <c r="D66" s="83" t="n">
        <v>31.814</v>
      </c>
      <c r="E66" s="83">
        <f t="shared" si="2"/>
        <v>2513.8201999999997</v>
      </c>
      <c r="G66">
        <v>55</v>
      </c>
      <c r="H66" s="83" t="n">
        <v>7.0</v>
      </c>
      <c r="I66" s="83" t="n">
        <v>29.0</v>
      </c>
      <c r="J66" s="85" t="n">
        <v>145.0</v>
      </c>
      <c r="K66" s="83">
        <f t="shared" si="3"/>
        <v>1227</v>
      </c>
    </row>
    <row r="67" spans="1:11" x14ac:dyDescent="0.4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9.0</v>
      </c>
      <c r="I67" s="83" t="n">
        <v>42.0</v>
      </c>
      <c r="J67" s="85" t="n">
        <v>653.0</v>
      </c>
      <c r="K67" s="83">
        <f t="shared" si="3"/>
        <v>854</v>
      </c>
    </row>
    <row r="68" spans="1:11" x14ac:dyDescent="0.45">
      <c r="A68">
        <v>57</v>
      </c>
      <c r="B68" s="83" t="n">
        <v>0.0</v>
      </c>
      <c r="C68" s="83" t="n">
        <v>0.0</v>
      </c>
      <c r="D68" s="83" t="n">
        <v>16.64</v>
      </c>
      <c r="E68" s="83">
        <f t="shared" si="2"/>
        <v>16.64</v>
      </c>
      <c r="G68">
        <v>57</v>
      </c>
      <c r="H68" s="83" t="n">
        <v>5.0</v>
      </c>
      <c r="I68" s="83" t="n">
        <v>13.0</v>
      </c>
      <c r="J68" s="85" t="n">
        <v>309.0</v>
      </c>
      <c r="K68" s="83">
        <f t="shared" si="3"/>
        <v>831</v>
      </c>
    </row>
    <row r="69" spans="1:11" x14ac:dyDescent="0.45">
      <c r="A69">
        <v>58</v>
      </c>
      <c r="B69" s="83" t="n">
        <v>0.0</v>
      </c>
      <c r="C69" s="83" t="n">
        <v>0.0</v>
      </c>
      <c r="D69" s="83" t="n">
        <v>16.385</v>
      </c>
      <c r="E69" s="83">
        <f t="shared" si="2"/>
        <v>16.385000000000002</v>
      </c>
      <c r="G69">
        <v>58</v>
      </c>
      <c r="H69" s="83" t="n">
        <v>4.0</v>
      </c>
      <c r="I69" s="83" t="n">
        <v>23.0</v>
      </c>
      <c r="J69" s="85" t="n">
        <v>249.0</v>
      </c>
      <c r="K69" s="83">
        <f t="shared" si="3"/>
        <v>535</v>
      </c>
    </row>
    <row r="70" spans="1:11" x14ac:dyDescent="0.4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5.0</v>
      </c>
      <c r="I70" s="83" t="n">
        <v>8.0</v>
      </c>
      <c r="J70" s="85" t="n">
        <v>46.0</v>
      </c>
      <c r="K70" s="83">
        <f t="shared" si="3"/>
        <v>328</v>
      </c>
    </row>
    <row r="71" spans="1:11" x14ac:dyDescent="0.4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1.0</v>
      </c>
      <c r="I71" s="83" t="n">
        <v>22.0</v>
      </c>
      <c r="J71" s="85" t="n">
        <v>182.0</v>
      </c>
      <c r="K71" s="83">
        <f t="shared" si="3"/>
        <v>314</v>
      </c>
    </row>
    <row r="72" spans="1:11" x14ac:dyDescent="0.4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9.0</v>
      </c>
      <c r="I72" s="83" t="n">
        <v>13.0</v>
      </c>
      <c r="J72" s="85" t="n">
        <v>112.0</v>
      </c>
      <c r="K72" s="83">
        <f t="shared" si="3"/>
        <v>192</v>
      </c>
    </row>
    <row r="73" spans="1:11" x14ac:dyDescent="0.45">
      <c r="A73">
        <v>62</v>
      </c>
      <c r="B73" s="83" t="n">
        <v>0.0</v>
      </c>
      <c r="C73" s="83" t="n">
        <v>0.0</v>
      </c>
      <c r="D73" s="83" t="n">
        <v>21.709000000000003</v>
      </c>
      <c r="E73" s="83">
        <f t="shared" si="2"/>
        <v>21.709000000000003</v>
      </c>
      <c r="G73">
        <v>62</v>
      </c>
      <c r="H73" s="83" t="n">
        <v>6.0</v>
      </c>
      <c r="I73" s="83" t="n">
        <v>10.0</v>
      </c>
      <c r="J73" s="85" t="n">
        <v>347.0</v>
      </c>
      <c r="K73" s="83">
        <f t="shared" si="3"/>
        <v>560</v>
      </c>
    </row>
    <row r="74" spans="1:11" x14ac:dyDescent="0.45">
      <c r="A74">
        <v>63</v>
      </c>
      <c r="B74" s="83" t="n">
        <v>0.0</v>
      </c>
      <c r="C74" s="83" t="n">
        <v>0.0</v>
      </c>
      <c r="D74" s="83" t="n">
        <v>4.128</v>
      </c>
      <c r="E74" s="83">
        <f t="shared" si="2"/>
        <v>4.1280000000000001</v>
      </c>
      <c r="G74">
        <v>63</v>
      </c>
      <c r="H74" s="83" t="n">
        <v>3.0</v>
      </c>
      <c r="I74" s="83" t="n">
        <v>11.0</v>
      </c>
      <c r="J74" s="85" t="n">
        <v>133.0</v>
      </c>
      <c r="K74" s="83">
        <f t="shared" si="3"/>
        <v>184</v>
      </c>
    </row>
    <row r="75" spans="1:11" x14ac:dyDescent="0.45">
      <c r="A75">
        <v>64</v>
      </c>
      <c r="B75" s="83" t="n">
        <v>0.0</v>
      </c>
      <c r="C75" s="83" t="n">
        <v>78.9631</v>
      </c>
      <c r="D75" s="83" t="n">
        <v>10.791</v>
      </c>
      <c r="E75" s="83">
        <f t="shared" ref="E75:E101" si="4">SUM(B75:D75)</f>
        <v>89.754099999999994</v>
      </c>
      <c r="G75">
        <v>64</v>
      </c>
      <c r="H75" s="83" t="n">
        <v>0.0</v>
      </c>
      <c r="I75" s="83" t="n">
        <v>10.0</v>
      </c>
      <c r="J75" s="85" t="n">
        <v>170.0</v>
      </c>
      <c r="K75" s="83">
        <f t="shared" ref="K75:K101" si="5">SUM(H75:J75)</f>
        <v>382</v>
      </c>
    </row>
    <row r="76" spans="1:11" x14ac:dyDescent="0.4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4.0</v>
      </c>
      <c r="I76" s="83" t="n">
        <v>16.0</v>
      </c>
      <c r="J76" s="85" t="n">
        <v>80.0</v>
      </c>
      <c r="K76" s="83">
        <f t="shared" si="5"/>
        <v>230</v>
      </c>
    </row>
    <row r="77" spans="1:11" x14ac:dyDescent="0.45">
      <c r="A77">
        <v>66</v>
      </c>
      <c r="B77" s="83" t="n">
        <v>0.0</v>
      </c>
      <c r="C77" s="83" t="n">
        <v>0.0</v>
      </c>
      <c r="D77" s="83" t="n">
        <v>275.5614</v>
      </c>
      <c r="E77" s="83">
        <f t="shared" si="4"/>
        <v>275.56139999999999</v>
      </c>
      <c r="G77">
        <v>66</v>
      </c>
      <c r="H77" s="83" t="n">
        <v>0.0</v>
      </c>
      <c r="I77" s="83" t="n">
        <v>1.0</v>
      </c>
      <c r="J77" s="85" t="n">
        <v>297.0</v>
      </c>
      <c r="K77" s="83">
        <f t="shared" si="5"/>
        <v>321</v>
      </c>
    </row>
    <row r="78" spans="1:11" x14ac:dyDescent="0.45">
      <c r="A78">
        <v>67</v>
      </c>
      <c r="B78" s="83" t="n">
        <v>0.0</v>
      </c>
      <c r="C78" s="83" t="n">
        <v>0.0</v>
      </c>
      <c r="D78" s="83" t="n">
        <v>495.275</v>
      </c>
      <c r="E78" s="83">
        <f t="shared" si="4"/>
        <v>495.27499999999998</v>
      </c>
      <c r="G78">
        <v>67</v>
      </c>
      <c r="H78" s="83" t="n">
        <v>2.0</v>
      </c>
      <c r="I78" s="83" t="n">
        <v>7.0</v>
      </c>
      <c r="J78" s="85" t="n">
        <v>46.0</v>
      </c>
      <c r="K78" s="83">
        <f t="shared" si="5"/>
        <v>471</v>
      </c>
    </row>
    <row r="79" spans="1:11" x14ac:dyDescent="0.4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0.0</v>
      </c>
      <c r="I79" s="83" t="n">
        <v>4.0</v>
      </c>
      <c r="J79" s="85" t="n">
        <v>30.0</v>
      </c>
      <c r="K79" s="83">
        <f t="shared" si="5"/>
        <v>58</v>
      </c>
    </row>
    <row r="80" spans="1:11" x14ac:dyDescent="0.45">
      <c r="A80">
        <v>69</v>
      </c>
      <c r="B80" s="83" t="n">
        <v>0.0</v>
      </c>
      <c r="C80" s="83" t="n">
        <v>0.0</v>
      </c>
      <c r="D80" s="83" t="n">
        <v>8.485</v>
      </c>
      <c r="E80" s="83">
        <f t="shared" si="4"/>
        <v>8.4849999999999994</v>
      </c>
      <c r="G80">
        <v>69</v>
      </c>
      <c r="H80" s="83" t="n">
        <v>0.0</v>
      </c>
      <c r="I80" s="83" t="n">
        <v>7.0</v>
      </c>
      <c r="J80" s="85" t="n">
        <v>47.0</v>
      </c>
      <c r="K80" s="83">
        <f t="shared" si="5"/>
        <v>95</v>
      </c>
    </row>
    <row r="81" spans="1:11" x14ac:dyDescent="0.4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9.0</v>
      </c>
      <c r="I81" s="83" t="n">
        <v>6.0</v>
      </c>
      <c r="J81" s="85" t="n">
        <v>190.0</v>
      </c>
      <c r="K81" s="83">
        <f t="shared" si="5"/>
        <v>252</v>
      </c>
    </row>
    <row r="82" spans="1:11" x14ac:dyDescent="0.4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4.0</v>
      </c>
      <c r="I82" s="83" t="n">
        <v>1.0</v>
      </c>
      <c r="J82" s="85" t="n">
        <v>67.0</v>
      </c>
      <c r="K82" s="83">
        <f t="shared" si="5"/>
        <v>309</v>
      </c>
    </row>
    <row r="83" spans="1:11" x14ac:dyDescent="0.45">
      <c r="A83">
        <v>72</v>
      </c>
      <c r="B83" s="83" t="n">
        <v>99.9861</v>
      </c>
      <c r="C83" s="83" t="n">
        <v>542.7239</v>
      </c>
      <c r="D83" s="83" t="n">
        <v>11.159</v>
      </c>
      <c r="E83" s="83">
        <f t="shared" si="4"/>
        <v>653.86899999999991</v>
      </c>
      <c r="G83">
        <v>72</v>
      </c>
      <c r="H83" s="83" t="n">
        <v>0.0</v>
      </c>
      <c r="I83" s="83" t="n">
        <v>2.0</v>
      </c>
      <c r="J83" s="85" t="n">
        <v>16.0</v>
      </c>
      <c r="K83" s="83">
        <f t="shared" si="5"/>
        <v>237</v>
      </c>
    </row>
    <row r="84" spans="1:11" x14ac:dyDescent="0.4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2.0</v>
      </c>
      <c r="I84" s="83" t="n">
        <v>4.0</v>
      </c>
      <c r="J84" s="85" t="n">
        <v>20.0</v>
      </c>
      <c r="K84" s="83">
        <f t="shared" si="5"/>
        <v>31</v>
      </c>
    </row>
    <row r="85" spans="1:11" x14ac:dyDescent="0.4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0.0</v>
      </c>
      <c r="J85" s="85" t="n">
        <v>7.0</v>
      </c>
      <c r="K85" s="83">
        <f t="shared" si="5"/>
        <v>30</v>
      </c>
    </row>
    <row r="86" spans="1:11" x14ac:dyDescent="0.4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2.0</v>
      </c>
      <c r="I86" s="83" t="n">
        <v>2.0</v>
      </c>
      <c r="J86" s="85" t="n">
        <v>11.0</v>
      </c>
      <c r="K86" s="83">
        <f t="shared" si="5"/>
        <v>13</v>
      </c>
    </row>
    <row r="87" spans="1:11" x14ac:dyDescent="0.45">
      <c r="A87">
        <v>76</v>
      </c>
      <c r="B87" s="83" t="n">
        <v>0.0</v>
      </c>
      <c r="C87" s="83" t="n">
        <v>0.0</v>
      </c>
      <c r="D87" s="83" t="n">
        <v>598.7239</v>
      </c>
      <c r="E87" s="83">
        <f t="shared" si="4"/>
        <v>598.72389999999996</v>
      </c>
      <c r="G87">
        <v>76</v>
      </c>
      <c r="H87" s="83" t="n">
        <v>0.0</v>
      </c>
      <c r="I87" s="83" t="n">
        <v>1.0</v>
      </c>
      <c r="J87" s="85" t="n">
        <v>14.0</v>
      </c>
      <c r="K87" s="83">
        <f t="shared" si="5"/>
        <v>8</v>
      </c>
    </row>
    <row r="88" spans="1:11" x14ac:dyDescent="0.45">
      <c r="A88">
        <v>77</v>
      </c>
      <c r="B88" s="83" t="n">
        <v>1031.4047</v>
      </c>
      <c r="C88" s="83" t="n">
        <v>0.0</v>
      </c>
      <c r="D88" s="83" t="n">
        <v>0.0</v>
      </c>
      <c r="E88" s="83">
        <f t="shared" si="4"/>
        <v>1031.4047</v>
      </c>
      <c r="G88">
        <v>77</v>
      </c>
      <c r="H88" s="83" t="n">
        <v>2.0</v>
      </c>
      <c r="I88" s="83" t="n">
        <v>2.0</v>
      </c>
      <c r="J88" s="85" t="n">
        <v>62.0</v>
      </c>
      <c r="K88" s="83">
        <f t="shared" si="5"/>
        <v>233</v>
      </c>
    </row>
    <row r="89" spans="1:11" x14ac:dyDescent="0.45">
      <c r="A89">
        <v>78</v>
      </c>
      <c r="B89" s="83" t="n">
        <v>212.6231</v>
      </c>
      <c r="C89" s="83" t="n">
        <v>0.0</v>
      </c>
      <c r="D89" s="83" t="n">
        <v>0.0</v>
      </c>
      <c r="E89" s="83">
        <f t="shared" si="4"/>
        <v>212.62309999999999</v>
      </c>
      <c r="G89">
        <v>78</v>
      </c>
      <c r="H89" s="83" t="n">
        <v>2.0</v>
      </c>
      <c r="I89" s="83" t="n">
        <v>3.0</v>
      </c>
      <c r="J89" s="85" t="n">
        <v>2.0</v>
      </c>
      <c r="K89" s="83">
        <f t="shared" si="5"/>
        <v>22</v>
      </c>
    </row>
    <row r="90" spans="1:11" x14ac:dyDescent="0.4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0.0</v>
      </c>
      <c r="I90" s="83" t="n">
        <v>2.0</v>
      </c>
      <c r="J90" s="85" t="n">
        <v>0.0</v>
      </c>
      <c r="K90" s="83">
        <f t="shared" si="5"/>
        <v>66</v>
      </c>
    </row>
    <row r="91" spans="1:11" x14ac:dyDescent="0.4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4.0</v>
      </c>
      <c r="J91" s="85" t="n">
        <v>1.0</v>
      </c>
      <c r="K91" s="83">
        <f t="shared" si="5"/>
        <v>1</v>
      </c>
    </row>
    <row r="92" spans="1:11" x14ac:dyDescent="0.4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5.0</v>
      </c>
      <c r="I92" s="83" t="n">
        <v>4.0</v>
      </c>
      <c r="J92" s="85" t="n">
        <v>157.0</v>
      </c>
      <c r="K92" s="83">
        <f t="shared" si="5"/>
        <v>6</v>
      </c>
    </row>
    <row r="93" spans="1:11" x14ac:dyDescent="0.4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0.0</v>
      </c>
      <c r="J93" s="85" t="n">
        <v>3.0</v>
      </c>
      <c r="K93" s="83">
        <f t="shared" si="5"/>
        <v>187</v>
      </c>
    </row>
    <row r="94" spans="1:11" x14ac:dyDescent="0.4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5" t="n">
        <v>2.0</v>
      </c>
      <c r="K94" s="83">
        <f t="shared" si="5"/>
        <v>8</v>
      </c>
    </row>
    <row r="95" spans="1:11" x14ac:dyDescent="0.45">
      <c r="A95">
        <v>84</v>
      </c>
      <c r="B95" s="83" t="n">
        <v>0.0</v>
      </c>
      <c r="C95" s="83" t="n">
        <v>0.0</v>
      </c>
      <c r="D95" s="83" t="n">
        <v>11.269</v>
      </c>
      <c r="E95" s="83">
        <f t="shared" si="4"/>
        <v>11.269</v>
      </c>
      <c r="G95">
        <v>84</v>
      </c>
      <c r="H95" s="83" t="n">
        <v>0.0</v>
      </c>
      <c r="I95" s="83" t="n">
        <v>1.0</v>
      </c>
      <c r="J95" s="85" t="n">
        <v>1.0</v>
      </c>
      <c r="K95" s="83">
        <f t="shared" si="5"/>
        <v>49</v>
      </c>
    </row>
    <row r="96" spans="1:11" x14ac:dyDescent="0.4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1.0</v>
      </c>
      <c r="J96" s="85" t="n">
        <v>2.0</v>
      </c>
      <c r="K96" s="83">
        <f t="shared" si="5"/>
        <v>8</v>
      </c>
    </row>
    <row r="97" spans="1:11" x14ac:dyDescent="0.45">
      <c r="A97">
        <v>86</v>
      </c>
      <c r="B97" s="83" t="n">
        <v>0.0</v>
      </c>
      <c r="C97" s="83" t="n">
        <v>0.0</v>
      </c>
      <c r="D97" s="83" t="n">
        <v>468.9894</v>
      </c>
      <c r="E97" s="83">
        <f t="shared" si="4"/>
        <v>468.98939999999999</v>
      </c>
      <c r="G97">
        <v>86</v>
      </c>
      <c r="H97" s="83" t="n">
        <v>0.0</v>
      </c>
      <c r="I97" s="83" t="n">
        <v>0.0</v>
      </c>
      <c r="J97" s="85" t="n">
        <v>7.0</v>
      </c>
      <c r="K97" s="83">
        <f t="shared" si="5"/>
        <v>16</v>
      </c>
    </row>
    <row r="98" spans="1:11" x14ac:dyDescent="0.45">
      <c r="A98">
        <v>87</v>
      </c>
      <c r="B98" s="83" t="n">
        <v>0.0</v>
      </c>
      <c r="C98" s="83" t="n">
        <v>0.0</v>
      </c>
      <c r="D98" s="83" t="n">
        <v>13.487</v>
      </c>
      <c r="E98" s="83">
        <f t="shared" si="4"/>
        <v>13.487</v>
      </c>
      <c r="G98">
        <v>87</v>
      </c>
      <c r="H98" s="83" t="n">
        <v>0.0</v>
      </c>
      <c r="I98" s="83" t="n">
        <v>1.0</v>
      </c>
      <c r="J98" s="85" t="n">
        <v>79.0</v>
      </c>
      <c r="K98" s="83">
        <f t="shared" si="5"/>
        <v>14</v>
      </c>
    </row>
    <row r="99" spans="1:11" x14ac:dyDescent="0.4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0.0</v>
      </c>
      <c r="I99" s="83" t="n">
        <v>1.0</v>
      </c>
      <c r="J99" s="85" t="n">
        <v>1.0</v>
      </c>
      <c r="K99" s="83">
        <f t="shared" si="5"/>
        <v>29</v>
      </c>
    </row>
    <row r="100" spans="1:11" x14ac:dyDescent="0.45">
      <c r="A100">
        <v>89</v>
      </c>
      <c r="B100" s="83" t="n">
        <v>2931.9003</v>
      </c>
      <c r="C100" s="83" t="n">
        <v>0.0</v>
      </c>
      <c r="D100" s="83" t="n">
        <v>3.675</v>
      </c>
      <c r="E100" s="83">
        <f t="shared" si="4"/>
        <v>2935.5753</v>
      </c>
      <c r="G100">
        <v>89</v>
      </c>
      <c r="H100" s="83" t="n">
        <v>12.0</v>
      </c>
      <c r="I100" s="83" t="n">
        <v>6.0</v>
      </c>
      <c r="J100" s="85" t="n">
        <v>23.0</v>
      </c>
      <c r="K100" s="83">
        <f t="shared" si="5"/>
        <v>217</v>
      </c>
    </row>
    <row r="101" spans="1:11" ht="14.65" thickBot="1" x14ac:dyDescent="0.5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t="shared" si="4"/>
        <v>109078.5074</v>
      </c>
      <c r="G101" s="1">
        <v>90</v>
      </c>
      <c r="H101" s="84" t="n">
        <v>71073.0</v>
      </c>
      <c r="I101" s="84" t="n">
        <v>0.0</v>
      </c>
      <c r="J101" s="84" t="n">
        <v>0.0</v>
      </c>
      <c r="K101" s="84">
        <f t="shared" si="5"/>
        <v>70799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C2" sqref="C2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8" max="8" customWidth="true" width="10.86328125" collapsed="true"/>
    <col min="12" max="12" bestFit="true" customWidth="true" width="9.59765625" collapsed="true"/>
  </cols>
  <sheetData>
    <row r="1" spans="1:12" x14ac:dyDescent="0.45">
      <c r="A1" t="s">
        <v>14</v>
      </c>
    </row>
    <row r="2" spans="1:12" x14ac:dyDescent="0.45">
      <c r="A2" t="s">
        <v>250</v>
      </c>
    </row>
    <row r="3" spans="1:12" x14ac:dyDescent="0.45">
      <c r="A3" t="s">
        <v>251</v>
      </c>
    </row>
    <row r="4" spans="1:12" x14ac:dyDescent="0.45">
      <c r="A4" t="s">
        <v>6</v>
      </c>
    </row>
    <row r="5" spans="1:12" x14ac:dyDescent="0.45">
      <c r="A5" t="s">
        <v>7</v>
      </c>
    </row>
    <row r="9" spans="1:12" ht="14.65" thickBot="1" x14ac:dyDescent="0.5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4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45">
      <c r="A11" t="s">
        <v>15</v>
      </c>
      <c r="B11" s="13">
        <f>SUM(TDFD!B11:B15)</f>
        <v>30456.2981</v>
      </c>
      <c r="C11" s="13">
        <f>SUM(TDFD!C11:C15)</f>
        <v>1556.1008000000002</v>
      </c>
      <c r="D11" s="13">
        <f>SUM(TDFD!D11:D15)</f>
        <v>125.91</v>
      </c>
      <c r="E11" s="13">
        <f>SUM(TDFD!E11:E15)</f>
        <v>32138.308900000004</v>
      </c>
      <c r="H11" t="s">
        <v>15</v>
      </c>
      <c r="I11" s="13">
        <f>SUM(TDFD!H11:H15)</f>
        <v>126031</v>
      </c>
      <c r="J11" s="13">
        <f>SUM(TDFD!I11:I15)</f>
        <v>16863</v>
      </c>
      <c r="K11" s="13">
        <f>SUM(TDFD!J11:J15)</f>
        <v>25938</v>
      </c>
      <c r="L11" s="13">
        <f>SUM(TDFD!K11:K15)</f>
        <v>168832</v>
      </c>
    </row>
    <row r="12" spans="1:12" x14ac:dyDescent="0.45">
      <c r="A12" t="s">
        <v>16</v>
      </c>
      <c r="B12" s="13">
        <f>SUM(TDFD!B16:B20)</f>
        <v>34748.355100000001</v>
      </c>
      <c r="C12" s="13">
        <f>SUM(TDFD!C16:C20)</f>
        <v>3665.4504999999999</v>
      </c>
      <c r="D12" s="13">
        <f>SUM(TDFD!D16:D20)</f>
        <v>8740.201500000001</v>
      </c>
      <c r="E12" s="13">
        <f>SUM(TDFD!E16:E20)</f>
        <v>47154.007100000003</v>
      </c>
      <c r="H12" t="s">
        <v>16</v>
      </c>
      <c r="I12" s="13">
        <f>SUM(TDFD!H16:H20)</f>
        <v>96139</v>
      </c>
      <c r="J12" s="13">
        <f>SUM(TDFD!I16:I20)</f>
        <v>12221</v>
      </c>
      <c r="K12" s="13">
        <f>SUM(TDFD!J16:J20)</f>
        <v>16363</v>
      </c>
      <c r="L12" s="13">
        <f>SUM(TDFD!K16:K20)</f>
        <v>124723</v>
      </c>
    </row>
    <row r="13" spans="1:12" x14ac:dyDescent="0.45">
      <c r="A13" t="s">
        <v>17</v>
      </c>
      <c r="B13" s="13">
        <f>SUM(TDFD!B21:B25)</f>
        <v>51599.302800000005</v>
      </c>
      <c r="C13" s="13">
        <f>SUM(TDFD!C21:C25)</f>
        <v>5084.4759999999997</v>
      </c>
      <c r="D13" s="13">
        <f>SUM(TDFD!D21:D25)</f>
        <v>3258.2372999999998</v>
      </c>
      <c r="E13" s="13">
        <f>SUM(TDFD!E21:E25)</f>
        <v>59942.016099999993</v>
      </c>
      <c r="H13" t="s">
        <v>17</v>
      </c>
      <c r="I13" s="13">
        <f>SUM(TDFD!H21:H25)</f>
        <v>49302</v>
      </c>
      <c r="J13" s="13">
        <f>SUM(TDFD!I21:I25)</f>
        <v>7748</v>
      </c>
      <c r="K13" s="13">
        <f>SUM(TDFD!J21:J25)</f>
        <v>9300</v>
      </c>
      <c r="L13" s="13">
        <f>SUM(TDFD!K21:K25)</f>
        <v>66350</v>
      </c>
    </row>
    <row r="14" spans="1:12" x14ac:dyDescent="0.45">
      <c r="A14" t="s">
        <v>18</v>
      </c>
      <c r="B14" s="13">
        <f>SUM(TDFD!B26:B30)</f>
        <v>94596.153399999996</v>
      </c>
      <c r="C14" s="13">
        <f>SUM(TDFD!C26:C30)</f>
        <v>13738.5173</v>
      </c>
      <c r="D14" s="13">
        <f>SUM(TDFD!D26:D30)</f>
        <v>11924.121899999998</v>
      </c>
      <c r="E14" s="13">
        <f>SUM(TDFD!E26:E30)</f>
        <v>120258.79259999999</v>
      </c>
      <c r="H14" t="s">
        <v>18</v>
      </c>
      <c r="I14" s="13">
        <f>SUM(TDFD!H26:H30)</f>
        <v>102616</v>
      </c>
      <c r="J14" s="13">
        <f>SUM(TDFD!I26:I30)</f>
        <v>19554</v>
      </c>
      <c r="K14" s="13">
        <f>SUM(TDFD!J26:J30)</f>
        <v>23511</v>
      </c>
      <c r="L14" s="13">
        <f>SUM(TDFD!K26:K30)</f>
        <v>145681</v>
      </c>
    </row>
    <row r="15" spans="1:12" x14ac:dyDescent="0.45">
      <c r="A15" t="s">
        <v>19</v>
      </c>
      <c r="B15" s="13">
        <f>SUM(TDFD!B31:B35)</f>
        <v>100944.4486</v>
      </c>
      <c r="C15" s="13">
        <f>SUM(TDFD!C31:C35)</f>
        <v>12622.574100000002</v>
      </c>
      <c r="D15" s="13">
        <f>SUM(TDFD!D31:D35)</f>
        <v>15206.354699999998</v>
      </c>
      <c r="E15" s="13">
        <f>SUM(TDFD!E31:E35)</f>
        <v>128773.37740000001</v>
      </c>
      <c r="H15" t="s">
        <v>19</v>
      </c>
      <c r="I15" s="13">
        <f>SUM(TDFD!H31:H35)</f>
        <v>72155</v>
      </c>
      <c r="J15" s="13">
        <f>SUM(TDFD!I31:I35)</f>
        <v>18265</v>
      </c>
      <c r="K15" s="13">
        <f>SUM(TDFD!J31:J35)</f>
        <v>46062</v>
      </c>
      <c r="L15" s="13">
        <f>SUM(TDFD!K31:K35)</f>
        <v>136482</v>
      </c>
    </row>
    <row r="16" spans="1:12" x14ac:dyDescent="0.45">
      <c r="A16" t="s">
        <v>20</v>
      </c>
      <c r="B16" s="13">
        <f>SUM(TDFD!B36:B40)</f>
        <v>67278.716499999995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87375.407999999996</v>
      </c>
      <c r="H16" t="s">
        <v>20</v>
      </c>
      <c r="I16" s="13">
        <f>SUM(TDFD!H36:H40)</f>
        <v>27693</v>
      </c>
      <c r="J16" s="13">
        <f>SUM(TDFD!I36:I40)</f>
        <v>9723</v>
      </c>
      <c r="K16" s="13">
        <f>SUM(TDFD!J36:J40)</f>
        <v>40729</v>
      </c>
      <c r="L16" s="13">
        <f>SUM(TDFD!K36:K40)</f>
        <v>78145</v>
      </c>
    </row>
    <row r="17" spans="1:12" x14ac:dyDescent="0.45">
      <c r="A17" t="s">
        <v>21</v>
      </c>
      <c r="B17" s="13">
        <f>SUM(TDFD!B41:B45)</f>
        <v>40082.706300000005</v>
      </c>
      <c r="C17" s="13">
        <f>SUM(TDFD!C41:C45)</f>
        <v>7960.3927999999996</v>
      </c>
      <c r="D17" s="13">
        <f>SUM(TDFD!D41:D45)</f>
        <v>6463.0504999999994</v>
      </c>
      <c r="E17" s="13">
        <f>SUM(TDFD!E41:E45)</f>
        <v>54506.149600000004</v>
      </c>
      <c r="H17" t="s">
        <v>21</v>
      </c>
      <c r="I17" s="13">
        <f>SUM(TDFD!H41:H45)</f>
        <v>16926</v>
      </c>
      <c r="J17" s="13">
        <f>SUM(TDFD!I41:I45)</f>
        <v>6034</v>
      </c>
      <c r="K17" s="13">
        <f>SUM(TDFD!J41:J45)</f>
        <v>22840</v>
      </c>
      <c r="L17" s="13">
        <f>SUM(TDFD!K41:K45)</f>
        <v>45800</v>
      </c>
    </row>
    <row r="18" spans="1:12" x14ac:dyDescent="0.45">
      <c r="A18" t="s">
        <v>22</v>
      </c>
      <c r="B18" s="13">
        <f>SUM(TDFD!B46:B50)</f>
        <v>9287.7625000000007</v>
      </c>
      <c r="C18" s="13">
        <f>SUM(TDFD!C46:C50)</f>
        <v>3443.2061000000003</v>
      </c>
      <c r="D18" s="13">
        <f>SUM(TDFD!D46:D50)</f>
        <v>4525.7582000000002</v>
      </c>
      <c r="E18" s="13">
        <f>SUM(TDFD!E46:E50)</f>
        <v>17256.726799999997</v>
      </c>
      <c r="H18" t="s">
        <v>22</v>
      </c>
      <c r="I18" s="13">
        <f>SUM(TDFD!H46:H50)</f>
        <v>4494</v>
      </c>
      <c r="J18" s="13">
        <f>SUM(TDFD!I46:I50)</f>
        <v>2714</v>
      </c>
      <c r="K18" s="13">
        <f>SUM(TDFD!J46:J50)</f>
        <v>14112</v>
      </c>
      <c r="L18" s="13">
        <f>SUM(TDFD!K46:K50)</f>
        <v>21320</v>
      </c>
    </row>
    <row r="19" spans="1:12" x14ac:dyDescent="0.45">
      <c r="A19" t="s">
        <v>23</v>
      </c>
      <c r="B19" s="13">
        <f>SUM(TDFD!B51:B55)</f>
        <v>5755.9719999999998</v>
      </c>
      <c r="C19" s="13">
        <f>SUM(TDFD!C51:C55)</f>
        <v>572.63800000000003</v>
      </c>
      <c r="D19" s="13">
        <f>SUM(TDFD!D51:D55)</f>
        <v>2150.5392000000002</v>
      </c>
      <c r="E19" s="13">
        <f>SUM(TDFD!E51:E55)</f>
        <v>8479.1491999999998</v>
      </c>
      <c r="H19" t="s">
        <v>23</v>
      </c>
      <c r="I19" s="13">
        <f>SUM(TDFD!H51:H55)</f>
        <v>812</v>
      </c>
      <c r="J19" s="13">
        <f>SUM(TDFD!I51:I55)</f>
        <v>1023</v>
      </c>
      <c r="K19" s="13">
        <f>SUM(TDFD!J51:J55)</f>
        <v>7901</v>
      </c>
      <c r="L19" s="13">
        <f>SUM(TDFD!K51:K55)</f>
        <v>9736</v>
      </c>
    </row>
    <row r="20" spans="1:12" x14ac:dyDescent="0.4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6005.6632000000009</v>
      </c>
      <c r="E20" s="13">
        <f>SUM(TDFD!E56:E70)</f>
        <v>29298.810499999996</v>
      </c>
      <c r="H20" t="s">
        <v>24</v>
      </c>
      <c r="I20" s="13">
        <f>SUM(TDFD!H56:H70)</f>
        <v>346</v>
      </c>
      <c r="J20" s="13">
        <f>SUM(TDFD!I56:I70)</f>
        <v>974</v>
      </c>
      <c r="K20" s="13">
        <f>SUM(TDFD!J56:J70)</f>
        <v>17076</v>
      </c>
      <c r="L20" s="13">
        <f>SUM(TDFD!K56:K70)</f>
        <v>18396</v>
      </c>
    </row>
    <row r="21" spans="1:12" x14ac:dyDescent="0.4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57</v>
      </c>
      <c r="J21" s="13">
        <f>SUM(TDFD!I71:I100)</f>
        <v>138</v>
      </c>
      <c r="K21" s="13">
        <f>SUM(TDFD!J71:J100)</f>
        <v>4348</v>
      </c>
      <c r="L21" s="13">
        <f>SUM(TDFD!K71:K100)</f>
        <v>4543</v>
      </c>
    </row>
    <row r="22" spans="1:12" ht="14.65" thickBot="1" x14ac:dyDescent="0.5">
      <c r="A22" s="1" t="s">
        <v>26</v>
      </c>
      <c r="B22" s="14">
        <f>TDFD!B101</f>
        <v>56177.107199999999</v>
      </c>
      <c r="C22" s="14">
        <f>TDFD!C101</f>
        <v>10417.5607</v>
      </c>
      <c r="D22" s="14">
        <f>TDFD!D101</f>
        <v>42483.839500000002</v>
      </c>
      <c r="E22" s="14">
        <f>TDFD!E101</f>
        <v>109078.5074</v>
      </c>
      <c r="H22" s="1" t="s">
        <v>26</v>
      </c>
      <c r="I22" s="14">
        <f>TDFD!H101</f>
        <v>70799</v>
      </c>
      <c r="J22" s="14">
        <f>TDFD!I101</f>
        <v>0</v>
      </c>
      <c r="K22" s="14">
        <f>TDFD!J101</f>
        <v>0</v>
      </c>
      <c r="L22" s="14">
        <f>TDFD!K101</f>
        <v>70799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52"/>
  <sheetViews>
    <sheetView tabSelected="1" workbookViewId="0">
      <selection activeCell="L19" sqref="L19"/>
    </sheetView>
  </sheetViews>
  <sheetFormatPr defaultRowHeight="14.25" x14ac:dyDescent="0.45"/>
  <cols>
    <col min="1" max="1" customWidth="true" width="18.59765625" collapsed="true"/>
    <col min="4" max="4" bestFit="true" customWidth="true" width="12.265625" collapsed="true"/>
    <col min="12" max="12" customWidth="true" width="20.0" collapsed="true"/>
    <col min="15" max="15" bestFit="true" customWidth="true" width="12.265625" collapsed="true"/>
    <col min="20" max="21" bestFit="true" customWidth="true" width="9.59765625" collapsed="true"/>
    <col min="26" max="26" bestFit="true" customWidth="true" width="12.265625" collapsed="true"/>
  </cols>
  <sheetData>
    <row r="1" spans="1:22" x14ac:dyDescent="0.45">
      <c r="A1" t="s">
        <v>27</v>
      </c>
    </row>
    <row r="2" spans="1:22" x14ac:dyDescent="0.45">
      <c r="A2" t="s">
        <v>247</v>
      </c>
    </row>
    <row r="5" spans="1:22" ht="14.65" thickBot="1" x14ac:dyDescent="0.5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4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45">
      <c r="A7" s="52" t="s">
        <v>254</v>
      </c>
      <c r="B7" s="20" t="n">
        <v>22523.6255</v>
      </c>
      <c r="C7" s="20" t="n">
        <v>0.0</v>
      </c>
      <c r="D7" s="20" t="n">
        <v>176.3579</v>
      </c>
      <c r="E7" s="20" t="n">
        <v>0.0</v>
      </c>
      <c r="F7" s="20" t="n">
        <v>998.1193</v>
      </c>
      <c r="G7" s="20" t="n">
        <v>277.9743</v>
      </c>
      <c r="H7" s="20" t="n">
        <v>598.7766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 t="n">
        <v>26504.0</v>
      </c>
      <c r="N7" s="20" t="n">
        <v>918.0</v>
      </c>
      <c r="O7" s="20" t="n">
        <v>1207.0</v>
      </c>
      <c r="P7" s="20" t="n">
        <v>879.0</v>
      </c>
      <c r="Q7" s="20" t="n">
        <v>2926.0</v>
      </c>
      <c r="R7" s="20" t="n">
        <v>352.0</v>
      </c>
      <c r="S7" s="20" t="n">
        <v>2025.0</v>
      </c>
      <c r="T7" s="20">
        <v>2344.5</v>
      </c>
      <c r="U7" s="20">
        <f>SUM(M7:T7)</f>
        <v>36852.5</v>
      </c>
    </row>
    <row r="8" spans="1:22" x14ac:dyDescent="0.45">
      <c r="A8" t="s">
        <v>255</v>
      </c>
      <c r="B8" s="21" t="n">
        <v>82.1623</v>
      </c>
      <c r="C8" s="21" t="n">
        <v>4.443</v>
      </c>
      <c r="D8" s="21" t="n">
        <v>0.0</v>
      </c>
      <c r="E8" s="21" t="n">
        <v>0.0</v>
      </c>
      <c r="F8" s="21" t="n">
        <v>110.0983</v>
      </c>
      <c r="G8" s="21" t="n">
        <v>12.077</v>
      </c>
      <c r="H8" s="21" t="n">
        <v>0.0</v>
      </c>
      <c r="I8" s="21">
        <v>4018.4690000000001</v>
      </c>
      <c r="J8" s="21">
        <f t="shared" ref="J8:J12" si="0">SUM(B8:I8)</f>
        <v>4227.2496000000001</v>
      </c>
      <c r="K8" s="20"/>
      <c r="L8" s="7" t="str">
        <f>$A$8</f>
        <v>Bellevue Downtown</v>
      </c>
      <c r="M8" s="21" t="n">
        <v>925.0</v>
      </c>
      <c r="N8" s="21" t="n">
        <v>251.0</v>
      </c>
      <c r="O8" s="21" t="n">
        <v>97.0</v>
      </c>
      <c r="P8" s="21" t="n">
        <v>21.0</v>
      </c>
      <c r="Q8" s="21" t="n">
        <v>401.0</v>
      </c>
      <c r="R8" s="21" t="n">
        <v>28.0</v>
      </c>
      <c r="S8" s="21" t="n">
        <v>25.0</v>
      </c>
      <c r="T8" s="21">
        <v>1069.8725374786757</v>
      </c>
      <c r="U8" s="21">
        <f>SUM(M8:T8)</f>
        <v>2812.8725374786754</v>
      </c>
    </row>
    <row r="9" spans="1:22" x14ac:dyDescent="0.45">
      <c r="A9" t="s">
        <v>256</v>
      </c>
      <c r="B9" s="21" t="n">
        <v>2429.896</v>
      </c>
      <c r="C9" s="21" t="n">
        <v>169.878</v>
      </c>
      <c r="D9" s="21" t="n">
        <v>14636.3289</v>
      </c>
      <c r="E9" s="21" t="n">
        <v>130.9662</v>
      </c>
      <c r="F9" s="21" t="n">
        <v>32.688</v>
      </c>
      <c r="G9" s="21" t="n">
        <v>4.161</v>
      </c>
      <c r="H9" s="21" t="n">
        <v>10.346</v>
      </c>
      <c r="I9" s="21">
        <v>28396.036</v>
      </c>
      <c r="J9" s="21">
        <f t="shared" si="0"/>
        <v>45810.3001</v>
      </c>
      <c r="K9" s="20"/>
      <c r="L9" s="7" t="str">
        <f>$A$9</f>
        <v>Kirkland</v>
      </c>
      <c r="M9" s="21" t="n">
        <v>2124.0</v>
      </c>
      <c r="N9" s="21" t="n">
        <v>170.0</v>
      </c>
      <c r="O9" s="21" t="n">
        <v>18228.0</v>
      </c>
      <c r="P9" s="21" t="n">
        <v>1862.0</v>
      </c>
      <c r="Q9" s="21" t="n">
        <v>3955.0</v>
      </c>
      <c r="R9" s="21" t="n">
        <v>246.0</v>
      </c>
      <c r="S9" s="21" t="n">
        <v>2191.0</v>
      </c>
      <c r="T9" s="21">
        <v>5418.9547298933257</v>
      </c>
      <c r="U9" s="21">
        <f>SUM(M9:T9)</f>
        <v>33986.954729893325</v>
      </c>
      <c r="V9" s="7"/>
    </row>
    <row r="10" spans="1:22" x14ac:dyDescent="0.45">
      <c r="A10" t="s">
        <v>257</v>
      </c>
      <c r="B10" s="21" t="n">
        <v>1720.9702</v>
      </c>
      <c r="C10" s="21" t="n">
        <v>230.2899</v>
      </c>
      <c r="D10" s="21" t="n">
        <v>3736.0108</v>
      </c>
      <c r="E10" s="21" t="n">
        <v>18799.0604</v>
      </c>
      <c r="F10" s="21" t="n">
        <v>802.5203</v>
      </c>
      <c r="G10" s="21" t="n">
        <v>3.675</v>
      </c>
      <c r="H10" s="21" t="n">
        <v>245.1527</v>
      </c>
      <c r="I10" s="21">
        <v>20922.748800000001</v>
      </c>
      <c r="J10" s="21">
        <f t="shared" si="0"/>
        <v>46460.428099999997</v>
      </c>
      <c r="K10" s="20"/>
      <c r="L10" s="7" t="str">
        <f>$A$10</f>
        <v>Redmond</v>
      </c>
      <c r="M10" s="21" t="n">
        <v>4499.0</v>
      </c>
      <c r="N10" s="21" t="n">
        <v>113.0</v>
      </c>
      <c r="O10" s="21" t="n">
        <v>4521.0</v>
      </c>
      <c r="P10" s="21" t="n">
        <v>11557.0</v>
      </c>
      <c r="Q10" s="21" t="n">
        <v>1853.0</v>
      </c>
      <c r="R10" s="21" t="n">
        <v>165.0</v>
      </c>
      <c r="S10" s="21" t="n">
        <v>1985.0</v>
      </c>
      <c r="T10" s="21">
        <v>5838.2308904845268</v>
      </c>
      <c r="U10" s="21">
        <f t="shared" ref="U10:U13" si="1">SUM(M10:T10)</f>
        <v>30722.230890484527</v>
      </c>
      <c r="V10" s="7"/>
    </row>
    <row r="11" spans="1:22" x14ac:dyDescent="0.45">
      <c r="A11" t="s">
        <v>253</v>
      </c>
      <c r="B11" s="21" t="n">
        <v>352.4101</v>
      </c>
      <c r="C11" s="21" t="n">
        <v>19.176000000000002</v>
      </c>
      <c r="D11" s="21" t="n">
        <v>706.4488</v>
      </c>
      <c r="E11" s="21" t="n">
        <v>4.443</v>
      </c>
      <c r="F11" s="21" t="n">
        <v>89339.2028</v>
      </c>
      <c r="G11" s="21" t="n">
        <v>2676.5947</v>
      </c>
      <c r="H11" s="21" t="n">
        <v>3242.9781000000003</v>
      </c>
      <c r="I11" s="21">
        <v>16278.067500000001</v>
      </c>
      <c r="J11" s="21">
        <f t="shared" si="0"/>
        <v>112619.321</v>
      </c>
      <c r="K11" s="20"/>
      <c r="L11" s="7" t="str">
        <f>$A$11</f>
        <v>Seattle</v>
      </c>
      <c r="M11" s="21" t="n">
        <v>827.0</v>
      </c>
      <c r="N11" s="21" t="n">
        <v>53.0</v>
      </c>
      <c r="O11" s="21" t="n">
        <v>968.0</v>
      </c>
      <c r="P11" s="21" t="n">
        <v>43.0</v>
      </c>
      <c r="Q11" s="21" t="n">
        <v>113716.0</v>
      </c>
      <c r="R11" s="21" t="n">
        <v>5938.0</v>
      </c>
      <c r="S11" s="21" t="n">
        <v>6553.0</v>
      </c>
      <c r="T11" s="21">
        <v>2309.1428943957899</v>
      </c>
      <c r="U11" s="21">
        <f t="shared" si="1"/>
        <v>130874.14289439579</v>
      </c>
      <c r="V11" s="7"/>
    </row>
    <row r="12" spans="1:22" x14ac:dyDescent="0.4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1835.1723</v>
      </c>
      <c r="G12" s="21" t="n">
        <v>799.1563</v>
      </c>
      <c r="H12" s="21" t="n">
        <v>0.0</v>
      </c>
      <c r="I12" s="21">
        <v>31584.733799999998</v>
      </c>
      <c r="J12" s="21">
        <f t="shared" si="0"/>
        <v>34219.062399999995</v>
      </c>
      <c r="K12" s="20"/>
      <c r="L12" s="7" t="str">
        <f>$A$12</f>
        <v>Seattle Downtown</v>
      </c>
      <c r="M12" s="21" t="n">
        <v>50.0</v>
      </c>
      <c r="N12" s="21" t="n">
        <v>1.0</v>
      </c>
      <c r="O12" s="21" t="n">
        <v>10.0</v>
      </c>
      <c r="P12" s="21" t="n">
        <v>0.0</v>
      </c>
      <c r="Q12" s="21" t="n">
        <v>3701.0</v>
      </c>
      <c r="R12" s="21" t="n">
        <v>3262.0</v>
      </c>
      <c r="S12" s="21" t="n">
        <v>35.0</v>
      </c>
      <c r="T12" s="21">
        <v>4066.7245950088954</v>
      </c>
      <c r="U12" s="21">
        <f t="shared" si="1"/>
        <v>11201.724595008895</v>
      </c>
      <c r="V12" s="7"/>
    </row>
    <row r="13" spans="1:22" x14ac:dyDescent="0.45">
      <c r="A13" s="7" t="s">
        <v>259</v>
      </c>
      <c r="B13" s="21" t="n">
        <v>6247.4189</v>
      </c>
      <c r="C13" s="21" t="n">
        <v>0.0</v>
      </c>
      <c r="D13" s="21" t="n">
        <v>9915.681999999999</v>
      </c>
      <c r="E13" s="21" t="n">
        <v>2209.2274</v>
      </c>
      <c r="F13" s="21" t="n">
        <v>13302.1106</v>
      </c>
      <c r="G13" s="21" t="n">
        <v>80.047</v>
      </c>
      <c r="H13" s="21" t="n">
        <v>398350.2527</v>
      </c>
      <c r="I13" s="21"/>
      <c r="J13" s="21">
        <f>SUM(B13:I13)</f>
        <v>430104.73859999998</v>
      </c>
      <c r="K13" s="20"/>
      <c r="L13" t="str">
        <f>$A$13</f>
        <v>Rest</v>
      </c>
      <c r="M13" s="21" t="n">
        <v>10410.0</v>
      </c>
      <c r="N13" s="21" t="n">
        <v>253.0</v>
      </c>
      <c r="O13" s="21" t="n">
        <v>8154.0</v>
      </c>
      <c r="P13" s="21" t="n">
        <v>3634.0</v>
      </c>
      <c r="Q13" s="21" t="n">
        <v>27609.0</v>
      </c>
      <c r="R13" s="21" t="n">
        <v>2500.0</v>
      </c>
      <c r="S13" s="21" t="n">
        <v>541553.0</v>
      </c>
      <c r="T13" s="21"/>
      <c r="U13" s="21">
        <f t="shared" si="1"/>
        <v>594605</v>
      </c>
    </row>
    <row r="14" spans="1:22" x14ac:dyDescent="0.4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2" ht="14.65" thickBot="1" x14ac:dyDescent="0.5">
      <c r="A15" s="12" t="s">
        <v>3</v>
      </c>
      <c r="B15" s="53">
        <f t="shared" ref="B15:G15" si="2">SUM(B7:B13)</f>
        <v>33356.483</v>
      </c>
      <c r="C15" s="53">
        <f t="shared" si="2"/>
        <v>423.7869</v>
      </c>
      <c r="D15" s="53">
        <f t="shared" si="2"/>
        <v>29170.828399999999</v>
      </c>
      <c r="E15" s="53">
        <f t="shared" si="2"/>
        <v>21143.696999999996</v>
      </c>
      <c r="F15" s="53">
        <f t="shared" si="2"/>
        <v>106419.91160000001</v>
      </c>
      <c r="G15" s="53">
        <f t="shared" si="2"/>
        <v>3853.6853000000001</v>
      </c>
      <c r="H15" s="53"/>
      <c r="I15" s="53">
        <f>SUM(I7:I13)</f>
        <v>109078.5074</v>
      </c>
      <c r="J15" s="53">
        <f>SUM(J7:J13)</f>
        <v>705894.4057</v>
      </c>
      <c r="K15" s="20"/>
      <c r="L15" s="53" t="s">
        <v>3</v>
      </c>
      <c r="M15" s="53">
        <f t="shared" ref="M15:S15" si="3">SUM(M7:M13)</f>
        <v>45961</v>
      </c>
      <c r="N15" s="53">
        <f t="shared" si="3"/>
        <v>1761</v>
      </c>
      <c r="O15" s="53">
        <f t="shared" si="3"/>
        <v>33315</v>
      </c>
      <c r="P15" s="53">
        <f t="shared" si="3"/>
        <v>18023</v>
      </c>
      <c r="Q15" s="53">
        <f t="shared" si="3"/>
        <v>165007</v>
      </c>
      <c r="R15" s="53">
        <f t="shared" si="3"/>
        <v>14320</v>
      </c>
      <c r="S15" s="53">
        <f t="shared" si="3"/>
        <v>541621</v>
      </c>
      <c r="T15" s="53">
        <f>SUM(T7:T13)</f>
        <v>21047.425647261214</v>
      </c>
      <c r="U15" s="53">
        <f>SUM(U7:U13)</f>
        <v>841055.4256472612</v>
      </c>
    </row>
    <row r="18" spans="1:32" ht="14.65" thickBot="1" x14ac:dyDescent="0.5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4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45">
      <c r="A20" t="str">
        <f>$A$7</f>
        <v>Bellevue</v>
      </c>
      <c r="B20" s="20">
        <f t="shared" ref="B20:G26" si="4">($U7/$J7)*B7</f>
        <v>25576.805990010093</v>
      </c>
      <c r="C20" s="20">
        <f t="shared" si="4"/>
        <v>0</v>
      </c>
      <c r="D20" s="20">
        <f t="shared" si="4"/>
        <v>200.26402024423649</v>
      </c>
      <c r="E20" s="20">
        <f t="shared" si="4"/>
        <v>0</v>
      </c>
      <c r="F20" s="20">
        <f t="shared" si="4"/>
        <v>1133.4189378608112</v>
      </c>
      <c r="G20" s="20">
        <f t="shared" si="4"/>
        <v>315.65498819490068</v>
      </c>
      <c r="H20" s="20">
        <f t="shared" ref="H20" si="5">($U7/$J7)*H7</f>
        <v>679.94350774292002</v>
      </c>
      <c r="I20" s="20">
        <f t="shared" ref="I20:J26" si="6">($U7/$J7)*I7</f>
        <v>8946.4125559470358</v>
      </c>
      <c r="J20" s="20">
        <f t="shared" si="6"/>
        <v>36852.5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45">
      <c r="A21" t="str">
        <f>$A$8</f>
        <v>Bellevue Downtown</v>
      </c>
      <c r="B21" s="20">
        <f t="shared" si="4"/>
        <v>54.671973305310424</v>
      </c>
      <c r="C21" s="20">
        <f t="shared" si="4"/>
        <v>2.9564359492795869</v>
      </c>
      <c r="D21" s="20">
        <f t="shared" si="4"/>
        <v>0</v>
      </c>
      <c r="E21" s="20">
        <f t="shared" si="4"/>
        <v>0</v>
      </c>
      <c r="F21" s="20">
        <f t="shared" si="4"/>
        <v>73.260988538052828</v>
      </c>
      <c r="G21" s="20">
        <f t="shared" si="4"/>
        <v>8.0362090838283979</v>
      </c>
      <c r="H21" s="20">
        <f t="shared" ref="H21" si="7">($U8/$J8)*H8</f>
        <v>0</v>
      </c>
      <c r="I21" s="20">
        <f t="shared" si="6"/>
        <v>2673.9469306022042</v>
      </c>
      <c r="J21" s="20">
        <f t="shared" si="6"/>
        <v>2812.8725374786754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45">
      <c r="A22" t="str">
        <f>$A$9</f>
        <v>Kirkland</v>
      </c>
      <c r="B22" s="20">
        <f t="shared" si="4"/>
        <v>1802.7553884186163</v>
      </c>
      <c r="C22" s="20">
        <f t="shared" si="4"/>
        <v>126.03357504756485</v>
      </c>
      <c r="D22" s="20">
        <f t="shared" si="4"/>
        <v>10858.786051395664</v>
      </c>
      <c r="E22" s="20">
        <f t="shared" si="4"/>
        <v>97.164661677170614</v>
      </c>
      <c r="F22" s="20">
        <f t="shared" si="4"/>
        <v>24.251436331689806</v>
      </c>
      <c r="G22" s="20">
        <f t="shared" si="4"/>
        <v>3.0870725212971508</v>
      </c>
      <c r="H22" s="20">
        <f t="shared" ref="H22" si="8">($U9/$J9)*H9</f>
        <v>7.6757635917664802</v>
      </c>
      <c r="I22" s="20">
        <f t="shared" si="6"/>
        <v>21067.200780909556</v>
      </c>
      <c r="J22" s="20">
        <f t="shared" si="6"/>
        <v>33986.954729893325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45">
      <c r="A23" t="str">
        <f>$A$10</f>
        <v>Redmond</v>
      </c>
      <c r="B23" s="20">
        <f t="shared" si="4"/>
        <v>1138.0016500546049</v>
      </c>
      <c r="C23" s="20">
        <f t="shared" si="4"/>
        <v>152.28054860619315</v>
      </c>
      <c r="D23" s="20">
        <f t="shared" si="4"/>
        <v>2470.4590788508858</v>
      </c>
      <c r="E23" s="20">
        <f t="shared" si="4"/>
        <v>12430.989075043937</v>
      </c>
      <c r="F23" s="20">
        <f t="shared" si="4"/>
        <v>530.67126066582478</v>
      </c>
      <c r="G23" s="20">
        <f t="shared" si="4"/>
        <v>2.4301153291037072</v>
      </c>
      <c r="H23" s="20">
        <f t="shared" ref="H23" si="9">($U10/$J10)*H10</f>
        <v>162.10866237854762</v>
      </c>
      <c r="I23" s="20">
        <f t="shared" si="6"/>
        <v>13835.290499555429</v>
      </c>
      <c r="J23" s="20">
        <f t="shared" si="6"/>
        <v>30722.230890484523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45">
      <c r="A24" t="str">
        <f>$A$11</f>
        <v>Seattle</v>
      </c>
      <c r="B24" s="20">
        <f t="shared" si="4"/>
        <v>409.53336758999205</v>
      </c>
      <c r="C24" s="20">
        <f t="shared" si="4"/>
        <v>22.284298483232146</v>
      </c>
      <c r="D24" s="20">
        <f t="shared" si="4"/>
        <v>820.95932010435797</v>
      </c>
      <c r="E24" s="20">
        <f t="shared" si="4"/>
        <v>5.1631799207864209</v>
      </c>
      <c r="F24" s="20">
        <f t="shared" si="4"/>
        <v>103820.4767130376</v>
      </c>
      <c r="G24" s="20">
        <f t="shared" si="4"/>
        <v>3110.4523995326031</v>
      </c>
      <c r="H24" s="20">
        <f t="shared" ref="H24" si="10">($U11/$J11)*H11</f>
        <v>3768.6426760004729</v>
      </c>
      <c r="I24" s="20">
        <f t="shared" si="6"/>
        <v>18916.630939726765</v>
      </c>
      <c r="J24" s="20">
        <f t="shared" si="6"/>
        <v>130874.1428943958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45">
      <c r="A25" t="str">
        <f>$A$12</f>
        <v>Seattle Downtown</v>
      </c>
      <c r="B25" s="20">
        <f t="shared" si="4"/>
        <v>0</v>
      </c>
      <c r="C25" s="20">
        <f t="shared" si="4"/>
        <v>0</v>
      </c>
      <c r="D25" s="20">
        <f t="shared" si="4"/>
        <v>0</v>
      </c>
      <c r="E25" s="20">
        <f t="shared" si="4"/>
        <v>0</v>
      </c>
      <c r="F25" s="20">
        <f t="shared" si="4"/>
        <v>600.74979403845509</v>
      </c>
      <c r="G25" s="20">
        <f t="shared" si="4"/>
        <v>261.6064892814336</v>
      </c>
      <c r="H25" s="20">
        <f t="shared" ref="H25:H26" si="11">($U12/$J12)*H12</f>
        <v>0</v>
      </c>
      <c r="I25" s="20">
        <f t="shared" si="6"/>
        <v>10339.368311689008</v>
      </c>
      <c r="J25" s="20">
        <f t="shared" si="6"/>
        <v>11201.724595008895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45">
      <c r="A26" t="str">
        <f>$A$13</f>
        <v>Rest</v>
      </c>
      <c r="B26" s="20">
        <f t="shared" si="4"/>
        <v>8636.8416379835253</v>
      </c>
      <c r="C26" s="20">
        <f t="shared" si="4"/>
        <v>0</v>
      </c>
      <c r="D26" s="20">
        <f t="shared" si="4"/>
        <v>13708.089138476651</v>
      </c>
      <c r="E26" s="20">
        <f t="shared" si="4"/>
        <v>3054.1808547677324</v>
      </c>
      <c r="F26" s="20">
        <f t="shared" si="4"/>
        <v>18389.710141438092</v>
      </c>
      <c r="G26" s="20">
        <f t="shared" si="4"/>
        <v>110.66222285745354</v>
      </c>
      <c r="H26" s="20">
        <f t="shared" si="11"/>
        <v>550705.51600447658</v>
      </c>
      <c r="I26" s="20">
        <f t="shared" si="6"/>
        <v>0</v>
      </c>
      <c r="J26" s="20">
        <f t="shared" si="6"/>
        <v>594605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45">
      <c r="A27" s="8" t="s">
        <v>12</v>
      </c>
      <c r="B27" s="22" t="e">
        <f>($U14/$J14)*B14</f>
        <v>#DIV/0!</v>
      </c>
      <c r="C27" s="22" t="e">
        <f t="shared" ref="C27:J27" si="12">($U14/$J14)*C14</f>
        <v>#DIV/0!</v>
      </c>
      <c r="D27" s="22" t="e">
        <f t="shared" si="12"/>
        <v>#DIV/0!</v>
      </c>
      <c r="E27" s="22" t="e">
        <f t="shared" si="12"/>
        <v>#DIV/0!</v>
      </c>
      <c r="F27" s="22" t="e">
        <f t="shared" si="12"/>
        <v>#DIV/0!</v>
      </c>
      <c r="G27" s="22" t="e">
        <f t="shared" si="12"/>
        <v>#DIV/0!</v>
      </c>
      <c r="H27" s="22" t="e">
        <f t="shared" si="12"/>
        <v>#DIV/0!</v>
      </c>
      <c r="I27" s="22" t="e">
        <f t="shared" si="12"/>
        <v>#DIV/0!</v>
      </c>
      <c r="J27" s="22" t="e">
        <f t="shared" si="12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r="28" spans="1:32" ht="14.65" thickBot="1" x14ac:dyDescent="0.5">
      <c r="A28" s="1" t="s">
        <v>3</v>
      </c>
      <c r="B28" s="24">
        <f t="shared" ref="B28:H28" si="13">($U15/$J15)*B15</f>
        <v>39743.410319055081</v>
      </c>
      <c r="C28" s="24">
        <f t="shared" si="13"/>
        <v>504.9314298075239</v>
      </c>
      <c r="D28" s="24">
        <f t="shared" si="13"/>
        <v>34756.308164980852</v>
      </c>
      <c r="E28" s="24">
        <f t="shared" si="13"/>
        <v>25192.183046779057</v>
      </c>
      <c r="F28" s="24">
        <f t="shared" si="13"/>
        <v>126796.64738145116</v>
      </c>
      <c r="G28" s="24">
        <f t="shared" si="13"/>
        <v>4591.5690847386668</v>
      </c>
      <c r="H28" s="24">
        <f t="shared" si="13"/>
        <v>0</v>
      </c>
      <c r="I28" s="24">
        <f>($U15/$J15)*I15</f>
        <v>129964.2973927523</v>
      </c>
      <c r="J28" s="24">
        <f>($U15/$J15)*J15</f>
        <v>841055.42564726132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31" spans="1:32" ht="14.65" thickBot="1" x14ac:dyDescent="0.5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45">
      <c r="A33" t="str">
        <f>$A$7</f>
        <v>Bellevue</v>
      </c>
      <c r="B33" s="26">
        <f t="shared" ref="B33:J39" si="14">B20/$J$28</f>
        <v>3.0410369174334304E-2</v>
      </c>
      <c r="C33" s="26">
        <f t="shared" si="14"/>
        <v>0</v>
      </c>
      <c r="D33" s="26">
        <f t="shared" si="14"/>
        <v>2.3811037196522079E-4</v>
      </c>
      <c r="E33" s="26">
        <f t="shared" si="14"/>
        <v>0</v>
      </c>
      <c r="F33" s="26">
        <f t="shared" si="14"/>
        <v>1.3476150361773746E-3</v>
      </c>
      <c r="G33" s="26">
        <f t="shared" si="14"/>
        <v>3.7530818846091889E-4</v>
      </c>
      <c r="H33" s="26">
        <f t="shared" ref="H33" si="15">H20/$J$28</f>
        <v>8.0844078405373535E-4</v>
      </c>
      <c r="I33" s="26">
        <f t="shared" ref="I33:J39" si="16">I20/$J$28</f>
        <v>1.0637126024199934E-2</v>
      </c>
      <c r="J33" s="26">
        <f t="shared" si="16"/>
        <v>4.3816969579191491E-2</v>
      </c>
      <c r="L33" t="str">
        <f>$A$7</f>
        <v>Bellevue</v>
      </c>
      <c r="M33" s="26">
        <f t="shared" ref="M33:U39" si="17">M7/$U$15</f>
        <v>3.0761349622219453E-2</v>
      </c>
      <c r="N33" s="26">
        <f t="shared" si="17"/>
        <v>1.1414229915480316E-3</v>
      </c>
      <c r="O33" s="26">
        <f t="shared" si="17"/>
        <v>1.3815974126862632E-3</v>
      </c>
      <c r="P33" s="26">
        <f t="shared" si="17"/>
        <v>1.0046900290188404E-3</v>
      </c>
      <c r="Q33" s="26">
        <f t="shared" si="17"/>
        <v>3.9735787893265852E-3</v>
      </c>
      <c r="R33" s="26">
        <f t="shared" si="17"/>
        <v>4.0544295845612377E-4</v>
      </c>
      <c r="S33" s="26">
        <f t="shared" ref="S33" si="18">S7/$U$15</f>
        <v>2.3613188137649906E-3</v>
      </c>
      <c r="T33" s="26">
        <f t="shared" ref="T33:U38" si="19">T7/$U$15</f>
        <v>2.7875689621712084E-3</v>
      </c>
      <c r="U33" s="26">
        <f t="shared" si="19"/>
        <v>4.3816969579191498E-2</v>
      </c>
      <c r="W33" t="str">
        <f>$A$7</f>
        <v>Bellevue</v>
      </c>
      <c r="X33" s="26">
        <f t="shared" ref="X33:Z35" si="20">M33-B33</f>
        <v>3.5098044788514984E-4</v>
      </c>
      <c r="Y33" s="26">
        <f t="shared" si="20"/>
        <v>1.1414229915480316E-3</v>
      </c>
      <c r="Z33" s="26">
        <f t="shared" si="20"/>
        <v>1.1434870407210425E-3</v>
      </c>
      <c r="AA33" s="26">
        <f t="shared" ref="AA33:AA35" si="21">P33-E33</f>
        <v>1.0046900290188404E-3</v>
      </c>
      <c r="AB33" s="26">
        <f t="shared" ref="AB33:AB35" si="22">Q33-F33</f>
        <v>2.6259637531492108E-3</v>
      </c>
      <c r="AC33" s="26">
        <f t="shared" ref="AC33:AD40" si="23">R33-G33</f>
        <v>3.0134769995204878E-5</v>
      </c>
      <c r="AD33" s="26">
        <f t="shared" si="23"/>
        <v>1.5528780297112553E-3</v>
      </c>
      <c r="AE33" s="26">
        <f t="shared" ref="AE33:AF35" si="24">T33-I33</f>
        <v>-7.849557062028726E-3</v>
      </c>
      <c r="AF33" s="26">
        <f t="shared" si="24"/>
        <v>0</v>
      </c>
    </row>
    <row r="34" spans="1:32" x14ac:dyDescent="0.45">
      <c r="A34" t="str">
        <f>$A$8</f>
        <v>Bellevue Downtown</v>
      </c>
      <c r="B34" s="26">
        <f t="shared" si="14"/>
        <v>6.5004007629147439E-5</v>
      </c>
      <c r="C34" s="26">
        <f t="shared" si="14"/>
        <v>3.5151499641113027E-6</v>
      </c>
      <c r="D34" s="26">
        <f t="shared" si="14"/>
        <v>0</v>
      </c>
      <c r="E34" s="26">
        <f t="shared" si="14"/>
        <v>0</v>
      </c>
      <c r="F34" s="26">
        <f t="shared" si="14"/>
        <v>8.7106017396739908E-5</v>
      </c>
      <c r="G34" s="26">
        <f t="shared" si="14"/>
        <v>9.5549102220509116E-6</v>
      </c>
      <c r="H34" s="26">
        <f t="shared" ref="H34" si="25">H21/$J$28</f>
        <v>0</v>
      </c>
      <c r="I34" s="26">
        <f t="shared" si="16"/>
        <v>3.1792755258006713E-3</v>
      </c>
      <c r="J34" s="26">
        <f t="shared" si="16"/>
        <v>3.344455611012721E-3</v>
      </c>
      <c r="L34" t="str">
        <f>$A$8</f>
        <v>Bellevue Downtown</v>
      </c>
      <c r="M34" s="26">
        <f t="shared" si="17"/>
        <v>1.0510603380504792E-3</v>
      </c>
      <c r="N34" s="26">
        <f t="shared" si="17"/>
        <v>2.5919813766403217E-4</v>
      </c>
      <c r="O34" s="26">
        <f t="shared" si="17"/>
        <v>9.274061806327757E-5</v>
      </c>
      <c r="P34" s="26">
        <f t="shared" si="17"/>
        <v>2.6157610222975727E-5</v>
      </c>
      <c r="Q34" s="26">
        <f t="shared" si="17"/>
        <v>5.6238861979397811E-4</v>
      </c>
      <c r="R34" s="26">
        <f t="shared" si="17"/>
        <v>4.755929131450132E-5</v>
      </c>
      <c r="S34" s="26">
        <f t="shared" ref="S34" si="26">S8/$U$15</f>
        <v>3.3291503920150925E-5</v>
      </c>
      <c r="T34" s="26">
        <f t="shared" si="19"/>
        <v>1.2720594919833268E-3</v>
      </c>
      <c r="U34" s="26">
        <f t="shared" si="19"/>
        <v>3.3444556110127214E-3</v>
      </c>
      <c r="W34" t="str">
        <f>$A$8</f>
        <v>Bellevue Downtown</v>
      </c>
      <c r="X34" s="26">
        <f t="shared" si="20"/>
        <v>9.860563304213317E-4</v>
      </c>
      <c r="Y34" s="26">
        <f t="shared" si="20"/>
        <v>2.5568298769992084E-4</v>
      </c>
      <c r="Z34" s="26">
        <f t="shared" si="20"/>
        <v>9.274061806327757E-5</v>
      </c>
      <c r="AA34" s="26">
        <f t="shared" si="21"/>
        <v>2.6157610222975727E-5</v>
      </c>
      <c r="AB34" s="26">
        <f t="shared" si="22"/>
        <v>4.7528260239723821E-4</v>
      </c>
      <c r="AC34" s="26">
        <f t="shared" si="23"/>
        <v>3.8004381092450407E-5</v>
      </c>
      <c r="AD34" s="26">
        <f t="shared" si="23"/>
        <v>3.3291503920150925E-5</v>
      </c>
      <c r="AE34" s="26">
        <f t="shared" si="24"/>
        <v>-1.9072160338173445E-3</v>
      </c>
      <c r="AF34" s="26">
        <f t="shared" si="24"/>
        <v>0</v>
      </c>
    </row>
    <row r="35" spans="1:32" x14ac:dyDescent="0.45">
      <c r="A35" t="str">
        <f>$A$9</f>
        <v>Kirkland</v>
      </c>
      <c r="B35" s="26">
        <f t="shared" si="14"/>
        <v>2.1434442171646985E-3</v>
      </c>
      <c r="C35" s="26">
        <f t="shared" si="14"/>
        <v>1.4985168777738002E-4</v>
      </c>
      <c r="D35" s="26">
        <f t="shared" si="14"/>
        <v>1.2910904228504246E-2</v>
      </c>
      <c r="E35" s="26">
        <f t="shared" si="14"/>
        <v>1.1552706125448798E-4</v>
      </c>
      <c r="F35" s="26">
        <f t="shared" si="14"/>
        <v>2.8834528132347915E-5</v>
      </c>
      <c r="G35" s="26">
        <f t="shared" si="14"/>
        <v>3.6704745337340812E-6</v>
      </c>
      <c r="H35" s="26">
        <f t="shared" ref="H35" si="27">H22/$J$28</f>
        <v>9.1263469180516236E-6</v>
      </c>
      <c r="I35" s="26">
        <f t="shared" si="16"/>
        <v>2.5048528478009178E-2</v>
      </c>
      <c r="J35" s="26">
        <f t="shared" si="16"/>
        <v>4.0409887022294123E-2</v>
      </c>
      <c r="L35" t="str">
        <f>$A$9</f>
        <v>Kirkland</v>
      </c>
      <c r="M35" s="26">
        <f t="shared" si="17"/>
        <v>2.2828459830960632E-3</v>
      </c>
      <c r="N35" s="26">
        <f t="shared" si="17"/>
        <v>2.0212698808663062E-4</v>
      </c>
      <c r="O35" s="26">
        <f t="shared" si="17"/>
        <v>2.1266137111279265E-2</v>
      </c>
      <c r="P35" s="26">
        <f t="shared" si="17"/>
        <v>2.2043731524271359E-3</v>
      </c>
      <c r="Q35" s="26">
        <f t="shared" si="17"/>
        <v>5.3052389461326222E-3</v>
      </c>
      <c r="R35" s="26">
        <f t="shared" si="17"/>
        <v>2.9724557071563324E-4</v>
      </c>
      <c r="S35" s="26">
        <f t="shared" ref="S35" si="28">S9/$U$15</f>
        <v>2.4088781050794917E-3</v>
      </c>
      <c r="T35" s="26">
        <f t="shared" si="19"/>
        <v>6.4430411654772873E-3</v>
      </c>
      <c r="U35" s="26">
        <f t="shared" si="19"/>
        <v>4.040988702229413E-2</v>
      </c>
      <c r="W35" t="str">
        <f>$A$9</f>
        <v>Kirkland</v>
      </c>
      <c r="X35" s="26">
        <f t="shared" si="20"/>
        <v>1.3940176593136471E-4</v>
      </c>
      <c r="Y35" s="26">
        <f t="shared" si="20"/>
        <v>5.2275300309250595E-5</v>
      </c>
      <c r="Z35" s="26">
        <f t="shared" si="20"/>
        <v>8.3552328827750186E-3</v>
      </c>
      <c r="AA35" s="26">
        <f t="shared" si="21"/>
        <v>2.0888460911726481E-3</v>
      </c>
      <c r="AB35" s="26">
        <f t="shared" si="22"/>
        <v>5.2764044180002743E-3</v>
      </c>
      <c r="AC35" s="26">
        <f t="shared" si="23"/>
        <v>2.9357509618189916E-4</v>
      </c>
      <c r="AD35" s="26">
        <f t="shared" si="23"/>
        <v>2.3997517581614402E-3</v>
      </c>
      <c r="AE35" s="26">
        <f t="shared" si="24"/>
        <v>-1.860548731253189E-2</v>
      </c>
      <c r="AF35" s="26">
        <f t="shared" si="24"/>
        <v>0</v>
      </c>
    </row>
    <row r="36" spans="1:32" x14ac:dyDescent="0.45">
      <c r="A36" t="str">
        <f>$A$10</f>
        <v>Redmond</v>
      </c>
      <c r="B36" s="26">
        <f t="shared" si="14"/>
        <v>1.3530637997832533E-3</v>
      </c>
      <c r="C36" s="26">
        <f t="shared" si="14"/>
        <v>1.8105887431735043E-4</v>
      </c>
      <c r="D36" s="26">
        <f t="shared" si="14"/>
        <v>2.9373320752905962E-3</v>
      </c>
      <c r="E36" s="26">
        <f t="shared" si="14"/>
        <v>1.4780225768684947E-2</v>
      </c>
      <c r="F36" s="26">
        <f t="shared" si="14"/>
        <v>6.3095872695599056E-4</v>
      </c>
      <c r="G36" s="26">
        <f t="shared" si="14"/>
        <v>2.889364071616961E-6</v>
      </c>
      <c r="H36" s="26">
        <f t="shared" ref="H36" si="29">H23/$J$28</f>
        <v>1.9274432746663715E-4</v>
      </c>
      <c r="I36" s="26">
        <f t="shared" si="16"/>
        <v>1.6449915282227726E-2</v>
      </c>
      <c r="J36" s="26">
        <f t="shared" si="16"/>
        <v>3.6528188218798115E-2</v>
      </c>
      <c r="L36" t="str">
        <f>$A$10</f>
        <v>Redmond</v>
      </c>
      <c r="M36" s="26">
        <f t="shared" si="17"/>
        <v>5.2017974875235816E-3</v>
      </c>
      <c r="N36" s="26">
        <f t="shared" si="17"/>
        <v>1.3435499796346623E-4</v>
      </c>
      <c r="O36" s="26">
        <f t="shared" si="17"/>
        <v>5.2339000091608705E-3</v>
      </c>
      <c r="P36" s="26">
        <f t="shared" si="17"/>
        <v>1.3842131737085608E-2</v>
      </c>
      <c r="Q36" s="26">
        <f t="shared" si="17"/>
        <v>2.60506018175181E-3</v>
      </c>
      <c r="R36" s="26">
        <f t="shared" si="17"/>
        <v>2.2233968689529366E-4</v>
      </c>
      <c r="S36" s="26">
        <f t="shared" ref="S36" si="30">S10/$U$15</f>
        <v>2.3470510263706402E-3</v>
      </c>
      <c r="T36" s="26">
        <f t="shared" si="19"/>
        <v>6.9415530920468515E-3</v>
      </c>
      <c r="U36" s="26">
        <f t="shared" si="19"/>
        <v>3.6528188218798122E-2</v>
      </c>
      <c r="W36" t="str">
        <f>$A$10</f>
        <v>Redmond</v>
      </c>
      <c r="X36" s="26">
        <f t="shared" ref="X36:X38" si="31">M36-B36</f>
        <v>3.8487336877403282E-3</v>
      </c>
      <c r="Y36" s="26">
        <f t="shared" ref="Y36:Y38" si="32">N36-C36</f>
        <v>-4.6703876353884198E-5</v>
      </c>
      <c r="Z36" s="26">
        <f t="shared" ref="Z36:Z38" si="33">O36-D36</f>
        <v>2.2965679338702743E-3</v>
      </c>
      <c r="AA36" s="26">
        <f t="shared" ref="AA36:AA38" si="34">P36-E36</f>
        <v>-9.3809403159933816E-4</v>
      </c>
      <c r="AB36" s="26">
        <f t="shared" ref="AB36:AB38" si="35">Q36-F36</f>
        <v>1.9741014547958193E-3</v>
      </c>
      <c r="AC36" s="26">
        <f t="shared" ref="AC36:AD38" si="36">R36-G36</f>
        <v>2.1945032282367669E-4</v>
      </c>
      <c r="AD36" s="26">
        <f t="shared" si="36"/>
        <v>2.1543066989040032E-3</v>
      </c>
      <c r="AE36" s="26">
        <f t="shared" ref="AE36:AE39" si="37">T36-I36</f>
        <v>-9.5083621901808739E-3</v>
      </c>
      <c r="AF36" s="26">
        <f t="shared" ref="AF36:AF39" si="38">U36-J36</f>
        <v>0</v>
      </c>
    </row>
    <row r="37" spans="1:32" x14ac:dyDescent="0.45">
      <c r="A37" t="str">
        <f>$A$11</f>
        <v>Seattle</v>
      </c>
      <c r="B37" s="26">
        <f t="shared" si="14"/>
        <v>4.8692791830552955E-4</v>
      </c>
      <c r="C37" s="26">
        <f t="shared" si="14"/>
        <v>2.6495636082583435E-5</v>
      </c>
      <c r="D37" s="26">
        <f t="shared" si="14"/>
        <v>9.7610608655495236E-4</v>
      </c>
      <c r="E37" s="26">
        <f t="shared" si="14"/>
        <v>6.1389294490466302E-6</v>
      </c>
      <c r="F37" s="26">
        <f t="shared" si="14"/>
        <v>0.12344070741014387</v>
      </c>
      <c r="G37" s="26">
        <f t="shared" si="14"/>
        <v>3.6982727947315174E-3</v>
      </c>
      <c r="H37" s="26">
        <f t="shared" ref="H37" si="39">H24/$J$28</f>
        <v>4.480849372204207E-3</v>
      </c>
      <c r="I37" s="26">
        <f t="shared" si="16"/>
        <v>2.2491539038784349E-2</v>
      </c>
      <c r="J37" s="26">
        <f t="shared" si="16"/>
        <v>0.15560703718625604</v>
      </c>
      <c r="L37" t="str">
        <f>$A$11</f>
        <v>Seattle</v>
      </c>
      <c r="M37" s="26">
        <f t="shared" si="17"/>
        <v>1.0891077711020802E-3</v>
      </c>
      <c r="N37" s="26">
        <f t="shared" si="17"/>
        <v>4.755929131450132E-5</v>
      </c>
      <c r="O37" s="26">
        <f t="shared" si="17"/>
        <v>1.0962416647992553E-3</v>
      </c>
      <c r="P37" s="26">
        <f t="shared" si="17"/>
        <v>6.7771990123164378E-5</v>
      </c>
      <c r="Q37" s="26">
        <f t="shared" si="17"/>
        <v>0.13558559462622896</v>
      </c>
      <c r="R37" s="26">
        <f t="shared" si="17"/>
        <v>7.4002257285364055E-3</v>
      </c>
      <c r="S37" s="26">
        <f t="shared" ref="S37" si="40">S11/$U$15</f>
        <v>7.5750061241171979E-3</v>
      </c>
      <c r="T37" s="26">
        <f t="shared" si="19"/>
        <v>2.7455299900345032E-3</v>
      </c>
      <c r="U37" s="26">
        <f t="shared" si="19"/>
        <v>0.15560703718625604</v>
      </c>
      <c r="W37" t="str">
        <f>$A$11</f>
        <v>Seattle</v>
      </c>
      <c r="X37" s="26">
        <f t="shared" si="31"/>
        <v>6.021798527965506E-4</v>
      </c>
      <c r="Y37" s="26">
        <f t="shared" si="32"/>
        <v>2.1063655231917885E-5</v>
      </c>
      <c r="Z37" s="26">
        <f t="shared" si="33"/>
        <v>1.2013557824430297E-4</v>
      </c>
      <c r="AA37" s="26">
        <f t="shared" si="34"/>
        <v>6.1633060674117746E-5</v>
      </c>
      <c r="AB37" s="26">
        <f t="shared" si="35"/>
        <v>1.2144887216085087E-2</v>
      </c>
      <c r="AC37" s="26">
        <f t="shared" si="36"/>
        <v>3.7019529338048881E-3</v>
      </c>
      <c r="AD37" s="26">
        <f t="shared" si="36"/>
        <v>3.0941567519129909E-3</v>
      </c>
      <c r="AE37" s="26">
        <f t="shared" si="37"/>
        <v>-1.9746009048749846E-2</v>
      </c>
      <c r="AF37" s="26">
        <f t="shared" si="38"/>
        <v>0</v>
      </c>
    </row>
    <row r="38" spans="1:32" x14ac:dyDescent="0.45">
      <c r="A38" t="str">
        <f>$A$12</f>
        <v>Seattle Downtown</v>
      </c>
      <c r="B38" s="26">
        <f t="shared" si="14"/>
        <v>0</v>
      </c>
      <c r="C38" s="26">
        <f t="shared" si="14"/>
        <v>0</v>
      </c>
      <c r="D38" s="26">
        <f t="shared" si="14"/>
        <v>0</v>
      </c>
      <c r="E38" s="26">
        <f t="shared" si="14"/>
        <v>0</v>
      </c>
      <c r="F38" s="26">
        <f t="shared" si="14"/>
        <v>7.1428086154503873E-4</v>
      </c>
      <c r="G38" s="26">
        <f t="shared" si="14"/>
        <v>3.1104548083749165E-4</v>
      </c>
      <c r="H38" s="26">
        <f t="shared" ref="H38:H39" si="41">H25/$J$28</f>
        <v>0</v>
      </c>
      <c r="I38" s="26">
        <f t="shared" si="16"/>
        <v>1.2293325738588528E-2</v>
      </c>
      <c r="J38" s="26">
        <f t="shared" si="16"/>
        <v>1.3318652080971057E-2</v>
      </c>
      <c r="L38" t="str">
        <f>$A$12</f>
        <v>Seattle Downtown</v>
      </c>
      <c r="M38" s="26">
        <f t="shared" si="17"/>
        <v>8.2039777517514773E-5</v>
      </c>
      <c r="N38" s="26">
        <f t="shared" si="17"/>
        <v>0</v>
      </c>
      <c r="O38" s="26">
        <f t="shared" si="17"/>
        <v>7.1338936971751977E-6</v>
      </c>
      <c r="P38" s="26">
        <f t="shared" si="17"/>
        <v>0</v>
      </c>
      <c r="Q38" s="26">
        <f t="shared" si="17"/>
        <v>4.5383453736862886E-3</v>
      </c>
      <c r="R38" s="26">
        <f t="shared" si="17"/>
        <v>3.8154441457058682E-3</v>
      </c>
      <c r="S38" s="26">
        <f t="shared" ref="S38" si="42">S12/$U$15</f>
        <v>4.0425397617326122E-5</v>
      </c>
      <c r="T38" s="26">
        <f t="shared" si="19"/>
        <v>4.8352634927468861E-3</v>
      </c>
      <c r="U38" s="26">
        <f t="shared" si="19"/>
        <v>1.3318652080971058E-2</v>
      </c>
      <c r="W38" t="str">
        <f>$A$12</f>
        <v>Seattle Downtown</v>
      </c>
      <c r="X38" s="26">
        <f t="shared" si="31"/>
        <v>8.2039777517514773E-5</v>
      </c>
      <c r="Y38" s="26">
        <f t="shared" si="32"/>
        <v>0</v>
      </c>
      <c r="Z38" s="26">
        <f t="shared" si="33"/>
        <v>7.1338936971751977E-6</v>
      </c>
      <c r="AA38" s="26">
        <f t="shared" si="34"/>
        <v>0</v>
      </c>
      <c r="AB38" s="26">
        <f t="shared" si="35"/>
        <v>3.8240645121412498E-3</v>
      </c>
      <c r="AC38" s="26">
        <f t="shared" si="36"/>
        <v>3.5043986648683766E-3</v>
      </c>
      <c r="AD38" s="26">
        <f t="shared" si="36"/>
        <v>4.0425397617326122E-5</v>
      </c>
      <c r="AE38" s="26">
        <f t="shared" si="37"/>
        <v>-7.4580622458416419E-3</v>
      </c>
      <c r="AF38" s="26">
        <f t="shared" si="38"/>
        <v>0</v>
      </c>
    </row>
    <row r="39" spans="1:32" x14ac:dyDescent="0.45">
      <c r="A39" t="str">
        <f>$A$13</f>
        <v>Rest</v>
      </c>
      <c r="B39" s="26">
        <f t="shared" si="14"/>
        <v>1.0269051687451829E-2</v>
      </c>
      <c r="C39" s="26">
        <f t="shared" si="14"/>
        <v>0</v>
      </c>
      <c r="D39" s="26">
        <f t="shared" si="14"/>
        <v>1.6298675117549059E-2</v>
      </c>
      <c r="E39" s="26">
        <f t="shared" si="14"/>
        <v>3.6313669249767801E-3</v>
      </c>
      <c r="F39" s="26">
        <f t="shared" si="14"/>
        <v>2.1865039545147333E-2</v>
      </c>
      <c r="G39" s="26">
        <f t="shared" si="14"/>
        <v>1.3157542235969747E-4</v>
      </c>
      <c r="H39" s="26">
        <f t="shared" si="41"/>
        <v>0.65477910160399166</v>
      </c>
      <c r="I39" s="26">
        <f t="shared" si="16"/>
        <v>0</v>
      </c>
      <c r="J39" s="26">
        <f t="shared" si="14"/>
        <v>0.70697481030147635</v>
      </c>
      <c r="L39" t="str">
        <f>$A$13</f>
        <v>Rest</v>
      </c>
      <c r="M39" s="26">
        <f t="shared" si="17"/>
        <v>1.4178613723135705E-2</v>
      </c>
      <c r="N39" s="26">
        <f t="shared" si="17"/>
        <v>3.0913539354425858E-4</v>
      </c>
      <c r="O39" s="26">
        <f t="shared" si="17"/>
        <v>1.0533194043879179E-2</v>
      </c>
      <c r="P39" s="26">
        <f t="shared" si="17"/>
        <v>4.2839031651537062E-3</v>
      </c>
      <c r="Q39" s="26">
        <f t="shared" si="17"/>
        <v>4.3620193011377748E-2</v>
      </c>
      <c r="R39" s="26">
        <f t="shared" si="17"/>
        <v>4.8379689089676466E-3</v>
      </c>
      <c r="S39" s="26">
        <f t="shared" ref="S39" si="43">S13/$U$15</f>
        <v>0.62921180205541816</v>
      </c>
      <c r="T39" s="26">
        <f t="shared" si="17"/>
        <v>0</v>
      </c>
      <c r="U39" s="26">
        <f t="shared" si="17"/>
        <v>0.70697481030147646</v>
      </c>
      <c r="W39" t="str">
        <f>$A$13</f>
        <v>Rest</v>
      </c>
      <c r="X39" s="26">
        <f t="shared" ref="X39" si="44">M39-B39</f>
        <v>3.9095620356838761E-3</v>
      </c>
      <c r="Y39" s="26">
        <f t="shared" ref="Y39" si="45">N39-C39</f>
        <v>3.0913539354425858E-4</v>
      </c>
      <c r="Z39" s="26">
        <f t="shared" ref="Z39" si="46">O39-D39</f>
        <v>-5.7654810736698803E-3</v>
      </c>
      <c r="AA39" s="26">
        <f t="shared" ref="AA39" si="47">P39-E39</f>
        <v>6.5253624017692609E-4</v>
      </c>
      <c r="AB39" s="26">
        <f t="shared" ref="AB39" si="48">Q39-F39</f>
        <v>2.1755153466230415E-2</v>
      </c>
      <c r="AC39" s="26">
        <f t="shared" ref="AC39" si="49">R39-G39</f>
        <v>4.7063934866079489E-3</v>
      </c>
      <c r="AD39" s="26">
        <f t="shared" ref="AD39" si="50">S39-H39</f>
        <v>-2.5567299548573508E-2</v>
      </c>
      <c r="AE39" s="26">
        <f t="shared" si="37"/>
        <v>0</v>
      </c>
      <c r="AF39" s="26">
        <f t="shared" si="38"/>
        <v>0</v>
      </c>
    </row>
    <row r="40" spans="1:32" x14ac:dyDescent="0.45">
      <c r="A40" s="8" t="s">
        <v>12</v>
      </c>
      <c r="B40" s="27" t="e">
        <f t="shared" ref="B40:H40" si="51">B27/$J$28</f>
        <v>#DIV/0!</v>
      </c>
      <c r="C40" s="27" t="e">
        <f t="shared" si="51"/>
        <v>#DIV/0!</v>
      </c>
      <c r="D40" s="27" t="e">
        <f t="shared" si="51"/>
        <v>#DIV/0!</v>
      </c>
      <c r="E40" s="27" t="e">
        <f t="shared" si="51"/>
        <v>#DIV/0!</v>
      </c>
      <c r="F40" s="27" t="e">
        <f t="shared" si="51"/>
        <v>#DIV/0!</v>
      </c>
      <c r="G40" s="27" t="e">
        <f t="shared" si="51"/>
        <v>#DIV/0!</v>
      </c>
      <c r="H40" s="27" t="e">
        <f t="shared" si="51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t="shared" ref="N40:U40" si="52">N14/$U$15</f>
        <v>0</v>
      </c>
      <c r="O40" s="27">
        <f t="shared" si="52"/>
        <v>0</v>
      </c>
      <c r="P40" s="27">
        <f t="shared" si="52"/>
        <v>0</v>
      </c>
      <c r="Q40" s="27">
        <f t="shared" si="52"/>
        <v>0</v>
      </c>
      <c r="R40" s="27">
        <f t="shared" si="52"/>
        <v>0</v>
      </c>
      <c r="S40" s="27">
        <f t="shared" si="52"/>
        <v>0</v>
      </c>
      <c r="T40" s="27">
        <f t="shared" si="52"/>
        <v>0</v>
      </c>
      <c r="U40" s="27">
        <f t="shared" si="52"/>
        <v>0</v>
      </c>
      <c r="W40" s="23" t="s">
        <v>12</v>
      </c>
      <c r="X40" s="27" t="e">
        <f t="shared" ref="X40:Z41" si="53">M40-B40</f>
        <v>#DIV/0!</v>
      </c>
      <c r="Y40" s="27" t="e">
        <f t="shared" si="53"/>
        <v>#DIV/0!</v>
      </c>
      <c r="Z40" s="27" t="e">
        <f t="shared" si="53"/>
        <v>#DIV/0!</v>
      </c>
      <c r="AA40" s="27" t="e">
        <f t="shared" ref="AA40:AA41" si="54">P40-E40</f>
        <v>#DIV/0!</v>
      </c>
      <c r="AB40" s="27" t="e">
        <f t="shared" ref="AB40:AB41" si="55">Q40-F40</f>
        <v>#DIV/0!</v>
      </c>
      <c r="AC40" s="27" t="e">
        <f t="shared" ref="AC40:AD41" si="56">R40-G40</f>
        <v>#DIV/0!</v>
      </c>
      <c r="AD40" s="26" t="e">
        <f t="shared" si="23"/>
        <v>#DIV/0!</v>
      </c>
      <c r="AE40" s="27" t="e">
        <f>T40-I40</f>
        <v>#DIV/0!</v>
      </c>
      <c r="AF40" s="27" t="e">
        <f>U40-J40</f>
        <v>#DIV/0!</v>
      </c>
    </row>
    <row r="41" spans="1:32" ht="14.65" thickBot="1" x14ac:dyDescent="0.5">
      <c r="A41" s="1" t="s">
        <v>3</v>
      </c>
      <c r="B41" s="28">
        <f>B28/$J$28</f>
        <v>4.7254210729892457E-2</v>
      </c>
      <c r="C41" s="28">
        <f>C28/$J$28</f>
        <v>6.0035452410159252E-4</v>
      </c>
      <c r="D41" s="28">
        <f>D28/$J$28</f>
        <v>4.1324634625872624E-2</v>
      </c>
      <c r="E41" s="28">
        <f t="shared" ref="E41:H41" si="57">E28/$J$28</f>
        <v>2.9953059309250161E-2</v>
      </c>
      <c r="F41" s="28">
        <f t="shared" si="57"/>
        <v>0.15075896726291338</v>
      </c>
      <c r="G41" s="28">
        <f t="shared" si="57"/>
        <v>5.4592942922936103E-3</v>
      </c>
      <c r="H41" s="28">
        <f t="shared" si="57"/>
        <v>0</v>
      </c>
      <c r="I41" s="28">
        <f>I28/$J$28</f>
        <v>0.15452524700465975</v>
      </c>
      <c r="J41" s="28">
        <f>J28/$J$28</f>
        <v>1</v>
      </c>
      <c r="L41" s="24" t="s">
        <v>3</v>
      </c>
      <c r="M41" s="28">
        <f>M15/$U$15</f>
        <v>5.4646814702644882E-2</v>
      </c>
      <c r="N41" s="28">
        <f>N15/$U$15</f>
        <v>2.0937978001209206E-3</v>
      </c>
      <c r="O41" s="28">
        <f>O15/$U$15</f>
        <v>3.9610944753565289E-2</v>
      </c>
      <c r="P41" s="28">
        <f t="shared" ref="P41:S41" si="58">P15/$U$15</f>
        <v>2.1429027684031432E-2</v>
      </c>
      <c r="Q41" s="28">
        <f t="shared" si="58"/>
        <v>0.19619039954829798</v>
      </c>
      <c r="R41" s="28">
        <f t="shared" si="58"/>
        <v>1.7026226290591473E-2</v>
      </c>
      <c r="S41" s="28">
        <f t="shared" si="58"/>
        <v>0.643977773026288</v>
      </c>
      <c r="T41" s="28">
        <f>T15/$U$15</f>
        <v>2.5025016194460063E-2</v>
      </c>
      <c r="U41" s="28">
        <f>U15/$U$15</f>
        <v>1</v>
      </c>
      <c r="W41" s="24" t="s">
        <v>3</v>
      </c>
      <c r="X41" s="28">
        <f t="shared" si="53"/>
        <v>7.3926039727524248E-3</v>
      </c>
      <c r="Y41" s="28">
        <f t="shared" si="53"/>
        <v>1.4934432760193282E-3</v>
      </c>
      <c r="Z41" s="28">
        <f t="shared" si="53"/>
        <v>-1.7136898723073349E-3</v>
      </c>
      <c r="AA41" s="28">
        <f t="shared" si="54"/>
        <v>-8.5240316252187288E-3</v>
      </c>
      <c r="AB41" s="28">
        <f t="shared" si="55"/>
        <v>4.5431432285384599E-2</v>
      </c>
      <c r="AC41" s="28">
        <f t="shared" si="56"/>
        <v>1.1566931998297864E-2</v>
      </c>
      <c r="AD41" s="28">
        <f t="shared" si="56"/>
        <v>0.643977773026288</v>
      </c>
      <c r="AE41" s="28">
        <f>T41-I41</f>
        <v>-0.12950023081019968</v>
      </c>
      <c r="AF41" s="28">
        <f>U41-J41</f>
        <v>0</v>
      </c>
    </row>
    <row r="44" spans="1:32" ht="14.65" thickBot="1" x14ac:dyDescent="0.5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4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4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4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4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4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4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4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r="52" spans="1:32" ht="14.65" thickBot="1" x14ac:dyDescent="0.5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36"/>
  <sheetViews>
    <sheetView topLeftCell="A10" workbookViewId="0">
      <selection activeCell="G14" sqref="G14"/>
    </sheetView>
  </sheetViews>
  <sheetFormatPr defaultRowHeight="14.25" x14ac:dyDescent="0.45"/>
  <cols>
    <col min="1" max="1" customWidth="true" width="18.265625" collapsed="true"/>
    <col min="2" max="2" bestFit="true" customWidth="true" width="11.59765625" collapsed="true"/>
    <col min="3" max="3" bestFit="true" customWidth="true" width="10.59765625" collapsed="true"/>
    <col min="4" max="4" bestFit="true" customWidth="true" width="12.265625" collapsed="true"/>
    <col min="5" max="5" bestFit="true" customWidth="true" width="11.59765625" collapsed="true"/>
    <col min="8" max="8" customWidth="true" width="19.86328125" collapsed="true"/>
    <col min="9" max="10" bestFit="true" customWidth="true" width="11.59765625" collapsed="true"/>
    <col min="11" max="11" bestFit="true" customWidth="true" width="12.265625" collapsed="true"/>
    <col min="12" max="12" bestFit="true" customWidth="true" width="11.59765625" collapsed="true"/>
    <col min="13" max="13" bestFit="true" customWidth="true" width="9.59765625" collapsed="true"/>
    <col min="15" max="15" customWidth="true" width="18.3984375" collapsed="true"/>
  </cols>
  <sheetData>
    <row r="1" spans="1:19" x14ac:dyDescent="0.45">
      <c r="A1" t="s">
        <v>29</v>
      </c>
    </row>
    <row r="2" spans="1:19" x14ac:dyDescent="0.45">
      <c r="A2" t="s">
        <v>247</v>
      </c>
    </row>
    <row r="3" spans="1:19" x14ac:dyDescent="0.45">
      <c r="A3" t="s">
        <v>30</v>
      </c>
    </row>
    <row r="5" spans="1:19" ht="14.65" thickBot="1" x14ac:dyDescent="0.5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4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45">
      <c r="A7" s="52" t="s">
        <v>254</v>
      </c>
      <c r="B7" s="83" t="n">
        <v>0.0</v>
      </c>
      <c r="C7" s="83" t="n">
        <v>0.0</v>
      </c>
      <c r="D7" s="83" t="n">
        <v>0.0</v>
      </c>
      <c r="E7" s="83">
        <f>SUM(B7:D7)</f>
        <v>0</v>
      </c>
      <c r="H7" s="15" t="str">
        <f>$A$7</f>
        <v>Bellevue</v>
      </c>
      <c r="I7" s="83" t="n">
        <v>55.0</v>
      </c>
      <c r="J7" s="83" t="n">
        <v>19.0</v>
      </c>
      <c r="K7" s="83" t="n">
        <v>28.0</v>
      </c>
      <c r="L7" s="83">
        <f>SUM(I7:K7)</f>
        <v>100</v>
      </c>
      <c r="O7" s="15" t="str">
        <f>$A$7</f>
        <v>Bellevue</v>
      </c>
      <c r="P7" s="20">
        <f>I7-B7</f>
        <v>52</v>
      </c>
      <c r="Q7" s="20">
        <f t="shared" ref="Q7:S14" si="0">J7-C7</f>
        <v>15</v>
      </c>
      <c r="R7" s="20">
        <f t="shared" si="0"/>
        <v>33</v>
      </c>
      <c r="S7" s="20">
        <f t="shared" si="0"/>
        <v>100</v>
      </c>
    </row>
    <row r="8" spans="1:19" x14ac:dyDescent="0.45">
      <c r="A8" s="7" t="s">
        <v>255</v>
      </c>
      <c r="B8" s="83" t="n">
        <v>0.0</v>
      </c>
      <c r="C8" s="83" t="n">
        <v>0.0</v>
      </c>
      <c r="D8" s="83" t="n">
        <v>0.0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4.0</v>
      </c>
      <c r="L8" s="83">
        <f>SUM(I8:K8)</f>
        <v>9</v>
      </c>
      <c r="O8" t="str">
        <f>$A$8</f>
        <v>Bellevue Downtown</v>
      </c>
      <c r="P8" s="20">
        <f t="shared" ref="P8:P14" si="1">I8-B8</f>
        <v>0</v>
      </c>
      <c r="Q8" s="20">
        <f t="shared" si="0"/>
        <v>0</v>
      </c>
      <c r="R8" s="20">
        <f t="shared" si="0"/>
        <v>9</v>
      </c>
      <c r="S8" s="20">
        <f t="shared" si="0"/>
        <v>9</v>
      </c>
    </row>
    <row r="9" spans="1:19" x14ac:dyDescent="0.45">
      <c r="A9" s="7" t="s">
        <v>256</v>
      </c>
      <c r="B9" s="83" t="n">
        <v>0.0</v>
      </c>
      <c r="C9" s="83" t="n">
        <v>0.0</v>
      </c>
      <c r="D9" s="83" t="n">
        <v>0.0</v>
      </c>
      <c r="E9" s="83">
        <f t="shared" ref="E9:E11" si="2">SUM(B9:D9)</f>
        <v>0</v>
      </c>
      <c r="H9" t="str">
        <f>$A$9</f>
        <v>Kirkland</v>
      </c>
      <c r="I9" s="83" t="n">
        <v>60.0</v>
      </c>
      <c r="J9" s="83" t="n">
        <v>19.0</v>
      </c>
      <c r="K9" s="83" t="n">
        <v>27.0</v>
      </c>
      <c r="L9" s="83">
        <f t="shared" ref="L9:L11" si="3">SUM(I9:K9)</f>
        <v>92</v>
      </c>
      <c r="O9" t="str">
        <f>$A$9</f>
        <v>Kirkland</v>
      </c>
      <c r="P9" s="20">
        <f t="shared" ref="P9:P11" si="4">I9-B9</f>
        <v>52</v>
      </c>
      <c r="Q9" s="20">
        <f t="shared" ref="Q9:Q11" si="5">J9-C9</f>
        <v>15</v>
      </c>
      <c r="R9" s="20">
        <f t="shared" ref="R9:R11" si="6">K9-D9</f>
        <v>25</v>
      </c>
      <c r="S9" s="20">
        <f t="shared" ref="S9:S11" si="7">L9-E9</f>
        <v>92</v>
      </c>
    </row>
    <row r="10" spans="1:19" x14ac:dyDescent="0.45">
      <c r="A10" s="7" t="s">
        <v>257</v>
      </c>
      <c r="B10" s="83" t="n">
        <v>0.0</v>
      </c>
      <c r="C10" s="83" t="n">
        <v>0.0</v>
      </c>
      <c r="D10" s="83" t="n">
        <v>0.0</v>
      </c>
      <c r="E10" s="83">
        <f t="shared" si="2"/>
        <v>0</v>
      </c>
      <c r="H10" t="str">
        <f>$A$10</f>
        <v>Redmond</v>
      </c>
      <c r="I10" s="83" t="n">
        <v>105.0</v>
      </c>
      <c r="J10" s="83" t="n">
        <v>32.0</v>
      </c>
      <c r="K10" s="83" t="n">
        <v>51.0</v>
      </c>
      <c r="L10" s="83">
        <f t="shared" si="3"/>
        <v>170</v>
      </c>
      <c r="O10" s="7" t="str">
        <f>$A$10</f>
        <v>Redmond</v>
      </c>
      <c r="P10" s="21">
        <f t="shared" si="4"/>
        <v>85</v>
      </c>
      <c r="Q10" s="21">
        <f t="shared" si="5"/>
        <v>34</v>
      </c>
      <c r="R10" s="21">
        <f t="shared" si="6"/>
        <v>51</v>
      </c>
      <c r="S10" s="21">
        <f t="shared" si="7"/>
        <v>170</v>
      </c>
    </row>
    <row r="11" spans="1:19" x14ac:dyDescent="0.45">
      <c r="A11" s="7" t="s">
        <v>253</v>
      </c>
      <c r="B11" s="83" t="n">
        <v>0.0</v>
      </c>
      <c r="C11" s="83" t="n">
        <v>0.0</v>
      </c>
      <c r="D11" s="83" t="n">
        <v>996.876</v>
      </c>
      <c r="E11" s="83">
        <f t="shared" si="2"/>
        <v>996.87599999999998</v>
      </c>
      <c r="H11" t="str">
        <f>$A$11</f>
        <v>Seattle</v>
      </c>
      <c r="I11" s="83" t="n">
        <v>511.0</v>
      </c>
      <c r="J11" s="83" t="n">
        <v>63.0</v>
      </c>
      <c r="K11" s="83" t="n">
        <v>65.0</v>
      </c>
      <c r="L11" s="83">
        <f t="shared" si="3"/>
        <v>640</v>
      </c>
      <c r="O11" s="7" t="str">
        <f>$A$11</f>
        <v>Seattle</v>
      </c>
      <c r="P11" s="21">
        <f t="shared" si="4"/>
        <v>510</v>
      </c>
      <c r="Q11" s="21">
        <f t="shared" si="5"/>
        <v>70</v>
      </c>
      <c r="R11" s="21">
        <f t="shared" si="6"/>
        <v>-936.87599999999998</v>
      </c>
      <c r="S11" s="21">
        <f t="shared" si="7"/>
        <v>-356.87599999999998</v>
      </c>
    </row>
    <row r="12" spans="1:19" x14ac:dyDescent="0.45">
      <c r="A12" s="7" t="s">
        <v>258</v>
      </c>
      <c r="B12" s="87" t="n">
        <v>0.0</v>
      </c>
      <c r="C12" s="87" t="n">
        <v>0.0</v>
      </c>
      <c r="D12" s="87" t="n">
        <v>14.496</v>
      </c>
      <c r="E12" s="87">
        <f>SUM(B12:D12)</f>
        <v>14.496</v>
      </c>
      <c r="H12" s="7" t="str">
        <f>$A$12</f>
        <v>Seattle Downtown</v>
      </c>
      <c r="I12" s="87" t="n">
        <v>12.0</v>
      </c>
      <c r="J12" s="87" t="n">
        <v>2.0</v>
      </c>
      <c r="K12" s="87" t="n">
        <v>6.0</v>
      </c>
      <c r="L12" s="87">
        <f>SUM(I12:K12)</f>
        <v>17</v>
      </c>
      <c r="O12" s="7" t="str">
        <f>$A$12</f>
        <v>Seattle Downtown</v>
      </c>
      <c r="P12" s="21">
        <f t="shared" si="1"/>
        <v>12</v>
      </c>
      <c r="Q12" s="21">
        <f t="shared" si="0"/>
        <v>0</v>
      </c>
      <c r="R12" s="21">
        <f t="shared" si="0"/>
        <v>-9.4960000000000004</v>
      </c>
      <c r="S12" s="21">
        <f t="shared" si="0"/>
        <v>2.5039999999999996</v>
      </c>
    </row>
    <row r="13" spans="1:19" x14ac:dyDescent="0.45">
      <c r="A13" s="7" t="s">
        <v>259</v>
      </c>
      <c r="B13" s="86" t="n">
        <v>2443.4439</v>
      </c>
      <c r="C13" s="86" t="n">
        <v>0.0</v>
      </c>
      <c r="D13" s="86" t="n">
        <v>0.0</v>
      </c>
      <c r="E13" s="83">
        <f>SUM(B13:D13)</f>
        <v>2443.4439000000002</v>
      </c>
      <c r="H13" s="7" t="str">
        <f>$A$13</f>
        <v>Rest</v>
      </c>
      <c r="I13" s="87" t="n">
        <v>24257.0</v>
      </c>
      <c r="J13" s="87" t="n">
        <v>4475.0</v>
      </c>
      <c r="K13" s="87" t="n">
        <v>12068.0</v>
      </c>
      <c r="L13" s="87">
        <f>SUM(I13:K13)</f>
        <v>34123</v>
      </c>
      <c r="O13" s="7" t="str">
        <f>$A$13</f>
        <v>Rest</v>
      </c>
      <c r="P13" s="21">
        <f t="shared" si="1"/>
        <v>23277.556100000002</v>
      </c>
      <c r="Q13" s="21">
        <f t="shared" si="0"/>
        <v>4524</v>
      </c>
      <c r="R13" s="21">
        <f t="shared" si="0"/>
        <v>3878</v>
      </c>
      <c r="S13" s="21">
        <f t="shared" si="0"/>
        <v>31679.556100000002</v>
      </c>
    </row>
    <row r="14" spans="1:19" ht="14.65" thickBot="1" x14ac:dyDescent="0.5">
      <c r="A14" s="12" t="s">
        <v>3</v>
      </c>
      <c r="B14" s="84">
        <f>SUM(B7:B13)</f>
        <v>2443.4439000000002</v>
      </c>
      <c r="C14" s="84">
        <f t="shared" ref="C14" si="8">SUM(C7:C13)</f>
        <v>0</v>
      </c>
      <c r="D14" s="84">
        <f t="shared" ref="D14" si="9">SUM(D7:D13)</f>
        <v>1011.372</v>
      </c>
      <c r="E14" s="82">
        <f t="shared" ref="E14" si="10">SUM(E7:E13)</f>
        <v>3454.8159000000001</v>
      </c>
      <c r="H14" s="12" t="s">
        <v>3</v>
      </c>
      <c r="I14" s="82">
        <f>SUM(I7:I13)</f>
        <v>26432</v>
      </c>
      <c r="J14" s="82">
        <f t="shared" ref="J14:L14" si="11">SUM(J7:J13)</f>
        <v>4658</v>
      </c>
      <c r="K14" s="82">
        <f t="shared" si="11"/>
        <v>4061</v>
      </c>
      <c r="L14" s="82">
        <f t="shared" si="11"/>
        <v>35151</v>
      </c>
      <c r="O14" s="12" t="s">
        <v>3</v>
      </c>
      <c r="P14" s="12">
        <f t="shared" si="1"/>
        <v>23988.556100000002</v>
      </c>
      <c r="Q14" s="12">
        <f t="shared" si="0"/>
        <v>4658</v>
      </c>
      <c r="R14" s="12">
        <f t="shared" si="0"/>
        <v>3049.6280000000002</v>
      </c>
      <c r="S14" s="12">
        <f t="shared" si="0"/>
        <v>31696.184099999999</v>
      </c>
    </row>
    <row r="15" spans="1:19" x14ac:dyDescent="0.45">
      <c r="O15" s="20"/>
      <c r="P15" s="20"/>
      <c r="Q15" s="20"/>
      <c r="R15" s="20"/>
      <c r="S15" s="20"/>
    </row>
    <row r="16" spans="1:19" ht="14.65" thickBot="1" x14ac:dyDescent="0.5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4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45">
      <c r="A18" s="15" t="str">
        <f>$A$7</f>
        <v>Bellevue</v>
      </c>
      <c r="B18" s="83" t="n">
        <v>21927.494</v>
      </c>
      <c r="C18" s="83" t="n">
        <v>1905.2952</v>
      </c>
      <c r="D18" s="83" t="n">
        <v>2247.1352</v>
      </c>
      <c r="E18" s="83">
        <f>SUM(B18:D18)</f>
        <v>26079.9244</v>
      </c>
      <c r="H18" s="15" t="str">
        <f>$A$7</f>
        <v>Bellevue</v>
      </c>
      <c r="I18" s="83" t="n">
        <v>24969.0</v>
      </c>
      <c r="J18" s="83" t="n">
        <v>4116.0</v>
      </c>
      <c r="K18" s="83" t="n">
        <v>9215.0</v>
      </c>
      <c r="L18" s="83">
        <f>SUM(I18:K18)</f>
        <v>37857</v>
      </c>
      <c r="O18" s="15" t="str">
        <f>$A$7</f>
        <v>Bellevue</v>
      </c>
      <c r="P18" s="20">
        <f>I18-B18</f>
        <v>2711.5060000000012</v>
      </c>
      <c r="Q18" s="20">
        <f t="shared" ref="Q18:Q25" si="12">J18-C18</f>
        <v>2226.7048</v>
      </c>
      <c r="R18" s="20">
        <f t="shared" ref="R18:R25" si="13">K18-D18</f>
        <v>6838.8647999999994</v>
      </c>
      <c r="S18" s="20">
        <f t="shared" ref="S18:S25" si="14">L18-E18</f>
        <v>11777.0756</v>
      </c>
    </row>
    <row r="19" spans="1:20" x14ac:dyDescent="0.45">
      <c r="A19" t="str">
        <f>$A$8</f>
        <v>Bellevue Downtown</v>
      </c>
      <c r="B19" s="83" t="n">
        <v>164.3246</v>
      </c>
      <c r="C19" s="83" t="n">
        <v>0.0</v>
      </c>
      <c r="D19" s="83" t="n">
        <v>128.3902</v>
      </c>
      <c r="E19" s="83">
        <f>SUM(B19:D19)</f>
        <v>292.71479999999997</v>
      </c>
      <c r="H19" t="str">
        <f>$A$8</f>
        <v>Bellevue Downtown</v>
      </c>
      <c r="I19" s="83" t="n">
        <v>830.0</v>
      </c>
      <c r="J19" s="83" t="n">
        <v>153.0</v>
      </c>
      <c r="K19" s="83" t="n">
        <v>873.0</v>
      </c>
      <c r="L19" s="83">
        <f>SUM(I19:K19)</f>
        <v>1862</v>
      </c>
      <c r="O19" t="str">
        <f>$A$8</f>
        <v>Bellevue Downtown</v>
      </c>
      <c r="P19" s="20">
        <f t="shared" ref="P19:P25" si="15">I19-B19</f>
        <v>638.67539999999997</v>
      </c>
      <c r="Q19" s="20">
        <f t="shared" si="12"/>
        <v>139</v>
      </c>
      <c r="R19" s="20">
        <f t="shared" si="13"/>
        <v>791.60979999999995</v>
      </c>
      <c r="S19" s="20">
        <f t="shared" si="14"/>
        <v>1569.2852</v>
      </c>
    </row>
    <row r="20" spans="1:20" x14ac:dyDescent="0.45">
      <c r="A20" t="str">
        <f>$A$9</f>
        <v>Kirkland</v>
      </c>
      <c r="B20" s="83" t="n">
        <v>15498.8351</v>
      </c>
      <c r="C20" s="83" t="n">
        <v>2170.0193</v>
      </c>
      <c r="D20" s="83" t="n">
        <v>1471.8118</v>
      </c>
      <c r="E20" s="83">
        <f t="shared" ref="E20:E22" si="16">SUM(B20:D20)</f>
        <v>19140.6662</v>
      </c>
      <c r="H20" t="str">
        <f>$A$9</f>
        <v>Kirkland</v>
      </c>
      <c r="I20" s="83" t="n">
        <v>19890.0</v>
      </c>
      <c r="J20" s="83" t="n">
        <v>2962.0</v>
      </c>
      <c r="K20" s="83" t="n">
        <v>8490.0</v>
      </c>
      <c r="L20" s="83">
        <f t="shared" ref="L20:L22" si="17">SUM(I20:K20)</f>
        <v>31077</v>
      </c>
      <c r="O20" t="str">
        <f>$A$9</f>
        <v>Kirkland</v>
      </c>
      <c r="P20" s="20">
        <f t="shared" ref="P20:P22" si="18">I20-B20</f>
        <v>4080.1648999999998</v>
      </c>
      <c r="Q20" s="20">
        <f t="shared" ref="Q20:Q22" si="19">J20-C20</f>
        <v>760.98070000000007</v>
      </c>
      <c r="R20" s="20">
        <f t="shared" ref="R20:R22" si="20">K20-D20</f>
        <v>7095.1882000000005</v>
      </c>
      <c r="S20" s="20">
        <f t="shared" ref="S20:S22" si="21">L20-E20</f>
        <v>11936.3338</v>
      </c>
    </row>
    <row r="21" spans="1:20" x14ac:dyDescent="0.45">
      <c r="A21" t="str">
        <f>$A$10</f>
        <v>Redmond</v>
      </c>
      <c r="B21" s="83" t="n">
        <v>22665.7465</v>
      </c>
      <c r="C21" s="83" t="n">
        <v>3936.452</v>
      </c>
      <c r="D21" s="83" t="n">
        <v>3498.526</v>
      </c>
      <c r="E21" s="83">
        <f t="shared" si="16"/>
        <v>30100.724500000004</v>
      </c>
      <c r="H21" t="str">
        <f>$A$10</f>
        <v>Redmond</v>
      </c>
      <c r="I21" s="83" t="n">
        <v>18142.0</v>
      </c>
      <c r="J21" s="83" t="n">
        <v>3118.0</v>
      </c>
      <c r="K21" s="83" t="n">
        <v>5703.0</v>
      </c>
      <c r="L21" s="83">
        <f t="shared" si="17"/>
        <v>27090</v>
      </c>
      <c r="O21" s="7" t="str">
        <f>$A$10</f>
        <v>Redmond</v>
      </c>
      <c r="P21" s="21">
        <f t="shared" si="18"/>
        <v>-4522.7465000000011</v>
      </c>
      <c r="Q21" s="21">
        <f t="shared" si="19"/>
        <v>-778.45200000000023</v>
      </c>
      <c r="R21" s="21">
        <f t="shared" si="20"/>
        <v>2290.4740000000002</v>
      </c>
      <c r="S21" s="21">
        <f t="shared" si="21"/>
        <v>-3010.7245000000039</v>
      </c>
      <c r="T21" s="7"/>
    </row>
    <row r="22" spans="1:20" x14ac:dyDescent="0.45">
      <c r="A22" t="str">
        <f>$A$11</f>
        <v>Seattle</v>
      </c>
      <c r="B22" s="83" t="n">
        <v>73648.719</v>
      </c>
      <c r="C22" s="83" t="n">
        <v>4756.9449</v>
      </c>
      <c r="D22" s="83" t="n">
        <v>33744.542199999996</v>
      </c>
      <c r="E22" s="83">
        <f t="shared" si="16"/>
        <v>112150.2061</v>
      </c>
      <c r="H22" t="str">
        <f>$A$11</f>
        <v>Seattle</v>
      </c>
      <c r="I22" s="83" t="n">
        <v>74736.0</v>
      </c>
      <c r="J22" s="83" t="n">
        <v>10490.0</v>
      </c>
      <c r="K22" s="83" t="n">
        <v>51646.0</v>
      </c>
      <c r="L22" s="83">
        <f t="shared" si="17"/>
        <v>137400</v>
      </c>
      <c r="O22" s="7" t="str">
        <f>$A$11</f>
        <v>Seattle</v>
      </c>
      <c r="P22" s="21">
        <f t="shared" si="18"/>
        <v>1548.2810000000027</v>
      </c>
      <c r="Q22" s="21">
        <f t="shared" si="19"/>
        <v>5698.0550999999996</v>
      </c>
      <c r="R22" s="21">
        <f t="shared" si="20"/>
        <v>18003.457800000004</v>
      </c>
      <c r="S22" s="21">
        <f t="shared" si="21"/>
        <v>25249.793900000004</v>
      </c>
      <c r="T22" s="7"/>
    </row>
    <row r="23" spans="1:20" x14ac:dyDescent="0.45">
      <c r="A23" s="7" t="str">
        <f>$A$12</f>
        <v>Seattle Downtown</v>
      </c>
      <c r="B23" s="87" t="n">
        <v>686.4745</v>
      </c>
      <c r="C23" s="87" t="n">
        <v>178.05780000000001</v>
      </c>
      <c r="D23" s="87" t="n">
        <v>2427.9771</v>
      </c>
      <c r="E23" s="87">
        <f>SUM(B23:D23)</f>
        <v>3292.5093999999999</v>
      </c>
      <c r="H23" s="7" t="str">
        <f>$A$12</f>
        <v>Seattle Downtown</v>
      </c>
      <c r="I23" s="87" t="n">
        <v>1549.0</v>
      </c>
      <c r="J23" s="87" t="n">
        <v>167.0</v>
      </c>
      <c r="K23" s="87" t="n">
        <v>5575.0</v>
      </c>
      <c r="L23" s="87">
        <f>SUM(I23:K23)</f>
        <v>7355</v>
      </c>
      <c r="O23" s="7" t="str">
        <f>$A$12</f>
        <v>Seattle Downtown</v>
      </c>
      <c r="P23" s="21">
        <f t="shared" si="15"/>
        <v>817.52549999999997</v>
      </c>
      <c r="Q23" s="21">
        <f t="shared" si="12"/>
        <v>-23.057800000000015</v>
      </c>
      <c r="R23" s="21">
        <f t="shared" si="13"/>
        <v>3268.0228999999999</v>
      </c>
      <c r="S23" s="21">
        <f t="shared" si="14"/>
        <v>4062.4906000000001</v>
      </c>
      <c r="T23" s="7"/>
    </row>
    <row r="24" spans="1:20" x14ac:dyDescent="0.45">
      <c r="A24" s="7" t="str">
        <f>$A$13</f>
        <v>Rest</v>
      </c>
      <c r="B24" s="86" t="n">
        <v>381324.3322</v>
      </c>
      <c r="C24" s="86" t="n">
        <v>65552.775</v>
      </c>
      <c r="D24" s="86" t="n">
        <v>67960.5531</v>
      </c>
      <c r="E24" s="86">
        <f>SUM(B24:D24)</f>
        <v>514837.66029999999</v>
      </c>
      <c r="H24" s="7" t="str">
        <f>$A$13</f>
        <v>Rest</v>
      </c>
      <c r="I24" s="87" t="n">
        <v>427189.0</v>
      </c>
      <c r="J24" s="87" t="n">
        <v>74166.0</v>
      </c>
      <c r="K24" s="87" t="n">
        <v>146392.0</v>
      </c>
      <c r="L24" s="87">
        <f>SUM(I24:K24)</f>
        <v>648166</v>
      </c>
      <c r="O24" s="7" t="str">
        <f>$A$13</f>
        <v>Rest</v>
      </c>
      <c r="P24" s="21">
        <f t="shared" si="15"/>
        <v>46180.667799999996</v>
      </c>
      <c r="Q24" s="21">
        <f t="shared" si="12"/>
        <v>8734.2250000000058</v>
      </c>
      <c r="R24" s="21">
        <f t="shared" si="13"/>
        <v>78413.446899999995</v>
      </c>
      <c r="S24" s="21">
        <f t="shared" si="14"/>
        <v>133328.33970000001</v>
      </c>
      <c r="T24" s="7"/>
    </row>
    <row r="25" spans="1:20" ht="14.65" thickBot="1" x14ac:dyDescent="0.5">
      <c r="A25" s="12" t="s">
        <v>3</v>
      </c>
      <c r="B25" s="84">
        <f>SUM(B18:B24)</f>
        <v>515915.92590000003</v>
      </c>
      <c r="C25" s="84">
        <f t="shared" ref="C25" si="22">SUM(C18:C24)</f>
        <v>78499.544199999989</v>
      </c>
      <c r="D25" s="84">
        <f t="shared" ref="D25" si="23">SUM(D18:D24)</f>
        <v>111478.9356</v>
      </c>
      <c r="E25" s="84">
        <f t="shared" ref="E25" si="24">SUM(E18:E24)</f>
        <v>705894.4057</v>
      </c>
      <c r="H25" s="12" t="s">
        <v>3</v>
      </c>
      <c r="I25" s="82">
        <f>SUM(I18:I24)</f>
        <v>567370</v>
      </c>
      <c r="J25" s="82">
        <f t="shared" ref="J25" si="25">SUM(J18:J24)</f>
        <v>95257</v>
      </c>
      <c r="K25" s="82">
        <f t="shared" ref="K25" si="26">SUM(K18:K24)</f>
        <v>228180</v>
      </c>
      <c r="L25" s="82">
        <f t="shared" ref="L25" si="27">SUM(L18:L24)</f>
        <v>890807</v>
      </c>
      <c r="O25" s="12" t="s">
        <v>3</v>
      </c>
      <c r="P25" s="12">
        <f t="shared" si="15"/>
        <v>51454.074099999969</v>
      </c>
      <c r="Q25" s="12">
        <f t="shared" si="12"/>
        <v>16757.455800000011</v>
      </c>
      <c r="R25" s="12">
        <f t="shared" si="13"/>
        <v>116701.0644</v>
      </c>
      <c r="S25" s="12">
        <f t="shared" si="14"/>
        <v>184912.5943</v>
      </c>
      <c r="T25" s="7"/>
    </row>
    <row r="27" spans="1:20" ht="14.65" thickBot="1" x14ac:dyDescent="0.5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4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45">
      <c r="A29" s="15" t="str">
        <f>$A$7</f>
        <v>Bellevue</v>
      </c>
      <c r="B29" s="16">
        <f t="shared" ref="B29:E29" si="28">IF(B18&lt;&gt;0,B7/B18,0)</f>
        <v>0</v>
      </c>
      <c r="C29" s="16">
        <f t="shared" si="28"/>
        <v>0</v>
      </c>
      <c r="D29" s="16">
        <f t="shared" si="28"/>
        <v>0</v>
      </c>
      <c r="E29" s="16">
        <f t="shared" si="28"/>
        <v>0</v>
      </c>
      <c r="H29" s="15" t="str">
        <f>$A$7</f>
        <v>Bellevue</v>
      </c>
      <c r="I29" s="16">
        <f t="shared" ref="I29:L30" si="29">IF(I18&lt;&gt;0,I7/I18,0)</f>
        <v>2.1104752627947561E-3</v>
      </c>
      <c r="J29" s="16">
        <f t="shared" si="29"/>
        <v>3.6302032913843175E-3</v>
      </c>
      <c r="K29" s="16">
        <f t="shared" si="29"/>
        <v>3.6319612590799033E-3</v>
      </c>
      <c r="L29" s="16">
        <f t="shared" si="29"/>
        <v>2.6415194019600075E-3</v>
      </c>
      <c r="O29" s="15" t="str">
        <f>$A$7</f>
        <v>Bellevue</v>
      </c>
      <c r="P29" s="26">
        <f t="shared" ref="P29:S36" si="30">I29-B29</f>
        <v>2.1104752627947561E-3</v>
      </c>
      <c r="Q29" s="26">
        <f t="shared" si="30"/>
        <v>3.6302032913843175E-3</v>
      </c>
      <c r="R29" s="26">
        <f t="shared" si="30"/>
        <v>3.6319612590799033E-3</v>
      </c>
      <c r="S29" s="26">
        <f t="shared" si="30"/>
        <v>2.6415194019600075E-3</v>
      </c>
    </row>
    <row r="30" spans="1:20" x14ac:dyDescent="0.45">
      <c r="A30" t="str">
        <f>$A$8</f>
        <v>Bellevue Downtown</v>
      </c>
      <c r="B30" s="16">
        <f t="shared" ref="B30:E30" si="31">IF(B19&lt;&gt;0,B8/B19,0)</f>
        <v>0</v>
      </c>
      <c r="C30" s="16">
        <f t="shared" si="31"/>
        <v>0</v>
      </c>
      <c r="D30" s="16">
        <f t="shared" si="31"/>
        <v>0</v>
      </c>
      <c r="E30" s="16">
        <f t="shared" si="31"/>
        <v>0</v>
      </c>
      <c r="H30" t="str">
        <f>$A$8</f>
        <v>Bellevue Downtown</v>
      </c>
      <c r="I30" s="16">
        <f t="shared" si="29"/>
        <v>0</v>
      </c>
      <c r="J30" s="16">
        <f t="shared" si="29"/>
        <v>0</v>
      </c>
      <c r="K30" s="16">
        <f t="shared" si="29"/>
        <v>9.7826086956521747E-3</v>
      </c>
      <c r="L30" s="16">
        <f t="shared" si="29"/>
        <v>4.8335123523093448E-3</v>
      </c>
      <c r="O30" t="str">
        <f>$A$8</f>
        <v>Bellevue Downtown</v>
      </c>
      <c r="P30" s="26">
        <f t="shared" si="30"/>
        <v>0</v>
      </c>
      <c r="Q30" s="26">
        <f t="shared" si="30"/>
        <v>0</v>
      </c>
      <c r="R30" s="26">
        <f t="shared" si="30"/>
        <v>9.7826086956521747E-3</v>
      </c>
      <c r="S30" s="26">
        <f t="shared" si="30"/>
        <v>4.8335123523093448E-3</v>
      </c>
    </row>
    <row r="31" spans="1:20" x14ac:dyDescent="0.45">
      <c r="A31" t="str">
        <f>$A$9</f>
        <v>Kirkland</v>
      </c>
      <c r="B31" s="16">
        <f t="shared" ref="B31:E31" si="32">IF(B20&lt;&gt;0,B9/B20,0)</f>
        <v>0</v>
      </c>
      <c r="C31" s="16">
        <f t="shared" si="32"/>
        <v>0</v>
      </c>
      <c r="D31" s="16">
        <f t="shared" si="32"/>
        <v>0</v>
      </c>
      <c r="E31" s="16">
        <f t="shared" si="32"/>
        <v>0</v>
      </c>
      <c r="H31" t="str">
        <f>$A$9</f>
        <v>Kirkland</v>
      </c>
      <c r="I31" s="16">
        <f t="shared" ref="I31:L31" si="33">IF(I20&lt;&gt;0,I9/I20,0)</f>
        <v>2.6559068389601101E-3</v>
      </c>
      <c r="J31" s="16">
        <f t="shared" si="33"/>
        <v>5.1177072671443197E-3</v>
      </c>
      <c r="K31" s="16">
        <f t="shared" si="33"/>
        <v>2.9181743901015526E-3</v>
      </c>
      <c r="L31" s="16">
        <f t="shared" si="33"/>
        <v>2.9603887119091289E-3</v>
      </c>
      <c r="O31" t="str">
        <f>$A$9</f>
        <v>Kirkland</v>
      </c>
      <c r="P31" s="26">
        <f t="shared" ref="P31:P33" si="34">I31-B31</f>
        <v>2.6559068389601101E-3</v>
      </c>
      <c r="Q31" s="26">
        <f t="shared" ref="Q31:Q33" si="35">J31-C31</f>
        <v>5.1177072671443197E-3</v>
      </c>
      <c r="R31" s="26">
        <f t="shared" ref="R31:R33" si="36">K31-D31</f>
        <v>2.9181743901015526E-3</v>
      </c>
      <c r="S31" s="26">
        <f t="shared" ref="S31:S33" si="37">L31-E31</f>
        <v>2.9603887119091289E-3</v>
      </c>
    </row>
    <row r="32" spans="1:20" x14ac:dyDescent="0.45">
      <c r="A32" t="str">
        <f>$A$10</f>
        <v>Redmond</v>
      </c>
      <c r="B32" s="16">
        <f t="shared" ref="B32:E32" si="38">IF(B21&lt;&gt;0,B10/B21,0)</f>
        <v>0</v>
      </c>
      <c r="C32" s="16">
        <f t="shared" si="38"/>
        <v>0</v>
      </c>
      <c r="D32" s="16">
        <f t="shared" si="38"/>
        <v>0</v>
      </c>
      <c r="E32" s="16">
        <f t="shared" si="38"/>
        <v>0</v>
      </c>
      <c r="H32" t="str">
        <f>$A$10</f>
        <v>Redmond</v>
      </c>
      <c r="I32" s="16">
        <f t="shared" ref="I32:L32" si="39">IF(I21&lt;&gt;0,I10/I21,0)</f>
        <v>4.6850024802954308E-3</v>
      </c>
      <c r="J32" s="16">
        <f t="shared" si="39"/>
        <v>1.0766307789740342E-2</v>
      </c>
      <c r="K32" s="16">
        <f t="shared" si="39"/>
        <v>8.8098117118673349E-3</v>
      </c>
      <c r="L32" s="16">
        <f t="shared" si="39"/>
        <v>6.2753783684016242E-3</v>
      </c>
      <c r="O32" t="str">
        <f>$A$10</f>
        <v>Redmond</v>
      </c>
      <c r="P32" s="26">
        <f t="shared" si="34"/>
        <v>4.6850024802954308E-3</v>
      </c>
      <c r="Q32" s="26">
        <f t="shared" si="35"/>
        <v>1.0766307789740342E-2</v>
      </c>
      <c r="R32" s="26">
        <f t="shared" si="36"/>
        <v>8.8098117118673349E-3</v>
      </c>
      <c r="S32" s="26">
        <f t="shared" si="37"/>
        <v>6.2753783684016242E-3</v>
      </c>
    </row>
    <row r="33" spans="1:19" x14ac:dyDescent="0.45">
      <c r="A33" s="7" t="str">
        <f>$A$11</f>
        <v>Seattle</v>
      </c>
      <c r="B33" s="50">
        <f t="shared" ref="B33:E33" si="40">IF(B22&lt;&gt;0,B11/B22,0)</f>
        <v>0</v>
      </c>
      <c r="C33" s="50">
        <f t="shared" si="40"/>
        <v>0</v>
      </c>
      <c r="D33" s="50">
        <f t="shared" si="40"/>
        <v>2.9541843954842571E-2</v>
      </c>
      <c r="E33" s="50">
        <f t="shared" si="40"/>
        <v>8.8887576284177698E-3</v>
      </c>
      <c r="H33" s="7" t="str">
        <f>$A$11</f>
        <v>Seattle</v>
      </c>
      <c r="I33" s="50">
        <f t="shared" ref="I33:L33" si="41">IF(I22&lt;&gt;0,I11/I22,0)</f>
        <v>6.7821854595263107E-3</v>
      </c>
      <c r="J33" s="50">
        <f t="shared" si="41"/>
        <v>6.6953610712577718E-3</v>
      </c>
      <c r="K33" s="50">
        <f t="shared" si="41"/>
        <v>1.1594651001004871E-3</v>
      </c>
      <c r="L33" s="50">
        <f t="shared" si="41"/>
        <v>4.6579330422125186E-3</v>
      </c>
      <c r="O33" s="7" t="str">
        <f>$A$11</f>
        <v>Seattle</v>
      </c>
      <c r="P33" s="51">
        <f t="shared" si="34"/>
        <v>6.7821854595263107E-3</v>
      </c>
      <c r="Q33" s="51">
        <f t="shared" si="35"/>
        <v>6.6953610712577718E-3</v>
      </c>
      <c r="R33" s="51">
        <f t="shared" si="36"/>
        <v>-2.8382378854742082E-2</v>
      </c>
      <c r="S33" s="51">
        <f t="shared" si="37"/>
        <v>-4.2308245862052512E-3</v>
      </c>
    </row>
    <row r="34" spans="1:19" x14ac:dyDescent="0.45">
      <c r="A34" s="7" t="str">
        <f>$A$12</f>
        <v>Seattle Downtown</v>
      </c>
      <c r="B34" s="50">
        <f t="shared" ref="B34:E35" si="42">IF(B23&lt;&gt;0,B12/B23,0)</f>
        <v>0</v>
      </c>
      <c r="C34" s="50">
        <f t="shared" si="42"/>
        <v>0</v>
      </c>
      <c r="D34" s="50">
        <f t="shared" si="42"/>
        <v>5.9704022743871845E-3</v>
      </c>
      <c r="E34" s="50">
        <f t="shared" si="42"/>
        <v>4.4027209155424133E-3</v>
      </c>
      <c r="H34" s="7" t="str">
        <f>$A$12</f>
        <v>Seattle Downtown</v>
      </c>
      <c r="I34" s="50">
        <f t="shared" ref="I34:L35" si="43">IF(I23&lt;&gt;0,I12/I23,0)</f>
        <v>7.9787234042553185E-3</v>
      </c>
      <c r="J34" s="50">
        <f t="shared" si="43"/>
        <v>0</v>
      </c>
      <c r="K34" s="50">
        <f t="shared" si="43"/>
        <v>8.7780898876404492E-4</v>
      </c>
      <c r="L34" s="50">
        <f t="shared" si="43"/>
        <v>2.3113528212100613E-3</v>
      </c>
      <c r="O34" s="7" t="str">
        <f>$A$12</f>
        <v>Seattle Downtown</v>
      </c>
      <c r="P34" s="51">
        <f t="shared" si="30"/>
        <v>7.9787234042553185E-3</v>
      </c>
      <c r="Q34" s="51">
        <f t="shared" si="30"/>
        <v>0</v>
      </c>
      <c r="R34" s="51">
        <f t="shared" si="30"/>
        <v>-5.0925932856231391E-3</v>
      </c>
      <c r="S34" s="51">
        <f t="shared" si="30"/>
        <v>-2.091368094332352E-3</v>
      </c>
    </row>
    <row r="35" spans="1:19" x14ac:dyDescent="0.45">
      <c r="A35" s="7" t="str">
        <f>$A$13</f>
        <v>Rest</v>
      </c>
      <c r="B35" s="50">
        <f t="shared" si="42"/>
        <v>6.4077838566001695E-3</v>
      </c>
      <c r="C35" s="50">
        <f t="shared" si="42"/>
        <v>0</v>
      </c>
      <c r="D35" s="50">
        <f t="shared" si="42"/>
        <v>0</v>
      </c>
      <c r="E35" s="50">
        <f t="shared" si="42"/>
        <v>4.7460473240752941E-3</v>
      </c>
      <c r="H35" s="7" t="str">
        <f>$A$13</f>
        <v>Rest</v>
      </c>
      <c r="I35" s="50">
        <f t="shared" si="43"/>
        <v>6.016537818271131E-2</v>
      </c>
      <c r="J35" s="50">
        <f t="shared" si="43"/>
        <v>6.089894597978112E-2</v>
      </c>
      <c r="K35" s="50">
        <f t="shared" si="43"/>
        <v>2.6493776217087733E-2</v>
      </c>
      <c r="L35" s="50">
        <f t="shared" si="43"/>
        <v>5.2645464279212427E-2</v>
      </c>
      <c r="O35" s="7" t="str">
        <f>$A$13</f>
        <v>Rest</v>
      </c>
      <c r="P35" s="51">
        <f t="shared" si="30"/>
        <v>5.3757594326111144E-2</v>
      </c>
      <c r="Q35" s="51">
        <f t="shared" si="30"/>
        <v>6.089894597978112E-2</v>
      </c>
      <c r="R35" s="51">
        <f t="shared" si="30"/>
        <v>2.6493776217087733E-2</v>
      </c>
      <c r="S35" s="51">
        <f t="shared" si="30"/>
        <v>4.7899416955137136E-2</v>
      </c>
    </row>
    <row r="36" spans="1:19" ht="14.65" thickBot="1" x14ac:dyDescent="0.5">
      <c r="A36" s="12" t="s">
        <v>3</v>
      </c>
      <c r="B36" s="17">
        <f>IF(B25&lt;&gt;0,B14/B25,0)</f>
        <v>4.7361280730721482E-3</v>
      </c>
      <c r="C36" s="17">
        <f t="shared" ref="C36:E36" si="44">IF(C25&lt;&gt;0,C14/C25,0)</f>
        <v>0</v>
      </c>
      <c r="D36" s="17">
        <f t="shared" si="44"/>
        <v>9.0723148239316345E-3</v>
      </c>
      <c r="E36" s="17">
        <f t="shared" si="44"/>
        <v>4.8942389571341519E-3</v>
      </c>
      <c r="H36" s="12" t="s">
        <v>3</v>
      </c>
      <c r="I36" s="17">
        <f>IF(I25&lt;&gt;0,I14/I25,0)</f>
        <v>4.6586883338914642E-2</v>
      </c>
      <c r="J36" s="17">
        <f t="shared" ref="J36:L36" si="45">IF(J25&lt;&gt;0,J14/J25,0)</f>
        <v>4.8899293490242184E-2</v>
      </c>
      <c r="K36" s="17">
        <f t="shared" si="45"/>
        <v>1.7797352966955914E-2</v>
      </c>
      <c r="L36" s="17">
        <f t="shared" si="45"/>
        <v>3.9459725844094178E-2</v>
      </c>
      <c r="O36" s="12" t="s">
        <v>3</v>
      </c>
      <c r="P36" s="45">
        <f t="shared" si="30"/>
        <v>4.185075526584249E-2</v>
      </c>
      <c r="Q36" s="45">
        <f t="shared" ref="Q36" si="46">J36-C36</f>
        <v>4.8899293490242184E-2</v>
      </c>
      <c r="R36" s="45">
        <f t="shared" ref="R36" si="47">K36-D36</f>
        <v>8.7250381430242791E-3</v>
      </c>
      <c r="S36" s="45">
        <f t="shared" ref="S36" si="48">L36-E36</f>
        <v>3.4565486886960026E-2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5"/>
  <sheetViews>
    <sheetView workbookViewId="0">
      <selection activeCell="B16" sqref="B16"/>
    </sheetView>
  </sheetViews>
  <sheetFormatPr defaultRowHeight="14.25" x14ac:dyDescent="0.45"/>
  <cols>
    <col min="3" max="3" bestFit="true" customWidth="true" width="27.3984375" collapsed="true"/>
  </cols>
  <sheetData>
    <row r="1" spans="1:2" x14ac:dyDescent="0.45">
      <c r="A1" s="11" t="s">
        <v>44</v>
      </c>
    </row>
    <row r="2" spans="1:2" x14ac:dyDescent="0.45">
      <c r="A2" s="41"/>
    </row>
    <row r="3" spans="1:2" x14ac:dyDescent="0.45">
      <c r="A3" s="11"/>
    </row>
    <row r="12" spans="1:2" x14ac:dyDescent="0.45">
      <c r="A12" s="11" t="s">
        <v>45</v>
      </c>
    </row>
    <row r="13" spans="1:2" x14ac:dyDescent="0.45">
      <c r="A13">
        <v>1</v>
      </c>
      <c r="B13" t="s">
        <v>46</v>
      </c>
    </row>
    <row r="15" spans="1:2" x14ac:dyDescent="0.45">
      <c r="A15">
        <v>2</v>
      </c>
      <c r="B15" t="s">
        <v>47</v>
      </c>
    </row>
    <row r="16" spans="1:2" x14ac:dyDescent="0.45">
      <c r="B16" t="s">
        <v>48</v>
      </c>
    </row>
    <row r="18" spans="1:4" x14ac:dyDescent="0.45">
      <c r="A18">
        <v>3</v>
      </c>
      <c r="B18" t="s">
        <v>49</v>
      </c>
    </row>
    <row r="19" spans="1:4" x14ac:dyDescent="0.45">
      <c r="B19" t="s">
        <v>50</v>
      </c>
    </row>
    <row r="20" spans="1:4" x14ac:dyDescent="0.45">
      <c r="B20" t="s">
        <v>51</v>
      </c>
      <c r="C20" t="s">
        <v>54</v>
      </c>
      <c r="D20" t="s">
        <v>57</v>
      </c>
    </row>
    <row r="21" spans="1:4" x14ac:dyDescent="0.45">
      <c r="B21" t="s">
        <v>41</v>
      </c>
      <c r="C21" t="s">
        <v>53</v>
      </c>
      <c r="D21" t="s">
        <v>58</v>
      </c>
    </row>
    <row r="22" spans="1:4" x14ac:dyDescent="0.45">
      <c r="B22" t="s">
        <v>42</v>
      </c>
      <c r="C22" t="s">
        <v>55</v>
      </c>
      <c r="D22" t="s">
        <v>59</v>
      </c>
    </row>
    <row r="23" spans="1:4" x14ac:dyDescent="0.45">
      <c r="B23" t="s">
        <v>52</v>
      </c>
      <c r="C23" t="s">
        <v>56</v>
      </c>
      <c r="D23" t="s">
        <v>60</v>
      </c>
    </row>
    <row r="25" spans="1:4" x14ac:dyDescent="0.45">
      <c r="A25" s="11" t="s">
        <v>61</v>
      </c>
    </row>
    <row r="26" spans="1:4" x14ac:dyDescent="0.45">
      <c r="A26">
        <v>1</v>
      </c>
      <c r="B26" t="s">
        <v>62</v>
      </c>
    </row>
    <row r="28" spans="1:4" x14ac:dyDescent="0.45">
      <c r="A28">
        <v>2</v>
      </c>
      <c r="B28" t="s">
        <v>63</v>
      </c>
    </row>
    <row r="30" spans="1:4" x14ac:dyDescent="0.45">
      <c r="A30" s="11" t="s">
        <v>64</v>
      </c>
    </row>
    <row r="31" spans="1:4" x14ac:dyDescent="0.45">
      <c r="A31">
        <v>1</v>
      </c>
      <c r="B31" t="s">
        <v>65</v>
      </c>
    </row>
    <row r="33" spans="1:2" x14ac:dyDescent="0.45">
      <c r="A33" s="11">
        <v>2</v>
      </c>
      <c r="B33" t="s">
        <v>66</v>
      </c>
    </row>
    <row r="35" spans="1:2" x14ac:dyDescent="0.4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61"/>
  <sheetViews>
    <sheetView workbookViewId="0">
      <selection activeCell="A32" sqref="A32:E32"/>
    </sheetView>
  </sheetViews>
  <sheetFormatPr defaultRowHeight="14.25" x14ac:dyDescent="0.45"/>
  <sheetData>
    <row r="1" spans="1:6" x14ac:dyDescent="0.45">
      <c r="A1" t="s">
        <v>133</v>
      </c>
      <c r="B1" t="s">
        <v>135</v>
      </c>
      <c r="F1" t="s">
        <v>134</v>
      </c>
    </row>
    <row r="2" spans="1:6" x14ac:dyDescent="0.4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4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4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4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4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4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4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4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4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4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4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4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4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4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4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4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4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4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4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4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4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4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4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4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4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4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4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4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4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4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4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4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4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4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4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4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4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4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4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4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4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4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4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4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4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4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4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4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4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4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4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4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4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4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4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4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4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4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4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4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250"/>
  <sheetViews>
    <sheetView workbookViewId="0">
      <selection activeCell="A8" sqref="A8:K250"/>
    </sheetView>
  </sheetViews>
  <sheetFormatPr defaultRowHeight="14.25" x14ac:dyDescent="0.45"/>
  <sheetData>
    <row r="1" spans="1:10" x14ac:dyDescent="0.45">
      <c r="A1" s="55" t="s">
        <v>201</v>
      </c>
    </row>
    <row r="2" spans="1:10" x14ac:dyDescent="0.45">
      <c r="A2">
        <v>1</v>
      </c>
      <c r="B2" t="s">
        <v>202</v>
      </c>
    </row>
    <row r="3" spans="1:10" x14ac:dyDescent="0.45">
      <c r="A3">
        <v>2</v>
      </c>
      <c r="B3" t="s">
        <v>203</v>
      </c>
    </row>
    <row r="4" spans="1:10" x14ac:dyDescent="0.45">
      <c r="A4">
        <v>3</v>
      </c>
      <c r="B4" t="s">
        <v>204</v>
      </c>
    </row>
    <row r="5" spans="1:10" x14ac:dyDescent="0.45">
      <c r="A5">
        <v>4</v>
      </c>
      <c r="B5" t="s">
        <v>205</v>
      </c>
    </row>
    <row r="8" spans="1:10" x14ac:dyDescent="0.4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4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45">
      <c r="A10" t="s">
        <v>220</v>
      </c>
    </row>
    <row r="11" spans="1:10" x14ac:dyDescent="0.4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4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4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4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4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4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4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4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4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4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4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4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4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4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4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4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4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4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4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4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4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4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4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4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4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4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4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4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4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4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4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4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4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4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4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4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4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4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4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4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4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4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4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4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4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4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4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4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4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4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4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4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4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4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4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4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4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4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4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4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45">
      <c r="B71">
        <v>-1</v>
      </c>
    </row>
    <row r="72" spans="2:11" x14ac:dyDescent="0.4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4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4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4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4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4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4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4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4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4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U62"/>
  <sheetViews>
    <sheetView workbookViewId="0">
      <selection activeCell="H13" sqref="H13"/>
    </sheetView>
  </sheetViews>
  <sheetFormatPr defaultRowHeight="14.25" x14ac:dyDescent="0.45"/>
  <cols>
    <col min="1" max="1" bestFit="true" customWidth="true" width="12.73046875" collapsed="true"/>
    <col min="2" max="3" bestFit="true" customWidth="true" width="11.59765625" collapsed="true"/>
    <col min="5" max="5" bestFit="true" customWidth="true" width="11.86328125" collapsed="true"/>
    <col min="6" max="6" customWidth="true" width="7.73046875" collapsed="true"/>
    <col min="7" max="7" bestFit="true" customWidth="true" width="7.1328125" collapsed="true"/>
    <col min="8" max="8" bestFit="true" customWidth="true" width="17.59765625" collapsed="true"/>
    <col min="9" max="9" bestFit="true" customWidth="true" width="11.0" collapsed="true"/>
    <col min="11" max="11" customWidth="true" width="8.3984375" collapsed="true"/>
    <col min="12" max="13" bestFit="true" customWidth="true" width="17.59765625" collapsed="true"/>
    <col min="19" max="19" bestFit="true" customWidth="true" width="11.73046875" collapsed="true"/>
    <col min="20" max="21" bestFit="true" customWidth="true" width="17.59765625" collapsed="true"/>
  </cols>
  <sheetData>
    <row r="1" spans="1:21" x14ac:dyDescent="0.45">
      <c r="K1" s="55" t="s">
        <v>201</v>
      </c>
      <c r="R1" s="55" t="s">
        <v>235</v>
      </c>
    </row>
    <row r="2" spans="1:21" x14ac:dyDescent="0.4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4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4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t="shared" ref="U4:U62" si="0">T4</f>
        <v>1</v>
      </c>
    </row>
    <row r="5" spans="1:21" x14ac:dyDescent="0.4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t="shared" si="0"/>
        <v>1</v>
      </c>
    </row>
    <row r="6" spans="1:21" ht="14.65" thickBot="1" x14ac:dyDescent="0.5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t="shared" si="0"/>
        <v>0.5</v>
      </c>
    </row>
    <row r="7" spans="1:21" x14ac:dyDescent="0.4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t="shared" si="0"/>
        <v>0.1</v>
      </c>
    </row>
    <row r="8" spans="1:21" x14ac:dyDescent="0.45">
      <c r="A8" s="57" t="s">
        <v>224</v>
      </c>
      <c r="B8" s="83">
        <f>TLFD!B11</f>
        <v>20622.883600000001</v>
      </c>
      <c r="C8" s="83">
        <f>TLFD!H11</f>
        <v>113629</v>
      </c>
      <c r="D8" s="7"/>
      <c r="E8" s="57" t="s">
        <v>224</v>
      </c>
      <c r="F8" s="72">
        <f>B8/B$11</f>
        <v>4.0140947791351966E-2</v>
      </c>
      <c r="G8" s="72">
        <f>C8/C$11</f>
        <v>0.20027319033434973</v>
      </c>
      <c r="H8" s="7">
        <v>1</v>
      </c>
      <c r="I8">
        <v>10</v>
      </c>
      <c r="J8" s="9">
        <f>F8/G8</f>
        <v>0.20043095995194329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t="shared" si="0"/>
        <v>1</v>
      </c>
    </row>
    <row r="9" spans="1:21" x14ac:dyDescent="0.45">
      <c r="A9" s="57" t="s">
        <v>226</v>
      </c>
      <c r="B9" s="83">
        <f>SUM(TLFD!B12:B15)</f>
        <v>222281.21739999999</v>
      </c>
      <c r="C9" s="83">
        <f>SUM(TLFD!H12:H15)</f>
        <v>255233</v>
      </c>
      <c r="E9" s="57" t="s">
        <v>226</v>
      </c>
      <c r="F9" s="72">
        <f t="shared" ref="F9:F10" si="1">B9/B$11</f>
        <v>0.43265427452888089</v>
      </c>
      <c r="G9" s="72">
        <f t="shared" ref="G9:G10" si="2">C9/C$11</f>
        <v>0.44985282972310836</v>
      </c>
      <c r="H9">
        <v>0.1</v>
      </c>
      <c r="I9">
        <v>11</v>
      </c>
      <c r="J9" s="9">
        <f t="shared" ref="J9:J10" si="3">F9/G9</f>
        <v>0.961768485029174</v>
      </c>
      <c r="K9" s="9">
        <f>(LN(J9)-LN(J8))*H9</f>
        <v>0.1568303913593197</v>
      </c>
      <c r="L9" s="59">
        <f t="shared" ref="L9:L10" si="4">T13</f>
        <v>-9.7518039976427993</v>
      </c>
      <c r="M9" s="59">
        <f t="shared" ref="M9:M10" si="5">L9+K9</f>
        <v>-9.5949736062834798</v>
      </c>
      <c r="R9">
        <v>7</v>
      </c>
      <c r="S9" t="s">
        <v>78</v>
      </c>
      <c r="T9" s="59">
        <f>SchoolLocationCoefficient!E17</f>
        <v>-21.977719252</v>
      </c>
      <c r="U9" s="60">
        <f t="shared" si="0"/>
        <v>-21.977719252</v>
      </c>
    </row>
    <row r="10" spans="1:21" x14ac:dyDescent="0.45">
      <c r="A10" s="69" t="s">
        <v>227</v>
      </c>
      <c r="B10" s="86">
        <f>SUM(TLFD!B16:B101)</f>
        <v>270857.64939999999</v>
      </c>
      <c r="C10" s="86">
        <f>SUM(TLFD!H16:H101)</f>
        <v>198508</v>
      </c>
      <c r="E10" s="69" t="s">
        <v>227</v>
      </c>
      <c r="F10" s="75">
        <f t="shared" si="1"/>
        <v>0.52720477767976703</v>
      </c>
      <c r="G10" s="75">
        <f t="shared" si="2"/>
        <v>0.34987397994254188</v>
      </c>
      <c r="H10">
        <v>0.1</v>
      </c>
      <c r="I10" s="6">
        <v>12</v>
      </c>
      <c r="J10" s="18">
        <f t="shared" si="3"/>
        <v>1.5068419142410858</v>
      </c>
      <c r="K10" s="18">
        <f>(LN(J10)-LN(J9)-LN(J8))*H10</f>
        <v>0.20562829614320557</v>
      </c>
      <c r="L10" s="74">
        <f t="shared" si="4"/>
        <v>-1.0599160072038001</v>
      </c>
      <c r="M10" s="74">
        <f t="shared" si="5"/>
        <v>-0.85428771106059453</v>
      </c>
      <c r="R10">
        <v>8</v>
      </c>
      <c r="S10" t="s">
        <v>79</v>
      </c>
      <c r="T10" s="59">
        <f>SchoolLocationCoefficient!E18</f>
        <v>-1.4857940511400001</v>
      </c>
      <c r="U10" s="60">
        <f t="shared" si="0"/>
        <v>-1.4857940511400001</v>
      </c>
    </row>
    <row r="11" spans="1:21" ht="14.65" thickBot="1" x14ac:dyDescent="0.5">
      <c r="A11" s="71" t="s">
        <v>3</v>
      </c>
      <c r="B11" s="82">
        <f>SUM(B8:B10)</f>
        <v>513761.75040000002</v>
      </c>
      <c r="C11" s="82">
        <f>SUM(C8:C10)</f>
        <v>567370</v>
      </c>
      <c r="D11" s="58"/>
      <c r="E11" s="71" t="s">
        <v>3</v>
      </c>
      <c r="F11" s="73">
        <f>SUM(F8:F10)</f>
        <v>0.99999999999999989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t="shared" si="0"/>
        <v>-4.85028348146</v>
      </c>
    </row>
    <row r="12" spans="1:21" x14ac:dyDescent="0.4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4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t="shared" ref="U13:U14" si="6">M9</f>
        <v>-9.5949736062834798</v>
      </c>
    </row>
    <row r="14" spans="1:21" x14ac:dyDescent="0.4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t="shared" si="6"/>
        <v>-0.85428771106059453</v>
      </c>
    </row>
    <row r="15" spans="1:21" ht="14.65" thickBot="1" x14ac:dyDescent="0.5">
      <c r="R15">
        <v>13</v>
      </c>
      <c r="S15" t="s">
        <v>84</v>
      </c>
      <c r="T15" s="59">
        <f>SchoolLocationCoefficient!E23</f>
        <v>-6.5192578502799998</v>
      </c>
      <c r="U15" s="60">
        <f t="shared" si="0"/>
        <v>-6.5192578502799998</v>
      </c>
    </row>
    <row r="16" spans="1:21" x14ac:dyDescent="0.4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t="shared" si="0"/>
        <v>-3.04866060786</v>
      </c>
    </row>
    <row r="17" spans="1:21" x14ac:dyDescent="0.45">
      <c r="A17" s="64" t="s">
        <v>225</v>
      </c>
      <c r="B17" s="81">
        <f>SchoolAtHome!E14</f>
        <v>3454.8159000000001</v>
      </c>
      <c r="C17" s="81">
        <f>SchoolAtHome!L14</f>
        <v>35151</v>
      </c>
      <c r="E17" s="64" t="s">
        <v>225</v>
      </c>
      <c r="F17" s="77">
        <f>B17/B18</f>
        <v>4.8942389571341519E-3</v>
      </c>
      <c r="G17" s="77">
        <f>C17/C18</f>
        <v>3.9459725844094178E-2</v>
      </c>
      <c r="I17" s="65">
        <v>50</v>
      </c>
      <c r="J17" s="66">
        <f>F17/G17</f>
        <v>0.1240312458447214</v>
      </c>
      <c r="K17" s="66">
        <f>LN(J17)</f>
        <v>-2.087221762500667</v>
      </c>
      <c r="L17" s="79">
        <f>T33</f>
        <v>-52.496387392000003</v>
      </c>
      <c r="M17" s="78">
        <f t="shared" ref="M17" si="7">L17+K17</f>
        <v>-54.583609154500671</v>
      </c>
      <c r="R17">
        <v>15</v>
      </c>
      <c r="S17" t="s">
        <v>86</v>
      </c>
      <c r="T17" s="59">
        <f>SchoolLocationCoefficient!E25</f>
        <v>0</v>
      </c>
      <c r="U17" s="60">
        <f t="shared" si="0"/>
        <v>0</v>
      </c>
    </row>
    <row r="18" spans="1:21" ht="14.65" thickBot="1" x14ac:dyDescent="0.5">
      <c r="A18" s="12" t="s">
        <v>3</v>
      </c>
      <c r="B18" s="82">
        <f>SchoolAtHome!E25</f>
        <v>705894.4057</v>
      </c>
      <c r="C18" s="82">
        <f>SchoolAtHome!L25</f>
        <v>890807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t="shared" si="0"/>
        <v>-2.2084934246199999</v>
      </c>
    </row>
    <row r="19" spans="1:21" x14ac:dyDescent="0.45">
      <c r="R19">
        <v>17</v>
      </c>
      <c r="S19" t="s">
        <v>88</v>
      </c>
      <c r="T19" s="59">
        <f>SchoolLocationCoefficient!E27</f>
        <v>0</v>
      </c>
      <c r="U19" s="60">
        <f t="shared" si="0"/>
        <v>0</v>
      </c>
    </row>
    <row r="20" spans="1:21" x14ac:dyDescent="0.45">
      <c r="R20">
        <v>18</v>
      </c>
      <c r="S20" t="s">
        <v>89</v>
      </c>
      <c r="T20" s="59">
        <f>SchoolLocationCoefficient!E28</f>
        <v>0</v>
      </c>
      <c r="U20" s="60">
        <f t="shared" si="0"/>
        <v>0</v>
      </c>
    </row>
    <row r="21" spans="1:21" x14ac:dyDescent="0.45">
      <c r="R21">
        <v>19</v>
      </c>
      <c r="S21" t="s">
        <v>90</v>
      </c>
      <c r="T21" s="59">
        <f>SchoolLocationCoefficient!E29</f>
        <v>0</v>
      </c>
      <c r="U21" s="60">
        <f t="shared" si="0"/>
        <v>0</v>
      </c>
    </row>
    <row r="22" spans="1:21" x14ac:dyDescent="0.45">
      <c r="G22" s="7"/>
      <c r="R22">
        <v>20</v>
      </c>
      <c r="S22" t="s">
        <v>91</v>
      </c>
      <c r="T22" s="59">
        <f>SchoolLocationCoefficient!E30</f>
        <v>0</v>
      </c>
      <c r="U22" s="60">
        <f t="shared" si="0"/>
        <v>0</v>
      </c>
    </row>
    <row r="23" spans="1:21" x14ac:dyDescent="0.45">
      <c r="G23" s="7"/>
      <c r="R23">
        <v>21</v>
      </c>
      <c r="S23" t="s">
        <v>92</v>
      </c>
      <c r="T23" s="59">
        <f>SchoolLocationCoefficient!E31</f>
        <v>0</v>
      </c>
      <c r="U23" s="60">
        <f t="shared" si="0"/>
        <v>0</v>
      </c>
    </row>
    <row r="24" spans="1:21" x14ac:dyDescent="0.45">
      <c r="R24">
        <v>30</v>
      </c>
      <c r="S24" t="s">
        <v>93</v>
      </c>
      <c r="T24" s="59">
        <f>SchoolLocationCoefficient!E32</f>
        <v>0</v>
      </c>
      <c r="U24" s="60">
        <f t="shared" si="0"/>
        <v>0</v>
      </c>
    </row>
    <row r="25" spans="1:21" x14ac:dyDescent="0.45">
      <c r="R25">
        <v>31</v>
      </c>
      <c r="S25" t="s">
        <v>94</v>
      </c>
      <c r="T25" s="59">
        <f>SchoolLocationCoefficient!E33</f>
        <v>0</v>
      </c>
      <c r="U25" s="60">
        <f t="shared" si="0"/>
        <v>0</v>
      </c>
    </row>
    <row r="26" spans="1:21" x14ac:dyDescent="0.45">
      <c r="R26">
        <v>32</v>
      </c>
      <c r="S26" t="s">
        <v>95</v>
      </c>
      <c r="T26" s="59">
        <f>SchoolLocationCoefficient!E34</f>
        <v>0</v>
      </c>
      <c r="U26" s="60">
        <f t="shared" si="0"/>
        <v>0</v>
      </c>
    </row>
    <row r="27" spans="1:21" x14ac:dyDescent="0.45">
      <c r="R27">
        <v>33</v>
      </c>
      <c r="S27" t="s">
        <v>96</v>
      </c>
      <c r="T27" s="59">
        <f>SchoolLocationCoefficient!E35</f>
        <v>0.20475756801299999</v>
      </c>
      <c r="U27" s="60">
        <f t="shared" si="0"/>
        <v>0.20475756801299999</v>
      </c>
    </row>
    <row r="28" spans="1:21" x14ac:dyDescent="0.4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t="shared" si="0"/>
        <v>0.73914409694299998</v>
      </c>
    </row>
    <row r="29" spans="1:21" x14ac:dyDescent="0.4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t="shared" si="0"/>
        <v>0.91950533972299997</v>
      </c>
    </row>
    <row r="30" spans="1:21" x14ac:dyDescent="0.4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t="shared" si="0"/>
        <v>0</v>
      </c>
    </row>
    <row r="31" spans="1:21" x14ac:dyDescent="0.45">
      <c r="R31">
        <v>37</v>
      </c>
      <c r="S31" t="s">
        <v>100</v>
      </c>
      <c r="T31" s="59">
        <f>SchoolLocationCoefficient!E39</f>
        <v>0.47967991030399998</v>
      </c>
      <c r="U31" s="60">
        <f t="shared" si="0"/>
        <v>0.47967991030399998</v>
      </c>
    </row>
    <row r="32" spans="1:21" x14ac:dyDescent="0.45">
      <c r="R32">
        <v>38</v>
      </c>
      <c r="S32" t="s">
        <v>101</v>
      </c>
      <c r="T32" s="59">
        <f>SchoolLocationCoefficient!E40</f>
        <v>-0.117361085083</v>
      </c>
      <c r="U32" s="60">
        <f t="shared" si="0"/>
        <v>-0.117361085083</v>
      </c>
    </row>
    <row r="33" spans="18:21" x14ac:dyDescent="0.4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-54.583609154500671</v>
      </c>
    </row>
    <row r="34" spans="18:21" x14ac:dyDescent="0.45">
      <c r="R34">
        <v>51</v>
      </c>
      <c r="S34" t="s">
        <v>104</v>
      </c>
      <c r="T34" s="59">
        <f>SchoolLocationCoefficient!E42</f>
        <v>17.602734273900001</v>
      </c>
      <c r="U34" s="60">
        <f t="shared" si="0"/>
        <v>17.602734273900001</v>
      </c>
    </row>
    <row r="35" spans="18:21" x14ac:dyDescent="0.45">
      <c r="R35">
        <v>52</v>
      </c>
      <c r="S35" t="s">
        <v>105</v>
      </c>
      <c r="T35" s="59">
        <f>SchoolLocationCoefficient!E43</f>
        <v>4.20952630757</v>
      </c>
      <c r="U35" s="60">
        <f t="shared" si="0"/>
        <v>4.20952630757</v>
      </c>
    </row>
    <row r="36" spans="18:21" x14ac:dyDescent="0.45">
      <c r="R36">
        <v>60</v>
      </c>
      <c r="S36" t="s">
        <v>106</v>
      </c>
      <c r="T36" s="59">
        <f>SchoolLocationCoefficient!E44</f>
        <v>0.20359321296800001</v>
      </c>
      <c r="U36" s="60">
        <f t="shared" si="0"/>
        <v>0.20359321296800001</v>
      </c>
    </row>
    <row r="37" spans="18:21" x14ac:dyDescent="0.45">
      <c r="R37">
        <v>61</v>
      </c>
      <c r="S37" t="s">
        <v>107</v>
      </c>
      <c r="T37" s="59">
        <f>SchoolLocationCoefficient!E45</f>
        <v>-3.7139025588600001</v>
      </c>
      <c r="U37" s="60">
        <f t="shared" si="0"/>
        <v>-3.7139025588600001</v>
      </c>
    </row>
    <row r="38" spans="18:21" x14ac:dyDescent="0.45">
      <c r="R38">
        <v>62</v>
      </c>
      <c r="S38" t="s">
        <v>108</v>
      </c>
      <c r="T38" s="59">
        <f>SchoolLocationCoefficient!E46</f>
        <v>-14.9292134206</v>
      </c>
      <c r="U38" s="60">
        <f t="shared" si="0"/>
        <v>-14.9292134206</v>
      </c>
    </row>
    <row r="39" spans="18:21" x14ac:dyDescent="0.45">
      <c r="R39">
        <v>63</v>
      </c>
      <c r="S39" t="s">
        <v>109</v>
      </c>
      <c r="T39" s="59">
        <f>SchoolLocationCoefficient!E47</f>
        <v>-18.363643827400001</v>
      </c>
      <c r="U39" s="60">
        <f t="shared" si="0"/>
        <v>-18.363643827400001</v>
      </c>
    </row>
    <row r="40" spans="18:21" x14ac:dyDescent="0.45">
      <c r="R40">
        <v>64</v>
      </c>
      <c r="S40" t="s">
        <v>110</v>
      </c>
      <c r="T40" s="59">
        <f>SchoolLocationCoefficient!E48</f>
        <v>-19.6107408341</v>
      </c>
      <c r="U40" s="60">
        <f t="shared" si="0"/>
        <v>-19.6107408341</v>
      </c>
    </row>
    <row r="41" spans="18:21" x14ac:dyDescent="0.45">
      <c r="R41">
        <v>65</v>
      </c>
      <c r="S41" t="s">
        <v>111</v>
      </c>
      <c r="T41" s="59">
        <f>SchoolLocationCoefficient!E49</f>
        <v>-29.386377866</v>
      </c>
      <c r="U41" s="60">
        <f t="shared" si="0"/>
        <v>-29.386377866</v>
      </c>
    </row>
    <row r="42" spans="18:21" x14ac:dyDescent="0.45">
      <c r="R42">
        <v>66</v>
      </c>
      <c r="S42" t="s">
        <v>112</v>
      </c>
      <c r="T42" s="59">
        <f>SchoolLocationCoefficient!E50</f>
        <v>0</v>
      </c>
      <c r="U42" s="60">
        <f t="shared" si="0"/>
        <v>0</v>
      </c>
    </row>
    <row r="43" spans="18:21" x14ac:dyDescent="0.45">
      <c r="R43">
        <v>67</v>
      </c>
      <c r="S43" t="s">
        <v>113</v>
      </c>
      <c r="T43" s="59">
        <f>SchoolLocationCoefficient!E51</f>
        <v>-6.7290240321499999</v>
      </c>
      <c r="U43" s="60">
        <f t="shared" si="0"/>
        <v>-6.7290240321499999</v>
      </c>
    </row>
    <row r="44" spans="18:21" x14ac:dyDescent="0.45">
      <c r="R44">
        <v>68</v>
      </c>
      <c r="S44" t="s">
        <v>114</v>
      </c>
      <c r="T44" s="59">
        <f>SchoolLocationCoefficient!E52</f>
        <v>-26.1597322567</v>
      </c>
      <c r="U44" s="60">
        <f t="shared" si="0"/>
        <v>-26.1597322567</v>
      </c>
    </row>
    <row r="45" spans="18:21" x14ac:dyDescent="0.45">
      <c r="R45">
        <v>69</v>
      </c>
      <c r="S45" t="s">
        <v>115</v>
      </c>
      <c r="T45" s="59">
        <f>SchoolLocationCoefficient!E53</f>
        <v>-0.14966845132199999</v>
      </c>
      <c r="U45" s="60">
        <f t="shared" si="0"/>
        <v>-0.14966845132199999</v>
      </c>
    </row>
    <row r="46" spans="18:21" x14ac:dyDescent="0.45">
      <c r="R46">
        <v>70</v>
      </c>
      <c r="S46" t="s">
        <v>116</v>
      </c>
      <c r="T46" s="59">
        <f>SchoolLocationCoefficient!E54</f>
        <v>-28.815960729</v>
      </c>
      <c r="U46" s="60">
        <f t="shared" si="0"/>
        <v>-28.815960729</v>
      </c>
    </row>
    <row r="47" spans="18:21" x14ac:dyDescent="0.45">
      <c r="R47">
        <v>71</v>
      </c>
      <c r="S47" t="s">
        <v>117</v>
      </c>
      <c r="T47" s="59">
        <f>SchoolLocationCoefficient!E55</f>
        <v>-38.204969650199999</v>
      </c>
      <c r="U47" s="60">
        <f t="shared" si="0"/>
        <v>-38.204969650199999</v>
      </c>
    </row>
    <row r="48" spans="18:21" x14ac:dyDescent="0.45">
      <c r="R48">
        <v>72</v>
      </c>
      <c r="S48" t="s">
        <v>118</v>
      </c>
      <c r="T48" s="59">
        <f>SchoolLocationCoefficient!E56</f>
        <v>0</v>
      </c>
      <c r="U48" s="60">
        <f t="shared" si="0"/>
        <v>0</v>
      </c>
    </row>
    <row r="49" spans="18:21" x14ac:dyDescent="0.45">
      <c r="R49">
        <v>73</v>
      </c>
      <c r="S49" t="s">
        <v>119</v>
      </c>
      <c r="T49" s="59">
        <f>SchoolLocationCoefficient!E57</f>
        <v>-0.78460574570499997</v>
      </c>
      <c r="U49" s="60">
        <f t="shared" si="0"/>
        <v>-0.78460574570499997</v>
      </c>
    </row>
    <row r="50" spans="18:21" x14ac:dyDescent="0.45">
      <c r="R50">
        <v>74</v>
      </c>
      <c r="S50" t="s">
        <v>120</v>
      </c>
      <c r="T50" s="59">
        <f>SchoolLocationCoefficient!E58</f>
        <v>-60</v>
      </c>
      <c r="U50" s="60">
        <f t="shared" si="0"/>
        <v>-60</v>
      </c>
    </row>
    <row r="51" spans="18:21" x14ac:dyDescent="0.45">
      <c r="R51">
        <v>75</v>
      </c>
      <c r="S51" t="s">
        <v>121</v>
      </c>
      <c r="T51" s="59">
        <f>SchoolLocationCoefficient!E59</f>
        <v>-40</v>
      </c>
      <c r="U51" s="60">
        <f t="shared" si="0"/>
        <v>-40</v>
      </c>
    </row>
    <row r="52" spans="18:21" x14ac:dyDescent="0.45">
      <c r="R52">
        <v>76</v>
      </c>
      <c r="S52" t="s">
        <v>122</v>
      </c>
      <c r="T52" s="59">
        <f>SchoolLocationCoefficient!E60</f>
        <v>-19.3366724551</v>
      </c>
      <c r="U52" s="60">
        <f t="shared" si="0"/>
        <v>-19.3366724551</v>
      </c>
    </row>
    <row r="53" spans="18:21" x14ac:dyDescent="0.45">
      <c r="R53">
        <v>77</v>
      </c>
      <c r="S53" t="s">
        <v>123</v>
      </c>
      <c r="T53" s="59">
        <f>SchoolLocationCoefficient!E61</f>
        <v>-29.8899113495</v>
      </c>
      <c r="U53" s="60">
        <f t="shared" si="0"/>
        <v>-29.8899113495</v>
      </c>
    </row>
    <row r="54" spans="18:21" x14ac:dyDescent="0.45">
      <c r="R54">
        <v>78</v>
      </c>
      <c r="S54" t="s">
        <v>124</v>
      </c>
      <c r="T54" s="59">
        <f>SchoolLocationCoefficient!E62</f>
        <v>0</v>
      </c>
      <c r="U54" s="60">
        <f t="shared" si="0"/>
        <v>0</v>
      </c>
    </row>
    <row r="55" spans="18:21" x14ac:dyDescent="0.45">
      <c r="R55">
        <v>79</v>
      </c>
      <c r="S55" t="s">
        <v>125</v>
      </c>
      <c r="T55" s="59">
        <f>SchoolLocationCoefficient!E63</f>
        <v>-4.6085602533700003</v>
      </c>
      <c r="U55" s="60">
        <f t="shared" si="0"/>
        <v>-4.6085602533700003</v>
      </c>
    </row>
    <row r="56" spans="18:21" x14ac:dyDescent="0.45">
      <c r="R56">
        <v>80</v>
      </c>
      <c r="S56" t="s">
        <v>126</v>
      </c>
      <c r="T56" s="59">
        <f>SchoolLocationCoefficient!E64</f>
        <v>-20</v>
      </c>
      <c r="U56" s="60">
        <f t="shared" si="0"/>
        <v>-20</v>
      </c>
    </row>
    <row r="57" spans="18:21" x14ac:dyDescent="0.45">
      <c r="R57">
        <v>81</v>
      </c>
      <c r="S57" t="s">
        <v>127</v>
      </c>
      <c r="T57" s="59">
        <f>SchoolLocationCoefficient!E65</f>
        <v>-16.8297323695</v>
      </c>
      <c r="U57" s="60">
        <f t="shared" si="0"/>
        <v>-16.8297323695</v>
      </c>
    </row>
    <row r="58" spans="18:21" x14ac:dyDescent="0.45">
      <c r="R58">
        <v>82</v>
      </c>
      <c r="S58" t="s">
        <v>128</v>
      </c>
      <c r="T58" s="59">
        <f>SchoolLocationCoefficient!E66</f>
        <v>-30</v>
      </c>
      <c r="U58" s="60">
        <f t="shared" si="0"/>
        <v>-30</v>
      </c>
    </row>
    <row r="59" spans="18:21" x14ac:dyDescent="0.45">
      <c r="R59">
        <v>83</v>
      </c>
      <c r="S59" t="s">
        <v>129</v>
      </c>
      <c r="T59" s="59">
        <f>SchoolLocationCoefficient!E67</f>
        <v>0</v>
      </c>
      <c r="U59" s="60">
        <f t="shared" si="0"/>
        <v>0</v>
      </c>
    </row>
    <row r="60" spans="18:21" x14ac:dyDescent="0.45">
      <c r="R60">
        <v>84</v>
      </c>
      <c r="S60" t="s">
        <v>130</v>
      </c>
      <c r="T60" s="59">
        <f>SchoolLocationCoefficient!E68</f>
        <v>-3.8243167264700002</v>
      </c>
      <c r="U60" s="60">
        <f t="shared" si="0"/>
        <v>-3.8243167264700002</v>
      </c>
    </row>
    <row r="61" spans="18:21" x14ac:dyDescent="0.45">
      <c r="R61">
        <v>98</v>
      </c>
      <c r="S61" t="s">
        <v>131</v>
      </c>
      <c r="T61" s="59">
        <f>SchoolLocationCoefficient!E69</f>
        <v>0</v>
      </c>
      <c r="U61" s="60">
        <f t="shared" si="0"/>
        <v>0</v>
      </c>
    </row>
    <row r="62" spans="18:21" x14ac:dyDescent="0.45">
      <c r="R62">
        <v>99</v>
      </c>
      <c r="S62" t="s">
        <v>132</v>
      </c>
      <c r="T62" s="59">
        <f>SchoolLocationCoefficient!E70</f>
        <v>0.11248071060500001</v>
      </c>
      <c r="U62" s="60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2022-01-21T23:36:43Z</dcterms:modified>
</cp:coreProperties>
</file>