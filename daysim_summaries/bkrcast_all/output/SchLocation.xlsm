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codeName="ThisWorkbook" defaultThemeVersion="124226"/>
  <mc:AlternateContent>
    <mc:Choice Requires="x15">
      <x15ac:absPath xmlns:x15ac="http://schemas.microsoft.com/office/spreadsheetml/2010/11/ac" url="D:\BKR0V1-1-newcap-newpop-S93-newdensity-shortwalkdist-coeff8-newadjfacs-nohomejobs-BSq_attractiveness\daysim_summaries\bkrcast_all\output\"/>
    </mc:Choice>
  </mc:AlternateContent>
  <xr:revisionPtr revIDLastSave="0" documentId="13_ncr:1_{63A9CD2F-8A5B-45C9-9D0E-7787B6C35412}" xr6:coauthVersionLast="41" xr6:coauthVersionMax="41" xr10:uidLastSave="{00000000-0000-0000-0000-000000000000}"/>
  <bookViews>
    <workbookView xWindow="12405" yWindow="2640" windowWidth="21600" windowHeight="11265" activeTab="3" xr2:uid="{00000000-000D-0000-FFFF-FFFF00000000}"/>
  </bookViews>
  <sheets>
    <sheet name="TLFD" sheetId="3" r:id="rId1"/>
    <sheet name="TDFD" sheetId="4" r:id="rId2"/>
    <sheet name="TDFD_Agg" sheetId="10" r:id="rId3"/>
    <sheet name="County_Flow" sheetId="1" r:id="rId4"/>
    <sheet name="SchoolAtHome" sheetId="12" r:id="rId5"/>
    <sheet name="Documentation" sheetId="7" r:id="rId6"/>
    <sheet name="CoeffDef" sheetId="13" r:id="rId7"/>
    <sheet name="SchoolLocationCoefficient" sheetId="14" r:id="rId8"/>
    <sheet name="Calibration" sheetId="15" r:id="rId9"/>
  </sheets>
  <definedNames>
    <definedName name="athm">SchoolAtHome!$I$7:$K$12</definedName>
    <definedName name="avgdist">TLFD!$O$11:$O$14</definedName>
    <definedName name="avgtime">TDFD!$O$11:$O$14</definedName>
    <definedName name="flows">County_Flow!$M$7:$O$9</definedName>
    <definedName name="out1">TLFD!$B$11:$D$101</definedName>
    <definedName name="out10">County_Flow!$M$7:$S$13</definedName>
    <definedName name="out11">SchoolAtHome!$B$18:$D$24</definedName>
    <definedName name="out12">SchoolAtHome!$I$18:$K$24</definedName>
    <definedName name="out13">SchoolAtHome!$B$7:$D$13</definedName>
    <definedName name="out14">SchoolAtHome!$I$7:$K$13</definedName>
    <definedName name="out2">TLFD!$H$11:$J$101</definedName>
    <definedName name="out3">TDFD!$B$11:$D$101</definedName>
    <definedName name="out4">TDFD!$H$11:$J$101</definedName>
    <definedName name="out5">TLFD!$N$11:$N$14</definedName>
    <definedName name="out6">TLFD!$O$11:$O$14</definedName>
    <definedName name="out7">TDFD!$N$11:$N$14</definedName>
    <definedName name="out8">TDFD!$O$11:$O$14</definedName>
    <definedName name="out9">County_Flow!$B$7:$H$13</definedName>
    <definedName name="Sch_dist">TLFD!$H$11:$J$101</definedName>
    <definedName name="Sch_time">TDFD!$H$11:$J$101</definedName>
    <definedName name="tot">SchoolAtHome!$I$18:$K$23</definedName>
    <definedName name="out_1">TLFD!$B$11:$D$101</definedName>
    <definedName name="out_3">TDFD!$B$11:$D$101</definedName>
    <definedName name="out_5">TLFD!$N$11:$N$14</definedName>
    <definedName name="out_7">TDFD!$N$11:$N$14</definedName>
    <definedName name="out_9">County_Flow!$B$7:$H$13</definedName>
    <definedName name="out_11">SchoolAtHome!$B$18:$D$24</definedName>
    <definedName name="out_13">SchoolAtHome!$B$7:$D$13</definedName>
    <definedName name="out_2">TLFD!$H$11:$J$101</definedName>
    <definedName name="out_4">TDFD!$H$11:$J$101</definedName>
    <definedName name="out_6">TLFD!$O$11:$O$14</definedName>
    <definedName name="out_8">TDFD!$O$11:$O$14</definedName>
    <definedName name="out_10">County_Flow!$M$7:$S$13</definedName>
    <definedName name="out_12">SchoolAtHome!$I$18:$K$24</definedName>
    <definedName name="out_14">SchoolAtHome!$I$7:$K$13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4" i="15" l="1"/>
  <c r="T5" i="15"/>
  <c r="T6" i="15"/>
  <c r="T7" i="15"/>
  <c r="T8" i="15"/>
  <c r="T9" i="15"/>
  <c r="T10" i="15"/>
  <c r="T11" i="15"/>
  <c r="T12" i="15"/>
  <c r="L8" i="15" s="1"/>
  <c r="T13" i="15"/>
  <c r="L9" i="15" s="1"/>
  <c r="T14" i="15"/>
  <c r="L10" i="15" s="1"/>
  <c r="T15" i="15"/>
  <c r="T16" i="15"/>
  <c r="T17" i="15"/>
  <c r="T18" i="15"/>
  <c r="T19" i="15"/>
  <c r="T20" i="15"/>
  <c r="T21" i="15"/>
  <c r="T22" i="15"/>
  <c r="T23" i="15"/>
  <c r="T24" i="15"/>
  <c r="T25" i="15"/>
  <c r="T26" i="15"/>
  <c r="T27" i="15"/>
  <c r="T28" i="15"/>
  <c r="T29" i="15"/>
  <c r="T30" i="15"/>
  <c r="T31" i="15"/>
  <c r="T32" i="15"/>
  <c r="T33" i="15"/>
  <c r="T34" i="15"/>
  <c r="T35" i="15"/>
  <c r="T36" i="15"/>
  <c r="T37" i="15"/>
  <c r="T38" i="15"/>
  <c r="T39" i="15"/>
  <c r="T40" i="15"/>
  <c r="T41" i="15"/>
  <c r="T42" i="15"/>
  <c r="T43" i="15"/>
  <c r="T44" i="15"/>
  <c r="T45" i="15"/>
  <c r="T46" i="15"/>
  <c r="T47" i="15"/>
  <c r="T48" i="15"/>
  <c r="T49" i="15"/>
  <c r="T50" i="15"/>
  <c r="T51" i="15"/>
  <c r="T52" i="15"/>
  <c r="T53" i="15"/>
  <c r="T54" i="15"/>
  <c r="T55" i="15"/>
  <c r="T56" i="15"/>
  <c r="T57" i="15"/>
  <c r="T58" i="15"/>
  <c r="T59" i="15"/>
  <c r="T60" i="15"/>
  <c r="T61" i="15"/>
  <c r="T62" i="15"/>
  <c r="T3" i="15"/>
  <c r="L17" i="15" l="1"/>
  <c r="U4" i="15" l="1"/>
  <c r="U5" i="15"/>
  <c r="U6" i="15"/>
  <c r="U7" i="15"/>
  <c r="U8" i="15"/>
  <c r="U9" i="15"/>
  <c r="U10" i="15"/>
  <c r="U11" i="15"/>
  <c r="U15" i="15"/>
  <c r="U16" i="15"/>
  <c r="U17" i="15"/>
  <c r="U18" i="15"/>
  <c r="U19" i="15"/>
  <c r="U20" i="15"/>
  <c r="U21" i="15"/>
  <c r="U22" i="15"/>
  <c r="U23" i="15"/>
  <c r="U24" i="15"/>
  <c r="U25" i="15"/>
  <c r="U26" i="15"/>
  <c r="U27" i="15"/>
  <c r="U28" i="15"/>
  <c r="U29" i="15"/>
  <c r="U30" i="15"/>
  <c r="U31" i="15"/>
  <c r="U32" i="15"/>
  <c r="U34" i="15"/>
  <c r="U35" i="15"/>
  <c r="U36" i="15"/>
  <c r="U37" i="15"/>
  <c r="U38" i="15"/>
  <c r="U39" i="15"/>
  <c r="U40" i="15"/>
  <c r="U41" i="15"/>
  <c r="U42" i="15"/>
  <c r="U43" i="15"/>
  <c r="U44" i="15"/>
  <c r="U45" i="15"/>
  <c r="U46" i="15"/>
  <c r="U47" i="15"/>
  <c r="U48" i="15"/>
  <c r="U49" i="15"/>
  <c r="U50" i="15"/>
  <c r="U51" i="15"/>
  <c r="U52" i="15"/>
  <c r="U53" i="15"/>
  <c r="U54" i="15"/>
  <c r="U55" i="15"/>
  <c r="U56" i="15"/>
  <c r="U57" i="15"/>
  <c r="U58" i="15"/>
  <c r="U59" i="15"/>
  <c r="U60" i="15"/>
  <c r="U61" i="15"/>
  <c r="U62" i="15"/>
  <c r="U3" i="15"/>
  <c r="C10" i="15"/>
  <c r="B10" i="15"/>
  <c r="C9" i="15"/>
  <c r="B9" i="15"/>
  <c r="C8" i="15"/>
  <c r="B8" i="15"/>
  <c r="C11" i="15" l="1"/>
  <c r="G10" i="15" s="1"/>
  <c r="B11" i="15"/>
  <c r="F9" i="15" s="1"/>
  <c r="C27" i="1"/>
  <c r="D27" i="1"/>
  <c r="E27" i="1"/>
  <c r="F27" i="1"/>
  <c r="G27" i="1"/>
  <c r="H27" i="1"/>
  <c r="I27" i="1"/>
  <c r="J27" i="1"/>
  <c r="B27" i="1"/>
  <c r="S15" i="1"/>
  <c r="F10" i="15" l="1"/>
  <c r="J10" i="15" s="1"/>
  <c r="F8" i="15"/>
  <c r="G8" i="15"/>
  <c r="G9" i="15"/>
  <c r="J9" i="15" s="1"/>
  <c r="L13" i="1"/>
  <c r="A26" i="1"/>
  <c r="A39" i="1"/>
  <c r="W39" i="1"/>
  <c r="L39" i="1"/>
  <c r="J8" i="15" l="1"/>
  <c r="F11" i="15"/>
  <c r="G11" i="15"/>
  <c r="O35" i="12"/>
  <c r="H35" i="12"/>
  <c r="A35" i="12"/>
  <c r="A24" i="12"/>
  <c r="H24" i="12"/>
  <c r="O24" i="12"/>
  <c r="O13" i="12"/>
  <c r="H13" i="12"/>
  <c r="AD32" i="1"/>
  <c r="S32" i="1"/>
  <c r="H32" i="1"/>
  <c r="H19" i="1"/>
  <c r="S6" i="1"/>
  <c r="H6" i="1"/>
  <c r="K8" i="15" l="1"/>
  <c r="M8" i="15" s="1"/>
  <c r="U12" i="15" s="1"/>
  <c r="K10" i="15"/>
  <c r="M10" i="15" s="1"/>
  <c r="U14" i="15" s="1"/>
  <c r="K9" i="15"/>
  <c r="M9" i="15" s="1"/>
  <c r="U13" i="15" s="1"/>
  <c r="D25" i="12"/>
  <c r="C25" i="12"/>
  <c r="B25" i="12"/>
  <c r="K25" i="12"/>
  <c r="J25" i="12"/>
  <c r="I25" i="12"/>
  <c r="J14" i="12"/>
  <c r="K14" i="12"/>
  <c r="I14" i="12"/>
  <c r="I36" i="12" l="1"/>
  <c r="J36" i="12"/>
  <c r="K36" i="12"/>
  <c r="P25" i="12"/>
  <c r="R25" i="12"/>
  <c r="Q25" i="12"/>
  <c r="AC45" i="1"/>
  <c r="AB45" i="1"/>
  <c r="AA45" i="1"/>
  <c r="Z45" i="1"/>
  <c r="Y45" i="1"/>
  <c r="X45" i="1"/>
  <c r="R45" i="1"/>
  <c r="Q45" i="1"/>
  <c r="P45" i="1"/>
  <c r="O45" i="1"/>
  <c r="N45" i="1"/>
  <c r="M45" i="1"/>
  <c r="G45" i="1"/>
  <c r="F45" i="1"/>
  <c r="E45" i="1"/>
  <c r="D45" i="1"/>
  <c r="C45" i="1"/>
  <c r="B45" i="1"/>
  <c r="AC32" i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51" i="1"/>
  <c r="W50" i="1"/>
  <c r="W49" i="1"/>
  <c r="W48" i="1"/>
  <c r="W47" i="1"/>
  <c r="W46" i="1"/>
  <c r="L51" i="1"/>
  <c r="L50" i="1"/>
  <c r="L49" i="1"/>
  <c r="L48" i="1"/>
  <c r="L47" i="1"/>
  <c r="L46" i="1"/>
  <c r="A51" i="1"/>
  <c r="A50" i="1"/>
  <c r="A49" i="1"/>
  <c r="A48" i="1"/>
  <c r="A47" i="1"/>
  <c r="A4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A25" i="1"/>
  <c r="A24" i="1"/>
  <c r="A23" i="1"/>
  <c r="A22" i="1"/>
  <c r="A21" i="1"/>
  <c r="A20" i="1"/>
  <c r="L12" i="1"/>
  <c r="L11" i="1"/>
  <c r="L10" i="1"/>
  <c r="L9" i="1"/>
  <c r="L8" i="1"/>
  <c r="L7" i="1"/>
  <c r="O34" i="12"/>
  <c r="O33" i="12"/>
  <c r="O32" i="12"/>
  <c r="O31" i="12"/>
  <c r="O30" i="12"/>
  <c r="O29" i="12"/>
  <c r="H34" i="12"/>
  <c r="H33" i="12"/>
  <c r="H32" i="12"/>
  <c r="H31" i="12"/>
  <c r="H30" i="12"/>
  <c r="H29" i="12"/>
  <c r="A34" i="12"/>
  <c r="A33" i="12"/>
  <c r="A32" i="12"/>
  <c r="A31" i="12"/>
  <c r="A30" i="12"/>
  <c r="A29" i="12"/>
  <c r="O23" i="12"/>
  <c r="O22" i="12"/>
  <c r="O21" i="12"/>
  <c r="O20" i="12"/>
  <c r="O19" i="12"/>
  <c r="O18" i="12"/>
  <c r="H23" i="12"/>
  <c r="H22" i="12"/>
  <c r="H21" i="12"/>
  <c r="H20" i="12"/>
  <c r="H19" i="12"/>
  <c r="H18" i="12"/>
  <c r="A23" i="12"/>
  <c r="A22" i="12"/>
  <c r="A21" i="12"/>
  <c r="A20" i="12"/>
  <c r="A19" i="12"/>
  <c r="A18" i="12"/>
  <c r="O12" i="12"/>
  <c r="O11" i="12"/>
  <c r="O10" i="12"/>
  <c r="O9" i="12"/>
  <c r="O8" i="12"/>
  <c r="O7" i="12"/>
  <c r="H12" i="12"/>
  <c r="H11" i="12"/>
  <c r="H10" i="12"/>
  <c r="H9" i="12"/>
  <c r="H8" i="12"/>
  <c r="H7" i="12"/>
  <c r="P15" i="1" l="1"/>
  <c r="Q15" i="1"/>
  <c r="R15" i="1"/>
  <c r="E15" i="1"/>
  <c r="F15" i="1"/>
  <c r="G15" i="1"/>
  <c r="L20" i="12" l="1"/>
  <c r="L21" i="12"/>
  <c r="L22" i="12"/>
  <c r="L9" i="12"/>
  <c r="L10" i="12"/>
  <c r="L11" i="12"/>
  <c r="E20" i="12"/>
  <c r="E21" i="12"/>
  <c r="E22" i="12"/>
  <c r="E9" i="12"/>
  <c r="E10" i="12"/>
  <c r="E11" i="12"/>
  <c r="B30" i="12" l="1"/>
  <c r="C30" i="12"/>
  <c r="D30" i="12"/>
  <c r="B31" i="12"/>
  <c r="C31" i="12"/>
  <c r="D31" i="12"/>
  <c r="E31" i="12"/>
  <c r="B32" i="12"/>
  <c r="C32" i="12"/>
  <c r="D32" i="12"/>
  <c r="E32" i="12"/>
  <c r="B33" i="12"/>
  <c r="C33" i="12"/>
  <c r="D33" i="12"/>
  <c r="E33" i="12"/>
  <c r="I31" i="12"/>
  <c r="P31" i="12" s="1"/>
  <c r="J31" i="12"/>
  <c r="Q31" i="12" s="1"/>
  <c r="K31" i="12"/>
  <c r="R31" i="12" s="1"/>
  <c r="L31" i="12"/>
  <c r="S31" i="12" s="1"/>
  <c r="I32" i="12"/>
  <c r="J32" i="12"/>
  <c r="Q32" i="12" s="1"/>
  <c r="K32" i="12"/>
  <c r="R32" i="12" s="1"/>
  <c r="L32" i="12"/>
  <c r="I33" i="12"/>
  <c r="P33" i="12" s="1"/>
  <c r="J33" i="12"/>
  <c r="K33" i="12"/>
  <c r="L33" i="12"/>
  <c r="P20" i="12"/>
  <c r="Q20" i="12"/>
  <c r="R20" i="12"/>
  <c r="S20" i="12"/>
  <c r="P21" i="12"/>
  <c r="Q21" i="12"/>
  <c r="R21" i="12"/>
  <c r="S21" i="12"/>
  <c r="P22" i="12"/>
  <c r="Q22" i="12"/>
  <c r="R22" i="12"/>
  <c r="S22" i="12"/>
  <c r="P9" i="12"/>
  <c r="Q9" i="12"/>
  <c r="R9" i="12"/>
  <c r="S9" i="12"/>
  <c r="P10" i="12"/>
  <c r="Q10" i="12"/>
  <c r="R10" i="12"/>
  <c r="S10" i="12"/>
  <c r="P11" i="12"/>
  <c r="Q11" i="12"/>
  <c r="R11" i="12"/>
  <c r="S11" i="12"/>
  <c r="U10" i="1"/>
  <c r="U11" i="1"/>
  <c r="U12" i="1"/>
  <c r="U13" i="1"/>
  <c r="J8" i="1"/>
  <c r="J9" i="1"/>
  <c r="J10" i="1"/>
  <c r="J11" i="1"/>
  <c r="J12" i="1"/>
  <c r="H24" i="1" l="1"/>
  <c r="H23" i="1"/>
  <c r="H25" i="1"/>
  <c r="Q33" i="12"/>
  <c r="C24" i="1"/>
  <c r="S32" i="12"/>
  <c r="J24" i="1"/>
  <c r="I24" i="1"/>
  <c r="R33" i="12"/>
  <c r="P32" i="12"/>
  <c r="B24" i="1"/>
  <c r="B23" i="1"/>
  <c r="G24" i="1"/>
  <c r="F24" i="1"/>
  <c r="E24" i="1"/>
  <c r="D24" i="1"/>
  <c r="F23" i="1"/>
  <c r="J23" i="1"/>
  <c r="I23" i="1"/>
  <c r="G23" i="1"/>
  <c r="C23" i="1"/>
  <c r="J25" i="1"/>
  <c r="I25" i="1"/>
  <c r="G25" i="1"/>
  <c r="D25" i="1"/>
  <c r="C25" i="1"/>
  <c r="B25" i="1"/>
  <c r="F25" i="1"/>
  <c r="E25" i="1"/>
  <c r="S33" i="12"/>
  <c r="E23" i="1"/>
  <c r="D23" i="1"/>
  <c r="E23" i="12"/>
  <c r="E19" i="12"/>
  <c r="E18" i="12"/>
  <c r="R23" i="12"/>
  <c r="Q23" i="12"/>
  <c r="P23" i="12"/>
  <c r="R19" i="12"/>
  <c r="Q19" i="12"/>
  <c r="P19" i="12"/>
  <c r="R18" i="12"/>
  <c r="Q18" i="12"/>
  <c r="P18" i="12"/>
  <c r="L23" i="12"/>
  <c r="L19" i="12"/>
  <c r="L18" i="12"/>
  <c r="L7" i="12"/>
  <c r="L8" i="12"/>
  <c r="L12" i="12"/>
  <c r="T15" i="1"/>
  <c r="O15" i="1"/>
  <c r="N15" i="1"/>
  <c r="M15" i="1"/>
  <c r="I15" i="1"/>
  <c r="D15" i="1"/>
  <c r="C15" i="1"/>
  <c r="B15" i="1"/>
  <c r="J13" i="1"/>
  <c r="B26" i="1" s="1"/>
  <c r="U9" i="1"/>
  <c r="H22" i="1" s="1"/>
  <c r="U8" i="1"/>
  <c r="H21" i="1" s="1"/>
  <c r="U7" i="1"/>
  <c r="J7" i="1"/>
  <c r="I26" i="1" l="1"/>
  <c r="G26" i="1"/>
  <c r="E26" i="1"/>
  <c r="D26" i="1"/>
  <c r="C26" i="1"/>
  <c r="H26" i="1"/>
  <c r="F26" i="1"/>
  <c r="H20" i="1"/>
  <c r="J26" i="1"/>
  <c r="C22" i="1"/>
  <c r="D22" i="1"/>
  <c r="E22" i="1"/>
  <c r="G22" i="1"/>
  <c r="I22" i="1"/>
  <c r="B22" i="1"/>
  <c r="F22" i="1"/>
  <c r="J22" i="1"/>
  <c r="D20" i="1"/>
  <c r="G20" i="1"/>
  <c r="E20" i="1"/>
  <c r="C20" i="1"/>
  <c r="F20" i="1"/>
  <c r="E21" i="1"/>
  <c r="F21" i="1"/>
  <c r="B21" i="1"/>
  <c r="C21" i="1"/>
  <c r="D21" i="1"/>
  <c r="G21" i="1"/>
  <c r="I21" i="1"/>
  <c r="J21" i="1"/>
  <c r="S18" i="12"/>
  <c r="E24" i="12"/>
  <c r="E25" i="12" s="1"/>
  <c r="B18" i="15" s="1"/>
  <c r="F18" i="15" s="1"/>
  <c r="P24" i="12"/>
  <c r="S19" i="12"/>
  <c r="Q24" i="12"/>
  <c r="S23" i="12"/>
  <c r="R24" i="12"/>
  <c r="L13" i="12"/>
  <c r="L14" i="12" s="1"/>
  <c r="C17" i="15" s="1"/>
  <c r="L24" i="12"/>
  <c r="L25" i="12" s="1"/>
  <c r="C18" i="15" s="1"/>
  <c r="G18" i="15" s="1"/>
  <c r="U15" i="1"/>
  <c r="J15" i="1"/>
  <c r="J20" i="1"/>
  <c r="B20" i="1"/>
  <c r="I20" i="1"/>
  <c r="Q39" i="1" l="1"/>
  <c r="S33" i="1"/>
  <c r="N39" i="1"/>
  <c r="P39" i="1"/>
  <c r="R39" i="1"/>
  <c r="S37" i="1"/>
  <c r="S36" i="1"/>
  <c r="S39" i="1"/>
  <c r="S35" i="1"/>
  <c r="S38" i="1"/>
  <c r="M39" i="1"/>
  <c r="O39" i="1"/>
  <c r="S34" i="1"/>
  <c r="G39" i="1"/>
  <c r="G17" i="15"/>
  <c r="H28" i="1"/>
  <c r="T40" i="1"/>
  <c r="N40" i="1"/>
  <c r="Q40" i="1"/>
  <c r="U40" i="1"/>
  <c r="T39" i="1"/>
  <c r="P40" i="1"/>
  <c r="M40" i="1"/>
  <c r="R40" i="1"/>
  <c r="O40" i="1"/>
  <c r="S40" i="1"/>
  <c r="S41" i="1"/>
  <c r="U39" i="1"/>
  <c r="L36" i="12"/>
  <c r="S25" i="12"/>
  <c r="R34" i="1"/>
  <c r="P35" i="1"/>
  <c r="M36" i="1"/>
  <c r="N36" i="1"/>
  <c r="P36" i="1"/>
  <c r="Q41" i="1"/>
  <c r="P37" i="1"/>
  <c r="Q38" i="1"/>
  <c r="I28" i="1"/>
  <c r="T36" i="1"/>
  <c r="R41" i="1"/>
  <c r="P33" i="1"/>
  <c r="R38" i="1"/>
  <c r="T38" i="1"/>
  <c r="Q33" i="1"/>
  <c r="M38" i="1"/>
  <c r="E28" i="1"/>
  <c r="P38" i="1"/>
  <c r="R33" i="1"/>
  <c r="P34" i="1"/>
  <c r="Q34" i="1"/>
  <c r="Q35" i="1"/>
  <c r="R35" i="1"/>
  <c r="O36" i="1"/>
  <c r="Q36" i="1"/>
  <c r="R36" i="1"/>
  <c r="M37" i="1"/>
  <c r="N37" i="1"/>
  <c r="Q37" i="1"/>
  <c r="P41" i="1"/>
  <c r="O37" i="1"/>
  <c r="R37" i="1"/>
  <c r="T37" i="1"/>
  <c r="C28" i="1"/>
  <c r="U37" i="1"/>
  <c r="D28" i="1"/>
  <c r="N38" i="1"/>
  <c r="F28" i="1"/>
  <c r="O38" i="1"/>
  <c r="G28" i="1"/>
  <c r="U38" i="1"/>
  <c r="U36" i="1"/>
  <c r="S24" i="12"/>
  <c r="N33" i="1"/>
  <c r="T34" i="1"/>
  <c r="M34" i="1"/>
  <c r="M33" i="1"/>
  <c r="U35" i="1"/>
  <c r="M35" i="1"/>
  <c r="U34" i="1"/>
  <c r="J28" i="1"/>
  <c r="H33" i="1" s="1"/>
  <c r="T35" i="1"/>
  <c r="N35" i="1"/>
  <c r="N41" i="1"/>
  <c r="O35" i="1"/>
  <c r="T33" i="1"/>
  <c r="U33" i="1"/>
  <c r="N34" i="1"/>
  <c r="M41" i="1"/>
  <c r="O33" i="1"/>
  <c r="U41" i="1"/>
  <c r="O34" i="1"/>
  <c r="O41" i="1"/>
  <c r="T41" i="1"/>
  <c r="B28" i="1"/>
  <c r="D39" i="1" l="1"/>
  <c r="Z39" i="1" s="1"/>
  <c r="E39" i="1"/>
  <c r="C39" i="1"/>
  <c r="I39" i="1"/>
  <c r="H39" i="1"/>
  <c r="AD39" i="1" s="1"/>
  <c r="AC39" i="1"/>
  <c r="B39" i="1"/>
  <c r="X39" i="1" s="1"/>
  <c r="H38" i="1"/>
  <c r="AD38" i="1" s="1"/>
  <c r="H35" i="1"/>
  <c r="AD35" i="1" s="1"/>
  <c r="H37" i="1"/>
  <c r="AD37" i="1" s="1"/>
  <c r="H34" i="1"/>
  <c r="AD34" i="1" s="1"/>
  <c r="H36" i="1"/>
  <c r="AD36" i="1" s="1"/>
  <c r="AA39" i="1"/>
  <c r="Y39" i="1"/>
  <c r="AD33" i="1"/>
  <c r="F39" i="1"/>
  <c r="AB39" i="1" s="1"/>
  <c r="F35" i="1"/>
  <c r="AB35" i="1" s="1"/>
  <c r="H40" i="1"/>
  <c r="AD40" i="1" s="1"/>
  <c r="J39" i="1"/>
  <c r="AF39" i="1" s="1"/>
  <c r="H41" i="1"/>
  <c r="AD41" i="1" s="1"/>
  <c r="AE39" i="1"/>
  <c r="G35" i="1"/>
  <c r="AC35" i="1" s="1"/>
  <c r="G41" i="1"/>
  <c r="AC41" i="1" s="1"/>
  <c r="F40" i="1"/>
  <c r="AB40" i="1" s="1"/>
  <c r="E35" i="1"/>
  <c r="AA35" i="1" s="1"/>
  <c r="E41" i="1"/>
  <c r="AA41" i="1" s="1"/>
  <c r="E34" i="1"/>
  <c r="AA34" i="1" s="1"/>
  <c r="F41" i="1"/>
  <c r="AB41" i="1" s="1"/>
  <c r="F34" i="1"/>
  <c r="AB34" i="1" s="1"/>
  <c r="G33" i="1"/>
  <c r="AC33" i="1" s="1"/>
  <c r="B37" i="1"/>
  <c r="X37" i="1" s="1"/>
  <c r="B36" i="1"/>
  <c r="X36" i="1" s="1"/>
  <c r="I37" i="1"/>
  <c r="AE37" i="1" s="1"/>
  <c r="C37" i="1"/>
  <c r="Y37" i="1" s="1"/>
  <c r="J37" i="1"/>
  <c r="AF37" i="1" s="1"/>
  <c r="F38" i="1"/>
  <c r="AB38" i="1" s="1"/>
  <c r="F36" i="1"/>
  <c r="AB36" i="1" s="1"/>
  <c r="D37" i="1"/>
  <c r="Z37" i="1" s="1"/>
  <c r="E40" i="1"/>
  <c r="AA40" i="1" s="1"/>
  <c r="E36" i="1"/>
  <c r="AA36" i="1" s="1"/>
  <c r="I36" i="1"/>
  <c r="AE36" i="1" s="1"/>
  <c r="G36" i="1"/>
  <c r="AC36" i="1" s="1"/>
  <c r="J38" i="1"/>
  <c r="AF38" i="1" s="1"/>
  <c r="G40" i="1"/>
  <c r="AC40" i="1" s="1"/>
  <c r="C38" i="1"/>
  <c r="Y38" i="1" s="1"/>
  <c r="J36" i="1"/>
  <c r="AF36" i="1" s="1"/>
  <c r="I38" i="1"/>
  <c r="AE38" i="1" s="1"/>
  <c r="G37" i="1"/>
  <c r="AC37" i="1" s="1"/>
  <c r="F37" i="1"/>
  <c r="AB37" i="1" s="1"/>
  <c r="D36" i="1"/>
  <c r="Z36" i="1" s="1"/>
  <c r="E38" i="1"/>
  <c r="AA38" i="1" s="1"/>
  <c r="D38" i="1"/>
  <c r="Z38" i="1" s="1"/>
  <c r="G38" i="1"/>
  <c r="AC38" i="1" s="1"/>
  <c r="C36" i="1"/>
  <c r="Y36" i="1" s="1"/>
  <c r="E37" i="1"/>
  <c r="AA37" i="1" s="1"/>
  <c r="B38" i="1"/>
  <c r="X38" i="1" s="1"/>
  <c r="G34" i="1"/>
  <c r="AC34" i="1" s="1"/>
  <c r="F33" i="1"/>
  <c r="AB33" i="1" s="1"/>
  <c r="E33" i="1"/>
  <c r="AA33" i="1" s="1"/>
  <c r="D33" i="1"/>
  <c r="Z33" i="1" s="1"/>
  <c r="C33" i="1"/>
  <c r="Y33" i="1" s="1"/>
  <c r="D40" i="1"/>
  <c r="Z40" i="1" s="1"/>
  <c r="D35" i="1"/>
  <c r="Z35" i="1" s="1"/>
  <c r="J40" i="1"/>
  <c r="AF40" i="1" s="1"/>
  <c r="D41" i="1"/>
  <c r="Z41" i="1" s="1"/>
  <c r="B34" i="1"/>
  <c r="X34" i="1" s="1"/>
  <c r="I34" i="1"/>
  <c r="AE34" i="1" s="1"/>
  <c r="I35" i="1"/>
  <c r="AE35" i="1" s="1"/>
  <c r="C34" i="1"/>
  <c r="Y34" i="1" s="1"/>
  <c r="I41" i="1"/>
  <c r="AE41" i="1" s="1"/>
  <c r="B41" i="1"/>
  <c r="X41" i="1" s="1"/>
  <c r="C40" i="1"/>
  <c r="Y40" i="1" s="1"/>
  <c r="I40" i="1"/>
  <c r="AE40" i="1" s="1"/>
  <c r="J33" i="1"/>
  <c r="AF33" i="1" s="1"/>
  <c r="B33" i="1"/>
  <c r="X33" i="1" s="1"/>
  <c r="J34" i="1"/>
  <c r="AF34" i="1" s="1"/>
  <c r="B35" i="1"/>
  <c r="X35" i="1" s="1"/>
  <c r="J35" i="1"/>
  <c r="AF35" i="1" s="1"/>
  <c r="B40" i="1"/>
  <c r="X40" i="1" s="1"/>
  <c r="D34" i="1"/>
  <c r="Z34" i="1" s="1"/>
  <c r="I33" i="1"/>
  <c r="AE33" i="1" s="1"/>
  <c r="C35" i="1"/>
  <c r="Y35" i="1" s="1"/>
  <c r="J41" i="1"/>
  <c r="AF41" i="1" s="1"/>
  <c r="C41" i="1"/>
  <c r="Y41" i="1" s="1"/>
  <c r="R12" i="12"/>
  <c r="Q12" i="12"/>
  <c r="P12" i="12"/>
  <c r="R8" i="12"/>
  <c r="Q8" i="12"/>
  <c r="P8" i="12"/>
  <c r="R7" i="12"/>
  <c r="Q7" i="12"/>
  <c r="P7" i="12"/>
  <c r="K34" i="12" l="1"/>
  <c r="J34" i="12"/>
  <c r="I34" i="12"/>
  <c r="D34" i="12"/>
  <c r="C34" i="12"/>
  <c r="B34" i="12"/>
  <c r="K30" i="12"/>
  <c r="J30" i="12"/>
  <c r="I30" i="12"/>
  <c r="K29" i="12"/>
  <c r="J29" i="12"/>
  <c r="I29" i="12"/>
  <c r="D29" i="12"/>
  <c r="C29" i="12"/>
  <c r="B29" i="12"/>
  <c r="E12" i="12"/>
  <c r="S12" i="12" s="1"/>
  <c r="E8" i="12"/>
  <c r="E7" i="12"/>
  <c r="S7" i="12" s="1"/>
  <c r="J22" i="10"/>
  <c r="J21" i="10"/>
  <c r="J20" i="10"/>
  <c r="J19" i="10"/>
  <c r="J18" i="10"/>
  <c r="J17" i="10"/>
  <c r="J16" i="10"/>
  <c r="J15" i="10"/>
  <c r="J14" i="10"/>
  <c r="J13" i="10"/>
  <c r="J12" i="10"/>
  <c r="I11" i="10"/>
  <c r="J11" i="10"/>
  <c r="K11" i="10"/>
  <c r="B22" i="10"/>
  <c r="C22" i="10"/>
  <c r="D22" i="10"/>
  <c r="B21" i="10"/>
  <c r="C21" i="10"/>
  <c r="D21" i="10"/>
  <c r="B20" i="10"/>
  <c r="C20" i="10"/>
  <c r="D20" i="10"/>
  <c r="B19" i="10"/>
  <c r="C19" i="10"/>
  <c r="D19" i="10"/>
  <c r="B18" i="10"/>
  <c r="C18" i="10"/>
  <c r="D18" i="10"/>
  <c r="B17" i="10"/>
  <c r="C17" i="10"/>
  <c r="D17" i="10"/>
  <c r="B16" i="10"/>
  <c r="C16" i="10"/>
  <c r="D16" i="10"/>
  <c r="B15" i="10"/>
  <c r="C15" i="10"/>
  <c r="D15" i="10"/>
  <c r="B14" i="10"/>
  <c r="C14" i="10"/>
  <c r="D14" i="10"/>
  <c r="B13" i="10"/>
  <c r="C13" i="10"/>
  <c r="D13" i="10"/>
  <c r="B12" i="10"/>
  <c r="C12" i="10"/>
  <c r="D12" i="10"/>
  <c r="B11" i="10"/>
  <c r="C11" i="10"/>
  <c r="D11" i="10"/>
  <c r="E92" i="3"/>
  <c r="E93" i="3"/>
  <c r="E94" i="3"/>
  <c r="E95" i="3"/>
  <c r="E96" i="3"/>
  <c r="E97" i="3"/>
  <c r="E98" i="3"/>
  <c r="E99" i="3"/>
  <c r="E100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12" i="3"/>
  <c r="E13" i="3"/>
  <c r="E14" i="3"/>
  <c r="E15" i="3"/>
  <c r="E16" i="3"/>
  <c r="E17" i="3"/>
  <c r="E18" i="3"/>
  <c r="E19" i="3"/>
  <c r="E20" i="3"/>
  <c r="E21" i="3"/>
  <c r="E22" i="3"/>
  <c r="E11" i="3"/>
  <c r="P13" i="12" l="1"/>
  <c r="B14" i="12"/>
  <c r="Q13" i="12"/>
  <c r="C14" i="12"/>
  <c r="R13" i="12"/>
  <c r="D14" i="12"/>
  <c r="S8" i="12"/>
  <c r="E30" i="12"/>
  <c r="P29" i="12"/>
  <c r="R30" i="12"/>
  <c r="R34" i="12"/>
  <c r="Q30" i="12"/>
  <c r="Q34" i="12"/>
  <c r="Q29" i="12"/>
  <c r="R29" i="12"/>
  <c r="P30" i="12"/>
  <c r="P34" i="12"/>
  <c r="I35" i="12"/>
  <c r="L30" i="12"/>
  <c r="L34" i="12"/>
  <c r="D35" i="12"/>
  <c r="K35" i="12"/>
  <c r="E34" i="12"/>
  <c r="C35" i="12"/>
  <c r="J35" i="12"/>
  <c r="L29" i="12"/>
  <c r="B35" i="12"/>
  <c r="E13" i="12"/>
  <c r="E29" i="12"/>
  <c r="L35" i="12"/>
  <c r="D36" i="12" l="1"/>
  <c r="R36" i="12" s="1"/>
  <c r="R14" i="12"/>
  <c r="Q14" i="12"/>
  <c r="C36" i="12"/>
  <c r="Q36" i="12" s="1"/>
  <c r="B36" i="12"/>
  <c r="P36" i="12" s="1"/>
  <c r="P14" i="12"/>
  <c r="S13" i="12"/>
  <c r="E14" i="12"/>
  <c r="B17" i="15" s="1"/>
  <c r="F17" i="15" s="1"/>
  <c r="J17" i="15" s="1"/>
  <c r="K17" i="15" s="1"/>
  <c r="M17" i="15" s="1"/>
  <c r="U33" i="15" s="1"/>
  <c r="Q35" i="12"/>
  <c r="R35" i="12"/>
  <c r="P35" i="12"/>
  <c r="S29" i="12"/>
  <c r="S30" i="12"/>
  <c r="S34" i="12"/>
  <c r="E35" i="12"/>
  <c r="S35" i="12" s="1"/>
  <c r="K11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K65" i="4"/>
  <c r="K64" i="4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0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1" i="3"/>
  <c r="S14" i="12" l="1"/>
  <c r="E36" i="12"/>
  <c r="S36" i="12" s="1"/>
  <c r="L11" i="10"/>
  <c r="I22" i="10" l="1"/>
  <c r="K22" i="10"/>
  <c r="I21" i="10"/>
  <c r="K21" i="10"/>
  <c r="I20" i="10"/>
  <c r="K20" i="10"/>
  <c r="I19" i="10"/>
  <c r="K19" i="10"/>
  <c r="I18" i="10"/>
  <c r="K18" i="10"/>
  <c r="I17" i="10"/>
  <c r="K17" i="10"/>
  <c r="I16" i="10"/>
  <c r="K16" i="10"/>
  <c r="I15" i="10"/>
  <c r="K15" i="10"/>
  <c r="I14" i="10"/>
  <c r="K14" i="10"/>
  <c r="I13" i="10"/>
  <c r="K13" i="10"/>
  <c r="I12" i="10"/>
  <c r="K12" i="10"/>
  <c r="L22" i="10"/>
  <c r="L15" i="10" l="1"/>
  <c r="L21" i="10"/>
  <c r="L19" i="10"/>
  <c r="L20" i="10"/>
  <c r="L17" i="10"/>
  <c r="L16" i="10"/>
  <c r="L13" i="10"/>
  <c r="L12" i="10"/>
  <c r="L18" i="10"/>
  <c r="L14" i="10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22" i="10" s="1"/>
  <c r="E11" i="4"/>
  <c r="E101" i="3"/>
  <c r="E11" i="10" l="1"/>
  <c r="E20" i="10"/>
  <c r="E21" i="10"/>
  <c r="E19" i="10"/>
  <c r="E15" i="10"/>
  <c r="E16" i="10"/>
  <c r="E12" i="10"/>
  <c r="E17" i="10"/>
  <c r="E13" i="10"/>
  <c r="E18" i="10"/>
  <c r="E14" i="10"/>
</calcChain>
</file>

<file path=xl/sharedStrings.xml><?xml version="1.0" encoding="utf-8"?>
<sst xmlns="http://schemas.openxmlformats.org/spreadsheetml/2006/main" count="673" uniqueCount="260">
  <si>
    <t>Trip Duration Frequency Distribution</t>
  </si>
  <si>
    <t>Trip Length Frequency Distribution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</si>
  <si>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</si>
  <si>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</si>
  <si>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</si>
  <si>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</si>
  <si>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</si>
  <si>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</si>
  <si>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</si>
  <si>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</si>
  <si>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</si>
  <si>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</si>
  <si>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</si>
  <si>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Time (min)</t>
  </si>
  <si>
    <t>Aggregate Trip Duration Frequency Distribution</t>
  </si>
  <si>
    <t>Less than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</si>
  <si>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</si>
  <si>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</si>
  <si>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</si>
  <si>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</si>
  <si>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</si>
  <si>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</si>
  <si>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</si>
  <si>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</si>
  <si>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59</t>
  </si>
  <si>
    <t>60 to 89</t>
  </si>
  <si>
    <t>90 or more</t>
  </si>
  <si>
    <t>County-level School Flows</t>
  </si>
  <si>
    <t>Table X. Estimated Student Flows by County</t>
  </si>
  <si>
    <t>County-level Work at Home Shares</t>
  </si>
  <si>
    <t>A person is assumed to work from home if the HH coordinates are exactly the same as the usual workplace coordinates</t>
  </si>
  <si>
    <t>Table X. Estimated Counts by County</t>
  </si>
  <si>
    <t>Table X. Estimated School at Home Counts by County</t>
  </si>
  <si>
    <t>Table X. Estimated School at Home Shares by County</t>
  </si>
  <si>
    <t>Table X. Average Trip Length</t>
  </si>
  <si>
    <t>DaySim</t>
  </si>
  <si>
    <t>Table X. Average Trip Duration</t>
  </si>
  <si>
    <t>Table X. Estimated-Observed Student Flows by County</t>
  </si>
  <si>
    <t>ESTIMATED STUDENT FLOWS</t>
  </si>
  <si>
    <t>EST-OBS STUDENT FLOWS</t>
  </si>
  <si>
    <t>AVG TRIP LENGTH</t>
  </si>
  <si>
    <t>Ch515</t>
  </si>
  <si>
    <t>Stu16</t>
  </si>
  <si>
    <t>Unistu</t>
  </si>
  <si>
    <t>NHTS Preparation</t>
  </si>
  <si>
    <t>Steps for generating distributions of commute time and distance</t>
  </si>
  <si>
    <t>AM Auto skims (time and distance) were merged into person file using origin (HH) and destination (school) TAZ ids</t>
  </si>
  <si>
    <t>In NHTS data, persons whose home coordinates matched their usual school coordinates were filtered out since this would mean they study at home</t>
  </si>
  <si>
    <t>In case of DaySim, home and school parcel IDs were matched to filter out school at home cases</t>
  </si>
  <si>
    <t>Distributions of HH TAZ -to- School TAZ distance and time were then derived from the population</t>
  </si>
  <si>
    <t>In NHTS, PPTYP was used to determine the class of student whereas in DaySim, PERSTYPE was used</t>
  </si>
  <si>
    <t>Ch04</t>
  </si>
  <si>
    <t>UniStu</t>
  </si>
  <si>
    <t>5-15 yrs</t>
  </si>
  <si>
    <t>0-4 yrs</t>
  </si>
  <si>
    <t>16+ yrs</t>
  </si>
  <si>
    <t>University and adult students</t>
  </si>
  <si>
    <t>PPTYP = 8</t>
  </si>
  <si>
    <t>PPTYP = 7</t>
  </si>
  <si>
    <t>PPTYP = 6</t>
  </si>
  <si>
    <t>PPTYP &gt;= 1 and PPTYP &lt;= 5</t>
  </si>
  <si>
    <t>Steps for generating county student flows</t>
  </si>
  <si>
    <t>Home and school county codes were merged using a correspondence between TAZs and counties</t>
  </si>
  <si>
    <t>A crosstabulation of home and school counties created the student flow table</t>
  </si>
  <si>
    <t>Steps for generating school at home shares</t>
  </si>
  <si>
    <t>All persons for whom a non-zero usual school location (coordinates/TAZ for NHTS and DaySim respectively) existed were designated as the pool of students</t>
  </si>
  <si>
    <t>Within those, persons with same home and school coordinates/parcels (for NHTS and DaySim respectively) were assumed to be studying at home</t>
  </si>
  <si>
    <t>The shares were calculated as the ratio of the values in steps 2 and 1 and were segmented by county and the four student types</t>
  </si>
  <si>
    <t>Table X. Difference School at Home Counts by County</t>
  </si>
  <si>
    <t>Table X. Difference Counts by County</t>
  </si>
  <si>
    <t>Table X. Difference School at Home Shares by County</t>
  </si>
  <si>
    <t>Beta00001</t>
  </si>
  <si>
    <t>T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</si>
  <si>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</si>
  <si>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</si>
  <si>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</si>
  <si>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</si>
  <si>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</si>
  <si>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</si>
  <si>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</si>
  <si>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</si>
  <si>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</si>
  <si>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</si>
  <si>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</si>
  <si>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</si>
  <si>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</si>
  <si>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</si>
  <si>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</si>
  <si>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</si>
  <si>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</si>
  <si>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</si>
  <si>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</si>
  <si>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</si>
  <si>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</si>
  <si>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</si>
  <si>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</si>
  <si>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</si>
  <si>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</si>
  <si>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</si>
  <si>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</si>
  <si>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Beta00037</t>
  </si>
  <si>
    <t>Beta00038</t>
  </si>
  <si>
    <t>Beta00050</t>
  </si>
  <si>
    <t>F</t>
  </si>
  <si>
    <t>Beta00051</t>
  </si>
  <si>
    <t>Beta00052</t>
  </si>
  <si>
    <t>LSM_060</t>
  </si>
  <si>
    <t>Gamma61</t>
  </si>
  <si>
    <t>Gamma62</t>
  </si>
  <si>
    <t>Gamma63</t>
  </si>
  <si>
    <t>Gamma64</t>
  </si>
  <si>
    <t>Gamma65</t>
  </si>
  <si>
    <t>Gamma66</t>
  </si>
  <si>
    <t>Gamma67</t>
  </si>
  <si>
    <t>Gamma68</t>
  </si>
  <si>
    <t>Gamma69</t>
  </si>
  <si>
    <t>Gamma70</t>
  </si>
  <si>
    <t>Gamma71</t>
  </si>
  <si>
    <t>Gamma72</t>
  </si>
  <si>
    <t>Gamma73</t>
  </si>
  <si>
    <t>Gamma74</t>
  </si>
  <si>
    <t>Gamma75</t>
  </si>
  <si>
    <t>Gamma76</t>
  </si>
  <si>
    <t>Gamma77</t>
  </si>
  <si>
    <t>Gamma78</t>
  </si>
  <si>
    <t>Gamma79</t>
  </si>
  <si>
    <t>Gamma80</t>
  </si>
  <si>
    <t>Gamma81</t>
  </si>
  <si>
    <t>Gamma82</t>
  </si>
  <si>
    <t>Gamma83</t>
  </si>
  <si>
    <t>Gamma84</t>
  </si>
  <si>
    <t>Gamma0098</t>
  </si>
  <si>
    <t>Nest</t>
  </si>
  <si>
    <t>Index</t>
  </si>
  <si>
    <t>Descr</t>
  </si>
  <si>
    <t>Coeff</t>
  </si>
  <si>
    <t>IsStudentAge</t>
  </si>
  <si>
    <t>Household.Size</t>
  </si>
  <si>
    <t>IsAdult ? destinationParcel.ShadowPriceForStudentsUniversity : destinationParcel.ShadowPriceForStudentsK12</t>
  </si>
  <si>
    <t>IsChildUnder5* schoolTourLogsum</t>
  </si>
  <si>
    <t>IsChildAge5Through15* schoolTourLogsum</t>
  </si>
  <si>
    <t>IsDrivingAgeStudent* schoolTourLogsum</t>
  </si>
  <si>
    <t>IsUniversityStudent* schoolTourLogsum</t>
  </si>
  <si>
    <t>IsChildUnder5* distance1</t>
  </si>
  <si>
    <t>IsChildUnder5* distance2</t>
  </si>
  <si>
    <t>IsChildUnder5* distance3</t>
  </si>
  <si>
    <t>IsChildAge5Through15* distance1</t>
  </si>
  <si>
    <t>IsChildAge5Through15* distance2</t>
  </si>
  <si>
    <t>IsChildAge5Through15* distance3</t>
  </si>
  <si>
    <t>IsDrivingAgeStudent* distanceLog</t>
  </si>
  <si>
    <t>IsUniversityStudent* distanceLog</t>
  </si>
  <si>
    <t>IsChildUnder5* aggregateLogsum</t>
  </si>
  <si>
    <t>IsChildAge5Through15* aggregateLogsum</t>
  </si>
  <si>
    <t>IsDrivingAgeStudent* aggregateLogsum</t>
  </si>
  <si>
    <t>IsUniversityStudent* aggregateLogsum</t>
  </si>
  <si>
    <t>IsChildUnder5* householdsBuffer2</t>
  </si>
  <si>
    <t>IsChildUnder5* studentsHighSchoolBuffer1</t>
  </si>
  <si>
    <t>IsChildUnder5* employmentTotalBuffer2</t>
  </si>
  <si>
    <t>IsChildAge5Through15* studentsK8Buffer1</t>
  </si>
  <si>
    <t>IsDrivingAgeStudent* studentsHighSchoolBuffer1</t>
  </si>
  <si>
    <t>IsUniversityStudent* educationBuffer1</t>
  </si>
  <si>
    <t>IsAdult* studentsUniversityBuffer1</t>
  </si>
  <si>
    <t>IsAdult* studentsUniversityBuffer2</t>
  </si>
  <si>
    <t>IsAdult* studentsK8Buffer1</t>
  </si>
  <si>
    <t>IsChildUnder5* destinationParcel.EmploymentEducation</t>
  </si>
  <si>
    <t>IsChildUnder5* destinationParcel.EmploymentService</t>
  </si>
  <si>
    <t>IsChildUnder5* destinationParcel.EmploymentOffice</t>
  </si>
  <si>
    <t>IsChildUnder5* destinationParcel.EmploymentTotal</t>
  </si>
  <si>
    <t>IsChildUnder5* 10.0 * destinationParcel.Households</t>
  </si>
  <si>
    <t>IsChildUnder5* destinationParcel.StudentsK8</t>
  </si>
  <si>
    <t>IsChildAge5Through15* destinationParcel.EmploymentEducation</t>
  </si>
  <si>
    <t>IsChildAge5Through15* destinationParcel.EmploymentService</t>
  </si>
  <si>
    <t>IsChildAge5Through15* destinationParcel.StudentsHighSchool</t>
  </si>
  <si>
    <t>IsChildAge5Through15* destinationParcel.EmploymentTotal</t>
  </si>
  <si>
    <t>IsChildAge5Through15* 10.0 * destinationParcel.Households</t>
  </si>
  <si>
    <t>IsChildAge5Through15* destinationParcel.StudentsK8</t>
  </si>
  <si>
    <t>IsDrivingAgeStudent* destinationParcel.EmploymentEducation</t>
  </si>
  <si>
    <t>IsDrivingAgeStudent* destinationParcel.EmploymentService</t>
  </si>
  <si>
    <t>IsDrivingAgeStudent* destinationParcel.EmploymentOffice</t>
  </si>
  <si>
    <t>IsDrivingAgeStudent* destinationParcel.EmploymentTotal</t>
  </si>
  <si>
    <t>IsDrivingAgeStudent* 10.0 * destinationParcel.Households</t>
  </si>
  <si>
    <t>IsDrivingAgeStudent* destinationParcel.StudentsHighSchool</t>
  </si>
  <si>
    <t>IsAdult* destinationParcel.EmploymentEducation</t>
  </si>
  <si>
    <t>IsAdult* destinationParcel.EmploymentService</t>
  </si>
  <si>
    <t>IsAdult* destinationParcel.EmploymentOffice</t>
  </si>
  <si>
    <t>IsAdult* destinationParcel.EmploymentTotal</t>
  </si>
  <si>
    <t>IsAdult* destinationParcel.StudentsUniversity</t>
  </si>
  <si>
    <t>IsAdult* destinationParcel.StudentsHighSchool</t>
  </si>
  <si>
    <t>IsStudentAge* schoolTourLogsum</t>
  </si>
  <si>
    <t>IsStudentAge* distanceLog</t>
  </si>
  <si>
    <t>IsStudentAge* distanceFromWork</t>
  </si>
  <si>
    <t>IsStudentAge* aggregateLogsum</t>
  </si>
  <si>
    <t>Table X. Observed Trip Lengths: Survey</t>
  </si>
  <si>
    <t>Table X. Observed Trip Durations: Survey</t>
  </si>
  <si>
    <t>Table X. Observed Student Flows by County: Survey</t>
  </si>
  <si>
    <t>Table X. Observed Student Flows by County: Survey (Adjusted)</t>
  </si>
  <si>
    <t>ADJ OBS STUDENT FLOWS: Survey</t>
  </si>
  <si>
    <t>Table X. Weighted Counts by County: Survey</t>
  </si>
  <si>
    <t>Table X. Weighted School at Home Shares by County: Survey</t>
  </si>
  <si>
    <t>Table X. Weighted School at Home Counts by County: Survey</t>
  </si>
  <si>
    <t>Survey</t>
  </si>
  <si>
    <t>Instructions:</t>
  </si>
  <si>
    <t>Open "WorkLocationCoefficients_SACOG-v1.5.F12" ini Notepad+</t>
  </si>
  <si>
    <t>Select all(ctrl+A)</t>
  </si>
  <si>
    <t>Paste in cell A8</t>
  </si>
  <si>
    <t>Go to "Data" --&gt;Text to Columns - Select "Delimited" ---&gt; "Space" ---&gt; Finish</t>
  </si>
  <si>
    <t>SchoolLocation</t>
  </si>
  <si>
    <t>(svn</t>
  </si>
  <si>
    <t>v1801;</t>
  </si>
  <si>
    <t>SACOG2000</t>
  </si>
  <si>
    <t>MNL</t>
  </si>
  <si>
    <t>v1902,</t>
  </si>
  <si>
    <t>NL</t>
  </si>
  <si>
    <t>v2001)</t>
  </si>
  <si>
    <t>Created</t>
  </si>
  <si>
    <t>by</t>
  </si>
  <si>
    <t>ALOGIT</t>
  </si>
  <si>
    <t>version</t>
  </si>
  <si>
    <t>on</t>
  </si>
  <si>
    <t>May</t>
  </si>
  <si>
    <t>END</t>
  </si>
  <si>
    <t>012:08:36</t>
  </si>
  <si>
    <t>Count</t>
  </si>
  <si>
    <t>Model</t>
  </si>
  <si>
    <t>CH515(0-1)</t>
  </si>
  <si>
    <t>SAH</t>
  </si>
  <si>
    <t>CH515(1-5)</t>
  </si>
  <si>
    <t>CH515(5+)</t>
  </si>
  <si>
    <t>Ratio</t>
  </si>
  <si>
    <t>Adj.</t>
  </si>
  <si>
    <t>Old Coeff.</t>
  </si>
  <si>
    <t>New Coeff.</t>
  </si>
  <si>
    <t>Coeff. Index</t>
  </si>
  <si>
    <t>Old</t>
  </si>
  <si>
    <t>New</t>
  </si>
  <si>
    <t>SchoolLocationCoefficients_SACOG-v1.8.F12</t>
  </si>
  <si>
    <t>(Do the paste in UltraEdit, in column mode from 20-38)</t>
  </si>
  <si>
    <t>Paste in the "SchoolLocationCoefficients_SACOG-v1.8.F12"</t>
  </si>
  <si>
    <t>School At Home</t>
  </si>
  <si>
    <t>Copy cells U3:U62</t>
  </si>
  <si>
    <t>Share</t>
  </si>
  <si>
    <t>Calibration:</t>
  </si>
  <si>
    <t>Do School at home calibration first</t>
  </si>
  <si>
    <t>Then do distance segmented coefficients</t>
  </si>
  <si>
    <t>Attenuation factors</t>
  </si>
  <si>
    <t>This column added after figuring that lower bin affecting the adjustments a lot</t>
  </si>
  <si>
    <t>Also, third bin seems to be more sensitive</t>
  </si>
  <si>
    <t>Observed Sources: Survey</t>
  </si>
  <si>
    <t>Observed distance (in miles) based on joining AM peak SOV skim values to HH survey</t>
  </si>
  <si>
    <t>Observed duration (in minutes) based on joining  AM peak SOV skim values to HH survey</t>
  </si>
  <si>
    <t xml:space="preserve">Observed Sources: Survey </t>
  </si>
  <si>
    <t>Observed duration (in minutes) based on joining AM peak SOV skim values to HH survey</t>
  </si>
  <si>
    <t>BKRCast (LODES)</t>
  </si>
  <si>
    <t>Seattle</t>
  </si>
  <si>
    <t>Bellevue</t>
  </si>
  <si>
    <t>Bellevue Downtown</t>
  </si>
  <si>
    <t>Kirkland</t>
  </si>
  <si>
    <t>Redmond</t>
  </si>
  <si>
    <t>Seattle Downtown</t>
  </si>
  <si>
    <t>Rest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</si>
</sst>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"/>
    <numFmt numFmtId="168" formatCode="_(* #,##0_);_(* \(#,##0\);_(* &quot;-&quot;??_);_(@_)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2" fillId="0" borderId="0">
      <alignment wrapText="1"/>
    </xf>
    <xf numFmtId="0" fontId="4" fillId="5" borderId="0">
      <alignment wrapText="1"/>
    </xf>
    <xf numFmtId="165" fontId="4" fillId="0" borderId="0">
      <alignment wrapText="1"/>
    </xf>
    <xf numFmtId="0" fontId="4" fillId="0" borderId="0">
      <alignment wrapText="1"/>
    </xf>
    <xf numFmtId="0" fontId="4" fillId="0" borderId="0">
      <alignment wrapText="1"/>
    </xf>
    <xf numFmtId="0" fontId="4" fillId="0" borderId="0">
      <alignment wrapText="1"/>
    </xf>
    <xf numFmtId="165" fontId="4" fillId="0" borderId="0">
      <alignment wrapText="1"/>
    </xf>
    <xf numFmtId="43" fontId="4" fillId="0" borderId="0" applyFont="0" applyFill="0" applyBorder="0" applyAlignment="0" applyProtection="0"/>
  </cellStyleXfs>
  <cellXfs count="88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3" xfId="0" applyBorder="1"/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0" fontId="0" fillId="0" borderId="4" xfId="0" applyBorder="1"/>
    <xf numFmtId="1" fontId="0" fillId="0" borderId="0" xfId="0" applyNumberFormat="1"/>
    <xf numFmtId="1" fontId="0" fillId="0" borderId="1" xfId="0" applyNumberFormat="1" applyBorder="1"/>
    <xf numFmtId="0" fontId="0" fillId="0" borderId="0" xfId="0" applyFill="1" applyBorder="1"/>
    <xf numFmtId="10" fontId="0" fillId="0" borderId="0" xfId="0" applyNumberFormat="1"/>
    <xf numFmtId="10" fontId="0" fillId="0" borderId="4" xfId="0" applyNumberFormat="1" applyBorder="1"/>
    <xf numFmtId="2" fontId="0" fillId="0" borderId="3" xfId="0" applyNumberFormat="1" applyBorder="1"/>
    <xf numFmtId="2" fontId="0" fillId="0" borderId="4" xfId="0" applyNumberFormat="1" applyBorder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3" xfId="0" applyNumberFormat="1" applyFill="1" applyBorder="1"/>
    <xf numFmtId="3" fontId="0" fillId="0" borderId="1" xfId="0" applyNumberFormat="1" applyBorder="1"/>
    <xf numFmtId="3" fontId="0" fillId="0" borderId="0" xfId="0" applyNumberFormat="1" applyFill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3" fillId="2" borderId="2" xfId="0" applyFont="1" applyFill="1" applyBorder="1"/>
    <xf numFmtId="0" fontId="3" fillId="2" borderId="2" xfId="0" applyFont="1" applyFill="1" applyBorder="1" applyAlignment="1">
      <alignment horizontal="center"/>
    </xf>
    <xf numFmtId="0" fontId="0" fillId="3" borderId="0" xfId="0" applyFill="1"/>
    <xf numFmtId="164" fontId="0" fillId="3" borderId="0" xfId="0" applyNumberFormat="1" applyFill="1"/>
    <xf numFmtId="2" fontId="0" fillId="0" borderId="0" xfId="0" applyNumberFormat="1" applyBorder="1"/>
    <xf numFmtId="0" fontId="3" fillId="2" borderId="2" xfId="0" applyFont="1" applyFill="1" applyBorder="1" applyAlignment="1">
      <alignment horizontal="center" vertical="top"/>
    </xf>
    <xf numFmtId="0" fontId="0" fillId="4" borderId="0" xfId="0" applyFill="1"/>
    <xf numFmtId="164" fontId="0" fillId="4" borderId="0" xfId="0" applyNumberFormat="1" applyFill="1"/>
    <xf numFmtId="0" fontId="0" fillId="4" borderId="1" xfId="0" applyFill="1" applyBorder="1"/>
    <xf numFmtId="164" fontId="0" fillId="4" borderId="1" xfId="0" applyNumberFormat="1" applyFill="1" applyBorder="1"/>
    <xf numFmtId="0" fontId="1" fillId="4" borderId="1" xfId="0" applyFont="1" applyFill="1" applyBorder="1"/>
    <xf numFmtId="3" fontId="0" fillId="4" borderId="1" xfId="0" applyNumberFormat="1" applyFill="1" applyBorder="1"/>
    <xf numFmtId="0" fontId="0" fillId="0" borderId="0" xfId="0" applyFont="1"/>
    <xf numFmtId="3" fontId="1" fillId="0" borderId="1" xfId="0" applyNumberFormat="1" applyFont="1" applyBorder="1"/>
    <xf numFmtId="3" fontId="0" fillId="0" borderId="2" xfId="0" applyNumberFormat="1" applyBorder="1"/>
    <xf numFmtId="3" fontId="0" fillId="0" borderId="2" xfId="0" applyNumberFormat="1" applyBorder="1" applyAlignment="1">
      <alignment horizontal="center"/>
    </xf>
    <xf numFmtId="164" fontId="0" fillId="0" borderId="4" xfId="0" applyNumberFormat="1" applyBorder="1"/>
    <xf numFmtId="0" fontId="1" fillId="0" borderId="0" xfId="0" applyFont="1" applyBorder="1"/>
    <xf numFmtId="0" fontId="0" fillId="0" borderId="0" xfId="0" applyBorder="1" applyAlignment="1">
      <alignment horizontal="center"/>
    </xf>
    <xf numFmtId="0" fontId="0" fillId="4" borderId="3" xfId="0" applyFill="1" applyBorder="1"/>
    <xf numFmtId="164" fontId="0" fillId="4" borderId="3" xfId="0" applyNumberFormat="1" applyFill="1" applyBorder="1"/>
    <xf numFmtId="10" fontId="0" fillId="0" borderId="0" xfId="0" applyNumberFormat="1" applyBorder="1"/>
    <xf numFmtId="164" fontId="0" fillId="0" borderId="0" xfId="0" applyNumberFormat="1" applyBorder="1"/>
    <xf numFmtId="0" fontId="5" fillId="0" borderId="0" xfId="0" applyFont="1"/>
    <xf numFmtId="3" fontId="0" fillId="0" borderId="4" xfId="0" applyNumberFormat="1" applyBorder="1"/>
    <xf numFmtId="11" fontId="0" fillId="0" borderId="0" xfId="0" applyNumberFormat="1"/>
    <xf numFmtId="0" fontId="6" fillId="0" borderId="0" xfId="0" applyFont="1"/>
    <xf numFmtId="21" fontId="0" fillId="0" borderId="0" xfId="0" applyNumberFormat="1"/>
    <xf numFmtId="3" fontId="0" fillId="0" borderId="0" xfId="0" applyNumberFormat="1" applyFont="1"/>
    <xf numFmtId="0" fontId="0" fillId="0" borderId="0" xfId="0" applyFill="1" applyBorder="1" applyAlignment="1">
      <alignment horizontal="center" vertical="top"/>
    </xf>
    <xf numFmtId="166" fontId="0" fillId="0" borderId="0" xfId="0" applyNumberFormat="1"/>
    <xf numFmtId="166" fontId="0" fillId="6" borderId="0" xfId="0" applyNumberFormat="1" applyFill="1"/>
    <xf numFmtId="0" fontId="0" fillId="7" borderId="0" xfId="0" applyFill="1"/>
    <xf numFmtId="166" fontId="0" fillId="7" borderId="0" xfId="0" applyNumberFormat="1" applyFill="1"/>
    <xf numFmtId="3" fontId="6" fillId="0" borderId="0" xfId="0" applyNumberFormat="1" applyFont="1"/>
    <xf numFmtId="3" fontId="0" fillId="0" borderId="5" xfId="0" applyNumberFormat="1" applyFont="1" applyBorder="1"/>
    <xf numFmtId="0" fontId="0" fillId="0" borderId="5" xfId="0" applyBorder="1"/>
    <xf numFmtId="2" fontId="0" fillId="0" borderId="5" xfId="0" applyNumberFormat="1" applyBorder="1"/>
    <xf numFmtId="3" fontId="0" fillId="0" borderId="0" xfId="0" applyNumberFormat="1" applyFont="1" applyBorder="1"/>
    <xf numFmtId="1" fontId="0" fillId="0" borderId="0" xfId="0" applyNumberFormat="1" applyBorder="1"/>
    <xf numFmtId="3" fontId="0" fillId="0" borderId="3" xfId="0" applyNumberFormat="1" applyFont="1" applyBorder="1"/>
    <xf numFmtId="0" fontId="0" fillId="0" borderId="0" xfId="0" applyBorder="1" applyAlignment="1">
      <alignment horizontal="center" vertical="top"/>
    </xf>
    <xf numFmtId="3" fontId="0" fillId="0" borderId="4" xfId="0" applyNumberFormat="1" applyFont="1" applyBorder="1"/>
    <xf numFmtId="9" fontId="0" fillId="0" borderId="0" xfId="0" applyNumberFormat="1"/>
    <xf numFmtId="9" fontId="0" fillId="0" borderId="1" xfId="0" applyNumberFormat="1" applyBorder="1"/>
    <xf numFmtId="166" fontId="0" fillId="0" borderId="3" xfId="0" applyNumberFormat="1" applyBorder="1"/>
    <xf numFmtId="9" fontId="0" fillId="0" borderId="3" xfId="0" applyNumberFormat="1" applyBorder="1"/>
    <xf numFmtId="0" fontId="6" fillId="0" borderId="0" xfId="0" applyFont="1" applyBorder="1"/>
    <xf numFmtId="164" fontId="0" fillId="0" borderId="5" xfId="0" applyNumberFormat="1" applyBorder="1"/>
    <xf numFmtId="167" fontId="0" fillId="0" borderId="3" xfId="0" applyNumberFormat="1" applyBorder="1"/>
    <xf numFmtId="167" fontId="0" fillId="0" borderId="5" xfId="0" applyNumberFormat="1" applyBorder="1"/>
    <xf numFmtId="0" fontId="7" fillId="0" borderId="0" xfId="0" applyFont="1" applyBorder="1"/>
    <xf numFmtId="168" fontId="0" fillId="0" borderId="5" xfId="8" applyNumberFormat="1" applyFont="1" applyBorder="1"/>
    <xf numFmtId="168" fontId="0" fillId="0" borderId="4" xfId="8" applyNumberFormat="1" applyFont="1" applyBorder="1"/>
    <xf numFmtId="168" fontId="0" fillId="0" borderId="0" xfId="8" applyNumberFormat="1" applyFont="1"/>
    <xf numFmtId="168" fontId="0" fillId="0" borderId="1" xfId="8" applyNumberFormat="1" applyFont="1" applyBorder="1"/>
    <xf numFmtId="168" fontId="2" fillId="0" borderId="0" xfId="8" applyNumberFormat="1" applyFont="1" applyAlignment="1"/>
    <xf numFmtId="168" fontId="0" fillId="0" borderId="3" xfId="8" applyNumberFormat="1" applyFont="1" applyBorder="1"/>
    <xf numFmtId="168" fontId="0" fillId="0" borderId="0" xfId="8" applyNumberFormat="1" applyFont="1" applyBorder="1"/>
  </cellXfs>
  <cellStyles count="9">
    <cellStyle name="Comma" xfId="8" builtinId="3"/>
    <cellStyle name="Normal" xfId="0" builtin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theme/theme1.xml" Type="http://schemas.openxmlformats.org/officeDocument/2006/relationships/theme"/><Relationship Id="rId11" Target="styles.xml" Type="http://schemas.openxmlformats.org/officeDocument/2006/relationships/styles"/><Relationship Id="rId12" Target="sharedStrings.xml" Type="http://schemas.openxmlformats.org/officeDocument/2006/relationships/sharedStrings"/><Relationship Id="rId13" Target="calcChain.xml" Type="http://schemas.openxmlformats.org/officeDocument/2006/relationships/calcChain"/><Relationship Id="rId14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262337806365801"/>
          <c:y val="5.1400554097404488E-2"/>
          <c:w val="0.8482377730952644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TLFD!$E$11:$E$71</c:f>
              <c:numCache>
                <c:formatCode>_(* #,##0_);_(* \(#,##0\);_(* "-"??_);_(@_)</c:formatCode>
                <c:ptCount val="61"/>
                <c:pt idx="0">
                  <c:v>28283.803500000002</c:v>
                </c:pt>
                <c:pt idx="1">
                  <c:v>37057.117700000003</c:v>
                </c:pt>
                <c:pt idx="2">
                  <c:v>41808.894600000007</c:v>
                </c:pt>
                <c:pt idx="3">
                  <c:v>61176.952599999997</c:v>
                </c:pt>
                <c:pt idx="4">
                  <c:v>124119.2781</c:v>
                </c:pt>
                <c:pt idx="5">
                  <c:v>55653.2886</c:v>
                </c:pt>
                <c:pt idx="6">
                  <c:v>93708.412800000006</c:v>
                </c:pt>
                <c:pt idx="7">
                  <c:v>28200.5867</c:v>
                </c:pt>
                <c:pt idx="8">
                  <c:v>23643.332900000001</c:v>
                </c:pt>
                <c:pt idx="9">
                  <c:v>13889.3331</c:v>
                </c:pt>
                <c:pt idx="10">
                  <c:v>28697.0995</c:v>
                </c:pt>
                <c:pt idx="11">
                  <c:v>11390.559899999998</c:v>
                </c:pt>
                <c:pt idx="12">
                  <c:v>6652.1427999999996</c:v>
                </c:pt>
                <c:pt idx="13">
                  <c:v>2205.5441999999998</c:v>
                </c:pt>
                <c:pt idx="14">
                  <c:v>3804.7914999999998</c:v>
                </c:pt>
                <c:pt idx="15">
                  <c:v>3020.4777000000004</c:v>
                </c:pt>
                <c:pt idx="16">
                  <c:v>6187.3109999999997</c:v>
                </c:pt>
                <c:pt idx="17">
                  <c:v>1403.6229999999998</c:v>
                </c:pt>
                <c:pt idx="18">
                  <c:v>3288.2235000000001</c:v>
                </c:pt>
                <c:pt idx="19">
                  <c:v>1865.4735000000001</c:v>
                </c:pt>
                <c:pt idx="20">
                  <c:v>326.2987</c:v>
                </c:pt>
                <c:pt idx="21">
                  <c:v>6190.7829000000002</c:v>
                </c:pt>
                <c:pt idx="22">
                  <c:v>266.13509999999997</c:v>
                </c:pt>
                <c:pt idx="23">
                  <c:v>3070.7799</c:v>
                </c:pt>
                <c:pt idx="24">
                  <c:v>458.12399999999997</c:v>
                </c:pt>
                <c:pt idx="25">
                  <c:v>87.069000000000003</c:v>
                </c:pt>
                <c:pt idx="26">
                  <c:v>1621.4752000000001</c:v>
                </c:pt>
                <c:pt idx="27">
                  <c:v>569.28390000000002</c:v>
                </c:pt>
                <c:pt idx="28">
                  <c:v>1297.2364</c:v>
                </c:pt>
                <c:pt idx="29">
                  <c:v>31.814</c:v>
                </c:pt>
                <c:pt idx="30">
                  <c:v>13.398999999999999</c:v>
                </c:pt>
                <c:pt idx="31">
                  <c:v>0</c:v>
                </c:pt>
                <c:pt idx="32">
                  <c:v>12.739000000000001</c:v>
                </c:pt>
                <c:pt idx="33">
                  <c:v>10.791</c:v>
                </c:pt>
                <c:pt idx="34">
                  <c:v>78.963099999999997</c:v>
                </c:pt>
                <c:pt idx="35">
                  <c:v>25.786000000000001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4.1280000000000001</c:v>
                </c:pt>
                <c:pt idx="40">
                  <c:v>860.37009999999998</c:v>
                </c:pt>
                <c:pt idx="41">
                  <c:v>0</c:v>
                </c:pt>
                <c:pt idx="42">
                  <c:v>286.72039999999998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468.98939999999999</c:v>
                </c:pt>
                <c:pt idx="49">
                  <c:v>0</c:v>
                </c:pt>
                <c:pt idx="50">
                  <c:v>249.3058</c:v>
                </c:pt>
                <c:pt idx="51">
                  <c:v>0</c:v>
                </c:pt>
                <c:pt idx="52">
                  <c:v>0</c:v>
                </c:pt>
                <c:pt idx="53">
                  <c:v>13.487</c:v>
                </c:pt>
                <c:pt idx="54">
                  <c:v>0</c:v>
                </c:pt>
                <c:pt idx="55">
                  <c:v>3.6749999999999998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DE-4F40-9812-74309F060F03}"/>
            </c:ext>
          </c:extLst>
        </c:ser>
        <c:ser>
          <c:idx val="1"/>
          <c:order val="1"/>
          <c:tx>
            <c:strRef>
              <c:f>TLFD!$K$10</c:f>
              <c:strCache>
                <c:ptCount val="1"/>
                <c:pt idx="0">
                  <c:v>BKRCast (LODES)</c:v>
                </c:pt>
              </c:strCache>
            </c:strRef>
          </c:tx>
          <c:marker>
            <c:symbol val="none"/>
          </c:marker>
          <c:val>
            <c:numRef>
              <c:f>TLFD!$K$11:$K$71</c:f>
              <c:numCache>
                <c:formatCode>_(* #,##0_);_(* \(#,##0\);_(* "-"??_);_(@_)</c:formatCode>
                <c:ptCount val="61"/>
                <c:pt idx="0">
                  <c:v>152687</c:v>
                </c:pt>
                <c:pt idx="1">
                  <c:v>99654</c:v>
                </c:pt>
                <c:pt idx="2">
                  <c:v>59416</c:v>
                </c:pt>
                <c:pt idx="3">
                  <c:v>38427</c:v>
                </c:pt>
                <c:pt idx="4">
                  <c:v>134804</c:v>
                </c:pt>
                <c:pt idx="5">
                  <c:v>62799</c:v>
                </c:pt>
                <c:pt idx="6">
                  <c:v>68739</c:v>
                </c:pt>
                <c:pt idx="7">
                  <c:v>31226</c:v>
                </c:pt>
                <c:pt idx="8">
                  <c:v>39190</c:v>
                </c:pt>
                <c:pt idx="9">
                  <c:v>23030</c:v>
                </c:pt>
                <c:pt idx="10">
                  <c:v>9187</c:v>
                </c:pt>
                <c:pt idx="11">
                  <c:v>10222</c:v>
                </c:pt>
                <c:pt idx="12">
                  <c:v>9986</c:v>
                </c:pt>
                <c:pt idx="13">
                  <c:v>11594</c:v>
                </c:pt>
                <c:pt idx="14">
                  <c:v>6974</c:v>
                </c:pt>
                <c:pt idx="15">
                  <c:v>5111</c:v>
                </c:pt>
                <c:pt idx="16">
                  <c:v>4437</c:v>
                </c:pt>
                <c:pt idx="17">
                  <c:v>4723</c:v>
                </c:pt>
                <c:pt idx="18">
                  <c:v>3358</c:v>
                </c:pt>
                <c:pt idx="19">
                  <c:v>2538</c:v>
                </c:pt>
                <c:pt idx="20">
                  <c:v>4168</c:v>
                </c:pt>
                <c:pt idx="21">
                  <c:v>2579</c:v>
                </c:pt>
                <c:pt idx="22">
                  <c:v>2618</c:v>
                </c:pt>
                <c:pt idx="23">
                  <c:v>1733</c:v>
                </c:pt>
                <c:pt idx="24">
                  <c:v>1247</c:v>
                </c:pt>
                <c:pt idx="25">
                  <c:v>1677</c:v>
                </c:pt>
                <c:pt idx="26">
                  <c:v>1139</c:v>
                </c:pt>
                <c:pt idx="27">
                  <c:v>1327</c:v>
                </c:pt>
                <c:pt idx="28">
                  <c:v>396</c:v>
                </c:pt>
                <c:pt idx="29">
                  <c:v>1407</c:v>
                </c:pt>
                <c:pt idx="30">
                  <c:v>956</c:v>
                </c:pt>
                <c:pt idx="31">
                  <c:v>802</c:v>
                </c:pt>
                <c:pt idx="32">
                  <c:v>548</c:v>
                </c:pt>
                <c:pt idx="33">
                  <c:v>481</c:v>
                </c:pt>
                <c:pt idx="34">
                  <c:v>444</c:v>
                </c:pt>
                <c:pt idx="35">
                  <c:v>351</c:v>
                </c:pt>
                <c:pt idx="36">
                  <c:v>845</c:v>
                </c:pt>
                <c:pt idx="37">
                  <c:v>449</c:v>
                </c:pt>
                <c:pt idx="38">
                  <c:v>295</c:v>
                </c:pt>
                <c:pt idx="39">
                  <c:v>453</c:v>
                </c:pt>
                <c:pt idx="40">
                  <c:v>95</c:v>
                </c:pt>
                <c:pt idx="41">
                  <c:v>209</c:v>
                </c:pt>
                <c:pt idx="42">
                  <c:v>116</c:v>
                </c:pt>
                <c:pt idx="43">
                  <c:v>98</c:v>
                </c:pt>
                <c:pt idx="44">
                  <c:v>252</c:v>
                </c:pt>
                <c:pt idx="45">
                  <c:v>117</c:v>
                </c:pt>
                <c:pt idx="46">
                  <c:v>117</c:v>
                </c:pt>
                <c:pt idx="47">
                  <c:v>126</c:v>
                </c:pt>
                <c:pt idx="48">
                  <c:v>41</c:v>
                </c:pt>
                <c:pt idx="49">
                  <c:v>184</c:v>
                </c:pt>
                <c:pt idx="50">
                  <c:v>29</c:v>
                </c:pt>
                <c:pt idx="51">
                  <c:v>27</c:v>
                </c:pt>
                <c:pt idx="52">
                  <c:v>12</c:v>
                </c:pt>
                <c:pt idx="53">
                  <c:v>51</c:v>
                </c:pt>
                <c:pt idx="54">
                  <c:v>7</c:v>
                </c:pt>
                <c:pt idx="55">
                  <c:v>9</c:v>
                </c:pt>
                <c:pt idx="56">
                  <c:v>4</c:v>
                </c:pt>
                <c:pt idx="57">
                  <c:v>3</c:v>
                </c:pt>
                <c:pt idx="58">
                  <c:v>10</c:v>
                </c:pt>
                <c:pt idx="59">
                  <c:v>2</c:v>
                </c:pt>
                <c:pt idx="60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DE-4F40-9812-74309F060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1296976"/>
        <c:axId val="331300112"/>
      </c:lineChart>
      <c:catAx>
        <c:axId val="331296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</a:t>
                </a:r>
                <a:r>
                  <a:rPr lang="en-US" baseline="0"/>
                  <a:t> (miles)</a:t>
                </a:r>
                <a:endParaRPr lang="en-US"/>
              </a:p>
            </c:rich>
          </c:tx>
          <c:overlay val="0"/>
        </c:title>
        <c:majorTickMark val="out"/>
        <c:minorTickMark val="none"/>
        <c:tickLblPos val="nextTo"/>
        <c:crossAx val="331300112"/>
        <c:crosses val="autoZero"/>
        <c:auto val="1"/>
        <c:lblAlgn val="ctr"/>
        <c:lblOffset val="100"/>
        <c:noMultiLvlLbl val="0"/>
      </c:catAx>
      <c:valAx>
        <c:axId val="3313001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lang="en-US" baseline="0"/>
                  <a:t> of Persons</a:t>
                </a:r>
                <a:endParaRPr lang="en-US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3312969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262337806365805"/>
          <c:y val="5.1400554097404488E-2"/>
          <c:w val="0.8482377730952644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TDFD!$E$11:$E$71</c:f>
              <c:numCache>
                <c:formatCode>_(* #,##0_);_(* \(#,##0\);_(* "-"??_);_(@_)</c:formatCode>
                <c:ptCount val="61"/>
                <c:pt idx="0">
                  <c:v>0</c:v>
                </c:pt>
                <c:pt idx="1">
                  <c:v>6745.1783000000005</c:v>
                </c:pt>
                <c:pt idx="2">
                  <c:v>6033.2902999999997</c:v>
                </c:pt>
                <c:pt idx="3">
                  <c:v>8226.0259000000005</c:v>
                </c:pt>
                <c:pt idx="4">
                  <c:v>11133.814400000001</c:v>
                </c:pt>
                <c:pt idx="5">
                  <c:v>13429.1803</c:v>
                </c:pt>
                <c:pt idx="6">
                  <c:v>7461.1718000000001</c:v>
                </c:pt>
                <c:pt idx="7">
                  <c:v>10962.8501</c:v>
                </c:pt>
                <c:pt idx="8">
                  <c:v>3418.5214999999998</c:v>
                </c:pt>
                <c:pt idx="9">
                  <c:v>11882.283399999998</c:v>
                </c:pt>
                <c:pt idx="10">
                  <c:v>5144.3666000000003</c:v>
                </c:pt>
                <c:pt idx="11">
                  <c:v>9585.0202000000008</c:v>
                </c:pt>
                <c:pt idx="12">
                  <c:v>22760.1551</c:v>
                </c:pt>
                <c:pt idx="13">
                  <c:v>8704.3775999999998</c:v>
                </c:pt>
                <c:pt idx="14">
                  <c:v>13748.096600000001</c:v>
                </c:pt>
                <c:pt idx="15">
                  <c:v>1540.0192</c:v>
                </c:pt>
                <c:pt idx="16">
                  <c:v>29645.162799999998</c:v>
                </c:pt>
                <c:pt idx="17">
                  <c:v>11738.621099999998</c:v>
                </c:pt>
                <c:pt idx="18">
                  <c:v>48306.394099999998</c:v>
                </c:pt>
                <c:pt idx="19">
                  <c:v>29028.595399999998</c:v>
                </c:pt>
                <c:pt idx="20">
                  <c:v>46657.832900000009</c:v>
                </c:pt>
                <c:pt idx="21">
                  <c:v>26928.785100000001</c:v>
                </c:pt>
                <c:pt idx="22">
                  <c:v>27811.2425</c:v>
                </c:pt>
                <c:pt idx="23">
                  <c:v>6255.8771999999999</c:v>
                </c:pt>
                <c:pt idx="24">
                  <c:v>21119.6397</c:v>
                </c:pt>
                <c:pt idx="25">
                  <c:v>15741.9714</c:v>
                </c:pt>
                <c:pt idx="26">
                  <c:v>41901.392099999997</c:v>
                </c:pt>
                <c:pt idx="27">
                  <c:v>6237.0288999999993</c:v>
                </c:pt>
                <c:pt idx="28">
                  <c:v>14996.461899999998</c:v>
                </c:pt>
                <c:pt idx="29">
                  <c:v>8498.5537000000004</c:v>
                </c:pt>
                <c:pt idx="30">
                  <c:v>19811.379900000004</c:v>
                </c:pt>
                <c:pt idx="31">
                  <c:v>8290.7476000000006</c:v>
                </c:pt>
                <c:pt idx="32">
                  <c:v>5669.9252000000006</c:v>
                </c:pt>
                <c:pt idx="33">
                  <c:v>5997.2613999999994</c:v>
                </c:pt>
                <c:pt idx="34">
                  <c:v>14736.835499999999</c:v>
                </c:pt>
                <c:pt idx="35">
                  <c:v>826.43970000000002</c:v>
                </c:pt>
                <c:pt idx="36">
                  <c:v>1609.7055</c:v>
                </c:pt>
                <c:pt idx="37">
                  <c:v>6643.0817999999999</c:v>
                </c:pt>
                <c:pt idx="38">
                  <c:v>6114.2946999999995</c:v>
                </c:pt>
                <c:pt idx="39">
                  <c:v>2063.2050999999997</c:v>
                </c:pt>
                <c:pt idx="40">
                  <c:v>201.06739999999999</c:v>
                </c:pt>
                <c:pt idx="41">
                  <c:v>5718.7871999999998</c:v>
                </c:pt>
                <c:pt idx="42">
                  <c:v>214.2046</c:v>
                </c:pt>
                <c:pt idx="43">
                  <c:v>1068.8702000000001</c:v>
                </c:pt>
                <c:pt idx="44">
                  <c:v>1276.2198000000001</c:v>
                </c:pt>
                <c:pt idx="45">
                  <c:v>21000.450500000003</c:v>
                </c:pt>
                <c:pt idx="46">
                  <c:v>1472.4092000000001</c:v>
                </c:pt>
                <c:pt idx="47">
                  <c:v>988.41480000000001</c:v>
                </c:pt>
                <c:pt idx="48">
                  <c:v>82.013999999999996</c:v>
                </c:pt>
                <c:pt idx="49">
                  <c:v>1436.174</c:v>
                </c:pt>
                <c:pt idx="50">
                  <c:v>742.70370000000003</c:v>
                </c:pt>
                <c:pt idx="51">
                  <c:v>27.320999999999998</c:v>
                </c:pt>
                <c:pt idx="52">
                  <c:v>775.44090000000006</c:v>
                </c:pt>
                <c:pt idx="53">
                  <c:v>227.03720000000001</c:v>
                </c:pt>
                <c:pt idx="54">
                  <c:v>0</c:v>
                </c:pt>
                <c:pt idx="55">
                  <c:v>2513.8201999999997</c:v>
                </c:pt>
                <c:pt idx="56">
                  <c:v>0</c:v>
                </c:pt>
                <c:pt idx="57">
                  <c:v>16.64</c:v>
                </c:pt>
                <c:pt idx="58">
                  <c:v>16.385000000000002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0B-4827-B648-084AD791BE23}"/>
            </c:ext>
          </c:extLst>
        </c:ser>
        <c:ser>
          <c:idx val="1"/>
          <c:order val="1"/>
          <c:tx>
            <c:strRef>
              <c:f>TDFD!$K$10</c:f>
              <c:strCache>
                <c:ptCount val="1"/>
                <c:pt idx="0">
                  <c:v>BKRCast (LODES)</c:v>
                </c:pt>
              </c:strCache>
            </c:strRef>
          </c:tx>
          <c:marker>
            <c:symbol val="none"/>
          </c:marker>
          <c:val>
            <c:numRef>
              <c:f>TDFD!$K$11:$K$71</c:f>
              <c:numCache>
                <c:formatCode>_(* #,##0_);_(* \(#,##0\);_(* "-"??_);_(@_)</c:formatCode>
                <c:ptCount val="61"/>
                <c:pt idx="0">
                  <c:v>58320</c:v>
                </c:pt>
                <c:pt idx="1">
                  <c:v>20569</c:v>
                </c:pt>
                <c:pt idx="2">
                  <c:v>27536</c:v>
                </c:pt>
                <c:pt idx="3">
                  <c:v>29712</c:v>
                </c:pt>
                <c:pt idx="4">
                  <c:v>30324</c:v>
                </c:pt>
                <c:pt idx="5">
                  <c:v>28821</c:v>
                </c:pt>
                <c:pt idx="6">
                  <c:v>27064</c:v>
                </c:pt>
                <c:pt idx="7">
                  <c:v>25006</c:v>
                </c:pt>
                <c:pt idx="8">
                  <c:v>21031</c:v>
                </c:pt>
                <c:pt idx="9">
                  <c:v>19375</c:v>
                </c:pt>
                <c:pt idx="10">
                  <c:v>16689</c:v>
                </c:pt>
                <c:pt idx="11">
                  <c:v>14203</c:v>
                </c:pt>
                <c:pt idx="12">
                  <c:v>13018</c:v>
                </c:pt>
                <c:pt idx="13">
                  <c:v>10132</c:v>
                </c:pt>
                <c:pt idx="14">
                  <c:v>8856</c:v>
                </c:pt>
                <c:pt idx="15">
                  <c:v>9452</c:v>
                </c:pt>
                <c:pt idx="16">
                  <c:v>8082</c:v>
                </c:pt>
                <c:pt idx="17">
                  <c:v>7904</c:v>
                </c:pt>
                <c:pt idx="18">
                  <c:v>94527</c:v>
                </c:pt>
                <c:pt idx="19">
                  <c:v>24271</c:v>
                </c:pt>
                <c:pt idx="20">
                  <c:v>25906</c:v>
                </c:pt>
                <c:pt idx="21">
                  <c:v>33706</c:v>
                </c:pt>
                <c:pt idx="22">
                  <c:v>28639</c:v>
                </c:pt>
                <c:pt idx="23">
                  <c:v>26057</c:v>
                </c:pt>
                <c:pt idx="24">
                  <c:v>23389</c:v>
                </c:pt>
                <c:pt idx="25">
                  <c:v>20730</c:v>
                </c:pt>
                <c:pt idx="26">
                  <c:v>19923</c:v>
                </c:pt>
                <c:pt idx="27">
                  <c:v>12320</c:v>
                </c:pt>
                <c:pt idx="28">
                  <c:v>9977</c:v>
                </c:pt>
                <c:pt idx="29">
                  <c:v>8594</c:v>
                </c:pt>
                <c:pt idx="30">
                  <c:v>9601</c:v>
                </c:pt>
                <c:pt idx="31">
                  <c:v>13250</c:v>
                </c:pt>
                <c:pt idx="32">
                  <c:v>10561</c:v>
                </c:pt>
                <c:pt idx="33">
                  <c:v>8141</c:v>
                </c:pt>
                <c:pt idx="34">
                  <c:v>5434</c:v>
                </c:pt>
                <c:pt idx="35">
                  <c:v>4380</c:v>
                </c:pt>
                <c:pt idx="36">
                  <c:v>6016</c:v>
                </c:pt>
                <c:pt idx="37">
                  <c:v>4260</c:v>
                </c:pt>
                <c:pt idx="38">
                  <c:v>2917</c:v>
                </c:pt>
                <c:pt idx="39">
                  <c:v>4248</c:v>
                </c:pt>
                <c:pt idx="40">
                  <c:v>1645</c:v>
                </c:pt>
                <c:pt idx="41">
                  <c:v>1866</c:v>
                </c:pt>
                <c:pt idx="42">
                  <c:v>1749</c:v>
                </c:pt>
                <c:pt idx="43">
                  <c:v>1571</c:v>
                </c:pt>
                <c:pt idx="44">
                  <c:v>1397</c:v>
                </c:pt>
                <c:pt idx="45">
                  <c:v>3151</c:v>
                </c:pt>
                <c:pt idx="46">
                  <c:v>2900</c:v>
                </c:pt>
                <c:pt idx="47">
                  <c:v>691</c:v>
                </c:pt>
                <c:pt idx="48">
                  <c:v>2041</c:v>
                </c:pt>
                <c:pt idx="49">
                  <c:v>945</c:v>
                </c:pt>
                <c:pt idx="50">
                  <c:v>1261</c:v>
                </c:pt>
                <c:pt idx="51">
                  <c:v>581</c:v>
                </c:pt>
                <c:pt idx="52">
                  <c:v>1079</c:v>
                </c:pt>
                <c:pt idx="53">
                  <c:v>1635</c:v>
                </c:pt>
                <c:pt idx="54">
                  <c:v>1021</c:v>
                </c:pt>
                <c:pt idx="55">
                  <c:v>557</c:v>
                </c:pt>
                <c:pt idx="56">
                  <c:v>409</c:v>
                </c:pt>
                <c:pt idx="57">
                  <c:v>740</c:v>
                </c:pt>
                <c:pt idx="58">
                  <c:v>202</c:v>
                </c:pt>
                <c:pt idx="59">
                  <c:v>195</c:v>
                </c:pt>
                <c:pt idx="60">
                  <c:v>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0B-4827-B648-084AD791B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1297760"/>
        <c:axId val="331298544"/>
      </c:lineChart>
      <c:catAx>
        <c:axId val="331297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</a:t>
                </a:r>
                <a:r>
                  <a:rPr lang="en-US" baseline="0"/>
                  <a:t> (mins)</a:t>
                </a:r>
                <a:endParaRPr lang="en-US"/>
              </a:p>
            </c:rich>
          </c:tx>
          <c:overlay val="0"/>
        </c:title>
        <c:majorTickMark val="out"/>
        <c:minorTickMark val="none"/>
        <c:tickLblPos val="nextTo"/>
        <c:crossAx val="331298544"/>
        <c:crosses val="autoZero"/>
        <c:auto val="1"/>
        <c:lblAlgn val="ctr"/>
        <c:lblOffset val="100"/>
        <c:noMultiLvlLbl val="0"/>
      </c:catAx>
      <c:valAx>
        <c:axId val="3312985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Persons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3312977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19049</xdr:colOff>
      <xdr:row>15</xdr:row>
      <xdr:rowOff>152400</xdr:rowOff>
    </xdr:from>
    <xdr:to>
      <xdr:col>21</xdr:col>
      <xdr:colOff>104774</xdr:colOff>
      <xdr:row>32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590550</xdr:colOff>
      <xdr:row>16</xdr:row>
      <xdr:rowOff>28574</xdr:rowOff>
    </xdr:from>
    <xdr:to>
      <xdr:col>22</xdr:col>
      <xdr:colOff>19050</xdr:colOff>
      <xdr:row>32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9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01"/>
  <sheetViews>
    <sheetView workbookViewId="0">
      <selection activeCell="L21" sqref="L21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3" max="4" bestFit="true" customWidth="true" width="9.5703125" collapsed="true"/>
    <col min="5" max="5" bestFit="true" customWidth="true" width="10.5703125" collapsed="true"/>
    <col min="7" max="7" customWidth="true" width="13.140625" collapsed="true"/>
    <col min="8" max="8" bestFit="true" customWidth="true" width="10.5703125" collapsed="true"/>
    <col min="9" max="10" bestFit="true" customWidth="true" width="9.5703125" collapsed="true"/>
    <col min="11" max="11" bestFit="true" customWidth="true" width="15.85546875" collapsed="true"/>
    <col min="15" max="15" bestFit="true" customWidth="true" width="15.7109375" collapsed="true"/>
  </cols>
  <sheetData>
    <row r="1" spans="1:19" x14ac:dyDescent="0.25">
      <c r="A1" t="s">
        <v>1</v>
      </c>
    </row>
    <row r="2" spans="1:19" x14ac:dyDescent="0.25">
      <c r="A2" t="s">
        <v>247</v>
      </c>
    </row>
    <row r="3" spans="1:19" x14ac:dyDescent="0.25">
      <c r="A3" t="s">
        <v>248</v>
      </c>
    </row>
    <row r="4" spans="1:19" x14ac:dyDescent="0.25">
      <c r="A4" t="s">
        <v>4</v>
      </c>
    </row>
    <row r="5" spans="1:19" x14ac:dyDescent="0.25">
      <c r="A5" t="s">
        <v>5</v>
      </c>
    </row>
    <row r="7" spans="1:19" x14ac:dyDescent="0.25">
      <c r="A7" t="s">
        <v>8</v>
      </c>
    </row>
    <row r="9" spans="1:19" ht="15.75" thickBot="1" x14ac:dyDescent="0.3">
      <c r="A9" s="4" t="s">
        <v>192</v>
      </c>
      <c r="B9" s="1"/>
      <c r="C9" s="1"/>
      <c r="D9" s="1"/>
      <c r="E9" s="1"/>
      <c r="G9" s="4" t="s">
        <v>9</v>
      </c>
      <c r="H9" s="1"/>
      <c r="I9" s="1"/>
      <c r="J9" s="1"/>
      <c r="K9" s="1"/>
      <c r="L9" s="7"/>
      <c r="M9" s="11" t="s">
        <v>34</v>
      </c>
      <c r="Q9" s="11" t="s">
        <v>40</v>
      </c>
    </row>
    <row r="10" spans="1:19" x14ac:dyDescent="0.25">
      <c r="A10" s="2" t="s">
        <v>2</v>
      </c>
      <c r="B10" s="5" t="s">
        <v>41</v>
      </c>
      <c r="C10" s="5" t="s">
        <v>42</v>
      </c>
      <c r="D10" s="5" t="s">
        <v>52</v>
      </c>
      <c r="E10" s="5" t="s">
        <v>200</v>
      </c>
      <c r="G10" s="2" t="s">
        <v>2</v>
      </c>
      <c r="H10" s="5" t="s">
        <v>41</v>
      </c>
      <c r="I10" s="5" t="s">
        <v>42</v>
      </c>
      <c r="J10" s="5" t="s">
        <v>43</v>
      </c>
      <c r="K10" s="5" t="s">
        <v>252</v>
      </c>
      <c r="L10" s="5"/>
      <c r="M10" s="2"/>
      <c r="N10" s="5" t="s">
        <v>200</v>
      </c>
      <c r="O10" s="5" t="s">
        <v>252</v>
      </c>
      <c r="Q10" s="29"/>
      <c r="R10" s="34" t="s">
        <v>200</v>
      </c>
      <c r="S10" s="34" t="s">
        <v>35</v>
      </c>
    </row>
    <row r="11" spans="1:19" ht="15.75" thickBot="1" x14ac:dyDescent="0.3">
      <c r="A11">
        <v>0</v>
      </c>
      <c r="B11" s="83" t="n">
        <v>20622.8836</v>
      </c>
      <c r="C11" s="83" t="n">
        <v>0.0</v>
      </c>
      <c r="D11" s="83" t="n">
        <v>7660.9199</v>
      </c>
      <c r="E11" s="83">
        <f t="shared" ref="E11:E42" si="0">SUM(B11:D11)</f>
        <v>28283.803500000002</v>
      </c>
      <c r="G11">
        <v>0</v>
      </c>
      <c r="H11" s="83" t="n">
        <v>110856.0</v>
      </c>
      <c r="I11" s="83" t="n">
        <v>14579.0</v>
      </c>
      <c r="J11" s="85" t="n">
        <v>27745.0</v>
      </c>
      <c r="K11" s="83">
        <f t="shared" ref="K11:K42" si="1">SUM(H11:J11)</f>
        <v>152687</v>
      </c>
      <c r="M11" t="s">
        <v>41</v>
      </c>
      <c r="N11" s="9" t="n">
        <v>5.295586660763182</v>
      </c>
      <c r="O11" s="9" t="n">
        <v>3.5230937225256405</v>
      </c>
      <c r="Q11" s="1" t="s">
        <v>3</v>
      </c>
      <c r="R11" s="10"/>
      <c r="S11" s="10"/>
    </row>
    <row r="12" spans="1:19" x14ac:dyDescent="0.25">
      <c r="A12">
        <v>1</v>
      </c>
      <c r="B12" s="83" t="n">
        <v>32911.2192</v>
      </c>
      <c r="C12" s="83" t="n">
        <v>3301.3162</v>
      </c>
      <c r="D12" s="83" t="n">
        <v>844.5823</v>
      </c>
      <c r="E12" s="83">
        <f t="shared" si="0"/>
        <v>37057.117700000003</v>
      </c>
      <c r="G12">
        <v>1</v>
      </c>
      <c r="H12" s="83" t="n">
        <v>79934.0</v>
      </c>
      <c r="I12" s="83" t="n">
        <v>9455.0</v>
      </c>
      <c r="J12" s="85" t="n">
        <v>10523.0</v>
      </c>
      <c r="K12" s="83">
        <f t="shared" si="1"/>
        <v>99654</v>
      </c>
      <c r="M12" t="s">
        <v>42</v>
      </c>
      <c r="N12" s="9" t="n">
        <v>6.415557529988825</v>
      </c>
      <c r="O12" s="9" t="n">
        <v>5.280957719497889</v>
      </c>
      <c r="R12" s="9"/>
      <c r="S12" s="9"/>
    </row>
    <row r="13" spans="1:19" x14ac:dyDescent="0.25">
      <c r="A13">
        <v>2</v>
      </c>
      <c r="B13" s="83" t="n">
        <v>37425.1108</v>
      </c>
      <c r="C13" s="83" t="n">
        <v>2652.9</v>
      </c>
      <c r="D13" s="83" t="n">
        <v>1730.8838</v>
      </c>
      <c r="E13" s="83">
        <f t="shared" si="0"/>
        <v>41808.894600000007</v>
      </c>
      <c r="G13">
        <v>2</v>
      </c>
      <c r="H13" s="83" t="n">
        <v>47233.0</v>
      </c>
      <c r="I13" s="83" t="n">
        <v>6599.0</v>
      </c>
      <c r="J13" s="85" t="n">
        <v>5756.0</v>
      </c>
      <c r="K13" s="83">
        <f t="shared" si="1"/>
        <v>59416</v>
      </c>
      <c r="M13" s="6" t="s">
        <v>43</v>
      </c>
      <c r="N13" s="18" t="n">
        <v>8.10780648759595</v>
      </c>
      <c r="O13" s="18" t="n">
        <v>8.777572115560876</v>
      </c>
      <c r="Q13" s="7"/>
      <c r="R13" s="33"/>
      <c r="S13" s="33"/>
    </row>
    <row r="14" spans="1:19" ht="15.75" thickBot="1" x14ac:dyDescent="0.3">
      <c r="A14">
        <v>3</v>
      </c>
      <c r="B14" s="83" t="n">
        <v>52295.9745</v>
      </c>
      <c r="C14" s="83" t="n">
        <v>5458.6975</v>
      </c>
      <c r="D14" s="83" t="n">
        <v>3422.2806</v>
      </c>
      <c r="E14" s="83">
        <f t="shared" si="0"/>
        <v>61176.952599999997</v>
      </c>
      <c r="G14">
        <v>3</v>
      </c>
      <c r="H14" s="83" t="n">
        <v>28723.0</v>
      </c>
      <c r="I14" s="83" t="n">
        <v>4648.0</v>
      </c>
      <c r="J14" s="85" t="n">
        <v>4621.0</v>
      </c>
      <c r="K14" s="83">
        <f t="shared" si="1"/>
        <v>38427</v>
      </c>
      <c r="M14" s="1" t="s">
        <v>3</v>
      </c>
      <c r="N14" s="10" t="n">
        <v>5.739509620086852</v>
      </c>
      <c r="O14" s="10" t="n">
        <v>5.188004371590504</v>
      </c>
    </row>
    <row r="15" spans="1:19" x14ac:dyDescent="0.25">
      <c r="A15">
        <v>4</v>
      </c>
      <c r="B15" s="83" t="n">
        <v>99648.9129</v>
      </c>
      <c r="C15" s="83" t="n">
        <v>12602.233</v>
      </c>
      <c r="D15" s="83" t="n">
        <v>11868.1322</v>
      </c>
      <c r="E15" s="83">
        <f t="shared" si="0"/>
        <v>124119.2781</v>
      </c>
      <c r="G15">
        <v>4</v>
      </c>
      <c r="H15" s="83" t="n">
        <v>94727.0</v>
      </c>
      <c r="I15" s="83" t="n">
        <v>18148.0</v>
      </c>
      <c r="J15" s="85" t="n">
        <v>23113.0</v>
      </c>
      <c r="K15" s="83">
        <f t="shared" si="1"/>
        <v>134804</v>
      </c>
    </row>
    <row r="16" spans="1:19" x14ac:dyDescent="0.25">
      <c r="A16">
        <v>5</v>
      </c>
      <c r="B16" s="83" t="n">
        <v>41873.7112</v>
      </c>
      <c r="C16" s="83" t="n">
        <v>8814.9107</v>
      </c>
      <c r="D16" s="83" t="n">
        <v>4964.6667</v>
      </c>
      <c r="E16" s="83">
        <f t="shared" si="0"/>
        <v>55653.2886</v>
      </c>
      <c r="G16">
        <v>5</v>
      </c>
      <c r="H16" s="83" t="n">
        <v>32346.0</v>
      </c>
      <c r="I16" s="83" t="n">
        <v>8351.0</v>
      </c>
      <c r="J16" s="85" t="n">
        <v>23126.0</v>
      </c>
      <c r="K16" s="83">
        <f t="shared" si="1"/>
        <v>62799</v>
      </c>
    </row>
    <row r="17" spans="1:11" x14ac:dyDescent="0.25">
      <c r="A17">
        <v>6</v>
      </c>
      <c r="B17" s="83" t="n">
        <v>72254.489</v>
      </c>
      <c r="C17" s="83" t="n">
        <v>13808.6239</v>
      </c>
      <c r="D17" s="83" t="n">
        <v>7645.2999</v>
      </c>
      <c r="E17" s="83">
        <f t="shared" si="0"/>
        <v>93708.412800000006</v>
      </c>
      <c r="G17">
        <v>6</v>
      </c>
      <c r="H17" s="83" t="n">
        <v>40093.0</v>
      </c>
      <c r="I17" s="83" t="n">
        <v>9452.0</v>
      </c>
      <c r="J17" s="85" t="n">
        <v>19457.0</v>
      </c>
      <c r="K17" s="83">
        <f t="shared" si="1"/>
        <v>68739</v>
      </c>
    </row>
    <row r="18" spans="1:11" x14ac:dyDescent="0.25">
      <c r="A18">
        <v>7</v>
      </c>
      <c r="B18" s="83" t="n">
        <v>20062.4445</v>
      </c>
      <c r="C18" s="83" t="n">
        <v>2110.6226</v>
      </c>
      <c r="D18" s="83" t="n">
        <v>6027.5196</v>
      </c>
      <c r="E18" s="83">
        <f t="shared" si="0"/>
        <v>28200.5867</v>
      </c>
      <c r="G18">
        <v>7</v>
      </c>
      <c r="H18" s="83" t="n">
        <v>14120.0</v>
      </c>
      <c r="I18" s="83" t="n">
        <v>4137.0</v>
      </c>
      <c r="J18" s="85" t="n">
        <v>13489.0</v>
      </c>
      <c r="K18" s="83">
        <f t="shared" si="1"/>
        <v>31226</v>
      </c>
    </row>
    <row r="19" spans="1:11" x14ac:dyDescent="0.25">
      <c r="A19">
        <v>8</v>
      </c>
      <c r="B19" s="83" t="n">
        <v>16886.6081</v>
      </c>
      <c r="C19" s="83" t="n">
        <v>5540.8172</v>
      </c>
      <c r="D19" s="83" t="n">
        <v>1215.9076</v>
      </c>
      <c r="E19" s="83">
        <f t="shared" si="0"/>
        <v>23643.332900000001</v>
      </c>
      <c r="G19">
        <v>8</v>
      </c>
      <c r="H19" s="83" t="n">
        <v>15240.0</v>
      </c>
      <c r="I19" s="83" t="n">
        <v>4639.0</v>
      </c>
      <c r="J19" s="85" t="n">
        <v>15483.0</v>
      </c>
      <c r="K19" s="83">
        <f t="shared" si="1"/>
        <v>39190</v>
      </c>
    </row>
    <row r="20" spans="1:11" x14ac:dyDescent="0.25">
      <c r="A20">
        <v>9</v>
      </c>
      <c r="B20" s="83" t="n">
        <v>9186.5568</v>
      </c>
      <c r="C20" s="83" t="n">
        <v>3760.0686</v>
      </c>
      <c r="D20" s="83" t="n">
        <v>942.7076999999999</v>
      </c>
      <c r="E20" s="83">
        <f t="shared" si="0"/>
        <v>13889.3331</v>
      </c>
      <c r="G20">
        <v>9</v>
      </c>
      <c r="H20" s="83" t="n">
        <v>8474.0</v>
      </c>
      <c r="I20" s="83" t="n">
        <v>2952.0</v>
      </c>
      <c r="J20" s="85" t="n">
        <v>14673.0</v>
      </c>
      <c r="K20" s="83">
        <f t="shared" si="1"/>
        <v>23030</v>
      </c>
    </row>
    <row r="21" spans="1:11" x14ac:dyDescent="0.25">
      <c r="A21">
        <v>10</v>
      </c>
      <c r="B21" s="83" t="n">
        <v>20560.6374</v>
      </c>
      <c r="C21" s="83" t="n">
        <v>3606.0438</v>
      </c>
      <c r="D21" s="83" t="n">
        <v>4530.4183</v>
      </c>
      <c r="E21" s="83">
        <f t="shared" si="0"/>
        <v>28697.0995</v>
      </c>
      <c r="G21">
        <v>10</v>
      </c>
      <c r="H21" s="83" t="n">
        <v>4201.0</v>
      </c>
      <c r="I21" s="83" t="n">
        <v>1796.0</v>
      </c>
      <c r="J21" s="85" t="n">
        <v>4167.0</v>
      </c>
      <c r="K21" s="83">
        <f t="shared" si="1"/>
        <v>9187</v>
      </c>
    </row>
    <row r="22" spans="1:11" x14ac:dyDescent="0.25">
      <c r="A22">
        <v>11</v>
      </c>
      <c r="B22" s="83" t="n">
        <v>9027.6644</v>
      </c>
      <c r="C22" s="83" t="n">
        <v>1609.5451</v>
      </c>
      <c r="D22" s="83" t="n">
        <v>753.3503999999999</v>
      </c>
      <c r="E22" s="83">
        <f t="shared" si="0"/>
        <v>11390.559899999998</v>
      </c>
      <c r="G22">
        <v>11</v>
      </c>
      <c r="H22" s="83" t="n">
        <v>3850.0</v>
      </c>
      <c r="I22" s="83" t="n">
        <v>1714.0</v>
      </c>
      <c r="J22" s="85" t="n">
        <v>5451.0</v>
      </c>
      <c r="K22" s="83">
        <f t="shared" si="1"/>
        <v>10222</v>
      </c>
    </row>
    <row r="23" spans="1:11" x14ac:dyDescent="0.25">
      <c r="A23">
        <v>12</v>
      </c>
      <c r="B23" s="83" t="n">
        <v>2878.1041</v>
      </c>
      <c r="C23" s="83" t="n">
        <v>1171.11</v>
      </c>
      <c r="D23" s="83" t="n">
        <v>2602.9287</v>
      </c>
      <c r="E23" s="83">
        <f t="shared" si="0"/>
        <v>6652.1427999999996</v>
      </c>
      <c r="G23">
        <v>12</v>
      </c>
      <c r="H23" s="83" t="n">
        <v>2321.0</v>
      </c>
      <c r="I23" s="83" t="n">
        <v>1225.0</v>
      </c>
      <c r="J23" s="85" t="n">
        <v>6350.0</v>
      </c>
      <c r="K23" s="83">
        <f t="shared" si="1"/>
        <v>9986</v>
      </c>
    </row>
    <row r="24" spans="1:11" x14ac:dyDescent="0.25">
      <c r="A24">
        <v>13</v>
      </c>
      <c r="B24" s="83" t="n">
        <v>1833.3625</v>
      </c>
      <c r="C24" s="83" t="n">
        <v>0.0</v>
      </c>
      <c r="D24" s="83" t="n">
        <v>372.1817</v>
      </c>
      <c r="E24" s="83">
        <f t="shared" si="0"/>
        <v>2205.5441999999998</v>
      </c>
      <c r="G24">
        <v>13</v>
      </c>
      <c r="H24" s="83" t="n">
        <v>1604.0</v>
      </c>
      <c r="I24" s="83" t="n">
        <v>1235.0</v>
      </c>
      <c r="J24" s="85" t="n">
        <v>7842.0</v>
      </c>
      <c r="K24" s="83">
        <f t="shared" si="1"/>
        <v>11594</v>
      </c>
    </row>
    <row r="25" spans="1:11" x14ac:dyDescent="0.25">
      <c r="A25">
        <v>14</v>
      </c>
      <c r="B25" s="83" t="n">
        <v>1492.6572999999999</v>
      </c>
      <c r="C25" s="83" t="n">
        <v>0.0</v>
      </c>
      <c r="D25" s="83" t="n">
        <v>2312.1342</v>
      </c>
      <c r="E25" s="83">
        <f t="shared" si="0"/>
        <v>3804.7914999999998</v>
      </c>
      <c r="G25">
        <v>14</v>
      </c>
      <c r="H25" s="83" t="n">
        <v>862.0</v>
      </c>
      <c r="I25" s="83" t="n">
        <v>898.0</v>
      </c>
      <c r="J25" s="85" t="n">
        <v>6176.0</v>
      </c>
      <c r="K25" s="83">
        <f t="shared" si="1"/>
        <v>6974</v>
      </c>
    </row>
    <row r="26" spans="1:11" x14ac:dyDescent="0.25">
      <c r="A26">
        <v>15</v>
      </c>
      <c r="B26" s="83" t="n">
        <v>1031.4047</v>
      </c>
      <c r="C26" s="83" t="n">
        <v>0.0</v>
      </c>
      <c r="D26" s="83" t="n">
        <v>1989.073</v>
      </c>
      <c r="E26" s="83">
        <f t="shared" si="0"/>
        <v>3020.4777000000004</v>
      </c>
      <c r="G26">
        <v>15</v>
      </c>
      <c r="H26" s="83" t="n">
        <v>599.0</v>
      </c>
      <c r="I26" s="83" t="n">
        <v>684.0</v>
      </c>
      <c r="J26" s="85" t="n">
        <v>3406.0</v>
      </c>
      <c r="K26" s="83">
        <f t="shared" si="1"/>
        <v>5111</v>
      </c>
    </row>
    <row r="27" spans="1:11" x14ac:dyDescent="0.25">
      <c r="A27">
        <v>16</v>
      </c>
      <c r="B27" s="83" t="n">
        <v>4675.1829</v>
      </c>
      <c r="C27" s="83" t="n">
        <v>644.3417</v>
      </c>
      <c r="D27" s="83" t="n">
        <v>867.7864</v>
      </c>
      <c r="E27" s="83">
        <f t="shared" si="0"/>
        <v>6187.3109999999997</v>
      </c>
      <c r="G27">
        <v>16</v>
      </c>
      <c r="H27" s="83" t="n">
        <v>514.0</v>
      </c>
      <c r="I27" s="83" t="n">
        <v>634.0</v>
      </c>
      <c r="J27" s="85" t="n">
        <v>3044.0</v>
      </c>
      <c r="K27" s="83">
        <f t="shared" si="1"/>
        <v>4437</v>
      </c>
    </row>
    <row r="28" spans="1:11" x14ac:dyDescent="0.25">
      <c r="A28">
        <v>17</v>
      </c>
      <c r="B28" s="83" t="n">
        <v>476.72499999999997</v>
      </c>
      <c r="C28" s="83" t="n">
        <v>542.7239</v>
      </c>
      <c r="D28" s="83" t="n">
        <v>384.1741</v>
      </c>
      <c r="E28" s="83">
        <f t="shared" si="0"/>
        <v>1403.6229999999998</v>
      </c>
      <c r="G28">
        <v>17</v>
      </c>
      <c r="H28" s="83" t="n">
        <v>308.0</v>
      </c>
      <c r="I28" s="83" t="n">
        <v>500.0</v>
      </c>
      <c r="J28" s="85" t="n">
        <v>2512.0</v>
      </c>
      <c r="K28" s="83">
        <f t="shared" si="1"/>
        <v>4723</v>
      </c>
    </row>
    <row r="29" spans="1:11" x14ac:dyDescent="0.25">
      <c r="A29">
        <v>18</v>
      </c>
      <c r="B29" s="83" t="n">
        <v>1154.3296</v>
      </c>
      <c r="C29" s="83" t="n">
        <v>522.3251</v>
      </c>
      <c r="D29" s="83" t="n">
        <v>1611.5688</v>
      </c>
      <c r="E29" s="83">
        <f t="shared" si="0"/>
        <v>3288.2235000000001</v>
      </c>
      <c r="G29">
        <v>18</v>
      </c>
      <c r="H29" s="83" t="n">
        <v>239.0</v>
      </c>
      <c r="I29" s="83" t="n">
        <v>447.0</v>
      </c>
      <c r="J29" s="85" t="n">
        <v>3860.0</v>
      </c>
      <c r="K29" s="83">
        <f t="shared" si="1"/>
        <v>3358</v>
      </c>
    </row>
    <row r="30" spans="1:11" x14ac:dyDescent="0.25">
      <c r="A30">
        <v>19</v>
      </c>
      <c r="B30" s="83" t="n">
        <v>279.8517</v>
      </c>
      <c r="C30" s="83" t="n">
        <v>438.0688</v>
      </c>
      <c r="D30" s="83" t="n">
        <v>1147.553</v>
      </c>
      <c r="E30" s="83">
        <f t="shared" si="0"/>
        <v>1865.4735000000001</v>
      </c>
      <c r="G30">
        <v>19</v>
      </c>
      <c r="H30" s="83" t="n">
        <v>84.0</v>
      </c>
      <c r="I30" s="83" t="n">
        <v>330.0</v>
      </c>
      <c r="J30" s="85" t="n">
        <v>3390.0</v>
      </c>
      <c r="K30" s="83">
        <f t="shared" si="1"/>
        <v>2538</v>
      </c>
    </row>
    <row r="31" spans="1:11" x14ac:dyDescent="0.25">
      <c r="A31">
        <v>20</v>
      </c>
      <c r="B31" s="83" t="n">
        <v>0.0</v>
      </c>
      <c r="C31" s="83" t="n">
        <v>262.7907</v>
      </c>
      <c r="D31" s="83" t="n">
        <v>63.507999999999996</v>
      </c>
      <c r="E31" s="83">
        <f t="shared" si="0"/>
        <v>326.2987</v>
      </c>
      <c r="G31">
        <v>20</v>
      </c>
      <c r="H31" s="83" t="n">
        <v>74.0</v>
      </c>
      <c r="I31" s="83" t="n">
        <v>254.0</v>
      </c>
      <c r="J31" s="85" t="n">
        <v>2704.0</v>
      </c>
      <c r="K31" s="83">
        <f t="shared" si="1"/>
        <v>4168</v>
      </c>
    </row>
    <row r="32" spans="1:11" x14ac:dyDescent="0.25">
      <c r="A32">
        <v>21</v>
      </c>
      <c r="B32" s="83" t="n">
        <v>5789.6123</v>
      </c>
      <c r="C32" s="83" t="n">
        <v>309.8473</v>
      </c>
      <c r="D32" s="83" t="n">
        <v>91.32329999999999</v>
      </c>
      <c r="E32" s="83">
        <f t="shared" si="0"/>
        <v>6190.7829000000002</v>
      </c>
      <c r="G32">
        <v>21</v>
      </c>
      <c r="H32" s="83" t="n">
        <v>48.0</v>
      </c>
      <c r="I32" s="83" t="n">
        <v>183.0</v>
      </c>
      <c r="J32" s="85" t="n">
        <v>1779.0</v>
      </c>
      <c r="K32" s="83">
        <f t="shared" si="1"/>
        <v>2579</v>
      </c>
    </row>
    <row r="33" spans="1:11" x14ac:dyDescent="0.25">
      <c r="A33">
        <v>22</v>
      </c>
      <c r="B33" s="83" t="n">
        <v>212.6231</v>
      </c>
      <c r="C33" s="83" t="n">
        <v>0.0</v>
      </c>
      <c r="D33" s="83" t="n">
        <v>53.512</v>
      </c>
      <c r="E33" s="83">
        <f t="shared" si="0"/>
        <v>266.13509999999997</v>
      </c>
      <c r="G33">
        <v>22</v>
      </c>
      <c r="H33" s="83" t="n">
        <v>24.0</v>
      </c>
      <c r="I33" s="83" t="n">
        <v>146.0</v>
      </c>
      <c r="J33" s="85" t="n">
        <v>1732.0</v>
      </c>
      <c r="K33" s="83">
        <f t="shared" si="1"/>
        <v>2618</v>
      </c>
    </row>
    <row r="34" spans="1:11" x14ac:dyDescent="0.25">
      <c r="A34">
        <v>23</v>
      </c>
      <c r="B34" s="83" t="n">
        <v>2931.9003</v>
      </c>
      <c r="C34" s="83" t="n">
        <v>0.0</v>
      </c>
      <c r="D34" s="83" t="n">
        <v>138.8796</v>
      </c>
      <c r="E34" s="83">
        <f t="shared" si="0"/>
        <v>3070.7799</v>
      </c>
      <c r="G34">
        <v>23</v>
      </c>
      <c r="H34" s="83" t="n">
        <v>14.0</v>
      </c>
      <c r="I34" s="83" t="n">
        <v>163.0</v>
      </c>
      <c r="J34" s="85" t="n">
        <v>1504.0</v>
      </c>
      <c r="K34" s="83">
        <f t="shared" si="1"/>
        <v>1733</v>
      </c>
    </row>
    <row r="35" spans="1:11" x14ac:dyDescent="0.25">
      <c r="A35">
        <v>24</v>
      </c>
      <c r="B35" s="83" t="n">
        <v>0.0</v>
      </c>
      <c r="C35" s="83" t="n">
        <v>0.0</v>
      </c>
      <c r="D35" s="83" t="n">
        <v>458.12399999999997</v>
      </c>
      <c r="E35" s="83">
        <f t="shared" si="0"/>
        <v>458.12399999999997</v>
      </c>
      <c r="G35">
        <v>24</v>
      </c>
      <c r="H35" s="83" t="n">
        <v>9.0</v>
      </c>
      <c r="I35" s="83" t="n">
        <v>127.0</v>
      </c>
      <c r="J35" s="85" t="n">
        <v>1744.0</v>
      </c>
      <c r="K35" s="83">
        <f t="shared" si="1"/>
        <v>1247</v>
      </c>
    </row>
    <row r="36" spans="1:11" x14ac:dyDescent="0.25">
      <c r="A36">
        <v>25</v>
      </c>
      <c r="B36" s="83" t="n">
        <v>0.0</v>
      </c>
      <c r="C36" s="83" t="n">
        <v>0.0</v>
      </c>
      <c r="D36" s="83" t="n">
        <v>87.069</v>
      </c>
      <c r="E36" s="83">
        <f t="shared" si="0"/>
        <v>87.069000000000003</v>
      </c>
      <c r="G36">
        <v>25</v>
      </c>
      <c r="H36" s="83" t="n">
        <v>4.0</v>
      </c>
      <c r="I36" s="83" t="n">
        <v>96.0</v>
      </c>
      <c r="J36" s="85" t="n">
        <v>1165.0</v>
      </c>
      <c r="K36" s="83">
        <f t="shared" si="1"/>
        <v>1677</v>
      </c>
    </row>
    <row r="37" spans="1:11" x14ac:dyDescent="0.25">
      <c r="A37">
        <v>26</v>
      </c>
      <c r="B37" s="83" t="n">
        <v>775.4409</v>
      </c>
      <c r="C37" s="83" t="n">
        <v>846.0343</v>
      </c>
      <c r="D37" s="83" t="n">
        <v>0.0</v>
      </c>
      <c r="E37" s="83">
        <f t="shared" si="0"/>
        <v>1621.4752000000001</v>
      </c>
      <c r="G37">
        <v>26</v>
      </c>
      <c r="H37" s="83" t="n">
        <v>0.0</v>
      </c>
      <c r="I37" s="83" t="n">
        <v>80.0</v>
      </c>
      <c r="J37" s="85" t="n">
        <v>578.0</v>
      </c>
      <c r="K37" s="83">
        <f t="shared" si="1"/>
        <v>1139</v>
      </c>
    </row>
    <row r="38" spans="1:11" x14ac:dyDescent="0.25">
      <c r="A38">
        <v>27</v>
      </c>
      <c r="B38" s="83" t="n">
        <v>0.0</v>
      </c>
      <c r="C38" s="83" t="n">
        <v>0.0</v>
      </c>
      <c r="D38" s="83" t="n">
        <v>569.2839</v>
      </c>
      <c r="E38" s="83">
        <f t="shared" si="0"/>
        <v>569.28390000000002</v>
      </c>
      <c r="G38">
        <v>27</v>
      </c>
      <c r="H38" s="83" t="n">
        <v>5.0</v>
      </c>
      <c r="I38" s="83" t="n">
        <v>66.0</v>
      </c>
      <c r="J38" s="85" t="n">
        <v>1211.0</v>
      </c>
      <c r="K38" s="83">
        <f t="shared" si="1"/>
        <v>1327</v>
      </c>
    </row>
    <row r="39" spans="1:11" x14ac:dyDescent="0.25">
      <c r="A39">
        <v>28</v>
      </c>
      <c r="B39" s="83" t="n">
        <v>1297.2364</v>
      </c>
      <c r="C39" s="83" t="n">
        <v>0.0</v>
      </c>
      <c r="D39" s="83" t="n">
        <v>0.0</v>
      </c>
      <c r="E39" s="83">
        <f t="shared" si="0"/>
        <v>1297.2364</v>
      </c>
      <c r="G39">
        <v>28</v>
      </c>
      <c r="H39" s="83" t="n">
        <v>2.0</v>
      </c>
      <c r="I39" s="83" t="n">
        <v>38.0</v>
      </c>
      <c r="J39" s="85" t="n">
        <v>841.0</v>
      </c>
      <c r="K39" s="83">
        <f t="shared" si="1"/>
        <v>396</v>
      </c>
    </row>
    <row r="40" spans="1:11" x14ac:dyDescent="0.25">
      <c r="A40">
        <v>29</v>
      </c>
      <c r="B40" s="83" t="n">
        <v>0.0</v>
      </c>
      <c r="C40" s="83" t="n">
        <v>0.0</v>
      </c>
      <c r="D40" s="83" t="n">
        <v>31.814</v>
      </c>
      <c r="E40" s="83">
        <f t="shared" si="0"/>
        <v>31.814</v>
      </c>
      <c r="G40">
        <v>29</v>
      </c>
      <c r="H40" s="83" t="n">
        <v>1.0</v>
      </c>
      <c r="I40" s="83" t="n">
        <v>44.0</v>
      </c>
      <c r="J40" s="85" t="n">
        <v>509.0</v>
      </c>
      <c r="K40" s="83">
        <f t="shared" si="1"/>
        <v>1407</v>
      </c>
    </row>
    <row r="41" spans="1:11" x14ac:dyDescent="0.25">
      <c r="A41">
        <v>30</v>
      </c>
      <c r="B41" s="83" t="n">
        <v>0.0</v>
      </c>
      <c r="C41" s="83" t="n">
        <v>0.0</v>
      </c>
      <c r="D41" s="83" t="n">
        <v>13.399</v>
      </c>
      <c r="E41" s="83">
        <f t="shared" si="0"/>
        <v>13.398999999999999</v>
      </c>
      <c r="G41">
        <v>30</v>
      </c>
      <c r="H41" s="83" t="n">
        <v>2.0</v>
      </c>
      <c r="I41" s="83" t="n">
        <v>26.0</v>
      </c>
      <c r="J41" s="85" t="n">
        <v>913.0</v>
      </c>
      <c r="K41" s="83">
        <f t="shared" si="1"/>
        <v>956</v>
      </c>
    </row>
    <row r="42" spans="1:11" x14ac:dyDescent="0.25">
      <c r="A42">
        <v>31</v>
      </c>
      <c r="B42" s="83" t="n">
        <v>0.0</v>
      </c>
      <c r="C42" s="83" t="n">
        <v>0.0</v>
      </c>
      <c r="D42" s="83" t="n">
        <v>0.0</v>
      </c>
      <c r="E42" s="83">
        <f t="shared" si="0"/>
        <v>0</v>
      </c>
      <c r="G42">
        <v>31</v>
      </c>
      <c r="H42" s="83" t="n">
        <v>0.0</v>
      </c>
      <c r="I42" s="83" t="n">
        <v>27.0</v>
      </c>
      <c r="J42" s="85" t="n">
        <v>479.0</v>
      </c>
      <c r="K42" s="83">
        <f t="shared" si="1"/>
        <v>802</v>
      </c>
    </row>
    <row r="43" spans="1:11" x14ac:dyDescent="0.25">
      <c r="A43">
        <v>32</v>
      </c>
      <c r="B43" s="83" t="n">
        <v>0.0</v>
      </c>
      <c r="C43" s="83" t="n">
        <v>0.0</v>
      </c>
      <c r="D43" s="83" t="n">
        <v>12.739</v>
      </c>
      <c r="E43" s="83">
        <f t="shared" ref="E43:E74" si="2">SUM(B43:D43)</f>
        <v>12.739000000000001</v>
      </c>
      <c r="G43">
        <v>32</v>
      </c>
      <c r="H43" s="83" t="n">
        <v>0.0</v>
      </c>
      <c r="I43" s="83" t="n">
        <v>27.0</v>
      </c>
      <c r="J43" s="85" t="n">
        <v>478.0</v>
      </c>
      <c r="K43" s="83">
        <f t="shared" ref="K43:K74" si="3">SUM(H43:J43)</f>
        <v>548</v>
      </c>
    </row>
    <row r="44" spans="1:11" x14ac:dyDescent="0.25">
      <c r="A44">
        <v>33</v>
      </c>
      <c r="B44" s="83" t="n">
        <v>0.0</v>
      </c>
      <c r="C44" s="83" t="n">
        <v>0.0</v>
      </c>
      <c r="D44" s="83" t="n">
        <v>10.791</v>
      </c>
      <c r="E44" s="83">
        <f t="shared" si="2"/>
        <v>10.791</v>
      </c>
      <c r="G44">
        <v>33</v>
      </c>
      <c r="H44" s="83" t="n">
        <v>0.0</v>
      </c>
      <c r="I44" s="83" t="n">
        <v>23.0</v>
      </c>
      <c r="J44" s="85" t="n">
        <v>581.0</v>
      </c>
      <c r="K44" s="83">
        <f t="shared" si="3"/>
        <v>481</v>
      </c>
    </row>
    <row r="45" spans="1:11" x14ac:dyDescent="0.25">
      <c r="A45">
        <v>34</v>
      </c>
      <c r="B45" s="83" t="n">
        <v>0.0</v>
      </c>
      <c r="C45" s="83" t="n">
        <v>78.9631</v>
      </c>
      <c r="D45" s="83" t="n">
        <v>0.0</v>
      </c>
      <c r="E45" s="83">
        <f t="shared" si="2"/>
        <v>78.963099999999997</v>
      </c>
      <c r="G45">
        <v>34</v>
      </c>
      <c r="H45" s="83" t="n">
        <v>0.0</v>
      </c>
      <c r="I45" s="83" t="n">
        <v>15.0</v>
      </c>
      <c r="J45" s="85" t="n">
        <v>260.0</v>
      </c>
      <c r="K45" s="83">
        <f t="shared" si="3"/>
        <v>444</v>
      </c>
    </row>
    <row r="46" spans="1:11" x14ac:dyDescent="0.25">
      <c r="A46">
        <v>35</v>
      </c>
      <c r="B46" s="83" t="n">
        <v>0.0</v>
      </c>
      <c r="C46" s="83" t="n">
        <v>0.0</v>
      </c>
      <c r="D46" s="83" t="n">
        <v>25.786</v>
      </c>
      <c r="E46" s="83">
        <f t="shared" si="2"/>
        <v>25.786000000000001</v>
      </c>
      <c r="G46">
        <v>35</v>
      </c>
      <c r="H46" s="83" t="n">
        <v>0.0</v>
      </c>
      <c r="I46" s="83" t="n">
        <v>9.0</v>
      </c>
      <c r="J46" s="85" t="n">
        <v>176.0</v>
      </c>
      <c r="K46" s="83">
        <f t="shared" si="3"/>
        <v>351</v>
      </c>
    </row>
    <row r="47" spans="1:11" x14ac:dyDescent="0.25">
      <c r="A47">
        <v>36</v>
      </c>
      <c r="B47" s="83" t="n">
        <v>0.0</v>
      </c>
      <c r="C47" s="83" t="n">
        <v>0.0</v>
      </c>
      <c r="D47" s="83" t="n">
        <v>0.0</v>
      </c>
      <c r="E47" s="83">
        <f t="shared" si="2"/>
        <v>0</v>
      </c>
      <c r="G47">
        <v>36</v>
      </c>
      <c r="H47" s="83" t="n">
        <v>0.0</v>
      </c>
      <c r="I47" s="83" t="n">
        <v>15.0</v>
      </c>
      <c r="J47" s="85" t="n">
        <v>601.0</v>
      </c>
      <c r="K47" s="83">
        <f t="shared" si="3"/>
        <v>845</v>
      </c>
    </row>
    <row r="48" spans="1:11" x14ac:dyDescent="0.25">
      <c r="A48">
        <v>37</v>
      </c>
      <c r="B48" s="83" t="n">
        <v>0.0</v>
      </c>
      <c r="C48" s="83" t="n">
        <v>0.0</v>
      </c>
      <c r="D48" s="83" t="n">
        <v>0.0</v>
      </c>
      <c r="E48" s="83">
        <f t="shared" si="2"/>
        <v>0</v>
      </c>
      <c r="G48">
        <v>37</v>
      </c>
      <c r="H48" s="83" t="n">
        <v>0.0</v>
      </c>
      <c r="I48" s="83" t="n">
        <v>10.0</v>
      </c>
      <c r="J48" s="85" t="n">
        <v>249.0</v>
      </c>
      <c r="K48" s="83">
        <f t="shared" si="3"/>
        <v>449</v>
      </c>
    </row>
    <row r="49" spans="1:11" x14ac:dyDescent="0.25">
      <c r="A49">
        <v>38</v>
      </c>
      <c r="B49" s="83" t="n">
        <v>0.0</v>
      </c>
      <c r="C49" s="83" t="n">
        <v>0.0</v>
      </c>
      <c r="D49" s="83" t="n">
        <v>0.0</v>
      </c>
      <c r="E49" s="83">
        <f t="shared" si="2"/>
        <v>0</v>
      </c>
      <c r="G49">
        <v>38</v>
      </c>
      <c r="H49" s="83" t="n">
        <v>0.0</v>
      </c>
      <c r="I49" s="83" t="n">
        <v>10.0</v>
      </c>
      <c r="J49" s="85" t="n">
        <v>286.0</v>
      </c>
      <c r="K49" s="83">
        <f t="shared" si="3"/>
        <v>295</v>
      </c>
    </row>
    <row r="50" spans="1:11" x14ac:dyDescent="0.25">
      <c r="A50">
        <v>39</v>
      </c>
      <c r="B50" s="83" t="n">
        <v>0.0</v>
      </c>
      <c r="C50" s="83" t="n">
        <v>0.0</v>
      </c>
      <c r="D50" s="83" t="n">
        <v>4.128</v>
      </c>
      <c r="E50" s="83">
        <f t="shared" si="2"/>
        <v>4.1280000000000001</v>
      </c>
      <c r="G50">
        <v>39</v>
      </c>
      <c r="H50" s="83" t="n">
        <v>0.0</v>
      </c>
      <c r="I50" s="83" t="n">
        <v>4.0</v>
      </c>
      <c r="J50" s="85" t="n">
        <v>291.0</v>
      </c>
      <c r="K50" s="83">
        <f t="shared" si="3"/>
        <v>453</v>
      </c>
    </row>
    <row r="51" spans="1:11" x14ac:dyDescent="0.25">
      <c r="A51">
        <v>40</v>
      </c>
      <c r="B51" s="83" t="n">
        <v>0.0</v>
      </c>
      <c r="C51" s="83" t="n">
        <v>0.0</v>
      </c>
      <c r="D51" s="83" t="n">
        <v>860.3701</v>
      </c>
      <c r="E51" s="83">
        <f t="shared" si="2"/>
        <v>860.37009999999998</v>
      </c>
      <c r="G51">
        <v>40</v>
      </c>
      <c r="H51" s="83" t="n">
        <v>0.0</v>
      </c>
      <c r="I51" s="83" t="n">
        <v>3.0</v>
      </c>
      <c r="J51" s="85" t="n">
        <v>143.0</v>
      </c>
      <c r="K51" s="83">
        <f t="shared" si="3"/>
        <v>95</v>
      </c>
    </row>
    <row r="52" spans="1:11" x14ac:dyDescent="0.25">
      <c r="A52">
        <v>41</v>
      </c>
      <c r="B52" s="83" t="n">
        <v>0.0</v>
      </c>
      <c r="C52" s="83" t="n">
        <v>0.0</v>
      </c>
      <c r="D52" s="83" t="n">
        <v>0.0</v>
      </c>
      <c r="E52" s="83">
        <f t="shared" si="2"/>
        <v>0</v>
      </c>
      <c r="G52">
        <v>41</v>
      </c>
      <c r="H52" s="83" t="n">
        <v>0.0</v>
      </c>
      <c r="I52" s="83" t="n">
        <v>4.0</v>
      </c>
      <c r="J52" s="85" t="n">
        <v>129.0</v>
      </c>
      <c r="K52" s="83">
        <f t="shared" si="3"/>
        <v>209</v>
      </c>
    </row>
    <row r="53" spans="1:11" x14ac:dyDescent="0.25">
      <c r="A53">
        <v>42</v>
      </c>
      <c r="B53" s="83" t="n">
        <v>0.0</v>
      </c>
      <c r="C53" s="83" t="n">
        <v>0.0</v>
      </c>
      <c r="D53" s="83" t="n">
        <v>286.7204</v>
      </c>
      <c r="E53" s="83">
        <f t="shared" si="2"/>
        <v>286.72039999999998</v>
      </c>
      <c r="G53">
        <v>42</v>
      </c>
      <c r="H53" s="83" t="n">
        <v>0.0</v>
      </c>
      <c r="I53" s="83" t="n">
        <v>4.0</v>
      </c>
      <c r="J53" s="85" t="n">
        <v>25.0</v>
      </c>
      <c r="K53" s="83">
        <f t="shared" si="3"/>
        <v>116</v>
      </c>
    </row>
    <row r="54" spans="1:11" x14ac:dyDescent="0.25">
      <c r="A54">
        <v>43</v>
      </c>
      <c r="B54" s="83" t="n">
        <v>0.0</v>
      </c>
      <c r="C54" s="83" t="n">
        <v>0.0</v>
      </c>
      <c r="D54" s="83" t="n">
        <v>0.0</v>
      </c>
      <c r="E54" s="83">
        <f t="shared" si="2"/>
        <v>0</v>
      </c>
      <c r="G54">
        <v>43</v>
      </c>
      <c r="H54" s="83" t="n">
        <v>0.0</v>
      </c>
      <c r="I54" s="83" t="n">
        <v>2.0</v>
      </c>
      <c r="J54" s="85" t="n">
        <v>73.0</v>
      </c>
      <c r="K54" s="83">
        <f t="shared" si="3"/>
        <v>98</v>
      </c>
    </row>
    <row r="55" spans="1:11" x14ac:dyDescent="0.25">
      <c r="A55">
        <v>44</v>
      </c>
      <c r="B55" s="83" t="n">
        <v>0.0</v>
      </c>
      <c r="C55" s="83" t="n">
        <v>0.0</v>
      </c>
      <c r="D55" s="83" t="n">
        <v>0.0</v>
      </c>
      <c r="E55" s="83">
        <f t="shared" si="2"/>
        <v>0</v>
      </c>
      <c r="G55">
        <v>44</v>
      </c>
      <c r="H55" s="83" t="n">
        <v>0.0</v>
      </c>
      <c r="I55" s="83" t="n">
        <v>1.0</v>
      </c>
      <c r="J55" s="85" t="n">
        <v>86.0</v>
      </c>
      <c r="K55" s="83">
        <f t="shared" si="3"/>
        <v>252</v>
      </c>
    </row>
    <row r="56" spans="1:11" x14ac:dyDescent="0.25">
      <c r="A56">
        <v>45</v>
      </c>
      <c r="B56" s="83" t="n">
        <v>0.0</v>
      </c>
      <c r="C56" s="83" t="n">
        <v>0.0</v>
      </c>
      <c r="D56" s="83" t="n">
        <v>0.0</v>
      </c>
      <c r="E56" s="83">
        <f t="shared" si="2"/>
        <v>0</v>
      </c>
      <c r="G56">
        <v>45</v>
      </c>
      <c r="H56" s="83" t="n">
        <v>0.0</v>
      </c>
      <c r="I56" s="83" t="n">
        <v>1.0</v>
      </c>
      <c r="J56" s="85" t="n">
        <v>6.0</v>
      </c>
      <c r="K56" s="83">
        <f t="shared" si="3"/>
        <v>117</v>
      </c>
    </row>
    <row r="57" spans="1:11" x14ac:dyDescent="0.25">
      <c r="A57">
        <v>46</v>
      </c>
      <c r="B57" s="83" t="n">
        <v>0.0</v>
      </c>
      <c r="C57" s="83" t="n">
        <v>0.0</v>
      </c>
      <c r="D57" s="83" t="n">
        <v>0.0</v>
      </c>
      <c r="E57" s="83">
        <f t="shared" si="2"/>
        <v>0</v>
      </c>
      <c r="G57">
        <v>46</v>
      </c>
      <c r="H57" s="83" t="n">
        <v>0.0</v>
      </c>
      <c r="I57" s="83" t="n">
        <v>1.0</v>
      </c>
      <c r="J57" s="85" t="n">
        <v>139.0</v>
      </c>
      <c r="K57" s="83">
        <f t="shared" si="3"/>
        <v>117</v>
      </c>
    </row>
    <row r="58" spans="1:11" x14ac:dyDescent="0.25">
      <c r="A58">
        <v>47</v>
      </c>
      <c r="B58" s="83" t="n">
        <v>0.0</v>
      </c>
      <c r="C58" s="83" t="n">
        <v>0.0</v>
      </c>
      <c r="D58" s="83" t="n">
        <v>0.0</v>
      </c>
      <c r="E58" s="83">
        <f t="shared" si="2"/>
        <v>0</v>
      </c>
      <c r="G58">
        <v>47</v>
      </c>
      <c r="H58" s="83" t="n">
        <v>0.0</v>
      </c>
      <c r="I58" s="83" t="n">
        <v>0.0</v>
      </c>
      <c r="J58" s="85" t="n">
        <v>92.0</v>
      </c>
      <c r="K58" s="83">
        <f t="shared" si="3"/>
        <v>126</v>
      </c>
    </row>
    <row r="59" spans="1:11" x14ac:dyDescent="0.25">
      <c r="A59">
        <v>48</v>
      </c>
      <c r="B59" s="83" t="n">
        <v>0.0</v>
      </c>
      <c r="C59" s="83" t="n">
        <v>0.0</v>
      </c>
      <c r="D59" s="83" t="n">
        <v>468.9894</v>
      </c>
      <c r="E59" s="83">
        <f t="shared" si="2"/>
        <v>468.98939999999999</v>
      </c>
      <c r="G59">
        <v>48</v>
      </c>
      <c r="H59" s="83" t="n">
        <v>0.0</v>
      </c>
      <c r="I59" s="83" t="n">
        <v>0.0</v>
      </c>
      <c r="J59" s="85" t="n">
        <v>32.0</v>
      </c>
      <c r="K59" s="83">
        <f t="shared" si="3"/>
        <v>41</v>
      </c>
    </row>
    <row r="60" spans="1:11" x14ac:dyDescent="0.25">
      <c r="A60">
        <v>49</v>
      </c>
      <c r="B60" s="83" t="n">
        <v>0.0</v>
      </c>
      <c r="C60" s="83" t="n">
        <v>0.0</v>
      </c>
      <c r="D60" s="83" t="n">
        <v>0.0</v>
      </c>
      <c r="E60" s="83">
        <f t="shared" si="2"/>
        <v>0</v>
      </c>
      <c r="G60">
        <v>49</v>
      </c>
      <c r="H60" s="83" t="n">
        <v>0.0</v>
      </c>
      <c r="I60" s="83" t="n">
        <v>2.0</v>
      </c>
      <c r="J60" s="85" t="n">
        <v>134.0</v>
      </c>
      <c r="K60" s="83">
        <f t="shared" si="3"/>
        <v>184</v>
      </c>
    </row>
    <row r="61" spans="1:11" x14ac:dyDescent="0.25">
      <c r="A61">
        <v>50</v>
      </c>
      <c r="B61" s="83" t="n">
        <v>0.0</v>
      </c>
      <c r="C61" s="83" t="n">
        <v>0.0</v>
      </c>
      <c r="D61" s="83" t="n">
        <v>249.3058</v>
      </c>
      <c r="E61" s="83">
        <f t="shared" si="2"/>
        <v>249.3058</v>
      </c>
      <c r="G61">
        <v>50</v>
      </c>
      <c r="H61" s="83" t="n">
        <v>0.0</v>
      </c>
      <c r="I61" s="83" t="n">
        <v>0.0</v>
      </c>
      <c r="J61" s="85" t="n">
        <v>18.0</v>
      </c>
      <c r="K61" s="83">
        <f t="shared" si="3"/>
        <v>29</v>
      </c>
    </row>
    <row r="62" spans="1:11" x14ac:dyDescent="0.25">
      <c r="A62">
        <v>51</v>
      </c>
      <c r="B62" s="83" t="n">
        <v>0.0</v>
      </c>
      <c r="C62" s="83" t="n">
        <v>0.0</v>
      </c>
      <c r="D62" s="83" t="n">
        <v>0.0</v>
      </c>
      <c r="E62" s="83">
        <f t="shared" si="2"/>
        <v>0</v>
      </c>
      <c r="G62">
        <v>51</v>
      </c>
      <c r="H62" s="83" t="n">
        <v>0.0</v>
      </c>
      <c r="I62" s="83" t="n">
        <v>0.0</v>
      </c>
      <c r="J62" s="85" t="n">
        <v>36.0</v>
      </c>
      <c r="K62" s="83">
        <f t="shared" si="3"/>
        <v>27</v>
      </c>
    </row>
    <row r="63" spans="1:11" x14ac:dyDescent="0.25">
      <c r="A63">
        <v>52</v>
      </c>
      <c r="B63" s="83" t="n">
        <v>0.0</v>
      </c>
      <c r="C63" s="83" t="n">
        <v>0.0</v>
      </c>
      <c r="D63" s="83" t="n">
        <v>0.0</v>
      </c>
      <c r="E63" s="83">
        <f t="shared" si="2"/>
        <v>0</v>
      </c>
      <c r="G63">
        <v>52</v>
      </c>
      <c r="H63" s="83" t="n">
        <v>0.0</v>
      </c>
      <c r="I63" s="83" t="n">
        <v>0.0</v>
      </c>
      <c r="J63" s="85" t="n">
        <v>25.0</v>
      </c>
      <c r="K63" s="83">
        <f t="shared" si="3"/>
        <v>12</v>
      </c>
    </row>
    <row r="64" spans="1:11" x14ac:dyDescent="0.25">
      <c r="A64">
        <v>53</v>
      </c>
      <c r="B64" s="83" t="n">
        <v>0.0</v>
      </c>
      <c r="C64" s="83" t="n">
        <v>0.0</v>
      </c>
      <c r="D64" s="83" t="n">
        <v>13.487</v>
      </c>
      <c r="E64" s="83">
        <f t="shared" si="2"/>
        <v>13.487</v>
      </c>
      <c r="G64">
        <v>53</v>
      </c>
      <c r="H64" s="83" t="n">
        <v>0.0</v>
      </c>
      <c r="I64" s="83" t="n">
        <v>0.0</v>
      </c>
      <c r="J64" s="85" t="n">
        <v>2.0</v>
      </c>
      <c r="K64" s="83">
        <f t="shared" si="3"/>
        <v>51</v>
      </c>
    </row>
    <row r="65" spans="1:11" x14ac:dyDescent="0.25">
      <c r="A65">
        <v>54</v>
      </c>
      <c r="B65" s="83" t="n">
        <v>0.0</v>
      </c>
      <c r="C65" s="83" t="n">
        <v>0.0</v>
      </c>
      <c r="D65" s="83" t="n">
        <v>0.0</v>
      </c>
      <c r="E65" s="83">
        <f t="shared" si="2"/>
        <v>0</v>
      </c>
      <c r="G65">
        <v>54</v>
      </c>
      <c r="H65" s="83" t="n">
        <v>0.0</v>
      </c>
      <c r="I65" s="83" t="n">
        <v>0.0</v>
      </c>
      <c r="J65" s="85" t="n">
        <v>4.0</v>
      </c>
      <c r="K65" s="83">
        <f t="shared" si="3"/>
        <v>7</v>
      </c>
    </row>
    <row r="66" spans="1:11" x14ac:dyDescent="0.25">
      <c r="A66">
        <v>55</v>
      </c>
      <c r="B66" s="83" t="n">
        <v>0.0</v>
      </c>
      <c r="C66" s="83" t="n">
        <v>0.0</v>
      </c>
      <c r="D66" s="83" t="n">
        <v>3.675</v>
      </c>
      <c r="E66" s="83">
        <f t="shared" si="2"/>
        <v>3.6749999999999998</v>
      </c>
      <c r="G66">
        <v>55</v>
      </c>
      <c r="H66" s="83" t="n">
        <v>0.0</v>
      </c>
      <c r="I66" s="83" t="n">
        <v>0.0</v>
      </c>
      <c r="J66" s="85" t="n">
        <v>0.0</v>
      </c>
      <c r="K66" s="83">
        <f t="shared" si="3"/>
        <v>9</v>
      </c>
    </row>
    <row r="67" spans="1:11" x14ac:dyDescent="0.25">
      <c r="A67">
        <v>56</v>
      </c>
      <c r="B67" s="83" t="n">
        <v>0.0</v>
      </c>
      <c r="C67" s="83" t="n">
        <v>0.0</v>
      </c>
      <c r="D67" s="83" t="n">
        <v>0.0</v>
      </c>
      <c r="E67" s="83">
        <f t="shared" si="2"/>
        <v>0</v>
      </c>
      <c r="G67">
        <v>56</v>
      </c>
      <c r="H67" s="83" t="n">
        <v>0.0</v>
      </c>
      <c r="I67" s="83" t="n">
        <v>1.0</v>
      </c>
      <c r="J67" s="85" t="n">
        <v>4.0</v>
      </c>
      <c r="K67" s="83">
        <f t="shared" si="3"/>
        <v>4</v>
      </c>
    </row>
    <row r="68" spans="1:11" x14ac:dyDescent="0.25">
      <c r="A68">
        <v>57</v>
      </c>
      <c r="B68" s="83" t="n">
        <v>0.0</v>
      </c>
      <c r="C68" s="83" t="n">
        <v>0.0</v>
      </c>
      <c r="D68" s="83" t="n">
        <v>0.0</v>
      </c>
      <c r="E68" s="83">
        <f t="shared" si="2"/>
        <v>0</v>
      </c>
      <c r="G68">
        <v>57</v>
      </c>
      <c r="H68" s="83" t="n">
        <v>0.0</v>
      </c>
      <c r="I68" s="83" t="n">
        <v>0.0</v>
      </c>
      <c r="J68" s="85" t="n">
        <v>3.0</v>
      </c>
      <c r="K68" s="83">
        <f t="shared" si="3"/>
        <v>3</v>
      </c>
    </row>
    <row r="69" spans="1:11" x14ac:dyDescent="0.25">
      <c r="A69">
        <v>58</v>
      </c>
      <c r="B69" s="83" t="n">
        <v>0.0</v>
      </c>
      <c r="C69" s="83" t="n">
        <v>0.0</v>
      </c>
      <c r="D69" s="83" t="n">
        <v>0.0</v>
      </c>
      <c r="E69" s="83">
        <f t="shared" si="2"/>
        <v>0</v>
      </c>
      <c r="G69">
        <v>58</v>
      </c>
      <c r="H69" s="83" t="n">
        <v>0.0</v>
      </c>
      <c r="I69" s="83" t="n">
        <v>2.0</v>
      </c>
      <c r="J69" s="85" t="n">
        <v>7.0</v>
      </c>
      <c r="K69" s="83">
        <f t="shared" si="3"/>
        <v>10</v>
      </c>
    </row>
    <row r="70" spans="1:11" x14ac:dyDescent="0.25">
      <c r="A70">
        <v>59</v>
      </c>
      <c r="B70" s="83" t="n">
        <v>0.0</v>
      </c>
      <c r="C70" s="83" t="n">
        <v>0.0</v>
      </c>
      <c r="D70" s="83" t="n">
        <v>0.0</v>
      </c>
      <c r="E70" s="83">
        <f t="shared" si="2"/>
        <v>0</v>
      </c>
      <c r="G70">
        <v>59</v>
      </c>
      <c r="H70" s="83" t="n">
        <v>0.0</v>
      </c>
      <c r="I70" s="83" t="n">
        <v>0.0</v>
      </c>
      <c r="J70" s="85" t="n">
        <v>0.0</v>
      </c>
      <c r="K70" s="83">
        <f t="shared" si="3"/>
        <v>2</v>
      </c>
    </row>
    <row r="71" spans="1:11" x14ac:dyDescent="0.25">
      <c r="A71">
        <v>60</v>
      </c>
      <c r="B71" s="83" t="n">
        <v>0.0</v>
      </c>
      <c r="C71" s="83" t="n">
        <v>0.0</v>
      </c>
      <c r="D71" s="83" t="n">
        <v>0.0</v>
      </c>
      <c r="E71" s="83">
        <f t="shared" si="2"/>
        <v>0</v>
      </c>
      <c r="G71">
        <v>60</v>
      </c>
      <c r="H71" s="83" t="n">
        <v>0.0</v>
      </c>
      <c r="I71" s="83" t="n">
        <v>0.0</v>
      </c>
      <c r="J71" s="85" t="n">
        <v>0.0</v>
      </c>
      <c r="K71" s="83">
        <f t="shared" si="3"/>
        <v>3</v>
      </c>
    </row>
    <row r="72" spans="1:11" x14ac:dyDescent="0.25">
      <c r="A72">
        <v>61</v>
      </c>
      <c r="B72" s="83" t="n">
        <v>0.0</v>
      </c>
      <c r="C72" s="83" t="n">
        <v>0.0</v>
      </c>
      <c r="D72" s="83" t="n">
        <v>0.0</v>
      </c>
      <c r="E72" s="83">
        <f t="shared" si="2"/>
        <v>0</v>
      </c>
      <c r="G72">
        <v>61</v>
      </c>
      <c r="H72" s="83" t="n">
        <v>0.0</v>
      </c>
      <c r="I72" s="83" t="n">
        <v>0.0</v>
      </c>
      <c r="J72" s="85" t="n">
        <v>1.0</v>
      </c>
      <c r="K72" s="83">
        <f t="shared" si="3"/>
        <v>1</v>
      </c>
    </row>
    <row r="73" spans="1:11" x14ac:dyDescent="0.25">
      <c r="A73">
        <v>62</v>
      </c>
      <c r="B73" s="83" t="n">
        <v>0.0</v>
      </c>
      <c r="C73" s="83" t="n">
        <v>0.0</v>
      </c>
      <c r="D73" s="83" t="n">
        <v>0.0</v>
      </c>
      <c r="E73" s="83">
        <f t="shared" si="2"/>
        <v>0</v>
      </c>
      <c r="G73">
        <v>62</v>
      </c>
      <c r="H73" s="83" t="n">
        <v>0.0</v>
      </c>
      <c r="I73" s="83" t="n">
        <v>0.0</v>
      </c>
      <c r="J73" s="85" t="n">
        <v>0.0</v>
      </c>
      <c r="K73" s="83">
        <f t="shared" si="3"/>
        <v>0</v>
      </c>
    </row>
    <row r="74" spans="1:11" x14ac:dyDescent="0.25">
      <c r="A74">
        <v>63</v>
      </c>
      <c r="B74" s="83" t="n">
        <v>0.0</v>
      </c>
      <c r="C74" s="83" t="n">
        <v>0.0</v>
      </c>
      <c r="D74" s="83" t="n">
        <v>0.0</v>
      </c>
      <c r="E74" s="83">
        <f t="shared" si="2"/>
        <v>0</v>
      </c>
      <c r="G74">
        <v>63</v>
      </c>
      <c r="H74" s="83" t="n">
        <v>0.0</v>
      </c>
      <c r="I74" s="83" t="n">
        <v>0.0</v>
      </c>
      <c r="J74" s="85" t="n">
        <v>0.0</v>
      </c>
      <c r="K74" s="83">
        <f t="shared" si="3"/>
        <v>0</v>
      </c>
    </row>
    <row r="75" spans="1:11" x14ac:dyDescent="0.25">
      <c r="A75">
        <v>64</v>
      </c>
      <c r="B75" s="83" t="n">
        <v>0.0</v>
      </c>
      <c r="C75" s="83" t="n">
        <v>0.0</v>
      </c>
      <c r="D75" s="83" t="n">
        <v>0.0</v>
      </c>
      <c r="E75" s="83">
        <f t="shared" ref="E75:E101" si="4">SUM(B75:D75)</f>
        <v>0</v>
      </c>
      <c r="G75">
        <v>64</v>
      </c>
      <c r="H75" s="83" t="n">
        <v>0.0</v>
      </c>
      <c r="I75" s="83" t="n">
        <v>0.0</v>
      </c>
      <c r="J75" s="85" t="n">
        <v>0.0</v>
      </c>
      <c r="K75" s="83">
        <f t="shared" ref="K75:K101" si="5">SUM(H75:J75)</f>
        <v>3</v>
      </c>
    </row>
    <row r="76" spans="1:11" x14ac:dyDescent="0.25">
      <c r="A76">
        <v>65</v>
      </c>
      <c r="B76" s="83" t="n">
        <v>0.0</v>
      </c>
      <c r="C76" s="83" t="n">
        <v>0.0</v>
      </c>
      <c r="D76" s="83" t="n">
        <v>0.0</v>
      </c>
      <c r="E76" s="83">
        <f t="shared" si="4"/>
        <v>0</v>
      </c>
      <c r="G76">
        <v>65</v>
      </c>
      <c r="H76" s="83" t="n">
        <v>0.0</v>
      </c>
      <c r="I76" s="83" t="n">
        <v>0.0</v>
      </c>
      <c r="J76" s="85" t="n">
        <v>0.0</v>
      </c>
      <c r="K76" s="83">
        <f t="shared" si="5"/>
        <v>1</v>
      </c>
    </row>
    <row r="77" spans="1:11" x14ac:dyDescent="0.25">
      <c r="A77">
        <v>66</v>
      </c>
      <c r="B77" s="83" t="n">
        <v>0.0</v>
      </c>
      <c r="C77" s="83" t="n">
        <v>0.0</v>
      </c>
      <c r="D77" s="83" t="n">
        <v>0.0</v>
      </c>
      <c r="E77" s="83">
        <f t="shared" si="4"/>
        <v>0</v>
      </c>
      <c r="G77">
        <v>66</v>
      </c>
      <c r="H77" s="83" t="n">
        <v>0.0</v>
      </c>
      <c r="I77" s="83" t="n">
        <v>0.0</v>
      </c>
      <c r="J77" s="83" t="n">
        <v>0.0</v>
      </c>
      <c r="K77" s="83">
        <f t="shared" si="5"/>
        <v>2</v>
      </c>
    </row>
    <row r="78" spans="1:11" x14ac:dyDescent="0.25">
      <c r="A78">
        <v>67</v>
      </c>
      <c r="B78" s="83" t="n">
        <v>0.0</v>
      </c>
      <c r="C78" s="83" t="n">
        <v>0.0</v>
      </c>
      <c r="D78" s="83" t="n">
        <v>0.0</v>
      </c>
      <c r="E78" s="83">
        <f t="shared" si="4"/>
        <v>0</v>
      </c>
      <c r="G78">
        <v>67</v>
      </c>
      <c r="H78" s="83" t="n">
        <v>0.0</v>
      </c>
      <c r="I78" s="83" t="n">
        <v>0.0</v>
      </c>
      <c r="J78" s="83" t="n">
        <v>0.0</v>
      </c>
      <c r="K78" s="83">
        <f t="shared" si="5"/>
        <v>1</v>
      </c>
    </row>
    <row r="79" spans="1:11" x14ac:dyDescent="0.25">
      <c r="A79">
        <v>68</v>
      </c>
      <c r="B79" s="83" t="n">
        <v>0.0</v>
      </c>
      <c r="C79" s="83" t="n">
        <v>0.0</v>
      </c>
      <c r="D79" s="83" t="n">
        <v>0.0</v>
      </c>
      <c r="E79" s="83">
        <f t="shared" si="4"/>
        <v>0</v>
      </c>
      <c r="G79">
        <v>68</v>
      </c>
      <c r="H79" s="83" t="n">
        <v>0.0</v>
      </c>
      <c r="I79" s="83" t="n">
        <v>0.0</v>
      </c>
      <c r="J79" s="85" t="n">
        <v>0.0</v>
      </c>
      <c r="K79" s="83">
        <f t="shared" si="5"/>
        <v>1</v>
      </c>
    </row>
    <row r="80" spans="1:11" x14ac:dyDescent="0.25">
      <c r="A80">
        <v>69</v>
      </c>
      <c r="B80" s="83" t="n">
        <v>0.0</v>
      </c>
      <c r="C80" s="83" t="n">
        <v>0.0</v>
      </c>
      <c r="D80" s="83" t="n">
        <v>0.0</v>
      </c>
      <c r="E80" s="83">
        <f t="shared" si="4"/>
        <v>0</v>
      </c>
      <c r="G80">
        <v>69</v>
      </c>
      <c r="H80" s="83" t="n">
        <v>0.0</v>
      </c>
      <c r="I80" s="83" t="n">
        <v>0.0</v>
      </c>
      <c r="J80" s="83" t="n">
        <v>0.0</v>
      </c>
      <c r="K80" s="83">
        <f t="shared" si="5"/>
        <v>0</v>
      </c>
    </row>
    <row r="81" spans="1:11" x14ac:dyDescent="0.25">
      <c r="A81">
        <v>70</v>
      </c>
      <c r="B81" s="83" t="n">
        <v>0.0</v>
      </c>
      <c r="C81" s="83" t="n">
        <v>0.0</v>
      </c>
      <c r="D81" s="83" t="n">
        <v>0.0</v>
      </c>
      <c r="E81" s="83">
        <f t="shared" si="4"/>
        <v>0</v>
      </c>
      <c r="G81">
        <v>70</v>
      </c>
      <c r="H81" s="83" t="n">
        <v>0.0</v>
      </c>
      <c r="I81" s="83" t="n">
        <v>0.0</v>
      </c>
      <c r="J81" s="85" t="n">
        <v>0.0</v>
      </c>
      <c r="K81" s="83">
        <f t="shared" si="5"/>
        <v>4</v>
      </c>
    </row>
    <row r="82" spans="1:11" x14ac:dyDescent="0.25">
      <c r="A82">
        <v>71</v>
      </c>
      <c r="B82" s="83" t="n">
        <v>0.0</v>
      </c>
      <c r="C82" s="83" t="n">
        <v>0.0</v>
      </c>
      <c r="D82" s="83" t="n">
        <v>0.0</v>
      </c>
      <c r="E82" s="83">
        <f t="shared" si="4"/>
        <v>0</v>
      </c>
      <c r="G82">
        <v>71</v>
      </c>
      <c r="H82" s="83" t="n">
        <v>0.0</v>
      </c>
      <c r="I82" s="83" t="n">
        <v>0.0</v>
      </c>
      <c r="J82" s="85" t="n">
        <v>0.0</v>
      </c>
      <c r="K82" s="83">
        <f t="shared" si="5"/>
        <v>0</v>
      </c>
    </row>
    <row r="83" spans="1:11" x14ac:dyDescent="0.25">
      <c r="A83">
        <v>72</v>
      </c>
      <c r="B83" s="83" t="n">
        <v>0.0</v>
      </c>
      <c r="C83" s="83" t="n">
        <v>0.0</v>
      </c>
      <c r="D83" s="83" t="n">
        <v>0.0</v>
      </c>
      <c r="E83" s="83">
        <f t="shared" si="4"/>
        <v>0</v>
      </c>
      <c r="G83">
        <v>72</v>
      </c>
      <c r="H83" s="83" t="n">
        <v>0.0</v>
      </c>
      <c r="I83" s="83" t="n">
        <v>0.0</v>
      </c>
      <c r="J83" s="83" t="n">
        <v>0.0</v>
      </c>
      <c r="K83" s="83">
        <f t="shared" si="5"/>
        <v>0</v>
      </c>
    </row>
    <row r="84" spans="1:11" x14ac:dyDescent="0.25">
      <c r="A84">
        <v>73</v>
      </c>
      <c r="B84" s="83" t="n">
        <v>0.0</v>
      </c>
      <c r="C84" s="83" t="n">
        <v>0.0</v>
      </c>
      <c r="D84" s="83" t="n">
        <v>0.0</v>
      </c>
      <c r="E84" s="83">
        <f t="shared" si="4"/>
        <v>0</v>
      </c>
      <c r="G84">
        <v>73</v>
      </c>
      <c r="H84" s="83" t="n">
        <v>0.0</v>
      </c>
      <c r="I84" s="83" t="n">
        <v>0.0</v>
      </c>
      <c r="J84" s="83" t="n">
        <v>0.0</v>
      </c>
      <c r="K84" s="83">
        <f t="shared" si="5"/>
        <v>0</v>
      </c>
    </row>
    <row r="85" spans="1:11" x14ac:dyDescent="0.25">
      <c r="A85">
        <v>74</v>
      </c>
      <c r="B85" s="83" t="n">
        <v>0.0</v>
      </c>
      <c r="C85" s="83" t="n">
        <v>0.0</v>
      </c>
      <c r="D85" s="83" t="n">
        <v>0.0</v>
      </c>
      <c r="E85" s="83">
        <f t="shared" si="4"/>
        <v>0</v>
      </c>
      <c r="G85">
        <v>74</v>
      </c>
      <c r="H85" s="83" t="n">
        <v>0.0</v>
      </c>
      <c r="I85" s="83" t="n">
        <v>0.0</v>
      </c>
      <c r="J85" s="83" t="n">
        <v>0.0</v>
      </c>
      <c r="K85" s="83">
        <f t="shared" si="5"/>
        <v>0</v>
      </c>
    </row>
    <row r="86" spans="1:11" x14ac:dyDescent="0.25">
      <c r="A86">
        <v>75</v>
      </c>
      <c r="B86" s="83" t="n">
        <v>0.0</v>
      </c>
      <c r="C86" s="83" t="n">
        <v>0.0</v>
      </c>
      <c r="D86" s="83" t="n">
        <v>0.0</v>
      </c>
      <c r="E86" s="83">
        <f t="shared" si="4"/>
        <v>0</v>
      </c>
      <c r="G86">
        <v>75</v>
      </c>
      <c r="H86" s="83" t="n">
        <v>0.0</v>
      </c>
      <c r="I86" s="83" t="n">
        <v>0.0</v>
      </c>
      <c r="J86" s="83" t="n">
        <v>0.0</v>
      </c>
      <c r="K86" s="83">
        <f t="shared" si="5"/>
        <v>0</v>
      </c>
    </row>
    <row r="87" spans="1:11" x14ac:dyDescent="0.25">
      <c r="A87">
        <v>76</v>
      </c>
      <c r="B87" s="83" t="n">
        <v>0.0</v>
      </c>
      <c r="C87" s="83" t="n">
        <v>0.0</v>
      </c>
      <c r="D87" s="83" t="n">
        <v>0.0</v>
      </c>
      <c r="E87" s="83">
        <f t="shared" si="4"/>
        <v>0</v>
      </c>
      <c r="G87">
        <v>76</v>
      </c>
      <c r="H87" s="83" t="n">
        <v>0.0</v>
      </c>
      <c r="I87" s="83" t="n">
        <v>0.0</v>
      </c>
      <c r="J87" s="85" t="n">
        <v>0.0</v>
      </c>
      <c r="K87" s="83">
        <f t="shared" si="5"/>
        <v>0</v>
      </c>
    </row>
    <row r="88" spans="1:11" x14ac:dyDescent="0.25">
      <c r="A88">
        <v>77</v>
      </c>
      <c r="B88" s="83" t="n">
        <v>0.0</v>
      </c>
      <c r="C88" s="83" t="n">
        <v>0.0</v>
      </c>
      <c r="D88" s="83" t="n">
        <v>0.0</v>
      </c>
      <c r="E88" s="83">
        <f t="shared" si="4"/>
        <v>0</v>
      </c>
      <c r="G88">
        <v>77</v>
      </c>
      <c r="H88" s="83" t="n">
        <v>0.0</v>
      </c>
      <c r="I88" s="83" t="n">
        <v>0.0</v>
      </c>
      <c r="J88" s="83" t="n">
        <v>0.0</v>
      </c>
      <c r="K88" s="83">
        <f t="shared" si="5"/>
        <v>0</v>
      </c>
    </row>
    <row r="89" spans="1:11" x14ac:dyDescent="0.25">
      <c r="A89">
        <v>78</v>
      </c>
      <c r="B89" s="83" t="n">
        <v>0.0</v>
      </c>
      <c r="C89" s="83" t="n">
        <v>0.0</v>
      </c>
      <c r="D89" s="83" t="n">
        <v>0.0</v>
      </c>
      <c r="E89" s="83">
        <f t="shared" si="4"/>
        <v>0</v>
      </c>
      <c r="G89">
        <v>78</v>
      </c>
      <c r="H89" s="83" t="n">
        <v>0.0</v>
      </c>
      <c r="I89" s="83" t="n">
        <v>0.0</v>
      </c>
      <c r="J89" s="85" t="n">
        <v>0.0</v>
      </c>
      <c r="K89" s="83">
        <f t="shared" si="5"/>
        <v>0</v>
      </c>
    </row>
    <row r="90" spans="1:11" x14ac:dyDescent="0.25">
      <c r="A90">
        <v>79</v>
      </c>
      <c r="B90" s="83" t="n">
        <v>0.0</v>
      </c>
      <c r="C90" s="83" t="n">
        <v>0.0</v>
      </c>
      <c r="D90" s="83" t="n">
        <v>0.0</v>
      </c>
      <c r="E90" s="83">
        <f t="shared" si="4"/>
        <v>0</v>
      </c>
      <c r="G90">
        <v>79</v>
      </c>
      <c r="H90" s="83" t="n">
        <v>0.0</v>
      </c>
      <c r="I90" s="83" t="n">
        <v>0.0</v>
      </c>
      <c r="J90" s="83" t="n">
        <v>0.0</v>
      </c>
      <c r="K90" s="83">
        <f t="shared" si="5"/>
        <v>0</v>
      </c>
    </row>
    <row r="91" spans="1:11" x14ac:dyDescent="0.25">
      <c r="A91">
        <v>80</v>
      </c>
      <c r="B91" s="83" t="n">
        <v>0.0</v>
      </c>
      <c r="C91" s="83" t="n">
        <v>0.0</v>
      </c>
      <c r="D91" s="83" t="n">
        <v>0.0</v>
      </c>
      <c r="E91" s="83">
        <f t="shared" si="4"/>
        <v>0</v>
      </c>
      <c r="G91">
        <v>80</v>
      </c>
      <c r="H91" s="83" t="n">
        <v>0.0</v>
      </c>
      <c r="I91" s="83" t="n">
        <v>0.0</v>
      </c>
      <c r="J91" s="83" t="n">
        <v>0.0</v>
      </c>
      <c r="K91" s="83">
        <f t="shared" si="5"/>
        <v>0</v>
      </c>
    </row>
    <row r="92" spans="1:11" x14ac:dyDescent="0.25">
      <c r="A92">
        <v>81</v>
      </c>
      <c r="B92" s="83" t="n">
        <v>0.0</v>
      </c>
      <c r="C92" s="83" t="n">
        <v>0.0</v>
      </c>
      <c r="D92" s="83" t="n">
        <v>0.0</v>
      </c>
      <c r="E92" s="83">
        <f t="shared" si="4"/>
        <v>0</v>
      </c>
      <c r="G92">
        <v>81</v>
      </c>
      <c r="H92" s="83" t="n">
        <v>0.0</v>
      </c>
      <c r="I92" s="83" t="n">
        <v>0.0</v>
      </c>
      <c r="J92" s="85" t="n">
        <v>0.0</v>
      </c>
      <c r="K92" s="83">
        <f t="shared" si="5"/>
        <v>0</v>
      </c>
    </row>
    <row r="93" spans="1:11" x14ac:dyDescent="0.25">
      <c r="A93">
        <v>82</v>
      </c>
      <c r="B93" s="83" t="n">
        <v>0.0</v>
      </c>
      <c r="C93" s="83" t="n">
        <v>0.0</v>
      </c>
      <c r="D93" s="83" t="n">
        <v>0.0</v>
      </c>
      <c r="E93" s="83">
        <f t="shared" si="4"/>
        <v>0</v>
      </c>
      <c r="G93">
        <v>82</v>
      </c>
      <c r="H93" s="83" t="n">
        <v>0.0</v>
      </c>
      <c r="I93" s="83" t="n">
        <v>0.0</v>
      </c>
      <c r="J93" s="83" t="n">
        <v>0.0</v>
      </c>
      <c r="K93" s="83">
        <f t="shared" si="5"/>
        <v>0</v>
      </c>
    </row>
    <row r="94" spans="1:11" x14ac:dyDescent="0.25">
      <c r="A94">
        <v>83</v>
      </c>
      <c r="B94" s="83" t="n">
        <v>0.0</v>
      </c>
      <c r="C94" s="83" t="n">
        <v>0.0</v>
      </c>
      <c r="D94" s="83" t="n">
        <v>0.0</v>
      </c>
      <c r="E94" s="83">
        <f t="shared" si="4"/>
        <v>0</v>
      </c>
      <c r="G94">
        <v>83</v>
      </c>
      <c r="H94" s="83" t="n">
        <v>0.0</v>
      </c>
      <c r="I94" s="83" t="n">
        <v>0.0</v>
      </c>
      <c r="J94" s="83" t="n">
        <v>0.0</v>
      </c>
      <c r="K94" s="83">
        <f t="shared" si="5"/>
        <v>0</v>
      </c>
    </row>
    <row r="95" spans="1:11" x14ac:dyDescent="0.25">
      <c r="A95">
        <v>84</v>
      </c>
      <c r="B95" s="83" t="n">
        <v>0.0</v>
      </c>
      <c r="C95" s="83" t="n">
        <v>0.0</v>
      </c>
      <c r="D95" s="83" t="n">
        <v>0.0</v>
      </c>
      <c r="E95" s="83">
        <f t="shared" si="4"/>
        <v>0</v>
      </c>
      <c r="G95">
        <v>84</v>
      </c>
      <c r="H95" s="83" t="n">
        <v>0.0</v>
      </c>
      <c r="I95" s="83" t="n">
        <v>0.0</v>
      </c>
      <c r="J95" s="83" t="n">
        <v>0.0</v>
      </c>
      <c r="K95" s="83">
        <f t="shared" si="5"/>
        <v>0</v>
      </c>
    </row>
    <row r="96" spans="1:11" x14ac:dyDescent="0.25">
      <c r="A96">
        <v>85</v>
      </c>
      <c r="B96" s="83" t="n">
        <v>0.0</v>
      </c>
      <c r="C96" s="83" t="n">
        <v>0.0</v>
      </c>
      <c r="D96" s="83" t="n">
        <v>0.0</v>
      </c>
      <c r="E96" s="83">
        <f t="shared" si="4"/>
        <v>0</v>
      </c>
      <c r="G96">
        <v>85</v>
      </c>
      <c r="H96" s="83" t="n">
        <v>0.0</v>
      </c>
      <c r="I96" s="83" t="n">
        <v>0.0</v>
      </c>
      <c r="J96" s="83" t="n">
        <v>0.0</v>
      </c>
      <c r="K96" s="83">
        <f t="shared" si="5"/>
        <v>0</v>
      </c>
    </row>
    <row r="97" spans="1:12" x14ac:dyDescent="0.25">
      <c r="A97">
        <v>86</v>
      </c>
      <c r="B97" s="83" t="n">
        <v>0.0</v>
      </c>
      <c r="C97" s="83" t="n">
        <v>0.0</v>
      </c>
      <c r="D97" s="83" t="n">
        <v>0.0</v>
      </c>
      <c r="E97" s="83">
        <f t="shared" si="4"/>
        <v>0</v>
      </c>
      <c r="G97">
        <v>86</v>
      </c>
      <c r="H97" s="83" t="n">
        <v>0.0</v>
      </c>
      <c r="I97" s="83" t="n">
        <v>0.0</v>
      </c>
      <c r="J97" s="83" t="n">
        <v>0.0</v>
      </c>
      <c r="K97" s="83">
        <f t="shared" si="5"/>
        <v>0</v>
      </c>
    </row>
    <row r="98" spans="1:12" x14ac:dyDescent="0.25">
      <c r="A98">
        <v>87</v>
      </c>
      <c r="B98" s="83" t="n">
        <v>0.0</v>
      </c>
      <c r="C98" s="83" t="n">
        <v>0.0</v>
      </c>
      <c r="D98" s="83" t="n">
        <v>0.0</v>
      </c>
      <c r="E98" s="83">
        <f t="shared" si="4"/>
        <v>0</v>
      </c>
      <c r="G98">
        <v>87</v>
      </c>
      <c r="H98" s="83" t="n">
        <v>0.0</v>
      </c>
      <c r="I98" s="83" t="n">
        <v>0.0</v>
      </c>
      <c r="J98" s="83" t="n">
        <v>0.0</v>
      </c>
      <c r="K98" s="83">
        <f t="shared" si="5"/>
        <v>0</v>
      </c>
    </row>
    <row r="99" spans="1:12" x14ac:dyDescent="0.25">
      <c r="A99">
        <v>88</v>
      </c>
      <c r="B99" s="83" t="n">
        <v>0.0</v>
      </c>
      <c r="C99" s="83" t="n">
        <v>0.0</v>
      </c>
      <c r="D99" s="83" t="n">
        <v>0.0</v>
      </c>
      <c r="E99" s="83">
        <f t="shared" si="4"/>
        <v>0</v>
      </c>
      <c r="G99">
        <v>88</v>
      </c>
      <c r="H99" s="83" t="n">
        <v>0.0</v>
      </c>
      <c r="I99" s="83" t="n">
        <v>0.0</v>
      </c>
      <c r="J99" s="83" t="n">
        <v>0.0</v>
      </c>
      <c r="K99" s="83">
        <f t="shared" si="5"/>
        <v>0</v>
      </c>
    </row>
    <row r="100" spans="1:12" x14ac:dyDescent="0.25">
      <c r="A100">
        <v>89</v>
      </c>
      <c r="B100" s="83" t="n">
        <v>0.0</v>
      </c>
      <c r="C100" s="83" t="n">
        <v>0.0</v>
      </c>
      <c r="D100" s="83" t="n">
        <v>0.0</v>
      </c>
      <c r="E100" s="83">
        <f t="shared" si="4"/>
        <v>0</v>
      </c>
      <c r="G100">
        <v>89</v>
      </c>
      <c r="H100" s="83" t="n">
        <v>0.0</v>
      </c>
      <c r="I100" s="83" t="n">
        <v>0.0</v>
      </c>
      <c r="J100" s="83" t="n">
        <v>0.0</v>
      </c>
      <c r="K100" s="83">
        <f t="shared" si="5"/>
        <v>0</v>
      </c>
    </row>
    <row r="101" spans="1:12" ht="15.75" thickBot="1" x14ac:dyDescent="0.3">
      <c r="A101" s="1">
        <v>90</v>
      </c>
      <c r="B101" s="84" t="n">
        <v>56177.1072</v>
      </c>
      <c r="C101" s="84" t="n">
        <v>10417.5607</v>
      </c>
      <c r="D101" s="84" t="n">
        <v>42483.8395</v>
      </c>
      <c r="E101" s="84">
        <f t="shared" si="4"/>
        <v>109078.5074</v>
      </c>
      <c r="G101" s="1">
        <v>90</v>
      </c>
      <c r="H101" s="84" t="n">
        <v>69360.0</v>
      </c>
      <c r="I101" s="84" t="n">
        <v>0.0</v>
      </c>
      <c r="J101" s="84" t="n">
        <v>0.0</v>
      </c>
      <c r="K101" s="84">
        <f t="shared" si="5"/>
        <v>69360</v>
      </c>
      <c r="L101" s="7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101"/>
  <sheetViews>
    <sheetView workbookViewId="0">
      <selection activeCell="P12" sqref="P12"/>
    </sheetView>
  </sheetViews>
  <sheetFormatPr defaultRowHeight="15" x14ac:dyDescent="0.25"/>
  <cols>
    <col min="2" max="2" bestFit="true" customWidth="true" width="10.5703125" collapsed="true"/>
    <col min="3" max="4" bestFit="true" customWidth="true" width="9.5703125" collapsed="true"/>
    <col min="5" max="5" bestFit="true" customWidth="true" width="10.5703125" collapsed="true"/>
    <col min="8" max="8" bestFit="true" customWidth="true" width="10.5703125" collapsed="true"/>
    <col min="9" max="10" bestFit="true" customWidth="true" width="9.5703125" collapsed="true"/>
    <col min="11" max="11" bestFit="true" customWidth="true" width="15.85546875" collapsed="true"/>
    <col min="15" max="15" bestFit="true" customWidth="true" width="15.7109375" collapsed="true"/>
  </cols>
  <sheetData>
    <row r="1" spans="1:15" x14ac:dyDescent="0.25">
      <c r="A1" t="s">
        <v>0</v>
      </c>
    </row>
    <row r="2" spans="1:15" x14ac:dyDescent="0.25">
      <c r="A2" t="s">
        <v>247</v>
      </c>
    </row>
    <row r="3" spans="1:15" x14ac:dyDescent="0.25">
      <c r="A3" t="s">
        <v>249</v>
      </c>
    </row>
    <row r="4" spans="1:15" x14ac:dyDescent="0.25">
      <c r="A4" t="s">
        <v>6</v>
      </c>
    </row>
    <row r="5" spans="1:15" x14ac:dyDescent="0.25">
      <c r="A5" t="s">
        <v>7</v>
      </c>
    </row>
    <row r="9" spans="1:15" ht="15.75" thickBot="1" x14ac:dyDescent="0.3">
      <c r="A9" s="4" t="s">
        <v>193</v>
      </c>
      <c r="B9" s="1"/>
      <c r="C9" s="1"/>
      <c r="D9" s="1"/>
      <c r="E9" s="1"/>
      <c r="G9" s="4" t="s">
        <v>10</v>
      </c>
      <c r="H9" s="1"/>
      <c r="I9" s="1"/>
      <c r="J9" s="1"/>
      <c r="K9" s="1"/>
      <c r="M9" s="11" t="s">
        <v>36</v>
      </c>
    </row>
    <row r="10" spans="1:15" x14ac:dyDescent="0.25">
      <c r="A10" s="2" t="s">
        <v>13</v>
      </c>
      <c r="B10" s="5" t="s">
        <v>41</v>
      </c>
      <c r="C10" s="5" t="s">
        <v>42</v>
      </c>
      <c r="D10" s="5" t="s">
        <v>52</v>
      </c>
      <c r="E10" s="5" t="s">
        <v>200</v>
      </c>
      <c r="G10" s="2" t="s">
        <v>13</v>
      </c>
      <c r="H10" s="5" t="s">
        <v>41</v>
      </c>
      <c r="I10" s="5" t="s">
        <v>42</v>
      </c>
      <c r="J10" s="5" t="s">
        <v>43</v>
      </c>
      <c r="K10" s="5" t="s">
        <v>252</v>
      </c>
      <c r="M10" s="2"/>
      <c r="N10" s="5" t="s">
        <v>200</v>
      </c>
      <c r="O10" s="5" t="s">
        <v>252</v>
      </c>
    </row>
    <row r="11" spans="1:15" x14ac:dyDescent="0.25">
      <c r="A11">
        <v>0</v>
      </c>
      <c r="B11" s="83" t="n">
        <v>0.0</v>
      </c>
      <c r="C11" s="83" t="n">
        <v>0.0</v>
      </c>
      <c r="D11" s="83" t="n">
        <v>0.0</v>
      </c>
      <c r="E11" s="83">
        <f t="shared" ref="E11:E42" si="0">SUM(B11:D11)</f>
        <v>0</v>
      </c>
      <c r="G11">
        <v>0</v>
      </c>
      <c r="H11" s="83" t="n">
        <v>34263.0</v>
      </c>
      <c r="I11" s="83" t="n">
        <v>6791.0</v>
      </c>
      <c r="J11" s="85" t="n">
        <v>18120.0</v>
      </c>
      <c r="K11" s="83">
        <f t="shared" ref="K11:K42" si="1">SUM(H11:J11)</f>
        <v>58320</v>
      </c>
      <c r="M11" t="s">
        <v>41</v>
      </c>
      <c r="N11" s="9" t="n">
        <v>21.087312209213582</v>
      </c>
      <c r="O11" s="9" t="n">
        <v>13.282267856548936</v>
      </c>
    </row>
    <row r="12" spans="1:15" x14ac:dyDescent="0.25">
      <c r="A12">
        <v>1</v>
      </c>
      <c r="B12" s="83" t="n">
        <v>6745.1783000000005</v>
      </c>
      <c r="C12" s="83" t="n">
        <v>0.0</v>
      </c>
      <c r="D12" s="83" t="n">
        <v>0.0</v>
      </c>
      <c r="E12" s="83">
        <f t="shared" si="0"/>
        <v>6745.1783000000005</v>
      </c>
      <c r="G12">
        <v>1</v>
      </c>
      <c r="H12" s="83" t="n">
        <v>17417.0</v>
      </c>
      <c r="I12" s="83" t="n">
        <v>1746.0</v>
      </c>
      <c r="J12" s="85" t="n">
        <v>1377.0</v>
      </c>
      <c r="K12" s="83">
        <f t="shared" si="1"/>
        <v>20569</v>
      </c>
      <c r="M12" t="s">
        <v>42</v>
      </c>
      <c r="N12" s="9" t="n">
        <v>24.505741344918366</v>
      </c>
      <c r="O12" s="9" t="n">
        <v>17.45983770667591</v>
      </c>
    </row>
    <row r="13" spans="1:15" x14ac:dyDescent="0.25">
      <c r="A13">
        <v>2</v>
      </c>
      <c r="B13" s="83" t="n">
        <v>6033.2903</v>
      </c>
      <c r="C13" s="83" t="n">
        <v>0.0</v>
      </c>
      <c r="D13" s="83" t="n">
        <v>0.0</v>
      </c>
      <c r="E13" s="83">
        <f t="shared" si="0"/>
        <v>6033.2902999999997</v>
      </c>
      <c r="G13">
        <v>2</v>
      </c>
      <c r="H13" s="83" t="n">
        <v>23108.0</v>
      </c>
      <c r="I13" s="83" t="n">
        <v>2324.0</v>
      </c>
      <c r="J13" s="85" t="n">
        <v>2235.0</v>
      </c>
      <c r="K13" s="83">
        <f t="shared" si="1"/>
        <v>27536</v>
      </c>
      <c r="M13" s="6" t="s">
        <v>43</v>
      </c>
      <c r="N13" s="18" t="n">
        <v>25.487335023638565</v>
      </c>
      <c r="O13" s="18" t="n">
        <v>24.199607425229665</v>
      </c>
    </row>
    <row r="14" spans="1:15" ht="15.75" thickBot="1" x14ac:dyDescent="0.3">
      <c r="A14">
        <v>3</v>
      </c>
      <c r="B14" s="83" t="n">
        <v>7285.3036</v>
      </c>
      <c r="C14" s="83" t="n">
        <v>827.7403</v>
      </c>
      <c r="D14" s="83" t="n">
        <v>112.982</v>
      </c>
      <c r="E14" s="83">
        <f t="shared" si="0"/>
        <v>8226.0259000000005</v>
      </c>
      <c r="G14">
        <v>3</v>
      </c>
      <c r="H14" s="83" t="n">
        <v>24411.0</v>
      </c>
      <c r="I14" s="83" t="n">
        <v>2637.0</v>
      </c>
      <c r="J14" s="85" t="n">
        <v>2736.0</v>
      </c>
      <c r="K14" s="83">
        <f t="shared" si="1"/>
        <v>29712</v>
      </c>
      <c r="M14" s="1" t="s">
        <v>3</v>
      </c>
      <c r="N14" s="19" t="n">
        <v>21.973485253303615</v>
      </c>
      <c r="O14" s="19" t="n">
        <v>16.802802567628188</v>
      </c>
    </row>
    <row r="15" spans="1:15" x14ac:dyDescent="0.25">
      <c r="A15">
        <v>4</v>
      </c>
      <c r="B15" s="83" t="n">
        <v>10392.5259</v>
      </c>
      <c r="C15" s="83" t="n">
        <v>728.3605</v>
      </c>
      <c r="D15" s="83" t="n">
        <v>12.928</v>
      </c>
      <c r="E15" s="83">
        <f t="shared" si="0"/>
        <v>11133.814400000001</v>
      </c>
      <c r="G15">
        <v>4</v>
      </c>
      <c r="H15" s="83" t="n">
        <v>23925.0</v>
      </c>
      <c r="I15" s="83" t="n">
        <v>2711.0</v>
      </c>
      <c r="J15" s="85" t="n">
        <v>3210.0</v>
      </c>
      <c r="K15" s="83">
        <f t="shared" si="1"/>
        <v>30324</v>
      </c>
    </row>
    <row r="16" spans="1:15" x14ac:dyDescent="0.25">
      <c r="A16">
        <v>5</v>
      </c>
      <c r="B16" s="83" t="n">
        <v>5646.9799</v>
      </c>
      <c r="C16" s="83" t="n">
        <v>329.5046</v>
      </c>
      <c r="D16" s="83" t="n">
        <v>7452.6958</v>
      </c>
      <c r="E16" s="83">
        <f t="shared" si="0"/>
        <v>13429.1803</v>
      </c>
      <c r="G16">
        <v>5</v>
      </c>
      <c r="H16" s="83" t="n">
        <v>22692.0</v>
      </c>
      <c r="I16" s="83" t="n">
        <v>2637.0</v>
      </c>
      <c r="J16" s="85" t="n">
        <v>3400.0</v>
      </c>
      <c r="K16" s="83">
        <f t="shared" si="1"/>
        <v>28821</v>
      </c>
    </row>
    <row r="17" spans="1:11" x14ac:dyDescent="0.25">
      <c r="A17">
        <v>6</v>
      </c>
      <c r="B17" s="83" t="n">
        <v>5830.5565</v>
      </c>
      <c r="C17" s="83" t="n">
        <v>1405.8463</v>
      </c>
      <c r="D17" s="83" t="n">
        <v>224.76899999999998</v>
      </c>
      <c r="E17" s="83">
        <f t="shared" si="0"/>
        <v>7461.1718000000001</v>
      </c>
      <c r="G17">
        <v>6</v>
      </c>
      <c r="H17" s="83" t="n">
        <v>20841.0</v>
      </c>
      <c r="I17" s="83" t="n">
        <v>2552.0</v>
      </c>
      <c r="J17" s="85" t="n">
        <v>3654.0</v>
      </c>
      <c r="K17" s="83">
        <f t="shared" si="1"/>
        <v>27064</v>
      </c>
    </row>
    <row r="18" spans="1:11" x14ac:dyDescent="0.25">
      <c r="A18">
        <v>7</v>
      </c>
      <c r="B18" s="83" t="n">
        <v>9951.9981</v>
      </c>
      <c r="C18" s="83" t="n">
        <v>795.16</v>
      </c>
      <c r="D18" s="83" t="n">
        <v>215.69199999999998</v>
      </c>
      <c r="E18" s="83">
        <f t="shared" si="0"/>
        <v>10962.8501</v>
      </c>
      <c r="G18">
        <v>7</v>
      </c>
      <c r="H18" s="83" t="n">
        <v>19135.0</v>
      </c>
      <c r="I18" s="83" t="n">
        <v>2455.0</v>
      </c>
      <c r="J18" s="85" t="n">
        <v>3233.0</v>
      </c>
      <c r="K18" s="83">
        <f t="shared" si="1"/>
        <v>25006</v>
      </c>
    </row>
    <row r="19" spans="1:11" x14ac:dyDescent="0.25">
      <c r="A19">
        <v>8</v>
      </c>
      <c r="B19" s="83" t="n">
        <v>2651.7325</v>
      </c>
      <c r="C19" s="83" t="n">
        <v>0.0</v>
      </c>
      <c r="D19" s="83" t="n">
        <v>766.789</v>
      </c>
      <c r="E19" s="83">
        <f t="shared" si="0"/>
        <v>3418.5214999999998</v>
      </c>
      <c r="G19">
        <v>8</v>
      </c>
      <c r="H19" s="83" t="n">
        <v>16363.0</v>
      </c>
      <c r="I19" s="83" t="n">
        <v>2215.0</v>
      </c>
      <c r="J19" s="85" t="n">
        <v>2605.0</v>
      </c>
      <c r="K19" s="83">
        <f t="shared" si="1"/>
        <v>21031</v>
      </c>
    </row>
    <row r="20" spans="1:11" x14ac:dyDescent="0.25">
      <c r="A20">
        <v>9</v>
      </c>
      <c r="B20" s="83" t="n">
        <v>10667.088099999999</v>
      </c>
      <c r="C20" s="83" t="n">
        <v>1134.9396</v>
      </c>
      <c r="D20" s="83" t="n">
        <v>80.25569999999999</v>
      </c>
      <c r="E20" s="83">
        <f t="shared" si="0"/>
        <v>11882.283399999998</v>
      </c>
      <c r="G20">
        <v>9</v>
      </c>
      <c r="H20" s="83" t="n">
        <v>14750.0</v>
      </c>
      <c r="I20" s="83" t="n">
        <v>2117.0</v>
      </c>
      <c r="J20" s="85" t="n">
        <v>2419.0</v>
      </c>
      <c r="K20" s="83">
        <f t="shared" si="1"/>
        <v>19375</v>
      </c>
    </row>
    <row r="21" spans="1:11" x14ac:dyDescent="0.25">
      <c r="A21">
        <v>10</v>
      </c>
      <c r="B21" s="83" t="n">
        <v>4602.3874000000005</v>
      </c>
      <c r="C21" s="83" t="n">
        <v>541.9792</v>
      </c>
      <c r="D21" s="83" t="n">
        <v>0.0</v>
      </c>
      <c r="E21" s="83">
        <f t="shared" si="0"/>
        <v>5144.3666000000003</v>
      </c>
      <c r="G21">
        <v>10</v>
      </c>
      <c r="H21" s="83" t="n">
        <v>12232.0</v>
      </c>
      <c r="I21" s="83" t="n">
        <v>1842.0</v>
      </c>
      <c r="J21" s="85" t="n">
        <v>2538.0</v>
      </c>
      <c r="K21" s="83">
        <f t="shared" si="1"/>
        <v>16689</v>
      </c>
    </row>
    <row r="22" spans="1:11" x14ac:dyDescent="0.25">
      <c r="A22">
        <v>11</v>
      </c>
      <c r="B22" s="83" t="n">
        <v>8116.9631</v>
      </c>
      <c r="C22" s="83" t="n">
        <v>1022.1395</v>
      </c>
      <c r="D22" s="83" t="n">
        <v>445.9176</v>
      </c>
      <c r="E22" s="83">
        <f t="shared" si="0"/>
        <v>9585.0202000000008</v>
      </c>
      <c r="G22">
        <v>11</v>
      </c>
      <c r="H22" s="83" t="n">
        <v>10476.0</v>
      </c>
      <c r="I22" s="83" t="n">
        <v>1660.0</v>
      </c>
      <c r="J22" s="85" t="n">
        <v>2224.0</v>
      </c>
      <c r="K22" s="83">
        <f t="shared" si="1"/>
        <v>14203</v>
      </c>
    </row>
    <row r="23" spans="1:11" x14ac:dyDescent="0.25">
      <c r="A23">
        <v>12</v>
      </c>
      <c r="B23" s="83" t="n">
        <v>20061.9584</v>
      </c>
      <c r="C23" s="83" t="n">
        <v>2444.9375999999997</v>
      </c>
      <c r="D23" s="83" t="n">
        <v>253.2591</v>
      </c>
      <c r="E23" s="83">
        <f t="shared" si="0"/>
        <v>22760.1551</v>
      </c>
      <c r="G23">
        <v>12</v>
      </c>
      <c r="H23" s="83" t="n">
        <v>9482.0</v>
      </c>
      <c r="I23" s="83" t="n">
        <v>1424.0</v>
      </c>
      <c r="J23" s="85" t="n">
        <v>1617.0</v>
      </c>
      <c r="K23" s="83">
        <f t="shared" si="1"/>
        <v>13018</v>
      </c>
    </row>
    <row r="24" spans="1:11" x14ac:dyDescent="0.25">
      <c r="A24">
        <v>13</v>
      </c>
      <c r="B24" s="83" t="n">
        <v>7538.7794</v>
      </c>
      <c r="C24" s="83" t="n">
        <v>241.2413</v>
      </c>
      <c r="D24" s="83" t="n">
        <v>924.3569</v>
      </c>
      <c r="E24" s="83">
        <f t="shared" si="0"/>
        <v>8704.3775999999998</v>
      </c>
      <c r="G24">
        <v>13</v>
      </c>
      <c r="H24" s="83" t="n">
        <v>7844.0</v>
      </c>
      <c r="I24" s="83" t="n">
        <v>1304.0</v>
      </c>
      <c r="J24" s="85" t="n">
        <v>1397.0</v>
      </c>
      <c r="K24" s="83">
        <f t="shared" si="1"/>
        <v>10132</v>
      </c>
    </row>
    <row r="25" spans="1:11" x14ac:dyDescent="0.25">
      <c r="A25">
        <v>14</v>
      </c>
      <c r="B25" s="83" t="n">
        <v>11279.2145</v>
      </c>
      <c r="C25" s="83" t="n">
        <v>834.1784</v>
      </c>
      <c r="D25" s="83" t="n">
        <v>1634.7037</v>
      </c>
      <c r="E25" s="83">
        <f t="shared" si="0"/>
        <v>13748.096600000001</v>
      </c>
      <c r="G25">
        <v>14</v>
      </c>
      <c r="H25" s="83" t="n">
        <v>8010.0</v>
      </c>
      <c r="I25" s="83" t="n">
        <v>1373.0</v>
      </c>
      <c r="J25" s="85" t="n">
        <v>1050.0</v>
      </c>
      <c r="K25" s="83">
        <f t="shared" si="1"/>
        <v>8856</v>
      </c>
    </row>
    <row r="26" spans="1:11" x14ac:dyDescent="0.25">
      <c r="A26">
        <v>15</v>
      </c>
      <c r="B26" s="83" t="n">
        <v>1343.0692</v>
      </c>
      <c r="C26" s="83" t="n">
        <v>0.0</v>
      </c>
      <c r="D26" s="83" t="n">
        <v>196.95</v>
      </c>
      <c r="E26" s="83">
        <f t="shared" si="0"/>
        <v>1540.0192</v>
      </c>
      <c r="G26">
        <v>15</v>
      </c>
      <c r="H26" s="83" t="n">
        <v>6819.0</v>
      </c>
      <c r="I26" s="83" t="n">
        <v>1115.0</v>
      </c>
      <c r="J26" s="85" t="n">
        <v>821.0</v>
      </c>
      <c r="K26" s="83">
        <f t="shared" si="1"/>
        <v>9452</v>
      </c>
    </row>
    <row r="27" spans="1:11" x14ac:dyDescent="0.25">
      <c r="A27">
        <v>16</v>
      </c>
      <c r="B27" s="83" t="n">
        <v>25742.3075</v>
      </c>
      <c r="C27" s="83" t="n">
        <v>2312.2284</v>
      </c>
      <c r="D27" s="83" t="n">
        <v>1590.6269</v>
      </c>
      <c r="E27" s="83">
        <f t="shared" si="0"/>
        <v>29645.162799999998</v>
      </c>
      <c r="G27">
        <v>16</v>
      </c>
      <c r="H27" s="83" t="n">
        <v>5983.0</v>
      </c>
      <c r="I27" s="83" t="n">
        <v>1054.0</v>
      </c>
      <c r="J27" s="85" t="n">
        <v>914.0</v>
      </c>
      <c r="K27" s="83">
        <f t="shared" si="1"/>
        <v>8082</v>
      </c>
    </row>
    <row r="28" spans="1:11" x14ac:dyDescent="0.25">
      <c r="A28">
        <v>17</v>
      </c>
      <c r="B28" s="83" t="n">
        <v>11071.6979</v>
      </c>
      <c r="C28" s="83" t="n">
        <v>666.9232</v>
      </c>
      <c r="D28" s="83" t="n">
        <v>0.0</v>
      </c>
      <c r="E28" s="83">
        <f t="shared" si="0"/>
        <v>11738.621099999998</v>
      </c>
      <c r="G28">
        <v>17</v>
      </c>
      <c r="H28" s="83" t="n">
        <v>5656.0</v>
      </c>
      <c r="I28" s="83" t="n">
        <v>1040.0</v>
      </c>
      <c r="J28" s="85" t="n">
        <v>925.0</v>
      </c>
      <c r="K28" s="83">
        <f t="shared" si="1"/>
        <v>7904</v>
      </c>
    </row>
    <row r="29" spans="1:11" x14ac:dyDescent="0.25">
      <c r="A29">
        <v>18</v>
      </c>
      <c r="B29" s="83" t="n">
        <v>37230.7892</v>
      </c>
      <c r="C29" s="83" t="n">
        <v>5722.6717</v>
      </c>
      <c r="D29" s="83" t="n">
        <v>5352.9331999999995</v>
      </c>
      <c r="E29" s="83">
        <f t="shared" si="0"/>
        <v>48306.394099999998</v>
      </c>
      <c r="G29">
        <v>18</v>
      </c>
      <c r="H29" s="83" t="n">
        <v>67596.0</v>
      </c>
      <c r="I29" s="83" t="n">
        <v>12939.0</v>
      </c>
      <c r="J29" s="85" t="n">
        <v>14841.0</v>
      </c>
      <c r="K29" s="83">
        <f t="shared" si="1"/>
        <v>94527</v>
      </c>
    </row>
    <row r="30" spans="1:11" x14ac:dyDescent="0.25">
      <c r="A30">
        <v>19</v>
      </c>
      <c r="B30" s="83" t="n">
        <v>19208.2896</v>
      </c>
      <c r="C30" s="83" t="n">
        <v>5036.694</v>
      </c>
      <c r="D30" s="83" t="n">
        <v>4783.6118</v>
      </c>
      <c r="E30" s="83">
        <f t="shared" si="0"/>
        <v>29028.595399999998</v>
      </c>
      <c r="G30">
        <v>19</v>
      </c>
      <c r="H30" s="83" t="n">
        <v>14927.0</v>
      </c>
      <c r="I30" s="83" t="n">
        <v>2932.0</v>
      </c>
      <c r="J30" s="85" t="n">
        <v>4634.0</v>
      </c>
      <c r="K30" s="83">
        <f t="shared" si="1"/>
        <v>24271</v>
      </c>
    </row>
    <row r="31" spans="1:11" x14ac:dyDescent="0.25">
      <c r="A31">
        <v>20</v>
      </c>
      <c r="B31" s="83" t="n">
        <v>41266.0244</v>
      </c>
      <c r="C31" s="83" t="n">
        <v>2008.2398</v>
      </c>
      <c r="D31" s="83" t="n">
        <v>3383.5687</v>
      </c>
      <c r="E31" s="83">
        <f t="shared" si="0"/>
        <v>46657.832900000009</v>
      </c>
      <c r="G31">
        <v>20</v>
      </c>
      <c r="H31" s="83" t="n">
        <v>12403.0</v>
      </c>
      <c r="I31" s="83" t="n">
        <v>2821.0</v>
      </c>
      <c r="J31" s="85" t="n">
        <v>8012.0</v>
      </c>
      <c r="K31" s="83">
        <f t="shared" si="1"/>
        <v>25906</v>
      </c>
    </row>
    <row r="32" spans="1:11" x14ac:dyDescent="0.25">
      <c r="A32">
        <v>21</v>
      </c>
      <c r="B32" s="83" t="n">
        <v>20348.6981</v>
      </c>
      <c r="C32" s="83" t="n">
        <v>3177.5144</v>
      </c>
      <c r="D32" s="83" t="n">
        <v>3402.5726</v>
      </c>
      <c r="E32" s="83">
        <f t="shared" si="0"/>
        <v>26928.785100000001</v>
      </c>
      <c r="G32">
        <v>21</v>
      </c>
      <c r="H32" s="83" t="n">
        <v>16732.0</v>
      </c>
      <c r="I32" s="83" t="n">
        <v>4726.0</v>
      </c>
      <c r="J32" s="85" t="n">
        <v>15512.0</v>
      </c>
      <c r="K32" s="83">
        <f t="shared" si="1"/>
        <v>33706</v>
      </c>
    </row>
    <row r="33" spans="1:11" x14ac:dyDescent="0.25">
      <c r="A33">
        <v>22</v>
      </c>
      <c r="B33" s="83" t="n">
        <v>21622.0733</v>
      </c>
      <c r="C33" s="83" t="n">
        <v>2015.7887</v>
      </c>
      <c r="D33" s="83" t="n">
        <v>4173.3805</v>
      </c>
      <c r="E33" s="83">
        <f t="shared" si="0"/>
        <v>27811.2425</v>
      </c>
      <c r="G33">
        <v>22</v>
      </c>
      <c r="H33" s="83" t="n">
        <v>19123.0</v>
      </c>
      <c r="I33" s="83" t="n">
        <v>4760.0</v>
      </c>
      <c r="J33" s="85" t="n">
        <v>5800.0</v>
      </c>
      <c r="K33" s="83">
        <f t="shared" si="1"/>
        <v>28639</v>
      </c>
    </row>
    <row r="34" spans="1:11" x14ac:dyDescent="0.25">
      <c r="A34">
        <v>23</v>
      </c>
      <c r="B34" s="83" t="n">
        <v>3476.5962</v>
      </c>
      <c r="C34" s="83" t="n">
        <v>87.1083</v>
      </c>
      <c r="D34" s="83" t="n">
        <v>2692.1727</v>
      </c>
      <c r="E34" s="83">
        <f t="shared" si="0"/>
        <v>6255.8771999999999</v>
      </c>
      <c r="G34">
        <v>23</v>
      </c>
      <c r="H34" s="83" t="n">
        <v>11761.0</v>
      </c>
      <c r="I34" s="83" t="n">
        <v>2659.0</v>
      </c>
      <c r="J34" s="85" t="n">
        <v>8448.0</v>
      </c>
      <c r="K34" s="83">
        <f t="shared" si="1"/>
        <v>26057</v>
      </c>
    </row>
    <row r="35" spans="1:11" x14ac:dyDescent="0.25">
      <c r="A35">
        <v>24</v>
      </c>
      <c r="B35" s="83" t="n">
        <v>14231.0566</v>
      </c>
      <c r="C35" s="83" t="n">
        <v>5333.9229000000005</v>
      </c>
      <c r="D35" s="83" t="n">
        <v>1554.6602</v>
      </c>
      <c r="E35" s="83">
        <f t="shared" si="0"/>
        <v>21119.6397</v>
      </c>
      <c r="G35">
        <v>24</v>
      </c>
      <c r="H35" s="83" t="n">
        <v>12435.0</v>
      </c>
      <c r="I35" s="83" t="n">
        <v>3341.0</v>
      </c>
      <c r="J35" s="85" t="n">
        <v>7662.0</v>
      </c>
      <c r="K35" s="83">
        <f t="shared" si="1"/>
        <v>23389</v>
      </c>
    </row>
    <row r="36" spans="1:11" x14ac:dyDescent="0.25">
      <c r="A36">
        <v>25</v>
      </c>
      <c r="B36" s="83" t="n">
        <v>14298.2394</v>
      </c>
      <c r="C36" s="83" t="n">
        <v>294.7741</v>
      </c>
      <c r="D36" s="83" t="n">
        <v>1148.9579</v>
      </c>
      <c r="E36" s="83">
        <f t="shared" si="0"/>
        <v>15741.9714</v>
      </c>
      <c r="G36">
        <v>25</v>
      </c>
      <c r="H36" s="83" t="n">
        <v>9894.0</v>
      </c>
      <c r="I36" s="83" t="n">
        <v>2980.0</v>
      </c>
      <c r="J36" s="85" t="n">
        <v>9755.0</v>
      </c>
      <c r="K36" s="83">
        <f t="shared" si="1"/>
        <v>20730</v>
      </c>
    </row>
    <row r="37" spans="1:11" x14ac:dyDescent="0.25">
      <c r="A37">
        <v>26</v>
      </c>
      <c r="B37" s="83" t="n">
        <v>33839.3131</v>
      </c>
      <c r="C37" s="83" t="n">
        <v>7174.651</v>
      </c>
      <c r="D37" s="83" t="n">
        <v>887.428</v>
      </c>
      <c r="E37" s="83">
        <f t="shared" si="0"/>
        <v>41901.392099999997</v>
      </c>
      <c r="G37">
        <v>26</v>
      </c>
      <c r="H37" s="83" t="n">
        <v>5090.0</v>
      </c>
      <c r="I37" s="83" t="n">
        <v>1639.0</v>
      </c>
      <c r="J37" s="85" t="n">
        <v>8012.0</v>
      </c>
      <c r="K37" s="83">
        <f t="shared" si="1"/>
        <v>19923</v>
      </c>
    </row>
    <row r="38" spans="1:11" x14ac:dyDescent="0.25">
      <c r="A38">
        <v>27</v>
      </c>
      <c r="B38" s="83" t="n">
        <v>3780.4168</v>
      </c>
      <c r="C38" s="83" t="n">
        <v>2004.8523</v>
      </c>
      <c r="D38" s="83" t="n">
        <v>451.7598</v>
      </c>
      <c r="E38" s="83">
        <f t="shared" si="0"/>
        <v>6237.0288999999993</v>
      </c>
      <c r="G38">
        <v>27</v>
      </c>
      <c r="H38" s="83" t="n">
        <v>5450.0</v>
      </c>
      <c r="I38" s="83" t="n">
        <v>2130.0</v>
      </c>
      <c r="J38" s="85" t="n">
        <v>12383.0</v>
      </c>
      <c r="K38" s="83">
        <f t="shared" si="1"/>
        <v>12320</v>
      </c>
    </row>
    <row r="39" spans="1:11" x14ac:dyDescent="0.25">
      <c r="A39">
        <v>28</v>
      </c>
      <c r="B39" s="83" t="n">
        <v>11328.2202</v>
      </c>
      <c r="C39" s="83" t="n">
        <v>1681.9155</v>
      </c>
      <c r="D39" s="83" t="n">
        <v>1986.3262</v>
      </c>
      <c r="E39" s="83">
        <f t="shared" si="0"/>
        <v>14996.461899999998</v>
      </c>
      <c r="G39">
        <v>28</v>
      </c>
      <c r="H39" s="83" t="n">
        <v>4766.0</v>
      </c>
      <c r="I39" s="83" t="n">
        <v>1550.0</v>
      </c>
      <c r="J39" s="85" t="n">
        <v>5524.0</v>
      </c>
      <c r="K39" s="83">
        <f t="shared" si="1"/>
        <v>9977</v>
      </c>
    </row>
    <row r="40" spans="1:11" x14ac:dyDescent="0.25">
      <c r="A40">
        <v>29</v>
      </c>
      <c r="B40" s="83" t="n">
        <v>4032.5270000000005</v>
      </c>
      <c r="C40" s="83" t="n">
        <v>2926.6144000000004</v>
      </c>
      <c r="D40" s="83" t="n">
        <v>1539.4123</v>
      </c>
      <c r="E40" s="83">
        <f t="shared" si="0"/>
        <v>8498.5537000000004</v>
      </c>
      <c r="G40">
        <v>29</v>
      </c>
      <c r="H40" s="83" t="n">
        <v>2317.0</v>
      </c>
      <c r="I40" s="83" t="n">
        <v>1145.0</v>
      </c>
      <c r="J40" s="85" t="n">
        <v>6090.0</v>
      </c>
      <c r="K40" s="83">
        <f t="shared" si="1"/>
        <v>8594</v>
      </c>
    </row>
    <row r="41" spans="1:11" x14ac:dyDescent="0.25">
      <c r="A41">
        <v>30</v>
      </c>
      <c r="B41" s="83" t="n">
        <v>14496.886</v>
      </c>
      <c r="C41" s="83" t="n">
        <v>3870.1862</v>
      </c>
      <c r="D41" s="83" t="n">
        <v>1444.3077</v>
      </c>
      <c r="E41" s="83">
        <f t="shared" si="0"/>
        <v>19811.379900000004</v>
      </c>
      <c r="G41">
        <v>30</v>
      </c>
      <c r="H41" s="83" t="n">
        <v>2791.0</v>
      </c>
      <c r="I41" s="83" t="n">
        <v>1239.0</v>
      </c>
      <c r="J41" s="85" t="n">
        <v>2279.0</v>
      </c>
      <c r="K41" s="83">
        <f t="shared" si="1"/>
        <v>9601</v>
      </c>
    </row>
    <row r="42" spans="1:11" x14ac:dyDescent="0.25">
      <c r="A42">
        <v>31</v>
      </c>
      <c r="B42" s="83" t="n">
        <v>4371.8631</v>
      </c>
      <c r="C42" s="83" t="n">
        <v>2765.5991</v>
      </c>
      <c r="D42" s="83" t="n">
        <v>1153.2854</v>
      </c>
      <c r="E42" s="83">
        <f t="shared" si="0"/>
        <v>8290.7476000000006</v>
      </c>
      <c r="G42">
        <v>31</v>
      </c>
      <c r="H42" s="83" t="n">
        <v>3884.0</v>
      </c>
      <c r="I42" s="83" t="n">
        <v>1679.0</v>
      </c>
      <c r="J42" s="85" t="n">
        <v>3273.0</v>
      </c>
      <c r="K42" s="83">
        <f t="shared" si="1"/>
        <v>13250</v>
      </c>
    </row>
    <row r="43" spans="1:11" x14ac:dyDescent="0.25">
      <c r="A43">
        <v>32</v>
      </c>
      <c r="B43" s="83" t="n">
        <v>4797.0135</v>
      </c>
      <c r="C43" s="83" t="n">
        <v>679.5339</v>
      </c>
      <c r="D43" s="83" t="n">
        <v>193.3778</v>
      </c>
      <c r="E43" s="83">
        <f t="shared" ref="E43:E74" si="2">SUM(B43:D43)</f>
        <v>5669.9252000000006</v>
      </c>
      <c r="G43">
        <v>32</v>
      </c>
      <c r="H43" s="83" t="n">
        <v>1686.0</v>
      </c>
      <c r="I43" s="83" t="n">
        <v>845.0</v>
      </c>
      <c r="J43" s="85" t="n">
        <v>3835.0</v>
      </c>
      <c r="K43" s="83">
        <f t="shared" ref="K43:K74" si="3">SUM(H43:J43)</f>
        <v>10561</v>
      </c>
    </row>
    <row r="44" spans="1:11" x14ac:dyDescent="0.25">
      <c r="A44">
        <v>33</v>
      </c>
      <c r="B44" s="83" t="n">
        <v>3526.8323</v>
      </c>
      <c r="C44" s="83" t="n">
        <v>0.0</v>
      </c>
      <c r="D44" s="83" t="n">
        <v>2470.4291</v>
      </c>
      <c r="E44" s="83">
        <f t="shared" si="2"/>
        <v>5997.2613999999994</v>
      </c>
      <c r="G44">
        <v>33</v>
      </c>
      <c r="H44" s="83" t="n">
        <v>4362.0</v>
      </c>
      <c r="I44" s="83" t="n">
        <v>1393.0</v>
      </c>
      <c r="J44" s="85" t="n">
        <v>8332.0</v>
      </c>
      <c r="K44" s="83">
        <f t="shared" si="3"/>
        <v>8141</v>
      </c>
    </row>
    <row r="45" spans="1:11" x14ac:dyDescent="0.25">
      <c r="A45">
        <v>34</v>
      </c>
      <c r="B45" s="83" t="n">
        <v>12890.1114</v>
      </c>
      <c r="C45" s="83" t="n">
        <v>645.0735999999999</v>
      </c>
      <c r="D45" s="83" t="n">
        <v>1201.6505</v>
      </c>
      <c r="E45" s="83">
        <f t="shared" si="2"/>
        <v>14736.835499999999</v>
      </c>
      <c r="G45">
        <v>34</v>
      </c>
      <c r="H45" s="83" t="n">
        <v>660.0</v>
      </c>
      <c r="I45" s="83" t="n">
        <v>549.0</v>
      </c>
      <c r="J45" s="85" t="n">
        <v>3520.0</v>
      </c>
      <c r="K45" s="83">
        <f t="shared" si="3"/>
        <v>5434</v>
      </c>
    </row>
    <row r="46" spans="1:11" x14ac:dyDescent="0.25">
      <c r="A46">
        <v>35</v>
      </c>
      <c r="B46" s="83" t="n">
        <v>0.0</v>
      </c>
      <c r="C46" s="83" t="n">
        <v>438.0688</v>
      </c>
      <c r="D46" s="83" t="n">
        <v>388.3709</v>
      </c>
      <c r="E46" s="83">
        <f t="shared" si="2"/>
        <v>826.43970000000002</v>
      </c>
      <c r="G46">
        <v>35</v>
      </c>
      <c r="H46" s="83" t="n">
        <v>1315.0</v>
      </c>
      <c r="I46" s="83" t="n">
        <v>620.0</v>
      </c>
      <c r="J46" s="85" t="n">
        <v>2365.0</v>
      </c>
      <c r="K46" s="83">
        <f t="shared" si="3"/>
        <v>4380</v>
      </c>
    </row>
    <row r="47" spans="1:11" x14ac:dyDescent="0.25">
      <c r="A47">
        <v>36</v>
      </c>
      <c r="B47" s="83" t="n">
        <v>264.5087</v>
      </c>
      <c r="C47" s="83" t="n">
        <v>0.0</v>
      </c>
      <c r="D47" s="83" t="n">
        <v>1345.1968</v>
      </c>
      <c r="E47" s="83">
        <f t="shared" si="2"/>
        <v>1609.7055</v>
      </c>
      <c r="G47">
        <v>36</v>
      </c>
      <c r="H47" s="83" t="n">
        <v>1024.0</v>
      </c>
      <c r="I47" s="83" t="n">
        <v>618.0</v>
      </c>
      <c r="J47" s="85" t="n">
        <v>3704.0</v>
      </c>
      <c r="K47" s="83">
        <f t="shared" si="3"/>
        <v>6016</v>
      </c>
    </row>
    <row r="48" spans="1:11" x14ac:dyDescent="0.25">
      <c r="A48">
        <v>37</v>
      </c>
      <c r="B48" s="83" t="n">
        <v>4936.4268</v>
      </c>
      <c r="C48" s="83" t="n">
        <v>1379.2523</v>
      </c>
      <c r="D48" s="83" t="n">
        <v>327.4027</v>
      </c>
      <c r="E48" s="83">
        <f t="shared" si="2"/>
        <v>6643.0817999999999</v>
      </c>
      <c r="G48">
        <v>37</v>
      </c>
      <c r="H48" s="83" t="n">
        <v>1707.0</v>
      </c>
      <c r="I48" s="83" t="n">
        <v>858.0</v>
      </c>
      <c r="J48" s="85" t="n">
        <v>3635.0</v>
      </c>
      <c r="K48" s="83">
        <f t="shared" si="3"/>
        <v>4260</v>
      </c>
    </row>
    <row r="49" spans="1:11" x14ac:dyDescent="0.25">
      <c r="A49">
        <v>38</v>
      </c>
      <c r="B49" s="83" t="n">
        <v>3535.002</v>
      </c>
      <c r="C49" s="83" t="n">
        <v>1625.885</v>
      </c>
      <c r="D49" s="83" t="n">
        <v>953.4077</v>
      </c>
      <c r="E49" s="83">
        <f t="shared" si="2"/>
        <v>6114.2946999999995</v>
      </c>
      <c r="G49">
        <v>38</v>
      </c>
      <c r="H49" s="83" t="n">
        <v>421.0</v>
      </c>
      <c r="I49" s="83" t="n">
        <v>439.0</v>
      </c>
      <c r="J49" s="85" t="n">
        <v>1646.0</v>
      </c>
      <c r="K49" s="83">
        <f t="shared" si="3"/>
        <v>2917</v>
      </c>
    </row>
    <row r="50" spans="1:11" x14ac:dyDescent="0.25">
      <c r="A50">
        <v>39</v>
      </c>
      <c r="B50" s="83" t="n">
        <v>551.8249999999999</v>
      </c>
      <c r="C50" s="83" t="n">
        <v>0.0</v>
      </c>
      <c r="D50" s="83" t="n">
        <v>1511.3800999999999</v>
      </c>
      <c r="E50" s="83">
        <f t="shared" si="2"/>
        <v>2063.2050999999997</v>
      </c>
      <c r="G50">
        <v>39</v>
      </c>
      <c r="H50" s="83" t="n">
        <v>374.0</v>
      </c>
      <c r="I50" s="83" t="n">
        <v>399.0</v>
      </c>
      <c r="J50" s="85" t="n">
        <v>3283.0</v>
      </c>
      <c r="K50" s="83">
        <f t="shared" si="3"/>
        <v>4248</v>
      </c>
    </row>
    <row r="51" spans="1:11" x14ac:dyDescent="0.25">
      <c r="A51">
        <v>40</v>
      </c>
      <c r="B51" s="83" t="n">
        <v>0.0</v>
      </c>
      <c r="C51" s="83" t="n">
        <v>55.7339</v>
      </c>
      <c r="D51" s="83" t="n">
        <v>145.3335</v>
      </c>
      <c r="E51" s="83">
        <f t="shared" si="2"/>
        <v>201.06739999999999</v>
      </c>
      <c r="G51">
        <v>40</v>
      </c>
      <c r="H51" s="83" t="n">
        <v>264.0</v>
      </c>
      <c r="I51" s="83" t="n">
        <v>375.0</v>
      </c>
      <c r="J51" s="85" t="n">
        <v>1845.0</v>
      </c>
      <c r="K51" s="83">
        <f t="shared" si="3"/>
        <v>1645</v>
      </c>
    </row>
    <row r="52" spans="1:11" x14ac:dyDescent="0.25">
      <c r="A52">
        <v>41</v>
      </c>
      <c r="B52" s="83" t="n">
        <v>5402.1254</v>
      </c>
      <c r="C52" s="83" t="n">
        <v>0.0</v>
      </c>
      <c r="D52" s="83" t="n">
        <v>316.6618</v>
      </c>
      <c r="E52" s="83">
        <f t="shared" si="2"/>
        <v>5718.7871999999998</v>
      </c>
      <c r="G52">
        <v>41</v>
      </c>
      <c r="H52" s="83" t="n">
        <v>132.0</v>
      </c>
      <c r="I52" s="83" t="n">
        <v>205.0</v>
      </c>
      <c r="J52" s="85" t="n">
        <v>1174.0</v>
      </c>
      <c r="K52" s="83">
        <f t="shared" si="3"/>
        <v>1866</v>
      </c>
    </row>
    <row r="53" spans="1:11" x14ac:dyDescent="0.25">
      <c r="A53">
        <v>42</v>
      </c>
      <c r="B53" s="83" t="n">
        <v>0.0</v>
      </c>
      <c r="C53" s="83" t="n">
        <v>0.0</v>
      </c>
      <c r="D53" s="83" t="n">
        <v>214.2046</v>
      </c>
      <c r="E53" s="83">
        <f t="shared" si="2"/>
        <v>214.2046</v>
      </c>
      <c r="G53">
        <v>42</v>
      </c>
      <c r="H53" s="83" t="n">
        <v>163.0</v>
      </c>
      <c r="I53" s="83" t="n">
        <v>258.0</v>
      </c>
      <c r="J53" s="85" t="n">
        <v>1779.0</v>
      </c>
      <c r="K53" s="83">
        <f t="shared" si="3"/>
        <v>1749</v>
      </c>
    </row>
    <row r="54" spans="1:11" x14ac:dyDescent="0.25">
      <c r="A54">
        <v>43</v>
      </c>
      <c r="B54" s="83" t="n">
        <v>353.8466</v>
      </c>
      <c r="C54" s="83" t="n">
        <v>254.1134</v>
      </c>
      <c r="D54" s="83" t="n">
        <v>460.9102</v>
      </c>
      <c r="E54" s="83">
        <f t="shared" si="2"/>
        <v>1068.8702000000001</v>
      </c>
      <c r="G54">
        <v>43</v>
      </c>
      <c r="H54" s="83" t="n">
        <v>155.0</v>
      </c>
      <c r="I54" s="83" t="n">
        <v>175.0</v>
      </c>
      <c r="J54" s="85" t="n">
        <v>1131.0</v>
      </c>
      <c r="K54" s="83">
        <f t="shared" si="3"/>
        <v>1571</v>
      </c>
    </row>
    <row r="55" spans="1:11" x14ac:dyDescent="0.25">
      <c r="A55">
        <v>44</v>
      </c>
      <c r="B55" s="83" t="n">
        <v>0.0</v>
      </c>
      <c r="C55" s="83" t="n">
        <v>262.7907</v>
      </c>
      <c r="D55" s="83" t="n">
        <v>1013.4291000000001</v>
      </c>
      <c r="E55" s="83">
        <f t="shared" si="2"/>
        <v>1276.2198000000001</v>
      </c>
      <c r="G55">
        <v>44</v>
      </c>
      <c r="H55" s="83" t="n">
        <v>1237.0</v>
      </c>
      <c r="I55" s="83" t="n">
        <v>418.0</v>
      </c>
      <c r="J55" s="85" t="n">
        <v>994.0</v>
      </c>
      <c r="K55" s="83">
        <f t="shared" si="3"/>
        <v>1397</v>
      </c>
    </row>
    <row r="56" spans="1:11" x14ac:dyDescent="0.25">
      <c r="A56">
        <v>45</v>
      </c>
      <c r="B56" s="83" t="n">
        <v>14075.8714</v>
      </c>
      <c r="C56" s="83" t="n">
        <v>3017.0855</v>
      </c>
      <c r="D56" s="83" t="n">
        <v>3907.4936000000002</v>
      </c>
      <c r="E56" s="83">
        <f t="shared" si="2"/>
        <v>21000.450500000003</v>
      </c>
      <c r="G56">
        <v>45</v>
      </c>
      <c r="H56" s="83" t="n">
        <v>53.0</v>
      </c>
      <c r="I56" s="83" t="n">
        <v>118.0</v>
      </c>
      <c r="J56" s="85" t="n">
        <v>2066.0</v>
      </c>
      <c r="K56" s="83">
        <f t="shared" si="3"/>
        <v>3151</v>
      </c>
    </row>
    <row r="57" spans="1:11" x14ac:dyDescent="0.25">
      <c r="A57">
        <v>46</v>
      </c>
      <c r="B57" s="83" t="n">
        <v>522.3251</v>
      </c>
      <c r="C57" s="83" t="n">
        <v>522.3251</v>
      </c>
      <c r="D57" s="83" t="n">
        <v>427.759</v>
      </c>
      <c r="E57" s="83">
        <f t="shared" si="2"/>
        <v>1472.4092000000001</v>
      </c>
      <c r="G57">
        <v>46</v>
      </c>
      <c r="H57" s="83" t="n">
        <v>87.0</v>
      </c>
      <c r="I57" s="83" t="n">
        <v>162.0</v>
      </c>
      <c r="J57" s="85" t="n">
        <v>1755.0</v>
      </c>
      <c r="K57" s="83">
        <f t="shared" si="3"/>
        <v>2900</v>
      </c>
    </row>
    <row r="58" spans="1:11" x14ac:dyDescent="0.25">
      <c r="A58">
        <v>47</v>
      </c>
      <c r="B58" s="83" t="n">
        <v>321.005</v>
      </c>
      <c r="C58" s="83" t="n">
        <v>0.0</v>
      </c>
      <c r="D58" s="83" t="n">
        <v>667.4098</v>
      </c>
      <c r="E58" s="83">
        <f t="shared" si="2"/>
        <v>988.41480000000001</v>
      </c>
      <c r="G58">
        <v>47</v>
      </c>
      <c r="H58" s="83" t="n">
        <v>63.0</v>
      </c>
      <c r="I58" s="83" t="n">
        <v>116.0</v>
      </c>
      <c r="J58" s="85" t="n">
        <v>2542.0</v>
      </c>
      <c r="K58" s="83">
        <f t="shared" si="3"/>
        <v>691</v>
      </c>
    </row>
    <row r="59" spans="1:11" x14ac:dyDescent="0.25">
      <c r="A59">
        <v>48</v>
      </c>
      <c r="B59" s="83" t="n">
        <v>0.0</v>
      </c>
      <c r="C59" s="83" t="n">
        <v>0.0</v>
      </c>
      <c r="D59" s="83" t="n">
        <v>82.014</v>
      </c>
      <c r="E59" s="83">
        <f t="shared" si="2"/>
        <v>82.013999999999996</v>
      </c>
      <c r="G59">
        <v>48</v>
      </c>
      <c r="H59" s="83" t="n">
        <v>25.0</v>
      </c>
      <c r="I59" s="83" t="n">
        <v>90.0</v>
      </c>
      <c r="J59" s="85" t="n">
        <v>720.0</v>
      </c>
      <c r="K59" s="83">
        <f t="shared" si="3"/>
        <v>2041</v>
      </c>
    </row>
    <row r="60" spans="1:11" x14ac:dyDescent="0.25">
      <c r="A60">
        <v>49</v>
      </c>
      <c r="B60" s="83" t="n">
        <v>1297.2364</v>
      </c>
      <c r="C60" s="83" t="n">
        <v>0.0</v>
      </c>
      <c r="D60" s="83" t="n">
        <v>138.9376</v>
      </c>
      <c r="E60" s="83">
        <f t="shared" si="2"/>
        <v>1436.174</v>
      </c>
      <c r="G60">
        <v>49</v>
      </c>
      <c r="H60" s="83" t="n">
        <v>21.0</v>
      </c>
      <c r="I60" s="83" t="n">
        <v>73.0</v>
      </c>
      <c r="J60" s="85" t="n">
        <v>1044.0</v>
      </c>
      <c r="K60" s="83">
        <f t="shared" si="3"/>
        <v>945</v>
      </c>
    </row>
    <row r="61" spans="1:11" x14ac:dyDescent="0.25">
      <c r="A61">
        <v>50</v>
      </c>
      <c r="B61" s="83" t="n">
        <v>279.8517</v>
      </c>
      <c r="C61" s="83" t="n">
        <v>0.0</v>
      </c>
      <c r="D61" s="83" t="n">
        <v>462.852</v>
      </c>
      <c r="E61" s="83">
        <f t="shared" si="2"/>
        <v>742.70370000000003</v>
      </c>
      <c r="G61">
        <v>50</v>
      </c>
      <c r="H61" s="83" t="n">
        <v>18.0</v>
      </c>
      <c r="I61" s="83" t="n">
        <v>61.0</v>
      </c>
      <c r="J61" s="85" t="n">
        <v>832.0</v>
      </c>
      <c r="K61" s="83">
        <f t="shared" si="3"/>
        <v>1261</v>
      </c>
    </row>
    <row r="62" spans="1:11" x14ac:dyDescent="0.25">
      <c r="A62">
        <v>51</v>
      </c>
      <c r="B62" s="83" t="n">
        <v>0.0</v>
      </c>
      <c r="C62" s="83" t="n">
        <v>0.0</v>
      </c>
      <c r="D62" s="83" t="n">
        <v>27.320999999999998</v>
      </c>
      <c r="E62" s="83">
        <f t="shared" si="2"/>
        <v>27.320999999999998</v>
      </c>
      <c r="G62">
        <v>51</v>
      </c>
      <c r="H62" s="83" t="n">
        <v>15.0</v>
      </c>
      <c r="I62" s="83" t="n">
        <v>71.0</v>
      </c>
      <c r="J62" s="85" t="n">
        <v>901.0</v>
      </c>
      <c r="K62" s="83">
        <f t="shared" si="3"/>
        <v>581</v>
      </c>
    </row>
    <row r="63" spans="1:11" x14ac:dyDescent="0.25">
      <c r="A63">
        <v>52</v>
      </c>
      <c r="B63" s="83" t="n">
        <v>775.4409</v>
      </c>
      <c r="C63" s="83" t="n">
        <v>0.0</v>
      </c>
      <c r="D63" s="83" t="n">
        <v>0.0</v>
      </c>
      <c r="E63" s="83">
        <f t="shared" si="2"/>
        <v>775.44090000000006</v>
      </c>
      <c r="G63">
        <v>52</v>
      </c>
      <c r="H63" s="83" t="n">
        <v>12.0</v>
      </c>
      <c r="I63" s="83" t="n">
        <v>54.0</v>
      </c>
      <c r="J63" s="85" t="n">
        <v>1233.0</v>
      </c>
      <c r="K63" s="83">
        <f t="shared" si="3"/>
        <v>1079</v>
      </c>
    </row>
    <row r="64" spans="1:11" x14ac:dyDescent="0.25">
      <c r="A64">
        <v>53</v>
      </c>
      <c r="B64" s="83" t="n">
        <v>0.0</v>
      </c>
      <c r="C64" s="83" t="n">
        <v>0.0</v>
      </c>
      <c r="D64" s="83" t="n">
        <v>227.0372</v>
      </c>
      <c r="E64" s="83">
        <f t="shared" si="2"/>
        <v>227.03720000000001</v>
      </c>
      <c r="G64">
        <v>53</v>
      </c>
      <c r="H64" s="83" t="n">
        <v>10.0</v>
      </c>
      <c r="I64" s="83" t="n">
        <v>54.0</v>
      </c>
      <c r="J64" s="85" t="n">
        <v>532.0</v>
      </c>
      <c r="K64" s="83">
        <f t="shared" si="3"/>
        <v>1635</v>
      </c>
    </row>
    <row r="65" spans="1:11" x14ac:dyDescent="0.25">
      <c r="A65">
        <v>54</v>
      </c>
      <c r="B65" s="83" t="n">
        <v>0.0</v>
      </c>
      <c r="C65" s="83" t="n">
        <v>0.0</v>
      </c>
      <c r="D65" s="83" t="n">
        <v>0.0</v>
      </c>
      <c r="E65" s="83">
        <f t="shared" si="2"/>
        <v>0</v>
      </c>
      <c r="G65">
        <v>54</v>
      </c>
      <c r="H65" s="83" t="n">
        <v>14.0</v>
      </c>
      <c r="I65" s="83" t="n">
        <v>40.0</v>
      </c>
      <c r="J65" s="85" t="n">
        <v>459.0</v>
      </c>
      <c r="K65" s="83">
        <f t="shared" si="3"/>
        <v>1021</v>
      </c>
    </row>
    <row r="66" spans="1:11" x14ac:dyDescent="0.25">
      <c r="A66">
        <v>55</v>
      </c>
      <c r="B66" s="83" t="n">
        <v>1287.2831999999999</v>
      </c>
      <c r="C66" s="83" t="n">
        <v>1194.723</v>
      </c>
      <c r="D66" s="83" t="n">
        <v>31.814</v>
      </c>
      <c r="E66" s="83">
        <f t="shared" si="2"/>
        <v>2513.8201999999997</v>
      </c>
      <c r="G66">
        <v>55</v>
      </c>
      <c r="H66" s="83" t="n">
        <v>13.0</v>
      </c>
      <c r="I66" s="83" t="n">
        <v>29.0</v>
      </c>
      <c r="J66" s="85" t="n">
        <v>396.0</v>
      </c>
      <c r="K66" s="83">
        <f t="shared" si="3"/>
        <v>557</v>
      </c>
    </row>
    <row r="67" spans="1:11" x14ac:dyDescent="0.25">
      <c r="A67">
        <v>56</v>
      </c>
      <c r="B67" s="83" t="n">
        <v>0.0</v>
      </c>
      <c r="C67" s="83" t="n">
        <v>0.0</v>
      </c>
      <c r="D67" s="83" t="n">
        <v>0.0</v>
      </c>
      <c r="E67" s="83">
        <f t="shared" si="2"/>
        <v>0</v>
      </c>
      <c r="G67">
        <v>56</v>
      </c>
      <c r="H67" s="83" t="n">
        <v>5.0</v>
      </c>
      <c r="I67" s="83" t="n">
        <v>37.0</v>
      </c>
      <c r="J67" s="85" t="n">
        <v>1307.0</v>
      </c>
      <c r="K67" s="83">
        <f t="shared" si="3"/>
        <v>409</v>
      </c>
    </row>
    <row r="68" spans="1:11" x14ac:dyDescent="0.25">
      <c r="A68">
        <v>57</v>
      </c>
      <c r="B68" s="83" t="n">
        <v>0.0</v>
      </c>
      <c r="C68" s="83" t="n">
        <v>0.0</v>
      </c>
      <c r="D68" s="83" t="n">
        <v>16.64</v>
      </c>
      <c r="E68" s="83">
        <f t="shared" si="2"/>
        <v>16.64</v>
      </c>
      <c r="G68">
        <v>57</v>
      </c>
      <c r="H68" s="83" t="n">
        <v>2.0</v>
      </c>
      <c r="I68" s="83" t="n">
        <v>18.0</v>
      </c>
      <c r="J68" s="85" t="n">
        <v>826.0</v>
      </c>
      <c r="K68" s="83">
        <f t="shared" si="3"/>
        <v>740</v>
      </c>
    </row>
    <row r="69" spans="1:11" x14ac:dyDescent="0.25">
      <c r="A69">
        <v>58</v>
      </c>
      <c r="B69" s="83" t="n">
        <v>0.0</v>
      </c>
      <c r="C69" s="83" t="n">
        <v>0.0</v>
      </c>
      <c r="D69" s="83" t="n">
        <v>16.385</v>
      </c>
      <c r="E69" s="83">
        <f t="shared" si="2"/>
        <v>16.385000000000002</v>
      </c>
      <c r="G69">
        <v>58</v>
      </c>
      <c r="H69" s="83" t="n">
        <v>5.0</v>
      </c>
      <c r="I69" s="83" t="n">
        <v>26.0</v>
      </c>
      <c r="J69" s="85" t="n">
        <v>430.0</v>
      </c>
      <c r="K69" s="83">
        <f t="shared" si="3"/>
        <v>202</v>
      </c>
    </row>
    <row r="70" spans="1:11" x14ac:dyDescent="0.25">
      <c r="A70">
        <v>59</v>
      </c>
      <c r="B70" s="83" t="n">
        <v>0.0</v>
      </c>
      <c r="C70" s="83" t="n">
        <v>0.0</v>
      </c>
      <c r="D70" s="83" t="n">
        <v>0.0</v>
      </c>
      <c r="E70" s="83">
        <f t="shared" si="2"/>
        <v>0</v>
      </c>
      <c r="G70">
        <v>59</v>
      </c>
      <c r="H70" s="83" t="n">
        <v>11.0</v>
      </c>
      <c r="I70" s="83" t="n">
        <v>23.0</v>
      </c>
      <c r="J70" s="85" t="n">
        <v>326.0</v>
      </c>
      <c r="K70" s="83">
        <f t="shared" si="3"/>
        <v>195</v>
      </c>
    </row>
    <row r="71" spans="1:11" x14ac:dyDescent="0.25">
      <c r="A71">
        <v>60</v>
      </c>
      <c r="B71" s="83" t="n">
        <v>0.0</v>
      </c>
      <c r="C71" s="83" t="n">
        <v>0.0</v>
      </c>
      <c r="D71" s="83" t="n">
        <v>0.0</v>
      </c>
      <c r="E71" s="83">
        <f t="shared" si="2"/>
        <v>0</v>
      </c>
      <c r="G71">
        <v>60</v>
      </c>
      <c r="H71" s="83" t="n">
        <v>1.0</v>
      </c>
      <c r="I71" s="83" t="n">
        <v>24.0</v>
      </c>
      <c r="J71" s="85" t="n">
        <v>192.0</v>
      </c>
      <c r="K71" s="83">
        <f t="shared" si="3"/>
        <v>442</v>
      </c>
    </row>
    <row r="72" spans="1:11" x14ac:dyDescent="0.25">
      <c r="A72">
        <v>61</v>
      </c>
      <c r="B72" s="83" t="n">
        <v>0.0</v>
      </c>
      <c r="C72" s="83" t="n">
        <v>0.0</v>
      </c>
      <c r="D72" s="83" t="n">
        <v>0.0</v>
      </c>
      <c r="E72" s="83">
        <f t="shared" si="2"/>
        <v>0</v>
      </c>
      <c r="G72">
        <v>61</v>
      </c>
      <c r="H72" s="83" t="n">
        <v>11.0</v>
      </c>
      <c r="I72" s="83" t="n">
        <v>18.0</v>
      </c>
      <c r="J72" s="85" t="n">
        <v>275.0</v>
      </c>
      <c r="K72" s="83">
        <f t="shared" si="3"/>
        <v>453</v>
      </c>
    </row>
    <row r="73" spans="1:11" x14ac:dyDescent="0.25">
      <c r="A73">
        <v>62</v>
      </c>
      <c r="B73" s="83" t="n">
        <v>0.0</v>
      </c>
      <c r="C73" s="83" t="n">
        <v>0.0</v>
      </c>
      <c r="D73" s="83" t="n">
        <v>21.709000000000003</v>
      </c>
      <c r="E73" s="83">
        <f t="shared" si="2"/>
        <v>21.709000000000003</v>
      </c>
      <c r="G73">
        <v>62</v>
      </c>
      <c r="H73" s="83" t="n">
        <v>11.0</v>
      </c>
      <c r="I73" s="83" t="n">
        <v>17.0</v>
      </c>
      <c r="J73" s="85" t="n">
        <v>552.0</v>
      </c>
      <c r="K73" s="83">
        <f t="shared" si="3"/>
        <v>709</v>
      </c>
    </row>
    <row r="74" spans="1:11" x14ac:dyDescent="0.25">
      <c r="A74">
        <v>63</v>
      </c>
      <c r="B74" s="83" t="n">
        <v>0.0</v>
      </c>
      <c r="C74" s="83" t="n">
        <v>0.0</v>
      </c>
      <c r="D74" s="83" t="n">
        <v>4.128</v>
      </c>
      <c r="E74" s="83">
        <f t="shared" si="2"/>
        <v>4.1280000000000001</v>
      </c>
      <c r="G74">
        <v>63</v>
      </c>
      <c r="H74" s="83" t="n">
        <v>3.0</v>
      </c>
      <c r="I74" s="83" t="n">
        <v>9.0</v>
      </c>
      <c r="J74" s="85" t="n">
        <v>250.0</v>
      </c>
      <c r="K74" s="83">
        <f t="shared" si="3"/>
        <v>378</v>
      </c>
    </row>
    <row r="75" spans="1:11" x14ac:dyDescent="0.25">
      <c r="A75">
        <v>64</v>
      </c>
      <c r="B75" s="83" t="n">
        <v>0.0</v>
      </c>
      <c r="C75" s="83" t="n">
        <v>78.9631</v>
      </c>
      <c r="D75" s="83" t="n">
        <v>10.791</v>
      </c>
      <c r="E75" s="83">
        <f t="shared" ref="E75:E101" si="4">SUM(B75:D75)</f>
        <v>89.754099999999994</v>
      </c>
      <c r="G75">
        <v>64</v>
      </c>
      <c r="H75" s="83" t="n">
        <v>1.0</v>
      </c>
      <c r="I75" s="83" t="n">
        <v>11.0</v>
      </c>
      <c r="J75" s="85" t="n">
        <v>117.0</v>
      </c>
      <c r="K75" s="83">
        <f t="shared" ref="K75:K101" si="5">SUM(H75:J75)</f>
        <v>294</v>
      </c>
    </row>
    <row r="76" spans="1:11" x14ac:dyDescent="0.25">
      <c r="A76">
        <v>65</v>
      </c>
      <c r="B76" s="83" t="n">
        <v>0.0</v>
      </c>
      <c r="C76" s="83" t="n">
        <v>0.0</v>
      </c>
      <c r="D76" s="83" t="n">
        <v>0.0</v>
      </c>
      <c r="E76" s="83">
        <f t="shared" si="4"/>
        <v>0</v>
      </c>
      <c r="G76">
        <v>65</v>
      </c>
      <c r="H76" s="83" t="n">
        <v>2.0</v>
      </c>
      <c r="I76" s="83" t="n">
        <v>7.0</v>
      </c>
      <c r="J76" s="85" t="n">
        <v>342.0</v>
      </c>
      <c r="K76" s="83">
        <f t="shared" si="5"/>
        <v>386</v>
      </c>
    </row>
    <row r="77" spans="1:11" x14ac:dyDescent="0.25">
      <c r="A77">
        <v>66</v>
      </c>
      <c r="B77" s="83" t="n">
        <v>0.0</v>
      </c>
      <c r="C77" s="83" t="n">
        <v>0.0</v>
      </c>
      <c r="D77" s="83" t="n">
        <v>275.5614</v>
      </c>
      <c r="E77" s="83">
        <f t="shared" si="4"/>
        <v>275.56139999999999</v>
      </c>
      <c r="G77">
        <v>66</v>
      </c>
      <c r="H77" s="83" t="n">
        <v>4.0</v>
      </c>
      <c r="I77" s="83" t="n">
        <v>8.0</v>
      </c>
      <c r="J77" s="85" t="n">
        <v>253.0</v>
      </c>
      <c r="K77" s="83">
        <f t="shared" si="5"/>
        <v>156</v>
      </c>
    </row>
    <row r="78" spans="1:11" x14ac:dyDescent="0.25">
      <c r="A78">
        <v>67</v>
      </c>
      <c r="B78" s="83" t="n">
        <v>0.0</v>
      </c>
      <c r="C78" s="83" t="n">
        <v>0.0</v>
      </c>
      <c r="D78" s="83" t="n">
        <v>495.275</v>
      </c>
      <c r="E78" s="83">
        <f t="shared" si="4"/>
        <v>495.27499999999998</v>
      </c>
      <c r="G78">
        <v>67</v>
      </c>
      <c r="H78" s="83" t="n">
        <v>2.0</v>
      </c>
      <c r="I78" s="83" t="n">
        <v>10.0</v>
      </c>
      <c r="J78" s="85" t="n">
        <v>239.0</v>
      </c>
      <c r="K78" s="83">
        <f t="shared" si="5"/>
        <v>96</v>
      </c>
    </row>
    <row r="79" spans="1:11" x14ac:dyDescent="0.25">
      <c r="A79">
        <v>68</v>
      </c>
      <c r="B79" s="83" t="n">
        <v>0.0</v>
      </c>
      <c r="C79" s="83" t="n">
        <v>0.0</v>
      </c>
      <c r="D79" s="83" t="n">
        <v>0.0</v>
      </c>
      <c r="E79" s="83">
        <f t="shared" si="4"/>
        <v>0</v>
      </c>
      <c r="G79">
        <v>68</v>
      </c>
      <c r="H79" s="83" t="n">
        <v>2.0</v>
      </c>
      <c r="I79" s="83" t="n">
        <v>6.0</v>
      </c>
      <c r="J79" s="85" t="n">
        <v>113.0</v>
      </c>
      <c r="K79" s="83">
        <f t="shared" si="5"/>
        <v>109</v>
      </c>
    </row>
    <row r="80" spans="1:11" x14ac:dyDescent="0.25">
      <c r="A80">
        <v>69</v>
      </c>
      <c r="B80" s="83" t="n">
        <v>0.0</v>
      </c>
      <c r="C80" s="83" t="n">
        <v>0.0</v>
      </c>
      <c r="D80" s="83" t="n">
        <v>8.485</v>
      </c>
      <c r="E80" s="83">
        <f t="shared" si="4"/>
        <v>8.4849999999999994</v>
      </c>
      <c r="G80">
        <v>69</v>
      </c>
      <c r="H80" s="83" t="n">
        <v>1.0</v>
      </c>
      <c r="I80" s="83" t="n">
        <v>7.0</v>
      </c>
      <c r="J80" s="85" t="n">
        <v>66.0</v>
      </c>
      <c r="K80" s="83">
        <f t="shared" si="5"/>
        <v>610</v>
      </c>
    </row>
    <row r="81" spans="1:11" x14ac:dyDescent="0.25">
      <c r="A81">
        <v>70</v>
      </c>
      <c r="B81" s="83" t="n">
        <v>0.0</v>
      </c>
      <c r="C81" s="83" t="n">
        <v>0.0</v>
      </c>
      <c r="D81" s="83" t="n">
        <v>0.0</v>
      </c>
      <c r="E81" s="83">
        <f t="shared" si="4"/>
        <v>0</v>
      </c>
      <c r="G81">
        <v>70</v>
      </c>
      <c r="H81" s="83" t="n">
        <v>7.0</v>
      </c>
      <c r="I81" s="83" t="n">
        <v>2.0</v>
      </c>
      <c r="J81" s="85" t="n">
        <v>75.0</v>
      </c>
      <c r="K81" s="83">
        <f t="shared" si="5"/>
        <v>147</v>
      </c>
    </row>
    <row r="82" spans="1:11" x14ac:dyDescent="0.25">
      <c r="A82">
        <v>71</v>
      </c>
      <c r="B82" s="83" t="n">
        <v>0.0</v>
      </c>
      <c r="C82" s="83" t="n">
        <v>0.0</v>
      </c>
      <c r="D82" s="83" t="n">
        <v>0.0</v>
      </c>
      <c r="E82" s="83">
        <f t="shared" si="4"/>
        <v>0</v>
      </c>
      <c r="G82">
        <v>71</v>
      </c>
      <c r="H82" s="83" t="n">
        <v>3.0</v>
      </c>
      <c r="I82" s="83" t="n">
        <v>3.0</v>
      </c>
      <c r="J82" s="85" t="n">
        <v>180.0</v>
      </c>
      <c r="K82" s="83">
        <f t="shared" si="5"/>
        <v>131</v>
      </c>
    </row>
    <row r="83" spans="1:11" x14ac:dyDescent="0.25">
      <c r="A83">
        <v>72</v>
      </c>
      <c r="B83" s="83" t="n">
        <v>99.9861</v>
      </c>
      <c r="C83" s="83" t="n">
        <v>542.7239</v>
      </c>
      <c r="D83" s="83" t="n">
        <v>11.159</v>
      </c>
      <c r="E83" s="83">
        <f t="shared" si="4"/>
        <v>653.86899999999991</v>
      </c>
      <c r="G83">
        <v>72</v>
      </c>
      <c r="H83" s="83" t="n">
        <v>0.0</v>
      </c>
      <c r="I83" s="83" t="n">
        <v>0.0</v>
      </c>
      <c r="J83" s="85" t="n">
        <v>317.0</v>
      </c>
      <c r="K83" s="83">
        <f t="shared" si="5"/>
        <v>43</v>
      </c>
    </row>
    <row r="84" spans="1:11" x14ac:dyDescent="0.25">
      <c r="A84">
        <v>73</v>
      </c>
      <c r="B84" s="83" t="n">
        <v>0.0</v>
      </c>
      <c r="C84" s="83" t="n">
        <v>0.0</v>
      </c>
      <c r="D84" s="83" t="n">
        <v>0.0</v>
      </c>
      <c r="E84" s="83">
        <f t="shared" si="4"/>
        <v>0</v>
      </c>
      <c r="G84">
        <v>73</v>
      </c>
      <c r="H84" s="83" t="n">
        <v>2.0</v>
      </c>
      <c r="I84" s="83" t="n">
        <v>3.0</v>
      </c>
      <c r="J84" s="85" t="n">
        <v>92.0</v>
      </c>
      <c r="K84" s="83">
        <f t="shared" si="5"/>
        <v>42</v>
      </c>
    </row>
    <row r="85" spans="1:11" x14ac:dyDescent="0.25">
      <c r="A85">
        <v>74</v>
      </c>
      <c r="B85" s="83" t="n">
        <v>0.0</v>
      </c>
      <c r="C85" s="83" t="n">
        <v>0.0</v>
      </c>
      <c r="D85" s="83" t="n">
        <v>0.0</v>
      </c>
      <c r="E85" s="83">
        <f t="shared" si="4"/>
        <v>0</v>
      </c>
      <c r="G85">
        <v>74</v>
      </c>
      <c r="H85" s="83" t="n">
        <v>0.0</v>
      </c>
      <c r="I85" s="83" t="n">
        <v>2.0</v>
      </c>
      <c r="J85" s="85" t="n">
        <v>129.0</v>
      </c>
      <c r="K85" s="83">
        <f t="shared" si="5"/>
        <v>236</v>
      </c>
    </row>
    <row r="86" spans="1:11" x14ac:dyDescent="0.25">
      <c r="A86">
        <v>75</v>
      </c>
      <c r="B86" s="83" t="n">
        <v>0.0</v>
      </c>
      <c r="C86" s="83" t="n">
        <v>0.0</v>
      </c>
      <c r="D86" s="83" t="n">
        <v>0.0</v>
      </c>
      <c r="E86" s="83">
        <f t="shared" si="4"/>
        <v>0</v>
      </c>
      <c r="G86">
        <v>75</v>
      </c>
      <c r="H86" s="83" t="n">
        <v>1.0</v>
      </c>
      <c r="I86" s="83" t="n">
        <v>2.0</v>
      </c>
      <c r="J86" s="85" t="n">
        <v>15.0</v>
      </c>
      <c r="K86" s="83">
        <f t="shared" si="5"/>
        <v>41</v>
      </c>
    </row>
    <row r="87" spans="1:11" x14ac:dyDescent="0.25">
      <c r="A87">
        <v>76</v>
      </c>
      <c r="B87" s="83" t="n">
        <v>0.0</v>
      </c>
      <c r="C87" s="83" t="n">
        <v>0.0</v>
      </c>
      <c r="D87" s="83" t="n">
        <v>598.7239</v>
      </c>
      <c r="E87" s="83">
        <f t="shared" si="4"/>
        <v>598.72389999999996</v>
      </c>
      <c r="G87">
        <v>76</v>
      </c>
      <c r="H87" s="83" t="n">
        <v>0.0</v>
      </c>
      <c r="I87" s="83" t="n">
        <v>0.0</v>
      </c>
      <c r="J87" s="85" t="n">
        <v>52.0</v>
      </c>
      <c r="K87" s="83">
        <f t="shared" si="5"/>
        <v>77</v>
      </c>
    </row>
    <row r="88" spans="1:11" x14ac:dyDescent="0.25">
      <c r="A88">
        <v>77</v>
      </c>
      <c r="B88" s="83" t="n">
        <v>1031.4047</v>
      </c>
      <c r="C88" s="83" t="n">
        <v>0.0</v>
      </c>
      <c r="D88" s="83" t="n">
        <v>0.0</v>
      </c>
      <c r="E88" s="83">
        <f t="shared" si="4"/>
        <v>1031.4047</v>
      </c>
      <c r="G88">
        <v>77</v>
      </c>
      <c r="H88" s="83" t="n">
        <v>2.0</v>
      </c>
      <c r="I88" s="83" t="n">
        <v>2.0</v>
      </c>
      <c r="J88" s="85" t="n">
        <v>8.0</v>
      </c>
      <c r="K88" s="83">
        <f t="shared" si="5"/>
        <v>73</v>
      </c>
    </row>
    <row r="89" spans="1:11" x14ac:dyDescent="0.25">
      <c r="A89">
        <v>78</v>
      </c>
      <c r="B89" s="83" t="n">
        <v>212.6231</v>
      </c>
      <c r="C89" s="83" t="n">
        <v>0.0</v>
      </c>
      <c r="D89" s="83" t="n">
        <v>0.0</v>
      </c>
      <c r="E89" s="83">
        <f t="shared" si="4"/>
        <v>212.62309999999999</v>
      </c>
      <c r="G89">
        <v>78</v>
      </c>
      <c r="H89" s="83" t="n">
        <v>4.0</v>
      </c>
      <c r="I89" s="83" t="n">
        <v>3.0</v>
      </c>
      <c r="J89" s="85" t="n">
        <v>110.0</v>
      </c>
      <c r="K89" s="83">
        <f t="shared" si="5"/>
        <v>10</v>
      </c>
    </row>
    <row r="90" spans="1:11" x14ac:dyDescent="0.25">
      <c r="A90">
        <v>79</v>
      </c>
      <c r="B90" s="83" t="n">
        <v>0.0</v>
      </c>
      <c r="C90" s="83" t="n">
        <v>0.0</v>
      </c>
      <c r="D90" s="83" t="n">
        <v>0.0</v>
      </c>
      <c r="E90" s="83">
        <f t="shared" si="4"/>
        <v>0</v>
      </c>
      <c r="G90">
        <v>79</v>
      </c>
      <c r="H90" s="83" t="n">
        <v>1.0</v>
      </c>
      <c r="I90" s="83" t="n">
        <v>2.0</v>
      </c>
      <c r="J90" s="85" t="n">
        <v>52.0</v>
      </c>
      <c r="K90" s="83">
        <f t="shared" si="5"/>
        <v>2</v>
      </c>
    </row>
    <row r="91" spans="1:11" x14ac:dyDescent="0.25">
      <c r="A91">
        <v>80</v>
      </c>
      <c r="B91" s="83" t="n">
        <v>0.0</v>
      </c>
      <c r="C91" s="83" t="n">
        <v>0.0</v>
      </c>
      <c r="D91" s="83" t="n">
        <v>0.0</v>
      </c>
      <c r="E91" s="83">
        <f t="shared" si="4"/>
        <v>0</v>
      </c>
      <c r="G91">
        <v>80</v>
      </c>
      <c r="H91" s="83" t="n">
        <v>0.0</v>
      </c>
      <c r="I91" s="83" t="n">
        <v>0.0</v>
      </c>
      <c r="J91" s="85" t="n">
        <v>8.0</v>
      </c>
      <c r="K91" s="83">
        <f t="shared" si="5"/>
        <v>10</v>
      </c>
    </row>
    <row r="92" spans="1:11" x14ac:dyDescent="0.25">
      <c r="A92">
        <v>81</v>
      </c>
      <c r="B92" s="83" t="n">
        <v>0.0</v>
      </c>
      <c r="C92" s="83" t="n">
        <v>0.0</v>
      </c>
      <c r="D92" s="83" t="n">
        <v>0.0</v>
      </c>
      <c r="E92" s="83">
        <f t="shared" si="4"/>
        <v>0</v>
      </c>
      <c r="G92">
        <v>81</v>
      </c>
      <c r="H92" s="83" t="n">
        <v>3.0</v>
      </c>
      <c r="I92" s="83" t="n">
        <v>0.0</v>
      </c>
      <c r="J92" s="85" t="n">
        <v>4.0</v>
      </c>
      <c r="K92" s="83">
        <f t="shared" si="5"/>
        <v>268</v>
      </c>
    </row>
    <row r="93" spans="1:11" x14ac:dyDescent="0.25">
      <c r="A93">
        <v>82</v>
      </c>
      <c r="B93" s="83" t="n">
        <v>0.0</v>
      </c>
      <c r="C93" s="83" t="n">
        <v>0.0</v>
      </c>
      <c r="D93" s="83" t="n">
        <v>0.0</v>
      </c>
      <c r="E93" s="83">
        <f t="shared" si="4"/>
        <v>0</v>
      </c>
      <c r="G93">
        <v>82</v>
      </c>
      <c r="H93" s="83" t="n">
        <v>0.0</v>
      </c>
      <c r="I93" s="83" t="n">
        <v>1.0</v>
      </c>
      <c r="J93" s="85" t="n">
        <v>208.0</v>
      </c>
      <c r="K93" s="83">
        <f t="shared" si="5"/>
        <v>1</v>
      </c>
    </row>
    <row r="94" spans="1:11" x14ac:dyDescent="0.25">
      <c r="A94">
        <v>83</v>
      </c>
      <c r="B94" s="83" t="n">
        <v>0.0</v>
      </c>
      <c r="C94" s="83" t="n">
        <v>0.0</v>
      </c>
      <c r="D94" s="83" t="n">
        <v>0.0</v>
      </c>
      <c r="E94" s="83">
        <f t="shared" si="4"/>
        <v>0</v>
      </c>
      <c r="G94">
        <v>83</v>
      </c>
      <c r="H94" s="83" t="n">
        <v>0.0</v>
      </c>
      <c r="I94" s="83" t="n">
        <v>0.0</v>
      </c>
      <c r="J94" s="85" t="n">
        <v>6.0</v>
      </c>
      <c r="K94" s="83">
        <f t="shared" si="5"/>
        <v>7</v>
      </c>
    </row>
    <row r="95" spans="1:11" x14ac:dyDescent="0.25">
      <c r="A95">
        <v>84</v>
      </c>
      <c r="B95" s="83" t="n">
        <v>0.0</v>
      </c>
      <c r="C95" s="83" t="n">
        <v>0.0</v>
      </c>
      <c r="D95" s="83" t="n">
        <v>11.269</v>
      </c>
      <c r="E95" s="83">
        <f t="shared" si="4"/>
        <v>11.269</v>
      </c>
      <c r="G95">
        <v>84</v>
      </c>
      <c r="H95" s="83" t="n">
        <v>2.0</v>
      </c>
      <c r="I95" s="83" t="n">
        <v>1.0</v>
      </c>
      <c r="J95" s="85" t="n">
        <v>1.0</v>
      </c>
      <c r="K95" s="83">
        <f t="shared" si="5"/>
        <v>2</v>
      </c>
    </row>
    <row r="96" spans="1:11" x14ac:dyDescent="0.25">
      <c r="A96">
        <v>85</v>
      </c>
      <c r="B96" s="83" t="n">
        <v>0.0</v>
      </c>
      <c r="C96" s="83" t="n">
        <v>0.0</v>
      </c>
      <c r="D96" s="83" t="n">
        <v>0.0</v>
      </c>
      <c r="E96" s="83">
        <f t="shared" si="4"/>
        <v>0</v>
      </c>
      <c r="G96">
        <v>85</v>
      </c>
      <c r="H96" s="83" t="n">
        <v>0.0</v>
      </c>
      <c r="I96" s="83" t="n">
        <v>0.0</v>
      </c>
      <c r="J96" s="85" t="n">
        <v>2.0</v>
      </c>
      <c r="K96" s="83">
        <f t="shared" si="5"/>
        <v>46</v>
      </c>
    </row>
    <row r="97" spans="1:11" x14ac:dyDescent="0.25">
      <c r="A97">
        <v>86</v>
      </c>
      <c r="B97" s="83" t="n">
        <v>0.0</v>
      </c>
      <c r="C97" s="83" t="n">
        <v>0.0</v>
      </c>
      <c r="D97" s="83" t="n">
        <v>468.9894</v>
      </c>
      <c r="E97" s="83">
        <f t="shared" si="4"/>
        <v>468.98939999999999</v>
      </c>
      <c r="G97">
        <v>86</v>
      </c>
      <c r="H97" s="83" t="n">
        <v>0.0</v>
      </c>
      <c r="I97" s="83" t="n">
        <v>3.0</v>
      </c>
      <c r="J97" s="85" t="n">
        <v>10.0</v>
      </c>
      <c r="K97" s="83">
        <f t="shared" si="5"/>
        <v>122</v>
      </c>
    </row>
    <row r="98" spans="1:11" x14ac:dyDescent="0.25">
      <c r="A98">
        <v>87</v>
      </c>
      <c r="B98" s="83" t="n">
        <v>0.0</v>
      </c>
      <c r="C98" s="83" t="n">
        <v>0.0</v>
      </c>
      <c r="D98" s="83" t="n">
        <v>13.487</v>
      </c>
      <c r="E98" s="83">
        <f t="shared" si="4"/>
        <v>13.487</v>
      </c>
      <c r="G98">
        <v>87</v>
      </c>
      <c r="H98" s="83" t="n">
        <v>1.0</v>
      </c>
      <c r="I98" s="83" t="n">
        <v>0.0</v>
      </c>
      <c r="J98" s="85" t="n">
        <v>146.0</v>
      </c>
      <c r="K98" s="83">
        <f t="shared" si="5"/>
        <v>32</v>
      </c>
    </row>
    <row r="99" spans="1:11" x14ac:dyDescent="0.25">
      <c r="A99">
        <v>88</v>
      </c>
      <c r="B99" s="83" t="n">
        <v>0.0</v>
      </c>
      <c r="C99" s="83" t="n">
        <v>0.0</v>
      </c>
      <c r="D99" s="83" t="n">
        <v>0.0</v>
      </c>
      <c r="E99" s="83">
        <f t="shared" si="4"/>
        <v>0</v>
      </c>
      <c r="G99">
        <v>88</v>
      </c>
      <c r="H99" s="83" t="n">
        <v>1.0</v>
      </c>
      <c r="I99" s="83" t="n">
        <v>0.0</v>
      </c>
      <c r="J99" s="85" t="n">
        <v>34.0</v>
      </c>
      <c r="K99" s="83">
        <f t="shared" si="5"/>
        <v>3</v>
      </c>
    </row>
    <row r="100" spans="1:11" x14ac:dyDescent="0.25">
      <c r="A100">
        <v>89</v>
      </c>
      <c r="B100" s="83" t="n">
        <v>2931.9003</v>
      </c>
      <c r="C100" s="83" t="n">
        <v>0.0</v>
      </c>
      <c r="D100" s="83" t="n">
        <v>3.675</v>
      </c>
      <c r="E100" s="83">
        <f t="shared" si="4"/>
        <v>2935.5753</v>
      </c>
      <c r="G100">
        <v>89</v>
      </c>
      <c r="H100" s="83" t="n">
        <v>16.0</v>
      </c>
      <c r="I100" s="83" t="n">
        <v>5.0</v>
      </c>
      <c r="J100" s="85" t="n">
        <v>64.0</v>
      </c>
      <c r="K100" s="83">
        <f t="shared" si="5"/>
        <v>39</v>
      </c>
    </row>
    <row r="101" spans="1:11" ht="15.75" thickBot="1" x14ac:dyDescent="0.3">
      <c r="A101" s="1">
        <v>90</v>
      </c>
      <c r="B101" s="84" t="n">
        <v>56177.1072</v>
      </c>
      <c r="C101" s="84" t="n">
        <v>10417.5607</v>
      </c>
      <c r="D101" s="84" t="n">
        <v>42483.8395</v>
      </c>
      <c r="E101" s="84">
        <f t="shared" si="4"/>
        <v>109078.5074</v>
      </c>
      <c r="G101" s="1">
        <v>90</v>
      </c>
      <c r="H101" s="84" t="n">
        <v>69360.0</v>
      </c>
      <c r="I101" s="84" t="n">
        <v>0.0</v>
      </c>
      <c r="J101" s="84" t="n">
        <v>0.0</v>
      </c>
      <c r="K101" s="84">
        <f t="shared" si="5"/>
        <v>69360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22"/>
  <sheetViews>
    <sheetView workbookViewId="0">
      <selection activeCell="C2" sqref="C2"/>
    </sheetView>
  </sheetViews>
  <sheetFormatPr defaultRowHeight="15" x14ac:dyDescent="0.25"/>
  <cols>
    <col min="1" max="1" customWidth="true" width="12.140625" collapsed="true"/>
    <col min="5" max="5" bestFit="true" customWidth="true" width="9.5703125" collapsed="true"/>
    <col min="8" max="8" customWidth="true" width="10.85546875" collapsed="true"/>
    <col min="12" max="12" bestFit="true" customWidth="true" width="9.5703125" collapsed="true"/>
  </cols>
  <sheetData>
    <row r="1" spans="1:12" x14ac:dyDescent="0.25">
      <c r="A1" t="s">
        <v>14</v>
      </c>
    </row>
    <row r="2" spans="1:12" x14ac:dyDescent="0.25">
      <c r="A2" t="s">
        <v>250</v>
      </c>
    </row>
    <row r="3" spans="1:12" x14ac:dyDescent="0.25">
      <c r="A3" t="s">
        <v>251</v>
      </c>
    </row>
    <row r="4" spans="1:12" x14ac:dyDescent="0.25">
      <c r="A4" t="s">
        <v>6</v>
      </c>
    </row>
    <row r="5" spans="1:12" x14ac:dyDescent="0.25">
      <c r="A5" t="s">
        <v>7</v>
      </c>
    </row>
    <row r="9" spans="1:12" ht="15.75" thickBot="1" x14ac:dyDescent="0.3">
      <c r="A9" s="4" t="s">
        <v>193</v>
      </c>
      <c r="B9" s="1"/>
      <c r="C9" s="1"/>
      <c r="D9" s="1"/>
      <c r="E9" s="1"/>
      <c r="H9" s="4" t="s">
        <v>10</v>
      </c>
      <c r="I9" s="1"/>
      <c r="J9" s="1"/>
      <c r="K9" s="1"/>
      <c r="L9" s="1"/>
    </row>
    <row r="10" spans="1:12" x14ac:dyDescent="0.25">
      <c r="A10" s="2" t="s">
        <v>13</v>
      </c>
      <c r="B10" s="5" t="s">
        <v>41</v>
      </c>
      <c r="C10" s="5" t="s">
        <v>42</v>
      </c>
      <c r="D10" s="5" t="s">
        <v>43</v>
      </c>
      <c r="E10" s="5" t="s">
        <v>3</v>
      </c>
      <c r="H10" s="2" t="s">
        <v>13</v>
      </c>
      <c r="I10" s="5" t="s">
        <v>41</v>
      </c>
      <c r="J10" s="5" t="s">
        <v>42</v>
      </c>
      <c r="K10" s="5" t="s">
        <v>43</v>
      </c>
      <c r="L10" s="5" t="s">
        <v>3</v>
      </c>
    </row>
    <row r="11" spans="1:12" x14ac:dyDescent="0.25">
      <c r="A11" t="s">
        <v>15</v>
      </c>
      <c r="B11" s="13">
        <f>SUM(TDFD!B11:B15)</f>
        <v>30456.2981</v>
      </c>
      <c r="C11" s="13">
        <f>SUM(TDFD!C11:C15)</f>
        <v>1556.1008000000002</v>
      </c>
      <c r="D11" s="13">
        <f>SUM(TDFD!D11:D15)</f>
        <v>125.91</v>
      </c>
      <c r="E11" s="13">
        <f>SUM(TDFD!E11:E15)</f>
        <v>32138.308900000004</v>
      </c>
      <c r="H11" t="s">
        <v>15</v>
      </c>
      <c r="I11" s="13">
        <f>SUM(TDFD!H11:H15)</f>
        <v>122728</v>
      </c>
      <c r="J11" s="13">
        <f>SUM(TDFD!I11:I15)</f>
        <v>16404</v>
      </c>
      <c r="K11" s="13">
        <f>SUM(TDFD!J11:J15)</f>
        <v>27329</v>
      </c>
      <c r="L11" s="13">
        <f>SUM(TDFD!K11:K15)</f>
        <v>166461</v>
      </c>
    </row>
    <row r="12" spans="1:12" x14ac:dyDescent="0.25">
      <c r="A12" t="s">
        <v>16</v>
      </c>
      <c r="B12" s="13">
        <f>SUM(TDFD!B16:B20)</f>
        <v>34748.355100000001</v>
      </c>
      <c r="C12" s="13">
        <f>SUM(TDFD!C16:C20)</f>
        <v>3665.4504999999999</v>
      </c>
      <c r="D12" s="13">
        <f>SUM(TDFD!D16:D20)</f>
        <v>8740.201500000001</v>
      </c>
      <c r="E12" s="13">
        <f>SUM(TDFD!E16:E20)</f>
        <v>47154.007100000003</v>
      </c>
      <c r="H12" t="s">
        <v>16</v>
      </c>
      <c r="I12" s="13">
        <f>SUM(TDFD!H16:H20)</f>
        <v>93900</v>
      </c>
      <c r="J12" s="13">
        <f>SUM(TDFD!I16:I20)</f>
        <v>12343</v>
      </c>
      <c r="K12" s="13">
        <f>SUM(TDFD!J16:J20)</f>
        <v>15054</v>
      </c>
      <c r="L12" s="13">
        <f>SUM(TDFD!K16:K20)</f>
        <v>121297</v>
      </c>
    </row>
    <row r="13" spans="1:12" x14ac:dyDescent="0.25">
      <c r="A13" t="s">
        <v>17</v>
      </c>
      <c r="B13" s="13">
        <f>SUM(TDFD!B21:B25)</f>
        <v>51599.302800000005</v>
      </c>
      <c r="C13" s="13">
        <f>SUM(TDFD!C21:C25)</f>
        <v>5084.4759999999997</v>
      </c>
      <c r="D13" s="13">
        <f>SUM(TDFD!D21:D25)</f>
        <v>3258.2372999999998</v>
      </c>
      <c r="E13" s="13">
        <f>SUM(TDFD!E21:E25)</f>
        <v>59942.016099999993</v>
      </c>
      <c r="H13" t="s">
        <v>17</v>
      </c>
      <c r="I13" s="13">
        <f>SUM(TDFD!H21:H25)</f>
        <v>46568</v>
      </c>
      <c r="J13" s="13">
        <f>SUM(TDFD!I21:I25)</f>
        <v>7600</v>
      </c>
      <c r="K13" s="13">
        <f>SUM(TDFD!J21:J25)</f>
        <v>8730</v>
      </c>
      <c r="L13" s="13">
        <f>SUM(TDFD!K21:K25)</f>
        <v>62898</v>
      </c>
    </row>
    <row r="14" spans="1:12" x14ac:dyDescent="0.25">
      <c r="A14" t="s">
        <v>18</v>
      </c>
      <c r="B14" s="13">
        <f>SUM(TDFD!B26:B30)</f>
        <v>94596.153399999996</v>
      </c>
      <c r="C14" s="13">
        <f>SUM(TDFD!C26:C30)</f>
        <v>13738.5173</v>
      </c>
      <c r="D14" s="13">
        <f>SUM(TDFD!D26:D30)</f>
        <v>11924.121899999998</v>
      </c>
      <c r="E14" s="13">
        <f>SUM(TDFD!E26:E30)</f>
        <v>120258.79259999999</v>
      </c>
      <c r="H14" t="s">
        <v>18</v>
      </c>
      <c r="I14" s="13">
        <f>SUM(TDFD!H26:H30)</f>
        <v>101721</v>
      </c>
      <c r="J14" s="13">
        <f>SUM(TDFD!I26:I30)</f>
        <v>19288</v>
      </c>
      <c r="K14" s="13">
        <f>SUM(TDFD!J26:J30)</f>
        <v>23227</v>
      </c>
      <c r="L14" s="13">
        <f>SUM(TDFD!K26:K30)</f>
        <v>144236</v>
      </c>
    </row>
    <row r="15" spans="1:12" x14ac:dyDescent="0.25">
      <c r="A15" t="s">
        <v>19</v>
      </c>
      <c r="B15" s="13">
        <f>SUM(TDFD!B31:B35)</f>
        <v>100944.4486</v>
      </c>
      <c r="C15" s="13">
        <f>SUM(TDFD!C31:C35)</f>
        <v>12622.574100000002</v>
      </c>
      <c r="D15" s="13">
        <f>SUM(TDFD!D31:D35)</f>
        <v>15206.354699999998</v>
      </c>
      <c r="E15" s="13">
        <f>SUM(TDFD!E31:E35)</f>
        <v>128773.37740000001</v>
      </c>
      <c r="H15" t="s">
        <v>19</v>
      </c>
      <c r="I15" s="13">
        <f>SUM(TDFD!H31:H35)</f>
        <v>72712</v>
      </c>
      <c r="J15" s="13">
        <f>SUM(TDFD!I31:I35)</f>
        <v>18116</v>
      </c>
      <c r="K15" s="13">
        <f>SUM(TDFD!J31:J35)</f>
        <v>46869</v>
      </c>
      <c r="L15" s="13">
        <f>SUM(TDFD!K31:K35)</f>
        <v>137697</v>
      </c>
    </row>
    <row r="16" spans="1:12" x14ac:dyDescent="0.25">
      <c r="A16" t="s">
        <v>20</v>
      </c>
      <c r="B16" s="13">
        <f>SUM(TDFD!B36:B40)</f>
        <v>67278.716499999995</v>
      </c>
      <c r="C16" s="13">
        <f>SUM(TDFD!C36:C40)</f>
        <v>14082.807299999999</v>
      </c>
      <c r="D16" s="13">
        <f>SUM(TDFD!D36:D40)</f>
        <v>6013.8842000000004</v>
      </c>
      <c r="E16" s="13">
        <f>SUM(TDFD!E36:E40)</f>
        <v>87375.407999999996</v>
      </c>
      <c r="H16" t="s">
        <v>20</v>
      </c>
      <c r="I16" s="13">
        <f>SUM(TDFD!H36:H40)</f>
        <v>26595</v>
      </c>
      <c r="J16" s="13">
        <f>SUM(TDFD!I36:I40)</f>
        <v>9318</v>
      </c>
      <c r="K16" s="13">
        <f>SUM(TDFD!J36:J40)</f>
        <v>35631</v>
      </c>
      <c r="L16" s="13">
        <f>SUM(TDFD!K36:K40)</f>
        <v>71544</v>
      </c>
    </row>
    <row r="17" spans="1:12" x14ac:dyDescent="0.25">
      <c r="A17" t="s">
        <v>21</v>
      </c>
      <c r="B17" s="13">
        <f>SUM(TDFD!B41:B45)</f>
        <v>40082.706300000005</v>
      </c>
      <c r="C17" s="13">
        <f>SUM(TDFD!C41:C45)</f>
        <v>7960.3927999999996</v>
      </c>
      <c r="D17" s="13">
        <f>SUM(TDFD!D41:D45)</f>
        <v>6463.0504999999994</v>
      </c>
      <c r="E17" s="13">
        <f>SUM(TDFD!E41:E45)</f>
        <v>54506.149600000004</v>
      </c>
      <c r="H17" t="s">
        <v>21</v>
      </c>
      <c r="I17" s="13">
        <f>SUM(TDFD!H41:H45)</f>
        <v>17000</v>
      </c>
      <c r="J17" s="13">
        <f>SUM(TDFD!I41:I45)</f>
        <v>5952</v>
      </c>
      <c r="K17" s="13">
        <f>SUM(TDFD!J41:J45)</f>
        <v>24035</v>
      </c>
      <c r="L17" s="13">
        <f>SUM(TDFD!K41:K45)</f>
        <v>46987</v>
      </c>
    </row>
    <row r="18" spans="1:12" x14ac:dyDescent="0.25">
      <c r="A18" t="s">
        <v>22</v>
      </c>
      <c r="B18" s="13">
        <f>SUM(TDFD!B46:B50)</f>
        <v>9287.7625000000007</v>
      </c>
      <c r="C18" s="13">
        <f>SUM(TDFD!C46:C50)</f>
        <v>3443.2061000000003</v>
      </c>
      <c r="D18" s="13">
        <f>SUM(TDFD!D46:D50)</f>
        <v>4525.7582000000002</v>
      </c>
      <c r="E18" s="13">
        <f>SUM(TDFD!E46:E50)</f>
        <v>17256.726799999997</v>
      </c>
      <c r="H18" t="s">
        <v>22</v>
      </c>
      <c r="I18" s="13">
        <f>SUM(TDFD!H46:H50)</f>
        <v>4205</v>
      </c>
      <c r="J18" s="13">
        <f>SUM(TDFD!I46:I50)</f>
        <v>2844</v>
      </c>
      <c r="K18" s="13">
        <f>SUM(TDFD!J46:J50)</f>
        <v>14772</v>
      </c>
      <c r="L18" s="13">
        <f>SUM(TDFD!K46:K50)</f>
        <v>21821</v>
      </c>
    </row>
    <row r="19" spans="1:12" x14ac:dyDescent="0.25">
      <c r="A19" t="s">
        <v>23</v>
      </c>
      <c r="B19" s="13">
        <f>SUM(TDFD!B51:B55)</f>
        <v>5755.9719999999998</v>
      </c>
      <c r="C19" s="13">
        <f>SUM(TDFD!C51:C55)</f>
        <v>572.63800000000003</v>
      </c>
      <c r="D19" s="13">
        <f>SUM(TDFD!D51:D55)</f>
        <v>2150.5392000000002</v>
      </c>
      <c r="E19" s="13">
        <f>SUM(TDFD!E51:E55)</f>
        <v>8479.1491999999998</v>
      </c>
      <c r="H19" t="s">
        <v>23</v>
      </c>
      <c r="I19" s="13">
        <f>SUM(TDFD!H51:H55)</f>
        <v>662</v>
      </c>
      <c r="J19" s="13">
        <f>SUM(TDFD!I51:I55)</f>
        <v>934</v>
      </c>
      <c r="K19" s="13">
        <f>SUM(TDFD!J51:J55)</f>
        <v>6632</v>
      </c>
      <c r="L19" s="13">
        <f>SUM(TDFD!K51:K55)</f>
        <v>8228</v>
      </c>
    </row>
    <row r="20" spans="1:12" x14ac:dyDescent="0.25">
      <c r="A20" t="s">
        <v>24</v>
      </c>
      <c r="B20" s="13">
        <f>SUM(TDFD!B56:B70)</f>
        <v>18559.013700000003</v>
      </c>
      <c r="C20" s="13">
        <f>SUM(TDFD!C56:C70)</f>
        <v>4734.1336000000001</v>
      </c>
      <c r="D20" s="13">
        <f>SUM(TDFD!D56:D70)</f>
        <v>6005.6632000000009</v>
      </c>
      <c r="E20" s="13">
        <f>SUM(TDFD!E56:E70)</f>
        <v>29298.810499999996</v>
      </c>
      <c r="H20" t="s">
        <v>24</v>
      </c>
      <c r="I20" s="13">
        <f>SUM(TDFD!H56:H70)</f>
        <v>344</v>
      </c>
      <c r="J20" s="13">
        <f>SUM(TDFD!I56:I70)</f>
        <v>877</v>
      </c>
      <c r="K20" s="13">
        <f>SUM(TDFD!J56:J70)</f>
        <v>16187</v>
      </c>
      <c r="L20" s="13">
        <f>SUM(TDFD!K56:K70)</f>
        <v>17408</v>
      </c>
    </row>
    <row r="21" spans="1:12" x14ac:dyDescent="0.25">
      <c r="A21" t="s">
        <v>25</v>
      </c>
      <c r="B21" s="13">
        <f>SUM(TDFD!B71:B100)</f>
        <v>4275.9142000000002</v>
      </c>
      <c r="C21" s="13">
        <f>SUM(TDFD!C71:C100)</f>
        <v>621.6869999999999</v>
      </c>
      <c r="D21" s="13">
        <f>SUM(TDFD!D71:D100)</f>
        <v>1923.2527</v>
      </c>
      <c r="E21" s="13">
        <f>SUM(TDFD!E71:E100)</f>
        <v>6820.8539000000001</v>
      </c>
      <c r="H21" t="s">
        <v>25</v>
      </c>
      <c r="I21" s="13">
        <f>SUM(TDFD!H71:H100)</f>
        <v>76</v>
      </c>
      <c r="J21" s="13">
        <f>SUM(TDFD!I71:I100)</f>
        <v>131</v>
      </c>
      <c r="K21" s="13">
        <f>SUM(TDFD!J71:J100)</f>
        <v>4758</v>
      </c>
      <c r="L21" s="13">
        <f>SUM(TDFD!K71:K100)</f>
        <v>4965</v>
      </c>
    </row>
    <row r="22" spans="1:12" ht="15.75" thickBot="1" x14ac:dyDescent="0.3">
      <c r="A22" s="1" t="s">
        <v>26</v>
      </c>
      <c r="B22" s="14">
        <f>TDFD!B101</f>
        <v>56177.107199999999</v>
      </c>
      <c r="C22" s="14">
        <f>TDFD!C101</f>
        <v>10417.5607</v>
      </c>
      <c r="D22" s="14">
        <f>TDFD!D101</f>
        <v>42483.839500000002</v>
      </c>
      <c r="E22" s="14">
        <f>TDFD!E101</f>
        <v>109078.5074</v>
      </c>
      <c r="H22" s="1" t="s">
        <v>26</v>
      </c>
      <c r="I22" s="14">
        <f>TDFD!H101</f>
        <v>69360</v>
      </c>
      <c r="J22" s="14">
        <f>TDFD!I101</f>
        <v>0</v>
      </c>
      <c r="K22" s="14">
        <f>TDFD!J101</f>
        <v>0</v>
      </c>
      <c r="L22" s="14">
        <f>TDFD!K101</f>
        <v>69360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F52"/>
  <sheetViews>
    <sheetView tabSelected="1" workbookViewId="0">
      <selection activeCell="L19" sqref="L19"/>
    </sheetView>
  </sheetViews>
  <sheetFormatPr defaultRowHeight="15" x14ac:dyDescent="0.25"/>
  <cols>
    <col min="1" max="1" customWidth="true" width="18.5703125" collapsed="true"/>
    <col min="4" max="4" bestFit="true" customWidth="true" width="12.28515625" collapsed="true"/>
    <col min="12" max="12" customWidth="true" width="20.0" collapsed="true"/>
    <col min="15" max="15" bestFit="true" customWidth="true" width="12.28515625" collapsed="true"/>
    <col min="20" max="21" bestFit="true" customWidth="true" width="9.5703125" collapsed="true"/>
    <col min="26" max="26" bestFit="true" customWidth="true" width="12.28515625" collapsed="true"/>
  </cols>
  <sheetData>
    <row r="1" spans="1:22" x14ac:dyDescent="0.25">
      <c r="A1" t="s">
        <v>27</v>
      </c>
    </row>
    <row r="2" spans="1:22" x14ac:dyDescent="0.25">
      <c r="A2" t="s">
        <v>247</v>
      </c>
    </row>
    <row r="5" spans="1:22" ht="15.75" thickBot="1" x14ac:dyDescent="0.3">
      <c r="A5" s="4" t="s">
        <v>194</v>
      </c>
      <c r="B5" s="1"/>
      <c r="C5" s="1"/>
      <c r="D5" s="1"/>
      <c r="E5" s="1"/>
      <c r="F5" s="1"/>
      <c r="G5" s="1"/>
      <c r="H5" s="1"/>
      <c r="I5" s="1"/>
      <c r="J5" s="1"/>
      <c r="L5" s="4" t="s">
        <v>28</v>
      </c>
      <c r="M5" s="1"/>
      <c r="N5" s="1"/>
      <c r="O5" s="1"/>
      <c r="P5" s="1"/>
      <c r="Q5" s="1"/>
      <c r="R5" s="1"/>
      <c r="S5" s="1"/>
      <c r="T5" s="1"/>
      <c r="U5" s="1"/>
    </row>
    <row r="6" spans="1:22" x14ac:dyDescent="0.25">
      <c r="A6" s="2" t="s">
        <v>11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12</v>
      </c>
      <c r="J6" s="3" t="s">
        <v>3</v>
      </c>
      <c r="L6" s="2" t="s">
        <v>11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12</v>
      </c>
      <c r="U6" s="3" t="s">
        <v>3</v>
      </c>
    </row>
    <row r="7" spans="1:22" x14ac:dyDescent="0.25">
      <c r="A7" s="52" t="s">
        <v>254</v>
      </c>
      <c r="B7" s="20" t="n">
        <v>22523.6255</v>
      </c>
      <c r="C7" s="20" t="n">
        <v>0.0</v>
      </c>
      <c r="D7" s="20" t="n">
        <v>176.3579</v>
      </c>
      <c r="E7" s="20" t="n">
        <v>0.0</v>
      </c>
      <c r="F7" s="20" t="n">
        <v>998.1193</v>
      </c>
      <c r="G7" s="20" t="n">
        <v>277.9743</v>
      </c>
      <c r="H7" s="20" t="n">
        <v>598.7766</v>
      </c>
      <c r="I7" s="20">
        <v>7878.4522999999999</v>
      </c>
      <c r="J7" s="20">
        <f>SUM(B7:I7)</f>
        <v>32453.305899999999</v>
      </c>
      <c r="K7" s="20"/>
      <c r="L7" t="str">
        <f>$A$7</f>
        <v>Bellevue</v>
      </c>
      <c r="M7" s="20" t="n">
        <v>26028.0</v>
      </c>
      <c r="N7" s="20" t="n">
        <v>530.0</v>
      </c>
      <c r="O7" s="20" t="n">
        <v>1369.0</v>
      </c>
      <c r="P7" s="20" t="n">
        <v>1233.0</v>
      </c>
      <c r="Q7" s="20" t="n">
        <v>2749.0</v>
      </c>
      <c r="R7" s="20" t="n">
        <v>353.0</v>
      </c>
      <c r="S7" s="20" t="n">
        <v>1941.0</v>
      </c>
      <c r="T7" s="20">
        <v>2344.5</v>
      </c>
      <c r="U7" s="20">
        <f>SUM(M7:T7)</f>
        <v>36578.5</v>
      </c>
    </row>
    <row r="8" spans="1:22" x14ac:dyDescent="0.25">
      <c r="A8" t="s">
        <v>255</v>
      </c>
      <c r="B8" s="21" t="n">
        <v>82.1623</v>
      </c>
      <c r="C8" s="21" t="n">
        <v>4.443</v>
      </c>
      <c r="D8" s="21" t="n">
        <v>0.0</v>
      </c>
      <c r="E8" s="21" t="n">
        <v>0.0</v>
      </c>
      <c r="F8" s="21" t="n">
        <v>110.0983</v>
      </c>
      <c r="G8" s="21" t="n">
        <v>12.077</v>
      </c>
      <c r="H8" s="21" t="n">
        <v>0.0</v>
      </c>
      <c r="I8" s="21">
        <v>4018.4690000000001</v>
      </c>
      <c r="J8" s="21">
        <f t="shared" ref="J8:J12" si="0">SUM(B8:I8)</f>
        <v>4227.2496000000001</v>
      </c>
      <c r="K8" s="20"/>
      <c r="L8" s="7" t="str">
        <f>$A$8</f>
        <v>Bellevue Downtown</v>
      </c>
      <c r="M8" s="21" t="n">
        <v>954.0</v>
      </c>
      <c r="N8" s="21" t="n">
        <v>118.0</v>
      </c>
      <c r="O8" s="21" t="n">
        <v>100.0</v>
      </c>
      <c r="P8" s="21" t="n">
        <v>30.0</v>
      </c>
      <c r="Q8" s="21" t="n">
        <v>353.0</v>
      </c>
      <c r="R8" s="21" t="n">
        <v>37.0</v>
      </c>
      <c r="S8" s="21" t="n">
        <v>21.0</v>
      </c>
      <c r="T8" s="21">
        <v>1069.8725374786757</v>
      </c>
      <c r="U8" s="21">
        <f>SUM(M8:T8)</f>
        <v>2639.8725374786754</v>
      </c>
    </row>
    <row r="9" spans="1:22" x14ac:dyDescent="0.25">
      <c r="A9" t="s">
        <v>256</v>
      </c>
      <c r="B9" s="21" t="n">
        <v>2429.896</v>
      </c>
      <c r="C9" s="21" t="n">
        <v>169.878</v>
      </c>
      <c r="D9" s="21" t="n">
        <v>14636.3289</v>
      </c>
      <c r="E9" s="21" t="n">
        <v>130.9662</v>
      </c>
      <c r="F9" s="21" t="n">
        <v>32.688</v>
      </c>
      <c r="G9" s="21" t="n">
        <v>4.161</v>
      </c>
      <c r="H9" s="21" t="n">
        <v>10.346</v>
      </c>
      <c r="I9" s="21">
        <v>28396.036</v>
      </c>
      <c r="J9" s="21">
        <f t="shared" si="0"/>
        <v>45810.3001</v>
      </c>
      <c r="K9" s="20"/>
      <c r="L9" s="7" t="str">
        <f>$A$9</f>
        <v>Kirkland</v>
      </c>
      <c r="M9" s="21" t="n">
        <v>1706.0</v>
      </c>
      <c r="N9" s="21" t="n">
        <v>51.0</v>
      </c>
      <c r="O9" s="21" t="n">
        <v>17813.0</v>
      </c>
      <c r="P9" s="21" t="n">
        <v>2240.0</v>
      </c>
      <c r="Q9" s="21" t="n">
        <v>4113.0</v>
      </c>
      <c r="R9" s="21" t="n">
        <v>258.0</v>
      </c>
      <c r="S9" s="21" t="n">
        <v>1613.0</v>
      </c>
      <c r="T9" s="21">
        <v>5418.9547298933257</v>
      </c>
      <c r="U9" s="21">
        <f>SUM(M9:T9)</f>
        <v>33172.954729893325</v>
      </c>
      <c r="V9" s="7"/>
    </row>
    <row r="10" spans="1:22" x14ac:dyDescent="0.25">
      <c r="A10" t="s">
        <v>257</v>
      </c>
      <c r="B10" s="21" t="n">
        <v>1720.9702</v>
      </c>
      <c r="C10" s="21" t="n">
        <v>230.2899</v>
      </c>
      <c r="D10" s="21" t="n">
        <v>3736.0108</v>
      </c>
      <c r="E10" s="21" t="n">
        <v>18799.0604</v>
      </c>
      <c r="F10" s="21" t="n">
        <v>802.5203</v>
      </c>
      <c r="G10" s="21" t="n">
        <v>3.675</v>
      </c>
      <c r="H10" s="21" t="n">
        <v>245.1527</v>
      </c>
      <c r="I10" s="21">
        <v>20922.748800000001</v>
      </c>
      <c r="J10" s="21">
        <f t="shared" si="0"/>
        <v>46460.428099999997</v>
      </c>
      <c r="K10" s="20"/>
      <c r="L10" s="7" t="str">
        <f>$A$10</f>
        <v>Redmond</v>
      </c>
      <c r="M10" s="21" t="n">
        <v>3794.0</v>
      </c>
      <c r="N10" s="21" t="n">
        <v>38.0</v>
      </c>
      <c r="O10" s="21" t="n">
        <v>4163.0</v>
      </c>
      <c r="P10" s="21" t="n">
        <v>11834.0</v>
      </c>
      <c r="Q10" s="21" t="n">
        <v>2138.0</v>
      </c>
      <c r="R10" s="21" t="n">
        <v>168.0</v>
      </c>
      <c r="S10" s="21" t="n">
        <v>1692.0</v>
      </c>
      <c r="T10" s="21">
        <v>5838.2308904845268</v>
      </c>
      <c r="U10" s="21">
        <f t="shared" ref="U10:U13" si="1">SUM(M10:T10)</f>
        <v>29709.230890484527</v>
      </c>
      <c r="V10" s="7"/>
    </row>
    <row r="11" spans="1:22" x14ac:dyDescent="0.25">
      <c r="A11" t="s">
        <v>253</v>
      </c>
      <c r="B11" s="21" t="n">
        <v>352.4101</v>
      </c>
      <c r="C11" s="21" t="n">
        <v>19.176000000000002</v>
      </c>
      <c r="D11" s="21" t="n">
        <v>706.4488</v>
      </c>
      <c r="E11" s="21" t="n">
        <v>4.443</v>
      </c>
      <c r="F11" s="21" t="n">
        <v>89339.2028</v>
      </c>
      <c r="G11" s="21" t="n">
        <v>2676.5947</v>
      </c>
      <c r="H11" s="21" t="n">
        <v>3242.9781000000003</v>
      </c>
      <c r="I11" s="21">
        <v>16278.067500000001</v>
      </c>
      <c r="J11" s="21">
        <f t="shared" si="0"/>
        <v>112619.321</v>
      </c>
      <c r="K11" s="20"/>
      <c r="L11" s="7" t="str">
        <f>$A$11</f>
        <v>Seattle</v>
      </c>
      <c r="M11" s="21" t="n">
        <v>962.0</v>
      </c>
      <c r="N11" s="21" t="n">
        <v>18.0</v>
      </c>
      <c r="O11" s="21" t="n">
        <v>1086.0</v>
      </c>
      <c r="P11" s="21" t="n">
        <v>94.0</v>
      </c>
      <c r="Q11" s="21" t="n">
        <v>111298.0</v>
      </c>
      <c r="R11" s="21" t="n">
        <v>5972.0</v>
      </c>
      <c r="S11" s="21" t="n">
        <v>5863.0</v>
      </c>
      <c r="T11" s="21">
        <v>2309.1428943957899</v>
      </c>
      <c r="U11" s="21">
        <f t="shared" si="1"/>
        <v>127593.14289439579</v>
      </c>
      <c r="V11" s="7"/>
    </row>
    <row r="12" spans="1:22" x14ac:dyDescent="0.25">
      <c r="A12" t="s">
        <v>258</v>
      </c>
      <c r="B12" s="21" t="n">
        <v>0.0</v>
      </c>
      <c r="C12" s="21" t="n">
        <v>0.0</v>
      </c>
      <c r="D12" s="21" t="n">
        <v>0.0</v>
      </c>
      <c r="E12" s="21" t="n">
        <v>0.0</v>
      </c>
      <c r="F12" s="21" t="n">
        <v>1835.1723</v>
      </c>
      <c r="G12" s="21" t="n">
        <v>799.1563</v>
      </c>
      <c r="H12" s="21" t="n">
        <v>0.0</v>
      </c>
      <c r="I12" s="21">
        <v>31584.733799999998</v>
      </c>
      <c r="J12" s="21">
        <f t="shared" si="0"/>
        <v>34219.062399999995</v>
      </c>
      <c r="K12" s="20"/>
      <c r="L12" s="7" t="str">
        <f>$A$12</f>
        <v>Seattle Downtown</v>
      </c>
      <c r="M12" s="21" t="n">
        <v>65.0</v>
      </c>
      <c r="N12" s="21" t="n">
        <v>0.0</v>
      </c>
      <c r="O12" s="21" t="n">
        <v>5.0</v>
      </c>
      <c r="P12" s="21" t="n">
        <v>1.0</v>
      </c>
      <c r="Q12" s="21" t="n">
        <v>3393.0</v>
      </c>
      <c r="R12" s="21" t="n">
        <v>3031.0</v>
      </c>
      <c r="S12" s="21" t="n">
        <v>29.0</v>
      </c>
      <c r="T12" s="21">
        <v>4066.7245950088954</v>
      </c>
      <c r="U12" s="21">
        <f t="shared" si="1"/>
        <v>10602.724595008895</v>
      </c>
      <c r="V12" s="7"/>
    </row>
    <row r="13" spans="1:22" x14ac:dyDescent="0.25">
      <c r="A13" s="7" t="s">
        <v>259</v>
      </c>
      <c r="B13" s="21" t="n">
        <v>6247.4189</v>
      </c>
      <c r="C13" s="21" t="n">
        <v>0.0</v>
      </c>
      <c r="D13" s="21" t="n">
        <v>9915.681999999999</v>
      </c>
      <c r="E13" s="21" t="n">
        <v>2209.2274</v>
      </c>
      <c r="F13" s="21" t="n">
        <v>13302.1106</v>
      </c>
      <c r="G13" s="21" t="n">
        <v>80.047</v>
      </c>
      <c r="H13" s="21" t="n">
        <v>398350.2527</v>
      </c>
      <c r="I13" s="21"/>
      <c r="J13" s="21">
        <f>SUM(B13:I13)</f>
        <v>430104.73859999998</v>
      </c>
      <c r="K13" s="20"/>
      <c r="L13" t="str">
        <f>$A$13</f>
        <v>Rest</v>
      </c>
      <c r="M13" s="21" t="n">
        <v>11904.0</v>
      </c>
      <c r="N13" s="21" t="n">
        <v>118.0</v>
      </c>
      <c r="O13" s="21" t="n">
        <v>9263.0</v>
      </c>
      <c r="P13" s="21" t="n">
        <v>4268.0</v>
      </c>
      <c r="Q13" s="21" t="n">
        <v>33851.0</v>
      </c>
      <c r="R13" s="21" t="n">
        <v>4047.0</v>
      </c>
      <c r="S13" s="21" t="n">
        <v>520837.0</v>
      </c>
      <c r="T13" s="21"/>
      <c r="U13" s="21">
        <f t="shared" si="1"/>
        <v>584293</v>
      </c>
    </row>
    <row r="14" spans="1:22" x14ac:dyDescent="0.25">
      <c r="A14" s="25" t="s">
        <v>12</v>
      </c>
      <c r="B14" s="21"/>
      <c r="C14" s="21"/>
      <c r="D14" s="21"/>
      <c r="E14" s="21"/>
      <c r="F14" s="21"/>
      <c r="G14" s="21"/>
      <c r="H14" s="21"/>
      <c r="I14" s="21"/>
      <c r="J14" s="21"/>
      <c r="K14" s="20"/>
      <c r="L14" s="25" t="s">
        <v>12</v>
      </c>
      <c r="M14" s="21"/>
      <c r="N14" s="21"/>
      <c r="O14" s="21"/>
      <c r="P14" s="21"/>
      <c r="Q14" s="21"/>
      <c r="R14" s="21"/>
      <c r="S14" s="21"/>
      <c r="T14" s="21"/>
      <c r="U14" s="21"/>
    </row>
    <row r="15" spans="1:22" ht="15.75" thickBot="1" x14ac:dyDescent="0.3">
      <c r="A15" s="12" t="s">
        <v>3</v>
      </c>
      <c r="B15" s="53">
        <f t="shared" ref="B15:G15" si="2">SUM(B7:B13)</f>
        <v>33356.483</v>
      </c>
      <c r="C15" s="53">
        <f t="shared" si="2"/>
        <v>423.7869</v>
      </c>
      <c r="D15" s="53">
        <f t="shared" si="2"/>
        <v>29170.828399999999</v>
      </c>
      <c r="E15" s="53">
        <f t="shared" si="2"/>
        <v>21143.696999999996</v>
      </c>
      <c r="F15" s="53">
        <f t="shared" si="2"/>
        <v>106419.91160000001</v>
      </c>
      <c r="G15" s="53">
        <f t="shared" si="2"/>
        <v>3853.6853000000001</v>
      </c>
      <c r="H15" s="53"/>
      <c r="I15" s="53">
        <f>SUM(I7:I13)</f>
        <v>109078.5074</v>
      </c>
      <c r="J15" s="53">
        <f>SUM(J7:J13)</f>
        <v>705894.4057</v>
      </c>
      <c r="K15" s="20"/>
      <c r="L15" s="53" t="s">
        <v>3</v>
      </c>
      <c r="M15" s="53">
        <f t="shared" ref="M15:S15" si="3">SUM(M7:M13)</f>
        <v>45275</v>
      </c>
      <c r="N15" s="53">
        <f t="shared" si="3"/>
        <v>1376</v>
      </c>
      <c r="O15" s="53">
        <f t="shared" si="3"/>
        <v>34336</v>
      </c>
      <c r="P15" s="53">
        <f t="shared" si="3"/>
        <v>21259</v>
      </c>
      <c r="Q15" s="53">
        <f t="shared" si="3"/>
        <v>160660</v>
      </c>
      <c r="R15" s="53">
        <f t="shared" si="3"/>
        <v>13880</v>
      </c>
      <c r="S15" s="53">
        <f t="shared" si="3"/>
        <v>526756</v>
      </c>
      <c r="T15" s="53">
        <f>SUM(T7:T13)</f>
        <v>21047.425647261214</v>
      </c>
      <c r="U15" s="53">
        <f>SUM(U7:U13)</f>
        <v>824589.4256472612</v>
      </c>
    </row>
    <row r="18" spans="1:32" ht="15.75" thickBot="1" x14ac:dyDescent="0.3">
      <c r="A18" s="4" t="s">
        <v>195</v>
      </c>
      <c r="B18" s="1"/>
      <c r="C18" s="1"/>
      <c r="D18" s="1"/>
      <c r="E18" s="1"/>
      <c r="F18" s="1"/>
      <c r="G18" s="1"/>
      <c r="H18" s="1"/>
      <c r="I18" s="1"/>
      <c r="J18" s="1"/>
      <c r="L18" s="46"/>
      <c r="M18" s="7"/>
      <c r="N18" s="7"/>
      <c r="O18" s="7"/>
      <c r="P18" s="7"/>
      <c r="Q18" s="7"/>
      <c r="R18" s="7"/>
      <c r="S18" s="7"/>
      <c r="T18" s="7"/>
      <c r="U18" s="7"/>
    </row>
    <row r="19" spans="1:32" x14ac:dyDescent="0.25">
      <c r="A19" s="2" t="s">
        <v>11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12</v>
      </c>
      <c r="J19" s="3" t="s">
        <v>3</v>
      </c>
      <c r="L19" s="7"/>
      <c r="M19" s="47"/>
      <c r="N19" s="47"/>
      <c r="O19" s="47"/>
      <c r="P19" s="47"/>
      <c r="Q19" s="47"/>
      <c r="R19" s="47"/>
      <c r="S19" s="47"/>
      <c r="T19" s="47"/>
      <c r="U19" s="47"/>
    </row>
    <row r="20" spans="1:32" x14ac:dyDescent="0.25">
      <c r="A20" t="str">
        <f>$A$7</f>
        <v>Bellevue</v>
      </c>
      <c r="B20" s="20">
        <f t="shared" ref="B20:G26" si="4">($U7/$J7)*B7</f>
        <v>25386.641283646542</v>
      </c>
      <c r="C20" s="20">
        <f t="shared" si="4"/>
        <v>0</v>
      </c>
      <c r="D20" s="20">
        <f t="shared" si="4"/>
        <v>198.77504821935565</v>
      </c>
      <c r="E20" s="20">
        <f t="shared" si="4"/>
        <v>0</v>
      </c>
      <c r="F20" s="20">
        <f t="shared" si="4"/>
        <v>1124.9919169267127</v>
      </c>
      <c r="G20" s="20">
        <f t="shared" si="4"/>
        <v>313.30807911775793</v>
      </c>
      <c r="H20" s="20">
        <f t="shared" ref="H20" si="5">($U7/$J7)*H7</f>
        <v>674.8880970890549</v>
      </c>
      <c r="I20" s="20">
        <f t="shared" ref="I20:J26" si="6">($U7/$J7)*I7</f>
        <v>8879.8955750005734</v>
      </c>
      <c r="J20" s="20">
        <f t="shared" si="6"/>
        <v>36578.5</v>
      </c>
      <c r="K20" s="20"/>
      <c r="L20" s="21"/>
      <c r="M20" s="21"/>
      <c r="N20" s="21"/>
      <c r="O20" s="21"/>
      <c r="P20" s="21"/>
      <c r="Q20" s="21"/>
      <c r="R20" s="21"/>
      <c r="S20" s="21"/>
      <c r="T20" s="21"/>
      <c r="U20" s="21"/>
    </row>
    <row r="21" spans="1:32" x14ac:dyDescent="0.25">
      <c r="A21" t="str">
        <f>$A$8</f>
        <v>Bellevue Downtown</v>
      </c>
      <c r="B21" s="20">
        <f t="shared" si="4"/>
        <v>51.309484868384445</v>
      </c>
      <c r="C21" s="20">
        <f t="shared" si="4"/>
        <v>2.7746063738506841</v>
      </c>
      <c r="D21" s="20">
        <f t="shared" si="4"/>
        <v>0</v>
      </c>
      <c r="E21" s="20">
        <f t="shared" si="4"/>
        <v>0</v>
      </c>
      <c r="F21" s="20">
        <f t="shared" si="4"/>
        <v>68.755220555958758</v>
      </c>
      <c r="G21" s="20">
        <f t="shared" si="4"/>
        <v>7.5419584013042344</v>
      </c>
      <c r="H21" s="20">
        <f t="shared" ref="H21" si="7">($U8/$J8)*H8</f>
        <v>0</v>
      </c>
      <c r="I21" s="20">
        <f t="shared" si="6"/>
        <v>2509.4912672791775</v>
      </c>
      <c r="J21" s="20">
        <f t="shared" si="6"/>
        <v>2639.8725374786754</v>
      </c>
      <c r="K21" s="20"/>
      <c r="L21" s="21"/>
      <c r="M21" s="21"/>
      <c r="N21" s="21"/>
      <c r="O21" s="21"/>
      <c r="P21" s="21"/>
      <c r="Q21" s="21"/>
      <c r="R21" s="21"/>
      <c r="S21" s="21"/>
      <c r="T21" s="21"/>
      <c r="U21" s="21"/>
    </row>
    <row r="22" spans="1:32" x14ac:dyDescent="0.25">
      <c r="A22" t="str">
        <f>$A$9</f>
        <v>Kirkland</v>
      </c>
      <c r="B22" s="20">
        <f t="shared" si="4"/>
        <v>1759.5787373230694</v>
      </c>
      <c r="C22" s="20">
        <f t="shared" si="4"/>
        <v>123.01502481545232</v>
      </c>
      <c r="D22" s="20">
        <f t="shared" si="4"/>
        <v>10598.714152748573</v>
      </c>
      <c r="E22" s="20">
        <f t="shared" si="4"/>
        <v>94.837532482048829</v>
      </c>
      <c r="F22" s="20">
        <f t="shared" si="4"/>
        <v>23.670605559092444</v>
      </c>
      <c r="G22" s="20">
        <f t="shared" si="4"/>
        <v>3.0131360049982758</v>
      </c>
      <c r="H22" s="20">
        <f t="shared" ref="H22" si="8">($U9/$J9)*H9</f>
        <v>7.4919262455448603</v>
      </c>
      <c r="I22" s="20">
        <f t="shared" si="6"/>
        <v>20562.633614714545</v>
      </c>
      <c r="J22" s="20">
        <f t="shared" si="6"/>
        <v>33172.954729893325</v>
      </c>
      <c r="K22" s="20"/>
      <c r="L22" s="21"/>
      <c r="M22" s="21"/>
      <c r="N22" s="21"/>
      <c r="O22" s="21"/>
      <c r="P22" s="21"/>
      <c r="Q22" s="21"/>
      <c r="R22" s="21"/>
      <c r="S22" s="21"/>
      <c r="T22" s="21"/>
      <c r="U22" s="21"/>
    </row>
    <row r="23" spans="1:32" x14ac:dyDescent="0.25">
      <c r="A23" t="str">
        <f>$A$10</f>
        <v>Redmond</v>
      </c>
      <c r="B23" s="20">
        <f t="shared" si="4"/>
        <v>1100.4784742274758</v>
      </c>
      <c r="C23" s="20">
        <f t="shared" si="4"/>
        <v>147.25942249435693</v>
      </c>
      <c r="D23" s="20">
        <f t="shared" si="4"/>
        <v>2389.0009628762723</v>
      </c>
      <c r="E23" s="20">
        <f t="shared" si="4"/>
        <v>12021.103738985228</v>
      </c>
      <c r="F23" s="20">
        <f t="shared" si="4"/>
        <v>513.17350833882892</v>
      </c>
      <c r="G23" s="20">
        <f t="shared" si="4"/>
        <v>2.3499874621803287</v>
      </c>
      <c r="H23" s="20">
        <f t="shared" ref="H23" si="9">($U10/$J10)*H10</f>
        <v>156.76347518902193</v>
      </c>
      <c r="I23" s="20">
        <f t="shared" si="6"/>
        <v>13379.101320911164</v>
      </c>
      <c r="J23" s="20">
        <f t="shared" si="6"/>
        <v>29709.230890484527</v>
      </c>
      <c r="K23" s="20"/>
      <c r="L23" s="21"/>
      <c r="M23" s="21"/>
      <c r="N23" s="21"/>
      <c r="O23" s="21"/>
      <c r="P23" s="21"/>
      <c r="Q23" s="21"/>
      <c r="R23" s="21"/>
      <c r="S23" s="21"/>
      <c r="T23" s="21"/>
      <c r="U23" s="21"/>
    </row>
    <row r="24" spans="1:32" x14ac:dyDescent="0.25">
      <c r="A24" t="str">
        <f>$A$11</f>
        <v>Seattle</v>
      </c>
      <c r="B24" s="20">
        <f t="shared" si="4"/>
        <v>399.26641225912124</v>
      </c>
      <c r="C24" s="20">
        <f t="shared" si="4"/>
        <v>21.72563363388538</v>
      </c>
      <c r="D24" s="20">
        <f t="shared" si="4"/>
        <v>800.37796255204228</v>
      </c>
      <c r="E24" s="20">
        <f t="shared" si="4"/>
        <v>5.033739582569499</v>
      </c>
      <c r="F24" s="20">
        <f t="shared" si="4"/>
        <v>101217.70907260047</v>
      </c>
      <c r="G24" s="20">
        <f t="shared" si="4"/>
        <v>3032.4737087296276</v>
      </c>
      <c r="H24" s="20">
        <f t="shared" ref="H24" si="10">($U11/$J11)*H11</f>
        <v>3674.1632292090999</v>
      </c>
      <c r="I24" s="20">
        <f t="shared" si="6"/>
        <v>18442.393135828977</v>
      </c>
      <c r="J24" s="20">
        <f t="shared" si="6"/>
        <v>127593.14289439579</v>
      </c>
      <c r="K24" s="20"/>
      <c r="L24" s="21"/>
      <c r="M24" s="21"/>
      <c r="N24" s="21"/>
      <c r="O24" s="21"/>
      <c r="P24" s="21"/>
      <c r="Q24" s="21"/>
      <c r="R24" s="21"/>
      <c r="S24" s="21"/>
      <c r="T24" s="21"/>
      <c r="U24" s="21"/>
    </row>
    <row r="25" spans="1:32" x14ac:dyDescent="0.25">
      <c r="A25" t="str">
        <f>$A$12</f>
        <v>Seattle Downtown</v>
      </c>
      <c r="B25" s="20">
        <f t="shared" si="4"/>
        <v>0</v>
      </c>
      <c r="C25" s="20">
        <f t="shared" si="4"/>
        <v>0</v>
      </c>
      <c r="D25" s="20">
        <f t="shared" si="4"/>
        <v>0</v>
      </c>
      <c r="E25" s="20">
        <f t="shared" si="4"/>
        <v>0</v>
      </c>
      <c r="F25" s="20">
        <f t="shared" si="4"/>
        <v>568.62535430804337</v>
      </c>
      <c r="G25" s="20">
        <f t="shared" si="4"/>
        <v>247.61736771800938</v>
      </c>
      <c r="H25" s="20">
        <f t="shared" ref="H25:H26" si="11">($U12/$J12)*H12</f>
        <v>0</v>
      </c>
      <c r="I25" s="20">
        <f t="shared" si="6"/>
        <v>9786.4818729828439</v>
      </c>
      <c r="J25" s="20">
        <f t="shared" si="6"/>
        <v>10602.724595008895</v>
      </c>
      <c r="K25" s="20"/>
      <c r="L25" s="21"/>
      <c r="M25" s="21"/>
      <c r="N25" s="21"/>
      <c r="O25" s="21"/>
      <c r="P25" s="21"/>
      <c r="Q25" s="21"/>
      <c r="R25" s="21"/>
      <c r="S25" s="21"/>
      <c r="T25" s="21"/>
      <c r="U25" s="21"/>
    </row>
    <row r="26" spans="1:32" x14ac:dyDescent="0.25">
      <c r="A26" t="str">
        <f>$A$13</f>
        <v>Rest</v>
      </c>
      <c r="B26" s="20">
        <f t="shared" si="4"/>
        <v>8487.0562998668156</v>
      </c>
      <c r="C26" s="20">
        <f t="shared" si="4"/>
        <v>0</v>
      </c>
      <c r="D26" s="20">
        <f t="shared" si="4"/>
        <v>13470.355155082683</v>
      </c>
      <c r="E26" s="20">
        <f t="shared" si="4"/>
        <v>3001.2134007867458</v>
      </c>
      <c r="F26" s="20">
        <f t="shared" si="4"/>
        <v>18070.784651443038</v>
      </c>
      <c r="G26" s="20">
        <f t="shared" si="4"/>
        <v>108.7430515721363</v>
      </c>
      <c r="H26" s="20">
        <f t="shared" si="11"/>
        <v>541154.8474412486</v>
      </c>
      <c r="I26" s="20">
        <f t="shared" si="6"/>
        <v>0</v>
      </c>
      <c r="J26" s="20">
        <f t="shared" si="6"/>
        <v>584293</v>
      </c>
      <c r="K26" s="20"/>
      <c r="L26" s="21"/>
      <c r="M26" s="21"/>
      <c r="N26" s="21"/>
      <c r="O26" s="21"/>
      <c r="P26" s="21"/>
      <c r="Q26" s="21"/>
      <c r="R26" s="21"/>
      <c r="S26" s="21"/>
      <c r="T26" s="21"/>
      <c r="U26" s="21"/>
    </row>
    <row r="27" spans="1:32" x14ac:dyDescent="0.25">
      <c r="A27" s="8" t="s">
        <v>12</v>
      </c>
      <c r="B27" s="22" t="e">
        <f>($U14/$J14)*B14</f>
        <v>#DIV/0!</v>
      </c>
      <c r="C27" s="22" t="e">
        <f t="shared" ref="C27:J27" si="12">($U14/$J14)*C14</f>
        <v>#DIV/0!</v>
      </c>
      <c r="D27" s="22" t="e">
        <f t="shared" si="12"/>
        <v>#DIV/0!</v>
      </c>
      <c r="E27" s="22" t="e">
        <f t="shared" si="12"/>
        <v>#DIV/0!</v>
      </c>
      <c r="F27" s="22" t="e">
        <f t="shared" si="12"/>
        <v>#DIV/0!</v>
      </c>
      <c r="G27" s="22" t="e">
        <f t="shared" si="12"/>
        <v>#DIV/0!</v>
      </c>
      <c r="H27" s="22" t="e">
        <f t="shared" si="12"/>
        <v>#DIV/0!</v>
      </c>
      <c r="I27" s="22" t="e">
        <f t="shared" si="12"/>
        <v>#DIV/0!</v>
      </c>
      <c r="J27" s="22" t="e">
        <f t="shared" si="12"/>
        <v>#DIV/0!</v>
      </c>
      <c r="K27" s="20"/>
      <c r="L27" s="25"/>
      <c r="M27" s="21"/>
      <c r="N27" s="21"/>
      <c r="O27" s="21"/>
      <c r="P27" s="21"/>
      <c r="Q27" s="21"/>
      <c r="R27" s="21"/>
      <c r="S27" s="21"/>
      <c r="T27" s="21"/>
      <c r="U27" s="21"/>
    </row>
    <row r="28" spans="1:32" ht="15.75" thickBot="1" x14ac:dyDescent="0.3">
      <c r="A28" s="1" t="s">
        <v>3</v>
      </c>
      <c r="B28" s="24">
        <f t="shared" ref="B28:H28" si="13">($U15/$J15)*B15</f>
        <v>38965.322485176672</v>
      </c>
      <c r="C28" s="24">
        <f t="shared" si="13"/>
        <v>495.04599221366703</v>
      </c>
      <c r="D28" s="24">
        <f t="shared" si="13"/>
        <v>34075.85673123123</v>
      </c>
      <c r="E28" s="24">
        <f t="shared" si="13"/>
        <v>24698.97597219294</v>
      </c>
      <c r="F28" s="24">
        <f t="shared" si="13"/>
        <v>124314.25022650001</v>
      </c>
      <c r="G28" s="24">
        <f t="shared" si="13"/>
        <v>4501.6763449217597</v>
      </c>
      <c r="H28" s="24">
        <f t="shared" si="13"/>
        <v>0</v>
      </c>
      <c r="I28" s="24">
        <f>($U15/$J15)*I15</f>
        <v>127419.88467557356</v>
      </c>
      <c r="J28" s="24">
        <f>($U15/$J15)*J15</f>
        <v>824589.4256472612</v>
      </c>
      <c r="K28" s="20"/>
      <c r="L28" s="21"/>
      <c r="M28" s="21"/>
      <c r="N28" s="21"/>
      <c r="O28" s="21"/>
      <c r="P28" s="21"/>
      <c r="Q28" s="21"/>
      <c r="R28" s="21"/>
      <c r="S28" s="21"/>
      <c r="T28" s="21"/>
      <c r="U28" s="21"/>
    </row>
    <row r="31" spans="1:32" ht="15.75" thickBot="1" x14ac:dyDescent="0.3">
      <c r="A31" s="4" t="s">
        <v>195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28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37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11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12</v>
      </c>
      <c r="J32" s="3" t="s">
        <v>3</v>
      </c>
      <c r="L32" s="2" t="s">
        <v>11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12</v>
      </c>
      <c r="U32" s="3" t="s">
        <v>3</v>
      </c>
      <c r="W32" s="2" t="s">
        <v>11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12</v>
      </c>
      <c r="AF32" s="3" t="s">
        <v>3</v>
      </c>
    </row>
    <row r="33" spans="1:32" x14ac:dyDescent="0.25">
      <c r="A33" t="str">
        <f>$A$7</f>
        <v>Bellevue</v>
      </c>
      <c r="B33" s="26">
        <f t="shared" ref="B33:J39" si="14">B20/$J$28</f>
        <v>3.0787008047937683E-2</v>
      </c>
      <c r="C33" s="26">
        <f t="shared" si="14"/>
        <v>0</v>
      </c>
      <c r="D33" s="26">
        <f t="shared" si="14"/>
        <v>2.410594194357116E-4</v>
      </c>
      <c r="E33" s="26">
        <f t="shared" si="14"/>
        <v>0</v>
      </c>
      <c r="F33" s="26">
        <f t="shared" si="14"/>
        <v>1.3643055342889593E-3</v>
      </c>
      <c r="G33" s="26">
        <f t="shared" si="14"/>
        <v>3.7995645999441098E-4</v>
      </c>
      <c r="H33" s="26">
        <f t="shared" ref="H33" si="15">H20/$J$28</f>
        <v>8.1845349467015262E-4</v>
      </c>
      <c r="I33" s="26">
        <f t="shared" ref="I33:J39" si="16">I20/$J$28</f>
        <v>1.0768869086612773E-2</v>
      </c>
      <c r="J33" s="26">
        <f t="shared" si="16"/>
        <v>4.4359652042939693E-2</v>
      </c>
      <c r="L33" t="str">
        <f>$A$7</f>
        <v>Bellevue</v>
      </c>
      <c r="M33" s="26">
        <f t="shared" ref="M33:U39" si="17">M7/$U$15</f>
        <v>3.0720743211223762E-2</v>
      </c>
      <c r="N33" s="26">
        <f t="shared" si="17"/>
        <v>9.1924535583876564E-4</v>
      </c>
      <c r="O33" s="26">
        <f t="shared" si="17"/>
        <v>1.549862222641085E-3</v>
      </c>
      <c r="P33" s="26">
        <f t="shared" si="17"/>
        <v>2.3369205814001339E-3</v>
      </c>
      <c r="Q33" s="26">
        <f t="shared" si="17"/>
        <v>3.3980547322694211E-3</v>
      </c>
      <c r="R33" s="26">
        <f t="shared" si="17"/>
        <v>4.3900635727392239E-4</v>
      </c>
      <c r="S33" s="26">
        <f t="shared" ref="S33" si="18">S7/$U$15</f>
        <v>2.1525864203348405E-3</v>
      </c>
      <c r="T33" s="26">
        <f t="shared" ref="T33:U38" si="19">T7/$U$15</f>
        <v>2.843233161957765E-3</v>
      </c>
      <c r="U33" s="26">
        <f t="shared" si="19"/>
        <v>4.4359652042939693E-2</v>
      </c>
      <c r="W33" t="str">
        <f>$A$7</f>
        <v>Bellevue</v>
      </c>
      <c r="X33" s="26">
        <f t="shared" ref="X33:Z35" si="20">M33-B33</f>
        <v>-6.6264836713920278E-5</v>
      </c>
      <c r="Y33" s="26">
        <f t="shared" si="20"/>
        <v>9.1924535583876564E-4</v>
      </c>
      <c r="Z33" s="26">
        <f t="shared" si="20"/>
        <v>1.3088028032053733E-3</v>
      </c>
      <c r="AA33" s="26">
        <f t="shared" ref="AA33:AA35" si="21">P33-E33</f>
        <v>2.3369205814001339E-3</v>
      </c>
      <c r="AB33" s="26">
        <f t="shared" ref="AB33:AB35" si="22">Q33-F33</f>
        <v>2.0337491979804615E-3</v>
      </c>
      <c r="AC33" s="26">
        <f t="shared" ref="AC33:AD40" si="23">R33-G33</f>
        <v>5.9049897279511417E-5</v>
      </c>
      <c r="AD33" s="26">
        <f t="shared" si="23"/>
        <v>1.3341329256646877E-3</v>
      </c>
      <c r="AE33" s="26">
        <f t="shared" ref="AE33:AF35" si="24">T33-I33</f>
        <v>-7.9256359246550074E-3</v>
      </c>
      <c r="AF33" s="26">
        <f t="shared" si="24"/>
        <v>0</v>
      </c>
    </row>
    <row r="34" spans="1:32" x14ac:dyDescent="0.25">
      <c r="A34" t="str">
        <f>$A$8</f>
        <v>Bellevue Downtown</v>
      </c>
      <c r="B34" s="26">
        <f t="shared" si="14"/>
        <v>6.22242818941185E-5</v>
      </c>
      <c r="C34" s="26">
        <f t="shared" si="14"/>
        <v>3.3648338040143527E-6</v>
      </c>
      <c r="D34" s="26">
        <f t="shared" si="14"/>
        <v>0</v>
      </c>
      <c r="E34" s="26">
        <f t="shared" si="14"/>
        <v>0</v>
      </c>
      <c r="F34" s="26">
        <f t="shared" si="14"/>
        <v>8.3381157237117579E-5</v>
      </c>
      <c r="G34" s="26">
        <f t="shared" si="14"/>
        <v>9.1463195703536664E-6</v>
      </c>
      <c r="H34" s="26">
        <f t="shared" ref="H34" si="25">H21/$J$28</f>
        <v>0</v>
      </c>
      <c r="I34" s="26">
        <f t="shared" si="16"/>
        <v>3.043322154306494E-3</v>
      </c>
      <c r="J34" s="26">
        <f t="shared" si="16"/>
        <v>3.2014387468120979E-3</v>
      </c>
      <c r="L34" t="str">
        <f>$A$8</f>
        <v>Bellevue Downtown</v>
      </c>
      <c r="M34" s="26">
        <f t="shared" si="17"/>
        <v>1.0320287570168727E-3</v>
      </c>
      <c r="N34" s="26">
        <f t="shared" si="17"/>
        <v>2.0616320645460443E-4</v>
      </c>
      <c r="O34" s="26">
        <f t="shared" si="17"/>
        <v>1.0308160322730221E-4</v>
      </c>
      <c r="P34" s="26">
        <f t="shared" si="17"/>
        <v>1.9403595901609829E-5</v>
      </c>
      <c r="Q34" s="26">
        <f t="shared" si="17"/>
        <v>4.6568630163863588E-4</v>
      </c>
      <c r="R34" s="26">
        <f t="shared" si="17"/>
        <v>7.0338035143335632E-5</v>
      </c>
      <c r="S34" s="26">
        <f t="shared" ref="S34" si="26">S8/$U$15</f>
        <v>7.2763484631036856E-6</v>
      </c>
      <c r="T34" s="26">
        <f t="shared" si="19"/>
        <v>1.2974608989666336E-3</v>
      </c>
      <c r="U34" s="26">
        <f t="shared" si="19"/>
        <v>3.2014387468120979E-3</v>
      </c>
      <c r="W34" t="str">
        <f>$A$8</f>
        <v>Bellevue Downtown</v>
      </c>
      <c r="X34" s="26">
        <f t="shared" si="20"/>
        <v>9.6980447512275418E-4</v>
      </c>
      <c r="Y34" s="26">
        <f t="shared" si="20"/>
        <v>2.0279837265059007E-4</v>
      </c>
      <c r="Z34" s="26">
        <f t="shared" si="20"/>
        <v>1.0308160322730221E-4</v>
      </c>
      <c r="AA34" s="26">
        <f t="shared" si="21"/>
        <v>1.9403595901609829E-5</v>
      </c>
      <c r="AB34" s="26">
        <f t="shared" si="22"/>
        <v>3.823051444015183E-4</v>
      </c>
      <c r="AC34" s="26">
        <f t="shared" si="23"/>
        <v>6.1191715572981963E-5</v>
      </c>
      <c r="AD34" s="26">
        <f t="shared" si="23"/>
        <v>7.2763484631036856E-6</v>
      </c>
      <c r="AE34" s="26">
        <f t="shared" si="24"/>
        <v>-1.7458612553398604E-3</v>
      </c>
      <c r="AF34" s="26">
        <f t="shared" si="24"/>
        <v>0</v>
      </c>
    </row>
    <row r="35" spans="1:32" x14ac:dyDescent="0.25">
      <c r="A35" t="str">
        <f>$A$9</f>
        <v>Kirkland</v>
      </c>
      <c r="B35" s="26">
        <f t="shared" si="14"/>
        <v>2.1338846735051067E-3</v>
      </c>
      <c r="C35" s="26">
        <f t="shared" si="14"/>
        <v>1.4918336445909636E-4</v>
      </c>
      <c r="D35" s="26">
        <f t="shared" si="14"/>
        <v>1.2853322906037893E-2</v>
      </c>
      <c r="E35" s="26">
        <f t="shared" si="14"/>
        <v>1.1501182228671698E-4</v>
      </c>
      <c r="F35" s="26">
        <f t="shared" si="14"/>
        <v>2.870592906343931E-5</v>
      </c>
      <c r="G35" s="26">
        <f t="shared" si="14"/>
        <v>3.6541045898485973E-6</v>
      </c>
      <c r="H35" s="26">
        <f t="shared" ref="H35" si="27">H22/$J$28</f>
        <v>9.0856443370760857E-6</v>
      </c>
      <c r="I35" s="26">
        <f t="shared" si="16"/>
        <v>2.4936814583298727E-2</v>
      </c>
      <c r="J35" s="26">
        <f t="shared" si="16"/>
        <v>4.0229663027577904E-2</v>
      </c>
      <c r="L35" t="str">
        <f>$A$9</f>
        <v>Kirkland</v>
      </c>
      <c r="M35" s="26">
        <f t="shared" si="17"/>
        <v>1.8942760498946594E-3</v>
      </c>
      <c r="N35" s="26">
        <f t="shared" si="17"/>
        <v>1.1642157540965897E-4</v>
      </c>
      <c r="O35" s="26">
        <f t="shared" si="17"/>
        <v>2.2004890477169397E-2</v>
      </c>
      <c r="P35" s="26">
        <f t="shared" si="17"/>
        <v>2.7759269386740562E-3</v>
      </c>
      <c r="Q35" s="26">
        <f t="shared" si="17"/>
        <v>4.8472608011709056E-3</v>
      </c>
      <c r="R35" s="26">
        <f t="shared" si="17"/>
        <v>2.631612694155833E-4</v>
      </c>
      <c r="S35" s="26">
        <f t="shared" ref="S35" si="28">S9/$U$15</f>
        <v>1.7560254290956896E-3</v>
      </c>
      <c r="T35" s="26">
        <f t="shared" si="19"/>
        <v>6.5717004867479585E-3</v>
      </c>
      <c r="U35" s="26">
        <f t="shared" si="19"/>
        <v>4.0229663027577904E-2</v>
      </c>
      <c r="W35" t="str">
        <f>$A$9</f>
        <v>Kirkland</v>
      </c>
      <c r="X35" s="26">
        <f t="shared" si="20"/>
        <v>-2.3960862361044723E-4</v>
      </c>
      <c r="Y35" s="26">
        <f t="shared" si="20"/>
        <v>-3.2761789049437395E-5</v>
      </c>
      <c r="Z35" s="26">
        <f t="shared" si="20"/>
        <v>9.1515675711315043E-3</v>
      </c>
      <c r="AA35" s="26">
        <f t="shared" si="21"/>
        <v>2.6609151163873392E-3</v>
      </c>
      <c r="AB35" s="26">
        <f t="shared" si="22"/>
        <v>4.8185548721074662E-3</v>
      </c>
      <c r="AC35" s="26">
        <f t="shared" si="23"/>
        <v>2.5950716482573473E-4</v>
      </c>
      <c r="AD35" s="26">
        <f t="shared" si="23"/>
        <v>1.7469397847586134E-3</v>
      </c>
      <c r="AE35" s="26">
        <f t="shared" si="24"/>
        <v>-1.8365114096550769E-2</v>
      </c>
      <c r="AF35" s="26">
        <f t="shared" si="24"/>
        <v>0</v>
      </c>
    </row>
    <row r="36" spans="1:32" x14ac:dyDescent="0.25">
      <c r="A36" t="str">
        <f>$A$10</f>
        <v>Redmond</v>
      </c>
      <c r="B36" s="26">
        <f t="shared" si="14"/>
        <v>1.3345774757706303E-3</v>
      </c>
      <c r="C36" s="26">
        <f t="shared" si="14"/>
        <v>1.7858514542405839E-4</v>
      </c>
      <c r="D36" s="26">
        <f t="shared" si="14"/>
        <v>2.8972005807629984E-3</v>
      </c>
      <c r="E36" s="26">
        <f t="shared" si="14"/>
        <v>1.4578289952662523E-2</v>
      </c>
      <c r="F36" s="26">
        <f t="shared" si="14"/>
        <v>6.2233821145112739E-4</v>
      </c>
      <c r="G36" s="26">
        <f t="shared" si="14"/>
        <v>2.8498879431247942E-6</v>
      </c>
      <c r="H36" s="26">
        <f t="shared" ref="H36" si="29">H23/$J$28</f>
        <v>1.9011094529373875E-4</v>
      </c>
      <c r="I36" s="26">
        <f t="shared" si="16"/>
        <v>1.6225167222353409E-2</v>
      </c>
      <c r="J36" s="26">
        <f t="shared" si="16"/>
        <v>3.6029119421661607E-2</v>
      </c>
      <c r="L36" t="str">
        <f>$A$10</f>
        <v>Redmond</v>
      </c>
      <c r="M36" s="26">
        <f t="shared" si="17"/>
        <v>4.1353913765305944E-3</v>
      </c>
      <c r="N36" s="26">
        <f t="shared" si="17"/>
        <v>4.9721714497875186E-5</v>
      </c>
      <c r="O36" s="26">
        <f t="shared" si="17"/>
        <v>5.1043584468672357E-3</v>
      </c>
      <c r="P36" s="26">
        <f t="shared" si="17"/>
        <v>1.5140868426974919E-2</v>
      </c>
      <c r="Q36" s="26">
        <f t="shared" si="17"/>
        <v>2.4860857248937595E-3</v>
      </c>
      <c r="R36" s="26">
        <f t="shared" si="17"/>
        <v>2.1101410543000688E-4</v>
      </c>
      <c r="S36" s="26">
        <f t="shared" ref="S36" si="30">S10/$U$15</f>
        <v>1.8215125652636228E-3</v>
      </c>
      <c r="T36" s="26">
        <f t="shared" si="19"/>
        <v>7.0801670612035917E-3</v>
      </c>
      <c r="U36" s="26">
        <f t="shared" si="19"/>
        <v>3.6029119421661607E-2</v>
      </c>
      <c r="W36" t="str">
        <f>$A$10</f>
        <v>Redmond</v>
      </c>
      <c r="X36" s="26">
        <f t="shared" ref="X36:X38" si="31">M36-B36</f>
        <v>2.8008139007599641E-3</v>
      </c>
      <c r="Y36" s="26">
        <f t="shared" ref="Y36:Y38" si="32">N36-C36</f>
        <v>-1.2886343092618319E-4</v>
      </c>
      <c r="Z36" s="26">
        <f t="shared" ref="Z36:Z38" si="33">O36-D36</f>
        <v>2.2071578661042373E-3</v>
      </c>
      <c r="AA36" s="26">
        <f t="shared" ref="AA36:AA38" si="34">P36-E36</f>
        <v>5.6257847431239599E-4</v>
      </c>
      <c r="AB36" s="26">
        <f t="shared" ref="AB36:AB38" si="35">Q36-F36</f>
        <v>1.863747513442632E-3</v>
      </c>
      <c r="AC36" s="26">
        <f t="shared" ref="AC36:AD38" si="36">R36-G36</f>
        <v>2.081642174868821E-4</v>
      </c>
      <c r="AD36" s="26">
        <f t="shared" si="36"/>
        <v>1.631401619969884E-3</v>
      </c>
      <c r="AE36" s="26">
        <f t="shared" ref="AE36:AE39" si="37">T36-I36</f>
        <v>-9.1450001611498161E-3</v>
      </c>
      <c r="AF36" s="26">
        <f t="shared" ref="AF36:AF39" si="38">U36-J36</f>
        <v>0</v>
      </c>
    </row>
    <row r="37" spans="1:32" x14ac:dyDescent="0.25">
      <c r="A37" t="str">
        <f>$A$11</f>
        <v>Seattle</v>
      </c>
      <c r="B37" s="26">
        <f t="shared" si="14"/>
        <v>4.8420025753509655E-4</v>
      </c>
      <c r="C37" s="26">
        <f t="shared" si="14"/>
        <v>2.634721348364594E-5</v>
      </c>
      <c r="D37" s="26">
        <f t="shared" si="14"/>
        <v>9.7063815961960205E-4</v>
      </c>
      <c r="E37" s="26">
        <f t="shared" si="14"/>
        <v>6.1045405458822938E-6</v>
      </c>
      <c r="F37" s="26">
        <f t="shared" si="14"/>
        <v>0.1227492203082154</v>
      </c>
      <c r="G37" s="26">
        <f t="shared" si="14"/>
        <v>3.6775559016528599E-3</v>
      </c>
      <c r="H37" s="26">
        <f t="shared" ref="H37" si="39">H24/$J$28</f>
        <v>4.4557486610079513E-3</v>
      </c>
      <c r="I37" s="26">
        <f t="shared" si="16"/>
        <v>2.2365546491640523E-2</v>
      </c>
      <c r="J37" s="26">
        <f t="shared" si="16"/>
        <v>0.15473536153370096</v>
      </c>
      <c r="L37" t="str">
        <f>$A$11</f>
        <v>Seattle</v>
      </c>
      <c r="M37" s="26">
        <f t="shared" si="17"/>
        <v>1.3327844934918251E-3</v>
      </c>
      <c r="N37" s="26">
        <f t="shared" si="17"/>
        <v>6.0636237192530713E-5</v>
      </c>
      <c r="O37" s="26">
        <f t="shared" si="17"/>
        <v>1.5850312402127529E-3</v>
      </c>
      <c r="P37" s="26">
        <f t="shared" si="17"/>
        <v>1.6007966618828109E-4</v>
      </c>
      <c r="Q37" s="26">
        <f t="shared" si="17"/>
        <v>0.13476888805937492</v>
      </c>
      <c r="R37" s="26">
        <f t="shared" si="17"/>
        <v>6.8773620223768336E-3</v>
      </c>
      <c r="S37" s="26">
        <f t="shared" ref="S37" si="40">S11/$U$15</f>
        <v>7.150225089743222E-3</v>
      </c>
      <c r="T37" s="26">
        <f t="shared" si="19"/>
        <v>2.8003547251206004E-3</v>
      </c>
      <c r="U37" s="26">
        <f t="shared" si="19"/>
        <v>0.15473536153370096</v>
      </c>
      <c r="W37" t="str">
        <f>$A$11</f>
        <v>Seattle</v>
      </c>
      <c r="X37" s="26">
        <f t="shared" si="31"/>
        <v>8.4858423595672865E-4</v>
      </c>
      <c r="Y37" s="26">
        <f t="shared" si="32"/>
        <v>3.4289023708884773E-5</v>
      </c>
      <c r="Z37" s="26">
        <f t="shared" si="33"/>
        <v>6.1439308059315083E-4</v>
      </c>
      <c r="AA37" s="26">
        <f t="shared" si="34"/>
        <v>1.5397512564239879E-4</v>
      </c>
      <c r="AB37" s="26">
        <f t="shared" si="35"/>
        <v>1.2019667751159521E-2</v>
      </c>
      <c r="AC37" s="26">
        <f t="shared" si="36"/>
        <v>3.1998061207239737E-3</v>
      </c>
      <c r="AD37" s="26">
        <f t="shared" si="36"/>
        <v>2.6944764287352707E-3</v>
      </c>
      <c r="AE37" s="26">
        <f t="shared" si="37"/>
        <v>-1.9565191766519923E-2</v>
      </c>
      <c r="AF37" s="26">
        <f t="shared" si="38"/>
        <v>0</v>
      </c>
    </row>
    <row r="38" spans="1:32" x14ac:dyDescent="0.25">
      <c r="A38" t="str">
        <f>$A$12</f>
        <v>Seattle Downtown</v>
      </c>
      <c r="B38" s="26">
        <f t="shared" si="14"/>
        <v>0</v>
      </c>
      <c r="C38" s="26">
        <f t="shared" si="14"/>
        <v>0</v>
      </c>
      <c r="D38" s="26">
        <f t="shared" si="14"/>
        <v>0</v>
      </c>
      <c r="E38" s="26">
        <f t="shared" si="14"/>
        <v>0</v>
      </c>
      <c r="F38" s="26">
        <f t="shared" si="14"/>
        <v>6.8958603715018674E-4</v>
      </c>
      <c r="G38" s="26">
        <f t="shared" si="14"/>
        <v>3.0029170883878628E-4</v>
      </c>
      <c r="H38" s="26">
        <f t="shared" ref="H38:H39" si="41">H25/$J$28</f>
        <v>0</v>
      </c>
      <c r="I38" s="26">
        <f t="shared" si="16"/>
        <v>1.18683087226118E-2</v>
      </c>
      <c r="J38" s="26">
        <f t="shared" si="16"/>
        <v>1.285818646860077E-2</v>
      </c>
      <c r="L38" t="str">
        <f>$A$12</f>
        <v>Seattle Downtown</v>
      </c>
      <c r="M38" s="26">
        <f t="shared" si="17"/>
        <v>9.7017979508049143E-5</v>
      </c>
      <c r="N38" s="26">
        <f t="shared" si="17"/>
        <v>4.8508989754024573E-6</v>
      </c>
      <c r="O38" s="26">
        <f t="shared" si="17"/>
        <v>9.7017979508049146E-6</v>
      </c>
      <c r="P38" s="26">
        <f t="shared" si="17"/>
        <v>2.4254494877012287E-6</v>
      </c>
      <c r="Q38" s="26">
        <f t="shared" si="17"/>
        <v>4.2578765756595069E-3</v>
      </c>
      <c r="R38" s="26">
        <f t="shared" si="17"/>
        <v>3.5047745097282752E-3</v>
      </c>
      <c r="S38" s="26">
        <f t="shared" ref="S38" si="42">S12/$U$15</f>
        <v>4.9721714497875186E-5</v>
      </c>
      <c r="T38" s="26">
        <f t="shared" si="19"/>
        <v>4.9318175427931557E-3</v>
      </c>
      <c r="U38" s="26">
        <f t="shared" si="19"/>
        <v>1.285818646860077E-2</v>
      </c>
      <c r="W38" t="str">
        <f>$A$12</f>
        <v>Seattle Downtown</v>
      </c>
      <c r="X38" s="26">
        <f t="shared" si="31"/>
        <v>9.7017979508049143E-5</v>
      </c>
      <c r="Y38" s="26">
        <f t="shared" si="32"/>
        <v>4.8508989754024573E-6</v>
      </c>
      <c r="Z38" s="26">
        <f t="shared" si="33"/>
        <v>9.7017979508049146E-6</v>
      </c>
      <c r="AA38" s="26">
        <f t="shared" si="34"/>
        <v>2.4254494877012287E-6</v>
      </c>
      <c r="AB38" s="26">
        <f t="shared" si="35"/>
        <v>3.56829053850932E-3</v>
      </c>
      <c r="AC38" s="26">
        <f t="shared" si="36"/>
        <v>3.2044828008894891E-3</v>
      </c>
      <c r="AD38" s="26">
        <f t="shared" si="36"/>
        <v>4.9721714497875186E-5</v>
      </c>
      <c r="AE38" s="26">
        <f t="shared" si="37"/>
        <v>-6.9364911798186438E-3</v>
      </c>
      <c r="AF38" s="26">
        <f t="shared" si="38"/>
        <v>0</v>
      </c>
    </row>
    <row r="39" spans="1:32" x14ac:dyDescent="0.25">
      <c r="A39" t="str">
        <f>$A$13</f>
        <v>Rest</v>
      </c>
      <c r="B39" s="26">
        <f t="shared" si="14"/>
        <v>1.0292463177301727E-2</v>
      </c>
      <c r="C39" s="26">
        <f t="shared" si="14"/>
        <v>0</v>
      </c>
      <c r="D39" s="26">
        <f t="shared" si="14"/>
        <v>1.6335833005024447E-2</v>
      </c>
      <c r="E39" s="26">
        <f t="shared" si="14"/>
        <v>3.6396457527101372E-3</v>
      </c>
      <c r="F39" s="26">
        <f t="shared" si="14"/>
        <v>2.191488768760087E-2</v>
      </c>
      <c r="G39" s="26">
        <f t="shared" si="14"/>
        <v>1.3187538936335313E-4</v>
      </c>
      <c r="H39" s="26">
        <f t="shared" si="41"/>
        <v>0.65627187374670648</v>
      </c>
      <c r="I39" s="26">
        <f t="shared" si="16"/>
        <v>0</v>
      </c>
      <c r="J39" s="26">
        <f t="shared" si="14"/>
        <v>0.70858657875870701</v>
      </c>
      <c r="L39" t="str">
        <f>$A$13</f>
        <v>Rest</v>
      </c>
      <c r="M39" s="26">
        <f t="shared" si="17"/>
        <v>1.5693870910170798E-2</v>
      </c>
      <c r="N39" s="26">
        <f t="shared" si="17"/>
        <v>3.1167025916960787E-4</v>
      </c>
      <c r="O39" s="26">
        <f t="shared" si="17"/>
        <v>1.1283191016786116E-2</v>
      </c>
      <c r="P39" s="26">
        <f t="shared" si="17"/>
        <v>5.3456906708935076E-3</v>
      </c>
      <c r="Q39" s="26">
        <f t="shared" si="17"/>
        <v>4.461250515203255E-2</v>
      </c>
      <c r="R39" s="26">
        <f t="shared" si="17"/>
        <v>5.4669631452785696E-3</v>
      </c>
      <c r="S39" s="26">
        <f t="shared" ref="S39" si="43">S13/$U$15</f>
        <v>0.62587268760437587</v>
      </c>
      <c r="T39" s="26">
        <f t="shared" si="17"/>
        <v>0</v>
      </c>
      <c r="U39" s="26">
        <f t="shared" si="17"/>
        <v>0.70858657875870701</v>
      </c>
      <c r="W39" t="str">
        <f>$A$13</f>
        <v>Rest</v>
      </c>
      <c r="X39" s="26">
        <f t="shared" ref="X39" si="44">M39-B39</f>
        <v>5.4014077328690714E-3</v>
      </c>
      <c r="Y39" s="26">
        <f t="shared" ref="Y39" si="45">N39-C39</f>
        <v>3.1167025916960787E-4</v>
      </c>
      <c r="Z39" s="26">
        <f t="shared" ref="Z39" si="46">O39-D39</f>
        <v>-5.0526419882383315E-3</v>
      </c>
      <c r="AA39" s="26">
        <f t="shared" ref="AA39" si="47">P39-E39</f>
        <v>1.7060449181833704E-3</v>
      </c>
      <c r="AB39" s="26">
        <f t="shared" ref="AB39" si="48">Q39-F39</f>
        <v>2.269761746443168E-2</v>
      </c>
      <c r="AC39" s="26">
        <f t="shared" ref="AC39" si="49">R39-G39</f>
        <v>5.3350877559152163E-3</v>
      </c>
      <c r="AD39" s="26">
        <f t="shared" ref="AD39" si="50">S39-H39</f>
        <v>-3.0399186142330614E-2</v>
      </c>
      <c r="AE39" s="26">
        <f t="shared" si="37"/>
        <v>0</v>
      </c>
      <c r="AF39" s="26">
        <f t="shared" si="38"/>
        <v>0</v>
      </c>
    </row>
    <row r="40" spans="1:32" x14ac:dyDescent="0.25">
      <c r="A40" s="8" t="s">
        <v>12</v>
      </c>
      <c r="B40" s="27" t="e">
        <f t="shared" ref="B40:H40" si="51">B27/$J$28</f>
        <v>#DIV/0!</v>
      </c>
      <c r="C40" s="27" t="e">
        <f t="shared" si="51"/>
        <v>#DIV/0!</v>
      </c>
      <c r="D40" s="27" t="e">
        <f t="shared" si="51"/>
        <v>#DIV/0!</v>
      </c>
      <c r="E40" s="27" t="e">
        <f t="shared" si="51"/>
        <v>#DIV/0!</v>
      </c>
      <c r="F40" s="27" t="e">
        <f t="shared" si="51"/>
        <v>#DIV/0!</v>
      </c>
      <c r="G40" s="27" t="e">
        <f t="shared" si="51"/>
        <v>#DIV/0!</v>
      </c>
      <c r="H40" s="27" t="e">
        <f t="shared" si="51"/>
        <v>#DIV/0!</v>
      </c>
      <c r="I40" s="27" t="e">
        <f>I27/$J$28</f>
        <v>#DIV/0!</v>
      </c>
      <c r="J40" s="27" t="e">
        <f>J27/$J$28</f>
        <v>#DIV/0!</v>
      </c>
      <c r="L40" s="23" t="s">
        <v>12</v>
      </c>
      <c r="M40" s="27">
        <f>M14/$U$15</f>
        <v>0</v>
      </c>
      <c r="N40" s="27">
        <f t="shared" ref="N40:U40" si="52">N14/$U$15</f>
        <v>0</v>
      </c>
      <c r="O40" s="27">
        <f t="shared" si="52"/>
        <v>0</v>
      </c>
      <c r="P40" s="27">
        <f t="shared" si="52"/>
        <v>0</v>
      </c>
      <c r="Q40" s="27">
        <f t="shared" si="52"/>
        <v>0</v>
      </c>
      <c r="R40" s="27">
        <f t="shared" si="52"/>
        <v>0</v>
      </c>
      <c r="S40" s="27">
        <f t="shared" si="52"/>
        <v>0</v>
      </c>
      <c r="T40" s="27">
        <f t="shared" si="52"/>
        <v>0</v>
      </c>
      <c r="U40" s="27">
        <f t="shared" si="52"/>
        <v>0</v>
      </c>
      <c r="W40" s="23" t="s">
        <v>12</v>
      </c>
      <c r="X40" s="27" t="e">
        <f t="shared" ref="X40:Z41" si="53">M40-B40</f>
        <v>#DIV/0!</v>
      </c>
      <c r="Y40" s="27" t="e">
        <f t="shared" si="53"/>
        <v>#DIV/0!</v>
      </c>
      <c r="Z40" s="27" t="e">
        <f t="shared" si="53"/>
        <v>#DIV/0!</v>
      </c>
      <c r="AA40" s="27" t="e">
        <f t="shared" ref="AA40:AA41" si="54">P40-E40</f>
        <v>#DIV/0!</v>
      </c>
      <c r="AB40" s="27" t="e">
        <f t="shared" ref="AB40:AB41" si="55">Q40-F40</f>
        <v>#DIV/0!</v>
      </c>
      <c r="AC40" s="27" t="e">
        <f t="shared" ref="AC40:AD41" si="56">R40-G40</f>
        <v>#DIV/0!</v>
      </c>
      <c r="AD40" s="26" t="e">
        <f t="shared" si="23"/>
        <v>#DIV/0!</v>
      </c>
      <c r="AE40" s="27" t="e">
        <f>T40-I40</f>
        <v>#DIV/0!</v>
      </c>
      <c r="AF40" s="27" t="e">
        <f>U40-J40</f>
        <v>#DIV/0!</v>
      </c>
    </row>
    <row r="41" spans="1:32" ht="15.75" thickBot="1" x14ac:dyDescent="0.3">
      <c r="A41" s="1" t="s">
        <v>3</v>
      </c>
      <c r="B41" s="28">
        <f>B28/$J$28</f>
        <v>4.7254210729892464E-2</v>
      </c>
      <c r="C41" s="28">
        <f>C28/$J$28</f>
        <v>6.0035452410159252E-4</v>
      </c>
      <c r="D41" s="28">
        <f>D28/$J$28</f>
        <v>4.1324634625872624E-2</v>
      </c>
      <c r="E41" s="28">
        <f t="shared" ref="E41:H41" si="57">E28/$J$28</f>
        <v>2.9953059309250161E-2</v>
      </c>
      <c r="F41" s="28">
        <f t="shared" si="57"/>
        <v>0.15075896726291338</v>
      </c>
      <c r="G41" s="28">
        <f t="shared" si="57"/>
        <v>5.4592942922936103E-3</v>
      </c>
      <c r="H41" s="28">
        <f t="shared" si="57"/>
        <v>0</v>
      </c>
      <c r="I41" s="28">
        <f>I28/$J$28</f>
        <v>0.15452524700465975</v>
      </c>
      <c r="J41" s="28">
        <f>J28/$J$28</f>
        <v>1</v>
      </c>
      <c r="L41" s="24" t="s">
        <v>3</v>
      </c>
      <c r="M41" s="28">
        <f>M15/$U$15</f>
        <v>5.4906112777836559E-2</v>
      </c>
      <c r="N41" s="28">
        <f>N15/$U$15</f>
        <v>1.6687092475384452E-3</v>
      </c>
      <c r="O41" s="28">
        <f>O15/$U$15</f>
        <v>4.1640116804854695E-2</v>
      </c>
      <c r="P41" s="28">
        <f t="shared" ref="P41:S41" si="58">P15/$U$15</f>
        <v>2.5781315329520209E-2</v>
      </c>
      <c r="Q41" s="28">
        <f t="shared" si="58"/>
        <v>0.19483635734703969</v>
      </c>
      <c r="R41" s="28">
        <f t="shared" si="58"/>
        <v>1.6832619444646528E-2</v>
      </c>
      <c r="S41" s="28">
        <f t="shared" si="58"/>
        <v>0.63881003517177415</v>
      </c>
      <c r="T41" s="28">
        <f>T15/$U$15</f>
        <v>2.5524733876789704E-2</v>
      </c>
      <c r="U41" s="28">
        <f>U15/$U$15</f>
        <v>1</v>
      </c>
      <c r="W41" s="24" t="s">
        <v>3</v>
      </c>
      <c r="X41" s="28">
        <f t="shared" si="53"/>
        <v>7.6519020479440952E-3</v>
      </c>
      <c r="Y41" s="28">
        <f t="shared" si="53"/>
        <v>1.0683547234368526E-3</v>
      </c>
      <c r="Z41" s="28">
        <f t="shared" si="53"/>
        <v>3.1548217898207109E-4</v>
      </c>
      <c r="AA41" s="28">
        <f t="shared" si="54"/>
        <v>-4.171743979729952E-3</v>
      </c>
      <c r="AB41" s="28">
        <f t="shared" si="55"/>
        <v>4.4077390084126311E-2</v>
      </c>
      <c r="AC41" s="28">
        <f t="shared" si="56"/>
        <v>1.1373325152352919E-2</v>
      </c>
      <c r="AD41" s="28">
        <f t="shared" si="56"/>
        <v>0.63881003517177415</v>
      </c>
      <c r="AE41" s="28">
        <f>T41-I41</f>
        <v>-0.12900051312787003</v>
      </c>
      <c r="AF41" s="28">
        <f>U41-J41</f>
        <v>0</v>
      </c>
    </row>
    <row r="44" spans="1:32" ht="15.75" thickBot="1" x14ac:dyDescent="0.3">
      <c r="A44" s="39" t="s">
        <v>196</v>
      </c>
      <c r="B44" s="37"/>
      <c r="C44" s="37"/>
      <c r="D44" s="37"/>
      <c r="E44" s="37"/>
      <c r="F44" s="37"/>
      <c r="G44" s="37"/>
      <c r="H44" s="37"/>
      <c r="I44" s="37"/>
      <c r="J44" s="7"/>
      <c r="L44" s="39" t="s">
        <v>38</v>
      </c>
      <c r="M44" s="37"/>
      <c r="N44" s="37"/>
      <c r="O44" s="37"/>
      <c r="P44" s="37"/>
      <c r="Q44" s="37"/>
      <c r="R44" s="37"/>
      <c r="S44" s="37"/>
      <c r="T44" s="37"/>
      <c r="U44" s="7"/>
      <c r="W44" s="39" t="s">
        <v>39</v>
      </c>
      <c r="X44" s="37"/>
      <c r="Y44" s="37"/>
      <c r="Z44" s="37"/>
      <c r="AA44" s="37"/>
      <c r="AB44" s="37"/>
      <c r="AC44" s="37"/>
      <c r="AD44" s="37"/>
      <c r="AE44" s="37"/>
      <c r="AF44" s="7"/>
    </row>
    <row r="45" spans="1:32" x14ac:dyDescent="0.25">
      <c r="A45" s="29" t="s">
        <v>11</v>
      </c>
      <c r="B45" s="30" t="str">
        <f>$A$7</f>
        <v>Bellevue</v>
      </c>
      <c r="C45" s="30" t="str">
        <f>$A$8</f>
        <v>Bellevue Downtown</v>
      </c>
      <c r="D45" s="30" t="str">
        <f>$A$9</f>
        <v>Kirkland</v>
      </c>
      <c r="E45" s="30" t="str">
        <f>$A$10</f>
        <v>Redmond</v>
      </c>
      <c r="F45" s="30" t="str">
        <f>$A$11</f>
        <v>Seattle</v>
      </c>
      <c r="G45" s="30" t="str">
        <f>$A$12</f>
        <v>Seattle Downtown</v>
      </c>
      <c r="H45" s="30"/>
      <c r="I45" s="30" t="s">
        <v>3</v>
      </c>
      <c r="J45" s="7"/>
      <c r="L45" s="29" t="s">
        <v>11</v>
      </c>
      <c r="M45" s="30" t="str">
        <f>$A$7</f>
        <v>Bellevue</v>
      </c>
      <c r="N45" s="30" t="str">
        <f>$A$8</f>
        <v>Bellevue Downtown</v>
      </c>
      <c r="O45" s="30" t="str">
        <f>$A$9</f>
        <v>Kirkland</v>
      </c>
      <c r="P45" s="30" t="str">
        <f>$A$10</f>
        <v>Redmond</v>
      </c>
      <c r="Q45" s="30" t="str">
        <f>$A$11</f>
        <v>Seattle</v>
      </c>
      <c r="R45" s="30" t="str">
        <f>$A$12</f>
        <v>Seattle Downtown</v>
      </c>
      <c r="S45" s="30"/>
      <c r="T45" s="30" t="s">
        <v>3</v>
      </c>
      <c r="U45" s="7"/>
      <c r="W45" s="29" t="s">
        <v>11</v>
      </c>
      <c r="X45" s="30" t="str">
        <f>$A$7</f>
        <v>Bellevue</v>
      </c>
      <c r="Y45" s="30" t="str">
        <f>$A$8</f>
        <v>Bellevue Downtown</v>
      </c>
      <c r="Z45" s="30" t="str">
        <f>$A$9</f>
        <v>Kirkland</v>
      </c>
      <c r="AA45" s="30" t="str">
        <f>$A$10</f>
        <v>Redmond</v>
      </c>
      <c r="AB45" s="30" t="str">
        <f>$A$11</f>
        <v>Seattle</v>
      </c>
      <c r="AC45" s="30" t="str">
        <f>$A$12</f>
        <v>Seattle Downtown</v>
      </c>
      <c r="AD45" s="30"/>
      <c r="AE45" s="30" t="s">
        <v>3</v>
      </c>
      <c r="AF45" s="7"/>
    </row>
    <row r="46" spans="1:32" x14ac:dyDescent="0.25">
      <c r="A46" s="35" t="str">
        <f>$A$7</f>
        <v>Bellevue</v>
      </c>
      <c r="B46" s="36"/>
      <c r="C46" s="36"/>
      <c r="D46" s="36"/>
      <c r="E46" s="36"/>
      <c r="F46" s="36"/>
      <c r="G46" s="36"/>
      <c r="H46" s="36"/>
      <c r="I46" s="36"/>
      <c r="J46" s="7"/>
      <c r="L46" s="35" t="str">
        <f>$A$7</f>
        <v>Bellevue</v>
      </c>
      <c r="M46" s="36"/>
      <c r="N46" s="36"/>
      <c r="O46" s="36"/>
      <c r="P46" s="36"/>
      <c r="Q46" s="36"/>
      <c r="R46" s="36"/>
      <c r="S46" s="36"/>
      <c r="T46" s="36"/>
      <c r="U46" s="7"/>
      <c r="W46" s="35" t="str">
        <f>$A$7</f>
        <v>Bellevue</v>
      </c>
      <c r="X46" s="36"/>
      <c r="Y46" s="36"/>
      <c r="Z46" s="36"/>
      <c r="AA46" s="36"/>
      <c r="AB46" s="36"/>
      <c r="AC46" s="36"/>
      <c r="AD46" s="36"/>
      <c r="AE46" s="36"/>
      <c r="AF46" s="7"/>
    </row>
    <row r="47" spans="1:32" x14ac:dyDescent="0.25">
      <c r="A47" s="31" t="str">
        <f>$A$8</f>
        <v>Bellevue Downtown</v>
      </c>
      <c r="B47" s="32"/>
      <c r="C47" s="32"/>
      <c r="D47" s="32"/>
      <c r="E47" s="32"/>
      <c r="F47" s="32"/>
      <c r="G47" s="32"/>
      <c r="H47" s="32"/>
      <c r="I47" s="32"/>
      <c r="J47" s="7"/>
      <c r="L47" s="31" t="str">
        <f>$A$8</f>
        <v>Bellevue Downtown</v>
      </c>
      <c r="M47" s="32"/>
      <c r="N47" s="32"/>
      <c r="O47" s="32"/>
      <c r="P47" s="32"/>
      <c r="Q47" s="32"/>
      <c r="R47" s="32"/>
      <c r="S47" s="32"/>
      <c r="T47" s="32"/>
      <c r="U47" s="7"/>
      <c r="W47" s="31" t="str">
        <f>$A$8</f>
        <v>Bellevue Downtown</v>
      </c>
      <c r="X47" s="32"/>
      <c r="Y47" s="32"/>
      <c r="Z47" s="32"/>
      <c r="AA47" s="32"/>
      <c r="AB47" s="32"/>
      <c r="AC47" s="32"/>
      <c r="AD47" s="32"/>
      <c r="AE47" s="32"/>
      <c r="AF47" s="7"/>
    </row>
    <row r="48" spans="1:32" x14ac:dyDescent="0.25">
      <c r="A48" s="31" t="str">
        <f>$A$9</f>
        <v>Kirkland</v>
      </c>
      <c r="B48" s="32"/>
      <c r="C48" s="32"/>
      <c r="D48" s="32"/>
      <c r="E48" s="32"/>
      <c r="F48" s="32"/>
      <c r="G48" s="32"/>
      <c r="H48" s="32"/>
      <c r="I48" s="32"/>
      <c r="J48" s="7"/>
      <c r="L48" s="31" t="str">
        <f>$A$9</f>
        <v>Kirkland</v>
      </c>
      <c r="M48" s="32"/>
      <c r="N48" s="32"/>
      <c r="O48" s="32"/>
      <c r="P48" s="32"/>
      <c r="Q48" s="32"/>
      <c r="R48" s="32"/>
      <c r="S48" s="32"/>
      <c r="T48" s="32"/>
      <c r="U48" s="7"/>
      <c r="W48" s="31" t="str">
        <f>$A$9</f>
        <v>Kirkland</v>
      </c>
      <c r="X48" s="32"/>
      <c r="Y48" s="32"/>
      <c r="Z48" s="32"/>
      <c r="AA48" s="32"/>
      <c r="AB48" s="32"/>
      <c r="AC48" s="32"/>
      <c r="AD48" s="32"/>
      <c r="AE48" s="32"/>
      <c r="AF48" s="7"/>
    </row>
    <row r="49" spans="1:32" x14ac:dyDescent="0.25">
      <c r="A49" s="31" t="str">
        <f>$A$10</f>
        <v>Redmond</v>
      </c>
      <c r="B49" s="32"/>
      <c r="C49" s="32"/>
      <c r="D49" s="32"/>
      <c r="E49" s="32"/>
      <c r="F49" s="32"/>
      <c r="G49" s="32"/>
      <c r="H49" s="32"/>
      <c r="I49" s="32"/>
      <c r="J49" s="7"/>
      <c r="L49" s="31" t="str">
        <f>$A$10</f>
        <v>Redmond</v>
      </c>
      <c r="M49" s="32"/>
      <c r="N49" s="32"/>
      <c r="O49" s="32"/>
      <c r="P49" s="32"/>
      <c r="Q49" s="32"/>
      <c r="R49" s="32"/>
      <c r="S49" s="32"/>
      <c r="T49" s="32"/>
      <c r="U49" s="7"/>
      <c r="W49" s="31" t="str">
        <f>$A$10</f>
        <v>Redmond</v>
      </c>
      <c r="X49" s="32"/>
      <c r="Y49" s="32"/>
      <c r="Z49" s="32"/>
      <c r="AA49" s="32"/>
      <c r="AB49" s="32"/>
      <c r="AC49" s="32"/>
      <c r="AD49" s="32"/>
      <c r="AE49" s="32"/>
      <c r="AF49" s="7"/>
    </row>
    <row r="50" spans="1:32" x14ac:dyDescent="0.25">
      <c r="A50" s="31" t="str">
        <f>$A$11</f>
        <v>Seattle</v>
      </c>
      <c r="B50" s="32"/>
      <c r="C50" s="32"/>
      <c r="D50" s="32"/>
      <c r="E50" s="32"/>
      <c r="F50" s="32"/>
      <c r="G50" s="32"/>
      <c r="H50" s="32"/>
      <c r="I50" s="32"/>
      <c r="J50" s="7"/>
      <c r="L50" s="31" t="str">
        <f>$A$11</f>
        <v>Seattle</v>
      </c>
      <c r="M50" s="32"/>
      <c r="N50" s="32"/>
      <c r="O50" s="32"/>
      <c r="P50" s="32"/>
      <c r="Q50" s="32"/>
      <c r="R50" s="32"/>
      <c r="S50" s="32"/>
      <c r="T50" s="32"/>
      <c r="U50" s="7"/>
      <c r="W50" s="31" t="str">
        <f>$A$11</f>
        <v>Seattle</v>
      </c>
      <c r="X50" s="32"/>
      <c r="Y50" s="32"/>
      <c r="Z50" s="32"/>
      <c r="AA50" s="32"/>
      <c r="AB50" s="32"/>
      <c r="AC50" s="32"/>
      <c r="AD50" s="32"/>
      <c r="AE50" s="32"/>
      <c r="AF50" s="7"/>
    </row>
    <row r="51" spans="1:32" x14ac:dyDescent="0.25">
      <c r="A51" s="48" t="str">
        <f>$A$12</f>
        <v>Seattle Downtown</v>
      </c>
      <c r="B51" s="49"/>
      <c r="C51" s="49"/>
      <c r="D51" s="49"/>
      <c r="E51" s="49"/>
      <c r="F51" s="49"/>
      <c r="G51" s="49"/>
      <c r="H51" s="49"/>
      <c r="I51" s="49"/>
      <c r="J51" s="7"/>
      <c r="L51" s="48" t="str">
        <f>$A$12</f>
        <v>Seattle Downtown</v>
      </c>
      <c r="M51" s="49"/>
      <c r="N51" s="49"/>
      <c r="O51" s="49"/>
      <c r="P51" s="49"/>
      <c r="Q51" s="49"/>
      <c r="R51" s="49"/>
      <c r="S51" s="49"/>
      <c r="T51" s="49"/>
      <c r="U51" s="7"/>
      <c r="W51" s="48" t="str">
        <f>$A$12</f>
        <v>Seattle Downtown</v>
      </c>
      <c r="X51" s="49"/>
      <c r="Y51" s="49"/>
      <c r="Z51" s="49"/>
      <c r="AA51" s="49"/>
      <c r="AB51" s="49"/>
      <c r="AC51" s="49"/>
      <c r="AD51" s="49"/>
      <c r="AE51" s="49"/>
      <c r="AF51" s="7"/>
    </row>
    <row r="52" spans="1:32" ht="15.75" thickBot="1" x14ac:dyDescent="0.3">
      <c r="A52" s="37" t="s">
        <v>3</v>
      </c>
      <c r="B52" s="38"/>
      <c r="C52" s="38"/>
      <c r="D52" s="38"/>
      <c r="E52" s="38"/>
      <c r="F52" s="38"/>
      <c r="G52" s="38"/>
      <c r="H52" s="38"/>
      <c r="I52" s="38"/>
      <c r="L52" s="40" t="s">
        <v>3</v>
      </c>
      <c r="M52" s="38"/>
      <c r="N52" s="38"/>
      <c r="O52" s="38"/>
      <c r="P52" s="38"/>
      <c r="Q52" s="38"/>
      <c r="R52" s="38"/>
      <c r="S52" s="38"/>
      <c r="T52" s="38"/>
      <c r="W52" s="40" t="s">
        <v>3</v>
      </c>
      <c r="X52" s="38"/>
      <c r="Y52" s="38"/>
      <c r="Z52" s="38"/>
      <c r="AA52" s="38"/>
      <c r="AB52" s="38"/>
      <c r="AC52" s="38"/>
      <c r="AD52" s="38"/>
      <c r="AE52" s="38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T36"/>
  <sheetViews>
    <sheetView topLeftCell="A10" workbookViewId="0">
      <selection activeCell="G14" sqref="G14"/>
    </sheetView>
  </sheetViews>
  <sheetFormatPr defaultRowHeight="15" x14ac:dyDescent="0.25"/>
  <cols>
    <col min="1" max="1" customWidth="true" width="18.28515625" collapsed="true"/>
    <col min="2" max="2" bestFit="true" customWidth="true" width="11.5703125" collapsed="true"/>
    <col min="3" max="3" bestFit="true" customWidth="true" width="10.5703125" collapsed="true"/>
    <col min="4" max="4" bestFit="true" customWidth="true" width="12.28515625" collapsed="true"/>
    <col min="5" max="5" bestFit="true" customWidth="true" width="11.5703125" collapsed="true"/>
    <col min="8" max="8" customWidth="true" width="19.85546875" collapsed="true"/>
    <col min="9" max="10" bestFit="true" customWidth="true" width="11.5703125" collapsed="true"/>
    <col min="11" max="11" bestFit="true" customWidth="true" width="12.28515625" collapsed="true"/>
    <col min="12" max="12" bestFit="true" customWidth="true" width="11.5703125" collapsed="true"/>
    <col min="13" max="13" bestFit="true" customWidth="true" width="9.5703125" collapsed="true"/>
    <col min="15" max="15" customWidth="true" width="18.42578125" collapsed="true"/>
  </cols>
  <sheetData>
    <row r="1" spans="1:19" x14ac:dyDescent="0.25">
      <c r="A1" t="s">
        <v>29</v>
      </c>
    </row>
    <row r="2" spans="1:19" x14ac:dyDescent="0.25">
      <c r="A2" t="s">
        <v>247</v>
      </c>
    </row>
    <row r="3" spans="1:19" x14ac:dyDescent="0.25">
      <c r="A3" t="s">
        <v>30</v>
      </c>
    </row>
    <row r="5" spans="1:19" ht="15.75" thickBot="1" x14ac:dyDescent="0.3">
      <c r="A5" s="4" t="s">
        <v>199</v>
      </c>
      <c r="B5" s="1"/>
      <c r="C5" s="1"/>
      <c r="D5" s="1"/>
      <c r="H5" s="4" t="s">
        <v>32</v>
      </c>
      <c r="I5" s="1"/>
      <c r="J5" s="1"/>
      <c r="K5" s="1"/>
      <c r="O5" s="4" t="s">
        <v>68</v>
      </c>
      <c r="P5" s="1"/>
      <c r="Q5" s="1"/>
      <c r="R5" s="1"/>
      <c r="S5" s="1"/>
    </row>
    <row r="6" spans="1:19" x14ac:dyDescent="0.25">
      <c r="A6" s="2"/>
      <c r="B6" s="5" t="s">
        <v>41</v>
      </c>
      <c r="C6" s="5" t="s">
        <v>42</v>
      </c>
      <c r="D6" s="5" t="s">
        <v>43</v>
      </c>
      <c r="E6" s="3" t="s">
        <v>3</v>
      </c>
      <c r="H6" s="2"/>
      <c r="I6" s="5" t="s">
        <v>41</v>
      </c>
      <c r="J6" s="5" t="s">
        <v>42</v>
      </c>
      <c r="K6" s="5" t="s">
        <v>43</v>
      </c>
      <c r="L6" s="3" t="s">
        <v>3</v>
      </c>
      <c r="O6" s="2"/>
      <c r="P6" s="5" t="s">
        <v>41</v>
      </c>
      <c r="Q6" s="5" t="s">
        <v>42</v>
      </c>
      <c r="R6" s="5" t="s">
        <v>43</v>
      </c>
      <c r="S6" s="3" t="s">
        <v>3</v>
      </c>
    </row>
    <row r="7" spans="1:19" x14ac:dyDescent="0.25">
      <c r="A7" s="52" t="s">
        <v>254</v>
      </c>
      <c r="B7" s="83" t="n">
        <v>0.0</v>
      </c>
      <c r="C7" s="83" t="n">
        <v>0.0</v>
      </c>
      <c r="D7" s="83" t="n">
        <v>0.0</v>
      </c>
      <c r="E7" s="83">
        <f>SUM(B7:D7)</f>
        <v>0</v>
      </c>
      <c r="H7" s="15" t="str">
        <f>$A$7</f>
        <v>Bellevue</v>
      </c>
      <c r="I7" s="83" t="n">
        <v>53.0</v>
      </c>
      <c r="J7" s="83" t="n">
        <v>15.0</v>
      </c>
      <c r="K7" s="83" t="n">
        <v>26.0</v>
      </c>
      <c r="L7" s="83">
        <f>SUM(I7:K7)</f>
        <v>92</v>
      </c>
      <c r="O7" s="15" t="str">
        <f>$A$7</f>
        <v>Bellevue</v>
      </c>
      <c r="P7" s="20">
        <f>I7-B7</f>
        <v>57</v>
      </c>
      <c r="Q7" s="20">
        <f t="shared" ref="Q7:S14" si="0">J7-C7</f>
        <v>9</v>
      </c>
      <c r="R7" s="20">
        <f t="shared" si="0"/>
        <v>26</v>
      </c>
      <c r="S7" s="20">
        <f t="shared" si="0"/>
        <v>92</v>
      </c>
    </row>
    <row r="8" spans="1:19" x14ac:dyDescent="0.25">
      <c r="A8" s="7" t="s">
        <v>255</v>
      </c>
      <c r="B8" s="83" t="n">
        <v>0.0</v>
      </c>
      <c r="C8" s="83" t="n">
        <v>0.0</v>
      </c>
      <c r="D8" s="83" t="n">
        <v>0.0</v>
      </c>
      <c r="E8" s="83">
        <f>SUM(B8:D8)</f>
        <v>0</v>
      </c>
      <c r="H8" t="str">
        <f>$A$8</f>
        <v>Bellevue Downtown</v>
      </c>
      <c r="I8" s="83" t="n">
        <v>1.0</v>
      </c>
      <c r="J8" s="83" t="n">
        <v>1.0</v>
      </c>
      <c r="K8" s="83" t="n">
        <v>1.0</v>
      </c>
      <c r="L8" s="83">
        <f>SUM(I8:K8)</f>
        <v>3</v>
      </c>
      <c r="O8" t="str">
        <f>$A$8</f>
        <v>Bellevue Downtown</v>
      </c>
      <c r="P8" s="20">
        <f t="shared" ref="P8:P14" si="1">I8-B8</f>
        <v>0</v>
      </c>
      <c r="Q8" s="20">
        <f t="shared" si="0"/>
        <v>0</v>
      </c>
      <c r="R8" s="20">
        <f t="shared" si="0"/>
        <v>3</v>
      </c>
      <c r="S8" s="20">
        <f t="shared" si="0"/>
        <v>3</v>
      </c>
    </row>
    <row r="9" spans="1:19" x14ac:dyDescent="0.25">
      <c r="A9" s="7" t="s">
        <v>256</v>
      </c>
      <c r="B9" s="83" t="n">
        <v>0.0</v>
      </c>
      <c r="C9" s="83" t="n">
        <v>0.0</v>
      </c>
      <c r="D9" s="83" t="n">
        <v>0.0</v>
      </c>
      <c r="E9" s="83">
        <f t="shared" ref="E9:E11" si="2">SUM(B9:D9)</f>
        <v>0</v>
      </c>
      <c r="H9" t="str">
        <f>$A$9</f>
        <v>Kirkland</v>
      </c>
      <c r="I9" s="83" t="n">
        <v>40.0</v>
      </c>
      <c r="J9" s="83" t="n">
        <v>7.0</v>
      </c>
      <c r="K9" s="83" t="n">
        <v>21.0</v>
      </c>
      <c r="L9" s="83">
        <f t="shared" ref="L9:L11" si="3">SUM(I9:K9)</f>
        <v>74</v>
      </c>
      <c r="O9" t="str">
        <f>$A$9</f>
        <v>Kirkland</v>
      </c>
      <c r="P9" s="20">
        <f t="shared" ref="P9:P11" si="4">I9-B9</f>
        <v>41</v>
      </c>
      <c r="Q9" s="20">
        <f t="shared" ref="Q9:Q11" si="5">J9-C9</f>
        <v>5</v>
      </c>
      <c r="R9" s="20">
        <f t="shared" ref="R9:R11" si="6">K9-D9</f>
        <v>28</v>
      </c>
      <c r="S9" s="20">
        <f t="shared" ref="S9:S11" si="7">L9-E9</f>
        <v>74</v>
      </c>
    </row>
    <row r="10" spans="1:19" x14ac:dyDescent="0.25">
      <c r="A10" s="7" t="s">
        <v>257</v>
      </c>
      <c r="B10" s="83" t="n">
        <v>0.0</v>
      </c>
      <c r="C10" s="83" t="n">
        <v>0.0</v>
      </c>
      <c r="D10" s="83" t="n">
        <v>0.0</v>
      </c>
      <c r="E10" s="83">
        <f t="shared" si="2"/>
        <v>0</v>
      </c>
      <c r="H10" t="str">
        <f>$A$10</f>
        <v>Redmond</v>
      </c>
      <c r="I10" s="83" t="n">
        <v>85.0</v>
      </c>
      <c r="J10" s="83" t="n">
        <v>27.0</v>
      </c>
      <c r="K10" s="83" t="n">
        <v>32.0</v>
      </c>
      <c r="L10" s="83">
        <f t="shared" si="3"/>
        <v>151</v>
      </c>
      <c r="O10" s="7" t="str">
        <f>$A$10</f>
        <v>Redmond</v>
      </c>
      <c r="P10" s="21">
        <f t="shared" si="4"/>
        <v>81</v>
      </c>
      <c r="Q10" s="21">
        <f t="shared" si="5"/>
        <v>22</v>
      </c>
      <c r="R10" s="21">
        <f t="shared" si="6"/>
        <v>48</v>
      </c>
      <c r="S10" s="21">
        <f t="shared" si="7"/>
        <v>151</v>
      </c>
    </row>
    <row r="11" spans="1:19" x14ac:dyDescent="0.25">
      <c r="A11" s="7" t="s">
        <v>253</v>
      </c>
      <c r="B11" s="83" t="n">
        <v>0.0</v>
      </c>
      <c r="C11" s="83" t="n">
        <v>0.0</v>
      </c>
      <c r="D11" s="83" t="n">
        <v>996.876</v>
      </c>
      <c r="E11" s="83">
        <f t="shared" si="2"/>
        <v>996.87599999999998</v>
      </c>
      <c r="H11" t="str">
        <f>$A$11</f>
        <v>Seattle</v>
      </c>
      <c r="I11" s="83" t="n">
        <v>490.0</v>
      </c>
      <c r="J11" s="83" t="n">
        <v>68.0</v>
      </c>
      <c r="K11" s="83" t="n">
        <v>59.0</v>
      </c>
      <c r="L11" s="83">
        <f t="shared" si="3"/>
        <v>643</v>
      </c>
      <c r="O11" s="7" t="str">
        <f>$A$11</f>
        <v>Seattle</v>
      </c>
      <c r="P11" s="21">
        <f t="shared" si="4"/>
        <v>515</v>
      </c>
      <c r="Q11" s="21">
        <f t="shared" si="5"/>
        <v>58</v>
      </c>
      <c r="R11" s="21">
        <f t="shared" si="6"/>
        <v>-926.87599999999998</v>
      </c>
      <c r="S11" s="21">
        <f t="shared" si="7"/>
        <v>-353.87599999999998</v>
      </c>
    </row>
    <row r="12" spans="1:19" x14ac:dyDescent="0.25">
      <c r="A12" s="7" t="s">
        <v>258</v>
      </c>
      <c r="B12" s="87" t="n">
        <v>0.0</v>
      </c>
      <c r="C12" s="87" t="n">
        <v>0.0</v>
      </c>
      <c r="D12" s="87" t="n">
        <v>14.496</v>
      </c>
      <c r="E12" s="87">
        <f>SUM(B12:D12)</f>
        <v>14.496</v>
      </c>
      <c r="H12" s="7" t="str">
        <f>$A$12</f>
        <v>Seattle Downtown</v>
      </c>
      <c r="I12" s="87" t="n">
        <v>13.0</v>
      </c>
      <c r="J12" s="87" t="n">
        <v>0.0</v>
      </c>
      <c r="K12" s="87" t="n">
        <v>7.0</v>
      </c>
      <c r="L12" s="87">
        <f>SUM(I12:K12)</f>
        <v>30</v>
      </c>
      <c r="O12" s="7" t="str">
        <f>$A$12</f>
        <v>Seattle Downtown</v>
      </c>
      <c r="P12" s="21">
        <f t="shared" si="1"/>
        <v>22</v>
      </c>
      <c r="Q12" s="21">
        <f t="shared" si="0"/>
        <v>2</v>
      </c>
      <c r="R12" s="21">
        <f t="shared" si="0"/>
        <v>-8.4960000000000004</v>
      </c>
      <c r="S12" s="21">
        <f t="shared" si="0"/>
        <v>15.504</v>
      </c>
    </row>
    <row r="13" spans="1:19" x14ac:dyDescent="0.25">
      <c r="A13" s="7" t="s">
        <v>259</v>
      </c>
      <c r="B13" s="86" t="n">
        <v>2443.4439</v>
      </c>
      <c r="C13" s="86" t="n">
        <v>0.0</v>
      </c>
      <c r="D13" s="86" t="n">
        <v>0.0</v>
      </c>
      <c r="E13" s="83">
        <f>SUM(B13:D13)</f>
        <v>2443.4439000000002</v>
      </c>
      <c r="H13" s="7" t="str">
        <f>$A$13</f>
        <v>Rest</v>
      </c>
      <c r="I13" s="87" t="n">
        <v>29397.0</v>
      </c>
      <c r="J13" s="87" t="n">
        <v>6301.0</v>
      </c>
      <c r="K13" s="87" t="n">
        <v>16592.0</v>
      </c>
      <c r="L13" s="87">
        <f>SUM(I13:K13)</f>
        <v>44252</v>
      </c>
      <c r="O13" s="7" t="str">
        <f>$A$13</f>
        <v>Rest</v>
      </c>
      <c r="P13" s="21">
        <f t="shared" si="1"/>
        <v>26349.556100000002</v>
      </c>
      <c r="Q13" s="21">
        <f t="shared" si="0"/>
        <v>6143</v>
      </c>
      <c r="R13" s="21">
        <f t="shared" si="0"/>
        <v>9316</v>
      </c>
      <c r="S13" s="21">
        <f t="shared" si="0"/>
        <v>41808.556100000002</v>
      </c>
    </row>
    <row r="14" spans="1:19" ht="15.75" thickBot="1" x14ac:dyDescent="0.3">
      <c r="A14" s="12" t="s">
        <v>3</v>
      </c>
      <c r="B14" s="84">
        <f>SUM(B7:B13)</f>
        <v>2443.4439000000002</v>
      </c>
      <c r="C14" s="84">
        <f t="shared" ref="C14" si="8">SUM(C7:C13)</f>
        <v>0</v>
      </c>
      <c r="D14" s="84">
        <f t="shared" ref="D14" si="9">SUM(D7:D13)</f>
        <v>1011.372</v>
      </c>
      <c r="E14" s="82">
        <f t="shared" ref="E14" si="10">SUM(E7:E13)</f>
        <v>3454.8159000000001</v>
      </c>
      <c r="H14" s="12" t="s">
        <v>3</v>
      </c>
      <c r="I14" s="82">
        <f>SUM(I7:I13)</f>
        <v>29509</v>
      </c>
      <c r="J14" s="82">
        <f t="shared" ref="J14:L14" si="11">SUM(J7:J13)</f>
        <v>6239</v>
      </c>
      <c r="K14" s="82">
        <f t="shared" si="11"/>
        <v>9497</v>
      </c>
      <c r="L14" s="82">
        <f t="shared" si="11"/>
        <v>45245</v>
      </c>
      <c r="O14" s="12" t="s">
        <v>3</v>
      </c>
      <c r="P14" s="12">
        <f t="shared" si="1"/>
        <v>27065.556100000002</v>
      </c>
      <c r="Q14" s="12">
        <f t="shared" si="0"/>
        <v>6239</v>
      </c>
      <c r="R14" s="12">
        <f t="shared" si="0"/>
        <v>8485.6280000000006</v>
      </c>
      <c r="S14" s="12">
        <f t="shared" si="0"/>
        <v>41790.184099999999</v>
      </c>
    </row>
    <row r="15" spans="1:19" x14ac:dyDescent="0.25">
      <c r="O15" s="20"/>
      <c r="P15" s="20"/>
      <c r="Q15" s="20"/>
      <c r="R15" s="20"/>
      <c r="S15" s="20"/>
    </row>
    <row r="16" spans="1:19" ht="15.75" thickBot="1" x14ac:dyDescent="0.3">
      <c r="A16" s="4" t="s">
        <v>197</v>
      </c>
      <c r="B16" s="1"/>
      <c r="C16" s="1"/>
      <c r="D16" s="1"/>
      <c r="H16" s="4" t="s">
        <v>31</v>
      </c>
      <c r="I16" s="1"/>
      <c r="J16" s="1"/>
      <c r="K16" s="1"/>
      <c r="O16" s="42" t="s">
        <v>69</v>
      </c>
      <c r="P16" s="24"/>
      <c r="Q16" s="24"/>
      <c r="R16" s="24"/>
      <c r="S16" s="24"/>
    </row>
    <row r="17" spans="1:20" x14ac:dyDescent="0.25">
      <c r="A17" s="2"/>
      <c r="B17" s="5" t="s">
        <v>41</v>
      </c>
      <c r="C17" s="5" t="s">
        <v>42</v>
      </c>
      <c r="D17" s="5" t="s">
        <v>43</v>
      </c>
      <c r="E17" s="3" t="s">
        <v>3</v>
      </c>
      <c r="H17" s="2"/>
      <c r="I17" s="5" t="s">
        <v>41</v>
      </c>
      <c r="J17" s="5" t="s">
        <v>42</v>
      </c>
      <c r="K17" s="5" t="s">
        <v>43</v>
      </c>
      <c r="L17" s="3" t="s">
        <v>3</v>
      </c>
      <c r="O17" s="43"/>
      <c r="P17" s="5" t="s">
        <v>41</v>
      </c>
      <c r="Q17" s="5" t="s">
        <v>42</v>
      </c>
      <c r="R17" s="5" t="s">
        <v>43</v>
      </c>
      <c r="S17" s="44" t="s">
        <v>3</v>
      </c>
    </row>
    <row r="18" spans="1:20" x14ac:dyDescent="0.25">
      <c r="A18" s="15" t="str">
        <f>$A$7</f>
        <v>Bellevue</v>
      </c>
      <c r="B18" s="83" t="n">
        <v>21927.494</v>
      </c>
      <c r="C18" s="83" t="n">
        <v>1905.2952</v>
      </c>
      <c r="D18" s="83" t="n">
        <v>2247.1352</v>
      </c>
      <c r="E18" s="83">
        <f>SUM(B18:D18)</f>
        <v>26079.9244</v>
      </c>
      <c r="H18" s="15" t="str">
        <f>$A$7</f>
        <v>Bellevue</v>
      </c>
      <c r="I18" s="83" t="n">
        <v>24706.0</v>
      </c>
      <c r="J18" s="83" t="n">
        <v>4147.0</v>
      </c>
      <c r="K18" s="83" t="n">
        <v>8748.0</v>
      </c>
      <c r="L18" s="83">
        <f>SUM(I18:K18)</f>
        <v>37639</v>
      </c>
      <c r="O18" s="15" t="str">
        <f>$A$7</f>
        <v>Bellevue</v>
      </c>
      <c r="P18" s="20">
        <f>I18-B18</f>
        <v>2786.5060000000012</v>
      </c>
      <c r="Q18" s="20">
        <f t="shared" ref="Q18:Q25" si="12">J18-C18</f>
        <v>2244.7048</v>
      </c>
      <c r="R18" s="20">
        <f t="shared" ref="R18:R25" si="13">K18-D18</f>
        <v>6527.8647999999994</v>
      </c>
      <c r="S18" s="20">
        <f t="shared" ref="S18:S25" si="14">L18-E18</f>
        <v>11559.0756</v>
      </c>
    </row>
    <row r="19" spans="1:20" x14ac:dyDescent="0.25">
      <c r="A19" t="str">
        <f>$A$8</f>
        <v>Bellevue Downtown</v>
      </c>
      <c r="B19" s="83" t="n">
        <v>164.3246</v>
      </c>
      <c r="C19" s="83" t="n">
        <v>0.0</v>
      </c>
      <c r="D19" s="83" t="n">
        <v>128.3902</v>
      </c>
      <c r="E19" s="83">
        <f>SUM(B19:D19)</f>
        <v>292.71479999999997</v>
      </c>
      <c r="H19" t="str">
        <f>$A$8</f>
        <v>Bellevue Downtown</v>
      </c>
      <c r="I19" s="83" t="n">
        <v>725.0</v>
      </c>
      <c r="J19" s="83" t="n">
        <v>136.0</v>
      </c>
      <c r="K19" s="83" t="n">
        <v>862.0</v>
      </c>
      <c r="L19" s="83">
        <f>SUM(I19:K19)</f>
        <v>1671</v>
      </c>
      <c r="O19" t="str">
        <f>$A$8</f>
        <v>Bellevue Downtown</v>
      </c>
      <c r="P19" s="20">
        <f t="shared" ref="P19:P25" si="15">I19-B19</f>
        <v>542.67539999999997</v>
      </c>
      <c r="Q19" s="20">
        <f t="shared" si="12"/>
        <v>134</v>
      </c>
      <c r="R19" s="20">
        <f t="shared" si="13"/>
        <v>701.60979999999995</v>
      </c>
      <c r="S19" s="20">
        <f t="shared" si="14"/>
        <v>1378.2852</v>
      </c>
    </row>
    <row r="20" spans="1:20" x14ac:dyDescent="0.25">
      <c r="A20" t="str">
        <f>$A$9</f>
        <v>Kirkland</v>
      </c>
      <c r="B20" s="83" t="n">
        <v>15498.8351</v>
      </c>
      <c r="C20" s="83" t="n">
        <v>2170.0193</v>
      </c>
      <c r="D20" s="83" t="n">
        <v>1471.8118</v>
      </c>
      <c r="E20" s="83">
        <f t="shared" ref="E20:E22" si="16">SUM(B20:D20)</f>
        <v>19140.6662</v>
      </c>
      <c r="H20" t="str">
        <f>$A$9</f>
        <v>Kirkland</v>
      </c>
      <c r="I20" s="83" t="n">
        <v>19261.0</v>
      </c>
      <c r="J20" s="83" t="n">
        <v>2865.0</v>
      </c>
      <c r="K20" s="83" t="n">
        <v>8099.0</v>
      </c>
      <c r="L20" s="83">
        <f t="shared" ref="L20:L22" si="17">SUM(I20:K20)</f>
        <v>30181</v>
      </c>
      <c r="O20" t="str">
        <f>$A$9</f>
        <v>Kirkland</v>
      </c>
      <c r="P20" s="20">
        <f t="shared" ref="P20:P22" si="18">I20-B20</f>
        <v>3752.1648999999998</v>
      </c>
      <c r="Q20" s="20">
        <f t="shared" ref="Q20:Q22" si="19">J20-C20</f>
        <v>685.98070000000007</v>
      </c>
      <c r="R20" s="20">
        <f t="shared" ref="R20:R22" si="20">K20-D20</f>
        <v>6602.1882000000005</v>
      </c>
      <c r="S20" s="20">
        <f t="shared" ref="S20:S22" si="21">L20-E20</f>
        <v>11040.3338</v>
      </c>
    </row>
    <row r="21" spans="1:20" x14ac:dyDescent="0.25">
      <c r="A21" t="str">
        <f>$A$10</f>
        <v>Redmond</v>
      </c>
      <c r="B21" s="83" t="n">
        <v>22665.7465</v>
      </c>
      <c r="C21" s="83" t="n">
        <v>3936.452</v>
      </c>
      <c r="D21" s="83" t="n">
        <v>3498.526</v>
      </c>
      <c r="E21" s="83">
        <f t="shared" si="16"/>
        <v>30100.724500000004</v>
      </c>
      <c r="H21" t="str">
        <f>$A$10</f>
        <v>Redmond</v>
      </c>
      <c r="I21" s="83" t="n">
        <v>17520.0</v>
      </c>
      <c r="J21" s="83" t="n">
        <v>2954.0</v>
      </c>
      <c r="K21" s="83" t="n">
        <v>5482.0</v>
      </c>
      <c r="L21" s="83">
        <f t="shared" si="17"/>
        <v>26002</v>
      </c>
      <c r="O21" s="7" t="str">
        <f>$A$10</f>
        <v>Redmond</v>
      </c>
      <c r="P21" s="21">
        <f t="shared" si="18"/>
        <v>-5132.7465000000011</v>
      </c>
      <c r="Q21" s="21">
        <f t="shared" si="19"/>
        <v>-971.45200000000023</v>
      </c>
      <c r="R21" s="21">
        <f t="shared" si="20"/>
        <v>2005.4740000000002</v>
      </c>
      <c r="S21" s="21">
        <f t="shared" si="21"/>
        <v>-4098.7245000000039</v>
      </c>
      <c r="T21" s="7"/>
    </row>
    <row r="22" spans="1:20" x14ac:dyDescent="0.25">
      <c r="A22" t="str">
        <f>$A$11</f>
        <v>Seattle</v>
      </c>
      <c r="B22" s="83" t="n">
        <v>73648.719</v>
      </c>
      <c r="C22" s="83" t="n">
        <v>4756.9449</v>
      </c>
      <c r="D22" s="83" t="n">
        <v>33744.542199999996</v>
      </c>
      <c r="E22" s="83">
        <f t="shared" si="16"/>
        <v>112150.2061</v>
      </c>
      <c r="H22" t="str">
        <f>$A$11</f>
        <v>Seattle</v>
      </c>
      <c r="I22" s="83" t="n">
        <v>72617.0</v>
      </c>
      <c r="J22" s="83" t="n">
        <v>10164.0</v>
      </c>
      <c r="K22" s="83" t="n">
        <v>51036.0</v>
      </c>
      <c r="L22" s="83">
        <f t="shared" si="17"/>
        <v>133808</v>
      </c>
      <c r="O22" s="7" t="str">
        <f>$A$11</f>
        <v>Seattle</v>
      </c>
      <c r="P22" s="21">
        <f t="shared" si="18"/>
        <v>-1025.7189999999973</v>
      </c>
      <c r="Q22" s="21">
        <f t="shared" si="19"/>
        <v>5405.0550999999996</v>
      </c>
      <c r="R22" s="21">
        <f t="shared" si="20"/>
        <v>17278.457800000004</v>
      </c>
      <c r="S22" s="21">
        <f t="shared" si="21"/>
        <v>21657.793900000004</v>
      </c>
      <c r="T22" s="7"/>
    </row>
    <row r="23" spans="1:20" x14ac:dyDescent="0.25">
      <c r="A23" s="7" t="str">
        <f>$A$12</f>
        <v>Seattle Downtown</v>
      </c>
      <c r="B23" s="87" t="n">
        <v>686.4745</v>
      </c>
      <c r="C23" s="87" t="n">
        <v>178.05780000000001</v>
      </c>
      <c r="D23" s="87" t="n">
        <v>2427.9771</v>
      </c>
      <c r="E23" s="87">
        <f>SUM(B23:D23)</f>
        <v>3292.5093999999999</v>
      </c>
      <c r="H23" s="7" t="str">
        <f>$A$12</f>
        <v>Seattle Downtown</v>
      </c>
      <c r="I23" s="87" t="n">
        <v>1438.0</v>
      </c>
      <c r="J23" s="87" t="n">
        <v>150.0</v>
      </c>
      <c r="K23" s="87" t="n">
        <v>5137.0</v>
      </c>
      <c r="L23" s="87">
        <f>SUM(I23:K23)</f>
        <v>6735</v>
      </c>
      <c r="O23" s="7" t="str">
        <f>$A$12</f>
        <v>Seattle Downtown</v>
      </c>
      <c r="P23" s="21">
        <f t="shared" si="15"/>
        <v>749.52549999999997</v>
      </c>
      <c r="Q23" s="21">
        <f t="shared" si="12"/>
        <v>-28.057800000000015</v>
      </c>
      <c r="R23" s="21">
        <f t="shared" si="13"/>
        <v>2721.0228999999999</v>
      </c>
      <c r="S23" s="21">
        <f t="shared" si="14"/>
        <v>3442.4906000000001</v>
      </c>
      <c r="T23" s="7"/>
    </row>
    <row r="24" spans="1:20" x14ac:dyDescent="0.25">
      <c r="A24" s="7" t="str">
        <f>$A$13</f>
        <v>Rest</v>
      </c>
      <c r="B24" s="86" t="n">
        <v>381324.3322</v>
      </c>
      <c r="C24" s="86" t="n">
        <v>65552.775</v>
      </c>
      <c r="D24" s="86" t="n">
        <v>67960.5531</v>
      </c>
      <c r="E24" s="86">
        <f>SUM(B24:D24)</f>
        <v>514837.66029999999</v>
      </c>
      <c r="H24" s="7" t="str">
        <f>$A$13</f>
        <v>Rest</v>
      </c>
      <c r="I24" s="87" t="n">
        <v>419604.0</v>
      </c>
      <c r="J24" s="87" t="n">
        <v>73391.0</v>
      </c>
      <c r="K24" s="87" t="n">
        <v>143860.0</v>
      </c>
      <c r="L24" s="87">
        <f>SUM(I24:K24)</f>
        <v>636866</v>
      </c>
      <c r="O24" s="7" t="str">
        <f>$A$13</f>
        <v>Rest</v>
      </c>
      <c r="P24" s="21">
        <f t="shared" si="15"/>
        <v>38282.667799999996</v>
      </c>
      <c r="Q24" s="21">
        <f t="shared" si="12"/>
        <v>7837.2250000000058</v>
      </c>
      <c r="R24" s="21">
        <f t="shared" si="13"/>
        <v>75908.446899999995</v>
      </c>
      <c r="S24" s="21">
        <f t="shared" si="14"/>
        <v>122028.33970000001</v>
      </c>
      <c r="T24" s="7"/>
    </row>
    <row r="25" spans="1:20" ht="15.75" thickBot="1" x14ac:dyDescent="0.3">
      <c r="A25" s="12" t="s">
        <v>3</v>
      </c>
      <c r="B25" s="84">
        <f>SUM(B18:B24)</f>
        <v>515915.92590000003</v>
      </c>
      <c r="C25" s="84">
        <f t="shared" ref="C25" si="22">SUM(C18:C24)</f>
        <v>78499.544199999989</v>
      </c>
      <c r="D25" s="84">
        <f t="shared" ref="D25" si="23">SUM(D18:D24)</f>
        <v>111478.9356</v>
      </c>
      <c r="E25" s="84">
        <f t="shared" ref="E25" si="24">SUM(E18:E24)</f>
        <v>705894.4057</v>
      </c>
      <c r="H25" s="12" t="s">
        <v>3</v>
      </c>
      <c r="I25" s="82">
        <f>SUM(I18:I24)</f>
        <v>555871</v>
      </c>
      <c r="J25" s="82">
        <f t="shared" ref="J25" si="25">SUM(J18:J24)</f>
        <v>93807</v>
      </c>
      <c r="K25" s="82">
        <f t="shared" ref="K25" si="26">SUM(K18:K24)</f>
        <v>223224</v>
      </c>
      <c r="L25" s="82">
        <f t="shared" ref="L25" si="27">SUM(L18:L24)</f>
        <v>872902</v>
      </c>
      <c r="O25" s="12" t="s">
        <v>3</v>
      </c>
      <c r="P25" s="12">
        <f t="shared" si="15"/>
        <v>39955.074099999969</v>
      </c>
      <c r="Q25" s="12">
        <f t="shared" si="12"/>
        <v>15307.455800000011</v>
      </c>
      <c r="R25" s="12">
        <f t="shared" si="13"/>
        <v>111745.0644</v>
      </c>
      <c r="S25" s="12">
        <f t="shared" si="14"/>
        <v>167007.5943</v>
      </c>
      <c r="T25" s="7"/>
    </row>
    <row r="27" spans="1:20" ht="15.75" thickBot="1" x14ac:dyDescent="0.3">
      <c r="A27" s="4" t="s">
        <v>198</v>
      </c>
      <c r="B27" s="1"/>
      <c r="C27" s="1"/>
      <c r="D27" s="1"/>
      <c r="H27" s="4" t="s">
        <v>33</v>
      </c>
      <c r="I27" s="1"/>
      <c r="J27" s="1"/>
      <c r="K27" s="1"/>
      <c r="O27" s="4" t="s">
        <v>70</v>
      </c>
      <c r="P27" s="1"/>
      <c r="Q27" s="1"/>
      <c r="R27" s="1"/>
      <c r="S27" s="1"/>
    </row>
    <row r="28" spans="1:20" x14ac:dyDescent="0.25">
      <c r="A28" s="2"/>
      <c r="B28" s="5" t="s">
        <v>41</v>
      </c>
      <c r="C28" s="5" t="s">
        <v>42</v>
      </c>
      <c r="D28" s="5" t="s">
        <v>43</v>
      </c>
      <c r="E28" s="3" t="s">
        <v>3</v>
      </c>
      <c r="H28" s="2"/>
      <c r="I28" s="5" t="s">
        <v>41</v>
      </c>
      <c r="J28" s="5" t="s">
        <v>42</v>
      </c>
      <c r="K28" s="5" t="s">
        <v>43</v>
      </c>
      <c r="L28" s="3" t="s">
        <v>3</v>
      </c>
      <c r="O28" s="2"/>
      <c r="P28" s="5" t="s">
        <v>41</v>
      </c>
      <c r="Q28" s="5" t="s">
        <v>42</v>
      </c>
      <c r="R28" s="5" t="s">
        <v>43</v>
      </c>
      <c r="S28" s="3" t="s">
        <v>3</v>
      </c>
    </row>
    <row r="29" spans="1:20" x14ac:dyDescent="0.25">
      <c r="A29" s="15" t="str">
        <f>$A$7</f>
        <v>Bellevue</v>
      </c>
      <c r="B29" s="16">
        <f t="shared" ref="B29:E29" si="28">IF(B18&lt;&gt;0,B7/B18,0)</f>
        <v>0</v>
      </c>
      <c r="C29" s="16">
        <f t="shared" si="28"/>
        <v>0</v>
      </c>
      <c r="D29" s="16">
        <f t="shared" si="28"/>
        <v>0</v>
      </c>
      <c r="E29" s="16">
        <f t="shared" si="28"/>
        <v>0</v>
      </c>
      <c r="H29" s="15" t="str">
        <f>$A$7</f>
        <v>Bellevue</v>
      </c>
      <c r="I29" s="16">
        <f t="shared" ref="I29:L30" si="29">IF(I18&lt;&gt;0,I7/I18,0)</f>
        <v>2.3063850449138142E-3</v>
      </c>
      <c r="J29" s="16">
        <f t="shared" si="29"/>
        <v>2.1686746987951808E-3</v>
      </c>
      <c r="K29" s="16">
        <f t="shared" si="29"/>
        <v>2.9629629629629628E-3</v>
      </c>
      <c r="L29" s="16">
        <f t="shared" si="29"/>
        <v>2.4442732272377055E-3</v>
      </c>
      <c r="O29" s="15" t="str">
        <f>$A$7</f>
        <v>Bellevue</v>
      </c>
      <c r="P29" s="26">
        <f t="shared" ref="P29:S36" si="30">I29-B29</f>
        <v>2.3063850449138142E-3</v>
      </c>
      <c r="Q29" s="26">
        <f t="shared" si="30"/>
        <v>2.1686746987951808E-3</v>
      </c>
      <c r="R29" s="26">
        <f t="shared" si="30"/>
        <v>2.9629629629629628E-3</v>
      </c>
      <c r="S29" s="26">
        <f t="shared" si="30"/>
        <v>2.4442732272377055E-3</v>
      </c>
    </row>
    <row r="30" spans="1:20" x14ac:dyDescent="0.25">
      <c r="A30" t="str">
        <f>$A$8</f>
        <v>Bellevue Downtown</v>
      </c>
      <c r="B30" s="16">
        <f t="shared" ref="B30:E30" si="31">IF(B19&lt;&gt;0,B8/B19,0)</f>
        <v>0</v>
      </c>
      <c r="C30" s="16">
        <f t="shared" si="31"/>
        <v>0</v>
      </c>
      <c r="D30" s="16">
        <f t="shared" si="31"/>
        <v>0</v>
      </c>
      <c r="E30" s="16">
        <f t="shared" si="31"/>
        <v>0</v>
      </c>
      <c r="H30" t="str">
        <f>$A$8</f>
        <v>Bellevue Downtown</v>
      </c>
      <c r="I30" s="16">
        <f t="shared" si="29"/>
        <v>0</v>
      </c>
      <c r="J30" s="16">
        <f t="shared" si="29"/>
        <v>0</v>
      </c>
      <c r="K30" s="16">
        <f t="shared" si="29"/>
        <v>3.6144578313253013E-3</v>
      </c>
      <c r="L30" s="16">
        <f t="shared" si="29"/>
        <v>1.7953321364452424E-3</v>
      </c>
      <c r="O30" t="str">
        <f>$A$8</f>
        <v>Bellevue Downtown</v>
      </c>
      <c r="P30" s="26">
        <f t="shared" si="30"/>
        <v>0</v>
      </c>
      <c r="Q30" s="26">
        <f t="shared" si="30"/>
        <v>0</v>
      </c>
      <c r="R30" s="26">
        <f t="shared" si="30"/>
        <v>3.6144578313253013E-3</v>
      </c>
      <c r="S30" s="26">
        <f t="shared" si="30"/>
        <v>1.7953321364452424E-3</v>
      </c>
    </row>
    <row r="31" spans="1:20" x14ac:dyDescent="0.25">
      <c r="A31" t="str">
        <f>$A$9</f>
        <v>Kirkland</v>
      </c>
      <c r="B31" s="16">
        <f t="shared" ref="B31:E31" si="32">IF(B20&lt;&gt;0,B9/B20,0)</f>
        <v>0</v>
      </c>
      <c r="C31" s="16">
        <f t="shared" si="32"/>
        <v>0</v>
      </c>
      <c r="D31" s="16">
        <f t="shared" si="32"/>
        <v>0</v>
      </c>
      <c r="E31" s="16">
        <f t="shared" si="32"/>
        <v>0</v>
      </c>
      <c r="H31" t="str">
        <f>$A$9</f>
        <v>Kirkland</v>
      </c>
      <c r="I31" s="16">
        <f t="shared" ref="I31:L31" si="33">IF(I20&lt;&gt;0,I9/I20,0)</f>
        <v>2.1297594930133499E-3</v>
      </c>
      <c r="J31" s="16">
        <f t="shared" si="33"/>
        <v>1.7507002801120449E-3</v>
      </c>
      <c r="K31" s="16">
        <f t="shared" si="33"/>
        <v>3.4679217240525142E-3</v>
      </c>
      <c r="L31" s="16">
        <f t="shared" si="33"/>
        <v>2.45187369537126E-3</v>
      </c>
      <c r="O31" t="str">
        <f>$A$9</f>
        <v>Kirkland</v>
      </c>
      <c r="P31" s="26">
        <f t="shared" ref="P31:P33" si="34">I31-B31</f>
        <v>2.1297594930133499E-3</v>
      </c>
      <c r="Q31" s="26">
        <f t="shared" ref="Q31:Q33" si="35">J31-C31</f>
        <v>1.7507002801120449E-3</v>
      </c>
      <c r="R31" s="26">
        <f t="shared" ref="R31:R33" si="36">K31-D31</f>
        <v>3.4679217240525142E-3</v>
      </c>
      <c r="S31" s="26">
        <f t="shared" ref="S31:S33" si="37">L31-E31</f>
        <v>2.45187369537126E-3</v>
      </c>
    </row>
    <row r="32" spans="1:20" x14ac:dyDescent="0.25">
      <c r="A32" t="str">
        <f>$A$10</f>
        <v>Redmond</v>
      </c>
      <c r="B32" s="16">
        <f t="shared" ref="B32:E32" si="38">IF(B21&lt;&gt;0,B10/B21,0)</f>
        <v>0</v>
      </c>
      <c r="C32" s="16">
        <f t="shared" si="38"/>
        <v>0</v>
      </c>
      <c r="D32" s="16">
        <f t="shared" si="38"/>
        <v>0</v>
      </c>
      <c r="E32" s="16">
        <f t="shared" si="38"/>
        <v>0</v>
      </c>
      <c r="H32" t="str">
        <f>$A$10</f>
        <v>Redmond</v>
      </c>
      <c r="I32" s="16">
        <f t="shared" ref="I32:L32" si="39">IF(I21&lt;&gt;0,I10/I21,0)</f>
        <v>4.6198596931500595E-3</v>
      </c>
      <c r="J32" s="16">
        <f t="shared" si="39"/>
        <v>7.4198988195615517E-3</v>
      </c>
      <c r="K32" s="16">
        <f t="shared" si="39"/>
        <v>8.7209302325581394E-3</v>
      </c>
      <c r="L32" s="16">
        <f t="shared" si="39"/>
        <v>5.8072455964925775E-3</v>
      </c>
      <c r="O32" t="str">
        <f>$A$10</f>
        <v>Redmond</v>
      </c>
      <c r="P32" s="26">
        <f t="shared" si="34"/>
        <v>4.6198596931500595E-3</v>
      </c>
      <c r="Q32" s="26">
        <f t="shared" si="35"/>
        <v>7.4198988195615517E-3</v>
      </c>
      <c r="R32" s="26">
        <f t="shared" si="36"/>
        <v>8.7209302325581394E-3</v>
      </c>
      <c r="S32" s="26">
        <f t="shared" si="37"/>
        <v>5.8072455964925775E-3</v>
      </c>
    </row>
    <row r="33" spans="1:19" x14ac:dyDescent="0.25">
      <c r="A33" s="7" t="str">
        <f>$A$11</f>
        <v>Seattle</v>
      </c>
      <c r="B33" s="50">
        <f t="shared" ref="B33:E33" si="40">IF(B22&lt;&gt;0,B11/B22,0)</f>
        <v>0</v>
      </c>
      <c r="C33" s="50">
        <f t="shared" si="40"/>
        <v>0</v>
      </c>
      <c r="D33" s="50">
        <f t="shared" si="40"/>
        <v>2.9541843954842571E-2</v>
      </c>
      <c r="E33" s="50">
        <f t="shared" si="40"/>
        <v>8.8887576284177698E-3</v>
      </c>
      <c r="H33" s="7" t="str">
        <f>$A$11</f>
        <v>Seattle</v>
      </c>
      <c r="I33" s="50">
        <f t="shared" ref="I33:L33" si="41">IF(I22&lt;&gt;0,I11/I22,0)</f>
        <v>7.0914173195819503E-3</v>
      </c>
      <c r="J33" s="50">
        <f t="shared" si="41"/>
        <v>5.7075378862428659E-3</v>
      </c>
      <c r="K33" s="50">
        <f t="shared" si="41"/>
        <v>1.3719303059404582E-3</v>
      </c>
      <c r="L33" s="50">
        <f t="shared" si="41"/>
        <v>4.8053928016262111E-3</v>
      </c>
      <c r="O33" s="7" t="str">
        <f>$A$11</f>
        <v>Seattle</v>
      </c>
      <c r="P33" s="51">
        <f t="shared" si="34"/>
        <v>7.0914173195819503E-3</v>
      </c>
      <c r="Q33" s="51">
        <f t="shared" si="35"/>
        <v>5.7075378862428659E-3</v>
      </c>
      <c r="R33" s="51">
        <f t="shared" si="36"/>
        <v>-2.8169913648902114E-2</v>
      </c>
      <c r="S33" s="51">
        <f t="shared" si="37"/>
        <v>-4.0833648267915587E-3</v>
      </c>
    </row>
    <row r="34" spans="1:19" x14ac:dyDescent="0.25">
      <c r="A34" s="7" t="str">
        <f>$A$12</f>
        <v>Seattle Downtown</v>
      </c>
      <c r="B34" s="50">
        <f t="shared" ref="B34:E35" si="42">IF(B23&lt;&gt;0,B12/B23,0)</f>
        <v>0</v>
      </c>
      <c r="C34" s="50">
        <f t="shared" si="42"/>
        <v>0</v>
      </c>
      <c r="D34" s="50">
        <f t="shared" si="42"/>
        <v>5.9704022743871845E-3</v>
      </c>
      <c r="E34" s="50">
        <f t="shared" si="42"/>
        <v>4.4027209155424133E-3</v>
      </c>
      <c r="H34" s="7" t="str">
        <f>$A$12</f>
        <v>Seattle Downtown</v>
      </c>
      <c r="I34" s="50">
        <f t="shared" ref="I34:L35" si="43">IF(I23&lt;&gt;0,I12/I23,0)</f>
        <v>1.532033426183844E-2</v>
      </c>
      <c r="J34" s="50">
        <f t="shared" si="43"/>
        <v>1.3333333333333334E-2</v>
      </c>
      <c r="K34" s="50">
        <f t="shared" si="43"/>
        <v>1.1652748106428432E-3</v>
      </c>
      <c r="L34" s="50">
        <f t="shared" si="43"/>
        <v>4.4543429844097994E-3</v>
      </c>
      <c r="O34" s="7" t="str">
        <f>$A$12</f>
        <v>Seattle Downtown</v>
      </c>
      <c r="P34" s="51">
        <f t="shared" si="30"/>
        <v>1.532033426183844E-2</v>
      </c>
      <c r="Q34" s="51">
        <f t="shared" si="30"/>
        <v>1.3333333333333334E-2</v>
      </c>
      <c r="R34" s="51">
        <f t="shared" si="30"/>
        <v>-4.8051274637443409E-3</v>
      </c>
      <c r="S34" s="51">
        <f t="shared" si="30"/>
        <v>5.1622068867386052E-5</v>
      </c>
    </row>
    <row r="35" spans="1:19" x14ac:dyDescent="0.25">
      <c r="A35" s="7" t="str">
        <f>$A$13</f>
        <v>Rest</v>
      </c>
      <c r="B35" s="50">
        <f t="shared" si="42"/>
        <v>6.4077838566001695E-3</v>
      </c>
      <c r="C35" s="50">
        <f t="shared" si="42"/>
        <v>0</v>
      </c>
      <c r="D35" s="50">
        <f t="shared" si="42"/>
        <v>0</v>
      </c>
      <c r="E35" s="50">
        <f t="shared" si="42"/>
        <v>4.7460473240752941E-3</v>
      </c>
      <c r="H35" s="7" t="str">
        <f>$A$13</f>
        <v>Rest</v>
      </c>
      <c r="I35" s="50">
        <f t="shared" si="43"/>
        <v>6.8618969654939022E-2</v>
      </c>
      <c r="J35" s="50">
        <f t="shared" si="43"/>
        <v>8.3703501839487673E-2</v>
      </c>
      <c r="K35" s="50">
        <f t="shared" si="43"/>
        <v>6.4753352007729248E-2</v>
      </c>
      <c r="L35" s="50">
        <f t="shared" si="43"/>
        <v>6.9484004484459835E-2</v>
      </c>
      <c r="O35" s="7" t="str">
        <f>$A$13</f>
        <v>Rest</v>
      </c>
      <c r="P35" s="51">
        <f t="shared" si="30"/>
        <v>6.2211185798338856E-2</v>
      </c>
      <c r="Q35" s="51">
        <f t="shared" si="30"/>
        <v>8.3703501839487673E-2</v>
      </c>
      <c r="R35" s="51">
        <f t="shared" si="30"/>
        <v>6.4753352007729248E-2</v>
      </c>
      <c r="S35" s="51">
        <f t="shared" si="30"/>
        <v>6.4737957160384538E-2</v>
      </c>
    </row>
    <row r="36" spans="1:19" ht="15.75" thickBot="1" x14ac:dyDescent="0.3">
      <c r="A36" s="12" t="s">
        <v>3</v>
      </c>
      <c r="B36" s="17">
        <f>IF(B25&lt;&gt;0,B14/B25,0)</f>
        <v>4.7361280730721482E-3</v>
      </c>
      <c r="C36" s="17">
        <f t="shared" ref="C36:E36" si="44">IF(C25&lt;&gt;0,C14/C25,0)</f>
        <v>0</v>
      </c>
      <c r="D36" s="17">
        <f t="shared" si="44"/>
        <v>9.0723148239316345E-3</v>
      </c>
      <c r="E36" s="17">
        <f t="shared" si="44"/>
        <v>4.8942389571341519E-3</v>
      </c>
      <c r="H36" s="12" t="s">
        <v>3</v>
      </c>
      <c r="I36" s="17">
        <f>IF(I25&lt;&gt;0,I14/I25,0)</f>
        <v>5.308605773641726E-2</v>
      </c>
      <c r="J36" s="17">
        <f t="shared" ref="J36:L36" si="45">IF(J25&lt;&gt;0,J14/J25,0)</f>
        <v>6.6508895924611164E-2</v>
      </c>
      <c r="K36" s="17">
        <f t="shared" si="45"/>
        <v>4.2544708454288066E-2</v>
      </c>
      <c r="L36" s="17">
        <f t="shared" si="45"/>
        <v>5.1832851797796314E-2</v>
      </c>
      <c r="O36" s="12" t="s">
        <v>3</v>
      </c>
      <c r="P36" s="45">
        <f t="shared" si="30"/>
        <v>4.8349929663345115E-2</v>
      </c>
      <c r="Q36" s="45">
        <f t="shared" ref="Q36" si="46">J36-C36</f>
        <v>6.6508895924611164E-2</v>
      </c>
      <c r="R36" s="45">
        <f t="shared" ref="R36" si="47">K36-D36</f>
        <v>3.347239363035643E-2</v>
      </c>
      <c r="S36" s="45">
        <f t="shared" ref="S36" si="48">L36-E36</f>
        <v>4.6938612840662162E-2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D35"/>
  <sheetViews>
    <sheetView workbookViewId="0">
      <selection activeCell="B16" sqref="B16"/>
    </sheetView>
  </sheetViews>
  <sheetFormatPr defaultRowHeight="15" x14ac:dyDescent="0.25"/>
  <cols>
    <col min="3" max="3" bestFit="true" customWidth="true" width="27.42578125" collapsed="true"/>
  </cols>
  <sheetData>
    <row r="1" spans="1:2" x14ac:dyDescent="0.25">
      <c r="A1" s="11" t="s">
        <v>44</v>
      </c>
    </row>
    <row r="2" spans="1:2" x14ac:dyDescent="0.25">
      <c r="A2" s="41"/>
    </row>
    <row r="3" spans="1:2" x14ac:dyDescent="0.25">
      <c r="A3" s="11"/>
    </row>
    <row r="12" spans="1:2" x14ac:dyDescent="0.25">
      <c r="A12" s="11" t="s">
        <v>45</v>
      </c>
    </row>
    <row r="13" spans="1:2" x14ac:dyDescent="0.25">
      <c r="A13">
        <v>1</v>
      </c>
      <c r="B13" t="s">
        <v>46</v>
      </c>
    </row>
    <row r="15" spans="1:2" x14ac:dyDescent="0.25">
      <c r="A15">
        <v>2</v>
      </c>
      <c r="B15" t="s">
        <v>47</v>
      </c>
    </row>
    <row r="16" spans="1:2" x14ac:dyDescent="0.25">
      <c r="B16" t="s">
        <v>48</v>
      </c>
    </row>
    <row r="18" spans="1:4" x14ac:dyDescent="0.25">
      <c r="A18">
        <v>3</v>
      </c>
      <c r="B18" t="s">
        <v>49</v>
      </c>
    </row>
    <row r="19" spans="1:4" x14ac:dyDescent="0.25">
      <c r="B19" t="s">
        <v>50</v>
      </c>
    </row>
    <row r="20" spans="1:4" x14ac:dyDescent="0.25">
      <c r="B20" t="s">
        <v>51</v>
      </c>
      <c r="C20" t="s">
        <v>54</v>
      </c>
      <c r="D20" t="s">
        <v>57</v>
      </c>
    </row>
    <row r="21" spans="1:4" x14ac:dyDescent="0.25">
      <c r="B21" t="s">
        <v>41</v>
      </c>
      <c r="C21" t="s">
        <v>53</v>
      </c>
      <c r="D21" t="s">
        <v>58</v>
      </c>
    </row>
    <row r="22" spans="1:4" x14ac:dyDescent="0.25">
      <c r="B22" t="s">
        <v>42</v>
      </c>
      <c r="C22" t="s">
        <v>55</v>
      </c>
      <c r="D22" t="s">
        <v>59</v>
      </c>
    </row>
    <row r="23" spans="1:4" x14ac:dyDescent="0.25">
      <c r="B23" t="s">
        <v>52</v>
      </c>
      <c r="C23" t="s">
        <v>56</v>
      </c>
      <c r="D23" t="s">
        <v>60</v>
      </c>
    </row>
    <row r="25" spans="1:4" x14ac:dyDescent="0.25">
      <c r="A25" s="11" t="s">
        <v>61</v>
      </c>
    </row>
    <row r="26" spans="1:4" x14ac:dyDescent="0.25">
      <c r="A26">
        <v>1</v>
      </c>
      <c r="B26" t="s">
        <v>62</v>
      </c>
    </row>
    <row r="28" spans="1:4" x14ac:dyDescent="0.25">
      <c r="A28">
        <v>2</v>
      </c>
      <c r="B28" t="s">
        <v>63</v>
      </c>
    </row>
    <row r="30" spans="1:4" x14ac:dyDescent="0.25">
      <c r="A30" s="11" t="s">
        <v>64</v>
      </c>
    </row>
    <row r="31" spans="1:4" x14ac:dyDescent="0.25">
      <c r="A31">
        <v>1</v>
      </c>
      <c r="B31" t="s">
        <v>65</v>
      </c>
    </row>
    <row r="33" spans="1:2" x14ac:dyDescent="0.25">
      <c r="A33" s="11">
        <v>2</v>
      </c>
      <c r="B33" t="s">
        <v>66</v>
      </c>
    </row>
    <row r="35" spans="1:2" x14ac:dyDescent="0.25">
      <c r="A35">
        <v>3</v>
      </c>
      <c r="B35" t="s">
        <v>67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F61"/>
  <sheetViews>
    <sheetView workbookViewId="0">
      <selection activeCell="A32" sqref="A32:E32"/>
    </sheetView>
  </sheetViews>
  <sheetFormatPr defaultRowHeight="15" x14ac:dyDescent="0.25"/>
  <sheetData>
    <row r="1" spans="1:6" x14ac:dyDescent="0.25">
      <c r="A1" t="s">
        <v>133</v>
      </c>
      <c r="B1" t="s">
        <v>135</v>
      </c>
      <c r="F1" t="s">
        <v>134</v>
      </c>
    </row>
    <row r="2" spans="1:6" x14ac:dyDescent="0.25">
      <c r="A2">
        <v>1</v>
      </c>
      <c r="B2" t="s">
        <v>71</v>
      </c>
      <c r="C2" t="s">
        <v>72</v>
      </c>
      <c r="D2">
        <v>1</v>
      </c>
      <c r="E2">
        <v>0</v>
      </c>
      <c r="F2" t="s">
        <v>138</v>
      </c>
    </row>
    <row r="3" spans="1:6" x14ac:dyDescent="0.25">
      <c r="A3">
        <v>2</v>
      </c>
      <c r="B3" t="s">
        <v>73</v>
      </c>
      <c r="C3" t="s">
        <v>72</v>
      </c>
      <c r="D3">
        <v>1</v>
      </c>
      <c r="E3">
        <v>0</v>
      </c>
      <c r="F3" t="s">
        <v>139</v>
      </c>
    </row>
    <row r="4" spans="1:6" x14ac:dyDescent="0.25">
      <c r="A4">
        <v>3</v>
      </c>
      <c r="B4" t="s">
        <v>74</v>
      </c>
      <c r="C4" t="s">
        <v>72</v>
      </c>
      <c r="D4">
        <v>1</v>
      </c>
      <c r="E4">
        <v>0</v>
      </c>
      <c r="F4" t="s">
        <v>140</v>
      </c>
    </row>
    <row r="5" spans="1:6" x14ac:dyDescent="0.25">
      <c r="A5">
        <v>4</v>
      </c>
      <c r="B5" t="s">
        <v>75</v>
      </c>
      <c r="C5" t="s">
        <v>72</v>
      </c>
      <c r="D5">
        <v>0.5</v>
      </c>
      <c r="E5">
        <v>0</v>
      </c>
      <c r="F5" t="s">
        <v>141</v>
      </c>
    </row>
    <row r="6" spans="1:6" x14ac:dyDescent="0.25">
      <c r="A6">
        <v>5</v>
      </c>
      <c r="B6" t="s">
        <v>76</v>
      </c>
      <c r="C6" t="s">
        <v>72</v>
      </c>
      <c r="D6">
        <v>0.1</v>
      </c>
      <c r="E6">
        <v>0</v>
      </c>
      <c r="F6" t="s">
        <v>142</v>
      </c>
    </row>
    <row r="7" spans="1:6" x14ac:dyDescent="0.25">
      <c r="A7">
        <v>6</v>
      </c>
      <c r="B7" t="s">
        <v>77</v>
      </c>
      <c r="C7" t="s">
        <v>72</v>
      </c>
      <c r="D7">
        <v>1</v>
      </c>
      <c r="E7">
        <v>0</v>
      </c>
      <c r="F7" t="s">
        <v>188</v>
      </c>
    </row>
    <row r="8" spans="1:6" x14ac:dyDescent="0.25">
      <c r="A8">
        <v>7</v>
      </c>
      <c r="B8" t="s">
        <v>78</v>
      </c>
      <c r="C8" t="s">
        <v>72</v>
      </c>
      <c r="D8">
        <v>-21.977719252</v>
      </c>
      <c r="E8">
        <v>0</v>
      </c>
      <c r="F8" t="s">
        <v>143</v>
      </c>
    </row>
    <row r="9" spans="1:6" x14ac:dyDescent="0.25">
      <c r="A9">
        <v>8</v>
      </c>
      <c r="B9" t="s">
        <v>79</v>
      </c>
      <c r="C9" t="s">
        <v>72</v>
      </c>
      <c r="D9">
        <v>-1.4857940511400001</v>
      </c>
      <c r="E9">
        <v>0</v>
      </c>
      <c r="F9" t="s">
        <v>144</v>
      </c>
    </row>
    <row r="10" spans="1:6" x14ac:dyDescent="0.25">
      <c r="A10">
        <v>9</v>
      </c>
      <c r="B10" t="s">
        <v>80</v>
      </c>
      <c r="C10" t="s">
        <v>72</v>
      </c>
      <c r="D10">
        <v>-4.85028348146</v>
      </c>
      <c r="E10">
        <v>0</v>
      </c>
      <c r="F10" t="s">
        <v>145</v>
      </c>
    </row>
    <row r="11" spans="1:6" x14ac:dyDescent="0.25">
      <c r="A11">
        <v>10</v>
      </c>
      <c r="B11" t="s">
        <v>81</v>
      </c>
      <c r="C11" t="s">
        <v>72</v>
      </c>
      <c r="D11">
        <v>-15.3921330935</v>
      </c>
      <c r="E11">
        <v>0</v>
      </c>
      <c r="F11" t="s">
        <v>146</v>
      </c>
    </row>
    <row r="12" spans="1:6" x14ac:dyDescent="0.25">
      <c r="A12">
        <v>11</v>
      </c>
      <c r="B12" t="s">
        <v>82</v>
      </c>
      <c r="C12" t="s">
        <v>72</v>
      </c>
      <c r="D12">
        <v>-11.245247773539999</v>
      </c>
      <c r="E12">
        <v>0</v>
      </c>
      <c r="F12" t="s">
        <v>147</v>
      </c>
    </row>
    <row r="13" spans="1:6" x14ac:dyDescent="0.25">
      <c r="A13">
        <v>12</v>
      </c>
      <c r="B13" t="s">
        <v>83</v>
      </c>
      <c r="C13" t="s">
        <v>72</v>
      </c>
      <c r="D13">
        <v>-4.2752113423699996</v>
      </c>
      <c r="E13">
        <v>0</v>
      </c>
      <c r="F13" t="s">
        <v>148</v>
      </c>
    </row>
    <row r="14" spans="1:6" x14ac:dyDescent="0.25">
      <c r="A14">
        <v>13</v>
      </c>
      <c r="B14" t="s">
        <v>84</v>
      </c>
      <c r="C14" t="s">
        <v>72</v>
      </c>
      <c r="D14">
        <v>-6.5192578502799998</v>
      </c>
      <c r="E14">
        <v>0</v>
      </c>
      <c r="F14" t="s">
        <v>149</v>
      </c>
    </row>
    <row r="15" spans="1:6" x14ac:dyDescent="0.25">
      <c r="A15">
        <v>14</v>
      </c>
      <c r="B15" t="s">
        <v>85</v>
      </c>
      <c r="C15" t="s">
        <v>72</v>
      </c>
      <c r="D15">
        <v>-3.04866060786</v>
      </c>
      <c r="E15">
        <v>0</v>
      </c>
      <c r="F15" t="s">
        <v>150</v>
      </c>
    </row>
    <row r="16" spans="1:6" x14ac:dyDescent="0.25">
      <c r="A16">
        <v>15</v>
      </c>
      <c r="B16" t="s">
        <v>86</v>
      </c>
      <c r="C16" t="s">
        <v>72</v>
      </c>
      <c r="D16">
        <v>0</v>
      </c>
      <c r="E16">
        <v>0</v>
      </c>
      <c r="F16" t="s">
        <v>189</v>
      </c>
    </row>
    <row r="17" spans="1:6" x14ac:dyDescent="0.25">
      <c r="A17">
        <v>16</v>
      </c>
      <c r="B17" t="s">
        <v>87</v>
      </c>
      <c r="C17" t="s">
        <v>72</v>
      </c>
      <c r="D17">
        <v>-2.2084934246199999</v>
      </c>
      <c r="E17">
        <v>0</v>
      </c>
      <c r="F17" t="s">
        <v>190</v>
      </c>
    </row>
    <row r="18" spans="1:6" x14ac:dyDescent="0.25">
      <c r="A18">
        <v>17</v>
      </c>
      <c r="B18" t="s">
        <v>88</v>
      </c>
      <c r="C18" t="s">
        <v>72</v>
      </c>
      <c r="D18">
        <v>0</v>
      </c>
      <c r="E18">
        <v>0</v>
      </c>
      <c r="F18" t="s">
        <v>151</v>
      </c>
    </row>
    <row r="19" spans="1:6" x14ac:dyDescent="0.25">
      <c r="A19">
        <v>18</v>
      </c>
      <c r="B19" t="s">
        <v>89</v>
      </c>
      <c r="C19" t="s">
        <v>72</v>
      </c>
      <c r="D19">
        <v>0</v>
      </c>
      <c r="E19">
        <v>0</v>
      </c>
      <c r="F19" t="s">
        <v>152</v>
      </c>
    </row>
    <row r="20" spans="1:6" x14ac:dyDescent="0.25">
      <c r="A20">
        <v>19</v>
      </c>
      <c r="B20" t="s">
        <v>90</v>
      </c>
      <c r="C20" t="s">
        <v>72</v>
      </c>
      <c r="D20">
        <v>0</v>
      </c>
      <c r="E20">
        <v>0</v>
      </c>
      <c r="F20" t="s">
        <v>153</v>
      </c>
    </row>
    <row r="21" spans="1:6" x14ac:dyDescent="0.25">
      <c r="A21">
        <v>20</v>
      </c>
      <c r="B21" t="s">
        <v>91</v>
      </c>
      <c r="C21" t="s">
        <v>72</v>
      </c>
      <c r="D21">
        <v>0</v>
      </c>
      <c r="E21">
        <v>0</v>
      </c>
      <c r="F21" t="s">
        <v>154</v>
      </c>
    </row>
    <row r="22" spans="1:6" x14ac:dyDescent="0.25">
      <c r="A22">
        <v>21</v>
      </c>
      <c r="B22" t="s">
        <v>92</v>
      </c>
      <c r="C22" t="s">
        <v>72</v>
      </c>
      <c r="D22">
        <v>0</v>
      </c>
      <c r="E22">
        <v>0</v>
      </c>
      <c r="F22" t="s">
        <v>191</v>
      </c>
    </row>
    <row r="23" spans="1:6" x14ac:dyDescent="0.25">
      <c r="A23">
        <v>30</v>
      </c>
      <c r="B23" t="s">
        <v>93</v>
      </c>
      <c r="C23" t="s">
        <v>72</v>
      </c>
      <c r="D23">
        <v>0</v>
      </c>
      <c r="E23">
        <v>0</v>
      </c>
      <c r="F23" t="s">
        <v>155</v>
      </c>
    </row>
    <row r="24" spans="1:6" x14ac:dyDescent="0.25">
      <c r="A24">
        <v>31</v>
      </c>
      <c r="B24" t="s">
        <v>94</v>
      </c>
      <c r="C24" t="s">
        <v>72</v>
      </c>
      <c r="D24">
        <v>0</v>
      </c>
      <c r="E24">
        <v>0</v>
      </c>
      <c r="F24" t="s">
        <v>156</v>
      </c>
    </row>
    <row r="25" spans="1:6" x14ac:dyDescent="0.25">
      <c r="A25">
        <v>32</v>
      </c>
      <c r="B25" t="s">
        <v>95</v>
      </c>
      <c r="C25" t="s">
        <v>72</v>
      </c>
      <c r="D25">
        <v>0</v>
      </c>
      <c r="E25">
        <v>0</v>
      </c>
      <c r="F25" t="s">
        <v>157</v>
      </c>
    </row>
    <row r="26" spans="1:6" x14ac:dyDescent="0.25">
      <c r="A26">
        <v>33</v>
      </c>
      <c r="B26" t="s">
        <v>96</v>
      </c>
      <c r="C26" t="s">
        <v>72</v>
      </c>
      <c r="D26">
        <v>0.20475756801299999</v>
      </c>
      <c r="E26">
        <v>0</v>
      </c>
      <c r="F26" t="s">
        <v>158</v>
      </c>
    </row>
    <row r="27" spans="1:6" x14ac:dyDescent="0.25">
      <c r="A27">
        <v>34</v>
      </c>
      <c r="B27" t="s">
        <v>97</v>
      </c>
      <c r="C27" t="s">
        <v>72</v>
      </c>
      <c r="D27">
        <v>0.73914409694299998</v>
      </c>
      <c r="E27">
        <v>0</v>
      </c>
      <c r="F27" t="s">
        <v>159</v>
      </c>
    </row>
    <row r="28" spans="1:6" x14ac:dyDescent="0.25">
      <c r="A28">
        <v>35</v>
      </c>
      <c r="B28" t="s">
        <v>98</v>
      </c>
      <c r="C28" t="s">
        <v>72</v>
      </c>
      <c r="D28">
        <v>0.91950533972299997</v>
      </c>
      <c r="E28">
        <v>0</v>
      </c>
      <c r="F28" t="s">
        <v>160</v>
      </c>
    </row>
    <row r="29" spans="1:6" x14ac:dyDescent="0.25">
      <c r="A29">
        <v>36</v>
      </c>
      <c r="B29" t="s">
        <v>99</v>
      </c>
      <c r="C29" t="s">
        <v>72</v>
      </c>
      <c r="D29">
        <v>0</v>
      </c>
      <c r="E29">
        <v>0</v>
      </c>
      <c r="F29" t="s">
        <v>161</v>
      </c>
    </row>
    <row r="30" spans="1:6" x14ac:dyDescent="0.25">
      <c r="A30">
        <v>37</v>
      </c>
      <c r="B30" t="s">
        <v>100</v>
      </c>
      <c r="C30" t="s">
        <v>72</v>
      </c>
      <c r="D30">
        <v>0.47967991030399998</v>
      </c>
      <c r="E30">
        <v>0</v>
      </c>
      <c r="F30" t="s">
        <v>162</v>
      </c>
    </row>
    <row r="31" spans="1:6" x14ac:dyDescent="0.25">
      <c r="A31">
        <v>38</v>
      </c>
      <c r="B31" t="s">
        <v>101</v>
      </c>
      <c r="C31" t="s">
        <v>72</v>
      </c>
      <c r="D31">
        <v>-0.117361085083</v>
      </c>
      <c r="E31">
        <v>0</v>
      </c>
      <c r="F31" t="s">
        <v>163</v>
      </c>
    </row>
    <row r="32" spans="1:6" x14ac:dyDescent="0.25">
      <c r="A32">
        <v>50</v>
      </c>
      <c r="B32" t="s">
        <v>102</v>
      </c>
      <c r="C32" t="s">
        <v>103</v>
      </c>
      <c r="D32">
        <v>-49.658779198200001</v>
      </c>
      <c r="E32">
        <v>33.148214292299997</v>
      </c>
      <c r="F32">
        <v>1</v>
      </c>
    </row>
    <row r="33" spans="1:6" x14ac:dyDescent="0.25">
      <c r="A33">
        <v>51</v>
      </c>
      <c r="B33" t="s">
        <v>104</v>
      </c>
      <c r="C33" t="s">
        <v>103</v>
      </c>
      <c r="D33">
        <v>17.602734273900001</v>
      </c>
      <c r="E33">
        <v>9.4985609110600002</v>
      </c>
      <c r="F33" t="s">
        <v>136</v>
      </c>
    </row>
    <row r="34" spans="1:6" x14ac:dyDescent="0.25">
      <c r="A34">
        <v>52</v>
      </c>
      <c r="B34" t="s">
        <v>105</v>
      </c>
      <c r="C34" t="s">
        <v>103</v>
      </c>
      <c r="D34">
        <v>4.20952630757</v>
      </c>
      <c r="E34">
        <v>2.7008716882299999</v>
      </c>
      <c r="F34" t="s">
        <v>137</v>
      </c>
    </row>
    <row r="35" spans="1:6" x14ac:dyDescent="0.25">
      <c r="A35">
        <v>60</v>
      </c>
      <c r="B35" t="s">
        <v>106</v>
      </c>
      <c r="C35" t="s">
        <v>72</v>
      </c>
      <c r="D35">
        <v>0.20359321296800001</v>
      </c>
      <c r="E35">
        <v>0</v>
      </c>
    </row>
    <row r="36" spans="1:6" x14ac:dyDescent="0.25">
      <c r="A36">
        <v>61</v>
      </c>
      <c r="B36" t="s">
        <v>107</v>
      </c>
      <c r="C36" t="s">
        <v>72</v>
      </c>
      <c r="D36">
        <v>-3.7139025588600001</v>
      </c>
      <c r="E36">
        <v>0</v>
      </c>
      <c r="F36" t="s">
        <v>164</v>
      </c>
    </row>
    <row r="37" spans="1:6" x14ac:dyDescent="0.25">
      <c r="A37">
        <v>62</v>
      </c>
      <c r="B37" t="s">
        <v>108</v>
      </c>
      <c r="C37" t="s">
        <v>72</v>
      </c>
      <c r="D37">
        <v>-14.9292134206</v>
      </c>
      <c r="E37">
        <v>0</v>
      </c>
      <c r="F37" t="s">
        <v>165</v>
      </c>
    </row>
    <row r="38" spans="1:6" x14ac:dyDescent="0.25">
      <c r="A38">
        <v>63</v>
      </c>
      <c r="B38" t="s">
        <v>109</v>
      </c>
      <c r="C38" t="s">
        <v>72</v>
      </c>
      <c r="D38">
        <v>-18.363643827400001</v>
      </c>
      <c r="E38">
        <v>0</v>
      </c>
      <c r="F38" t="s">
        <v>166</v>
      </c>
    </row>
    <row r="39" spans="1:6" x14ac:dyDescent="0.25">
      <c r="A39">
        <v>64</v>
      </c>
      <c r="B39" t="s">
        <v>110</v>
      </c>
      <c r="C39" t="s">
        <v>72</v>
      </c>
      <c r="D39">
        <v>-19.6107408341</v>
      </c>
      <c r="E39">
        <v>0</v>
      </c>
      <c r="F39" t="s">
        <v>167</v>
      </c>
    </row>
    <row r="40" spans="1:6" x14ac:dyDescent="0.25">
      <c r="A40">
        <v>65</v>
      </c>
      <c r="B40" t="s">
        <v>111</v>
      </c>
      <c r="C40" t="s">
        <v>72</v>
      </c>
      <c r="D40">
        <v>-29.386377866</v>
      </c>
      <c r="E40">
        <v>0</v>
      </c>
      <c r="F40" t="s">
        <v>168</v>
      </c>
    </row>
    <row r="41" spans="1:6" x14ac:dyDescent="0.25">
      <c r="A41">
        <v>66</v>
      </c>
      <c r="B41" t="s">
        <v>112</v>
      </c>
      <c r="C41" t="s">
        <v>72</v>
      </c>
      <c r="D41">
        <v>0</v>
      </c>
      <c r="E41">
        <v>0</v>
      </c>
      <c r="F41" t="s">
        <v>169</v>
      </c>
    </row>
    <row r="42" spans="1:6" x14ac:dyDescent="0.25">
      <c r="A42">
        <v>67</v>
      </c>
      <c r="B42" t="s">
        <v>113</v>
      </c>
      <c r="C42" t="s">
        <v>72</v>
      </c>
      <c r="D42">
        <v>-6.7290240321499999</v>
      </c>
      <c r="E42">
        <v>0</v>
      </c>
      <c r="F42" t="s">
        <v>170</v>
      </c>
    </row>
    <row r="43" spans="1:6" x14ac:dyDescent="0.25">
      <c r="A43">
        <v>68</v>
      </c>
      <c r="B43" t="s">
        <v>114</v>
      </c>
      <c r="C43" t="s">
        <v>72</v>
      </c>
      <c r="D43">
        <v>-26.1597322567</v>
      </c>
      <c r="E43">
        <v>0</v>
      </c>
      <c r="F43" t="s">
        <v>171</v>
      </c>
    </row>
    <row r="44" spans="1:6" x14ac:dyDescent="0.25">
      <c r="A44">
        <v>69</v>
      </c>
      <c r="B44" t="s">
        <v>115</v>
      </c>
      <c r="C44" t="s">
        <v>72</v>
      </c>
      <c r="D44">
        <v>-0.14966845132199999</v>
      </c>
      <c r="E44">
        <v>0</v>
      </c>
      <c r="F44" t="s">
        <v>172</v>
      </c>
    </row>
    <row r="45" spans="1:6" x14ac:dyDescent="0.25">
      <c r="A45">
        <v>70</v>
      </c>
      <c r="B45" t="s">
        <v>116</v>
      </c>
      <c r="C45" t="s">
        <v>72</v>
      </c>
      <c r="D45">
        <v>-28.815960729</v>
      </c>
      <c r="E45">
        <v>0</v>
      </c>
      <c r="F45" t="s">
        <v>173</v>
      </c>
    </row>
    <row r="46" spans="1:6" x14ac:dyDescent="0.25">
      <c r="A46">
        <v>71</v>
      </c>
      <c r="B46" t="s">
        <v>117</v>
      </c>
      <c r="C46" t="s">
        <v>72</v>
      </c>
      <c r="D46">
        <v>-38.204969650199999</v>
      </c>
      <c r="E46">
        <v>0</v>
      </c>
      <c r="F46" t="s">
        <v>174</v>
      </c>
    </row>
    <row r="47" spans="1:6" x14ac:dyDescent="0.25">
      <c r="A47">
        <v>72</v>
      </c>
      <c r="B47" t="s">
        <v>118</v>
      </c>
      <c r="C47" t="s">
        <v>72</v>
      </c>
      <c r="D47">
        <v>0</v>
      </c>
      <c r="E47">
        <v>0</v>
      </c>
      <c r="F47" t="s">
        <v>175</v>
      </c>
    </row>
    <row r="48" spans="1:6" x14ac:dyDescent="0.25">
      <c r="A48">
        <v>73</v>
      </c>
      <c r="B48" t="s">
        <v>119</v>
      </c>
      <c r="C48" t="s">
        <v>72</v>
      </c>
      <c r="D48">
        <v>-0.78460574570499997</v>
      </c>
      <c r="E48">
        <v>0</v>
      </c>
      <c r="F48" t="s">
        <v>176</v>
      </c>
    </row>
    <row r="49" spans="1:6" x14ac:dyDescent="0.25">
      <c r="A49">
        <v>74</v>
      </c>
      <c r="B49" t="s">
        <v>120</v>
      </c>
      <c r="C49" t="s">
        <v>72</v>
      </c>
      <c r="D49">
        <v>-60</v>
      </c>
      <c r="E49">
        <v>0</v>
      </c>
      <c r="F49" t="s">
        <v>177</v>
      </c>
    </row>
    <row r="50" spans="1:6" x14ac:dyDescent="0.25">
      <c r="A50">
        <v>75</v>
      </c>
      <c r="B50" t="s">
        <v>121</v>
      </c>
      <c r="C50" t="s">
        <v>72</v>
      </c>
      <c r="D50">
        <v>-40</v>
      </c>
      <c r="E50">
        <v>0</v>
      </c>
      <c r="F50" t="s">
        <v>178</v>
      </c>
    </row>
    <row r="51" spans="1:6" x14ac:dyDescent="0.25">
      <c r="A51">
        <v>76</v>
      </c>
      <c r="B51" t="s">
        <v>122</v>
      </c>
      <c r="C51" t="s">
        <v>72</v>
      </c>
      <c r="D51">
        <v>-19.3366724551</v>
      </c>
      <c r="E51">
        <v>0</v>
      </c>
      <c r="F51" t="s">
        <v>179</v>
      </c>
    </row>
    <row r="52" spans="1:6" x14ac:dyDescent="0.25">
      <c r="A52">
        <v>77</v>
      </c>
      <c r="B52" t="s">
        <v>123</v>
      </c>
      <c r="C52" t="s">
        <v>72</v>
      </c>
      <c r="D52">
        <v>-29.8899113495</v>
      </c>
      <c r="E52">
        <v>0</v>
      </c>
      <c r="F52" t="s">
        <v>180</v>
      </c>
    </row>
    <row r="53" spans="1:6" x14ac:dyDescent="0.25">
      <c r="A53">
        <v>78</v>
      </c>
      <c r="B53" t="s">
        <v>124</v>
      </c>
      <c r="C53" t="s">
        <v>72</v>
      </c>
      <c r="D53">
        <v>0</v>
      </c>
      <c r="E53">
        <v>0</v>
      </c>
      <c r="F53" t="s">
        <v>181</v>
      </c>
    </row>
    <row r="54" spans="1:6" x14ac:dyDescent="0.25">
      <c r="A54">
        <v>79</v>
      </c>
      <c r="B54" t="s">
        <v>125</v>
      </c>
      <c r="C54" t="s">
        <v>72</v>
      </c>
      <c r="D54">
        <v>-4.6085602533700003</v>
      </c>
      <c r="E54">
        <v>0</v>
      </c>
      <c r="F54" t="s">
        <v>182</v>
      </c>
    </row>
    <row r="55" spans="1:6" x14ac:dyDescent="0.25">
      <c r="A55">
        <v>80</v>
      </c>
      <c r="B55" t="s">
        <v>126</v>
      </c>
      <c r="C55" t="s">
        <v>72</v>
      </c>
      <c r="D55">
        <v>-20</v>
      </c>
      <c r="E55">
        <v>0</v>
      </c>
      <c r="F55" t="s">
        <v>183</v>
      </c>
    </row>
    <row r="56" spans="1:6" x14ac:dyDescent="0.25">
      <c r="A56">
        <v>81</v>
      </c>
      <c r="B56" t="s">
        <v>127</v>
      </c>
      <c r="C56" t="s">
        <v>72</v>
      </c>
      <c r="D56">
        <v>-16.8297323695</v>
      </c>
      <c r="E56">
        <v>0</v>
      </c>
      <c r="F56" t="s">
        <v>184</v>
      </c>
    </row>
    <row r="57" spans="1:6" x14ac:dyDescent="0.25">
      <c r="A57">
        <v>82</v>
      </c>
      <c r="B57" t="s">
        <v>128</v>
      </c>
      <c r="C57" t="s">
        <v>72</v>
      </c>
      <c r="D57">
        <v>-30</v>
      </c>
      <c r="E57">
        <v>0</v>
      </c>
      <c r="F57" t="s">
        <v>185</v>
      </c>
    </row>
    <row r="58" spans="1:6" x14ac:dyDescent="0.25">
      <c r="A58">
        <v>83</v>
      </c>
      <c r="B58" t="s">
        <v>129</v>
      </c>
      <c r="C58" t="s">
        <v>72</v>
      </c>
      <c r="D58">
        <v>0</v>
      </c>
      <c r="E58">
        <v>0</v>
      </c>
      <c r="F58" t="s">
        <v>186</v>
      </c>
    </row>
    <row r="59" spans="1:6" x14ac:dyDescent="0.25">
      <c r="A59">
        <v>84</v>
      </c>
      <c r="B59" t="s">
        <v>130</v>
      </c>
      <c r="C59" t="s">
        <v>72</v>
      </c>
      <c r="D59">
        <v>-3.8243167264700002</v>
      </c>
      <c r="E59">
        <v>0</v>
      </c>
      <c r="F59" t="s">
        <v>187</v>
      </c>
    </row>
    <row r="60" spans="1:6" x14ac:dyDescent="0.25">
      <c r="A60">
        <v>98</v>
      </c>
      <c r="B60" t="s">
        <v>131</v>
      </c>
      <c r="C60" t="s">
        <v>72</v>
      </c>
      <c r="D60">
        <v>0</v>
      </c>
      <c r="E60">
        <v>0</v>
      </c>
      <c r="F60">
        <v>100</v>
      </c>
    </row>
    <row r="61" spans="1:6" x14ac:dyDescent="0.25">
      <c r="A61">
        <v>99</v>
      </c>
      <c r="B61" t="s">
        <v>132</v>
      </c>
      <c r="C61" t="s">
        <v>103</v>
      </c>
      <c r="D61">
        <v>0.11248071060500001</v>
      </c>
      <c r="E61" s="54">
        <v>6.8437874180799996E-2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FFFF00"/>
  </sheetPr>
  <dimension ref="A1:K250"/>
  <sheetViews>
    <sheetView workbookViewId="0">
      <selection activeCell="A8" sqref="A8:K250"/>
    </sheetView>
  </sheetViews>
  <sheetFormatPr defaultRowHeight="15" x14ac:dyDescent="0.25"/>
  <sheetData>
    <row r="1" spans="1:10" x14ac:dyDescent="0.25">
      <c r="A1" s="55" t="s">
        <v>201</v>
      </c>
    </row>
    <row r="2" spans="1:10" x14ac:dyDescent="0.25">
      <c r="A2">
        <v>1</v>
      </c>
      <c r="B2" t="s">
        <v>202</v>
      </c>
    </row>
    <row r="3" spans="1:10" x14ac:dyDescent="0.25">
      <c r="A3">
        <v>2</v>
      </c>
      <c r="B3" t="s">
        <v>203</v>
      </c>
    </row>
    <row r="4" spans="1:10" x14ac:dyDescent="0.25">
      <c r="A4">
        <v>3</v>
      </c>
      <c r="B4" t="s">
        <v>204</v>
      </c>
    </row>
    <row r="5" spans="1:10" x14ac:dyDescent="0.25">
      <c r="A5">
        <v>4</v>
      </c>
      <c r="B5" t="s">
        <v>205</v>
      </c>
    </row>
    <row r="8" spans="1:10" x14ac:dyDescent="0.25">
      <c r="A8" t="s">
        <v>206</v>
      </c>
      <c r="B8" t="s">
        <v>207</v>
      </c>
      <c r="C8" t="s">
        <v>208</v>
      </c>
      <c r="D8" t="s">
        <v>209</v>
      </c>
      <c r="E8" t="s">
        <v>210</v>
      </c>
      <c r="F8" t="s">
        <v>211</v>
      </c>
      <c r="G8" t="s">
        <v>212</v>
      </c>
      <c r="H8" t="s">
        <v>213</v>
      </c>
    </row>
    <row r="9" spans="1:10" x14ac:dyDescent="0.25">
      <c r="A9" t="s">
        <v>214</v>
      </c>
      <c r="B9" t="s">
        <v>215</v>
      </c>
      <c r="C9" t="s">
        <v>216</v>
      </c>
      <c r="D9" t="s">
        <v>217</v>
      </c>
      <c r="E9">
        <v>4</v>
      </c>
      <c r="F9" s="56">
        <v>0.50597222222222216</v>
      </c>
      <c r="G9" t="s">
        <v>218</v>
      </c>
      <c r="H9">
        <v>29</v>
      </c>
      <c r="I9" t="s">
        <v>219</v>
      </c>
      <c r="J9">
        <v>12</v>
      </c>
    </row>
    <row r="10" spans="1:10" x14ac:dyDescent="0.25">
      <c r="A10" t="s">
        <v>220</v>
      </c>
    </row>
    <row r="11" spans="1:10" x14ac:dyDescent="0.25">
      <c r="B11">
        <v>1</v>
      </c>
      <c r="C11" t="s">
        <v>71</v>
      </c>
      <c r="D11" t="s">
        <v>72</v>
      </c>
      <c r="E11">
        <v>1</v>
      </c>
      <c r="F11">
        <v>0</v>
      </c>
    </row>
    <row r="12" spans="1:10" x14ac:dyDescent="0.25">
      <c r="B12">
        <v>2</v>
      </c>
      <c r="C12" t="s">
        <v>73</v>
      </c>
      <c r="D12" t="s">
        <v>72</v>
      </c>
      <c r="E12">
        <v>1</v>
      </c>
      <c r="F12">
        <v>0</v>
      </c>
    </row>
    <row r="13" spans="1:10" x14ac:dyDescent="0.25">
      <c r="B13">
        <v>3</v>
      </c>
      <c r="C13" t="s">
        <v>74</v>
      </c>
      <c r="D13" t="s">
        <v>72</v>
      </c>
      <c r="E13">
        <v>1</v>
      </c>
      <c r="F13">
        <v>0</v>
      </c>
    </row>
    <row r="14" spans="1:10" x14ac:dyDescent="0.25">
      <c r="B14">
        <v>4</v>
      </c>
      <c r="C14" t="s">
        <v>75</v>
      </c>
      <c r="D14" t="s">
        <v>72</v>
      </c>
      <c r="E14">
        <v>0.5</v>
      </c>
      <c r="F14">
        <v>0</v>
      </c>
    </row>
    <row r="15" spans="1:10" x14ac:dyDescent="0.25">
      <c r="B15">
        <v>5</v>
      </c>
      <c r="C15" t="s">
        <v>76</v>
      </c>
      <c r="D15" t="s">
        <v>72</v>
      </c>
      <c r="E15">
        <v>0.1</v>
      </c>
      <c r="F15">
        <v>0</v>
      </c>
    </row>
    <row r="16" spans="1:10" x14ac:dyDescent="0.25">
      <c r="B16">
        <v>6</v>
      </c>
      <c r="C16" t="s">
        <v>77</v>
      </c>
      <c r="D16" t="s">
        <v>72</v>
      </c>
      <c r="E16">
        <v>1</v>
      </c>
      <c r="F16">
        <v>0</v>
      </c>
    </row>
    <row r="17" spans="2:6" x14ac:dyDescent="0.25">
      <c r="B17">
        <v>7</v>
      </c>
      <c r="C17" t="s">
        <v>78</v>
      </c>
      <c r="D17" t="s">
        <v>72</v>
      </c>
      <c r="E17">
        <v>-21.977719252</v>
      </c>
      <c r="F17">
        <v>0</v>
      </c>
    </row>
    <row r="18" spans="2:6" x14ac:dyDescent="0.25">
      <c r="B18">
        <v>8</v>
      </c>
      <c r="C18" t="s">
        <v>79</v>
      </c>
      <c r="D18" t="s">
        <v>72</v>
      </c>
      <c r="E18">
        <v>-1.4857940511400001</v>
      </c>
      <c r="F18">
        <v>0</v>
      </c>
    </row>
    <row r="19" spans="2:6" x14ac:dyDescent="0.25">
      <c r="B19">
        <v>9</v>
      </c>
      <c r="C19" t="s">
        <v>80</v>
      </c>
      <c r="D19" t="s">
        <v>72</v>
      </c>
      <c r="E19">
        <v>-4.85028348146</v>
      </c>
      <c r="F19">
        <v>0</v>
      </c>
    </row>
    <row r="20" spans="2:6" x14ac:dyDescent="0.25">
      <c r="B20">
        <v>10</v>
      </c>
      <c r="C20" t="s">
        <v>81</v>
      </c>
      <c r="D20" t="s">
        <v>72</v>
      </c>
      <c r="E20">
        <v>-15.3921330935</v>
      </c>
      <c r="F20">
        <v>0</v>
      </c>
    </row>
    <row r="21" spans="2:6" x14ac:dyDescent="0.25">
      <c r="B21">
        <v>11</v>
      </c>
      <c r="C21" t="s">
        <v>82</v>
      </c>
      <c r="D21" t="s">
        <v>72</v>
      </c>
      <c r="E21">
        <v>-9.7518039976427993</v>
      </c>
      <c r="F21">
        <v>0</v>
      </c>
    </row>
    <row r="22" spans="2:6" x14ac:dyDescent="0.25">
      <c r="B22">
        <v>12</v>
      </c>
      <c r="C22" t="s">
        <v>83</v>
      </c>
      <c r="D22" t="s">
        <v>72</v>
      </c>
      <c r="E22">
        <v>-1.0599160072038001</v>
      </c>
      <c r="F22">
        <v>0</v>
      </c>
    </row>
    <row r="23" spans="2:6" x14ac:dyDescent="0.25">
      <c r="B23">
        <v>13</v>
      </c>
      <c r="C23" t="s">
        <v>84</v>
      </c>
      <c r="D23" t="s">
        <v>72</v>
      </c>
      <c r="E23">
        <v>-6.5192578502799998</v>
      </c>
      <c r="F23">
        <v>0</v>
      </c>
    </row>
    <row r="24" spans="2:6" x14ac:dyDescent="0.25">
      <c r="B24">
        <v>14</v>
      </c>
      <c r="C24" t="s">
        <v>85</v>
      </c>
      <c r="D24" t="s">
        <v>72</v>
      </c>
      <c r="E24">
        <v>-3.04866060786</v>
      </c>
      <c r="F24">
        <v>0</v>
      </c>
    </row>
    <row r="25" spans="2:6" x14ac:dyDescent="0.25">
      <c r="B25">
        <v>15</v>
      </c>
      <c r="C25" t="s">
        <v>86</v>
      </c>
      <c r="D25" t="s">
        <v>72</v>
      </c>
      <c r="E25">
        <v>0</v>
      </c>
      <c r="F25">
        <v>0</v>
      </c>
    </row>
    <row r="26" spans="2:6" x14ac:dyDescent="0.25">
      <c r="B26">
        <v>16</v>
      </c>
      <c r="C26" t="s">
        <v>87</v>
      </c>
      <c r="D26" t="s">
        <v>72</v>
      </c>
      <c r="E26">
        <v>-2.2084934246199999</v>
      </c>
      <c r="F26">
        <v>0</v>
      </c>
    </row>
    <row r="27" spans="2:6" x14ac:dyDescent="0.25">
      <c r="B27">
        <v>17</v>
      </c>
      <c r="C27" t="s">
        <v>88</v>
      </c>
      <c r="D27" t="s">
        <v>72</v>
      </c>
      <c r="E27">
        <v>0</v>
      </c>
      <c r="F27">
        <v>0</v>
      </c>
    </row>
    <row r="28" spans="2:6" x14ac:dyDescent="0.25">
      <c r="B28">
        <v>18</v>
      </c>
      <c r="C28" t="s">
        <v>89</v>
      </c>
      <c r="D28" t="s">
        <v>72</v>
      </c>
      <c r="E28">
        <v>0</v>
      </c>
      <c r="F28">
        <v>0</v>
      </c>
    </row>
    <row r="29" spans="2:6" x14ac:dyDescent="0.25">
      <c r="B29">
        <v>19</v>
      </c>
      <c r="C29" t="s">
        <v>90</v>
      </c>
      <c r="D29" t="s">
        <v>72</v>
      </c>
      <c r="E29">
        <v>0</v>
      </c>
      <c r="F29">
        <v>0</v>
      </c>
    </row>
    <row r="30" spans="2:6" x14ac:dyDescent="0.25">
      <c r="B30">
        <v>20</v>
      </c>
      <c r="C30" t="s">
        <v>91</v>
      </c>
      <c r="D30" t="s">
        <v>72</v>
      </c>
      <c r="E30">
        <v>0</v>
      </c>
      <c r="F30">
        <v>0</v>
      </c>
    </row>
    <row r="31" spans="2:6" x14ac:dyDescent="0.25">
      <c r="B31">
        <v>21</v>
      </c>
      <c r="C31" t="s">
        <v>92</v>
      </c>
      <c r="D31" t="s">
        <v>72</v>
      </c>
      <c r="E31">
        <v>0</v>
      </c>
      <c r="F31">
        <v>0</v>
      </c>
    </row>
    <row r="32" spans="2:6" x14ac:dyDescent="0.25">
      <c r="B32">
        <v>30</v>
      </c>
      <c r="C32" t="s">
        <v>93</v>
      </c>
      <c r="D32" t="s">
        <v>72</v>
      </c>
      <c r="E32">
        <v>0</v>
      </c>
      <c r="F32">
        <v>0</v>
      </c>
    </row>
    <row r="33" spans="2:6" x14ac:dyDescent="0.25">
      <c r="B33">
        <v>31</v>
      </c>
      <c r="C33" t="s">
        <v>94</v>
      </c>
      <c r="D33" t="s">
        <v>72</v>
      </c>
      <c r="E33">
        <v>0</v>
      </c>
      <c r="F33">
        <v>0</v>
      </c>
    </row>
    <row r="34" spans="2:6" x14ac:dyDescent="0.25">
      <c r="B34">
        <v>32</v>
      </c>
      <c r="C34" t="s">
        <v>95</v>
      </c>
      <c r="D34" t="s">
        <v>72</v>
      </c>
      <c r="E34">
        <v>0</v>
      </c>
      <c r="F34">
        <v>0</v>
      </c>
    </row>
    <row r="35" spans="2:6" x14ac:dyDescent="0.25">
      <c r="B35">
        <v>33</v>
      </c>
      <c r="C35" t="s">
        <v>96</v>
      </c>
      <c r="D35" t="s">
        <v>72</v>
      </c>
      <c r="E35">
        <v>0.20475756801299999</v>
      </c>
      <c r="F35">
        <v>0</v>
      </c>
    </row>
    <row r="36" spans="2:6" x14ac:dyDescent="0.25">
      <c r="B36">
        <v>34</v>
      </c>
      <c r="C36" t="s">
        <v>97</v>
      </c>
      <c r="D36" t="s">
        <v>72</v>
      </c>
      <c r="E36">
        <v>0.73914409694299998</v>
      </c>
      <c r="F36">
        <v>0</v>
      </c>
    </row>
    <row r="37" spans="2:6" x14ac:dyDescent="0.25">
      <c r="B37">
        <v>35</v>
      </c>
      <c r="C37" t="s">
        <v>98</v>
      </c>
      <c r="D37" t="s">
        <v>72</v>
      </c>
      <c r="E37">
        <v>0.91950533972299997</v>
      </c>
      <c r="F37">
        <v>0</v>
      </c>
    </row>
    <row r="38" spans="2:6" x14ac:dyDescent="0.25">
      <c r="B38">
        <v>36</v>
      </c>
      <c r="C38" t="s">
        <v>99</v>
      </c>
      <c r="D38" t="s">
        <v>72</v>
      </c>
      <c r="E38">
        <v>0</v>
      </c>
      <c r="F38">
        <v>0</v>
      </c>
    </row>
    <row r="39" spans="2:6" x14ac:dyDescent="0.25">
      <c r="B39">
        <v>37</v>
      </c>
      <c r="C39" t="s">
        <v>100</v>
      </c>
      <c r="D39" t="s">
        <v>72</v>
      </c>
      <c r="E39">
        <v>0.47967991030399998</v>
      </c>
      <c r="F39">
        <v>0</v>
      </c>
    </row>
    <row r="40" spans="2:6" x14ac:dyDescent="0.25">
      <c r="B40">
        <v>38</v>
      </c>
      <c r="C40" t="s">
        <v>101</v>
      </c>
      <c r="D40" t="s">
        <v>72</v>
      </c>
      <c r="E40">
        <v>-0.117361085083</v>
      </c>
      <c r="F40">
        <v>0</v>
      </c>
    </row>
    <row r="41" spans="2:6" x14ac:dyDescent="0.25">
      <c r="B41">
        <v>50</v>
      </c>
      <c r="C41" t="s">
        <v>102</v>
      </c>
      <c r="D41" t="s">
        <v>103</v>
      </c>
      <c r="E41">
        <v>-52.496387392000003</v>
      </c>
      <c r="F41">
        <v>33.148214292299997</v>
      </c>
    </row>
    <row r="42" spans="2:6" x14ac:dyDescent="0.25">
      <c r="B42">
        <v>51</v>
      </c>
      <c r="C42" t="s">
        <v>104</v>
      </c>
      <c r="D42" t="s">
        <v>103</v>
      </c>
      <c r="E42">
        <v>17.602734273900001</v>
      </c>
      <c r="F42">
        <v>9.4985609110600002</v>
      </c>
    </row>
    <row r="43" spans="2:6" x14ac:dyDescent="0.25">
      <c r="B43">
        <v>52</v>
      </c>
      <c r="C43" t="s">
        <v>105</v>
      </c>
      <c r="D43" t="s">
        <v>103</v>
      </c>
      <c r="E43">
        <v>4.20952630757</v>
      </c>
      <c r="F43">
        <v>2.7008716882299999</v>
      </c>
    </row>
    <row r="44" spans="2:6" x14ac:dyDescent="0.25">
      <c r="B44">
        <v>60</v>
      </c>
      <c r="C44" t="s">
        <v>106</v>
      </c>
      <c r="D44" t="s">
        <v>72</v>
      </c>
      <c r="E44">
        <v>0.20359321296800001</v>
      </c>
      <c r="F44">
        <v>0</v>
      </c>
    </row>
    <row r="45" spans="2:6" x14ac:dyDescent="0.25">
      <c r="B45">
        <v>61</v>
      </c>
      <c r="C45" t="s">
        <v>107</v>
      </c>
      <c r="D45" t="s">
        <v>72</v>
      </c>
      <c r="E45">
        <v>-3.7139025588600001</v>
      </c>
      <c r="F45">
        <v>0</v>
      </c>
    </row>
    <row r="46" spans="2:6" x14ac:dyDescent="0.25">
      <c r="B46">
        <v>62</v>
      </c>
      <c r="C46" t="s">
        <v>108</v>
      </c>
      <c r="D46" t="s">
        <v>72</v>
      </c>
      <c r="E46">
        <v>-14.9292134206</v>
      </c>
      <c r="F46">
        <v>0</v>
      </c>
    </row>
    <row r="47" spans="2:6" x14ac:dyDescent="0.25">
      <c r="B47">
        <v>63</v>
      </c>
      <c r="C47" t="s">
        <v>109</v>
      </c>
      <c r="D47" t="s">
        <v>72</v>
      </c>
      <c r="E47">
        <v>-18.363643827400001</v>
      </c>
      <c r="F47">
        <v>0</v>
      </c>
    </row>
    <row r="48" spans="2:6" x14ac:dyDescent="0.25">
      <c r="B48">
        <v>64</v>
      </c>
      <c r="C48" t="s">
        <v>110</v>
      </c>
      <c r="D48" t="s">
        <v>72</v>
      </c>
      <c r="E48">
        <v>-19.6107408341</v>
      </c>
      <c r="F48">
        <v>0</v>
      </c>
    </row>
    <row r="49" spans="2:6" x14ac:dyDescent="0.25">
      <c r="B49">
        <v>65</v>
      </c>
      <c r="C49" t="s">
        <v>111</v>
      </c>
      <c r="D49" t="s">
        <v>72</v>
      </c>
      <c r="E49">
        <v>-29.386377866</v>
      </c>
      <c r="F49">
        <v>0</v>
      </c>
    </row>
    <row r="50" spans="2:6" x14ac:dyDescent="0.25">
      <c r="B50">
        <v>66</v>
      </c>
      <c r="C50" t="s">
        <v>112</v>
      </c>
      <c r="D50" t="s">
        <v>72</v>
      </c>
      <c r="E50">
        <v>0</v>
      </c>
      <c r="F50">
        <v>0</v>
      </c>
    </row>
    <row r="51" spans="2:6" x14ac:dyDescent="0.25">
      <c r="B51">
        <v>67</v>
      </c>
      <c r="C51" t="s">
        <v>113</v>
      </c>
      <c r="D51" t="s">
        <v>72</v>
      </c>
      <c r="E51">
        <v>-6.7290240321499999</v>
      </c>
      <c r="F51">
        <v>0</v>
      </c>
    </row>
    <row r="52" spans="2:6" x14ac:dyDescent="0.25">
      <c r="B52">
        <v>68</v>
      </c>
      <c r="C52" t="s">
        <v>114</v>
      </c>
      <c r="D52" t="s">
        <v>72</v>
      </c>
      <c r="E52">
        <v>-26.1597322567</v>
      </c>
      <c r="F52">
        <v>0</v>
      </c>
    </row>
    <row r="53" spans="2:6" x14ac:dyDescent="0.25">
      <c r="B53">
        <v>69</v>
      </c>
      <c r="C53" t="s">
        <v>115</v>
      </c>
      <c r="D53" t="s">
        <v>72</v>
      </c>
      <c r="E53">
        <v>-0.14966845132199999</v>
      </c>
      <c r="F53">
        <v>0</v>
      </c>
    </row>
    <row r="54" spans="2:6" x14ac:dyDescent="0.25">
      <c r="B54">
        <v>70</v>
      </c>
      <c r="C54" t="s">
        <v>116</v>
      </c>
      <c r="D54" t="s">
        <v>72</v>
      </c>
      <c r="E54">
        <v>-28.815960729</v>
      </c>
      <c r="F54">
        <v>0</v>
      </c>
    </row>
    <row r="55" spans="2:6" x14ac:dyDescent="0.25">
      <c r="B55">
        <v>71</v>
      </c>
      <c r="C55" t="s">
        <v>117</v>
      </c>
      <c r="D55" t="s">
        <v>72</v>
      </c>
      <c r="E55">
        <v>-38.204969650199999</v>
      </c>
      <c r="F55">
        <v>0</v>
      </c>
    </row>
    <row r="56" spans="2:6" x14ac:dyDescent="0.25">
      <c r="B56">
        <v>72</v>
      </c>
      <c r="C56" t="s">
        <v>118</v>
      </c>
      <c r="D56" t="s">
        <v>72</v>
      </c>
      <c r="E56">
        <v>0</v>
      </c>
      <c r="F56">
        <v>0</v>
      </c>
    </row>
    <row r="57" spans="2:6" x14ac:dyDescent="0.25">
      <c r="B57">
        <v>73</v>
      </c>
      <c r="C57" t="s">
        <v>119</v>
      </c>
      <c r="D57" t="s">
        <v>72</v>
      </c>
      <c r="E57">
        <v>-0.78460574570499997</v>
      </c>
      <c r="F57">
        <v>0</v>
      </c>
    </row>
    <row r="58" spans="2:6" x14ac:dyDescent="0.25">
      <c r="B58">
        <v>74</v>
      </c>
      <c r="C58" t="s">
        <v>120</v>
      </c>
      <c r="D58" t="s">
        <v>72</v>
      </c>
      <c r="E58">
        <v>-60</v>
      </c>
      <c r="F58">
        <v>0</v>
      </c>
    </row>
    <row r="59" spans="2:6" x14ac:dyDescent="0.25">
      <c r="B59">
        <v>75</v>
      </c>
      <c r="C59" t="s">
        <v>121</v>
      </c>
      <c r="D59" t="s">
        <v>72</v>
      </c>
      <c r="E59">
        <v>-40</v>
      </c>
      <c r="F59">
        <v>0</v>
      </c>
    </row>
    <row r="60" spans="2:6" x14ac:dyDescent="0.25">
      <c r="B60">
        <v>76</v>
      </c>
      <c r="C60" t="s">
        <v>122</v>
      </c>
      <c r="D60" t="s">
        <v>72</v>
      </c>
      <c r="E60">
        <v>-19.3366724551</v>
      </c>
      <c r="F60">
        <v>0</v>
      </c>
    </row>
    <row r="61" spans="2:6" x14ac:dyDescent="0.25">
      <c r="B61">
        <v>77</v>
      </c>
      <c r="C61" t="s">
        <v>123</v>
      </c>
      <c r="D61" t="s">
        <v>72</v>
      </c>
      <c r="E61">
        <v>-29.8899113495</v>
      </c>
      <c r="F61">
        <v>0</v>
      </c>
    </row>
    <row r="62" spans="2:6" x14ac:dyDescent="0.25">
      <c r="B62">
        <v>78</v>
      </c>
      <c r="C62" t="s">
        <v>124</v>
      </c>
      <c r="D62" t="s">
        <v>72</v>
      </c>
      <c r="E62">
        <v>0</v>
      </c>
      <c r="F62">
        <v>0</v>
      </c>
    </row>
    <row r="63" spans="2:6" x14ac:dyDescent="0.25">
      <c r="B63">
        <v>79</v>
      </c>
      <c r="C63" t="s">
        <v>125</v>
      </c>
      <c r="D63" t="s">
        <v>72</v>
      </c>
      <c r="E63">
        <v>-4.6085602533700003</v>
      </c>
      <c r="F63">
        <v>0</v>
      </c>
    </row>
    <row r="64" spans="2:6" x14ac:dyDescent="0.25">
      <c r="B64">
        <v>80</v>
      </c>
      <c r="C64" t="s">
        <v>126</v>
      </c>
      <c r="D64" t="s">
        <v>72</v>
      </c>
      <c r="E64">
        <v>-20</v>
      </c>
      <c r="F64">
        <v>0</v>
      </c>
    </row>
    <row r="65" spans="2:11" x14ac:dyDescent="0.25">
      <c r="B65">
        <v>81</v>
      </c>
      <c r="C65" t="s">
        <v>127</v>
      </c>
      <c r="D65" t="s">
        <v>72</v>
      </c>
      <c r="E65">
        <v>-16.8297323695</v>
      </c>
      <c r="F65">
        <v>0</v>
      </c>
    </row>
    <row r="66" spans="2:11" x14ac:dyDescent="0.25">
      <c r="B66">
        <v>82</v>
      </c>
      <c r="C66" t="s">
        <v>128</v>
      </c>
      <c r="D66" t="s">
        <v>72</v>
      </c>
      <c r="E66">
        <v>-30</v>
      </c>
      <c r="F66">
        <v>0</v>
      </c>
    </row>
    <row r="67" spans="2:11" x14ac:dyDescent="0.25">
      <c r="B67">
        <v>83</v>
      </c>
      <c r="C67" t="s">
        <v>129</v>
      </c>
      <c r="D67" t="s">
        <v>72</v>
      </c>
      <c r="E67">
        <v>0</v>
      </c>
      <c r="F67">
        <v>0</v>
      </c>
    </row>
    <row r="68" spans="2:11" x14ac:dyDescent="0.25">
      <c r="B68">
        <v>84</v>
      </c>
      <c r="C68" t="s">
        <v>130</v>
      </c>
      <c r="D68" t="s">
        <v>72</v>
      </c>
      <c r="E68">
        <v>-3.8243167264700002</v>
      </c>
      <c r="F68">
        <v>0</v>
      </c>
    </row>
    <row r="69" spans="2:11" x14ac:dyDescent="0.25">
      <c r="B69">
        <v>98</v>
      </c>
      <c r="C69" t="s">
        <v>131</v>
      </c>
      <c r="D69" t="s">
        <v>72</v>
      </c>
      <c r="E69">
        <v>0</v>
      </c>
      <c r="F69">
        <v>0</v>
      </c>
    </row>
    <row r="70" spans="2:11" x14ac:dyDescent="0.25">
      <c r="B70">
        <v>99</v>
      </c>
      <c r="C70" t="s">
        <v>132</v>
      </c>
      <c r="D70" t="s">
        <v>103</v>
      </c>
      <c r="E70">
        <v>0.11248071060500001</v>
      </c>
      <c r="F70" s="54">
        <v>6.8437874180799996E-2</v>
      </c>
    </row>
    <row r="71" spans="2:11" x14ac:dyDescent="0.25">
      <c r="B71">
        <v>-1</v>
      </c>
    </row>
    <row r="72" spans="2:11" x14ac:dyDescent="0.25">
      <c r="B72">
        <v>1846</v>
      </c>
      <c r="C72" s="54">
        <v>-4533.6591421499998</v>
      </c>
      <c r="D72" s="54">
        <v>-7099.1720403199997</v>
      </c>
      <c r="E72" s="54">
        <v>-3827.4189976100001</v>
      </c>
    </row>
    <row r="73" spans="2:11" x14ac:dyDescent="0.25">
      <c r="B73">
        <v>24</v>
      </c>
      <c r="C73" t="s">
        <v>221</v>
      </c>
      <c r="D73" t="s">
        <v>218</v>
      </c>
      <c r="E73">
        <v>29</v>
      </c>
      <c r="F73" t="s">
        <v>219</v>
      </c>
      <c r="G73">
        <v>12</v>
      </c>
    </row>
    <row r="74" spans="2:11" x14ac:dyDescent="0.25"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</row>
    <row r="75" spans="2:11" x14ac:dyDescent="0.25"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</row>
    <row r="76" spans="2:11" x14ac:dyDescent="0.25"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</row>
    <row r="77" spans="2:11" x14ac:dyDescent="0.25"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</row>
    <row r="78" spans="2:11" x14ac:dyDescent="0.25"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</row>
    <row r="79" spans="2:11" x14ac:dyDescent="0.25"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</row>
    <row r="80" spans="2:11" x14ac:dyDescent="0.25"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</row>
    <row r="81" spans="2:11" x14ac:dyDescent="0.25"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</row>
    <row r="82" spans="2:11" x14ac:dyDescent="0.25"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</row>
    <row r="83" spans="2:11" x14ac:dyDescent="0.25"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</row>
    <row r="84" spans="2:11" x14ac:dyDescent="0.25"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</row>
    <row r="85" spans="2:11" x14ac:dyDescent="0.25"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</row>
    <row r="86" spans="2:11" x14ac:dyDescent="0.25"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</row>
    <row r="87" spans="2:11" x14ac:dyDescent="0.25"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2:11" x14ac:dyDescent="0.25"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2:11" x14ac:dyDescent="0.25"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</row>
    <row r="90" spans="2:11" x14ac:dyDescent="0.25"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</row>
    <row r="91" spans="2:11" x14ac:dyDescent="0.25"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2:11" x14ac:dyDescent="0.25"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2:11" x14ac:dyDescent="0.25"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2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25"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2:11" x14ac:dyDescent="0.25"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2:11" x14ac:dyDescent="0.25"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2:11" x14ac:dyDescent="0.25"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2:11" x14ac:dyDescent="0.25"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2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2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25"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2:11" x14ac:dyDescent="0.25"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2:11" x14ac:dyDescent="0.2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2:11" x14ac:dyDescent="0.2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25"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2:11" x14ac:dyDescent="0.25"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2:11" x14ac:dyDescent="0.25"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2:11" x14ac:dyDescent="0.25"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2:11" x14ac:dyDescent="0.25"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2:11" x14ac:dyDescent="0.25"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2:11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2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2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2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2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-92121</v>
      </c>
      <c r="H123">
        <v>0</v>
      </c>
      <c r="I123">
        <v>0</v>
      </c>
      <c r="J123">
        <v>0</v>
      </c>
      <c r="K123">
        <v>0</v>
      </c>
    </row>
    <row r="124" spans="2:11" x14ac:dyDescent="0.2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2:11" x14ac:dyDescent="0.25"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2:11" x14ac:dyDescent="0.25"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-98684</v>
      </c>
      <c r="I126">
        <v>91083</v>
      </c>
      <c r="J126">
        <v>0</v>
      </c>
      <c r="K126">
        <v>0</v>
      </c>
    </row>
    <row r="127" spans="2:11" x14ac:dyDescent="0.2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2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2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2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2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25"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2:11" x14ac:dyDescent="0.25"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2:11" x14ac:dyDescent="0.25"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2:11" x14ac:dyDescent="0.25"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2:11" x14ac:dyDescent="0.25"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2:11" x14ac:dyDescent="0.25"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2:11" x14ac:dyDescent="0.25"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2:11" x14ac:dyDescent="0.25"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2:11" x14ac:dyDescent="0.25"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2:11" x14ac:dyDescent="0.25"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2:11" x14ac:dyDescent="0.25"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2:11" x14ac:dyDescent="0.2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2:11" x14ac:dyDescent="0.25"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2:11" x14ac:dyDescent="0.25"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2:11" x14ac:dyDescent="0.25"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2:11" x14ac:dyDescent="0.25"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</row>
    <row r="164" spans="2:11" x14ac:dyDescent="0.25"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2:11" x14ac:dyDescent="0.25"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2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2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25"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2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2:11" x14ac:dyDescent="0.25"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2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2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2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2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2:11" x14ac:dyDescent="0.25"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2:11" x14ac:dyDescent="0.25"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2:11" x14ac:dyDescent="0.25"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2:11" x14ac:dyDescent="0.25"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2:11" x14ac:dyDescent="0.2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</row>
    <row r="194" spans="2:11" x14ac:dyDescent="0.25"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</row>
    <row r="195" spans="2:11" x14ac:dyDescent="0.25"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</row>
    <row r="196" spans="2:11" x14ac:dyDescent="0.25"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</row>
    <row r="197" spans="2:11" x14ac:dyDescent="0.25"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</row>
    <row r="198" spans="2:11" x14ac:dyDescent="0.25"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</row>
    <row r="199" spans="2:11" x14ac:dyDescent="0.25"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</row>
    <row r="200" spans="2:11" x14ac:dyDescent="0.25"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2:11" x14ac:dyDescent="0.25"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2:11" x14ac:dyDescent="0.25"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2:11" x14ac:dyDescent="0.25"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2:11" x14ac:dyDescent="0.25"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</row>
    <row r="205" spans="2:11" x14ac:dyDescent="0.25"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</row>
    <row r="206" spans="2:11" x14ac:dyDescent="0.25"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</row>
    <row r="207" spans="2:11" x14ac:dyDescent="0.25"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</row>
    <row r="208" spans="2:11" x14ac:dyDescent="0.25"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</row>
    <row r="209" spans="2:11" x14ac:dyDescent="0.25"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</row>
    <row r="210" spans="2:11" x14ac:dyDescent="0.25"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</row>
    <row r="211" spans="2:11" x14ac:dyDescent="0.25"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</row>
    <row r="212" spans="2:11" x14ac:dyDescent="0.25"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</row>
    <row r="213" spans="2:11" x14ac:dyDescent="0.25"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</row>
    <row r="214" spans="2:11" x14ac:dyDescent="0.25"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</row>
    <row r="215" spans="2:11" x14ac:dyDescent="0.25"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</row>
    <row r="216" spans="2:11" x14ac:dyDescent="0.25"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</row>
    <row r="217" spans="2:11" x14ac:dyDescent="0.25"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2:11" x14ac:dyDescent="0.25"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2:11" x14ac:dyDescent="0.25"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2:11" x14ac:dyDescent="0.25"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2:11" x14ac:dyDescent="0.25"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2:11" x14ac:dyDescent="0.25"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2:11" x14ac:dyDescent="0.25"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2:11" x14ac:dyDescent="0.25"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</row>
    <row r="225" spans="2:11" x14ac:dyDescent="0.25"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</row>
    <row r="226" spans="2:11" x14ac:dyDescent="0.25"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</row>
    <row r="227" spans="2:11" x14ac:dyDescent="0.25"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</row>
    <row r="228" spans="2:11" x14ac:dyDescent="0.25"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</row>
    <row r="229" spans="2:11" x14ac:dyDescent="0.25"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</row>
    <row r="230" spans="2:11" x14ac:dyDescent="0.25"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</row>
    <row r="231" spans="2:11" x14ac:dyDescent="0.25"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</row>
    <row r="232" spans="2:11" x14ac:dyDescent="0.25"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</row>
    <row r="233" spans="2:11" x14ac:dyDescent="0.25"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</row>
    <row r="234" spans="2:11" x14ac:dyDescent="0.25"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</row>
    <row r="235" spans="2:11" x14ac:dyDescent="0.25"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</row>
    <row r="236" spans="2:11" x14ac:dyDescent="0.25"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</row>
    <row r="237" spans="2:11" x14ac:dyDescent="0.25"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</row>
    <row r="238" spans="2:11" x14ac:dyDescent="0.25"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</row>
    <row r="239" spans="2:11" x14ac:dyDescent="0.25"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</row>
    <row r="240" spans="2:11" x14ac:dyDescent="0.25"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</row>
    <row r="241" spans="2:11" x14ac:dyDescent="0.25"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</row>
    <row r="242" spans="2:11" x14ac:dyDescent="0.25"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2:11" x14ac:dyDescent="0.25"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2:11" x14ac:dyDescent="0.2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2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2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25">
      <c r="B248">
        <v>0</v>
      </c>
      <c r="C248">
        <v>99135</v>
      </c>
      <c r="D248">
        <v>-90225</v>
      </c>
      <c r="E248">
        <v>-96126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25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2:11" x14ac:dyDescent="0.25"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00B050"/>
  </sheetPr>
  <dimension ref="A1:U62"/>
  <sheetViews>
    <sheetView workbookViewId="0">
      <selection activeCell="H13" sqref="H13"/>
    </sheetView>
  </sheetViews>
  <sheetFormatPr defaultRowHeight="15" x14ac:dyDescent="0.25"/>
  <cols>
    <col min="1" max="1" bestFit="true" customWidth="true" width="12.7109375" collapsed="true"/>
    <col min="2" max="3" bestFit="true" customWidth="true" width="11.5703125" collapsed="true"/>
    <col min="5" max="5" bestFit="true" customWidth="true" width="11.85546875" collapsed="true"/>
    <col min="6" max="6" customWidth="true" width="7.7109375" collapsed="true"/>
    <col min="7" max="7" bestFit="true" customWidth="true" width="7.140625" collapsed="true"/>
    <col min="8" max="8" bestFit="true" customWidth="true" width="17.5703125" collapsed="true"/>
    <col min="9" max="9" bestFit="true" customWidth="true" width="11.0" collapsed="true"/>
    <col min="11" max="11" customWidth="true" width="8.42578125" collapsed="true"/>
    <col min="12" max="13" bestFit="true" customWidth="true" width="17.5703125" collapsed="true"/>
    <col min="19" max="19" bestFit="true" customWidth="true" width="11.7109375" collapsed="true"/>
    <col min="20" max="21" bestFit="true" customWidth="true" width="17.5703125" collapsed="true"/>
  </cols>
  <sheetData>
    <row r="1" spans="1:21" x14ac:dyDescent="0.25">
      <c r="K1" s="55" t="s">
        <v>201</v>
      </c>
      <c r="R1" s="55" t="s">
        <v>235</v>
      </c>
    </row>
    <row r="2" spans="1:21" x14ac:dyDescent="0.25">
      <c r="B2" s="11"/>
      <c r="F2" s="11"/>
      <c r="K2">
        <v>1</v>
      </c>
      <c r="L2" t="s">
        <v>239</v>
      </c>
      <c r="T2" t="s">
        <v>233</v>
      </c>
      <c r="U2" t="s">
        <v>234</v>
      </c>
    </row>
    <row r="3" spans="1:21" x14ac:dyDescent="0.25">
      <c r="K3">
        <v>2</v>
      </c>
      <c r="L3" t="s">
        <v>237</v>
      </c>
      <c r="R3">
        <v>1</v>
      </c>
      <c r="S3" t="s">
        <v>71</v>
      </c>
      <c r="T3" s="59">
        <f>SchoolLocationCoefficient!E11</f>
        <v>1</v>
      </c>
      <c r="U3" s="60">
        <f>T3</f>
        <v>1</v>
      </c>
    </row>
    <row r="4" spans="1:21" x14ac:dyDescent="0.25">
      <c r="D4" s="58"/>
      <c r="E4" s="70"/>
      <c r="F4" s="70"/>
      <c r="G4" s="70"/>
      <c r="H4" s="70"/>
      <c r="I4" s="70"/>
      <c r="L4" t="s">
        <v>236</v>
      </c>
      <c r="R4">
        <v>2</v>
      </c>
      <c r="S4" t="s">
        <v>73</v>
      </c>
      <c r="T4" s="59">
        <f>SchoolLocationCoefficient!E12</f>
        <v>1</v>
      </c>
      <c r="U4" s="60">
        <f t="shared" ref="U4:U62" si="0">T4</f>
        <v>1</v>
      </c>
    </row>
    <row r="5" spans="1:21" x14ac:dyDescent="0.25">
      <c r="E5" s="7"/>
      <c r="F5" s="33"/>
      <c r="G5" s="33"/>
      <c r="H5" s="80" t="s">
        <v>245</v>
      </c>
      <c r="I5" s="33"/>
      <c r="R5">
        <v>3</v>
      </c>
      <c r="S5" t="s">
        <v>74</v>
      </c>
      <c r="T5" s="59">
        <f>SchoolLocationCoefficient!E13</f>
        <v>1</v>
      </c>
      <c r="U5" s="60">
        <f t="shared" si="0"/>
        <v>1</v>
      </c>
    </row>
    <row r="6" spans="1:21" ht="15.75" thickBot="1" x14ac:dyDescent="0.3">
      <c r="A6" s="55" t="s">
        <v>222</v>
      </c>
      <c r="E6" s="76" t="s">
        <v>240</v>
      </c>
      <c r="F6" s="33"/>
      <c r="G6" s="33"/>
      <c r="H6" s="80" t="s">
        <v>246</v>
      </c>
      <c r="I6" s="33"/>
      <c r="R6">
        <v>4</v>
      </c>
      <c r="S6" t="s">
        <v>75</v>
      </c>
      <c r="T6" s="59">
        <f>SchoolLocationCoefficient!E14</f>
        <v>0.5</v>
      </c>
      <c r="U6" s="60">
        <f t="shared" si="0"/>
        <v>0.5</v>
      </c>
    </row>
    <row r="7" spans="1:21" x14ac:dyDescent="0.25">
      <c r="A7" s="5" t="s">
        <v>2</v>
      </c>
      <c r="B7" s="5" t="s">
        <v>200</v>
      </c>
      <c r="C7" s="5" t="s">
        <v>223</v>
      </c>
      <c r="D7" s="7"/>
      <c r="E7" s="5" t="s">
        <v>2</v>
      </c>
      <c r="F7" s="5" t="s">
        <v>200</v>
      </c>
      <c r="G7" s="5" t="s">
        <v>223</v>
      </c>
      <c r="H7" t="s">
        <v>244</v>
      </c>
      <c r="I7" s="5" t="s">
        <v>232</v>
      </c>
      <c r="J7" s="5" t="s">
        <v>228</v>
      </c>
      <c r="K7" s="5" t="s">
        <v>229</v>
      </c>
      <c r="L7" s="5" t="s">
        <v>230</v>
      </c>
      <c r="M7" s="5" t="s">
        <v>231</v>
      </c>
      <c r="R7">
        <v>5</v>
      </c>
      <c r="S7" t="s">
        <v>76</v>
      </c>
      <c r="T7" s="59">
        <f>SchoolLocationCoefficient!E15</f>
        <v>0.1</v>
      </c>
      <c r="U7" s="60">
        <f t="shared" si="0"/>
        <v>0.1</v>
      </c>
    </row>
    <row r="8" spans="1:21" x14ac:dyDescent="0.25">
      <c r="A8" s="57" t="s">
        <v>224</v>
      </c>
      <c r="B8" s="83">
        <f>TLFD!B11</f>
        <v>20622.883600000001</v>
      </c>
      <c r="C8" s="83">
        <f>TLFD!H11</f>
        <v>110633</v>
      </c>
      <c r="D8" s="7"/>
      <c r="E8" s="57" t="s">
        <v>224</v>
      </c>
      <c r="F8" s="72">
        <f>B8/B$11</f>
        <v>4.0140947791351966E-2</v>
      </c>
      <c r="G8" s="72">
        <f>C8/C$11</f>
        <v>0.19902639281416012</v>
      </c>
      <c r="H8" s="7">
        <v>1</v>
      </c>
      <c r="I8">
        <v>10</v>
      </c>
      <c r="J8" s="9">
        <f>F8/G8</f>
        <v>0.20168655635955463</v>
      </c>
      <c r="K8" s="9">
        <f>(LN(J8)-LN(J8))*H8</f>
        <v>0</v>
      </c>
      <c r="L8" s="59">
        <f>T12</f>
        <v>-15.3921330935</v>
      </c>
      <c r="M8" s="59">
        <f>L8+K8</f>
        <v>-15.3921330935</v>
      </c>
      <c r="R8">
        <v>6</v>
      </c>
      <c r="S8" t="s">
        <v>77</v>
      </c>
      <c r="T8" s="59">
        <f>SchoolLocationCoefficient!E16</f>
        <v>1</v>
      </c>
      <c r="U8" s="60">
        <f t="shared" si="0"/>
        <v>1</v>
      </c>
    </row>
    <row r="9" spans="1:21" x14ac:dyDescent="0.25">
      <c r="A9" s="57" t="s">
        <v>226</v>
      </c>
      <c r="B9" s="83">
        <f>SUM(TLFD!B12:B15)</f>
        <v>222281.21739999999</v>
      </c>
      <c r="C9" s="83">
        <f>SUM(TLFD!H12:H15)</f>
        <v>249728</v>
      </c>
      <c r="E9" s="57" t="s">
        <v>226</v>
      </c>
      <c r="F9" s="72">
        <f t="shared" ref="F9:F10" si="1">B9/B$11</f>
        <v>0.43265427452888089</v>
      </c>
      <c r="G9" s="72">
        <f t="shared" ref="G9:G10" si="2">C9/C$11</f>
        <v>0.44925531283337322</v>
      </c>
      <c r="H9">
        <v>0.1</v>
      </c>
      <c r="I9">
        <v>11</v>
      </c>
      <c r="J9" s="9">
        <f t="shared" ref="J9:J10" si="3">F9/G9</f>
        <v>0.96304765279281279</v>
      </c>
      <c r="K9" s="9">
        <f>(LN(J9)-LN(J8))*H9</f>
        <v>0.15633881031874111</v>
      </c>
      <c r="L9" s="59">
        <f t="shared" ref="L9:L10" si="4">T13</f>
        <v>-9.7518039976427993</v>
      </c>
      <c r="M9" s="59">
        <f t="shared" ref="M9:M10" si="5">L9+K9</f>
        <v>-9.5954651873240575</v>
      </c>
      <c r="R9">
        <v>7</v>
      </c>
      <c r="S9" t="s">
        <v>78</v>
      </c>
      <c r="T9" s="59">
        <f>SchoolLocationCoefficient!E17</f>
        <v>-21.977719252</v>
      </c>
      <c r="U9" s="60">
        <f t="shared" si="0"/>
        <v>-21.977719252</v>
      </c>
    </row>
    <row r="10" spans="1:21" x14ac:dyDescent="0.25">
      <c r="A10" s="69" t="s">
        <v>227</v>
      </c>
      <c r="B10" s="86">
        <f>SUM(TLFD!B16:B101)</f>
        <v>270857.64939999999</v>
      </c>
      <c r="C10" s="86">
        <f>SUM(TLFD!H16:H101)</f>
        <v>195510</v>
      </c>
      <c r="E10" s="69" t="s">
        <v>227</v>
      </c>
      <c r="F10" s="75">
        <f t="shared" si="1"/>
        <v>0.52720477767976703</v>
      </c>
      <c r="G10" s="75">
        <f t="shared" si="2"/>
        <v>0.35171829435246665</v>
      </c>
      <c r="H10">
        <v>0.1</v>
      </c>
      <c r="I10" s="6">
        <v>12</v>
      </c>
      <c r="J10" s="18">
        <f t="shared" si="3"/>
        <v>1.4989404479240438</v>
      </c>
      <c r="K10" s="18">
        <f>(LN(J10)-LN(J9)-LN(J8))*H10</f>
        <v>0.20434513630874249</v>
      </c>
      <c r="L10" s="74">
        <f t="shared" si="4"/>
        <v>-1.0599160072038001</v>
      </c>
      <c r="M10" s="74">
        <f t="shared" si="5"/>
        <v>-0.85557087089505757</v>
      </c>
      <c r="R10">
        <v>8</v>
      </c>
      <c r="S10" t="s">
        <v>79</v>
      </c>
      <c r="T10" s="59">
        <f>SchoolLocationCoefficient!E18</f>
        <v>-1.4857940511400001</v>
      </c>
      <c r="U10" s="60">
        <f t="shared" si="0"/>
        <v>-1.4857940511400001</v>
      </c>
    </row>
    <row r="11" spans="1:21" ht="15.75" thickBot="1" x14ac:dyDescent="0.3">
      <c r="A11" s="71" t="s">
        <v>3</v>
      </c>
      <c r="B11" s="82">
        <f>SUM(B8:B10)</f>
        <v>513761.75040000002</v>
      </c>
      <c r="C11" s="82">
        <f>SUM(C8:C10)</f>
        <v>555871</v>
      </c>
      <c r="D11" s="58"/>
      <c r="E11" s="71" t="s">
        <v>3</v>
      </c>
      <c r="F11" s="73">
        <f>SUM(F8:F10)</f>
        <v>0.99999999999999989</v>
      </c>
      <c r="G11" s="73">
        <f>SUM(G8:G10)</f>
        <v>1</v>
      </c>
      <c r="R11">
        <v>9</v>
      </c>
      <c r="S11" t="s">
        <v>80</v>
      </c>
      <c r="T11" s="59">
        <f>SchoolLocationCoefficient!E19</f>
        <v>-4.85028348146</v>
      </c>
      <c r="U11" s="60">
        <f t="shared" si="0"/>
        <v>-4.85028348146</v>
      </c>
    </row>
    <row r="12" spans="1:21" x14ac:dyDescent="0.25">
      <c r="A12" s="67"/>
      <c r="B12" s="68"/>
      <c r="C12" s="68"/>
      <c r="R12" s="61">
        <v>10</v>
      </c>
      <c r="S12" s="61" t="s">
        <v>81</v>
      </c>
      <c r="T12" s="59">
        <f>SchoolLocationCoefficient!E20</f>
        <v>-15.3921330935</v>
      </c>
      <c r="U12" s="60">
        <f>M8</f>
        <v>-15.3921330935</v>
      </c>
    </row>
    <row r="13" spans="1:21" x14ac:dyDescent="0.25">
      <c r="A13" s="67"/>
      <c r="B13" s="68"/>
      <c r="C13" s="68"/>
      <c r="D13" s="7"/>
      <c r="R13" s="61">
        <v>11</v>
      </c>
      <c r="S13" s="61" t="s">
        <v>82</v>
      </c>
      <c r="T13" s="59">
        <f>SchoolLocationCoefficient!E21</f>
        <v>-9.7518039976427993</v>
      </c>
      <c r="U13" s="60">
        <f t="shared" ref="U13:U14" si="6">M9</f>
        <v>-9.5954651873240575</v>
      </c>
    </row>
    <row r="14" spans="1:21" x14ac:dyDescent="0.25">
      <c r="A14" s="63" t="s">
        <v>238</v>
      </c>
      <c r="R14" s="61">
        <v>12</v>
      </c>
      <c r="S14" s="61" t="s">
        <v>83</v>
      </c>
      <c r="T14" s="59">
        <f>SchoolLocationCoefficient!E22</f>
        <v>-1.0599160072038001</v>
      </c>
      <c r="U14" s="60">
        <f t="shared" si="6"/>
        <v>-0.85557087089505757</v>
      </c>
    </row>
    <row r="15" spans="1:21" ht="15.75" thickBot="1" x14ac:dyDescent="0.3">
      <c r="R15">
        <v>13</v>
      </c>
      <c r="S15" t="s">
        <v>84</v>
      </c>
      <c r="T15" s="59">
        <f>SchoolLocationCoefficient!E23</f>
        <v>-6.5192578502799998</v>
      </c>
      <c r="U15" s="60">
        <f t="shared" si="0"/>
        <v>-6.5192578502799998</v>
      </c>
    </row>
    <row r="16" spans="1:21" x14ac:dyDescent="0.25">
      <c r="A16" s="5" t="s">
        <v>2</v>
      </c>
      <c r="B16" s="5" t="s">
        <v>200</v>
      </c>
      <c r="C16" s="5" t="s">
        <v>223</v>
      </c>
      <c r="D16" s="58"/>
      <c r="E16" s="5" t="s">
        <v>2</v>
      </c>
      <c r="F16" s="5" t="s">
        <v>200</v>
      </c>
      <c r="G16" s="5" t="s">
        <v>223</v>
      </c>
      <c r="I16" s="5" t="s">
        <v>232</v>
      </c>
      <c r="J16" s="5" t="s">
        <v>228</v>
      </c>
      <c r="K16" s="5" t="s">
        <v>229</v>
      </c>
      <c r="L16" s="5" t="s">
        <v>230</v>
      </c>
      <c r="M16" s="5" t="s">
        <v>231</v>
      </c>
      <c r="R16">
        <v>14</v>
      </c>
      <c r="S16" t="s">
        <v>85</v>
      </c>
      <c r="T16" s="59">
        <f>SchoolLocationCoefficient!E24</f>
        <v>-3.04866060786</v>
      </c>
      <c r="U16" s="60">
        <f t="shared" si="0"/>
        <v>-3.04866060786</v>
      </c>
    </row>
    <row r="17" spans="1:21" x14ac:dyDescent="0.25">
      <c r="A17" s="64" t="s">
        <v>225</v>
      </c>
      <c r="B17" s="81">
        <f>SchoolAtHome!E14</f>
        <v>3454.8159000000001</v>
      </c>
      <c r="C17" s="81">
        <f>SchoolAtHome!L14</f>
        <v>45245</v>
      </c>
      <c r="E17" s="64" t="s">
        <v>225</v>
      </c>
      <c r="F17" s="77">
        <f>B17/B18</f>
        <v>4.8942389571341519E-3</v>
      </c>
      <c r="G17" s="77">
        <f>C17/C18</f>
        <v>5.1832851797796314E-2</v>
      </c>
      <c r="I17" s="65">
        <v>50</v>
      </c>
      <c r="J17" s="66">
        <f>F17/G17</f>
        <v>9.4423493737657543E-2</v>
      </c>
      <c r="K17" s="66">
        <f>LN(J17)</f>
        <v>-2.3599653624551706</v>
      </c>
      <c r="L17" s="79">
        <f>T33</f>
        <v>-52.496387392000003</v>
      </c>
      <c r="M17" s="78">
        <f t="shared" ref="M17" si="7">L17+K17</f>
        <v>-54.856352754455173</v>
      </c>
      <c r="R17">
        <v>15</v>
      </c>
      <c r="S17" t="s">
        <v>86</v>
      </c>
      <c r="T17" s="59">
        <f>SchoolLocationCoefficient!E25</f>
        <v>0</v>
      </c>
      <c r="U17" s="60">
        <f t="shared" si="0"/>
        <v>0</v>
      </c>
    </row>
    <row r="18" spans="1:21" ht="15.75" thickBot="1" x14ac:dyDescent="0.3">
      <c r="A18" s="12" t="s">
        <v>3</v>
      </c>
      <c r="B18" s="82">
        <f>SchoolAtHome!E25</f>
        <v>705894.4057</v>
      </c>
      <c r="C18" s="82">
        <f>SchoolAtHome!L25</f>
        <v>872902</v>
      </c>
      <c r="E18" s="12" t="s">
        <v>3</v>
      </c>
      <c r="F18" s="73">
        <f>B18/B18</f>
        <v>1</v>
      </c>
      <c r="G18" s="73">
        <f>C18/C18</f>
        <v>1</v>
      </c>
      <c r="R18">
        <v>16</v>
      </c>
      <c r="S18" t="s">
        <v>87</v>
      </c>
      <c r="T18" s="59">
        <f>SchoolLocationCoefficient!E26</f>
        <v>-2.2084934246199999</v>
      </c>
      <c r="U18" s="60">
        <f t="shared" si="0"/>
        <v>-2.2084934246199999</v>
      </c>
    </row>
    <row r="19" spans="1:21" x14ac:dyDescent="0.25">
      <c r="R19">
        <v>17</v>
      </c>
      <c r="S19" t="s">
        <v>88</v>
      </c>
      <c r="T19" s="59">
        <f>SchoolLocationCoefficient!E27</f>
        <v>0</v>
      </c>
      <c r="U19" s="60">
        <f t="shared" si="0"/>
        <v>0</v>
      </c>
    </row>
    <row r="20" spans="1:21" x14ac:dyDescent="0.25">
      <c r="R20">
        <v>18</v>
      </c>
      <c r="S20" t="s">
        <v>89</v>
      </c>
      <c r="T20" s="59">
        <f>SchoolLocationCoefficient!E28</f>
        <v>0</v>
      </c>
      <c r="U20" s="60">
        <f t="shared" si="0"/>
        <v>0</v>
      </c>
    </row>
    <row r="21" spans="1:21" x14ac:dyDescent="0.25">
      <c r="R21">
        <v>19</v>
      </c>
      <c r="S21" t="s">
        <v>90</v>
      </c>
      <c r="T21" s="59">
        <f>SchoolLocationCoefficient!E29</f>
        <v>0</v>
      </c>
      <c r="U21" s="60">
        <f t="shared" si="0"/>
        <v>0</v>
      </c>
    </row>
    <row r="22" spans="1:21" x14ac:dyDescent="0.25">
      <c r="G22" s="7"/>
      <c r="R22">
        <v>20</v>
      </c>
      <c r="S22" t="s">
        <v>91</v>
      </c>
      <c r="T22" s="59">
        <f>SchoolLocationCoefficient!E30</f>
        <v>0</v>
      </c>
      <c r="U22" s="60">
        <f t="shared" si="0"/>
        <v>0</v>
      </c>
    </row>
    <row r="23" spans="1:21" x14ac:dyDescent="0.25">
      <c r="G23" s="7"/>
      <c r="R23">
        <v>21</v>
      </c>
      <c r="S23" t="s">
        <v>92</v>
      </c>
      <c r="T23" s="59">
        <f>SchoolLocationCoefficient!E31</f>
        <v>0</v>
      </c>
      <c r="U23" s="60">
        <f t="shared" si="0"/>
        <v>0</v>
      </c>
    </row>
    <row r="24" spans="1:21" x14ac:dyDescent="0.25">
      <c r="R24">
        <v>30</v>
      </c>
      <c r="S24" t="s">
        <v>93</v>
      </c>
      <c r="T24" s="59">
        <f>SchoolLocationCoefficient!E32</f>
        <v>0</v>
      </c>
      <c r="U24" s="60">
        <f t="shared" si="0"/>
        <v>0</v>
      </c>
    </row>
    <row r="25" spans="1:21" x14ac:dyDescent="0.25">
      <c r="R25">
        <v>31</v>
      </c>
      <c r="S25" t="s">
        <v>94</v>
      </c>
      <c r="T25" s="59">
        <f>SchoolLocationCoefficient!E33</f>
        <v>0</v>
      </c>
      <c r="U25" s="60">
        <f t="shared" si="0"/>
        <v>0</v>
      </c>
    </row>
    <row r="26" spans="1:21" x14ac:dyDescent="0.25">
      <c r="R26">
        <v>32</v>
      </c>
      <c r="S26" t="s">
        <v>95</v>
      </c>
      <c r="T26" s="59">
        <f>SchoolLocationCoefficient!E34</f>
        <v>0</v>
      </c>
      <c r="U26" s="60">
        <f t="shared" si="0"/>
        <v>0</v>
      </c>
    </row>
    <row r="27" spans="1:21" x14ac:dyDescent="0.25">
      <c r="R27">
        <v>33</v>
      </c>
      <c r="S27" t="s">
        <v>96</v>
      </c>
      <c r="T27" s="59">
        <f>SchoolLocationCoefficient!E35</f>
        <v>0.20475756801299999</v>
      </c>
      <c r="U27" s="60">
        <f t="shared" si="0"/>
        <v>0.20475756801299999</v>
      </c>
    </row>
    <row r="28" spans="1:21" x14ac:dyDescent="0.25">
      <c r="J28" t="s">
        <v>241</v>
      </c>
      <c r="R28">
        <v>34</v>
      </c>
      <c r="S28" t="s">
        <v>97</v>
      </c>
      <c r="T28" s="59">
        <f>SchoolLocationCoefficient!E36</f>
        <v>0.73914409694299998</v>
      </c>
      <c r="U28" s="60">
        <f t="shared" si="0"/>
        <v>0.73914409694299998</v>
      </c>
    </row>
    <row r="29" spans="1:21" x14ac:dyDescent="0.25">
      <c r="J29" t="s">
        <v>242</v>
      </c>
      <c r="R29">
        <v>35</v>
      </c>
      <c r="S29" t="s">
        <v>98</v>
      </c>
      <c r="T29" s="59">
        <f>SchoolLocationCoefficient!E37</f>
        <v>0.91950533972299997</v>
      </c>
      <c r="U29" s="60">
        <f t="shared" si="0"/>
        <v>0.91950533972299997</v>
      </c>
    </row>
    <row r="30" spans="1:21" x14ac:dyDescent="0.25">
      <c r="J30" t="s">
        <v>243</v>
      </c>
      <c r="R30">
        <v>36</v>
      </c>
      <c r="S30" t="s">
        <v>99</v>
      </c>
      <c r="T30" s="59">
        <f>SchoolLocationCoefficient!E38</f>
        <v>0</v>
      </c>
      <c r="U30" s="60">
        <f t="shared" si="0"/>
        <v>0</v>
      </c>
    </row>
    <row r="31" spans="1:21" x14ac:dyDescent="0.25">
      <c r="R31">
        <v>37</v>
      </c>
      <c r="S31" t="s">
        <v>100</v>
      </c>
      <c r="T31" s="59">
        <f>SchoolLocationCoefficient!E39</f>
        <v>0.47967991030399998</v>
      </c>
      <c r="U31" s="60">
        <f t="shared" si="0"/>
        <v>0.47967991030399998</v>
      </c>
    </row>
    <row r="32" spans="1:21" x14ac:dyDescent="0.25">
      <c r="R32">
        <v>38</v>
      </c>
      <c r="S32" t="s">
        <v>101</v>
      </c>
      <c r="T32" s="59">
        <f>SchoolLocationCoefficient!E40</f>
        <v>-0.117361085083</v>
      </c>
      <c r="U32" s="60">
        <f t="shared" si="0"/>
        <v>-0.117361085083</v>
      </c>
    </row>
    <row r="33" spans="18:21" x14ac:dyDescent="0.25">
      <c r="R33" s="61">
        <v>50</v>
      </c>
      <c r="S33" s="61" t="s">
        <v>102</v>
      </c>
      <c r="T33" s="59">
        <f>SchoolLocationCoefficient!E41</f>
        <v>-52.496387392000003</v>
      </c>
      <c r="U33" s="62">
        <f>M17</f>
        <v>-54.856352754455173</v>
      </c>
    </row>
    <row r="34" spans="18:21" x14ac:dyDescent="0.25">
      <c r="R34">
        <v>51</v>
      </c>
      <c r="S34" t="s">
        <v>104</v>
      </c>
      <c r="T34" s="59">
        <f>SchoolLocationCoefficient!E42</f>
        <v>17.602734273900001</v>
      </c>
      <c r="U34" s="60">
        <f t="shared" si="0"/>
        <v>17.602734273900001</v>
      </c>
    </row>
    <row r="35" spans="18:21" x14ac:dyDescent="0.25">
      <c r="R35">
        <v>52</v>
      </c>
      <c r="S35" t="s">
        <v>105</v>
      </c>
      <c r="T35" s="59">
        <f>SchoolLocationCoefficient!E43</f>
        <v>4.20952630757</v>
      </c>
      <c r="U35" s="60">
        <f t="shared" si="0"/>
        <v>4.20952630757</v>
      </c>
    </row>
    <row r="36" spans="18:21" x14ac:dyDescent="0.25">
      <c r="R36">
        <v>60</v>
      </c>
      <c r="S36" t="s">
        <v>106</v>
      </c>
      <c r="T36" s="59">
        <f>SchoolLocationCoefficient!E44</f>
        <v>0.20359321296800001</v>
      </c>
      <c r="U36" s="60">
        <f t="shared" si="0"/>
        <v>0.20359321296800001</v>
      </c>
    </row>
    <row r="37" spans="18:21" x14ac:dyDescent="0.25">
      <c r="R37">
        <v>61</v>
      </c>
      <c r="S37" t="s">
        <v>107</v>
      </c>
      <c r="T37" s="59">
        <f>SchoolLocationCoefficient!E45</f>
        <v>-3.7139025588600001</v>
      </c>
      <c r="U37" s="60">
        <f t="shared" si="0"/>
        <v>-3.7139025588600001</v>
      </c>
    </row>
    <row r="38" spans="18:21" x14ac:dyDescent="0.25">
      <c r="R38">
        <v>62</v>
      </c>
      <c r="S38" t="s">
        <v>108</v>
      </c>
      <c r="T38" s="59">
        <f>SchoolLocationCoefficient!E46</f>
        <v>-14.9292134206</v>
      </c>
      <c r="U38" s="60">
        <f t="shared" si="0"/>
        <v>-14.9292134206</v>
      </c>
    </row>
    <row r="39" spans="18:21" x14ac:dyDescent="0.25">
      <c r="R39">
        <v>63</v>
      </c>
      <c r="S39" t="s">
        <v>109</v>
      </c>
      <c r="T39" s="59">
        <f>SchoolLocationCoefficient!E47</f>
        <v>-18.363643827400001</v>
      </c>
      <c r="U39" s="60">
        <f t="shared" si="0"/>
        <v>-18.363643827400001</v>
      </c>
    </row>
    <row r="40" spans="18:21" x14ac:dyDescent="0.25">
      <c r="R40">
        <v>64</v>
      </c>
      <c r="S40" t="s">
        <v>110</v>
      </c>
      <c r="T40" s="59">
        <f>SchoolLocationCoefficient!E48</f>
        <v>-19.6107408341</v>
      </c>
      <c r="U40" s="60">
        <f t="shared" si="0"/>
        <v>-19.6107408341</v>
      </c>
    </row>
    <row r="41" spans="18:21" x14ac:dyDescent="0.25">
      <c r="R41">
        <v>65</v>
      </c>
      <c r="S41" t="s">
        <v>111</v>
      </c>
      <c r="T41" s="59">
        <f>SchoolLocationCoefficient!E49</f>
        <v>-29.386377866</v>
      </c>
      <c r="U41" s="60">
        <f t="shared" si="0"/>
        <v>-29.386377866</v>
      </c>
    </row>
    <row r="42" spans="18:21" x14ac:dyDescent="0.25">
      <c r="R42">
        <v>66</v>
      </c>
      <c r="S42" t="s">
        <v>112</v>
      </c>
      <c r="T42" s="59">
        <f>SchoolLocationCoefficient!E50</f>
        <v>0</v>
      </c>
      <c r="U42" s="60">
        <f t="shared" si="0"/>
        <v>0</v>
      </c>
    </row>
    <row r="43" spans="18:21" x14ac:dyDescent="0.25">
      <c r="R43">
        <v>67</v>
      </c>
      <c r="S43" t="s">
        <v>113</v>
      </c>
      <c r="T43" s="59">
        <f>SchoolLocationCoefficient!E51</f>
        <v>-6.7290240321499999</v>
      </c>
      <c r="U43" s="60">
        <f t="shared" si="0"/>
        <v>-6.7290240321499999</v>
      </c>
    </row>
    <row r="44" spans="18:21" x14ac:dyDescent="0.25">
      <c r="R44">
        <v>68</v>
      </c>
      <c r="S44" t="s">
        <v>114</v>
      </c>
      <c r="T44" s="59">
        <f>SchoolLocationCoefficient!E52</f>
        <v>-26.1597322567</v>
      </c>
      <c r="U44" s="60">
        <f t="shared" si="0"/>
        <v>-26.1597322567</v>
      </c>
    </row>
    <row r="45" spans="18:21" x14ac:dyDescent="0.25">
      <c r="R45">
        <v>69</v>
      </c>
      <c r="S45" t="s">
        <v>115</v>
      </c>
      <c r="T45" s="59">
        <f>SchoolLocationCoefficient!E53</f>
        <v>-0.14966845132199999</v>
      </c>
      <c r="U45" s="60">
        <f t="shared" si="0"/>
        <v>-0.14966845132199999</v>
      </c>
    </row>
    <row r="46" spans="18:21" x14ac:dyDescent="0.25">
      <c r="R46">
        <v>70</v>
      </c>
      <c r="S46" t="s">
        <v>116</v>
      </c>
      <c r="T46" s="59">
        <f>SchoolLocationCoefficient!E54</f>
        <v>-28.815960729</v>
      </c>
      <c r="U46" s="60">
        <f t="shared" si="0"/>
        <v>-28.815960729</v>
      </c>
    </row>
    <row r="47" spans="18:21" x14ac:dyDescent="0.25">
      <c r="R47">
        <v>71</v>
      </c>
      <c r="S47" t="s">
        <v>117</v>
      </c>
      <c r="T47" s="59">
        <f>SchoolLocationCoefficient!E55</f>
        <v>-38.204969650199999</v>
      </c>
      <c r="U47" s="60">
        <f t="shared" si="0"/>
        <v>-38.204969650199999</v>
      </c>
    </row>
    <row r="48" spans="18:21" x14ac:dyDescent="0.25">
      <c r="R48">
        <v>72</v>
      </c>
      <c r="S48" t="s">
        <v>118</v>
      </c>
      <c r="T48" s="59">
        <f>SchoolLocationCoefficient!E56</f>
        <v>0</v>
      </c>
      <c r="U48" s="60">
        <f t="shared" si="0"/>
        <v>0</v>
      </c>
    </row>
    <row r="49" spans="18:21" x14ac:dyDescent="0.25">
      <c r="R49">
        <v>73</v>
      </c>
      <c r="S49" t="s">
        <v>119</v>
      </c>
      <c r="T49" s="59">
        <f>SchoolLocationCoefficient!E57</f>
        <v>-0.78460574570499997</v>
      </c>
      <c r="U49" s="60">
        <f t="shared" si="0"/>
        <v>-0.78460574570499997</v>
      </c>
    </row>
    <row r="50" spans="18:21" x14ac:dyDescent="0.25">
      <c r="R50">
        <v>74</v>
      </c>
      <c r="S50" t="s">
        <v>120</v>
      </c>
      <c r="T50" s="59">
        <f>SchoolLocationCoefficient!E58</f>
        <v>-60</v>
      </c>
      <c r="U50" s="60">
        <f t="shared" si="0"/>
        <v>-60</v>
      </c>
    </row>
    <row r="51" spans="18:21" x14ac:dyDescent="0.25">
      <c r="R51">
        <v>75</v>
      </c>
      <c r="S51" t="s">
        <v>121</v>
      </c>
      <c r="T51" s="59">
        <f>SchoolLocationCoefficient!E59</f>
        <v>-40</v>
      </c>
      <c r="U51" s="60">
        <f t="shared" si="0"/>
        <v>-40</v>
      </c>
    </row>
    <row r="52" spans="18:21" x14ac:dyDescent="0.25">
      <c r="R52">
        <v>76</v>
      </c>
      <c r="S52" t="s">
        <v>122</v>
      </c>
      <c r="T52" s="59">
        <f>SchoolLocationCoefficient!E60</f>
        <v>-19.3366724551</v>
      </c>
      <c r="U52" s="60">
        <f t="shared" si="0"/>
        <v>-19.3366724551</v>
      </c>
    </row>
    <row r="53" spans="18:21" x14ac:dyDescent="0.25">
      <c r="R53">
        <v>77</v>
      </c>
      <c r="S53" t="s">
        <v>123</v>
      </c>
      <c r="T53" s="59">
        <f>SchoolLocationCoefficient!E61</f>
        <v>-29.8899113495</v>
      </c>
      <c r="U53" s="60">
        <f t="shared" si="0"/>
        <v>-29.8899113495</v>
      </c>
    </row>
    <row r="54" spans="18:21" x14ac:dyDescent="0.25">
      <c r="R54">
        <v>78</v>
      </c>
      <c r="S54" t="s">
        <v>124</v>
      </c>
      <c r="T54" s="59">
        <f>SchoolLocationCoefficient!E62</f>
        <v>0</v>
      </c>
      <c r="U54" s="60">
        <f t="shared" si="0"/>
        <v>0</v>
      </c>
    </row>
    <row r="55" spans="18:21" x14ac:dyDescent="0.25">
      <c r="R55">
        <v>79</v>
      </c>
      <c r="S55" t="s">
        <v>125</v>
      </c>
      <c r="T55" s="59">
        <f>SchoolLocationCoefficient!E63</f>
        <v>-4.6085602533700003</v>
      </c>
      <c r="U55" s="60">
        <f t="shared" si="0"/>
        <v>-4.6085602533700003</v>
      </c>
    </row>
    <row r="56" spans="18:21" x14ac:dyDescent="0.25">
      <c r="R56">
        <v>80</v>
      </c>
      <c r="S56" t="s">
        <v>126</v>
      </c>
      <c r="T56" s="59">
        <f>SchoolLocationCoefficient!E64</f>
        <v>-20</v>
      </c>
      <c r="U56" s="60">
        <f t="shared" si="0"/>
        <v>-20</v>
      </c>
    </row>
    <row r="57" spans="18:21" x14ac:dyDescent="0.25">
      <c r="R57">
        <v>81</v>
      </c>
      <c r="S57" t="s">
        <v>127</v>
      </c>
      <c r="T57" s="59">
        <f>SchoolLocationCoefficient!E65</f>
        <v>-16.8297323695</v>
      </c>
      <c r="U57" s="60">
        <f t="shared" si="0"/>
        <v>-16.8297323695</v>
      </c>
    </row>
    <row r="58" spans="18:21" x14ac:dyDescent="0.25">
      <c r="R58">
        <v>82</v>
      </c>
      <c r="S58" t="s">
        <v>128</v>
      </c>
      <c r="T58" s="59">
        <f>SchoolLocationCoefficient!E66</f>
        <v>-30</v>
      </c>
      <c r="U58" s="60">
        <f t="shared" si="0"/>
        <v>-30</v>
      </c>
    </row>
    <row r="59" spans="18:21" x14ac:dyDescent="0.25">
      <c r="R59">
        <v>83</v>
      </c>
      <c r="S59" t="s">
        <v>129</v>
      </c>
      <c r="T59" s="59">
        <f>SchoolLocationCoefficient!E67</f>
        <v>0</v>
      </c>
      <c r="U59" s="60">
        <f t="shared" si="0"/>
        <v>0</v>
      </c>
    </row>
    <row r="60" spans="18:21" x14ac:dyDescent="0.25">
      <c r="R60">
        <v>84</v>
      </c>
      <c r="S60" t="s">
        <v>130</v>
      </c>
      <c r="T60" s="59">
        <f>SchoolLocationCoefficient!E68</f>
        <v>-3.8243167264700002</v>
      </c>
      <c r="U60" s="60">
        <f t="shared" si="0"/>
        <v>-3.8243167264700002</v>
      </c>
    </row>
    <row r="61" spans="18:21" x14ac:dyDescent="0.25">
      <c r="R61">
        <v>98</v>
      </c>
      <c r="S61" t="s">
        <v>131</v>
      </c>
      <c r="T61" s="59">
        <f>SchoolLocationCoefficient!E69</f>
        <v>0</v>
      </c>
      <c r="U61" s="60">
        <f t="shared" si="0"/>
        <v>0</v>
      </c>
    </row>
    <row r="62" spans="18:21" x14ac:dyDescent="0.25">
      <c r="R62">
        <v>99</v>
      </c>
      <c r="S62" t="s">
        <v>132</v>
      </c>
      <c r="T62" s="59">
        <f>SchoolLocationCoefficient!E70</f>
        <v>0.11248071060500001</v>
      </c>
      <c r="U62" s="60">
        <f t="shared" si="0"/>
        <v>0.11248071060500001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35</vt:i4>
      </vt:variant>
    </vt:vector>
  </HeadingPairs>
  <TitlesOfParts>
    <vt:vector size="44" baseType="lpstr">
      <vt:lpstr>TLFD</vt:lpstr>
      <vt:lpstr>TDFD</vt:lpstr>
      <vt:lpstr>TDFD_Agg</vt:lpstr>
      <vt:lpstr>County_Flow</vt:lpstr>
      <vt:lpstr>SchoolAtHome</vt:lpstr>
      <vt:lpstr>Documentation</vt:lpstr>
      <vt:lpstr>CoeffDef</vt:lpstr>
      <vt:lpstr>SchoolLocationCoefficient</vt:lpstr>
      <vt:lpstr>Calibration</vt:lpstr>
      <vt:lpstr>athm</vt:lpstr>
      <vt:lpstr>avgdist</vt:lpstr>
      <vt:lpstr>avgtime</vt:lpstr>
      <vt:lpstr>flows</vt:lpstr>
      <vt:lpstr>out_1</vt:lpstr>
      <vt:lpstr>out_10</vt:lpstr>
      <vt:lpstr>out_11</vt:lpstr>
      <vt:lpstr>out_12</vt:lpstr>
      <vt:lpstr>out_13</vt:lpstr>
      <vt:lpstr>out_14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Sch_dist</vt:lpstr>
      <vt:lpstr>Sch_time</vt:lpstr>
      <vt:lpstr>tot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2019-10-07T21:07:00Z</dcterms:modified>
</cp:coreProperties>
</file>