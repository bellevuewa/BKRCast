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DA0C0D2D-1D20-4136-8E00-1E21C08CF3C0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5" i="6"/>
  <c r="B45" i="6" s="1"/>
  <c r="B34" i="6"/>
  <c r="B44" i="6" s="1"/>
  <c r="B33" i="6"/>
  <c r="B43" i="6" s="1"/>
  <c r="O104" i="6" l="1"/>
  <c r="P104" i="6"/>
  <c r="N104" i="6"/>
  <c r="M104" i="6" s="1"/>
  <c r="Q104" i="6" l="1"/>
  <c r="N4" i="6" l="1"/>
  <c r="M4" i="6" s="1"/>
  <c r="O4" i="6"/>
  <c r="N5" i="6"/>
  <c r="M5" i="6" s="1"/>
  <c r="O5" i="6"/>
  <c r="N6" i="6"/>
  <c r="M6" i="6" s="1"/>
  <c r="O6" i="6"/>
  <c r="N7" i="6"/>
  <c r="M7" i="6" s="1"/>
  <c r="O7" i="6"/>
  <c r="N8" i="6"/>
  <c r="M8" i="6" s="1"/>
  <c r="O8" i="6"/>
  <c r="N9" i="6"/>
  <c r="M9" i="6" s="1"/>
  <c r="O9" i="6"/>
  <c r="N10" i="6"/>
  <c r="M10" i="6" s="1"/>
  <c r="O10" i="6"/>
  <c r="N11" i="6"/>
  <c r="M11" i="6" s="1"/>
  <c r="O11" i="6"/>
  <c r="N12" i="6"/>
  <c r="M12" i="6" s="1"/>
  <c r="O12" i="6"/>
  <c r="N13" i="6"/>
  <c r="M13" i="6" s="1"/>
  <c r="O13" i="6"/>
  <c r="N14" i="6"/>
  <c r="M14" i="6" s="1"/>
  <c r="O14" i="6"/>
  <c r="N15" i="6"/>
  <c r="M15" i="6" s="1"/>
  <c r="O15" i="6"/>
  <c r="N16" i="6"/>
  <c r="M16" i="6" s="1"/>
  <c r="O16" i="6"/>
  <c r="N17" i="6"/>
  <c r="M17" i="6" s="1"/>
  <c r="O17" i="6"/>
  <c r="N18" i="6"/>
  <c r="M18" i="6" s="1"/>
  <c r="O18" i="6"/>
  <c r="N19" i="6"/>
  <c r="M19" i="6" s="1"/>
  <c r="O19" i="6"/>
  <c r="N20" i="6"/>
  <c r="M20" i="6" s="1"/>
  <c r="O20" i="6"/>
  <c r="N21" i="6"/>
  <c r="M21" i="6" s="1"/>
  <c r="O21" i="6"/>
  <c r="N22" i="6"/>
  <c r="M22" i="6" s="1"/>
  <c r="O22" i="6"/>
  <c r="N23" i="6"/>
  <c r="M23" i="6" s="1"/>
  <c r="O23" i="6"/>
  <c r="N24" i="6"/>
  <c r="M24" i="6" s="1"/>
  <c r="O24" i="6"/>
  <c r="N25" i="6"/>
  <c r="M25" i="6" s="1"/>
  <c r="O25" i="6"/>
  <c r="N26" i="6"/>
  <c r="M26" i="6" s="1"/>
  <c r="O26" i="6"/>
  <c r="N27" i="6"/>
  <c r="M27" i="6" s="1"/>
  <c r="O27" i="6"/>
  <c r="N28" i="6"/>
  <c r="M28" i="6" s="1"/>
  <c r="O28" i="6"/>
  <c r="N29" i="6"/>
  <c r="M29" i="6" s="1"/>
  <c r="O29" i="6"/>
  <c r="N30" i="6"/>
  <c r="M30" i="6" s="1"/>
  <c r="O30" i="6"/>
  <c r="N31" i="6"/>
  <c r="M31" i="6" s="1"/>
  <c r="O31" i="6"/>
  <c r="N32" i="6"/>
  <c r="M32" i="6" s="1"/>
  <c r="O32" i="6"/>
  <c r="N33" i="6"/>
  <c r="M33" i="6" s="1"/>
  <c r="O33" i="6"/>
  <c r="N34" i="6"/>
  <c r="M34" i="6" s="1"/>
  <c r="O34" i="6"/>
  <c r="N35" i="6"/>
  <c r="M35" i="6" s="1"/>
  <c r="O35" i="6"/>
  <c r="N36" i="6"/>
  <c r="O36" i="6"/>
  <c r="N37" i="6"/>
  <c r="M37" i="6" s="1"/>
  <c r="O37" i="6"/>
  <c r="N38" i="6"/>
  <c r="M38" i="6" s="1"/>
  <c r="O38" i="6"/>
  <c r="N39" i="6"/>
  <c r="M39" i="6" s="1"/>
  <c r="O39" i="6"/>
  <c r="N40" i="6"/>
  <c r="M40" i="6" s="1"/>
  <c r="O40" i="6"/>
  <c r="N41" i="6"/>
  <c r="M41" i="6" s="1"/>
  <c r="O41" i="6"/>
  <c r="N42" i="6"/>
  <c r="M42" i="6" s="1"/>
  <c r="O42" i="6"/>
  <c r="N43" i="6"/>
  <c r="M43" i="6" s="1"/>
  <c r="O43" i="6"/>
  <c r="N44" i="6"/>
  <c r="M44" i="6" s="1"/>
  <c r="O44" i="6"/>
  <c r="N45" i="6"/>
  <c r="M45" i="6" s="1"/>
  <c r="O45" i="6"/>
  <c r="N46" i="6"/>
  <c r="M46" i="6" s="1"/>
  <c r="O46" i="6"/>
  <c r="N47" i="6"/>
  <c r="M47" i="6" s="1"/>
  <c r="O47" i="6"/>
  <c r="N48" i="6"/>
  <c r="M48" i="6" s="1"/>
  <c r="O48" i="6"/>
  <c r="N49" i="6"/>
  <c r="M49" i="6" s="1"/>
  <c r="O49" i="6"/>
  <c r="N50" i="6"/>
  <c r="M50" i="6" s="1"/>
  <c r="O50" i="6"/>
  <c r="N51" i="6"/>
  <c r="M51" i="6" s="1"/>
  <c r="O51" i="6"/>
  <c r="N52" i="6"/>
  <c r="O52" i="6"/>
  <c r="N53" i="6"/>
  <c r="O53" i="6"/>
  <c r="N54" i="6"/>
  <c r="O54" i="6"/>
  <c r="N55" i="6"/>
  <c r="O55" i="6"/>
  <c r="N56" i="6"/>
  <c r="M56" i="6" s="1"/>
  <c r="O56" i="6"/>
  <c r="N57" i="6"/>
  <c r="M57" i="6" s="1"/>
  <c r="O57" i="6"/>
  <c r="N58" i="6"/>
  <c r="M58" i="6" s="1"/>
  <c r="O58" i="6"/>
  <c r="N59" i="6"/>
  <c r="M59" i="6" s="1"/>
  <c r="O59" i="6"/>
  <c r="N60" i="6"/>
  <c r="O60" i="6"/>
  <c r="N61" i="6"/>
  <c r="M61" i="6" s="1"/>
  <c r="O61" i="6"/>
  <c r="N62" i="6"/>
  <c r="M62" i="6" s="1"/>
  <c r="O62" i="6"/>
  <c r="N63" i="6"/>
  <c r="M63" i="6" s="1"/>
  <c r="O63" i="6"/>
  <c r="N64" i="6"/>
  <c r="M64" i="6" s="1"/>
  <c r="O64" i="6"/>
  <c r="N65" i="6"/>
  <c r="M65" i="6" s="1"/>
  <c r="O65" i="6"/>
  <c r="N66" i="6"/>
  <c r="M66" i="6" s="1"/>
  <c r="O66" i="6"/>
  <c r="N67" i="6"/>
  <c r="M67" i="6" s="1"/>
  <c r="O67" i="6"/>
  <c r="N68" i="6"/>
  <c r="M68" i="6" s="1"/>
  <c r="O68" i="6"/>
  <c r="N69" i="6"/>
  <c r="M69" i="6" s="1"/>
  <c r="O69" i="6"/>
  <c r="N70" i="6"/>
  <c r="M70" i="6" s="1"/>
  <c r="O70" i="6"/>
  <c r="N71" i="6"/>
  <c r="M71" i="6" s="1"/>
  <c r="O71" i="6"/>
  <c r="N72" i="6"/>
  <c r="M72" i="6" s="1"/>
  <c r="O72" i="6"/>
  <c r="N73" i="6"/>
  <c r="M73" i="6" s="1"/>
  <c r="O73" i="6"/>
  <c r="N74" i="6"/>
  <c r="M74" i="6" s="1"/>
  <c r="O74" i="6"/>
  <c r="N75" i="6"/>
  <c r="M75" i="6" s="1"/>
  <c r="O75" i="6"/>
  <c r="N76" i="6"/>
  <c r="M76" i="6" s="1"/>
  <c r="O76" i="6"/>
  <c r="N77" i="6"/>
  <c r="M77" i="6" s="1"/>
  <c r="O77" i="6"/>
  <c r="N78" i="6"/>
  <c r="M78" i="6" s="1"/>
  <c r="O78" i="6"/>
  <c r="N79" i="6"/>
  <c r="M79" i="6" s="1"/>
  <c r="O79" i="6"/>
  <c r="N80" i="6"/>
  <c r="M80" i="6" s="1"/>
  <c r="O80" i="6"/>
  <c r="N81" i="6"/>
  <c r="O81" i="6"/>
  <c r="N82" i="6"/>
  <c r="M82" i="6" s="1"/>
  <c r="O82" i="6"/>
  <c r="N83" i="6"/>
  <c r="M83" i="6" s="1"/>
  <c r="O83" i="6"/>
  <c r="N84" i="6"/>
  <c r="M84" i="6" s="1"/>
  <c r="O84" i="6"/>
  <c r="N85" i="6"/>
  <c r="M85" i="6" s="1"/>
  <c r="O85" i="6"/>
  <c r="N86" i="6"/>
  <c r="M86" i="6" s="1"/>
  <c r="O86" i="6"/>
  <c r="N87" i="6"/>
  <c r="M87" i="6" s="1"/>
  <c r="O87" i="6"/>
  <c r="N88" i="6"/>
  <c r="M88" i="6" s="1"/>
  <c r="O88" i="6"/>
  <c r="N89" i="6"/>
  <c r="M89" i="6" s="1"/>
  <c r="O89" i="6"/>
  <c r="N90" i="6"/>
  <c r="M90" i="6" s="1"/>
  <c r="O90" i="6"/>
  <c r="N91" i="6"/>
  <c r="M91" i="6" s="1"/>
  <c r="O91" i="6"/>
  <c r="N92" i="6"/>
  <c r="M92" i="6" s="1"/>
  <c r="O92" i="6"/>
  <c r="N93" i="6"/>
  <c r="M93" i="6" s="1"/>
  <c r="O93" i="6"/>
  <c r="N94" i="6"/>
  <c r="M94" i="6" s="1"/>
  <c r="O94" i="6"/>
  <c r="N95" i="6"/>
  <c r="M95" i="6" s="1"/>
  <c r="O95" i="6"/>
  <c r="N96" i="6"/>
  <c r="M96" i="6" s="1"/>
  <c r="O96" i="6"/>
  <c r="N97" i="6"/>
  <c r="M97" i="6" s="1"/>
  <c r="O97" i="6"/>
  <c r="N98" i="6"/>
  <c r="M98" i="6" s="1"/>
  <c r="O98" i="6"/>
  <c r="N99" i="6"/>
  <c r="M99" i="6" s="1"/>
  <c r="O99" i="6"/>
  <c r="N100" i="6"/>
  <c r="M100" i="6" s="1"/>
  <c r="O100" i="6"/>
  <c r="N101" i="6"/>
  <c r="M101" i="6" s="1"/>
  <c r="O101" i="6"/>
  <c r="N102" i="6"/>
  <c r="M102" i="6" s="1"/>
  <c r="O102" i="6"/>
  <c r="N103" i="6"/>
  <c r="M103" i="6" s="1"/>
  <c r="O103" i="6"/>
  <c r="N3" i="6"/>
  <c r="M3" i="6" s="1"/>
  <c r="O3" i="6"/>
  <c r="M55" i="6" l="1"/>
  <c r="R55" i="6"/>
  <c r="M54" i="6"/>
  <c r="R54" i="6"/>
  <c r="M53" i="6"/>
  <c r="R53" i="6"/>
  <c r="M52" i="6"/>
  <c r="R52" i="6"/>
  <c r="M36" i="6"/>
  <c r="M60" i="6"/>
  <c r="M81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P4" i="6" l="1"/>
  <c r="Q4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36" i="6"/>
  <c r="Q36" i="6" s="1"/>
  <c r="P37" i="6"/>
  <c r="Q37" i="6" s="1"/>
  <c r="P38" i="6"/>
  <c r="Q38" i="6" s="1"/>
  <c r="P39" i="6"/>
  <c r="Q39" i="6" s="1"/>
  <c r="P40" i="6"/>
  <c r="Q40" i="6" s="1"/>
  <c r="P41" i="6"/>
  <c r="Q41" i="6" s="1"/>
  <c r="P42" i="6"/>
  <c r="Q42" i="6" s="1"/>
  <c r="P43" i="6"/>
  <c r="Q43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D23" i="6" s="1"/>
  <c r="P53" i="6"/>
  <c r="D24" i="6" s="1"/>
  <c r="P54" i="6"/>
  <c r="D25" i="6" s="1"/>
  <c r="P55" i="6"/>
  <c r="D26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2" i="6"/>
  <c r="Q92" i="6" s="1"/>
  <c r="P93" i="6"/>
  <c r="Q93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3" i="6"/>
  <c r="Q3" i="6" s="1"/>
  <c r="D4" i="6" l="1"/>
  <c r="G7" i="6"/>
  <c r="D7" i="6"/>
  <c r="G6" i="6"/>
  <c r="D6" i="6"/>
  <c r="G5" i="6"/>
  <c r="D5" i="6"/>
  <c r="G4" i="6"/>
  <c r="G8" i="6" l="1"/>
  <c r="G12" i="6" s="1"/>
  <c r="D8" i="6"/>
  <c r="D14" i="6" s="1"/>
  <c r="H15" i="1"/>
  <c r="J13" i="1"/>
  <c r="G14" i="6" l="1"/>
  <c r="I14" i="6" s="1"/>
  <c r="J14" i="6" s="1"/>
  <c r="G15" i="6"/>
  <c r="G16" i="6"/>
  <c r="G13" i="6"/>
  <c r="D13" i="6"/>
  <c r="D16" i="6"/>
  <c r="D12" i="6"/>
  <c r="D15" i="6"/>
  <c r="S15" i="1"/>
  <c r="U13" i="1"/>
  <c r="I13" i="6" l="1"/>
  <c r="J13" i="6" s="1"/>
  <c r="I15" i="6"/>
  <c r="J15" i="6" s="1"/>
  <c r="I12" i="6"/>
  <c r="J12" i="6" s="1"/>
  <c r="B26" i="1"/>
  <c r="C26" i="1"/>
  <c r="D26" i="1"/>
  <c r="E26" i="1"/>
  <c r="F26" i="1"/>
  <c r="G26" i="1"/>
  <c r="H26" i="1"/>
  <c r="S28" i="1"/>
  <c r="U26" i="1"/>
  <c r="J27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K12" i="6" l="1"/>
  <c r="D33" i="6" s="1"/>
  <c r="D43" i="6" s="1"/>
  <c r="Q52" i="6" s="1"/>
  <c r="K15" i="6"/>
  <c r="D36" i="6" s="1"/>
  <c r="D46" i="6" s="1"/>
  <c r="Q55" i="6" s="1"/>
  <c r="K14" i="6"/>
  <c r="D35" i="6" s="1"/>
  <c r="D45" i="6" s="1"/>
  <c r="Q54" i="6" s="1"/>
  <c r="K13" i="6"/>
  <c r="D34" i="6" s="1"/>
  <c r="D44" i="6" s="1"/>
  <c r="Q5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0" i="1" l="1"/>
  <c r="H21" i="1"/>
  <c r="H22" i="1"/>
  <c r="J24" i="1"/>
  <c r="J25" i="1"/>
  <c r="J23" i="1"/>
  <c r="U20" i="1"/>
  <c r="U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U22" i="1"/>
  <c r="D20" i="1"/>
  <c r="G20" i="1"/>
  <c r="E22" i="1"/>
  <c r="C20" i="1"/>
  <c r="F102" i="4"/>
  <c r="G101" i="4" s="1"/>
  <c r="B102" i="4"/>
  <c r="C102" i="4" s="1"/>
  <c r="F102" i="3"/>
  <c r="G101" i="3" s="1"/>
  <c r="B102" i="3"/>
  <c r="C14" i="3" s="1"/>
  <c r="F28" i="1" l="1"/>
  <c r="S36" i="1"/>
  <c r="S35" i="1"/>
  <c r="M39" i="1"/>
  <c r="N39" i="1"/>
  <c r="O39" i="1"/>
  <c r="P39" i="1"/>
  <c r="R39" i="1"/>
  <c r="S39" i="1"/>
  <c r="S34" i="1"/>
  <c r="S33" i="1"/>
  <c r="S38" i="1"/>
  <c r="S37" i="1"/>
  <c r="Q39" i="1"/>
  <c r="G28" i="1"/>
  <c r="S41" i="1"/>
  <c r="U39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F39" i="1" l="1"/>
  <c r="AB39" i="1" s="1"/>
  <c r="E39" i="1"/>
  <c r="AA39" i="1" s="1"/>
  <c r="G39" i="1"/>
  <c r="AC39" i="1" s="1"/>
  <c r="D39" i="1"/>
  <c r="Z39" i="1" s="1"/>
  <c r="H39" i="1"/>
  <c r="AD39" i="1" s="1"/>
  <c r="C39" i="1"/>
  <c r="Y39" i="1" s="1"/>
  <c r="B39" i="1"/>
  <c r="X39" i="1" s="1"/>
  <c r="H36" i="1"/>
  <c r="AD36" i="1" s="1"/>
  <c r="H38" i="1"/>
  <c r="AD38" i="1" s="1"/>
  <c r="H37" i="1"/>
  <c r="AD37" i="1" s="1"/>
  <c r="H34" i="1"/>
  <c r="AD34" i="1" s="1"/>
  <c r="H35" i="1"/>
  <c r="AD35" i="1" s="1"/>
  <c r="H33" i="1"/>
  <c r="AD33" i="1" s="1"/>
  <c r="J39" i="1"/>
  <c r="AF39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<sst xmlns="http://schemas.openxmlformats.org/spreadsheetml/2006/main" count="725" uniqueCount="291">
  <si>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</si>
  <si>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</si>
  <si>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</si>
  <si>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</si>
  <si>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</si>
  <si>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</si>
  <si>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</si>
  <si>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</si>
  <si>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</si>
  <si>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</si>
  <si>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</si>
  <si>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</si>
  <si>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</si>
  <si>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</si>
  <si>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</si>
  <si>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</si>
  <si>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</si>
  <si>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</si>
  <si>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</si>
  <si>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</si>
  <si>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</si>
  <si>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</si>
  <si>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</si>
  <si>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</si>
  <si>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</si>
  <si>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</si>
  <si>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</si>
  <si>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</si>
  <si>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</si>
  <si>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</si>
  <si>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</si>
  <si>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</si>
  <si>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</si>
  <si>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</si>
  <si>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</si>
  <si>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</si>
  <si>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</si>
  <si>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</si>
  <si>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</si>
  <si>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</si>
  <si>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</si>
  <si>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</si>
  <si>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</si>
  <si>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</si>
  <si>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</si>
  <si>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</si>
  <si>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</si>
  <si>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</si>
  <si>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</si>
  <si>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</si>
  <si>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</si>
  <si>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</si>
  <si>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</si>
  <si>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</si>
  <si>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</si>
  <si>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</si>
  <si>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</si>
  <si>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</si>
  <si>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</si>
  <si>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</si>
  <si>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</si>
  <si>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</si>
  <si>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</si>
  <si>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</si>
  <si>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</si>
  <si>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</si>
  <si>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</si>
  <si>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</si>
  <si>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</si>
  <si>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</si>
  <si>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</si>
  <si>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</si>
  <si>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</si>
  <si>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</si>
  <si>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</si>
  <si>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</si>
  <si>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</si>
  <si>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</si>
  <si>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</si>
  <si>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</si>
  <si>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</si>
  <si>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</si>
  <si>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</si>
  <si>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</si>
  <si>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</si>
  <si>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</si>
  <si>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</si>
  <si>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</si>
  <si>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</si>
  <si>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</si>
  <si>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</si>
  <si>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</si>
  <si>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</si>
  <si>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</si>
  <si>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</si>
  <si>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</si>
  <si>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</si>
  <si>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</si>
  <si>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</si>
  <si>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</si>
  <si>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</si>
  <si>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</si>
  <si>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</si>
  <si>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</si>
  <si>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</si>
  <si>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</si>
  <si>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</si>
  <si>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</si>
  <si>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</si>
  <si>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</si>
  <si>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</si>
  <si>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</si>
  <si>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</si>
  <si>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</si>
  <si>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</si>
  <si>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</si>
  <si>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</si>
  <si>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</si>
  <si>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</si>
  <si>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</si>
  <si>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</si>
  <si>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</si>
  <si>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</si>
  <si>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</si>
  <si>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</si>
  <si>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</si>
  <si>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</si>
  <si>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</si>
  <si>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</si>
  <si>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</si>
  <si>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</si>
  <si>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</si>
  <si>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</si>
  <si>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</si>
  <si>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</si>
  <si>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</si>
  <si>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</si>
  <si>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</si>
  <si>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</si>
  <si>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</si>
  <si>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</si>
  <si>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</si>
  <si>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</si>
  <si>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</si>
  <si>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</si>
  <si>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</si>
  <si>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</si>
  <si>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</si>
  <si>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</si>
  <si>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</si>
  <si>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</si>
  <si>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</si>
  <si>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</si>
  <si>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</si>
  <si>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</si>
  <si>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</si>
  <si>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</si>
  <si>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</si>
  <si>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</si>
  <si>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</si>
  <si>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</si>
  <si>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</si>
  <si>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</si>
  <si>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</si>
  <si>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</si>
  <si>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</si>
  <si>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</si>
  <si>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</si>
  <si>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</si>
  <si>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</si>
  <si>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</si>
  <si>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</si>
  <si>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</si>
  <si>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</si>
  <si>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</si>
  <si>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</si>
  <si>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</si>
  <si>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</si>
  <si>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</si>
  <si>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</si>
  <si>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</si>
  <si>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</si>
  <si>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</si>
  <si>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</si>
  <si>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</si>
  <si>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</si>
  <si>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</si>
  <si>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</si>
  <si>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</si>
  <si>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</si>
  <si>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</si>
  <si>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</si>
  <si>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</si>
  <si>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</si>
  <si>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</si>
  <si>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</si>
  <si>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</si>
  <si>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</si>
  <si>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</si>
  <si>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</si>
  <si>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</si>
  <si>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</si>
  <si>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</si>
  <si>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</si>
  <si>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</si>
  <si>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</si>
  <si>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</si>
  <si>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</si>
  <si>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</si>
  <si>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</si>
  <si>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</si>
  <si>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</si>
  <si>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</si>
  <si>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</si>
  <si>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</si>
  <si>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</si>
  <si>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</si>
  <si>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</si>
  <si>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</si>
  <si>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</si>
  <si>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</si>
  <si>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</si>
  <si>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</si>
  <si>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</si>
  <si>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</si>
  <si>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</si>
  <si>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</si>
  <si>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</si>
  <si>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</si>
  <si>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</si>
  <si>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</si>
  <si>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</si>
  <si>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</si>
  <si>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</si>
  <si>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</si>
  <si>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</si>
  <si>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</si>
  <si>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</si>
  <si>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</si>
  <si>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</si>
  <si>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</si>
  <si>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</si>
  <si>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</si>
  <si>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</si>
  <si>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</si>
  <si>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</si>
  <si>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</si>
  <si>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</si>
  <si>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</si>
  <si>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</si>
  <si>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</si>
  <si>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</si>
  <si>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</si>
  <si>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</si>
  <si>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</si>
  <si>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</si>
  <si>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</si>
  <si>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</si>
  <si>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</si>
  <si>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</si>
  <si>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</si>
  <si>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</si>
  <si>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</si>
  <si>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</si>
  <si>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</si>
  <si>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</si>
  <si>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</si>
  <si>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</si>
  <si>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</si>
  <si>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</si>
  <si>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</si>
  <si>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</si>
  <si>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</si>
  <si>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</si>
  <si>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</si>
  <si>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</si>
  <si>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</si>
  <si>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</si>
  <si>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</si>
  <si>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</si>
  <si>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</si>
  <si>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</si>
  <si>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</si>
  <si>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</si>
  <si>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Calibration Note:</t>
  </si>
  <si>
    <t>As iteration=1 coefficients didn't work as expected, reversed the coeffcients back to iteratin=0</t>
  </si>
  <si>
    <t>this was done only for this purpose not for escort</t>
  </si>
  <si>
    <t>Distance from origin is 0-1 mile</t>
  </si>
  <si>
    <t>Distance from origin is 1-3.5 mile</t>
  </si>
  <si>
    <t>Distance from origin is 3.5-10 mile</t>
  </si>
  <si>
    <t>Distance from origin is over 10 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</si>
</sst>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  <numFmt numFmtId="173" formatCode="0.0000000000"/>
    <numFmt numFmtId="17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9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8" fillId="0" borderId="0" xfId="0" applyFont="1"/>
    <xf numFmtId="0" fontId="0" fillId="0" borderId="12" xfId="0" applyFont="1" applyBorder="1" applyAlignment="1">
      <alignment horizontal="lef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1" fontId="0" fillId="0" borderId="0" xfId="0" applyNumberFormat="1" applyFont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7" borderId="0" xfId="0" applyNumberFormat="1" applyFont="1" applyFill="1" applyBorder="1" applyAlignment="1">
      <alignment horizontal="right"/>
    </xf>
    <xf numFmtId="173" fontId="7" fillId="6" borderId="0" xfId="0" applyNumberFormat="1" applyFont="1" applyFill="1" applyAlignment="1">
      <alignment horizontal="right"/>
    </xf>
    <xf numFmtId="173" fontId="7" fillId="6" borderId="1" xfId="0" applyNumberFormat="1" applyFont="1" applyFill="1" applyBorder="1" applyAlignment="1">
      <alignment horizontal="right"/>
    </xf>
    <xf numFmtId="174" fontId="0" fillId="0" borderId="0" xfId="0" applyNumberFormat="1" applyFont="1" applyBorder="1" applyAlignment="1">
      <alignment horizontal="right" vertical="top"/>
    </xf>
    <xf numFmtId="174" fontId="0" fillId="0" borderId="0" xfId="0" applyNumberFormat="1" applyFont="1" applyAlignment="1">
      <alignment horizontal="right"/>
    </xf>
    <xf numFmtId="170" fontId="0" fillId="0" borderId="6" xfId="0" applyNumberFormat="1" applyFont="1" applyBorder="1" applyAlignment="1">
      <alignment horizontal="right" vertical="top"/>
    </xf>
    <xf numFmtId="1" fontId="0" fillId="0" borderId="0" xfId="0" applyNumberFormat="1" applyFont="1" applyAlignment="1">
      <alignment horizontal="left"/>
    </xf>
    <xf numFmtId="0" fontId="6" fillId="8" borderId="2" xfId="0" applyFont="1" applyFill="1" applyBorder="1" applyAlignment="1">
      <alignment horizontal="left"/>
    </xf>
    <xf numFmtId="0" fontId="0" fillId="8" borderId="0" xfId="0" applyFont="1" applyFill="1"/>
    <xf numFmtId="0" fontId="1" fillId="8" borderId="2" xfId="0" applyFont="1" applyFill="1" applyBorder="1" applyAlignment="1">
      <alignment horizontal="left"/>
    </xf>
    <xf numFmtId="166" fontId="6" fillId="8" borderId="2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left"/>
    </xf>
    <xf numFmtId="0" fontId="0" fillId="8" borderId="0" xfId="0" applyFont="1" applyFill="1" applyBorder="1" applyAlignment="1">
      <alignment horizontal="left" vertical="top"/>
    </xf>
    <xf numFmtId="167" fontId="7" fillId="8" borderId="0" xfId="0" applyNumberFormat="1" applyFont="1" applyFill="1" applyAlignment="1">
      <alignment horizontal="right"/>
    </xf>
    <xf numFmtId="3" fontId="0" fillId="8" borderId="0" xfId="0" applyNumberFormat="1" applyFont="1" applyFill="1"/>
    <xf numFmtId="3" fontId="0" fillId="8" borderId="1" xfId="0" applyNumberFormat="1" applyFont="1" applyFill="1" applyBorder="1"/>
    <xf numFmtId="167" fontId="7" fillId="8" borderId="1" xfId="0" applyNumberFormat="1" applyFont="1" applyFill="1" applyBorder="1" applyAlignment="1">
      <alignment horizontal="right"/>
    </xf>
    <xf numFmtId="166" fontId="7" fillId="8" borderId="0" xfId="0" applyNumberFormat="1" applyFont="1" applyFill="1" applyAlignment="1">
      <alignment horizontal="right"/>
    </xf>
    <xf numFmtId="166" fontId="6" fillId="8" borderId="2" xfId="0" applyNumberFormat="1" applyFont="1" applyFill="1" applyBorder="1" applyAlignment="1">
      <alignment horizontal="left"/>
    </xf>
    <xf numFmtId="0" fontId="0" fillId="8" borderId="1" xfId="0" applyFont="1" applyFill="1" applyBorder="1" applyAlignment="1">
      <alignment horizontal="left"/>
    </xf>
    <xf numFmtId="0" fontId="0" fillId="8" borderId="1" xfId="0" applyFont="1" applyFill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4.8818074454357388E-2</c:v>
                </c:pt>
                <c:pt idx="1">
                  <c:v>8.3848995142321969E-2</c:v>
                </c:pt>
                <c:pt idx="2">
                  <c:v>9.7057898321178407E-2</c:v>
                </c:pt>
                <c:pt idx="3">
                  <c:v>0.10616704821274628</c:v>
                </c:pt>
                <c:pt idx="4">
                  <c:v>0.16554865683076439</c:v>
                </c:pt>
                <c:pt idx="5">
                  <c:v>0.10163203446166852</c:v>
                </c:pt>
                <c:pt idx="6">
                  <c:v>0.10951698186318666</c:v>
                </c:pt>
                <c:pt idx="7">
                  <c:v>3.6874162435352367E-2</c:v>
                </c:pt>
                <c:pt idx="8">
                  <c:v>3.696837443250163E-2</c:v>
                </c:pt>
                <c:pt idx="9">
                  <c:v>2.3831116420193196E-2</c:v>
                </c:pt>
                <c:pt idx="10">
                  <c:v>4.6352666898312481E-2</c:v>
                </c:pt>
                <c:pt idx="11">
                  <c:v>1.0323501198655277E-2</c:v>
                </c:pt>
                <c:pt idx="12">
                  <c:v>2.568155067865455E-2</c:v>
                </c:pt>
                <c:pt idx="13">
                  <c:v>7.6967785414554868E-3</c:v>
                </c:pt>
                <c:pt idx="14">
                  <c:v>9.6314207374361242E-3</c:v>
                </c:pt>
                <c:pt idx="15">
                  <c:v>1.7269513516143361E-2</c:v>
                </c:pt>
                <c:pt idx="16">
                  <c:v>1.7227883609637583E-2</c:v>
                </c:pt>
                <c:pt idx="17">
                  <c:v>6.6705048377066738E-3</c:v>
                </c:pt>
                <c:pt idx="18">
                  <c:v>7.7951893685674224E-3</c:v>
                </c:pt>
                <c:pt idx="19">
                  <c:v>2.6111719713878072E-3</c:v>
                </c:pt>
                <c:pt idx="20">
                  <c:v>3.382268932789072E-3</c:v>
                </c:pt>
                <c:pt idx="21">
                  <c:v>8.3667559988107498E-4</c:v>
                </c:pt>
                <c:pt idx="22">
                  <c:v>2.3258958947075204E-3</c:v>
                </c:pt>
                <c:pt idx="23">
                  <c:v>1.8336588730983434E-3</c:v>
                </c:pt>
                <c:pt idx="24">
                  <c:v>9.9662209547153723E-3</c:v>
                </c:pt>
                <c:pt idx="25">
                  <c:v>1.4261384807941428E-3</c:v>
                </c:pt>
                <c:pt idx="26">
                  <c:v>7.1428636897960507E-4</c:v>
                </c:pt>
                <c:pt idx="27">
                  <c:v>1.922523231474599E-3</c:v>
                </c:pt>
                <c:pt idx="28">
                  <c:v>5.8871157873377565E-4</c:v>
                </c:pt>
                <c:pt idx="29">
                  <c:v>5.0779101559939466E-4</c:v>
                </c:pt>
                <c:pt idx="30">
                  <c:v>0</c:v>
                </c:pt>
                <c:pt idx="31">
                  <c:v>1.385990710037891E-3</c:v>
                </c:pt>
                <c:pt idx="32">
                  <c:v>0</c:v>
                </c:pt>
                <c:pt idx="33">
                  <c:v>7.1105884457272792E-4</c:v>
                </c:pt>
                <c:pt idx="34">
                  <c:v>8.6317566176296939E-4</c:v>
                </c:pt>
                <c:pt idx="35">
                  <c:v>2.9685482531318323E-4</c:v>
                </c:pt>
                <c:pt idx="36">
                  <c:v>6.707155175665416E-4</c:v>
                </c:pt>
                <c:pt idx="37">
                  <c:v>5.8797229476594025E-4</c:v>
                </c:pt>
                <c:pt idx="38">
                  <c:v>5.7833439383262754E-4</c:v>
                </c:pt>
                <c:pt idx="39">
                  <c:v>3.1518779807405723E-4</c:v>
                </c:pt>
                <c:pt idx="40">
                  <c:v>0</c:v>
                </c:pt>
                <c:pt idx="41">
                  <c:v>5.5040266731399808E-4</c:v>
                </c:pt>
                <c:pt idx="42">
                  <c:v>1.2315944742915516E-4</c:v>
                </c:pt>
                <c:pt idx="43">
                  <c:v>1.5737301033587209E-3</c:v>
                </c:pt>
                <c:pt idx="44">
                  <c:v>6.0876547574243345E-4</c:v>
                </c:pt>
                <c:pt idx="45">
                  <c:v>5.6948020563904347E-4</c:v>
                </c:pt>
                <c:pt idx="46">
                  <c:v>0</c:v>
                </c:pt>
                <c:pt idx="47">
                  <c:v>3.735161245056385E-4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1.6690889929188183E-4</c:v>
                </c:pt>
                <c:pt idx="53">
                  <c:v>3.6097587075762241E-5</c:v>
                </c:pt>
                <c:pt idx="54">
                  <c:v>6.1557686212604184E-4</c:v>
                </c:pt>
                <c:pt idx="55">
                  <c:v>0</c:v>
                </c:pt>
                <c:pt idx="56">
                  <c:v>0</c:v>
                </c:pt>
                <c:pt idx="57">
                  <c:v>4.998457674275878E-4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0.11048427434365007</c:v>
                </c:pt>
                <c:pt idx="1">
                  <c:v>0.11475406923180118</c:v>
                </c:pt>
                <c:pt idx="2">
                  <c:v>6.704448635860058E-2</c:v>
                </c:pt>
                <c:pt idx="3">
                  <c:v>4.239943637996732E-2</c:v>
                </c:pt>
                <c:pt idx="4">
                  <c:v>0.18814194624820427</c:v>
                </c:pt>
                <c:pt idx="5">
                  <c:v>9.6206314783209734E-2</c:v>
                </c:pt>
                <c:pt idx="6">
                  <c:v>9.9343361339610387E-2</c:v>
                </c:pt>
                <c:pt idx="7">
                  <c:v>4.7500801808132868E-2</c:v>
                </c:pt>
                <c:pt idx="8">
                  <c:v>7.2015252567340773E-2</c:v>
                </c:pt>
                <c:pt idx="9">
                  <c:v>3.1760486362154304E-2</c:v>
                </c:pt>
                <c:pt idx="10">
                  <c:v>1.9621866396110098E-2</c:v>
                </c:pt>
                <c:pt idx="11">
                  <c:v>2.0999821425557112E-2</c:v>
                </c:pt>
                <c:pt idx="12">
                  <c:v>1.6823311694138404E-2</c:v>
                </c:pt>
                <c:pt idx="13">
                  <c:v>1.7037423339590841E-2</c:v>
                </c:pt>
                <c:pt idx="14">
                  <c:v>9.9761811899809968E-3</c:v>
                </c:pt>
                <c:pt idx="15">
                  <c:v>1.1988475285208262E-2</c:v>
                </c:pt>
                <c:pt idx="16">
                  <c:v>9.0433296226570987E-3</c:v>
                </c:pt>
                <c:pt idx="17">
                  <c:v>6.8915520073633083E-3</c:v>
                </c:pt>
                <c:pt idx="18">
                  <c:v>4.3630800448834868E-3</c:v>
                </c:pt>
                <c:pt idx="19">
                  <c:v>2.7408067478040228E-3</c:v>
                </c:pt>
                <c:pt idx="20">
                  <c:v>2.3952074528621218E-3</c:v>
                </c:pt>
                <c:pt idx="21">
                  <c:v>2.0638230389461087E-3</c:v>
                </c:pt>
                <c:pt idx="22">
                  <c:v>1.2979963236763948E-3</c:v>
                </c:pt>
                <c:pt idx="23">
                  <c:v>1.181611985276937E-3</c:v>
                </c:pt>
                <c:pt idx="24">
                  <c:v>1.0341325946333494E-3</c:v>
                </c:pt>
                <c:pt idx="25">
                  <c:v>6.2545476513907038E-4</c:v>
                </c:pt>
                <c:pt idx="26">
                  <c:v>4.2022742032781293E-4</c:v>
                </c:pt>
                <c:pt idx="27">
                  <c:v>8.7599204322034573E-4</c:v>
                </c:pt>
                <c:pt idx="28">
                  <c:v>2.3809925718362338E-4</c:v>
                </c:pt>
                <c:pt idx="29">
                  <c:v>1.9101246378536952E-4</c:v>
                </c:pt>
                <c:pt idx="30">
                  <c:v>1.8123973308007153E-4</c:v>
                </c:pt>
                <c:pt idx="31">
                  <c:v>9.5062016860625762E-5</c:v>
                </c:pt>
                <c:pt idx="32">
                  <c:v>7.107440512943982E-5</c:v>
                </c:pt>
                <c:pt idx="33">
                  <c:v>4.9752083590607872E-5</c:v>
                </c:pt>
                <c:pt idx="34">
                  <c:v>4.5309933270017883E-5</c:v>
                </c:pt>
                <c:pt idx="35">
                  <c:v>2.0433891474713947E-5</c:v>
                </c:pt>
                <c:pt idx="36">
                  <c:v>2.1322321538831944E-5</c:v>
                </c:pt>
                <c:pt idx="37">
                  <c:v>1.5103311090005962E-5</c:v>
                </c:pt>
                <c:pt idx="38">
                  <c:v>7.9958705770619802E-6</c:v>
                </c:pt>
                <c:pt idx="39">
                  <c:v>7.1074405129439821E-6</c:v>
                </c:pt>
                <c:pt idx="40">
                  <c:v>1.7768601282359955E-6</c:v>
                </c:pt>
                <c:pt idx="41">
                  <c:v>9.7727307052979747E-6</c:v>
                </c:pt>
                <c:pt idx="42">
                  <c:v>4.4421503205899887E-6</c:v>
                </c:pt>
                <c:pt idx="43">
                  <c:v>8.8843006411799777E-7</c:v>
                </c:pt>
                <c:pt idx="44">
                  <c:v>2.665290192353993E-6</c:v>
                </c:pt>
                <c:pt idx="45">
                  <c:v>4.4421503205899887E-6</c:v>
                </c:pt>
                <c:pt idx="46">
                  <c:v>0</c:v>
                </c:pt>
                <c:pt idx="47">
                  <c:v>8.8843006411799777E-7</c:v>
                </c:pt>
                <c:pt idx="48">
                  <c:v>8.8843006411799777E-7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7096"/>
        <c:axId val="119587488"/>
      </c:lineChart>
      <c:catAx>
        <c:axId val="11958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9587488"/>
        <c:crosses val="autoZero"/>
        <c:auto val="1"/>
        <c:lblAlgn val="ctr"/>
        <c:lblOffset val="100"/>
        <c:tickLblSkip val="10"/>
        <c:noMultiLvlLbl val="0"/>
      </c:catAx>
      <c:valAx>
        <c:axId val="119587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9587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2.9961232513779769E-3</c:v>
                </c:pt>
                <c:pt idx="1">
                  <c:v>8.2927543931059864E-3</c:v>
                </c:pt>
                <c:pt idx="2">
                  <c:v>5.975816646506333E-3</c:v>
                </c:pt>
                <c:pt idx="3">
                  <c:v>1.2364240496473356E-2</c:v>
                </c:pt>
                <c:pt idx="4">
                  <c:v>1.4504850883308631E-2</c:v>
                </c:pt>
                <c:pt idx="5">
                  <c:v>2.5156091906956494E-2</c:v>
                </c:pt>
                <c:pt idx="6">
                  <c:v>1.9102068402966136E-2</c:v>
                </c:pt>
                <c:pt idx="7">
                  <c:v>2.7819774369464791E-2</c:v>
                </c:pt>
                <c:pt idx="8">
                  <c:v>2.3463059777122732E-2</c:v>
                </c:pt>
                <c:pt idx="9">
                  <c:v>2.6061735885817332E-2</c:v>
                </c:pt>
                <c:pt idx="10">
                  <c:v>8.6687109464434267E-3</c:v>
                </c:pt>
                <c:pt idx="11">
                  <c:v>1.5080988081552185E-2</c:v>
                </c:pt>
                <c:pt idx="12">
                  <c:v>3.3166763836908787E-2</c:v>
                </c:pt>
                <c:pt idx="13">
                  <c:v>2.8177832678650858E-2</c:v>
                </c:pt>
                <c:pt idx="14">
                  <c:v>2.1926429811253794E-2</c:v>
                </c:pt>
                <c:pt idx="15">
                  <c:v>1.2870366957390682E-2</c:v>
                </c:pt>
                <c:pt idx="16">
                  <c:v>4.3994740688153754E-2</c:v>
                </c:pt>
                <c:pt idx="17">
                  <c:v>2.2432393072650891E-2</c:v>
                </c:pt>
                <c:pt idx="18">
                  <c:v>6.8696042936116447E-2</c:v>
                </c:pt>
                <c:pt idx="19">
                  <c:v>5.5976918904681594E-2</c:v>
                </c:pt>
                <c:pt idx="20">
                  <c:v>7.0016108504099742E-2</c:v>
                </c:pt>
                <c:pt idx="21">
                  <c:v>4.6441807083525105E-2</c:v>
                </c:pt>
                <c:pt idx="22">
                  <c:v>4.6655486015887551E-2</c:v>
                </c:pt>
                <c:pt idx="23">
                  <c:v>2.630149954648096E-2</c:v>
                </c:pt>
                <c:pt idx="24">
                  <c:v>2.6682578490607751E-2</c:v>
                </c:pt>
                <c:pt idx="25">
                  <c:v>1.7535272530734832E-2</c:v>
                </c:pt>
                <c:pt idx="26">
                  <c:v>4.815391725630442E-2</c:v>
                </c:pt>
                <c:pt idx="27">
                  <c:v>6.2600645624602044E-3</c:v>
                </c:pt>
                <c:pt idx="28">
                  <c:v>1.923914294738999E-2</c:v>
                </c:pt>
                <c:pt idx="29">
                  <c:v>2.4980163742044682E-2</c:v>
                </c:pt>
                <c:pt idx="30">
                  <c:v>7.7427933458485577E-3</c:v>
                </c:pt>
                <c:pt idx="31">
                  <c:v>1.7231835979233143E-2</c:v>
                </c:pt>
                <c:pt idx="32">
                  <c:v>6.6922628250131238E-3</c:v>
                </c:pt>
                <c:pt idx="33">
                  <c:v>4.5330665438234287E-3</c:v>
                </c:pt>
                <c:pt idx="34">
                  <c:v>1.6638244774642E-2</c:v>
                </c:pt>
                <c:pt idx="35">
                  <c:v>1.0940410963533837E-2</c:v>
                </c:pt>
                <c:pt idx="36">
                  <c:v>3.8475040726051522E-3</c:v>
                </c:pt>
                <c:pt idx="37">
                  <c:v>7.1057934280939327E-3</c:v>
                </c:pt>
                <c:pt idx="38">
                  <c:v>1.1911835913533309E-2</c:v>
                </c:pt>
                <c:pt idx="39">
                  <c:v>3.7789638631240052E-3</c:v>
                </c:pt>
                <c:pt idx="40">
                  <c:v>3.8725406392117814E-3</c:v>
                </c:pt>
                <c:pt idx="41">
                  <c:v>6.5322653162629835E-3</c:v>
                </c:pt>
                <c:pt idx="42">
                  <c:v>5.8880133361360991E-3</c:v>
                </c:pt>
                <c:pt idx="43">
                  <c:v>2.219623598437265E-3</c:v>
                </c:pt>
                <c:pt idx="44">
                  <c:v>4.6482446762276909E-4</c:v>
                </c:pt>
                <c:pt idx="45">
                  <c:v>4.4258216957131745E-2</c:v>
                </c:pt>
                <c:pt idx="46">
                  <c:v>1.5806632063179948E-3</c:v>
                </c:pt>
                <c:pt idx="47">
                  <c:v>2.5148314300353775E-3</c:v>
                </c:pt>
                <c:pt idx="48">
                  <c:v>2.7211095283974848E-3</c:v>
                </c:pt>
                <c:pt idx="49">
                  <c:v>0</c:v>
                </c:pt>
                <c:pt idx="50">
                  <c:v>5.4177574605005321E-4</c:v>
                </c:pt>
                <c:pt idx="51">
                  <c:v>3.1168763607490923E-3</c:v>
                </c:pt>
                <c:pt idx="52">
                  <c:v>3.4257071861829805E-3</c:v>
                </c:pt>
                <c:pt idx="53">
                  <c:v>9.3545234893149679E-4</c:v>
                </c:pt>
                <c:pt idx="54">
                  <c:v>4.6354882395732125E-4</c:v>
                </c:pt>
                <c:pt idx="55">
                  <c:v>0</c:v>
                </c:pt>
                <c:pt idx="56">
                  <c:v>5.5040266731399786E-4</c:v>
                </c:pt>
                <c:pt idx="57">
                  <c:v>1.2618076877617083E-3</c:v>
                </c:pt>
                <c:pt idx="58">
                  <c:v>2.6695737548682724E-4</c:v>
                </c:pt>
                <c:pt idx="59">
                  <c:v>6.8695821229493553E-4</c:v>
                </c:pt>
                <c:pt idx="60">
                  <c:v>1.1721858454596247E-3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1.4625335715510479E-2</c:v>
                </c:pt>
                <c:pt idx="1">
                  <c:v>2.096161893280004E-2</c:v>
                </c:pt>
                <c:pt idx="2">
                  <c:v>2.6758625101169973E-2</c:v>
                </c:pt>
                <c:pt idx="3">
                  <c:v>3.0970672035153402E-2</c:v>
                </c:pt>
                <c:pt idx="4">
                  <c:v>3.1474411881508305E-2</c:v>
                </c:pt>
                <c:pt idx="5">
                  <c:v>3.077965957136803E-2</c:v>
                </c:pt>
                <c:pt idx="6">
                  <c:v>3.0004948555457139E-2</c:v>
                </c:pt>
                <c:pt idx="7">
                  <c:v>2.8518605058187728E-2</c:v>
                </c:pt>
                <c:pt idx="8">
                  <c:v>2.6242447233917415E-2</c:v>
                </c:pt>
                <c:pt idx="9">
                  <c:v>2.3316847032776849E-2</c:v>
                </c:pt>
                <c:pt idx="10">
                  <c:v>2.0713746944911116E-2</c:v>
                </c:pt>
                <c:pt idx="11">
                  <c:v>1.8702341279747969E-2</c:v>
                </c:pt>
                <c:pt idx="12">
                  <c:v>1.5679013771554423E-2</c:v>
                </c:pt>
                <c:pt idx="13">
                  <c:v>1.3337112122539381E-2</c:v>
                </c:pt>
                <c:pt idx="14">
                  <c:v>1.17139503953958E-2</c:v>
                </c:pt>
                <c:pt idx="15">
                  <c:v>1.0686036811211276E-2</c:v>
                </c:pt>
                <c:pt idx="16">
                  <c:v>1.1801016541679364E-2</c:v>
                </c:pt>
                <c:pt idx="17">
                  <c:v>1.009434238850869E-2</c:v>
                </c:pt>
                <c:pt idx="18">
                  <c:v>0.12553250276968073</c:v>
                </c:pt>
                <c:pt idx="19">
                  <c:v>4.7362206718130462E-2</c:v>
                </c:pt>
                <c:pt idx="20">
                  <c:v>4.8883198987900472E-2</c:v>
                </c:pt>
                <c:pt idx="21">
                  <c:v>5.3660287442662942E-2</c:v>
                </c:pt>
                <c:pt idx="22">
                  <c:v>5.0559666518891135E-2</c:v>
                </c:pt>
                <c:pt idx="23">
                  <c:v>3.4363586450020037E-2</c:v>
                </c:pt>
                <c:pt idx="24">
                  <c:v>3.4362698019955916E-2</c:v>
                </c:pt>
                <c:pt idx="25">
                  <c:v>3.3726582094047428E-2</c:v>
                </c:pt>
                <c:pt idx="26">
                  <c:v>2.8195216514848777E-2</c:v>
                </c:pt>
                <c:pt idx="27">
                  <c:v>1.9146556311806968E-2</c:v>
                </c:pt>
                <c:pt idx="28">
                  <c:v>1.9549015130852422E-2</c:v>
                </c:pt>
                <c:pt idx="29">
                  <c:v>1.8057341053198304E-2</c:v>
                </c:pt>
                <c:pt idx="30">
                  <c:v>2.1482238950373184E-2</c:v>
                </c:pt>
                <c:pt idx="31">
                  <c:v>1.3663165956070688E-2</c:v>
                </c:pt>
                <c:pt idx="32">
                  <c:v>1.3390417926386462E-2</c:v>
                </c:pt>
                <c:pt idx="33">
                  <c:v>8.0598375416784749E-3</c:v>
                </c:pt>
                <c:pt idx="34">
                  <c:v>9.6581232270267527E-3</c:v>
                </c:pt>
                <c:pt idx="35">
                  <c:v>7.1358702749957578E-3</c:v>
                </c:pt>
                <c:pt idx="36">
                  <c:v>7.1945066592275456E-3</c:v>
                </c:pt>
                <c:pt idx="37">
                  <c:v>4.8837000624566331E-3</c:v>
                </c:pt>
                <c:pt idx="38">
                  <c:v>4.9005802336748753E-3</c:v>
                </c:pt>
                <c:pt idx="39">
                  <c:v>3.0037820467829503E-3</c:v>
                </c:pt>
                <c:pt idx="40">
                  <c:v>2.651963741392223E-3</c:v>
                </c:pt>
                <c:pt idx="41">
                  <c:v>2.5115917912615798E-3</c:v>
                </c:pt>
                <c:pt idx="42">
                  <c:v>1.4454757143199824E-3</c:v>
                </c:pt>
                <c:pt idx="43">
                  <c:v>2.0229552559966808E-3</c:v>
                </c:pt>
                <c:pt idx="44">
                  <c:v>1.5254344200906021E-3</c:v>
                </c:pt>
                <c:pt idx="45">
                  <c:v>1.5885129546429799E-3</c:v>
                </c:pt>
                <c:pt idx="46">
                  <c:v>1.1132028703398512E-3</c:v>
                </c:pt>
                <c:pt idx="47">
                  <c:v>6.0235558347200243E-4</c:v>
                </c:pt>
                <c:pt idx="48">
                  <c:v>5.9347128283082249E-4</c:v>
                </c:pt>
                <c:pt idx="49">
                  <c:v>5.2150844763726467E-4</c:v>
                </c:pt>
                <c:pt idx="50">
                  <c:v>3.4471086487778313E-4</c:v>
                </c:pt>
                <c:pt idx="51">
                  <c:v>3.6070260603190707E-4</c:v>
                </c:pt>
                <c:pt idx="52">
                  <c:v>2.8962820090246724E-4</c:v>
                </c:pt>
                <c:pt idx="53">
                  <c:v>1.9989676442654948E-4</c:v>
                </c:pt>
                <c:pt idx="54">
                  <c:v>1.1904962859181169E-4</c:v>
                </c:pt>
                <c:pt idx="55">
                  <c:v>1.2526863904063767E-4</c:v>
                </c:pt>
                <c:pt idx="56">
                  <c:v>1.4392567038711563E-4</c:v>
                </c:pt>
                <c:pt idx="57">
                  <c:v>1.4836782070770562E-4</c:v>
                </c:pt>
                <c:pt idx="58">
                  <c:v>8.8843006411799778E-5</c:v>
                </c:pt>
                <c:pt idx="59">
                  <c:v>5.7747954167669851E-5</c:v>
                </c:pt>
                <c:pt idx="60">
                  <c:v>5.1528943718843867E-5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8272"/>
        <c:axId val="119589056"/>
      </c:lineChart>
      <c:catAx>
        <c:axId val="1195882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19589056"/>
        <c:crosses val="autoZero"/>
        <c:auto val="1"/>
        <c:lblAlgn val="ctr"/>
        <c:lblOffset val="100"/>
        <c:tickLblSkip val="10"/>
        <c:noMultiLvlLbl val="0"/>
      </c:catAx>
      <c:valAx>
        <c:axId val="1195890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195882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0" t="n">
        <v>52948.7990929593</v>
      </c>
      <c r="C11" s="11">
        <f>B11/B$102</f>
        <v>4.8818074454357388E-2</v>
      </c>
      <c r="E11" s="19">
        <v>0</v>
      </c>
      <c r="F11" s="342" t="n">
        <v>192497.0</v>
      </c>
      <c r="G11" s="11">
        <f>F11/F$102</f>
        <v>0.11048427434365007</v>
      </c>
      <c r="K11" s="8" t="n">
        <v>6.446202704159847</v>
      </c>
      <c r="L11" s="8" t="n">
        <v>4.649998319775792</v>
      </c>
    </row>
    <row r="12" spans="1:12" x14ac:dyDescent="0.25">
      <c r="A12">
        <v>1</v>
      </c>
      <c r="B12" s="340" t="n">
        <v>90943.8491288353</v>
      </c>
      <c r="C12" s="11">
        <f>B12/B$102</f>
        <v>8.3848995142321969E-2</v>
      </c>
      <c r="E12" s="20">
        <v>1</v>
      </c>
      <c r="F12" s="342" t="n">
        <v>160785.0</v>
      </c>
      <c r="G12" s="11">
        <f>F12/F$102</f>
        <v>0.11475406923180118</v>
      </c>
      <c r="K12" s="8"/>
      <c r="L12" s="289"/>
    </row>
    <row r="13" spans="1:12" x14ac:dyDescent="0.25">
      <c r="A13">
        <v>2</v>
      </c>
      <c r="B13" s="340" t="n">
        <v>105270.4191231009</v>
      </c>
      <c r="C13" s="11">
        <f t="shared" ref="C13:C76" si="0">B13/B$102</f>
        <v>9.7057898321178407E-2</v>
      </c>
      <c r="E13" s="21">
        <v>2</v>
      </c>
      <c r="F13" s="342" t="n">
        <v>87704.0</v>
      </c>
      <c r="G13" s="11">
        <f t="shared" ref="G13:G76" si="1">F13/F$102</f>
        <v>6.704448635860058E-2</v>
      </c>
    </row>
    <row r="14" spans="1:12" x14ac:dyDescent="0.25">
      <c r="A14">
        <v>3</v>
      </c>
      <c r="B14" s="340" t="n">
        <v>115150.336610777</v>
      </c>
      <c r="C14" s="11">
        <f t="shared" si="0"/>
        <v>0.10616704821274628</v>
      </c>
      <c r="E14" s="22">
        <v>3</v>
      </c>
      <c r="F14" s="342" t="n">
        <v>51703.0</v>
      </c>
      <c r="G14" s="11">
        <f t="shared" si="1"/>
        <v>4.239943637996732E-2</v>
      </c>
    </row>
    <row r="15" spans="1:12" x14ac:dyDescent="0.25">
      <c r="A15">
        <v>4</v>
      </c>
      <c r="B15" s="340" t="n">
        <v>179556.4996902292</v>
      </c>
      <c r="C15" s="11">
        <f t="shared" si="0"/>
        <v>0.16554865683076439</v>
      </c>
      <c r="E15" s="23">
        <v>4</v>
      </c>
      <c r="F15" s="342" t="n">
        <v>203432.0</v>
      </c>
      <c r="G15" s="11">
        <f t="shared" si="1"/>
        <v>0.18814194624820427</v>
      </c>
    </row>
    <row r="16" spans="1:12" x14ac:dyDescent="0.25">
      <c r="A16">
        <v>5</v>
      </c>
      <c r="B16" s="340" t="n">
        <v>110231.594225431</v>
      </c>
      <c r="C16" s="11">
        <f t="shared" si="0"/>
        <v>0.10163203446166852</v>
      </c>
      <c r="E16" s="24">
        <v>5</v>
      </c>
      <c r="F16" s="342" t="n">
        <v>99349.0</v>
      </c>
      <c r="G16" s="11">
        <f t="shared" si="1"/>
        <v>9.6206314783209734E-2</v>
      </c>
    </row>
    <row r="17" spans="1:7" x14ac:dyDescent="0.25">
      <c r="A17">
        <v>6</v>
      </c>
      <c r="B17" s="340" t="n">
        <v>118783.7237489311</v>
      </c>
      <c r="C17" s="11">
        <f t="shared" si="0"/>
        <v>0.10951698186318666</v>
      </c>
      <c r="E17" s="25">
        <v>6</v>
      </c>
      <c r="F17" s="342" t="n">
        <v>103064.0</v>
      </c>
      <c r="G17" s="11">
        <f t="shared" si="1"/>
        <v>9.9343361339610387E-2</v>
      </c>
    </row>
    <row r="18" spans="1:7" x14ac:dyDescent="0.25">
      <c r="A18">
        <v>7</v>
      </c>
      <c r="B18" s="340" t="n">
        <v>39994.2570519872</v>
      </c>
      <c r="C18" s="11">
        <f t="shared" si="0"/>
        <v>3.6874162435352367E-2</v>
      </c>
      <c r="E18" s="26">
        <v>7</v>
      </c>
      <c r="F18" s="342" t="n">
        <v>42802.0</v>
      </c>
      <c r="G18" s="11">
        <f t="shared" si="1"/>
        <v>4.7500801808132868E-2</v>
      </c>
    </row>
    <row r="19" spans="1:7" x14ac:dyDescent="0.25">
      <c r="A19">
        <v>8</v>
      </c>
      <c r="B19" s="340" t="n">
        <v>40096.4407649861</v>
      </c>
      <c r="C19" s="11">
        <f t="shared" si="0"/>
        <v>3.696837443250163E-2</v>
      </c>
      <c r="E19" s="27">
        <v>8</v>
      </c>
      <c r="F19" s="342" t="n">
        <v>60190.0</v>
      </c>
      <c r="G19" s="11">
        <f t="shared" si="1"/>
        <v>7.2015252567340773E-2</v>
      </c>
    </row>
    <row r="20" spans="1:7" x14ac:dyDescent="0.25">
      <c r="A20">
        <v>9</v>
      </c>
      <c r="B20" s="340" t="n">
        <v>25847.5781684811</v>
      </c>
      <c r="C20" s="11">
        <f t="shared" si="0"/>
        <v>2.3831116420193196E-2</v>
      </c>
      <c r="E20" s="28">
        <v>9</v>
      </c>
      <c r="F20" s="342" t="n">
        <v>26069.0</v>
      </c>
      <c r="G20" s="11">
        <f t="shared" si="1"/>
        <v>3.1760486362154304E-2</v>
      </c>
    </row>
    <row r="21" spans="1:7" x14ac:dyDescent="0.25">
      <c r="A21">
        <v>10</v>
      </c>
      <c r="B21" s="340" t="n">
        <v>50274.7819215255</v>
      </c>
      <c r="C21" s="11">
        <f t="shared" si="0"/>
        <v>4.6352666898312481E-2</v>
      </c>
      <c r="E21" s="29">
        <v>10</v>
      </c>
      <c r="F21" s="342" t="n">
        <v>17346.0</v>
      </c>
      <c r="G21" s="11">
        <f t="shared" si="1"/>
        <v>1.9621866396110098E-2</v>
      </c>
    </row>
    <row r="22" spans="1:7" x14ac:dyDescent="0.25">
      <c r="A22">
        <v>11</v>
      </c>
      <c r="B22" s="340" t="n">
        <v>11197.0207144197</v>
      </c>
      <c r="C22" s="11">
        <f t="shared" si="0"/>
        <v>1.0323501198655277E-2</v>
      </c>
      <c r="E22" s="30">
        <v>11</v>
      </c>
      <c r="F22" s="342" t="n">
        <v>16727.0</v>
      </c>
      <c r="G22" s="11">
        <f t="shared" si="1"/>
        <v>2.0999821425557112E-2</v>
      </c>
    </row>
    <row r="23" spans="1:7" x14ac:dyDescent="0.25">
      <c r="A23">
        <v>12</v>
      </c>
      <c r="B23" s="340" t="n">
        <v>27854.5862875253</v>
      </c>
      <c r="C23" s="11">
        <f t="shared" si="0"/>
        <v>2.568155067865455E-2</v>
      </c>
      <c r="E23" s="31">
        <v>12</v>
      </c>
      <c r="F23" s="342" t="n">
        <v>10240.0</v>
      </c>
      <c r="G23" s="11">
        <f t="shared" si="1"/>
        <v>1.6823311694138404E-2</v>
      </c>
    </row>
    <row r="24" spans="1:7" x14ac:dyDescent="0.25">
      <c r="A24">
        <v>13</v>
      </c>
      <c r="B24" s="340" t="n">
        <v>8348.0388198341</v>
      </c>
      <c r="C24" s="11">
        <f t="shared" si="0"/>
        <v>7.6967785414554868E-3</v>
      </c>
      <c r="E24" s="32">
        <v>13</v>
      </c>
      <c r="F24" s="342" t="n">
        <v>13754.0</v>
      </c>
      <c r="G24" s="11">
        <f t="shared" si="1"/>
        <v>1.7037423339590841E-2</v>
      </c>
    </row>
    <row r="25" spans="1:7" x14ac:dyDescent="0.25">
      <c r="A25">
        <v>14</v>
      </c>
      <c r="B25" s="340" t="n">
        <v>10446.3801021703</v>
      </c>
      <c r="C25" s="11">
        <f t="shared" si="0"/>
        <v>9.6314207374361242E-3</v>
      </c>
      <c r="E25" s="33">
        <v>14</v>
      </c>
      <c r="F25" s="342" t="n">
        <v>7907.0</v>
      </c>
      <c r="G25" s="11">
        <f t="shared" si="1"/>
        <v>9.9761811899809968E-3</v>
      </c>
    </row>
    <row r="26" spans="1:7" x14ac:dyDescent="0.25">
      <c r="A26">
        <v>15</v>
      </c>
      <c r="B26" s="340" t="n">
        <v>18730.7674835545</v>
      </c>
      <c r="C26" s="11">
        <f t="shared" si="0"/>
        <v>1.7269513516143361E-2</v>
      </c>
      <c r="E26" s="34">
        <v>15</v>
      </c>
      <c r="F26" s="342" t="n">
        <v>6603.0</v>
      </c>
      <c r="G26" s="11">
        <f t="shared" si="1"/>
        <v>1.1988475285208262E-2</v>
      </c>
    </row>
    <row r="27" spans="1:7" x14ac:dyDescent="0.25">
      <c r="A27">
        <v>16</v>
      </c>
      <c r="B27" s="340" t="n">
        <v>18685.6150767775</v>
      </c>
      <c r="C27" s="11">
        <f t="shared" si="0"/>
        <v>1.7227883609637583E-2</v>
      </c>
      <c r="E27" s="35">
        <v>16</v>
      </c>
      <c r="F27" s="342" t="n">
        <v>8617.0</v>
      </c>
      <c r="G27" s="11">
        <f t="shared" si="1"/>
        <v>9.0433296226570987E-3</v>
      </c>
    </row>
    <row r="28" spans="1:7" x14ac:dyDescent="0.25">
      <c r="A28">
        <v>17</v>
      </c>
      <c r="B28" s="340" t="n">
        <v>7234.927318376</v>
      </c>
      <c r="C28" s="11">
        <f t="shared" si="0"/>
        <v>6.6705048377066738E-3</v>
      </c>
      <c r="E28" s="36">
        <v>17</v>
      </c>
      <c r="F28" s="342" t="n">
        <v>4496.0</v>
      </c>
      <c r="G28" s="11">
        <f t="shared" si="1"/>
        <v>6.8915520073633083E-3</v>
      </c>
    </row>
    <row r="29" spans="1:7" x14ac:dyDescent="0.25">
      <c r="A29">
        <v>18</v>
      </c>
      <c r="B29" s="340" t="n">
        <v>8454.7766453539</v>
      </c>
      <c r="C29" s="11">
        <f t="shared" si="0"/>
        <v>7.7951893685674224E-3</v>
      </c>
      <c r="E29" s="37">
        <v>18</v>
      </c>
      <c r="F29" s="342" t="n">
        <v>2895.0</v>
      </c>
      <c r="G29" s="11">
        <f t="shared" si="1"/>
        <v>4.3630800448834868E-3</v>
      </c>
    </row>
    <row r="30" spans="1:7" x14ac:dyDescent="0.25">
      <c r="A30">
        <v>19</v>
      </c>
      <c r="B30" s="340" t="n">
        <v>2832.1153928233</v>
      </c>
      <c r="C30" s="11">
        <f t="shared" si="0"/>
        <v>2.6111719713878072E-3</v>
      </c>
      <c r="E30" s="38">
        <v>19</v>
      </c>
      <c r="F30" s="342" t="n">
        <v>1430.0</v>
      </c>
      <c r="G30" s="11">
        <f t="shared" si="1"/>
        <v>2.7408067478040228E-3</v>
      </c>
    </row>
    <row r="31" spans="1:7" x14ac:dyDescent="0.25">
      <c r="A31">
        <v>20</v>
      </c>
      <c r="B31" s="340" t="n">
        <v>3668.4584593365</v>
      </c>
      <c r="C31" s="11">
        <f t="shared" si="0"/>
        <v>3.382268932789072E-3</v>
      </c>
      <c r="E31" s="39">
        <v>20</v>
      </c>
      <c r="F31" s="342" t="n">
        <v>1435.0</v>
      </c>
      <c r="G31" s="11">
        <f t="shared" si="1"/>
        <v>2.3952074528621218E-3</v>
      </c>
    </row>
    <row r="32" spans="1:7" x14ac:dyDescent="0.25">
      <c r="A32">
        <v>21</v>
      </c>
      <c r="B32" s="340" t="n">
        <v>907.4706190123</v>
      </c>
      <c r="C32" s="11">
        <f t="shared" si="0"/>
        <v>8.3667559988107498E-4</v>
      </c>
      <c r="E32" s="40">
        <v>21</v>
      </c>
      <c r="F32" s="342" t="n">
        <v>1124.0</v>
      </c>
      <c r="G32" s="11">
        <f t="shared" si="1"/>
        <v>2.0638230389461087E-3</v>
      </c>
    </row>
    <row r="33" spans="1:7" x14ac:dyDescent="0.25">
      <c r="A33">
        <v>22</v>
      </c>
      <c r="B33" s="340" t="n">
        <v>2522.700778687</v>
      </c>
      <c r="C33" s="11">
        <f t="shared" si="0"/>
        <v>2.3258958947075204E-3</v>
      </c>
      <c r="E33" s="41">
        <v>22</v>
      </c>
      <c r="F33" s="342" t="n">
        <v>723.0</v>
      </c>
      <c r="G33" s="11">
        <f t="shared" si="1"/>
        <v>1.2979963236763948E-3</v>
      </c>
    </row>
    <row r="34" spans="1:7" x14ac:dyDescent="0.25">
      <c r="A34">
        <v>23</v>
      </c>
      <c r="B34" s="340" t="n">
        <v>1988.8132901981</v>
      </c>
      <c r="C34" s="11">
        <f t="shared" si="0"/>
        <v>1.8336588730983434E-3</v>
      </c>
      <c r="E34" s="42">
        <v>23</v>
      </c>
      <c r="F34" s="342" t="n">
        <v>455.0</v>
      </c>
      <c r="G34" s="11">
        <f t="shared" si="1"/>
        <v>1.181611985276937E-3</v>
      </c>
    </row>
    <row r="35" spans="1:7" x14ac:dyDescent="0.25">
      <c r="A35">
        <v>24</v>
      </c>
      <c r="B35" s="340" t="n">
        <v>10809.509325089</v>
      </c>
      <c r="C35" s="11">
        <f t="shared" si="0"/>
        <v>9.9662209547153723E-3</v>
      </c>
      <c r="E35" s="43">
        <v>24</v>
      </c>
      <c r="F35" s="342" t="n">
        <v>421.0</v>
      </c>
      <c r="G35" s="11">
        <f t="shared" si="1"/>
        <v>1.0341325946333494E-3</v>
      </c>
    </row>
    <row r="36" spans="1:7" x14ac:dyDescent="0.25">
      <c r="A36">
        <v>25</v>
      </c>
      <c r="B36" s="340" t="n">
        <v>1546.810699568</v>
      </c>
      <c r="C36" s="11">
        <f t="shared" si="0"/>
        <v>1.4261384807941428E-3</v>
      </c>
      <c r="E36" s="44">
        <v>25</v>
      </c>
      <c r="F36" s="342" t="n">
        <v>310.0</v>
      </c>
      <c r="G36" s="11">
        <f t="shared" si="1"/>
        <v>6.2545476513907038E-4</v>
      </c>
    </row>
    <row r="37" spans="1:7" x14ac:dyDescent="0.25">
      <c r="A37">
        <v>26</v>
      </c>
      <c r="B37" s="340" t="n">
        <v>774.7254652844</v>
      </c>
      <c r="C37" s="11">
        <f t="shared" si="0"/>
        <v>7.1428636897960507E-4</v>
      </c>
      <c r="E37" s="45">
        <v>26</v>
      </c>
      <c r="F37" s="342" t="n">
        <v>200.0</v>
      </c>
      <c r="G37" s="11">
        <f t="shared" si="1"/>
        <v>4.2022742032781293E-4</v>
      </c>
    </row>
    <row r="38" spans="1:7" x14ac:dyDescent="0.25">
      <c r="A38">
        <v>27</v>
      </c>
      <c r="B38" s="340" t="n">
        <v>2085.196875802</v>
      </c>
      <c r="C38" s="11">
        <f t="shared" si="0"/>
        <v>1.922523231474599E-3</v>
      </c>
      <c r="E38" s="46">
        <v>27</v>
      </c>
      <c r="F38" s="342" t="n">
        <v>490.0</v>
      </c>
      <c r="G38" s="11">
        <f t="shared" si="1"/>
        <v>8.7599204322034573E-4</v>
      </c>
    </row>
    <row r="39" spans="1:7" x14ac:dyDescent="0.25">
      <c r="A39">
        <v>28</v>
      </c>
      <c r="B39" s="340" t="n">
        <v>638.5252072000001</v>
      </c>
      <c r="C39" s="11">
        <f t="shared" si="0"/>
        <v>5.8871157873377565E-4</v>
      </c>
      <c r="E39" s="47">
        <v>28</v>
      </c>
      <c r="F39" s="342" t="n">
        <v>106.0</v>
      </c>
      <c r="G39" s="11">
        <f t="shared" si="1"/>
        <v>2.3809925718362338E-4</v>
      </c>
    </row>
    <row r="40" spans="1:7" x14ac:dyDescent="0.25">
      <c r="A40">
        <v>29</v>
      </c>
      <c r="B40" s="340" t="n">
        <v>550.7575783498</v>
      </c>
      <c r="C40" s="11">
        <f t="shared" si="0"/>
        <v>5.0779101559939466E-4</v>
      </c>
      <c r="E40" s="48">
        <v>29</v>
      </c>
      <c r="F40" s="342" t="n">
        <v>88.0</v>
      </c>
      <c r="G40" s="11">
        <f t="shared" si="1"/>
        <v>1.9101246378536952E-4</v>
      </c>
    </row>
    <row r="41" spans="1:7" x14ac:dyDescent="0.25">
      <c r="A41">
        <v>30</v>
      </c>
      <c r="B41" s="340" t="n">
        <v>0.0</v>
      </c>
      <c r="C41" s="11">
        <f t="shared" si="0"/>
        <v>0</v>
      </c>
      <c r="E41" s="49">
        <v>30</v>
      </c>
      <c r="F41" s="342" t="n">
        <v>67.0</v>
      </c>
      <c r="G41" s="11">
        <f t="shared" si="1"/>
        <v>1.8123973308007153E-4</v>
      </c>
    </row>
    <row r="42" spans="1:7" x14ac:dyDescent="0.25">
      <c r="A42">
        <v>31</v>
      </c>
      <c r="B42" s="340" t="n">
        <v>1503.265838949</v>
      </c>
      <c r="C42" s="11">
        <f t="shared" si="0"/>
        <v>1.385990710037891E-3</v>
      </c>
      <c r="E42" s="50">
        <v>31</v>
      </c>
      <c r="F42" s="342" t="n">
        <v>39.0</v>
      </c>
      <c r="G42" s="11">
        <f t="shared" si="1"/>
        <v>9.5062016860625762E-5</v>
      </c>
    </row>
    <row r="43" spans="1:7" x14ac:dyDescent="0.25">
      <c r="A43">
        <v>32</v>
      </c>
      <c r="B43" s="340" t="n">
        <v>0.0</v>
      </c>
      <c r="C43" s="11">
        <f t="shared" si="0"/>
        <v>0</v>
      </c>
      <c r="E43" s="51">
        <v>32</v>
      </c>
      <c r="F43" s="342" t="n">
        <v>16.0</v>
      </c>
      <c r="G43" s="11">
        <f t="shared" si="1"/>
        <v>7.107440512943982E-5</v>
      </c>
    </row>
    <row r="44" spans="1:7" x14ac:dyDescent="0.25">
      <c r="A44">
        <v>33</v>
      </c>
      <c r="B44" s="340" t="n">
        <v>771.224845006</v>
      </c>
      <c r="C44" s="11">
        <f t="shared" si="0"/>
        <v>7.1105884457272792E-4</v>
      </c>
      <c r="E44" s="52">
        <v>33</v>
      </c>
      <c r="F44" s="342" t="n">
        <v>24.0</v>
      </c>
      <c r="G44" s="11">
        <f t="shared" si="1"/>
        <v>4.9752083590607872E-5</v>
      </c>
    </row>
    <row r="45" spans="1:7" x14ac:dyDescent="0.25">
      <c r="A45">
        <v>34</v>
      </c>
      <c r="B45" s="340" t="n">
        <v>936.2129745479999</v>
      </c>
      <c r="C45" s="11">
        <f t="shared" si="0"/>
        <v>8.6317566176296939E-4</v>
      </c>
      <c r="E45" s="53">
        <v>34</v>
      </c>
      <c r="F45" s="342" t="n">
        <v>9.0</v>
      </c>
      <c r="G45" s="11">
        <f t="shared" si="1"/>
        <v>4.5309933270017883E-5</v>
      </c>
    </row>
    <row r="46" spans="1:7" x14ac:dyDescent="0.25">
      <c r="A46">
        <v>35</v>
      </c>
      <c r="B46" s="340" t="n">
        <v>321.9730946164</v>
      </c>
      <c r="C46" s="11">
        <f t="shared" si="0"/>
        <v>2.9685482531318323E-4</v>
      </c>
      <c r="E46" s="54">
        <v>35</v>
      </c>
      <c r="F46" s="342" t="n">
        <v>5.0</v>
      </c>
      <c r="G46" s="11">
        <f t="shared" si="1"/>
        <v>2.0433891474713947E-5</v>
      </c>
    </row>
    <row r="47" spans="1:7" x14ac:dyDescent="0.25">
      <c r="A47">
        <v>36</v>
      </c>
      <c r="B47" s="340" t="n">
        <v>727.467881212</v>
      </c>
      <c r="C47" s="11">
        <f t="shared" si="0"/>
        <v>6.707155175665416E-4</v>
      </c>
      <c r="E47" s="55">
        <v>36</v>
      </c>
      <c r="F47" s="342" t="n">
        <v>15.0</v>
      </c>
      <c r="G47" s="11">
        <f t="shared" si="1"/>
        <v>2.1322321538831944E-5</v>
      </c>
    </row>
    <row r="48" spans="1:7" x14ac:dyDescent="0.25">
      <c r="A48">
        <v>37</v>
      </c>
      <c r="B48" s="340" t="n">
        <v>637.7233689726</v>
      </c>
      <c r="C48" s="11">
        <f t="shared" si="0"/>
        <v>5.8797229476594025E-4</v>
      </c>
      <c r="E48" s="56">
        <v>37</v>
      </c>
      <c r="F48" s="342" t="n">
        <v>8.0</v>
      </c>
      <c r="G48" s="11">
        <f t="shared" si="1"/>
        <v>1.5103311090005962E-5</v>
      </c>
    </row>
    <row r="49" spans="1:7" x14ac:dyDescent="0.25">
      <c r="A49">
        <v>38</v>
      </c>
      <c r="B49" s="340" t="n">
        <v>627.269960355</v>
      </c>
      <c r="C49" s="11">
        <f t="shared" si="0"/>
        <v>5.7833439383262754E-4</v>
      </c>
      <c r="E49" s="57">
        <v>38</v>
      </c>
      <c r="F49" s="342" t="n">
        <v>4.0</v>
      </c>
      <c r="G49" s="11">
        <f t="shared" si="1"/>
        <v>7.9958705770619802E-6</v>
      </c>
    </row>
    <row r="50" spans="1:7" x14ac:dyDescent="0.25">
      <c r="A50">
        <v>39</v>
      </c>
      <c r="B50" s="340" t="n">
        <v>341.8573055842</v>
      </c>
      <c r="C50" s="11">
        <f t="shared" si="0"/>
        <v>3.1518779807405723E-4</v>
      </c>
      <c r="E50" s="58">
        <v>39</v>
      </c>
      <c r="F50" s="342" t="n">
        <v>2.0</v>
      </c>
      <c r="G50" s="11">
        <f t="shared" si="1"/>
        <v>7.1074405129439821E-6</v>
      </c>
    </row>
    <row r="51" spans="1:7" x14ac:dyDescent="0.25">
      <c r="A51">
        <v>40</v>
      </c>
      <c r="B51" s="340" t="n">
        <v>0.0</v>
      </c>
      <c r="C51" s="11">
        <f t="shared" si="0"/>
        <v>0</v>
      </c>
      <c r="E51" s="59">
        <v>40</v>
      </c>
      <c r="F51" s="342" t="n">
        <v>1.0</v>
      </c>
      <c r="G51" s="11">
        <f t="shared" si="1"/>
        <v>1.7768601282359955E-6</v>
      </c>
    </row>
    <row r="52" spans="1:7" x14ac:dyDescent="0.25">
      <c r="A52">
        <v>41</v>
      </c>
      <c r="B52" s="340" t="n">
        <v>596.97480037</v>
      </c>
      <c r="C52" s="11">
        <f t="shared" si="0"/>
        <v>5.5040266731399808E-4</v>
      </c>
      <c r="E52" s="60">
        <v>41</v>
      </c>
      <c r="F52" s="342" t="n">
        <v>1.0</v>
      </c>
      <c r="G52" s="11">
        <f t="shared" si="1"/>
        <v>9.7727307052979747E-6</v>
      </c>
    </row>
    <row r="53" spans="1:7" x14ac:dyDescent="0.25">
      <c r="A53">
        <v>42</v>
      </c>
      <c r="B53" s="340" t="n">
        <v>133.5805418631</v>
      </c>
      <c r="C53" s="11">
        <f t="shared" si="0"/>
        <v>1.2315944742915516E-4</v>
      </c>
      <c r="E53" s="61">
        <v>42</v>
      </c>
      <c r="F53" s="342" t="n">
        <v>0.0</v>
      </c>
      <c r="G53" s="11">
        <f t="shared" si="1"/>
        <v>4.4421503205899887E-6</v>
      </c>
    </row>
    <row r="54" spans="1:7" x14ac:dyDescent="0.25">
      <c r="A54">
        <v>43</v>
      </c>
      <c r="B54" s="340" t="n">
        <v>1706.890736692</v>
      </c>
      <c r="C54" s="11">
        <f t="shared" si="0"/>
        <v>1.5737301033587209E-3</v>
      </c>
      <c r="E54" s="62">
        <v>43</v>
      </c>
      <c r="F54" s="342" t="n">
        <v>0.0</v>
      </c>
      <c r="G54" s="11">
        <f t="shared" si="1"/>
        <v>8.8843006411799777E-7</v>
      </c>
    </row>
    <row r="55" spans="1:7" x14ac:dyDescent="0.25">
      <c r="A55">
        <v>44</v>
      </c>
      <c r="B55" s="340" t="n">
        <v>660.275957831</v>
      </c>
      <c r="C55" s="11">
        <f t="shared" si="0"/>
        <v>6.0876547574243345E-4</v>
      </c>
      <c r="E55" s="63">
        <v>44</v>
      </c>
      <c r="F55" s="342" t="n">
        <v>0.0</v>
      </c>
      <c r="G55" s="11">
        <f t="shared" si="1"/>
        <v>2.665290192353993E-6</v>
      </c>
    </row>
    <row r="56" spans="1:7" x14ac:dyDescent="0.25">
      <c r="A56">
        <v>45</v>
      </c>
      <c r="B56" s="340" t="n">
        <v>617.666578062</v>
      </c>
      <c r="C56" s="11">
        <f t="shared" si="0"/>
        <v>5.6948020563904347E-4</v>
      </c>
      <c r="E56" s="64">
        <v>45</v>
      </c>
      <c r="F56" s="342" t="n">
        <v>0.0</v>
      </c>
      <c r="G56" s="11">
        <f t="shared" si="1"/>
        <v>4.4421503205899887E-6</v>
      </c>
    </row>
    <row r="57" spans="1:7" x14ac:dyDescent="0.25">
      <c r="A57">
        <v>46</v>
      </c>
      <c r="B57" s="340" t="n">
        <v>0.0</v>
      </c>
      <c r="C57" s="11">
        <f t="shared" si="0"/>
        <v>0</v>
      </c>
      <c r="E57" s="65">
        <v>46</v>
      </c>
      <c r="F57" s="342" t="n">
        <v>0.0</v>
      </c>
      <c r="G57" s="11">
        <f t="shared" si="1"/>
        <v>0</v>
      </c>
    </row>
    <row r="58" spans="1:7" x14ac:dyDescent="0.25">
      <c r="A58">
        <v>47</v>
      </c>
      <c r="B58" s="340" t="n">
        <v>405.121063366</v>
      </c>
      <c r="C58" s="11">
        <f t="shared" si="0"/>
        <v>3.735161245056385E-4</v>
      </c>
      <c r="E58" s="66">
        <v>47</v>
      </c>
      <c r="F58" s="342" t="n">
        <v>0.0</v>
      </c>
      <c r="G58" s="11">
        <f t="shared" si="1"/>
        <v>8.8843006411799777E-7</v>
      </c>
    </row>
    <row r="59" spans="1:7" x14ac:dyDescent="0.25">
      <c r="A59">
        <v>48</v>
      </c>
      <c r="B59" s="340" t="n">
        <v>0.0</v>
      </c>
      <c r="C59" s="11">
        <f t="shared" si="0"/>
        <v>0</v>
      </c>
      <c r="E59" s="67">
        <v>48</v>
      </c>
      <c r="F59" s="342" t="n">
        <v>0.0</v>
      </c>
      <c r="G59" s="11">
        <f t="shared" si="1"/>
        <v>8.8843006411799777E-7</v>
      </c>
    </row>
    <row r="60" spans="1:7" x14ac:dyDescent="0.25">
      <c r="A60">
        <v>49</v>
      </c>
      <c r="B60" s="340" t="n">
        <v>0.0</v>
      </c>
      <c r="C60" s="11">
        <f t="shared" si="0"/>
        <v>0</v>
      </c>
      <c r="E60" s="68">
        <v>49</v>
      </c>
      <c r="F60" s="342" t="n">
        <v>0.0</v>
      </c>
      <c r="G60" s="11">
        <f t="shared" si="1"/>
        <v>0</v>
      </c>
    </row>
    <row r="61" spans="1:7" x14ac:dyDescent="0.25">
      <c r="A61">
        <v>50</v>
      </c>
      <c r="B61" s="340" t="n">
        <v>0.0</v>
      </c>
      <c r="C61" s="11">
        <f t="shared" si="0"/>
        <v>0</v>
      </c>
      <c r="E61" s="69">
        <v>50</v>
      </c>
      <c r="F61" s="342" t="n">
        <v>0.0</v>
      </c>
      <c r="G61" s="11">
        <f t="shared" si="1"/>
        <v>0</v>
      </c>
    </row>
    <row r="62" spans="1:7" x14ac:dyDescent="0.25">
      <c r="A62">
        <v>51</v>
      </c>
      <c r="B62" s="340" t="n">
        <v>0.0</v>
      </c>
      <c r="C62" s="11">
        <f t="shared" si="0"/>
        <v>0</v>
      </c>
      <c r="E62" s="70">
        <v>51</v>
      </c>
      <c r="F62" s="342" t="n">
        <v>0.0</v>
      </c>
      <c r="G62" s="11">
        <f t="shared" si="1"/>
        <v>0</v>
      </c>
    </row>
    <row r="63" spans="1:7" x14ac:dyDescent="0.25">
      <c r="A63">
        <v>52</v>
      </c>
      <c r="B63" s="340" t="n">
        <v>181.031838601</v>
      </c>
      <c r="C63" s="11">
        <f t="shared" si="0"/>
        <v>1.6690889929188183E-4</v>
      </c>
      <c r="E63" s="71">
        <v>52</v>
      </c>
      <c r="F63" s="342" t="n">
        <v>0.0</v>
      </c>
      <c r="G63" s="11">
        <f t="shared" si="1"/>
        <v>0</v>
      </c>
    </row>
    <row r="64" spans="1:7" x14ac:dyDescent="0.25">
      <c r="A64">
        <v>53</v>
      </c>
      <c r="B64" s="340" t="n">
        <v>39.1519720345</v>
      </c>
      <c r="C64" s="11">
        <f t="shared" si="0"/>
        <v>3.6097587075762241E-5</v>
      </c>
      <c r="E64" s="72">
        <v>53</v>
      </c>
      <c r="F64" s="342" t="n">
        <v>0.0</v>
      </c>
      <c r="G64" s="11">
        <f t="shared" si="1"/>
        <v>0</v>
      </c>
    </row>
    <row r="65" spans="1:7" x14ac:dyDescent="0.25">
      <c r="A65">
        <v>54</v>
      </c>
      <c r="B65" s="340" t="n">
        <v>667.663687339</v>
      </c>
      <c r="C65" s="11">
        <f t="shared" si="0"/>
        <v>6.1557686212604184E-4</v>
      </c>
      <c r="E65" s="73">
        <v>54</v>
      </c>
      <c r="F65" s="342" t="n">
        <v>0.0</v>
      </c>
      <c r="G65" s="11">
        <f t="shared" si="1"/>
        <v>0</v>
      </c>
    </row>
    <row r="66" spans="1:7" x14ac:dyDescent="0.25">
      <c r="A66">
        <v>55</v>
      </c>
      <c r="B66" s="340" t="n">
        <v>0.0</v>
      </c>
      <c r="C66" s="11">
        <f t="shared" si="0"/>
        <v>0</v>
      </c>
      <c r="E66" s="74">
        <v>55</v>
      </c>
      <c r="F66" s="342" t="n">
        <v>0.0</v>
      </c>
      <c r="G66" s="11">
        <f t="shared" si="1"/>
        <v>0</v>
      </c>
    </row>
    <row r="67" spans="1:7" x14ac:dyDescent="0.25">
      <c r="A67">
        <v>56</v>
      </c>
      <c r="B67" s="340" t="n">
        <v>0.0</v>
      </c>
      <c r="C67" s="11">
        <f t="shared" si="0"/>
        <v>0</v>
      </c>
      <c r="E67" s="75">
        <v>56</v>
      </c>
      <c r="F67" s="342" t="n">
        <v>0.0</v>
      </c>
      <c r="G67" s="11">
        <f t="shared" si="1"/>
        <v>0</v>
      </c>
    </row>
    <row r="68" spans="1:7" x14ac:dyDescent="0.25">
      <c r="A68">
        <v>57</v>
      </c>
      <c r="B68" s="340" t="n">
        <v>542.140045727</v>
      </c>
      <c r="C68" s="11">
        <f t="shared" si="0"/>
        <v>4.998457674275878E-4</v>
      </c>
      <c r="E68" s="76">
        <v>57</v>
      </c>
      <c r="F68" s="342" t="n">
        <v>0.0</v>
      </c>
      <c r="G68" s="11">
        <f t="shared" si="1"/>
        <v>0</v>
      </c>
    </row>
    <row r="69" spans="1:7" x14ac:dyDescent="0.25">
      <c r="A69">
        <v>58</v>
      </c>
      <c r="B69" s="340" t="n">
        <v>0.0</v>
      </c>
      <c r="C69" s="11">
        <f t="shared" si="0"/>
        <v>0</v>
      </c>
      <c r="E69" s="77">
        <v>58</v>
      </c>
      <c r="F69" s="342" t="n">
        <v>0.0</v>
      </c>
      <c r="G69" s="11">
        <f t="shared" si="1"/>
        <v>0</v>
      </c>
    </row>
    <row r="70" spans="1:7" x14ac:dyDescent="0.25">
      <c r="A70">
        <v>59</v>
      </c>
      <c r="B70" s="340" t="n">
        <v>0.0</v>
      </c>
      <c r="C70" s="11">
        <f t="shared" si="0"/>
        <v>0</v>
      </c>
      <c r="E70" s="78">
        <v>59</v>
      </c>
      <c r="F70" s="342" t="n">
        <v>0.0</v>
      </c>
      <c r="G70" s="11">
        <f t="shared" si="1"/>
        <v>0</v>
      </c>
    </row>
    <row r="71" spans="1:7" x14ac:dyDescent="0.25">
      <c r="A71">
        <v>60</v>
      </c>
      <c r="B71" s="340" t="n">
        <v>0.0</v>
      </c>
      <c r="C71" s="11">
        <f t="shared" si="0"/>
        <v>0</v>
      </c>
      <c r="E71" s="79">
        <v>60</v>
      </c>
      <c r="F71" s="342" t="n">
        <v>0.0</v>
      </c>
      <c r="G71" s="11">
        <f t="shared" si="1"/>
        <v>0</v>
      </c>
    </row>
    <row r="72" spans="1:7" x14ac:dyDescent="0.25">
      <c r="A72">
        <v>61</v>
      </c>
      <c r="B72" s="340" t="n">
        <v>0.0</v>
      </c>
      <c r="C72" s="11">
        <f t="shared" si="0"/>
        <v>0</v>
      </c>
      <c r="E72" s="80">
        <v>61</v>
      </c>
      <c r="F72" s="342" t="n">
        <v>0.0</v>
      </c>
      <c r="G72" s="11">
        <f t="shared" si="1"/>
        <v>0</v>
      </c>
    </row>
    <row r="73" spans="1:7" x14ac:dyDescent="0.25">
      <c r="A73">
        <v>62</v>
      </c>
      <c r="B73" s="340" t="n">
        <v>0.0</v>
      </c>
      <c r="C73" s="11">
        <f t="shared" si="0"/>
        <v>0</v>
      </c>
      <c r="E73" s="81">
        <v>62</v>
      </c>
      <c r="F73" s="342" t="n">
        <v>0.0</v>
      </c>
      <c r="G73" s="11">
        <f t="shared" si="1"/>
        <v>0</v>
      </c>
    </row>
    <row r="74" spans="1:7" x14ac:dyDescent="0.25">
      <c r="A74">
        <v>63</v>
      </c>
      <c r="B74" s="340" t="n">
        <v>0.0</v>
      </c>
      <c r="C74" s="11">
        <f t="shared" si="0"/>
        <v>0</v>
      </c>
      <c r="E74" s="82">
        <v>63</v>
      </c>
      <c r="F74" s="342" t="n">
        <v>0.0</v>
      </c>
      <c r="G74" s="11">
        <f t="shared" si="1"/>
        <v>0</v>
      </c>
    </row>
    <row r="75" spans="1:7" x14ac:dyDescent="0.25">
      <c r="A75">
        <v>64</v>
      </c>
      <c r="B75" s="340" t="n">
        <v>0.0</v>
      </c>
      <c r="C75" s="11">
        <f t="shared" si="0"/>
        <v>0</v>
      </c>
      <c r="E75" s="83">
        <v>64</v>
      </c>
      <c r="F75" s="342" t="n">
        <v>0.0</v>
      </c>
      <c r="G75" s="11">
        <f t="shared" si="1"/>
        <v>0</v>
      </c>
    </row>
    <row r="76" spans="1:7" x14ac:dyDescent="0.25">
      <c r="A76">
        <v>65</v>
      </c>
      <c r="B76" s="340" t="n">
        <v>0.0</v>
      </c>
      <c r="C76" s="11">
        <f t="shared" si="0"/>
        <v>0</v>
      </c>
      <c r="E76" s="84">
        <v>65</v>
      </c>
      <c r="F76" s="342" t="n">
        <v>0.0</v>
      </c>
      <c r="G76" s="11">
        <f t="shared" si="1"/>
        <v>0</v>
      </c>
    </row>
    <row r="77" spans="1:7" x14ac:dyDescent="0.25">
      <c r="A77">
        <v>66</v>
      </c>
      <c r="B77" s="340" t="n">
        <v>0.0</v>
      </c>
      <c r="C77" s="11">
        <f t="shared" ref="C77:C102" si="2">B77/B$102</f>
        <v>0</v>
      </c>
      <c r="E77" s="85">
        <v>66</v>
      </c>
      <c r="F77" s="342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340" t="n">
        <v>0.0</v>
      </c>
      <c r="C78" s="11">
        <f t="shared" si="2"/>
        <v>0</v>
      </c>
      <c r="E78" s="86">
        <v>67</v>
      </c>
      <c r="F78" s="342" t="n">
        <v>0.0</v>
      </c>
      <c r="G78" s="11">
        <f t="shared" si="3"/>
        <v>0</v>
      </c>
    </row>
    <row r="79" spans="1:7" x14ac:dyDescent="0.25">
      <c r="A79">
        <v>68</v>
      </c>
      <c r="B79" s="340" t="n">
        <v>0.0</v>
      </c>
      <c r="C79" s="11">
        <f t="shared" si="2"/>
        <v>0</v>
      </c>
      <c r="E79" s="87">
        <v>68</v>
      </c>
      <c r="F79" s="342" t="n">
        <v>0.0</v>
      </c>
      <c r="G79" s="11">
        <f t="shared" si="3"/>
        <v>0</v>
      </c>
    </row>
    <row r="80" spans="1:7" x14ac:dyDescent="0.25">
      <c r="A80">
        <v>69</v>
      </c>
      <c r="B80" s="340" t="n">
        <v>0.0</v>
      </c>
      <c r="C80" s="11">
        <f t="shared" si="2"/>
        <v>0</v>
      </c>
      <c r="E80" s="88">
        <v>69</v>
      </c>
      <c r="F80" s="342" t="n">
        <v>0.0</v>
      </c>
      <c r="G80" s="11">
        <f t="shared" si="3"/>
        <v>0</v>
      </c>
    </row>
    <row r="81" spans="1:7" x14ac:dyDescent="0.25">
      <c r="A81">
        <v>70</v>
      </c>
      <c r="B81" s="340" t="n">
        <v>0.0</v>
      </c>
      <c r="C81" s="11">
        <f t="shared" si="2"/>
        <v>0</v>
      </c>
      <c r="E81" s="89">
        <v>70</v>
      </c>
      <c r="F81" s="342" t="n">
        <v>0.0</v>
      </c>
      <c r="G81" s="11">
        <f t="shared" si="3"/>
        <v>0</v>
      </c>
    </row>
    <row r="82" spans="1:7" x14ac:dyDescent="0.25">
      <c r="A82">
        <v>71</v>
      </c>
      <c r="B82" s="340" t="n">
        <v>4605.9932193</v>
      </c>
      <c r="C82" s="11">
        <f t="shared" si="2"/>
        <v>4.2466632627736435E-3</v>
      </c>
      <c r="E82" s="90">
        <v>71</v>
      </c>
      <c r="F82" s="342" t="n">
        <v>0.0</v>
      </c>
      <c r="G82" s="11">
        <f t="shared" si="3"/>
        <v>0</v>
      </c>
    </row>
    <row r="83" spans="1:7" x14ac:dyDescent="0.25">
      <c r="A83">
        <v>72</v>
      </c>
      <c r="B83" s="340" t="n">
        <v>0.0</v>
      </c>
      <c r="C83" s="11">
        <f t="shared" si="2"/>
        <v>0</v>
      </c>
      <c r="E83" s="91">
        <v>72</v>
      </c>
      <c r="F83" s="342" t="n">
        <v>0.0</v>
      </c>
      <c r="G83" s="11">
        <f t="shared" si="3"/>
        <v>0</v>
      </c>
    </row>
    <row r="84" spans="1:7" x14ac:dyDescent="0.25">
      <c r="A84">
        <v>73</v>
      </c>
      <c r="B84" s="340" t="n">
        <v>0.0</v>
      </c>
      <c r="C84" s="11">
        <f t="shared" si="2"/>
        <v>0</v>
      </c>
      <c r="E84" s="92">
        <v>73</v>
      </c>
      <c r="F84" s="342" t="n">
        <v>0.0</v>
      </c>
      <c r="G84" s="11">
        <f t="shared" si="3"/>
        <v>0</v>
      </c>
    </row>
    <row r="85" spans="1:7" x14ac:dyDescent="0.25">
      <c r="A85">
        <v>74</v>
      </c>
      <c r="B85" s="340" t="n">
        <v>0.0</v>
      </c>
      <c r="C85" s="11">
        <f t="shared" si="2"/>
        <v>0</v>
      </c>
      <c r="E85" s="93">
        <v>74</v>
      </c>
      <c r="F85" s="342" t="n">
        <v>0.0</v>
      </c>
      <c r="G85" s="11">
        <f t="shared" si="3"/>
        <v>0</v>
      </c>
    </row>
    <row r="86" spans="1:7" x14ac:dyDescent="0.25">
      <c r="A86">
        <v>75</v>
      </c>
      <c r="B86" s="340" t="n">
        <v>0.0</v>
      </c>
      <c r="C86" s="11">
        <f t="shared" si="2"/>
        <v>0</v>
      </c>
      <c r="E86" s="94">
        <v>75</v>
      </c>
      <c r="F86" s="342" t="n">
        <v>0.0</v>
      </c>
      <c r="G86" s="11">
        <f t="shared" si="3"/>
        <v>0</v>
      </c>
    </row>
    <row r="87" spans="1:7" x14ac:dyDescent="0.25">
      <c r="A87">
        <v>76</v>
      </c>
      <c r="B87" s="340" t="n">
        <v>215.6958943</v>
      </c>
      <c r="C87" s="11">
        <f t="shared" si="2"/>
        <v>1.9886868838988976E-4</v>
      </c>
      <c r="E87" s="95">
        <v>76</v>
      </c>
      <c r="F87" s="342" t="n">
        <v>0.0</v>
      </c>
      <c r="G87" s="11">
        <f t="shared" si="3"/>
        <v>0</v>
      </c>
    </row>
    <row r="88" spans="1:7" x14ac:dyDescent="0.25">
      <c r="A88">
        <v>77</v>
      </c>
      <c r="B88" s="340" t="n">
        <v>0.0</v>
      </c>
      <c r="C88" s="11">
        <f t="shared" si="2"/>
        <v>0</v>
      </c>
      <c r="E88" s="96">
        <v>77</v>
      </c>
      <c r="F88" s="342" t="n">
        <v>0.0</v>
      </c>
      <c r="G88" s="11">
        <f t="shared" si="3"/>
        <v>0</v>
      </c>
    </row>
    <row r="89" spans="1:7" x14ac:dyDescent="0.25">
      <c r="A89">
        <v>78</v>
      </c>
      <c r="B89" s="340" t="n">
        <v>0.0</v>
      </c>
      <c r="C89" s="11">
        <f t="shared" si="2"/>
        <v>0</v>
      </c>
      <c r="E89" s="97">
        <v>78</v>
      </c>
      <c r="F89" s="342" t="n">
        <v>0.0</v>
      </c>
      <c r="G89" s="11">
        <f t="shared" si="3"/>
        <v>0</v>
      </c>
    </row>
    <row r="90" spans="1:7" x14ac:dyDescent="0.25">
      <c r="A90">
        <v>79</v>
      </c>
      <c r="B90" s="340" t="n">
        <v>0.0</v>
      </c>
      <c r="C90" s="11">
        <f t="shared" si="2"/>
        <v>0</v>
      </c>
      <c r="E90" s="98">
        <v>79</v>
      </c>
      <c r="F90" s="342" t="n">
        <v>0.0</v>
      </c>
      <c r="G90" s="11">
        <f t="shared" si="3"/>
        <v>0</v>
      </c>
    </row>
    <row r="91" spans="1:7" x14ac:dyDescent="0.25">
      <c r="A91">
        <v>80</v>
      </c>
      <c r="B91" s="340" t="n">
        <v>0.0</v>
      </c>
      <c r="C91" s="11">
        <f t="shared" si="2"/>
        <v>0</v>
      </c>
      <c r="E91" s="99">
        <v>80</v>
      </c>
      <c r="F91" s="342" t="n">
        <v>0.0</v>
      </c>
      <c r="G91" s="11">
        <f t="shared" si="3"/>
        <v>0</v>
      </c>
    </row>
    <row r="92" spans="1:7" x14ac:dyDescent="0.25">
      <c r="A92">
        <v>81</v>
      </c>
      <c r="B92" s="340" t="n">
        <v>0.0</v>
      </c>
      <c r="C92" s="11">
        <f t="shared" si="2"/>
        <v>0</v>
      </c>
      <c r="E92" s="100">
        <v>81</v>
      </c>
      <c r="F92" s="342" t="n">
        <v>0.0</v>
      </c>
      <c r="G92" s="11">
        <f t="shared" si="3"/>
        <v>0</v>
      </c>
    </row>
    <row r="93" spans="1:7" x14ac:dyDescent="0.25">
      <c r="A93">
        <v>82</v>
      </c>
      <c r="B93" s="340" t="n">
        <v>0.0</v>
      </c>
      <c r="C93" s="11">
        <f t="shared" si="2"/>
        <v>0</v>
      </c>
      <c r="E93" s="101">
        <v>82</v>
      </c>
      <c r="F93" s="342" t="n">
        <v>0.0</v>
      </c>
      <c r="G93" s="11">
        <f t="shared" si="3"/>
        <v>0</v>
      </c>
    </row>
    <row r="94" spans="1:7" x14ac:dyDescent="0.25">
      <c r="A94">
        <v>83</v>
      </c>
      <c r="B94" s="340" t="n">
        <v>0.0</v>
      </c>
      <c r="C94" s="11">
        <f t="shared" si="2"/>
        <v>0</v>
      </c>
      <c r="E94" s="102">
        <v>83</v>
      </c>
      <c r="F94" s="342" t="n">
        <v>0.0</v>
      </c>
      <c r="G94" s="11">
        <f t="shared" si="3"/>
        <v>0</v>
      </c>
    </row>
    <row r="95" spans="1:7" x14ac:dyDescent="0.25">
      <c r="A95">
        <v>84</v>
      </c>
      <c r="B95" s="340" t="n">
        <v>0.0</v>
      </c>
      <c r="C95" s="11">
        <f t="shared" si="2"/>
        <v>0</v>
      </c>
      <c r="E95" s="103">
        <v>84</v>
      </c>
      <c r="F95" s="342" t="n">
        <v>0.0</v>
      </c>
      <c r="G95" s="11">
        <f t="shared" si="3"/>
        <v>0</v>
      </c>
    </row>
    <row r="96" spans="1:7" x14ac:dyDescent="0.25">
      <c r="A96">
        <v>85</v>
      </c>
      <c r="B96" s="340" t="n">
        <v>0.0</v>
      </c>
      <c r="C96" s="11">
        <f t="shared" si="2"/>
        <v>0</v>
      </c>
      <c r="E96" s="104">
        <v>85</v>
      </c>
      <c r="F96" s="342" t="n">
        <v>0.0</v>
      </c>
      <c r="G96" s="11">
        <f t="shared" si="3"/>
        <v>0</v>
      </c>
    </row>
    <row r="97" spans="1:7" x14ac:dyDescent="0.25">
      <c r="A97">
        <v>86</v>
      </c>
      <c r="B97" s="340" t="n">
        <v>0.0</v>
      </c>
      <c r="C97" s="11">
        <f t="shared" si="2"/>
        <v>0</v>
      </c>
      <c r="E97" s="105">
        <v>86</v>
      </c>
      <c r="F97" s="342" t="n">
        <v>0.0</v>
      </c>
      <c r="G97" s="11">
        <f t="shared" si="3"/>
        <v>0</v>
      </c>
    </row>
    <row r="98" spans="1:7" x14ac:dyDescent="0.25">
      <c r="A98">
        <v>87</v>
      </c>
      <c r="B98" s="340" t="n">
        <v>0.0</v>
      </c>
      <c r="C98" s="11">
        <f t="shared" si="2"/>
        <v>0</v>
      </c>
      <c r="E98" s="106">
        <v>87</v>
      </c>
      <c r="F98" s="342" t="n">
        <v>0.0</v>
      </c>
      <c r="G98" s="11">
        <f t="shared" si="3"/>
        <v>0</v>
      </c>
    </row>
    <row r="99" spans="1:7" x14ac:dyDescent="0.25">
      <c r="A99">
        <v>88</v>
      </c>
      <c r="B99" s="340" t="n">
        <v>0.0</v>
      </c>
      <c r="C99" s="11">
        <f t="shared" si="2"/>
        <v>0</v>
      </c>
      <c r="E99" s="107">
        <v>88</v>
      </c>
      <c r="F99" s="342" t="n">
        <v>0.0</v>
      </c>
      <c r="G99" s="11">
        <f t="shared" si="3"/>
        <v>0</v>
      </c>
    </row>
    <row r="100" spans="1:7" x14ac:dyDescent="0.25">
      <c r="A100">
        <v>89</v>
      </c>
      <c r="B100" s="340" t="n">
        <v>0.0</v>
      </c>
      <c r="C100" s="11">
        <f t="shared" si="2"/>
        <v>0</v>
      </c>
      <c r="E100" s="108">
        <v>89</v>
      </c>
      <c r="F100" s="342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341" t="n">
        <v>0.0</v>
      </c>
      <c r="C101" s="11">
        <f t="shared" si="2"/>
        <v>0</v>
      </c>
      <c r="E101" s="292">
        <v>90</v>
      </c>
      <c r="F101" s="343" t="n">
        <v>0.0</v>
      </c>
      <c r="G101" s="11">
        <f t="shared" si="3"/>
        <v>0</v>
      </c>
    </row>
    <row r="102" spans="1:7" x14ac:dyDescent="0.25">
      <c r="B102" s="340">
        <f>SUM(B11:B101)</f>
        <v>1084614.657271334</v>
      </c>
      <c r="C102" s="11">
        <f t="shared" si="2"/>
        <v>1</v>
      </c>
      <c r="F102" s="340">
        <f>SUM(F11:F101)</f>
        <v>1125581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3249.639193436</v>
      </c>
      <c r="C11" s="11">
        <f>B11/B$102</f>
        <v>2.9961232513779769E-3</v>
      </c>
      <c r="E11" s="109">
        <v>0</v>
      </c>
      <c r="F11" s="199" t="n">
        <v>21449.0</v>
      </c>
      <c r="G11" s="11">
        <f>F11/F$102</f>
        <v>1.4625335715510479E-2</v>
      </c>
      <c r="K11" s="8" t="n">
        <v>22.044502112060368</v>
      </c>
      <c r="L11" s="8" t="n">
        <v>15.921597795430856</v>
      </c>
    </row>
    <row r="12" spans="1:12" x14ac:dyDescent="0.25">
      <c r="A12">
        <v>1</v>
      </c>
      <c r="B12" s="8" t="n">
        <v>8994.442963914</v>
      </c>
      <c r="C12" s="11">
        <f>B12/B$102</f>
        <v>8.2927543931059864E-3</v>
      </c>
      <c r="E12" s="110">
        <v>1</v>
      </c>
      <c r="F12" s="200" t="n">
        <v>38854.0</v>
      </c>
      <c r="G12" s="11">
        <f>F12/F$102</f>
        <v>2.096161893280004E-2</v>
      </c>
      <c r="K12" s="8"/>
      <c r="L12" s="290"/>
    </row>
    <row r="13" spans="1:12" x14ac:dyDescent="0.25">
      <c r="A13">
        <v>2</v>
      </c>
      <c r="B13" s="8" t="n">
        <v>6481.4583239668</v>
      </c>
      <c r="C13" s="11">
        <f t="shared" ref="C13:C76" si="0">B13/B$102</f>
        <v>5.975816646506333E-3</v>
      </c>
      <c r="E13" s="111">
        <v>2</v>
      </c>
      <c r="F13" s="201" t="n">
        <v>48208.0</v>
      </c>
      <c r="G13" s="11">
        <f t="shared" ref="G13:G76" si="1">F13/F$102</f>
        <v>2.6758625101169973E-2</v>
      </c>
    </row>
    <row r="14" spans="1:12" x14ac:dyDescent="0.25">
      <c r="A14">
        <v>3</v>
      </c>
      <c r="B14" s="8" t="n">
        <v>13410.4364685028</v>
      </c>
      <c r="C14" s="11">
        <f t="shared" si="0"/>
        <v>1.2364240496473356E-2</v>
      </c>
      <c r="E14" s="112">
        <v>3</v>
      </c>
      <c r="F14" s="202" t="n">
        <v>52226.0</v>
      </c>
      <c r="G14" s="11">
        <f t="shared" si="1"/>
        <v>3.0970672035153402E-2</v>
      </c>
    </row>
    <row r="15" spans="1:12" x14ac:dyDescent="0.25">
      <c r="A15">
        <v>4</v>
      </c>
      <c r="B15" s="8" t="n">
        <v>15732.1738695716</v>
      </c>
      <c r="C15" s="11">
        <f t="shared" si="0"/>
        <v>1.4504850883308631E-2</v>
      </c>
      <c r="E15" s="113">
        <v>4</v>
      </c>
      <c r="F15" s="203" t="n">
        <v>50113.0</v>
      </c>
      <c r="G15" s="11">
        <f t="shared" si="1"/>
        <v>3.1474411881508305E-2</v>
      </c>
    </row>
    <row r="16" spans="1:12" x14ac:dyDescent="0.25">
      <c r="A16">
        <v>5</v>
      </c>
      <c r="B16" s="8" t="n">
        <v>27284.6660019498</v>
      </c>
      <c r="C16" s="11">
        <f t="shared" si="0"/>
        <v>2.5156091906956494E-2</v>
      </c>
      <c r="E16" s="114">
        <v>5</v>
      </c>
      <c r="F16" s="204" t="n">
        <v>46974.0</v>
      </c>
      <c r="G16" s="11">
        <f t="shared" si="1"/>
        <v>3.077965957136803E-2</v>
      </c>
    </row>
    <row r="17" spans="1:7" x14ac:dyDescent="0.25">
      <c r="A17">
        <v>6</v>
      </c>
      <c r="B17" s="8" t="n">
        <v>20718.3833740567</v>
      </c>
      <c r="C17" s="11">
        <f t="shared" si="0"/>
        <v>1.9102068402966136E-2</v>
      </c>
      <c r="E17" s="115">
        <v>6</v>
      </c>
      <c r="F17" s="205" t="n">
        <v>43019.0</v>
      </c>
      <c r="G17" s="11">
        <f t="shared" si="1"/>
        <v>3.0004948555457139E-2</v>
      </c>
    </row>
    <row r="18" spans="1:7" x14ac:dyDescent="0.25">
      <c r="A18">
        <v>7</v>
      </c>
      <c r="B18" s="8" t="n">
        <v>30173.7350431029</v>
      </c>
      <c r="C18" s="11">
        <f t="shared" si="0"/>
        <v>2.7819774369464791E-2</v>
      </c>
      <c r="E18" s="116">
        <v>7</v>
      </c>
      <c r="F18" s="206" t="n">
        <v>38585.0</v>
      </c>
      <c r="G18" s="11">
        <f t="shared" si="1"/>
        <v>2.8518605058187728E-2</v>
      </c>
    </row>
    <row r="19" spans="1:7" x14ac:dyDescent="0.25">
      <c r="A19">
        <v>8</v>
      </c>
      <c r="B19" s="8" t="n">
        <v>25448.3785387008</v>
      </c>
      <c r="C19" s="11">
        <f t="shared" si="0"/>
        <v>2.3463059777122732E-2</v>
      </c>
      <c r="E19" s="117">
        <v>8</v>
      </c>
      <c r="F19" s="207" t="n">
        <v>33861.0</v>
      </c>
      <c r="G19" s="11">
        <f t="shared" si="1"/>
        <v>2.6242447233917415E-2</v>
      </c>
    </row>
    <row r="20" spans="1:7" x14ac:dyDescent="0.25">
      <c r="A20">
        <v>9</v>
      </c>
      <c r="B20" s="8" t="n">
        <v>28266.9407356918</v>
      </c>
      <c r="C20" s="11">
        <f t="shared" si="0"/>
        <v>2.6061735885817332E-2</v>
      </c>
      <c r="E20" s="118">
        <v>9</v>
      </c>
      <c r="F20" s="208" t="n">
        <v>29682.0</v>
      </c>
      <c r="G20" s="11">
        <f t="shared" si="1"/>
        <v>2.3316847032776849E-2</v>
      </c>
    </row>
    <row r="21" spans="1:7" x14ac:dyDescent="0.25">
      <c r="A21">
        <v>10</v>
      </c>
      <c r="B21" s="8" t="n">
        <v>9402.210952161</v>
      </c>
      <c r="C21" s="11">
        <f t="shared" si="0"/>
        <v>8.6687109464434267E-3</v>
      </c>
      <c r="E21" s="119">
        <v>10</v>
      </c>
      <c r="F21" s="209" t="n">
        <v>26040.0</v>
      </c>
      <c r="G21" s="11">
        <f t="shared" si="1"/>
        <v>2.0713746944911116E-2</v>
      </c>
    </row>
    <row r="22" spans="1:7" x14ac:dyDescent="0.25">
      <c r="A22">
        <v>11</v>
      </c>
      <c r="B22" s="8" t="n">
        <v>16357.0607193858</v>
      </c>
      <c r="C22" s="11">
        <f t="shared" si="0"/>
        <v>1.5080988081552185E-2</v>
      </c>
      <c r="E22" s="120">
        <v>11</v>
      </c>
      <c r="F22" s="210" t="n">
        <v>22205.0</v>
      </c>
      <c r="G22" s="11">
        <f t="shared" si="1"/>
        <v>1.8702341279747969E-2</v>
      </c>
    </row>
    <row r="23" spans="1:7" x14ac:dyDescent="0.25">
      <c r="A23">
        <v>12</v>
      </c>
      <c r="B23" s="8" t="n">
        <v>35973.1581917681</v>
      </c>
      <c r="C23" s="11">
        <f t="shared" si="0"/>
        <v>3.3166763836908787E-2</v>
      </c>
      <c r="E23" s="121">
        <v>12</v>
      </c>
      <c r="F23" s="211" t="n">
        <v>19665.0</v>
      </c>
      <c r="G23" s="11">
        <f t="shared" si="1"/>
        <v>1.5679013771554423E-2</v>
      </c>
    </row>
    <row r="24" spans="1:7" x14ac:dyDescent="0.25">
      <c r="A24">
        <v>13</v>
      </c>
      <c r="B24" s="8" t="n">
        <v>30562.0903334039</v>
      </c>
      <c r="C24" s="11">
        <f t="shared" si="0"/>
        <v>2.8177832678650858E-2</v>
      </c>
      <c r="E24" s="122">
        <v>13</v>
      </c>
      <c r="F24" s="212" t="n">
        <v>15681.0</v>
      </c>
      <c r="G24" s="11">
        <f t="shared" si="1"/>
        <v>1.3337112122539381E-2</v>
      </c>
    </row>
    <row r="25" spans="1:7" x14ac:dyDescent="0.25">
      <c r="A25">
        <v>14</v>
      </c>
      <c r="B25" s="8" t="n">
        <v>23781.727154917</v>
      </c>
      <c r="C25" s="11">
        <f t="shared" si="0"/>
        <v>2.1926429811253794E-2</v>
      </c>
      <c r="E25" s="123">
        <v>14</v>
      </c>
      <c r="F25" s="213" t="n">
        <v>15486.0</v>
      </c>
      <c r="G25" s="11">
        <f t="shared" si="1"/>
        <v>1.17139503953958E-2</v>
      </c>
    </row>
    <row r="26" spans="1:7" x14ac:dyDescent="0.25">
      <c r="A26">
        <v>15</v>
      </c>
      <c r="B26" s="8" t="n">
        <v>13959.3886464466</v>
      </c>
      <c r="C26" s="11">
        <f t="shared" si="0"/>
        <v>1.2870366957390682E-2</v>
      </c>
      <c r="E26" s="124">
        <v>15</v>
      </c>
      <c r="F26" s="214" t="n">
        <v>13964.0</v>
      </c>
      <c r="G26" s="11">
        <f t="shared" si="1"/>
        <v>1.0686036811211276E-2</v>
      </c>
    </row>
    <row r="27" spans="1:7" x14ac:dyDescent="0.25">
      <c r="A27">
        <v>16</v>
      </c>
      <c r="B27" s="8" t="n">
        <v>47717.3405932231</v>
      </c>
      <c r="C27" s="11">
        <f t="shared" si="0"/>
        <v>4.3994740688153754E-2</v>
      </c>
      <c r="E27" s="125">
        <v>16</v>
      </c>
      <c r="F27" s="215" t="n">
        <v>12167.0</v>
      </c>
      <c r="G27" s="11">
        <f t="shared" si="1"/>
        <v>1.1801016541679364E-2</v>
      </c>
    </row>
    <row r="28" spans="1:7" x14ac:dyDescent="0.25">
      <c r="A28">
        <v>17</v>
      </c>
      <c r="B28" s="8" t="n">
        <v>24330.5023242691</v>
      </c>
      <c r="C28" s="11">
        <f t="shared" si="0"/>
        <v>2.2432393072650891E-2</v>
      </c>
      <c r="E28" s="126">
        <v>17</v>
      </c>
      <c r="F28" s="216" t="n">
        <v>11352.0</v>
      </c>
      <c r="G28" s="11">
        <f t="shared" si="1"/>
        <v>1.009434238850869E-2</v>
      </c>
    </row>
    <row r="29" spans="1:7" x14ac:dyDescent="0.25">
      <c r="A29">
        <v>18</v>
      </c>
      <c r="B29" s="8" t="n">
        <v>74508.7350650528</v>
      </c>
      <c r="C29" s="11">
        <f t="shared" si="0"/>
        <v>6.8696042936116447E-2</v>
      </c>
      <c r="E29" s="127">
        <v>18</v>
      </c>
      <c r="F29" s="217" t="n">
        <v>134615.0</v>
      </c>
      <c r="G29" s="11">
        <f t="shared" si="1"/>
        <v>0.12553250276968073</v>
      </c>
    </row>
    <row r="30" spans="1:7" x14ac:dyDescent="0.25">
      <c r="A30">
        <v>19</v>
      </c>
      <c r="B30" s="8" t="n">
        <v>60713.3867129065</v>
      </c>
      <c r="C30" s="11">
        <f t="shared" si="0"/>
        <v>5.5976918904681594E-2</v>
      </c>
      <c r="E30" s="128">
        <v>19</v>
      </c>
      <c r="F30" s="218" t="n">
        <v>47645.0</v>
      </c>
      <c r="G30" s="11">
        <f t="shared" si="1"/>
        <v>4.7362206718130462E-2</v>
      </c>
    </row>
    <row r="31" spans="1:7" x14ac:dyDescent="0.25">
      <c r="A31">
        <v>20</v>
      </c>
      <c r="B31" s="8" t="n">
        <v>75940.4975286467</v>
      </c>
      <c r="C31" s="11">
        <f t="shared" si="0"/>
        <v>7.0016108504099742E-2</v>
      </c>
      <c r="E31" s="129">
        <v>20</v>
      </c>
      <c r="F31" s="219" t="n">
        <v>43172.0</v>
      </c>
      <c r="G31" s="11">
        <f t="shared" si="1"/>
        <v>4.8883198987900472E-2</v>
      </c>
    </row>
    <row r="32" spans="1:7" x14ac:dyDescent="0.25">
      <c r="A32">
        <v>21</v>
      </c>
      <c r="B32" s="8" t="n">
        <v>50371.464672959</v>
      </c>
      <c r="C32" s="11">
        <f t="shared" si="0"/>
        <v>4.6441807083525105E-2</v>
      </c>
      <c r="E32" s="130">
        <v>21</v>
      </c>
      <c r="F32" s="220" t="n">
        <v>56659.0</v>
      </c>
      <c r="G32" s="11">
        <f t="shared" si="1"/>
        <v>5.3660287442662942E-2</v>
      </c>
    </row>
    <row r="33" spans="1:7" x14ac:dyDescent="0.25">
      <c r="A33">
        <v>22</v>
      </c>
      <c r="B33" s="8" t="n">
        <v>50603.223974949404</v>
      </c>
      <c r="C33" s="11">
        <f t="shared" si="0"/>
        <v>4.6655486015887551E-2</v>
      </c>
      <c r="E33" s="131">
        <v>22</v>
      </c>
      <c r="F33" s="221" t="n">
        <v>50176.0</v>
      </c>
      <c r="G33" s="11">
        <f t="shared" si="1"/>
        <v>5.0559666518891135E-2</v>
      </c>
    </row>
    <row r="34" spans="1:7" x14ac:dyDescent="0.25">
      <c r="A34">
        <v>23</v>
      </c>
      <c r="B34" s="8" t="n">
        <v>28526.9919163286</v>
      </c>
      <c r="C34" s="11">
        <f t="shared" si="0"/>
        <v>2.630149954648096E-2</v>
      </c>
      <c r="E34" s="132">
        <v>23</v>
      </c>
      <c r="F34" s="222" t="n">
        <v>32044.0</v>
      </c>
      <c r="G34" s="11">
        <f t="shared" si="1"/>
        <v>3.4363586450020037E-2</v>
      </c>
    </row>
    <row r="35" spans="1:7" x14ac:dyDescent="0.25">
      <c r="A35">
        <v>24</v>
      </c>
      <c r="B35" s="8" t="n">
        <v>28940.315724706</v>
      </c>
      <c r="C35" s="11">
        <f t="shared" si="0"/>
        <v>2.6682578490607751E-2</v>
      </c>
      <c r="E35" s="133">
        <v>24</v>
      </c>
      <c r="F35" s="223" t="n">
        <v>28906.0</v>
      </c>
      <c r="G35" s="11">
        <f t="shared" si="1"/>
        <v>3.4362698019955916E-2</v>
      </c>
    </row>
    <row r="36" spans="1:7" x14ac:dyDescent="0.25">
      <c r="A36">
        <v>25</v>
      </c>
      <c r="B36" s="8" t="n">
        <v>19019.0136060824</v>
      </c>
      <c r="C36" s="11">
        <f t="shared" si="0"/>
        <v>1.7535272530734832E-2</v>
      </c>
      <c r="E36" s="134">
        <v>25</v>
      </c>
      <c r="F36" s="224" t="n">
        <v>27960.0</v>
      </c>
      <c r="G36" s="11">
        <f t="shared" si="1"/>
        <v>3.3726582094047428E-2</v>
      </c>
    </row>
    <row r="37" spans="1:7" x14ac:dyDescent="0.25">
      <c r="A37">
        <v>26</v>
      </c>
      <c r="B37" s="8" t="n">
        <v>52228.4444612188</v>
      </c>
      <c r="C37" s="11">
        <f t="shared" si="0"/>
        <v>4.815391725630442E-2</v>
      </c>
      <c r="E37" s="135">
        <v>26</v>
      </c>
      <c r="F37" s="225" t="n">
        <v>25715.0</v>
      </c>
      <c r="G37" s="11">
        <f t="shared" si="1"/>
        <v>2.8195216514848777E-2</v>
      </c>
    </row>
    <row r="38" spans="1:7" x14ac:dyDescent="0.25">
      <c r="A38">
        <v>27</v>
      </c>
      <c r="B38" s="8" t="n">
        <v>6789.7577799092</v>
      </c>
      <c r="C38" s="11">
        <f t="shared" si="0"/>
        <v>6.2600645624602044E-3</v>
      </c>
      <c r="E38" s="136">
        <v>27</v>
      </c>
      <c r="F38" s="226" t="n">
        <v>15427.0</v>
      </c>
      <c r="G38" s="11">
        <f t="shared" si="1"/>
        <v>1.9146556311806968E-2</v>
      </c>
    </row>
    <row r="39" spans="1:7" x14ac:dyDescent="0.25">
      <c r="A39">
        <v>28</v>
      </c>
      <c r="B39" s="8" t="n">
        <v>20867.0564340776</v>
      </c>
      <c r="C39" s="11">
        <f t="shared" si="0"/>
        <v>1.923914294738999E-2</v>
      </c>
      <c r="E39" s="137">
        <v>28</v>
      </c>
      <c r="F39" s="227" t="n">
        <v>17512.0</v>
      </c>
      <c r="G39" s="11">
        <f t="shared" si="1"/>
        <v>1.9549015130852422E-2</v>
      </c>
    </row>
    <row r="40" spans="1:7" x14ac:dyDescent="0.25">
      <c r="A40">
        <v>29</v>
      </c>
      <c r="B40" s="8" t="n">
        <v>27093.851735659602</v>
      </c>
      <c r="C40" s="11">
        <f t="shared" si="0"/>
        <v>2.4980163742044682E-2</v>
      </c>
      <c r="E40" s="138">
        <v>29</v>
      </c>
      <c r="F40" s="228" t="n">
        <v>11165.0</v>
      </c>
      <c r="G40" s="11">
        <f t="shared" si="1"/>
        <v>1.8057341053198304E-2</v>
      </c>
    </row>
    <row r="41" spans="1:7" x14ac:dyDescent="0.25">
      <c r="A41">
        <v>30</v>
      </c>
      <c r="B41" s="8" t="n">
        <v>8397.9471511303</v>
      </c>
      <c r="C41" s="11">
        <f t="shared" si="0"/>
        <v>7.7427933458485577E-3</v>
      </c>
      <c r="E41" s="139">
        <v>30</v>
      </c>
      <c r="F41" s="229" t="n">
        <v>14647.0</v>
      </c>
      <c r="G41" s="11">
        <f t="shared" si="1"/>
        <v>2.1482238950373184E-2</v>
      </c>
    </row>
    <row r="42" spans="1:7" x14ac:dyDescent="0.25">
      <c r="A42">
        <v>31</v>
      </c>
      <c r="B42" s="8" t="n">
        <v>18689.9018747718</v>
      </c>
      <c r="C42" s="11">
        <f t="shared" si="0"/>
        <v>1.7231835979233143E-2</v>
      </c>
      <c r="E42" s="140">
        <v>31</v>
      </c>
      <c r="F42" s="230" t="n">
        <v>9293.0</v>
      </c>
      <c r="G42" s="11">
        <f t="shared" si="1"/>
        <v>1.3663165956070688E-2</v>
      </c>
    </row>
    <row r="43" spans="1:7" x14ac:dyDescent="0.25">
      <c r="A43">
        <v>32</v>
      </c>
      <c r="B43" s="8" t="n">
        <v>7258.5263503213</v>
      </c>
      <c r="C43" s="11">
        <f t="shared" si="0"/>
        <v>6.6922628250131238E-3</v>
      </c>
      <c r="E43" s="141">
        <v>32</v>
      </c>
      <c r="F43" s="231" t="n">
        <v>8710.0</v>
      </c>
      <c r="G43" s="11">
        <f t="shared" si="1"/>
        <v>1.3390417926386462E-2</v>
      </c>
    </row>
    <row r="44" spans="1:7" x14ac:dyDescent="0.25">
      <c r="A44">
        <v>33</v>
      </c>
      <c r="B44" s="8" t="n">
        <v>4916.6304158172</v>
      </c>
      <c r="C44" s="11">
        <f t="shared" si="0"/>
        <v>4.5330665438234287E-3</v>
      </c>
      <c r="E44" s="142">
        <v>33</v>
      </c>
      <c r="F44" s="232" t="n">
        <v>12113.0</v>
      </c>
      <c r="G44" s="11">
        <f t="shared" si="1"/>
        <v>8.0598375416784749E-3</v>
      </c>
    </row>
    <row r="45" spans="1:7" x14ac:dyDescent="0.25">
      <c r="A45">
        <v>34</v>
      </c>
      <c r="B45" s="8" t="n">
        <v>18046.0841538449</v>
      </c>
      <c r="C45" s="11">
        <f t="shared" si="0"/>
        <v>1.6638244774642E-2</v>
      </c>
      <c r="E45" s="143">
        <v>34</v>
      </c>
      <c r="F45" s="233" t="n">
        <v>7322.0</v>
      </c>
      <c r="G45" s="11">
        <f t="shared" si="1"/>
        <v>9.6581232270267527E-3</v>
      </c>
    </row>
    <row r="46" spans="1:7" x14ac:dyDescent="0.25">
      <c r="A46">
        <v>35</v>
      </c>
      <c r="B46" s="8" t="n">
        <v>11866.1300876208</v>
      </c>
      <c r="C46" s="11">
        <f t="shared" si="0"/>
        <v>1.0940410963533837E-2</v>
      </c>
      <c r="E46" s="144">
        <v>35</v>
      </c>
      <c r="F46" s="234" t="n">
        <v>6214.0</v>
      </c>
      <c r="G46" s="11">
        <f t="shared" si="1"/>
        <v>7.1358702749957578E-3</v>
      </c>
    </row>
    <row r="47" spans="1:7" x14ac:dyDescent="0.25">
      <c r="A47">
        <v>36</v>
      </c>
      <c r="B47" s="8" t="n">
        <v>4173.0593110587</v>
      </c>
      <c r="C47" s="11">
        <f t="shared" si="0"/>
        <v>3.8475040726051522E-3</v>
      </c>
      <c r="E47" s="145">
        <v>36</v>
      </c>
      <c r="F47" s="235" t="n">
        <v>3859.0</v>
      </c>
      <c r="G47" s="11">
        <f t="shared" si="1"/>
        <v>7.1945066592275456E-3</v>
      </c>
    </row>
    <row r="48" spans="1:7" x14ac:dyDescent="0.25">
      <c r="A48">
        <v>37</v>
      </c>
      <c r="B48" s="8" t="n">
        <v>7707.047703653</v>
      </c>
      <c r="C48" s="11">
        <f t="shared" si="0"/>
        <v>7.1057934280939327E-3</v>
      </c>
      <c r="E48" s="146">
        <v>37</v>
      </c>
      <c r="F48" s="236" t="n">
        <v>3547.0</v>
      </c>
      <c r="G48" s="11">
        <f t="shared" si="1"/>
        <v>4.8837000624566331E-3</v>
      </c>
    </row>
    <row r="49" spans="1:7" x14ac:dyDescent="0.25">
      <c r="A49">
        <v>38</v>
      </c>
      <c r="B49" s="8" t="n">
        <v>12919.7518268293</v>
      </c>
      <c r="C49" s="11">
        <f t="shared" si="0"/>
        <v>1.1911835913533309E-2</v>
      </c>
      <c r="E49" s="147">
        <v>38</v>
      </c>
      <c r="F49" s="237" t="n">
        <v>4281.0</v>
      </c>
      <c r="G49" s="11">
        <f t="shared" si="1"/>
        <v>4.9005802336748753E-3</v>
      </c>
    </row>
    <row r="50" spans="1:7" x14ac:dyDescent="0.25">
      <c r="A50">
        <v>39</v>
      </c>
      <c r="B50" s="8" t="n">
        <v>4098.719595243</v>
      </c>
      <c r="C50" s="11">
        <f t="shared" si="0"/>
        <v>3.7789638631240052E-3</v>
      </c>
      <c r="E50" s="148">
        <v>39</v>
      </c>
      <c r="F50" s="238" t="n">
        <v>3389.0</v>
      </c>
      <c r="G50" s="11">
        <f t="shared" si="1"/>
        <v>3.0037820467829503E-3</v>
      </c>
    </row>
    <row r="51" spans="1:7" x14ac:dyDescent="0.25">
      <c r="A51">
        <v>40</v>
      </c>
      <c r="B51" s="8" t="n">
        <v>4200.214338168</v>
      </c>
      <c r="C51" s="11">
        <f t="shared" si="0"/>
        <v>3.8725406392117814E-3</v>
      </c>
      <c r="E51" s="149">
        <v>40</v>
      </c>
      <c r="F51" s="239" t="n">
        <v>2138.0</v>
      </c>
      <c r="G51" s="11">
        <f t="shared" si="1"/>
        <v>2.651963741392223E-3</v>
      </c>
    </row>
    <row r="52" spans="1:7" x14ac:dyDescent="0.25">
      <c r="A52">
        <v>41</v>
      </c>
      <c r="B52" s="8" t="n">
        <v>7084.990707204</v>
      </c>
      <c r="C52" s="11">
        <f t="shared" si="0"/>
        <v>6.5322653162629835E-3</v>
      </c>
      <c r="E52" s="150">
        <v>41</v>
      </c>
      <c r="F52" s="240" t="n">
        <v>3255.0</v>
      </c>
      <c r="G52" s="11">
        <f t="shared" si="1"/>
        <v>2.5115917912615798E-3</v>
      </c>
    </row>
    <row r="53" spans="1:7" x14ac:dyDescent="0.25">
      <c r="A53">
        <v>42</v>
      </c>
      <c r="B53" s="8" t="n">
        <v>6386.2255665823</v>
      </c>
      <c r="C53" s="11">
        <f t="shared" si="0"/>
        <v>5.8880133361360991E-3</v>
      </c>
      <c r="E53" s="151">
        <v>42</v>
      </c>
      <c r="F53" s="241" t="n">
        <v>2929.0</v>
      </c>
      <c r="G53" s="11">
        <f t="shared" si="1"/>
        <v>1.4454757143199824E-3</v>
      </c>
    </row>
    <row r="54" spans="1:7" x14ac:dyDescent="0.25">
      <c r="A54">
        <v>43</v>
      </c>
      <c r="B54" s="8" t="n">
        <v>2407.4362884904</v>
      </c>
      <c r="C54" s="11">
        <f t="shared" si="0"/>
        <v>2.219623598437265E-3</v>
      </c>
      <c r="E54" s="152">
        <v>43</v>
      </c>
      <c r="F54" s="242" t="n">
        <v>1301.0</v>
      </c>
      <c r="G54" s="11">
        <f t="shared" si="1"/>
        <v>2.0229552559966808E-3</v>
      </c>
    </row>
    <row r="55" spans="1:7" x14ac:dyDescent="0.25">
      <c r="A55">
        <v>44</v>
      </c>
      <c r="B55" s="8" t="n">
        <v>504.15543064200006</v>
      </c>
      <c r="C55" s="11">
        <f t="shared" si="0"/>
        <v>4.6482446762276909E-4</v>
      </c>
      <c r="E55" s="153">
        <v>44</v>
      </c>
      <c r="F55" s="243" t="n">
        <v>1635.0</v>
      </c>
      <c r="G55" s="11">
        <f t="shared" si="1"/>
        <v>1.5254344200906021E-3</v>
      </c>
    </row>
    <row r="56" spans="1:7" x14ac:dyDescent="0.25">
      <c r="A56">
        <v>45</v>
      </c>
      <c r="B56" s="8" t="n">
        <v>48003.1108163998</v>
      </c>
      <c r="C56" s="11">
        <f t="shared" si="0"/>
        <v>4.4258216957131745E-2</v>
      </c>
      <c r="E56" s="154">
        <v>45</v>
      </c>
      <c r="F56" s="244" t="n">
        <v>881.0</v>
      </c>
      <c r="G56" s="11">
        <f t="shared" si="1"/>
        <v>1.5885129546429799E-3</v>
      </c>
    </row>
    <row r="57" spans="1:7" x14ac:dyDescent="0.25">
      <c r="A57">
        <v>46</v>
      </c>
      <c r="B57" s="8" t="n">
        <v>1714.410481782</v>
      </c>
      <c r="C57" s="11">
        <f t="shared" si="0"/>
        <v>1.5806632063179948E-3</v>
      </c>
      <c r="E57" s="155">
        <v>46</v>
      </c>
      <c r="F57" s="245" t="n">
        <v>801.0</v>
      </c>
      <c r="G57" s="11">
        <f t="shared" si="1"/>
        <v>1.1132028703398512E-3</v>
      </c>
    </row>
    <row r="58" spans="1:7" x14ac:dyDescent="0.25">
      <c r="A58">
        <v>47</v>
      </c>
      <c r="B58" s="8" t="n">
        <v>2727.623029583</v>
      </c>
      <c r="C58" s="11">
        <f t="shared" si="0"/>
        <v>2.5148314300353775E-3</v>
      </c>
      <c r="E58" s="156">
        <v>47</v>
      </c>
      <c r="F58" s="246" t="n">
        <v>1496.0</v>
      </c>
      <c r="G58" s="11">
        <f t="shared" si="1"/>
        <v>6.0235558347200243E-4</v>
      </c>
    </row>
    <row r="59" spans="1:7" x14ac:dyDescent="0.25">
      <c r="A59">
        <v>48</v>
      </c>
      <c r="B59" s="8" t="n">
        <v>2951.3552785406</v>
      </c>
      <c r="C59" s="11">
        <f t="shared" si="0"/>
        <v>2.7211095283974848E-3</v>
      </c>
      <c r="E59" s="157">
        <v>48</v>
      </c>
      <c r="F59" s="247" t="n">
        <v>396.0</v>
      </c>
      <c r="G59" s="11">
        <f t="shared" si="1"/>
        <v>5.9347128283082249E-4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544.0</v>
      </c>
      <c r="G60" s="11">
        <f t="shared" si="1"/>
        <v>5.2150844763726467E-4</v>
      </c>
    </row>
    <row r="61" spans="1:7" x14ac:dyDescent="0.25">
      <c r="A61">
        <v>50</v>
      </c>
      <c r="B61" s="8" t="n">
        <v>587.6179151199999</v>
      </c>
      <c r="C61" s="11">
        <f t="shared" si="0"/>
        <v>5.4177574605005321E-4</v>
      </c>
      <c r="E61" s="159">
        <v>50</v>
      </c>
      <c r="F61" s="249" t="n">
        <v>722.0</v>
      </c>
      <c r="G61" s="11">
        <f t="shared" si="1"/>
        <v>3.4471086487778313E-4</v>
      </c>
    </row>
    <row r="62" spans="1:7" x14ac:dyDescent="0.25">
      <c r="A62">
        <v>51</v>
      </c>
      <c r="B62" s="8" t="n">
        <v>3380.609785771</v>
      </c>
      <c r="C62" s="11">
        <f t="shared" si="0"/>
        <v>3.1168763607490923E-3</v>
      </c>
      <c r="E62" s="160">
        <v>51</v>
      </c>
      <c r="F62" s="250" t="n">
        <v>313.0</v>
      </c>
      <c r="G62" s="11">
        <f t="shared" si="1"/>
        <v>3.6070260603190707E-4</v>
      </c>
    </row>
    <row r="63" spans="1:7" x14ac:dyDescent="0.25">
      <c r="A63">
        <v>52</v>
      </c>
      <c r="B63" s="8" t="n">
        <v>3715.5722256538</v>
      </c>
      <c r="C63" s="11">
        <f t="shared" si="0"/>
        <v>3.4257071861829805E-3</v>
      </c>
      <c r="E63" s="161">
        <v>52</v>
      </c>
      <c r="F63" s="251" t="n">
        <v>362.0</v>
      </c>
      <c r="G63" s="11">
        <f t="shared" si="1"/>
        <v>2.8962820090246724E-4</v>
      </c>
    </row>
    <row r="64" spans="1:7" x14ac:dyDescent="0.25">
      <c r="A64">
        <v>53</v>
      </c>
      <c r="B64" s="8" t="n">
        <v>1014.60532883</v>
      </c>
      <c r="C64" s="11">
        <f t="shared" si="0"/>
        <v>9.3545234893149679E-4</v>
      </c>
      <c r="E64" s="162">
        <v>53</v>
      </c>
      <c r="F64" s="252" t="n">
        <v>823.0</v>
      </c>
      <c r="G64" s="11">
        <f t="shared" si="1"/>
        <v>1.9989676442654948E-4</v>
      </c>
    </row>
    <row r="65" spans="1:7" x14ac:dyDescent="0.25">
      <c r="A65">
        <v>54</v>
      </c>
      <c r="B65" s="8" t="n">
        <v>502.771848825</v>
      </c>
      <c r="C65" s="11">
        <f t="shared" si="0"/>
        <v>4.6354882395732125E-4</v>
      </c>
      <c r="E65" s="163">
        <v>54</v>
      </c>
      <c r="F65" s="253" t="n">
        <v>169.0</v>
      </c>
      <c r="G65" s="11">
        <f t="shared" si="1"/>
        <v>1.1904962859181169E-4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164">
        <v>55</v>
      </c>
      <c r="F66" s="254" t="n">
        <v>124.0</v>
      </c>
      <c r="G66" s="11">
        <f t="shared" si="1"/>
        <v>1.2526863904063767E-4</v>
      </c>
    </row>
    <row r="67" spans="1:7" x14ac:dyDescent="0.25">
      <c r="A67">
        <v>56</v>
      </c>
      <c r="B67" s="8" t="n">
        <v>596.97480037</v>
      </c>
      <c r="C67" s="11">
        <f t="shared" si="0"/>
        <v>5.5040266731399786E-4</v>
      </c>
      <c r="E67" s="165">
        <v>56</v>
      </c>
      <c r="F67" s="255" t="n">
        <v>127.0</v>
      </c>
      <c r="G67" s="11">
        <f t="shared" si="1"/>
        <v>1.4392567038711563E-4</v>
      </c>
    </row>
    <row r="68" spans="1:7" x14ac:dyDescent="0.25">
      <c r="A68">
        <v>57</v>
      </c>
      <c r="B68" s="8" t="n">
        <v>1368.575112804</v>
      </c>
      <c r="C68" s="11">
        <f t="shared" si="0"/>
        <v>1.2618076877617083E-3</v>
      </c>
      <c r="E68" s="166">
        <v>57</v>
      </c>
      <c r="F68" s="256" t="n">
        <v>102.0</v>
      </c>
      <c r="G68" s="11">
        <f t="shared" si="1"/>
        <v>1.4836782070770562E-4</v>
      </c>
    </row>
    <row r="69" spans="1:7" x14ac:dyDescent="0.25">
      <c r="A69">
        <v>58</v>
      </c>
      <c r="B69" s="8" t="n">
        <v>289.5458823197</v>
      </c>
      <c r="C69" s="11">
        <f t="shared" si="0"/>
        <v>2.6695737548682724E-4</v>
      </c>
      <c r="E69" s="167">
        <v>58</v>
      </c>
      <c r="F69" s="257" t="n">
        <v>119.0</v>
      </c>
      <c r="G69" s="11">
        <f t="shared" si="1"/>
        <v>8.8843006411799778E-5</v>
      </c>
    </row>
    <row r="70" spans="1:7" x14ac:dyDescent="0.25">
      <c r="A70">
        <v>59</v>
      </c>
      <c r="B70" s="8" t="n">
        <v>745.084945988</v>
      </c>
      <c r="C70" s="11">
        <f t="shared" si="0"/>
        <v>6.8695821229493553E-4</v>
      </c>
      <c r="E70" s="168">
        <v>59</v>
      </c>
      <c r="F70" s="258" t="n">
        <v>123.0</v>
      </c>
      <c r="G70" s="11">
        <f t="shared" si="1"/>
        <v>5.7747954167669851E-5</v>
      </c>
    </row>
    <row r="71" spans="1:7" x14ac:dyDescent="0.25">
      <c r="A71">
        <v>60</v>
      </c>
      <c r="B71" s="8" t="n">
        <v>1271.3699490315</v>
      </c>
      <c r="C71" s="11">
        <f t="shared" si="0"/>
        <v>1.1721858454596247E-3</v>
      </c>
      <c r="E71" s="169">
        <v>60</v>
      </c>
      <c r="F71" s="259" t="n">
        <v>79.0</v>
      </c>
      <c r="G71" s="11">
        <f t="shared" si="1"/>
        <v>5.1528943718843867E-5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99.0</v>
      </c>
      <c r="G72" s="11">
        <f t="shared" si="1"/>
        <v>3.553720256471991E-5</v>
      </c>
    </row>
    <row r="73" spans="1:7" x14ac:dyDescent="0.25">
      <c r="A73">
        <v>62</v>
      </c>
      <c r="B73" s="8" t="n">
        <v>101.05851781</v>
      </c>
      <c r="C73" s="11">
        <f t="shared" si="0"/>
        <v>9.3174582449625286E-5</v>
      </c>
      <c r="E73" s="171">
        <v>62</v>
      </c>
      <c r="F73" s="261" t="n">
        <v>134.0</v>
      </c>
      <c r="G73" s="11">
        <f t="shared" si="1"/>
        <v>3.9090922821191899E-5</v>
      </c>
    </row>
    <row r="74" spans="1:7" x14ac:dyDescent="0.25">
      <c r="A74">
        <v>63</v>
      </c>
      <c r="B74" s="8" t="n">
        <v>210.149659191</v>
      </c>
      <c r="C74" s="11">
        <f t="shared" si="0"/>
        <v>1.9375513486023969E-4</v>
      </c>
      <c r="E74" s="172">
        <v>63</v>
      </c>
      <c r="F74" s="262" t="n">
        <v>53.0</v>
      </c>
      <c r="G74" s="11">
        <f t="shared" si="1"/>
        <v>3.4648772500601909E-5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56.0</v>
      </c>
      <c r="G75" s="11">
        <f t="shared" si="1"/>
        <v>2.3099181667067942E-5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48.0</v>
      </c>
      <c r="G76" s="11">
        <f t="shared" si="1"/>
        <v>2.3099181667067942E-5</v>
      </c>
    </row>
    <row r="77" spans="1:7" x14ac:dyDescent="0.25">
      <c r="A77">
        <v>66</v>
      </c>
      <c r="B77" s="8" t="n">
        <v>617.666578062</v>
      </c>
      <c r="C77" s="11">
        <f t="shared" ref="C77:C102" si="2">B77/B$102</f>
        <v>5.6948020563904337E-4</v>
      </c>
      <c r="E77" s="175">
        <v>66</v>
      </c>
      <c r="F77" s="265" t="n">
        <v>54.0</v>
      </c>
      <c r="G77" s="11">
        <f t="shared" ref="G77:G102" si="3">F77/F$102</f>
        <v>2.3099181667067942E-5</v>
      </c>
    </row>
    <row r="78" spans="1:7" x14ac:dyDescent="0.25">
      <c r="A78">
        <v>67</v>
      </c>
      <c r="B78" s="8" t="n">
        <v>723.6581128263</v>
      </c>
      <c r="C78" s="11">
        <f t="shared" si="2"/>
        <v>6.6720296279867161E-4</v>
      </c>
      <c r="E78" s="176">
        <v>67</v>
      </c>
      <c r="F78" s="266" t="n">
        <v>49.0</v>
      </c>
      <c r="G78" s="11">
        <f t="shared" si="3"/>
        <v>1.5103311090005962E-5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25.0</v>
      </c>
      <c r="G79" s="11">
        <f t="shared" si="3"/>
        <v>1.7768601282359955E-5</v>
      </c>
    </row>
    <row r="80" spans="1:7" x14ac:dyDescent="0.25">
      <c r="A80">
        <v>69</v>
      </c>
      <c r="B80" s="8" t="n">
        <v>62.0623590382</v>
      </c>
      <c r="C80" s="11">
        <f t="shared" si="2"/>
        <v>5.7220653088292238E-5</v>
      </c>
      <c r="E80" s="178">
        <v>69</v>
      </c>
      <c r="F80" s="268" t="n">
        <v>39.0</v>
      </c>
      <c r="G80" s="11">
        <f t="shared" si="3"/>
        <v>1.6880171218241958E-5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18.0</v>
      </c>
      <c r="G81" s="11">
        <f t="shared" si="3"/>
        <v>5.1528943718843867E-5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17.0</v>
      </c>
      <c r="G82" s="11">
        <f t="shared" si="3"/>
        <v>7.1074405129439821E-6</v>
      </c>
    </row>
    <row r="83" spans="1:7" x14ac:dyDescent="0.25">
      <c r="A83">
        <v>72</v>
      </c>
      <c r="B83" s="8" t="n">
        <v>6950.415883637</v>
      </c>
      <c r="C83" s="11">
        <f t="shared" si="2"/>
        <v>6.40818915459137E-3</v>
      </c>
      <c r="E83" s="181">
        <v>72</v>
      </c>
      <c r="F83" s="271" t="n">
        <v>34.0</v>
      </c>
      <c r="G83" s="11">
        <f t="shared" si="3"/>
        <v>7.1074405129439821E-6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19.0</v>
      </c>
      <c r="G84" s="11">
        <f t="shared" si="3"/>
        <v>5.330580384707986E-6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16.0</v>
      </c>
      <c r="G85" s="11">
        <f t="shared" si="3"/>
        <v>1.0661160769415972E-5</v>
      </c>
    </row>
    <row r="86" spans="1:7" x14ac:dyDescent="0.25">
      <c r="A86">
        <v>75</v>
      </c>
      <c r="B86" s="8" t="n">
        <v>667.663687339</v>
      </c>
      <c r="C86" s="11">
        <f t="shared" si="2"/>
        <v>6.1557686212604162E-4</v>
      </c>
      <c r="E86" s="184">
        <v>75</v>
      </c>
      <c r="F86" s="274" t="n">
        <v>21.0</v>
      </c>
      <c r="G86" s="11">
        <f t="shared" si="3"/>
        <v>4.4421503205899887E-6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5.0</v>
      </c>
      <c r="G87" s="11">
        <f t="shared" si="3"/>
        <v>3.5537202564719911E-6</v>
      </c>
    </row>
    <row r="88" spans="1:7" x14ac:dyDescent="0.25">
      <c r="A88">
        <v>77</v>
      </c>
      <c r="B88" s="8" t="n">
        <v>784.020975559</v>
      </c>
      <c r="C88" s="11">
        <f t="shared" si="2"/>
        <v>7.2285670334885054E-4</v>
      </c>
      <c r="E88" s="186">
        <v>77</v>
      </c>
      <c r="F88" s="276" t="n">
        <v>9.0</v>
      </c>
      <c r="G88" s="11">
        <f t="shared" si="3"/>
        <v>4.4421503205899887E-6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9.0</v>
      </c>
      <c r="G89" s="11">
        <f t="shared" si="3"/>
        <v>4.4421503205899887E-6</v>
      </c>
    </row>
    <row r="90" spans="1:7" x14ac:dyDescent="0.25">
      <c r="A90">
        <v>79</v>
      </c>
      <c r="B90" s="8" t="n">
        <v>413.665615618</v>
      </c>
      <c r="C90" s="11">
        <f t="shared" si="2"/>
        <v>3.8139408576562758E-4</v>
      </c>
      <c r="E90" s="188">
        <v>79</v>
      </c>
      <c r="F90" s="278" t="n">
        <v>35.0</v>
      </c>
      <c r="G90" s="11">
        <f t="shared" si="3"/>
        <v>3.5537202564719911E-6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13.0</v>
      </c>
      <c r="G91" s="11">
        <f t="shared" si="3"/>
        <v>3.5537202564719911E-6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9.0</v>
      </c>
      <c r="G92" s="11">
        <f t="shared" si="3"/>
        <v>3.5537202564719911E-6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5.0</v>
      </c>
      <c r="G93" s="11">
        <f t="shared" si="3"/>
        <v>8.8843006411799777E-7</v>
      </c>
    </row>
    <row r="94" spans="1:7" x14ac:dyDescent="0.25">
      <c r="A94">
        <v>83</v>
      </c>
      <c r="B94" s="8" t="n">
        <v>39.1519720345</v>
      </c>
      <c r="C94" s="11">
        <f t="shared" si="2"/>
        <v>3.6097587075762234E-5</v>
      </c>
      <c r="E94" s="192">
        <v>83</v>
      </c>
      <c r="F94" s="282" t="n">
        <v>4.0</v>
      </c>
      <c r="G94" s="11">
        <f t="shared" si="3"/>
        <v>8.8843006411799777E-7</v>
      </c>
    </row>
    <row r="95" spans="1:7" x14ac:dyDescent="0.25">
      <c r="A95">
        <v>84</v>
      </c>
      <c r="B95" s="8" t="n">
        <v>2935.91546136</v>
      </c>
      <c r="C95" s="11">
        <f t="shared" si="2"/>
        <v>2.7068742264152643E-3</v>
      </c>
      <c r="E95" s="193">
        <v>84</v>
      </c>
      <c r="F95" s="283" t="n">
        <v>7.0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5.0</v>
      </c>
      <c r="G96" s="11">
        <f t="shared" si="3"/>
        <v>8.8843006411799777E-7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6.0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4.0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3.0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1.0</v>
      </c>
      <c r="G100" s="11">
        <f t="shared" si="3"/>
        <v>8.8843006411799777E-7</v>
      </c>
    </row>
    <row r="101" spans="1:7" ht="15.75" thickBot="1" x14ac:dyDescent="0.3">
      <c r="A101" s="1">
        <v>90</v>
      </c>
      <c r="B101" s="9" t="n">
        <v>6136.7072054994</v>
      </c>
      <c r="C101" s="11">
        <f t="shared" si="2"/>
        <v>5.6579607922117555E-3</v>
      </c>
      <c r="E101" s="292">
        <v>90</v>
      </c>
      <c r="F101" s="292" t="n">
        <v>15.0</v>
      </c>
      <c r="G101" s="11">
        <f t="shared" si="3"/>
        <v>8.8843006411799777E-7</v>
      </c>
    </row>
    <row r="102" spans="1:7" x14ac:dyDescent="0.25">
      <c r="B102" s="8">
        <f>SUM(B11:B101)</f>
        <v>1084614.6572713342</v>
      </c>
      <c r="C102" s="11">
        <f t="shared" si="2"/>
        <v>1</v>
      </c>
      <c r="F102" s="8">
        <f>SUM(F11:F101)</f>
        <v>1125581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2" t="n">
        <v>34395.0</v>
      </c>
      <c r="N7" s="342" t="n">
        <v>2201.0</v>
      </c>
      <c r="O7" s="342" t="n">
        <v>5252.0</v>
      </c>
      <c r="P7" s="342" t="n">
        <v>3529.0</v>
      </c>
      <c r="Q7" s="342" t="n">
        <v>2112.0</v>
      </c>
      <c r="R7" s="342" t="n">
        <v>319.0</v>
      </c>
      <c r="S7" s="342" t="n">
        <v>4759.0</v>
      </c>
      <c r="T7" s="291"/>
      <c r="U7" s="12">
        <f>SUM(M7:T7)</f>
        <v>53271</v>
      </c>
    </row>
    <row r="8" spans="1:21" x14ac:dyDescent="0.2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t="shared" ref="J8:J14" si="0">SUM(B8:I8)</f>
        <v>2552.9661731877</v>
      </c>
      <c r="K8" s="12"/>
      <c r="L8" t="str">
        <f>$A$8</f>
        <v>Bellevue Downtown</v>
      </c>
      <c r="M8" s="342" t="n">
        <v>2618.0</v>
      </c>
      <c r="N8" s="342" t="n">
        <v>859.0</v>
      </c>
      <c r="O8" s="342" t="n">
        <v>910.0</v>
      </c>
      <c r="P8" s="342" t="n">
        <v>247.0</v>
      </c>
      <c r="Q8" s="342" t="n">
        <v>242.0</v>
      </c>
      <c r="R8" s="342" t="n">
        <v>31.0</v>
      </c>
      <c r="S8" s="342" t="n">
        <v>376.0</v>
      </c>
      <c r="T8" s="291"/>
      <c r="U8" s="12">
        <f t="shared" ref="U8:U14" si="1">SUM(M8:T8)</f>
        <v>4972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t="shared" si="0"/>
        <v>32411.710559707601</v>
      </c>
      <c r="K9" s="13"/>
      <c r="L9" t="str">
        <f>$A$9</f>
        <v>Kirkland</v>
      </c>
      <c r="M9" s="342" t="n">
        <v>1510.0</v>
      </c>
      <c r="N9" s="342" t="n">
        <v>340.0</v>
      </c>
      <c r="O9" s="342" t="n">
        <v>30339.0</v>
      </c>
      <c r="P9" s="342" t="n">
        <v>3372.0</v>
      </c>
      <c r="Q9" s="342" t="n">
        <v>1613.0</v>
      </c>
      <c r="R9" s="342" t="n">
        <v>70.0</v>
      </c>
      <c r="S9" s="342" t="n">
        <v>7365.0</v>
      </c>
      <c r="T9" s="291"/>
      <c r="U9" s="12">
        <f t="shared" si="1"/>
        <v>45023</v>
      </c>
    </row>
    <row r="10" spans="1:21" x14ac:dyDescent="0.2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t="shared" si="0"/>
        <v>39687.352662971993</v>
      </c>
      <c r="K10" s="13"/>
      <c r="L10" t="str">
        <f>$A$10</f>
        <v>Redmond</v>
      </c>
      <c r="M10" s="342" t="n">
        <v>3868.0</v>
      </c>
      <c r="N10" s="342" t="n">
        <v>324.0</v>
      </c>
      <c r="O10" s="342" t="n">
        <v>8496.0</v>
      </c>
      <c r="P10" s="342" t="n">
        <v>15253.0</v>
      </c>
      <c r="Q10" s="342" t="n">
        <v>420.0</v>
      </c>
      <c r="R10" s="342" t="n">
        <v>27.0</v>
      </c>
      <c r="S10" s="342" t="n">
        <v>8249.0</v>
      </c>
      <c r="T10" s="291"/>
      <c r="U10" s="12">
        <f t="shared" si="1"/>
        <v>37068</v>
      </c>
    </row>
    <row r="11" spans="1:21" x14ac:dyDescent="0.2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t="shared" si="0"/>
        <v>218949.4684907874</v>
      </c>
      <c r="K11" s="13"/>
      <c r="L11" t="str">
        <f>$A$11</f>
        <v>Seattle</v>
      </c>
      <c r="M11" s="342" t="n">
        <v>467.0</v>
      </c>
      <c r="N11" s="342" t="n">
        <v>99.0</v>
      </c>
      <c r="O11" s="342" t="n">
        <v>3522.0</v>
      </c>
      <c r="P11" s="342" t="n">
        <v>257.0</v>
      </c>
      <c r="Q11" s="342" t="n">
        <v>187583.0</v>
      </c>
      <c r="R11" s="342" t="n">
        <v>4878.0</v>
      </c>
      <c r="S11" s="342" t="n">
        <v>13890.0</v>
      </c>
      <c r="T11" s="291"/>
      <c r="U11" s="12">
        <f t="shared" si="1"/>
        <v>207477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t="shared" si="0"/>
        <v>20280.583342895599</v>
      </c>
      <c r="K12" s="13"/>
      <c r="L12" t="str">
        <f>$A$12</f>
        <v>Seattle Downtown</v>
      </c>
      <c r="M12" s="342" t="n">
        <v>239.0</v>
      </c>
      <c r="N12" s="342" t="n">
        <v>41.0</v>
      </c>
      <c r="O12" s="342" t="n">
        <v>95.0</v>
      </c>
      <c r="P12" s="342" t="n">
        <v>26.0</v>
      </c>
      <c r="Q12" s="342" t="n">
        <v>15288.0</v>
      </c>
      <c r="R12" s="342" t="n">
        <v>8908.0</v>
      </c>
      <c r="S12" s="342" t="n">
        <v>837.0</v>
      </c>
      <c r="T12" s="291"/>
      <c r="U12" s="12">
        <f t="shared" si="1"/>
        <v>25169</v>
      </c>
    </row>
    <row r="13" spans="1:21" x14ac:dyDescent="0.2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t="shared" si="0"/>
        <v>730770.9869656493</v>
      </c>
      <c r="K13" s="13"/>
      <c r="L13" t="str">
        <f>$A$13</f>
        <v>Rest</v>
      </c>
      <c r="M13" s="342" t="n">
        <v>10171.0</v>
      </c>
      <c r="N13" s="342" t="n">
        <v>400.0</v>
      </c>
      <c r="O13" s="342" t="n">
        <v>4408.0</v>
      </c>
      <c r="P13" s="342" t="n">
        <v>2701.0</v>
      </c>
      <c r="Q13" s="342" t="n">
        <v>12256.0</v>
      </c>
      <c r="R13" s="342" t="n">
        <v>655.0</v>
      </c>
      <c r="S13" s="342" t="n">
        <v>717303.0</v>
      </c>
      <c r="T13" s="291"/>
      <c r="U13" s="12">
        <f t="shared" si="1"/>
        <v>752313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40131.704903138103</v>
      </c>
      <c r="C15" s="15">
        <f t="shared" si="2"/>
        <v>2794.3775121997</v>
      </c>
      <c r="D15" s="15">
        <f t="shared" si="2"/>
        <v>38715.529204377701</v>
      </c>
      <c r="E15" s="15">
        <f t="shared" si="2"/>
        <v>42806.4685641303</v>
      </c>
      <c r="F15" s="15">
        <f t="shared" si="2"/>
        <v>230775.25592337199</v>
      </c>
      <c r="G15" s="15">
        <f t="shared" si="2"/>
        <v>29594.022911429001</v>
      </c>
      <c r="H15" s="15">
        <f t="shared" si="2"/>
        <v>705193.2416080964</v>
      </c>
      <c r="I15" s="15">
        <f t="shared" si="2"/>
        <v>0</v>
      </c>
      <c r="J15" s="15">
        <f t="shared" si="2"/>
        <v>1090010.6006267434</v>
      </c>
      <c r="K15" s="12"/>
      <c r="L15" s="15" t="s">
        <v>4</v>
      </c>
      <c r="M15" s="15">
        <f t="shared" ref="M15:U15" si="3">SUM(M7:M14)</f>
        <v>54541</v>
      </c>
      <c r="N15" s="15">
        <f t="shared" si="3"/>
        <v>5821</v>
      </c>
      <c r="O15" s="15">
        <f t="shared" si="3"/>
        <v>37274</v>
      </c>
      <c r="P15" s="15">
        <f t="shared" si="3"/>
        <v>26417</v>
      </c>
      <c r="Q15" s="15">
        <f t="shared" si="3"/>
        <v>193593</v>
      </c>
      <c r="R15" s="15">
        <f t="shared" si="3"/>
        <v>9664</v>
      </c>
      <c r="S15" s="15">
        <f t="shared" si="3"/>
        <v>797983</v>
      </c>
      <c r="T15" s="15">
        <f t="shared" si="3"/>
        <v>0</v>
      </c>
      <c r="U15" s="15">
        <f t="shared" si="3"/>
        <v>1125293</v>
      </c>
    </row>
    <row r="18" spans="1:32" ht="15.75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35840.63088919509</v>
      </c>
      <c r="C20" s="12">
        <f t="shared" si="4"/>
        <v>1550.0723908695743</v>
      </c>
      <c r="D20" s="12">
        <f t="shared" si="4"/>
        <v>3571.2904066591409</v>
      </c>
      <c r="E20" s="12">
        <f t="shared" si="4"/>
        <v>4006.0435114416282</v>
      </c>
      <c r="F20" s="12">
        <f t="shared" si="4"/>
        <v>4312.8903615866748</v>
      </c>
      <c r="G20" s="12">
        <f t="shared" si="4"/>
        <v>1299.7951644556383</v>
      </c>
      <c r="H20" s="12">
        <f t="shared" ref="H20" si="5">($U7/$J7)*H7</f>
        <v>2690.2772757922421</v>
      </c>
      <c r="I20" s="12"/>
      <c r="J20" s="12">
        <f>SUM(B20:I20)</f>
        <v>53270.999999999985</v>
      </c>
      <c r="K20" s="12"/>
      <c r="L20" t="str">
        <f>$A$7</f>
        <v>Bellevue</v>
      </c>
      <c r="M20" s="12">
        <f t="shared" ref="M20:M26" si="6">M7</f>
        <v>31763</v>
      </c>
      <c r="N20" s="12">
        <f t="shared" ref="N20:U20" si="7">N7</f>
        <v>2719</v>
      </c>
      <c r="O20" s="12">
        <f t="shared" si="7"/>
        <v>4297</v>
      </c>
      <c r="P20" s="12">
        <f t="shared" si="7"/>
        <v>3191</v>
      </c>
      <c r="Q20" s="12">
        <f t="shared" si="7"/>
        <v>2980</v>
      </c>
      <c r="R20" s="12">
        <f t="shared" si="7"/>
        <v>329</v>
      </c>
      <c r="S20" s="12">
        <f t="shared" ref="S20" si="8">S7</f>
        <v>7992</v>
      </c>
      <c r="T20" s="12"/>
      <c r="U20" s="12">
        <f t="shared" si="7"/>
        <v>53271</v>
      </c>
    </row>
    <row r="21" spans="1:32" x14ac:dyDescent="0.25">
      <c r="A21" t="str">
        <f>$A$8</f>
        <v>Bellevue Downtown</v>
      </c>
      <c r="B21" s="12">
        <f t="shared" ref="B21:G26" si="9">($U8/$J8)*B8</f>
        <v>3437.8604750742597</v>
      </c>
      <c r="C21" s="12">
        <f t="shared" si="9"/>
        <v>692.88474470172696</v>
      </c>
      <c r="D21" s="12">
        <f t="shared" si="9"/>
        <v>0</v>
      </c>
      <c r="E21" s="12">
        <f t="shared" si="9"/>
        <v>156.10202224711799</v>
      </c>
      <c r="F21" s="12">
        <f t="shared" si="9"/>
        <v>200.01780668421597</v>
      </c>
      <c r="G21" s="12">
        <f t="shared" si="9"/>
        <v>256.08972629632564</v>
      </c>
      <c r="H21" s="12">
        <f t="shared" ref="H21" si="10">($U8/$J8)*H8</f>
        <v>229.04522499635354</v>
      </c>
      <c r="I21" s="12"/>
      <c r="J21" s="12">
        <f t="shared" ref="J21:J27" si="11">SUM(B21:I21)</f>
        <v>4972</v>
      </c>
      <c r="K21" s="12"/>
      <c r="L21" t="str">
        <f>$A$8</f>
        <v>Bellevue Downtown</v>
      </c>
      <c r="M21" s="12">
        <f t="shared" si="6"/>
        <v>2299</v>
      </c>
      <c r="N21" s="12">
        <f t="shared" ref="N21:R26" si="12">N8</f>
        <v>772</v>
      </c>
      <c r="O21" s="12">
        <f t="shared" si="12"/>
        <v>673</v>
      </c>
      <c r="P21" s="12">
        <f t="shared" si="12"/>
        <v>267</v>
      </c>
      <c r="Q21" s="12">
        <f t="shared" si="12"/>
        <v>293</v>
      </c>
      <c r="R21" s="12">
        <f t="shared" si="12"/>
        <v>32</v>
      </c>
      <c r="S21" s="12">
        <f t="shared" ref="S21" si="13">S8</f>
        <v>636</v>
      </c>
      <c r="T21" s="12"/>
      <c r="U21" s="12">
        <f t="shared" ref="U21:U26" si="14">U8</f>
        <v>4972</v>
      </c>
    </row>
    <row r="22" spans="1:32" x14ac:dyDescent="0.25">
      <c r="A22" t="str">
        <f>$A$9</f>
        <v>Kirkland</v>
      </c>
      <c r="B22" s="12">
        <f t="shared" si="9"/>
        <v>0</v>
      </c>
      <c r="C22" s="12">
        <f t="shared" si="9"/>
        <v>0</v>
      </c>
      <c r="D22" s="12">
        <f t="shared" si="9"/>
        <v>31757.393921445873</v>
      </c>
      <c r="E22" s="12">
        <f t="shared" si="9"/>
        <v>5519.4300947938727</v>
      </c>
      <c r="F22" s="12">
        <f t="shared" si="9"/>
        <v>1959.7830340803253</v>
      </c>
      <c r="G22" s="12">
        <f t="shared" si="9"/>
        <v>642.6988966474928</v>
      </c>
      <c r="H22" s="12">
        <f t="shared" ref="H22" si="15">($U9/$J9)*H9</f>
        <v>5143.6940530324346</v>
      </c>
      <c r="I22" s="12"/>
      <c r="J22" s="12">
        <f t="shared" si="11"/>
        <v>45023</v>
      </c>
      <c r="K22" s="13"/>
      <c r="L22" t="str">
        <f>$A$9</f>
        <v>Kirkland</v>
      </c>
      <c r="M22" s="12">
        <f t="shared" si="6"/>
        <v>2727</v>
      </c>
      <c r="N22" s="12">
        <f t="shared" si="12"/>
        <v>464</v>
      </c>
      <c r="O22" s="12">
        <f t="shared" si="12"/>
        <v>19245</v>
      </c>
      <c r="P22" s="12">
        <f t="shared" si="12"/>
        <v>2309</v>
      </c>
      <c r="Q22" s="12">
        <f t="shared" si="12"/>
        <v>1337</v>
      </c>
      <c r="R22" s="12">
        <f t="shared" si="12"/>
        <v>54</v>
      </c>
      <c r="S22" s="12">
        <f t="shared" ref="S22" si="16">S9</f>
        <v>18887</v>
      </c>
      <c r="T22" s="12"/>
      <c r="U22" s="12">
        <f t="shared" si="14"/>
        <v>45023</v>
      </c>
    </row>
    <row r="23" spans="1:32" x14ac:dyDescent="0.25">
      <c r="A23" t="str">
        <f>$A$10</f>
        <v>Redmond</v>
      </c>
      <c r="B23" s="12">
        <f t="shared" si="9"/>
        <v>2823.5860917296886</v>
      </c>
      <c r="C23" s="12">
        <f t="shared" si="9"/>
        <v>0</v>
      </c>
      <c r="D23" s="12">
        <f t="shared" si="9"/>
        <v>2302.7182553521184</v>
      </c>
      <c r="E23" s="12">
        <f t="shared" si="9"/>
        <v>29297.324965056414</v>
      </c>
      <c r="F23" s="12">
        <f t="shared" si="9"/>
        <v>423.79925489836722</v>
      </c>
      <c r="G23" s="12">
        <f t="shared" si="9"/>
        <v>0</v>
      </c>
      <c r="H23" s="12">
        <f t="shared" ref="H23" si="17">($U10/$J10)*H10</f>
        <v>2220.571432963422</v>
      </c>
      <c r="I23" s="12"/>
      <c r="J23" s="12">
        <f>SUM(B23:I23)</f>
        <v>37068.000000000007</v>
      </c>
      <c r="K23" s="13"/>
      <c r="L23" t="str">
        <f>$A$10</f>
        <v>Redmond</v>
      </c>
      <c r="M23" s="12">
        <f t="shared" si="6"/>
        <v>5152</v>
      </c>
      <c r="N23" s="12">
        <f t="shared" si="12"/>
        <v>357</v>
      </c>
      <c r="O23" s="12">
        <f t="shared" si="12"/>
        <v>5773</v>
      </c>
      <c r="P23" s="12">
        <f t="shared" si="12"/>
        <v>13976</v>
      </c>
      <c r="Q23" s="12">
        <f t="shared" si="12"/>
        <v>363</v>
      </c>
      <c r="R23" s="12">
        <f t="shared" si="12"/>
        <v>28</v>
      </c>
      <c r="S23" s="12">
        <f t="shared" ref="S23" si="18">S10</f>
        <v>11419</v>
      </c>
      <c r="T23" s="12"/>
      <c r="U23" s="12">
        <f t="shared" si="14"/>
        <v>37068</v>
      </c>
    </row>
    <row r="24" spans="1:32" x14ac:dyDescent="0.25">
      <c r="A24" t="str">
        <f>$A$11</f>
        <v>Seattle</v>
      </c>
      <c r="B24" s="12">
        <f t="shared" si="9"/>
        <v>2359.4336626889608</v>
      </c>
      <c r="C24" s="12">
        <f t="shared" si="9"/>
        <v>0</v>
      </c>
      <c r="D24" s="12">
        <f t="shared" si="9"/>
        <v>605.3823835202528</v>
      </c>
      <c r="E24" s="12">
        <f t="shared" si="9"/>
        <v>674.66415254954666</v>
      </c>
      <c r="F24" s="12">
        <f t="shared" si="9"/>
        <v>179420.83763948851</v>
      </c>
      <c r="G24" s="12">
        <f t="shared" si="9"/>
        <v>12193.599497227491</v>
      </c>
      <c r="H24" s="12">
        <f t="shared" ref="H24" si="19">($U11/$J11)*H11</f>
        <v>12223.082664525231</v>
      </c>
      <c r="I24" s="12"/>
      <c r="J24" s="12">
        <f t="shared" si="11"/>
        <v>207477</v>
      </c>
      <c r="K24" s="13"/>
      <c r="L24" t="str">
        <f>$A$11</f>
        <v>Seattle</v>
      </c>
      <c r="M24" s="12">
        <f t="shared" si="6"/>
        <v>2550</v>
      </c>
      <c r="N24" s="12">
        <f t="shared" si="12"/>
        <v>449</v>
      </c>
      <c r="O24" s="12">
        <f t="shared" si="12"/>
        <v>4564</v>
      </c>
      <c r="P24" s="12">
        <f t="shared" si="12"/>
        <v>470</v>
      </c>
      <c r="Q24" s="12">
        <f t="shared" si="12"/>
        <v>157911</v>
      </c>
      <c r="R24" s="12">
        <f t="shared" si="12"/>
        <v>4259</v>
      </c>
      <c r="S24" s="12">
        <f t="shared" ref="S24" si="20">S11</f>
        <v>37274</v>
      </c>
      <c r="T24" s="12"/>
      <c r="U24" s="12">
        <f t="shared" si="14"/>
        <v>207477</v>
      </c>
    </row>
    <row r="25" spans="1:32" x14ac:dyDescent="0.2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69.670548841202105</v>
      </c>
      <c r="E25" s="12">
        <f t="shared" si="9"/>
        <v>280.06772423773066</v>
      </c>
      <c r="F25" s="12">
        <f t="shared" si="9"/>
        <v>9098.4352252478493</v>
      </c>
      <c r="G25" s="12">
        <f t="shared" si="9"/>
        <v>15069.476205866466</v>
      </c>
      <c r="H25" s="12">
        <f t="shared" ref="H25:H26" si="21">($U12/$J12)*H12</f>
        <v>651.35029580675246</v>
      </c>
      <c r="I25" s="12"/>
      <c r="J25" s="12">
        <f t="shared" si="11"/>
        <v>25168.999999999996</v>
      </c>
      <c r="K25" s="13"/>
      <c r="L25" t="str">
        <f>$A$12</f>
        <v>Seattle Downtown</v>
      </c>
      <c r="M25" s="12">
        <f t="shared" si="6"/>
        <v>575</v>
      </c>
      <c r="N25" s="12">
        <f t="shared" si="12"/>
        <v>101</v>
      </c>
      <c r="O25" s="12">
        <f t="shared" si="12"/>
        <v>152</v>
      </c>
      <c r="P25" s="12">
        <f t="shared" si="12"/>
        <v>81</v>
      </c>
      <c r="Q25" s="12">
        <f t="shared" si="12"/>
        <v>18172</v>
      </c>
      <c r="R25" s="12">
        <f t="shared" si="12"/>
        <v>4263</v>
      </c>
      <c r="S25" s="12">
        <f t="shared" ref="S25:S26" si="22">S12</f>
        <v>1825</v>
      </c>
      <c r="T25" s="12"/>
      <c r="U25" s="12">
        <f t="shared" si="14"/>
        <v>25169</v>
      </c>
    </row>
    <row r="26" spans="1:32" x14ac:dyDescent="0.25">
      <c r="A26" t="str">
        <f>$A$13</f>
        <v>Rest</v>
      </c>
      <c r="B26" s="12">
        <f t="shared" si="9"/>
        <v>2405.8886794701707</v>
      </c>
      <c r="C26" s="12">
        <f t="shared" si="9"/>
        <v>1151.775919480554</v>
      </c>
      <c r="D26" s="12">
        <f t="shared" si="9"/>
        <v>9936.9614822129824</v>
      </c>
      <c r="E26" s="12">
        <f t="shared" si="9"/>
        <v>3126.2811405950151</v>
      </c>
      <c r="F26" s="12">
        <f t="shared" si="9"/>
        <v>29301.560038467134</v>
      </c>
      <c r="G26" s="12">
        <f t="shared" si="9"/>
        <v>2967.6497819022957</v>
      </c>
      <c r="H26" s="12">
        <f t="shared" si="21"/>
        <v>703422.88295787177</v>
      </c>
      <c r="I26" s="12"/>
      <c r="J26" s="12">
        <f t="shared" si="11"/>
        <v>752312.99999999988</v>
      </c>
      <c r="K26" s="13"/>
      <c r="L26" t="str">
        <f>$A$13</f>
        <v>Rest</v>
      </c>
      <c r="M26" s="12">
        <f t="shared" si="6"/>
        <v>9475</v>
      </c>
      <c r="N26" s="12">
        <f t="shared" si="12"/>
        <v>959</v>
      </c>
      <c r="O26" s="12">
        <f t="shared" si="12"/>
        <v>2570</v>
      </c>
      <c r="P26" s="12">
        <f t="shared" si="12"/>
        <v>6123</v>
      </c>
      <c r="Q26" s="12">
        <f t="shared" si="12"/>
        <v>12537</v>
      </c>
      <c r="R26" s="12">
        <f t="shared" si="12"/>
        <v>699</v>
      </c>
      <c r="S26" s="12">
        <f t="shared" si="22"/>
        <v>719950</v>
      </c>
      <c r="T26" s="12"/>
      <c r="U26" s="12">
        <f t="shared" si="14"/>
        <v>752313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3">SUM(B20:B27)</f>
        <v>46867.399798158171</v>
      </c>
      <c r="C28" s="15">
        <f t="shared" si="23"/>
        <v>3394.7330550518554</v>
      </c>
      <c r="D28" s="15">
        <f t="shared" si="23"/>
        <v>48243.416998031571</v>
      </c>
      <c r="E28" s="15">
        <f t="shared" si="23"/>
        <v>43059.913610921314</v>
      </c>
      <c r="F28" s="15">
        <f t="shared" si="23"/>
        <v>224717.32336045307</v>
      </c>
      <c r="G28" s="15">
        <f t="shared" si="23"/>
        <v>32429.309272395709</v>
      </c>
      <c r="H28" s="15">
        <f t="shared" si="23"/>
        <v>726580.9039049882</v>
      </c>
      <c r="I28" s="15">
        <f t="shared" si="23"/>
        <v>0</v>
      </c>
      <c r="J28" s="15">
        <f t="shared" si="23"/>
        <v>1125293</v>
      </c>
      <c r="K28" s="12"/>
      <c r="L28" s="15" t="s">
        <v>4</v>
      </c>
      <c r="M28" s="15">
        <f t="shared" ref="M28:U28" si="24">M15</f>
        <v>54541</v>
      </c>
      <c r="N28" s="15">
        <f t="shared" si="24"/>
        <v>5821</v>
      </c>
      <c r="O28" s="15">
        <f t="shared" si="24"/>
        <v>37274</v>
      </c>
      <c r="P28" s="15">
        <f t="shared" si="24"/>
        <v>26417</v>
      </c>
      <c r="Q28" s="15">
        <f t="shared" si="24"/>
        <v>193593</v>
      </c>
      <c r="R28" s="15">
        <f t="shared" si="24"/>
        <v>9664</v>
      </c>
      <c r="S28" s="15">
        <f t="shared" si="24"/>
        <v>797983</v>
      </c>
      <c r="T28" s="15"/>
      <c r="U28" s="15">
        <f t="shared" si="24"/>
        <v>1125293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G33" si="25">B20/$J$28</f>
        <v>3.1850043401314226E-2</v>
      </c>
      <c r="C33" s="16">
        <f t="shared" si="25"/>
        <v>1.3774833673270645E-3</v>
      </c>
      <c r="D33" s="16">
        <f t="shared" si="25"/>
        <v>3.1736538009737381E-3</v>
      </c>
      <c r="E33" s="16">
        <f t="shared" si="25"/>
        <v>3.5600003834038141E-3</v>
      </c>
      <c r="F33" s="16">
        <f t="shared" si="25"/>
        <v>3.8326821206447342E-3</v>
      </c>
      <c r="G33" s="16">
        <f t="shared" si="25"/>
        <v>1.1550726472622137E-3</v>
      </c>
      <c r="H33" s="16">
        <f t="shared" ref="H33" si="26">H20/$J$28</f>
        <v>2.3907349248526756E-3</v>
      </c>
      <c r="I33" s="12"/>
      <c r="J33" s="16">
        <f t="shared" ref="J33:J39" si="27">J20/$J$28</f>
        <v>4.7339670645778466E-2</v>
      </c>
      <c r="K33" s="12"/>
      <c r="L33" t="str">
        <f>$A$7</f>
        <v>Bellevue</v>
      </c>
      <c r="M33" s="16">
        <f t="shared" ref="M33:R33" si="28">M20/$U$28</f>
        <v>2.8226426361845317E-2</v>
      </c>
      <c r="N33" s="16">
        <f t="shared" si="28"/>
        <v>2.4162595875029881E-3</v>
      </c>
      <c r="O33" s="16">
        <f t="shared" si="28"/>
        <v>3.8185610325488562E-3</v>
      </c>
      <c r="P33" s="16">
        <f t="shared" si="28"/>
        <v>2.8357059005965557E-3</v>
      </c>
      <c r="Q33" s="16">
        <f t="shared" si="28"/>
        <v>2.648199180124643E-3</v>
      </c>
      <c r="R33" s="16">
        <f t="shared" si="28"/>
        <v>2.9236829874530458E-4</v>
      </c>
      <c r="S33" s="16">
        <f t="shared" ref="S33" si="29">S20/$U$28</f>
        <v>7.1021502844148144E-3</v>
      </c>
      <c r="T33" s="16"/>
      <c r="U33" s="16">
        <f t="shared" ref="U33:U39" si="30">U20/$U$28</f>
        <v>4.733967064577848E-2</v>
      </c>
      <c r="W33" t="str">
        <f>$A$7</f>
        <v>Bellevue</v>
      </c>
      <c r="X33" s="16">
        <f t="shared" ref="X33:AD33" si="31">M33-B33</f>
        <v>-3.6236170394689099E-3</v>
      </c>
      <c r="Y33" s="16">
        <f t="shared" si="31"/>
        <v>1.0387762201759237E-3</v>
      </c>
      <c r="Z33" s="16">
        <f t="shared" si="31"/>
        <v>6.4490723157511814E-4</v>
      </c>
      <c r="AA33" s="16">
        <f t="shared" si="31"/>
        <v>-7.2429448280725848E-4</v>
      </c>
      <c r="AB33" s="16">
        <f t="shared" si="31"/>
        <v>-1.1844829405200912E-3</v>
      </c>
      <c r="AC33" s="16">
        <f t="shared" si="31"/>
        <v>-8.6270434851690907E-4</v>
      </c>
      <c r="AD33" s="16">
        <f t="shared" si="31"/>
        <v>4.7114153595621388E-3</v>
      </c>
      <c r="AE33" s="16"/>
      <c r="AF33" s="16">
        <f t="shared" ref="AF33:AF39" si="32">U33-J33</f>
        <v>0</v>
      </c>
    </row>
    <row r="34" spans="1:32" x14ac:dyDescent="0.25">
      <c r="A34" t="str">
        <f>$A$8</f>
        <v>Bellevue Downtown</v>
      </c>
      <c r="B34" s="16">
        <f t="shared" ref="B34:G39" si="33">B21/$J$28</f>
        <v>3.0550802991525404E-3</v>
      </c>
      <c r="C34" s="16">
        <f t="shared" si="33"/>
        <v>6.1573718551677381E-4</v>
      </c>
      <c r="D34" s="16">
        <f t="shared" si="33"/>
        <v>0</v>
      </c>
      <c r="E34" s="16">
        <f t="shared" si="33"/>
        <v>1.3872122393644853E-4</v>
      </c>
      <c r="F34" s="16">
        <f t="shared" si="33"/>
        <v>1.7774731264143292E-4</v>
      </c>
      <c r="G34" s="16">
        <f t="shared" si="33"/>
        <v>2.2757604134774289E-4</v>
      </c>
      <c r="H34" s="16">
        <f t="shared" ref="H34" si="34">H21/$J$28</f>
        <v>2.0354274397543887E-4</v>
      </c>
      <c r="I34" s="12"/>
      <c r="J34" s="16">
        <f t="shared" si="27"/>
        <v>4.4184048065703781E-3</v>
      </c>
      <c r="K34" s="12"/>
      <c r="L34" t="str">
        <f>$A$8</f>
        <v>Bellevue Downtown</v>
      </c>
      <c r="M34" s="16">
        <f t="shared" ref="M34:R39" si="35">M21/$U$28</f>
        <v>2.0430234614451526E-3</v>
      </c>
      <c r="N34" s="16">
        <f t="shared" si="35"/>
        <v>6.8604354599202167E-4</v>
      </c>
      <c r="O34" s="16">
        <f t="shared" si="35"/>
        <v>5.9806645913553186E-4</v>
      </c>
      <c r="P34" s="16">
        <f t="shared" si="35"/>
        <v>2.3727153727962406E-4</v>
      </c>
      <c r="Q34" s="16">
        <f t="shared" si="35"/>
        <v>2.6037663079749008E-4</v>
      </c>
      <c r="R34" s="16">
        <f t="shared" si="35"/>
        <v>2.8437038175835095E-5</v>
      </c>
      <c r="S34" s="16">
        <f t="shared" ref="S34" si="36">S21/$U$28</f>
        <v>5.6518613374472251E-4</v>
      </c>
      <c r="T34" s="16"/>
      <c r="U34" s="16">
        <f t="shared" si="30"/>
        <v>4.4184048065703781E-3</v>
      </c>
      <c r="W34" t="str">
        <f>$A$8</f>
        <v>Bellevue Downtown</v>
      </c>
      <c r="X34" s="16">
        <f t="shared" ref="X34:X38" si="37">M34-B34</f>
        <v>-1.0120568377073877E-3</v>
      </c>
      <c r="Y34" s="16">
        <f t="shared" ref="Y34:AD38" si="38">N34-C34</f>
        <v>7.0306360475247865E-5</v>
      </c>
      <c r="Z34" s="16">
        <f t="shared" si="38"/>
        <v>5.9806645913553186E-4</v>
      </c>
      <c r="AA34" s="16">
        <f t="shared" si="38"/>
        <v>9.8550313343175527E-5</v>
      </c>
      <c r="AB34" s="16">
        <f t="shared" si="38"/>
        <v>8.2629318156057162E-5</v>
      </c>
      <c r="AC34" s="16">
        <f t="shared" si="38"/>
        <v>-1.9913900317190778E-4</v>
      </c>
      <c r="AD34" s="16">
        <f t="shared" si="38"/>
        <v>3.6164338976928361E-4</v>
      </c>
      <c r="AE34" s="16"/>
      <c r="AF34" s="16">
        <f t="shared" si="32"/>
        <v>0</v>
      </c>
    </row>
    <row r="35" spans="1:32" x14ac:dyDescent="0.25">
      <c r="A35" t="str">
        <f>$A$9</f>
        <v>Kirkland</v>
      </c>
      <c r="B35" s="16">
        <f t="shared" si="33"/>
        <v>0</v>
      </c>
      <c r="C35" s="16">
        <f t="shared" si="33"/>
        <v>0</v>
      </c>
      <c r="D35" s="16">
        <f t="shared" si="33"/>
        <v>2.8221444478412176E-2</v>
      </c>
      <c r="E35" s="16">
        <f t="shared" si="33"/>
        <v>4.9048826348283272E-3</v>
      </c>
      <c r="F35" s="16">
        <f t="shared" si="33"/>
        <v>1.7415757798905044E-3</v>
      </c>
      <c r="G35" s="16">
        <f t="shared" si="33"/>
        <v>5.711391581103702E-4</v>
      </c>
      <c r="H35" s="16">
        <f t="shared" ref="H35" si="39">H22/$J$28</f>
        <v>4.5709820047156024E-3</v>
      </c>
      <c r="I35" s="12"/>
      <c r="J35" s="16">
        <f t="shared" si="27"/>
        <v>4.001002405595698E-2</v>
      </c>
      <c r="K35" s="13"/>
      <c r="L35" t="str">
        <f>$A$9</f>
        <v>Kirkland</v>
      </c>
      <c r="M35" s="16">
        <f t="shared" si="35"/>
        <v>2.4233688470469469E-3</v>
      </c>
      <c r="N35" s="16">
        <f t="shared" si="35"/>
        <v>4.1233705354960885E-4</v>
      </c>
      <c r="O35" s="16">
        <f t="shared" si="35"/>
        <v>1.7102212490435826E-2</v>
      </c>
      <c r="P35" s="16">
        <f t="shared" si="35"/>
        <v>2.0519100358751012E-3</v>
      </c>
      <c r="Q35" s="16">
        <f t="shared" si="35"/>
        <v>1.1881350012841101E-3</v>
      </c>
      <c r="R35" s="16">
        <f t="shared" si="35"/>
        <v>4.7987501921721721E-5</v>
      </c>
      <c r="S35" s="16">
        <f t="shared" ref="S35" si="40">S22/$U$28</f>
        <v>1.6784073125843669E-2</v>
      </c>
      <c r="T35" s="16"/>
      <c r="U35" s="16">
        <f t="shared" si="30"/>
        <v>4.001002405595698E-2</v>
      </c>
      <c r="W35" t="str">
        <f>$A$9</f>
        <v>Kirkland</v>
      </c>
      <c r="X35" s="16">
        <f t="shared" si="37"/>
        <v>2.4233688470469469E-3</v>
      </c>
      <c r="Y35" s="16">
        <f t="shared" si="38"/>
        <v>4.1233705354960885E-4</v>
      </c>
      <c r="Z35" s="16">
        <f t="shared" si="38"/>
        <v>-1.111923198797635E-2</v>
      </c>
      <c r="AA35" s="16">
        <f t="shared" si="38"/>
        <v>-2.8529725989532261E-3</v>
      </c>
      <c r="AB35" s="16">
        <f t="shared" si="38"/>
        <v>-5.534407786063943E-4</v>
      </c>
      <c r="AC35" s="16">
        <f t="shared" si="38"/>
        <v>-5.2315165618864847E-4</v>
      </c>
      <c r="AD35" s="16">
        <f t="shared" si="38"/>
        <v>1.2213091121128066E-2</v>
      </c>
      <c r="AE35" s="16"/>
      <c r="AF35" s="16">
        <f t="shared" si="32"/>
        <v>0</v>
      </c>
    </row>
    <row r="36" spans="1:32" x14ac:dyDescent="0.25">
      <c r="A36" t="str">
        <f>$A$10</f>
        <v>Redmond</v>
      </c>
      <c r="B36" s="16">
        <f t="shared" si="33"/>
        <v>2.5092007963523175E-3</v>
      </c>
      <c r="C36" s="16">
        <f t="shared" si="33"/>
        <v>0</v>
      </c>
      <c r="D36" s="16">
        <f t="shared" si="33"/>
        <v>2.0463277167387679E-3</v>
      </c>
      <c r="E36" s="16">
        <f t="shared" si="33"/>
        <v>2.6035285890036119E-2</v>
      </c>
      <c r="F36" s="16">
        <f t="shared" si="33"/>
        <v>3.7661236220110425E-4</v>
      </c>
      <c r="G36" s="16">
        <f t="shared" si="33"/>
        <v>0</v>
      </c>
      <c r="H36" s="16">
        <f t="shared" ref="H36" si="41">H23/$J$28</f>
        <v>1.9733273316046773E-3</v>
      </c>
      <c r="I36" s="12"/>
      <c r="J36" s="16">
        <f t="shared" si="27"/>
        <v>3.2940754096932985E-2</v>
      </c>
      <c r="K36" s="13"/>
      <c r="L36" t="str">
        <f>$A$10</f>
        <v>Redmond</v>
      </c>
      <c r="M36" s="16">
        <f t="shared" si="35"/>
        <v>4.57836314630945E-3</v>
      </c>
      <c r="N36" s="16">
        <f t="shared" si="35"/>
        <v>3.1725070714916029E-4</v>
      </c>
      <c r="O36" s="16">
        <f t="shared" si="35"/>
        <v>5.1302194184092501E-3</v>
      </c>
      <c r="P36" s="16">
        <f t="shared" si="35"/>
        <v>1.2419876423295978E-2</v>
      </c>
      <c r="Q36" s="16">
        <f t="shared" si="35"/>
        <v>3.2258265180712934E-4</v>
      </c>
      <c r="R36" s="16">
        <f t="shared" si="35"/>
        <v>2.4882408403855707E-5</v>
      </c>
      <c r="S36" s="16">
        <f t="shared" ref="S36" si="42">S23/$U$28</f>
        <v>1.0147579341558154E-2</v>
      </c>
      <c r="T36" s="16"/>
      <c r="U36" s="16">
        <f t="shared" si="30"/>
        <v>3.2940754096932978E-2</v>
      </c>
      <c r="W36" t="str">
        <f>$A$10</f>
        <v>Redmond</v>
      </c>
      <c r="X36" s="16">
        <f t="shared" si="37"/>
        <v>2.0691623499571325E-3</v>
      </c>
      <c r="Y36" s="16">
        <f t="shared" si="38"/>
        <v>3.1725070714916029E-4</v>
      </c>
      <c r="Z36" s="16">
        <f t="shared" si="38"/>
        <v>3.0838917016704822E-3</v>
      </c>
      <c r="AA36" s="16">
        <f t="shared" si="38"/>
        <v>-1.3615409466740142E-2</v>
      </c>
      <c r="AB36" s="16">
        <f t="shared" si="38"/>
        <v>-5.4029710393974908E-5</v>
      </c>
      <c r="AC36" s="16">
        <f t="shared" si="38"/>
        <v>2.4882408403855707E-5</v>
      </c>
      <c r="AD36" s="16">
        <f t="shared" si="38"/>
        <v>8.1742520099534755E-3</v>
      </c>
      <c r="AE36" s="16"/>
      <c r="AF36" s="16">
        <f t="shared" si="32"/>
        <v>0</v>
      </c>
    </row>
    <row r="37" spans="1:32" x14ac:dyDescent="0.25">
      <c r="A37" t="str">
        <f>$A$11</f>
        <v>Seattle</v>
      </c>
      <c r="B37" s="16">
        <f t="shared" si="33"/>
        <v>2.0967282856011373E-3</v>
      </c>
      <c r="C37" s="16">
        <f t="shared" si="33"/>
        <v>0</v>
      </c>
      <c r="D37" s="16">
        <f t="shared" si="33"/>
        <v>5.379775609732335E-4</v>
      </c>
      <c r="E37" s="16">
        <f t="shared" si="33"/>
        <v>5.9954532068496528E-4</v>
      </c>
      <c r="F37" s="16">
        <f t="shared" si="33"/>
        <v>0.15944366279670141</v>
      </c>
      <c r="G37" s="16">
        <f t="shared" si="33"/>
        <v>1.083593295010943E-2</v>
      </c>
      <c r="H37" s="16">
        <f t="shared" ref="H37" si="43">H24/$J$28</f>
        <v>1.0862133386171629E-2</v>
      </c>
      <c r="I37" s="12"/>
      <c r="J37" s="16">
        <f t="shared" si="27"/>
        <v>0.1843759803002418</v>
      </c>
      <c r="K37" s="13"/>
      <c r="L37" t="str">
        <f>$A$11</f>
        <v>Seattle</v>
      </c>
      <c r="M37" s="16">
        <f t="shared" si="35"/>
        <v>2.266076479636859E-3</v>
      </c>
      <c r="N37" s="16">
        <f t="shared" si="35"/>
        <v>3.9900719190468615E-4</v>
      </c>
      <c r="O37" s="16">
        <f t="shared" si="35"/>
        <v>4.0558325698284801E-3</v>
      </c>
      <c r="P37" s="16">
        <f t="shared" si="35"/>
        <v>4.1766899820757796E-4</v>
      </c>
      <c r="Q37" s="16">
        <f t="shared" si="35"/>
        <v>0.14032878548075922</v>
      </c>
      <c r="R37" s="16">
        <f t="shared" si="35"/>
        <v>3.7847920497150519E-3</v>
      </c>
      <c r="S37" s="16">
        <f t="shared" ref="S37" si="44">S24/$U$28</f>
        <v>3.3123817530189913E-2</v>
      </c>
      <c r="T37" s="16"/>
      <c r="U37" s="16">
        <f t="shared" si="30"/>
        <v>0.1843759803002418</v>
      </c>
      <c r="W37" t="str">
        <f>$A$11</f>
        <v>Seattle</v>
      </c>
      <c r="X37" s="16">
        <f t="shared" si="37"/>
        <v>1.6934819403572167E-4</v>
      </c>
      <c r="Y37" s="16">
        <f t="shared" si="38"/>
        <v>3.9900719190468615E-4</v>
      </c>
      <c r="Z37" s="16">
        <f t="shared" si="38"/>
        <v>3.5178550088552467E-3</v>
      </c>
      <c r="AA37" s="16">
        <f t="shared" si="38"/>
        <v>-1.8187632247738733E-4</v>
      </c>
      <c r="AB37" s="16">
        <f t="shared" si="38"/>
        <v>-1.9114877315942191E-2</v>
      </c>
      <c r="AC37" s="16">
        <f t="shared" si="38"/>
        <v>-7.051140900394378E-3</v>
      </c>
      <c r="AD37" s="16">
        <f t="shared" si="38"/>
        <v>2.2261684144018284E-2</v>
      </c>
      <c r="AE37" s="16"/>
      <c r="AF37" s="16">
        <f t="shared" si="32"/>
        <v>0</v>
      </c>
    </row>
    <row r="38" spans="1:32" x14ac:dyDescent="0.25">
      <c r="A38" t="str">
        <f>$A$12</f>
        <v>Seattle Downtown</v>
      </c>
      <c r="B38" s="16">
        <f t="shared" si="33"/>
        <v>0</v>
      </c>
      <c r="C38" s="16">
        <f t="shared" si="33"/>
        <v>0</v>
      </c>
      <c r="D38" s="16">
        <f t="shared" si="33"/>
        <v>6.1913251785270247E-5</v>
      </c>
      <c r="E38" s="16">
        <f t="shared" si="33"/>
        <v>2.4888426768648756E-4</v>
      </c>
      <c r="F38" s="16">
        <f t="shared" si="33"/>
        <v>8.0853921825229953E-3</v>
      </c>
      <c r="G38" s="16">
        <f t="shared" si="33"/>
        <v>1.3391602192376976E-2</v>
      </c>
      <c r="H38" s="16">
        <f t="shared" ref="H38:H39" si="45">H25/$J$28</f>
        <v>5.7882728836556566E-4</v>
      </c>
      <c r="I38" s="12"/>
      <c r="J38" s="16">
        <f t="shared" si="27"/>
        <v>2.2366619182737291E-2</v>
      </c>
      <c r="K38" s="13"/>
      <c r="L38" t="str">
        <f>$A$12</f>
        <v>Seattle Downtown</v>
      </c>
      <c r="M38" s="16">
        <f t="shared" si="35"/>
        <v>5.1097802972203683E-4</v>
      </c>
      <c r="N38" s="16">
        <f t="shared" si="35"/>
        <v>8.9754401742479515E-5</v>
      </c>
      <c r="O38" s="16">
        <f t="shared" si="35"/>
        <v>1.350759313352167E-4</v>
      </c>
      <c r="P38" s="16">
        <f t="shared" si="35"/>
        <v>7.1981252882582578E-5</v>
      </c>
      <c r="Q38" s="16">
        <f t="shared" si="35"/>
        <v>1.6148683054102355E-2</v>
      </c>
      <c r="R38" s="16">
        <f t="shared" si="35"/>
        <v>3.7883466794870315E-3</v>
      </c>
      <c r="S38" s="16">
        <f t="shared" ref="S38:S39" si="46">S25/$U$28</f>
        <v>1.6217998334655951E-3</v>
      </c>
      <c r="T38" s="16"/>
      <c r="U38" s="16">
        <f t="shared" si="30"/>
        <v>2.2366619182737295E-2</v>
      </c>
      <c r="W38" t="str">
        <f>$A$12</f>
        <v>Seattle Downtown</v>
      </c>
      <c r="X38" s="16">
        <f t="shared" si="37"/>
        <v>5.1097802972203683E-4</v>
      </c>
      <c r="Y38" s="16">
        <f t="shared" si="38"/>
        <v>8.9754401742479515E-5</v>
      </c>
      <c r="Z38" s="16">
        <f t="shared" si="38"/>
        <v>7.3162679549946454E-5</v>
      </c>
      <c r="AA38" s="16">
        <f t="shared" si="38"/>
        <v>-1.7690301480390497E-4</v>
      </c>
      <c r="AB38" s="16">
        <f t="shared" si="38"/>
        <v>8.0632908715793598E-3</v>
      </c>
      <c r="AC38" s="16">
        <f t="shared" si="38"/>
        <v>-9.6032555128899438E-3</v>
      </c>
      <c r="AD38" s="16">
        <f t="shared" si="38"/>
        <v>1.0429725451000294E-3</v>
      </c>
      <c r="AE38" s="16"/>
      <c r="AF38" s="16">
        <f t="shared" si="32"/>
        <v>0</v>
      </c>
    </row>
    <row r="39" spans="1:32" x14ac:dyDescent="0.25">
      <c r="A39" t="str">
        <f>$A$13</f>
        <v>Rest</v>
      </c>
      <c r="B39" s="16">
        <f t="shared" si="33"/>
        <v>2.1380108820282101E-3</v>
      </c>
      <c r="C39" s="16">
        <f t="shared" si="33"/>
        <v>1.0235342435086275E-3</v>
      </c>
      <c r="D39" s="16">
        <f t="shared" si="33"/>
        <v>8.8305547819216706E-3</v>
      </c>
      <c r="E39" s="16">
        <f t="shared" si="33"/>
        <v>2.7781930044841791E-3</v>
      </c>
      <c r="F39" s="16">
        <f t="shared" si="33"/>
        <v>2.6039049419544186E-2</v>
      </c>
      <c r="G39" s="16">
        <f t="shared" si="33"/>
        <v>2.6372240668895083E-3</v>
      </c>
      <c r="H39" s="16">
        <f t="shared" si="45"/>
        <v>0.6251019805134056</v>
      </c>
      <c r="I39" s="12"/>
      <c r="J39" s="16">
        <f t="shared" si="27"/>
        <v>0.668548546911782</v>
      </c>
      <c r="K39" s="13"/>
      <c r="L39" t="str">
        <f>$A$13</f>
        <v>Rest</v>
      </c>
      <c r="M39" s="16">
        <f t="shared" si="35"/>
        <v>8.4200292723761727E-3</v>
      </c>
      <c r="N39" s="16">
        <f t="shared" si="35"/>
        <v>8.5222248783205798E-4</v>
      </c>
      <c r="O39" s="16">
        <f t="shared" si="35"/>
        <v>2.2838496284967561E-3</v>
      </c>
      <c r="P39" s="16">
        <f t="shared" si="35"/>
        <v>5.4412495234574462E-3</v>
      </c>
      <c r="Q39" s="16">
        <f t="shared" si="35"/>
        <v>1.1141098362826393E-2</v>
      </c>
      <c r="R39" s="16">
        <f t="shared" si="35"/>
        <v>6.2117155265339788E-4</v>
      </c>
      <c r="S39" s="16">
        <f t="shared" si="46"/>
        <v>0.63978892608413984</v>
      </c>
      <c r="T39" s="16"/>
      <c r="U39" s="16">
        <f t="shared" si="30"/>
        <v>0.66854854691178212</v>
      </c>
      <c r="W39" t="str">
        <f>$A$13</f>
        <v>Rest</v>
      </c>
      <c r="X39" s="16">
        <f t="shared" ref="X39" si="47">M39-B39</f>
        <v>6.2820183903479626E-3</v>
      </c>
      <c r="Y39" s="16">
        <f t="shared" ref="Y39" si="48">N39-C39</f>
        <v>-1.7131175567656955E-4</v>
      </c>
      <c r="Z39" s="16">
        <f t="shared" ref="Z39" si="49">O39-D39</f>
        <v>-6.546705153424915E-3</v>
      </c>
      <c r="AA39" s="16">
        <f t="shared" ref="AA39" si="50">P39-E39</f>
        <v>2.6630565189732672E-3</v>
      </c>
      <c r="AB39" s="16">
        <f t="shared" ref="AB39" si="51">Q39-F39</f>
        <v>-1.4897951056717793E-2</v>
      </c>
      <c r="AC39" s="16">
        <f t="shared" ref="AC39:AD39" si="52">R39-G39</f>
        <v>-2.0160525142361102E-3</v>
      </c>
      <c r="AD39" s="16">
        <f t="shared" si="52"/>
        <v>1.4686945570734244E-2</v>
      </c>
      <c r="AE39" s="16"/>
      <c r="AF39" s="16">
        <f t="shared" si="32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53">B28/$J$28</f>
        <v>4.1649063664448434E-2</v>
      </c>
      <c r="C41" s="18">
        <f t="shared" si="53"/>
        <v>3.0167547963524661E-3</v>
      </c>
      <c r="D41" s="18">
        <f t="shared" si="53"/>
        <v>4.2871871590804855E-2</v>
      </c>
      <c r="E41" s="18">
        <f t="shared" si="53"/>
        <v>3.8265512725060333E-2</v>
      </c>
      <c r="F41" s="18">
        <f t="shared" si="53"/>
        <v>0.19969672197414634</v>
      </c>
      <c r="G41" s="18">
        <f t="shared" si="53"/>
        <v>2.8818547056096242E-2</v>
      </c>
      <c r="H41" s="18">
        <f t="shared" si="53"/>
        <v>0.64568152819309121</v>
      </c>
      <c r="I41" s="18">
        <f t="shared" si="53"/>
        <v>0</v>
      </c>
      <c r="J41" s="18">
        <f t="shared" si="53"/>
        <v>1</v>
      </c>
      <c r="K41" s="12"/>
      <c r="L41" s="15" t="s">
        <v>4</v>
      </c>
      <c r="M41" s="18">
        <f>M28/$U$28</f>
        <v>4.8468265598381931E-2</v>
      </c>
      <c r="N41" s="18">
        <f>N28/$U$28</f>
        <v>5.1728749756730025E-3</v>
      </c>
      <c r="O41" s="18">
        <f>O28/$U$28</f>
        <v>3.3123817530189913E-2</v>
      </c>
      <c r="P41" s="18">
        <f>P28/$U$28</f>
        <v>2.3475663671594864E-2</v>
      </c>
      <c r="Q41" s="18">
        <f t="shared" ref="Q41:S41" si="54">Q28/$U$28</f>
        <v>0.17203786036170135</v>
      </c>
      <c r="R41" s="18">
        <f t="shared" si="54"/>
        <v>8.5879855291021989E-3</v>
      </c>
      <c r="S41" s="18">
        <f t="shared" si="54"/>
        <v>0.70913353233335674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6.8192019339334969E-3</v>
      </c>
      <c r="Y41" s="18">
        <f t="shared" si="55"/>
        <v>2.1561201793205364E-3</v>
      </c>
      <c r="Z41" s="18">
        <f t="shared" si="55"/>
        <v>-9.7480540606149427E-3</v>
      </c>
      <c r="AA41" s="18">
        <f t="shared" si="55"/>
        <v>-1.4789849053465469E-2</v>
      </c>
      <c r="AB41" s="18">
        <f t="shared" si="55"/>
        <v>-2.765886161244499E-2</v>
      </c>
      <c r="AC41" s="18">
        <f t="shared" si="55"/>
        <v>-2.0230561526994043E-2</v>
      </c>
      <c r="AD41" s="295">
        <f t="shared" si="55"/>
        <v>6.3452004140265528E-2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25">
      <c r="A2" s="353">
        <v>1</v>
      </c>
      <c r="B2" s="354" t="s">
        <v>264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2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2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2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5">
        <v>5.7553461640599997E-2</v>
      </c>
      <c r="F41" s="33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5">
        <v>0</v>
      </c>
    </row>
    <row r="46" spans="2:6" x14ac:dyDescent="0.25">
      <c r="B46">
        <v>36</v>
      </c>
      <c r="C46" t="s">
        <v>123</v>
      </c>
      <c r="D46" t="s">
        <v>242</v>
      </c>
      <c r="E46" s="335">
        <v>0.61259135262599995</v>
      </c>
      <c r="F46" s="33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5">
        <v>6.2100000000000002E-2</v>
      </c>
      <c r="F67" s="335">
        <v>0</v>
      </c>
    </row>
    <row r="68" spans="2:6" x14ac:dyDescent="0.25">
      <c r="B68">
        <v>118</v>
      </c>
      <c r="C68" t="s">
        <v>256</v>
      </c>
      <c r="D68" t="s">
        <v>241</v>
      </c>
      <c r="E68" s="335">
        <v>-3</v>
      </c>
      <c r="F68" s="33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5">
        <v>-5981.59020986</v>
      </c>
      <c r="D114" s="335">
        <v>-29805.783655800002</v>
      </c>
      <c r="E114" s="335">
        <v>-17292.021287899999</v>
      </c>
    </row>
    <row r="115" spans="2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topLeftCell="A19" zoomScaleNormal="100" workbookViewId="0">
      <selection activeCell="G41" sqref="G41"/>
    </sheetView>
  </sheetViews>
  <sheetFormatPr defaultColWidth="9.140625" defaultRowHeight="15" x14ac:dyDescent="0.25"/>
  <cols>
    <col min="1" max="2" style="297" width="9.140625" collapsed="true"/>
    <col min="3" max="3" customWidth="true" style="297" width="12.7109375" collapsed="true"/>
    <col min="4" max="4" customWidth="true" style="296" width="18.85546875" collapsed="true"/>
    <col min="5" max="5" bestFit="true" customWidth="true" style="297" width="32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3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r="2" spans="3:25" ht="15.7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8" t="s">
        <v>261</v>
      </c>
      <c r="Q2" s="349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1"/>
      <c r="I3" s="361"/>
      <c r="J3" s="361"/>
      <c r="K3" s="361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52948.7990929593</v>
      </c>
      <c r="F4" s="303" t="s">
        <v>47</v>
      </c>
      <c r="G4" s="304">
        <f>TLFD!F11</f>
        <v>124359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6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253789.43655732469</v>
      </c>
      <c r="F5" s="306" t="s">
        <v>50</v>
      </c>
      <c r="G5" s="307">
        <f>TLFD!F12+TLFD!F13+(TLFD!F14/2)</f>
        <v>228491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6">
        <f t="shared" ref="Q5:Q68" si="0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572085.26195543422</v>
      </c>
      <c r="F6" s="306" t="s">
        <v>53</v>
      </c>
      <c r="G6" s="307">
        <f>(TLFD!F14/2)+SUM(TLFD!F15:F20)</f>
        <v>626012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6">
        <f t="shared" si="0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205791.15966561608</v>
      </c>
      <c r="F7" s="309" t="s">
        <v>56</v>
      </c>
      <c r="G7" s="310">
        <f>SUM(TLFD!F21:F101)</f>
        <v>146719</v>
      </c>
      <c r="H7" s="362"/>
      <c r="I7" s="362"/>
      <c r="J7" s="362"/>
      <c r="K7" s="362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6">
        <f t="shared" si="0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r="8" spans="3:25" ht="15.75" thickBot="1" x14ac:dyDescent="0.3">
      <c r="C8" s="312" t="s">
        <v>4</v>
      </c>
      <c r="D8" s="313">
        <f>SUM(D4:D7)</f>
        <v>1084614.6572713342</v>
      </c>
      <c r="E8" s="314"/>
      <c r="F8" s="312" t="s">
        <v>4</v>
      </c>
      <c r="G8" s="313">
        <f>SUM(G4:G7)</f>
        <v>1125581</v>
      </c>
      <c r="H8" s="363"/>
      <c r="I8" s="363"/>
      <c r="J8" s="363" t="s">
        <v>283</v>
      </c>
      <c r="K8" s="375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6">
        <f t="shared" si="0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6">
        <f t="shared" si="0"/>
        <v>-3.9895313632499998</v>
      </c>
      <c r="T9" s="322"/>
      <c r="U9" s="359" t="s">
        <v>268</v>
      </c>
      <c r="V9" s="322"/>
      <c r="W9" s="322"/>
      <c r="X9" s="322"/>
      <c r="Y9" s="322"/>
    </row>
    <row r="10" spans="3:25" ht="15.75" thickBot="1" x14ac:dyDescent="0.3">
      <c r="C10" s="315" t="s">
        <v>63</v>
      </c>
      <c r="I10" s="374" t="s">
        <v>282</v>
      </c>
      <c r="J10" s="365"/>
      <c r="K10" s="365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6">
        <f t="shared" si="0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1" t="s">
        <v>283</v>
      </c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6">
        <f t="shared" si="0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4.8818074454357374E-2</v>
      </c>
      <c r="F12" s="303" t="s">
        <v>47</v>
      </c>
      <c r="G12" s="317">
        <f>G4/G$8</f>
        <v>0.11048427434365007</v>
      </c>
      <c r="H12" s="378">
        <v>0</v>
      </c>
      <c r="I12" s="366">
        <f>D12/G12</f>
        <v>0.44185541104712994</v>
      </c>
      <c r="J12" s="380">
        <f>H12*LN(I12)</f>
        <v>0</v>
      </c>
      <c r="K12" s="367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6">
        <f t="shared" si="0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t="shared" ref="D13:D16" si="1">D5/D$8</f>
        <v>0.23399041756987346</v>
      </c>
      <c r="F13" s="306" t="s">
        <v>50</v>
      </c>
      <c r="G13" s="318">
        <f t="shared" ref="G13:G16" si="2">G5/G$8</f>
        <v>0.20299827378038543</v>
      </c>
      <c r="H13" s="379">
        <v>0</v>
      </c>
      <c r="I13" s="366">
        <f t="shared" ref="I13:I15" si="3">D13/G13</f>
        <v>1.1526719573143613</v>
      </c>
      <c r="J13" s="367">
        <f t="shared" ref="J13:J15" si="4">H13*LN(I13)</f>
        <v>0</v>
      </c>
      <c r="K13" s="367">
        <f>K8*(J13-J12)</f>
        <v>0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6">
        <f t="shared" si="0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t="shared" si="1"/>
        <v>0.52745485055003982</v>
      </c>
      <c r="F14" s="306" t="s">
        <v>53</v>
      </c>
      <c r="G14" s="318">
        <f t="shared" si="2"/>
        <v>0.55616788129863604</v>
      </c>
      <c r="H14" s="379">
        <v>0</v>
      </c>
      <c r="I14" s="366">
        <f t="shared" si="3"/>
        <v>0.94837344673419088</v>
      </c>
      <c r="J14" s="367">
        <f t="shared" si="4"/>
        <v>0</v>
      </c>
      <c r="K14" s="367">
        <f>K8*(J14-J13-J12)</f>
        <v>0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6">
        <f t="shared" si="0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r="15" spans="3:25" ht="15.75" thickBot="1" x14ac:dyDescent="0.3">
      <c r="C15" s="309" t="s">
        <v>56</v>
      </c>
      <c r="D15" s="318">
        <f t="shared" si="1"/>
        <v>0.18973665742572943</v>
      </c>
      <c r="F15" s="309" t="s">
        <v>56</v>
      </c>
      <c r="G15" s="318">
        <f t="shared" si="2"/>
        <v>0.13034957057732852</v>
      </c>
      <c r="H15" s="379">
        <v>1</v>
      </c>
      <c r="I15" s="368">
        <f t="shared" si="3"/>
        <v>1.4555986382262007</v>
      </c>
      <c r="J15" s="369">
        <f t="shared" si="4"/>
        <v>0.37541725121421049</v>
      </c>
      <c r="K15" s="369">
        <f>K8*(J15-J14-J13-J12)</f>
        <v>0.37541725121421049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6">
        <f t="shared" si="0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r="16" spans="3:25" ht="15.75" thickBot="1" x14ac:dyDescent="0.3">
      <c r="C16" s="312" t="s">
        <v>4</v>
      </c>
      <c r="D16" s="320">
        <f t="shared" si="1"/>
        <v>1</v>
      </c>
      <c r="E16" s="314"/>
      <c r="F16" s="312" t="s">
        <v>4</v>
      </c>
      <c r="G16" s="320">
        <f t="shared" si="2"/>
        <v>1</v>
      </c>
      <c r="H16" s="364"/>
      <c r="I16" s="366"/>
      <c r="J16" s="366"/>
      <c r="K16" s="366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6">
        <f t="shared" si="0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6">
        <f t="shared" si="0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0"/>
      <c r="J18" s="370"/>
      <c r="K18" s="367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6">
        <f t="shared" si="0"/>
        <v>-0.493022087256</v>
      </c>
    </row>
    <row r="19" spans="2:25" x14ac:dyDescent="0.25">
      <c r="C19" s="321" t="s">
        <v>82</v>
      </c>
      <c r="I19" s="370"/>
      <c r="J19" s="370"/>
      <c r="K19" s="367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t="shared" si="0"/>
        <v>0</v>
      </c>
    </row>
    <row r="20" spans="2:25" x14ac:dyDescent="0.25">
      <c r="C20" s="321" t="s">
        <v>85</v>
      </c>
      <c r="G20" s="296" t="s">
        <v>284</v>
      </c>
      <c r="I20" s="370"/>
      <c r="J20" s="370"/>
      <c r="K20" s="367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t="shared" si="0"/>
        <v>0</v>
      </c>
    </row>
    <row r="21" spans="2:25" ht="15.75" thickBot="1" x14ac:dyDescent="0.3">
      <c r="C21" s="322"/>
      <c r="G21" s="381" t="s">
        <v>285</v>
      </c>
      <c r="I21" s="370"/>
      <c r="J21" s="370"/>
      <c r="K21" s="367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t="shared" si="0"/>
        <v>0</v>
      </c>
    </row>
    <row r="22" spans="2:25" x14ac:dyDescent="0.25">
      <c r="B22" s="347" t="s">
        <v>258</v>
      </c>
      <c r="C22" s="323" t="s">
        <v>91</v>
      </c>
      <c r="D22" s="324"/>
      <c r="G22" s="381" t="s">
        <v>286</v>
      </c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6">
        <f t="shared" si="0"/>
        <v>0.63771148688699997</v>
      </c>
    </row>
    <row r="23" spans="2:25" x14ac:dyDescent="0.25">
      <c r="B23" s="344">
        <v>50</v>
      </c>
      <c r="C23" s="303" t="s">
        <v>47</v>
      </c>
      <c r="D23" s="376">
        <f>VLOOKUP($B23,$N:$P,3,FALSE)</f>
        <v>-29.556856147209999</v>
      </c>
      <c r="I23" s="371"/>
      <c r="J23" s="371"/>
      <c r="K23" s="371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6">
        <f t="shared" si="0"/>
        <v>-12.0946718381</v>
      </c>
    </row>
    <row r="24" spans="2:25" x14ac:dyDescent="0.25">
      <c r="B24" s="344">
        <v>51</v>
      </c>
      <c r="C24" s="306" t="s">
        <v>50</v>
      </c>
      <c r="D24" s="376">
        <f t="shared" ref="D24:D26" si="5">VLOOKUP($B24,$N:$P,3,FALSE)</f>
        <v>-5.8091947247600002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6">
        <f t="shared" si="0"/>
        <v>-4.03623745316</v>
      </c>
    </row>
    <row r="25" spans="2:25" x14ac:dyDescent="0.25">
      <c r="B25" s="344">
        <v>52</v>
      </c>
      <c r="C25" s="306" t="s">
        <v>53</v>
      </c>
      <c r="D25" s="376">
        <f t="shared" si="5"/>
        <v>-1.94064618888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-2.4557170493427001</v>
      </c>
      <c r="Q25" s="336">
        <f t="shared" si="0"/>
        <v>-2.4557170493427001</v>
      </c>
    </row>
    <row r="26" spans="2:25" ht="15.75" thickBot="1" x14ac:dyDescent="0.3">
      <c r="B26" s="346">
        <v>53</v>
      </c>
      <c r="C26" s="326" t="s">
        <v>56</v>
      </c>
      <c r="D26" s="377">
        <f t="shared" si="5"/>
        <v>-0.66321888748000002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6">
        <f t="shared" si="0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6">
        <f t="shared" si="0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6">
        <f t="shared" si="0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6">
        <f t="shared" si="0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6">
        <f t="shared" si="0"/>
        <v>-5.1880432348000003</v>
      </c>
    </row>
    <row r="31" spans="2:25" ht="15.7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6">
        <f t="shared" si="0"/>
        <v>-2.6156308707</v>
      </c>
    </row>
    <row r="32" spans="2:25" x14ac:dyDescent="0.25">
      <c r="B32" s="347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6">
        <f t="shared" si="0"/>
        <v>-0.91046169190000004</v>
      </c>
    </row>
    <row r="33" spans="2:17" x14ac:dyDescent="0.25">
      <c r="B33" s="344">
        <f>B23</f>
        <v>50</v>
      </c>
      <c r="C33" s="303" t="s">
        <v>47</v>
      </c>
      <c r="D33" s="372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6">
        <f t="shared" si="0"/>
        <v>5.7553461640599997E-2</v>
      </c>
    </row>
    <row r="34" spans="2:17" x14ac:dyDescent="0.25">
      <c r="B34" s="344">
        <f t="shared" ref="B34:B36" si="6">B24</f>
        <v>51</v>
      </c>
      <c r="C34" s="306" t="s">
        <v>50</v>
      </c>
      <c r="D34" s="373">
        <f t="shared" ref="D34:D36" si="7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6">
        <f t="shared" si="0"/>
        <v>0.237798002151</v>
      </c>
    </row>
    <row r="35" spans="2:17" x14ac:dyDescent="0.25">
      <c r="B35" s="344">
        <f t="shared" si="6"/>
        <v>52</v>
      </c>
      <c r="C35" s="306" t="s">
        <v>53</v>
      </c>
      <c r="D35" s="373">
        <f t="shared" si="7"/>
        <v>0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6">
        <f t="shared" si="0"/>
        <v>0</v>
      </c>
    </row>
    <row r="36" spans="2:17" ht="15.75" thickBot="1" x14ac:dyDescent="0.3">
      <c r="B36" s="360">
        <f t="shared" si="6"/>
        <v>53</v>
      </c>
      <c r="C36" s="326" t="s">
        <v>56</v>
      </c>
      <c r="D36" s="327">
        <f t="shared" si="7"/>
        <v>0.37541725121421049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6">
        <f t="shared" si="0"/>
        <v>0</v>
      </c>
    </row>
    <row r="37" spans="2:17" ht="15.75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6">
        <f t="shared" si="0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6">
        <f t="shared" si="0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6">
        <f t="shared" si="0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6">
        <f t="shared" si="0"/>
        <v>-7.1836373472300004</v>
      </c>
    </row>
    <row r="41" spans="2:17" ht="15.75" thickBot="1" x14ac:dyDescent="0.3">
      <c r="B41" s="345"/>
      <c r="C41" s="322"/>
      <c r="D41" s="392"/>
      <c r="E41" s="392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6">
        <f t="shared" si="0"/>
        <v>-3.6600975390500001</v>
      </c>
    </row>
    <row r="42" spans="2:17" x14ac:dyDescent="0.25">
      <c r="B42" s="384" t="s">
        <v>258</v>
      </c>
      <c r="C42" s="382" t="s">
        <v>91</v>
      </c>
      <c r="D42" s="385"/>
      <c r="E42" s="393" t="s">
        <v>260</v>
      </c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6">
        <f t="shared" si="0"/>
        <v>-1.3605457273599999</v>
      </c>
    </row>
    <row r="43" spans="2:17" x14ac:dyDescent="0.25">
      <c r="B43" s="386">
        <f>B33</f>
        <v>50</v>
      </c>
      <c r="C43" s="387" t="s">
        <v>47</v>
      </c>
      <c r="D43" s="388">
        <f>D23+D33</f>
        <v>-29.556856147209999</v>
      </c>
      <c r="E43" s="383" t="s">
        <v>287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6">
        <f t="shared" si="0"/>
        <v>-0.22141031751900001</v>
      </c>
    </row>
    <row r="44" spans="2:17" x14ac:dyDescent="0.25">
      <c r="B44" s="386">
        <f t="shared" ref="B44:B46" si="8">B34</f>
        <v>51</v>
      </c>
      <c r="C44" s="389" t="s">
        <v>50</v>
      </c>
      <c r="D44" s="388">
        <f t="shared" ref="D44:D46" si="9">D24+D34</f>
        <v>-5.8091947247600002</v>
      </c>
      <c r="E44" s="383" t="s">
        <v>288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6">
        <f t="shared" si="0"/>
        <v>0.64228876129599999</v>
      </c>
    </row>
    <row r="45" spans="2:17" x14ac:dyDescent="0.25">
      <c r="B45" s="386">
        <f t="shared" si="8"/>
        <v>52</v>
      </c>
      <c r="C45" s="389" t="s">
        <v>53</v>
      </c>
      <c r="D45" s="388">
        <f t="shared" si="9"/>
        <v>-1.94064618888</v>
      </c>
      <c r="E45" s="383" t="s">
        <v>289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6">
        <f t="shared" si="0"/>
        <v>0.74588429254199995</v>
      </c>
    </row>
    <row r="46" spans="2:17" ht="15.75" thickBot="1" x14ac:dyDescent="0.3">
      <c r="B46" s="394">
        <f t="shared" si="8"/>
        <v>53</v>
      </c>
      <c r="C46" s="390" t="s">
        <v>56</v>
      </c>
      <c r="D46" s="391">
        <f t="shared" si="9"/>
        <v>-0.28780163626578953</v>
      </c>
      <c r="E46" s="395" t="s">
        <v>290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6">
        <f t="shared" si="0"/>
        <v>-32.156094092099998</v>
      </c>
    </row>
    <row r="47" spans="2:17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6">
        <f t="shared" si="0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6">
        <f t="shared" si="0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6">
        <f t="shared" si="0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6">
        <f t="shared" si="0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6">
        <f t="shared" si="0"/>
        <v>0.201576719663</v>
      </c>
    </row>
    <row r="52" spans="13:18" x14ac:dyDescent="0.2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-29.556856147209999</v>
      </c>
      <c r="Q52" s="339">
        <f t="shared" si="0"/>
        <v>-29.556856147209999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-5.8091947247600002</v>
      </c>
      <c r="Q53" s="339">
        <f t="shared" si="0"/>
        <v>-5.8091947247600002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-1.94064618888</v>
      </c>
      <c r="Q54" s="339">
        <f t="shared" si="0"/>
        <v>-1.94064618888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-0.66321888748000002</v>
      </c>
      <c r="Q55" s="339">
        <f t="shared" si="0"/>
        <v>-0.28780163626578953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6">
        <f t="shared" si="0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6">
        <f t="shared" si="0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6">
        <f t="shared" si="0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6">
        <f t="shared" si="0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6">
        <f t="shared" si="0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6">
        <f t="shared" si="0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6">
        <f t="shared" si="0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6">
        <f t="shared" si="0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6">
        <f t="shared" si="0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6">
        <f t="shared" si="0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6">
        <f t="shared" si="0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6">
        <f t="shared" si="0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6">
        <f t="shared" si="0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6">
        <f t="shared" ref="Q69:Q103" si="10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6">
        <f t="shared" si="10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6">
        <f t="shared" si="10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6">
        <f t="shared" si="10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6">
        <f t="shared" si="10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6">
        <f t="shared" si="10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6">
        <f t="shared" si="10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6">
        <f t="shared" si="10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6">
        <f t="shared" si="10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6">
        <f t="shared" si="10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6">
        <f t="shared" si="10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6">
        <f t="shared" si="10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6">
        <f t="shared" si="10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6">
        <f t="shared" si="10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6">
        <f t="shared" si="10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6">
        <f t="shared" si="10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6">
        <f t="shared" si="10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6">
        <f t="shared" si="10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6">
        <f t="shared" si="10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6">
        <f t="shared" si="10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6">
        <f t="shared" si="10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6">
        <f t="shared" si="10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6">
        <f t="shared" si="10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6">
        <f t="shared" si="10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6">
        <f t="shared" si="10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6">
        <f t="shared" si="10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6">
        <f t="shared" si="10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6">
        <f t="shared" si="10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6">
        <f t="shared" si="10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6">
        <f t="shared" si="10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6">
        <f t="shared" si="10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6">
        <f t="shared" si="10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6">
        <f t="shared" si="10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6">
        <f t="shared" si="10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6">
        <f t="shared" si="10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6">
        <f t="shared" ref="Q104" si="11">_xlfn.IFNA(VLOOKUP(N104,$B$43:$D$46,3,FALSE),P104)</f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2019-10-07T21:07:58Z</dcterms:modified>
</cp:coreProperties>
</file>