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>
    <mc:Choice Requires="x15">
      <x15ac:absPath xmlns:x15ac="http://schemas.microsoft.com/office/spreadsheetml/2010/11/ac" url="D:\P3Test\2020baseyear-BKR\BKR1-20\daysim_summaries\bkrcast_all\output\"/>
    </mc:Choice>
  </mc:AlternateContent>
  <xr:revisionPtr revIDLastSave="0" documentId="13_ncr:1_{D7074FDE-B144-4912-AB5B-662E7A817727}" xr6:coauthVersionLast="47" xr6:coauthVersionMax="47" xr10:uidLastSave="{00000000-0000-0000-0000-000000000000}"/>
  <bookViews>
    <workbookView xWindow="10545" yWindow="4890" windowWidth="7200" windowHeight="4050" firstSheet="6" activeTab="6" xr2:uid="{00000000-000D-0000-FFFF-FFFF00000000}"/>
  </bookViews>
  <sheets>
    <sheet name="TLFD" sheetId="3" r:id="rId1"/>
    <sheet name="TDFD" sheetId="4" r:id="rId2"/>
    <sheet name="County_Flow" sheetId="1" r:id="rId3"/>
    <sheet name="Documentation" sheetId="5" r:id="rId4"/>
    <sheet name="Coeff_Descr" sheetId="8" r:id="rId5"/>
    <sheet name="OtherTourDestination" sheetId="7" r:id="rId6"/>
    <sheet name="Calibration" sheetId="6" r:id="rId7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6" i="6" l="1"/>
  <c r="B46" i="6" s="1"/>
  <c r="B35" i="6"/>
  <c r="B45" i="6" s="1"/>
  <c r="B34" i="6"/>
  <c r="B44" i="6" s="1"/>
  <c r="B33" i="6"/>
  <c r="B43" i="6" s="1"/>
  <c r="O104" i="6" l="1"/>
  <c r="P104" i="6"/>
  <c r="N104" i="6"/>
  <c r="M104" i="6" s="1"/>
  <c r="Q104" i="6" l="1"/>
  <c r="N4" i="6" l="1"/>
  <c r="M4" i="6" s="1"/>
  <c r="O4" i="6"/>
  <c r="N5" i="6"/>
  <c r="M5" i="6" s="1"/>
  <c r="O5" i="6"/>
  <c r="N6" i="6"/>
  <c r="M6" i="6" s="1"/>
  <c r="O6" i="6"/>
  <c r="N7" i="6"/>
  <c r="M7" i="6" s="1"/>
  <c r="O7" i="6"/>
  <c r="N8" i="6"/>
  <c r="M8" i="6" s="1"/>
  <c r="O8" i="6"/>
  <c r="N9" i="6"/>
  <c r="M9" i="6" s="1"/>
  <c r="O9" i="6"/>
  <c r="N10" i="6"/>
  <c r="M10" i="6" s="1"/>
  <c r="O10" i="6"/>
  <c r="N11" i="6"/>
  <c r="M11" i="6" s="1"/>
  <c r="O11" i="6"/>
  <c r="N12" i="6"/>
  <c r="M12" i="6" s="1"/>
  <c r="O12" i="6"/>
  <c r="N13" i="6"/>
  <c r="M13" i="6" s="1"/>
  <c r="O13" i="6"/>
  <c r="N14" i="6"/>
  <c r="M14" i="6" s="1"/>
  <c r="O14" i="6"/>
  <c r="N15" i="6"/>
  <c r="M15" i="6" s="1"/>
  <c r="O15" i="6"/>
  <c r="N16" i="6"/>
  <c r="M16" i="6" s="1"/>
  <c r="O16" i="6"/>
  <c r="N17" i="6"/>
  <c r="M17" i="6" s="1"/>
  <c r="O17" i="6"/>
  <c r="N18" i="6"/>
  <c r="M18" i="6" s="1"/>
  <c r="O18" i="6"/>
  <c r="N19" i="6"/>
  <c r="M19" i="6" s="1"/>
  <c r="O19" i="6"/>
  <c r="N20" i="6"/>
  <c r="M20" i="6" s="1"/>
  <c r="O20" i="6"/>
  <c r="N21" i="6"/>
  <c r="M21" i="6" s="1"/>
  <c r="O21" i="6"/>
  <c r="N22" i="6"/>
  <c r="M22" i="6" s="1"/>
  <c r="O22" i="6"/>
  <c r="N23" i="6"/>
  <c r="M23" i="6" s="1"/>
  <c r="O23" i="6"/>
  <c r="N24" i="6"/>
  <c r="M24" i="6" s="1"/>
  <c r="O24" i="6"/>
  <c r="N25" i="6"/>
  <c r="M25" i="6" s="1"/>
  <c r="O25" i="6"/>
  <c r="N26" i="6"/>
  <c r="M26" i="6" s="1"/>
  <c r="O26" i="6"/>
  <c r="N27" i="6"/>
  <c r="M27" i="6" s="1"/>
  <c r="O27" i="6"/>
  <c r="N28" i="6"/>
  <c r="M28" i="6" s="1"/>
  <c r="O28" i="6"/>
  <c r="N29" i="6"/>
  <c r="M29" i="6" s="1"/>
  <c r="O29" i="6"/>
  <c r="N30" i="6"/>
  <c r="M30" i="6" s="1"/>
  <c r="O30" i="6"/>
  <c r="N31" i="6"/>
  <c r="M31" i="6" s="1"/>
  <c r="O31" i="6"/>
  <c r="N32" i="6"/>
  <c r="M32" i="6" s="1"/>
  <c r="O32" i="6"/>
  <c r="N33" i="6"/>
  <c r="M33" i="6" s="1"/>
  <c r="O33" i="6"/>
  <c r="N34" i="6"/>
  <c r="M34" i="6" s="1"/>
  <c r="O34" i="6"/>
  <c r="N35" i="6"/>
  <c r="M35" i="6" s="1"/>
  <c r="O35" i="6"/>
  <c r="N36" i="6"/>
  <c r="O36" i="6"/>
  <c r="N37" i="6"/>
  <c r="M37" i="6" s="1"/>
  <c r="O37" i="6"/>
  <c r="N38" i="6"/>
  <c r="M38" i="6" s="1"/>
  <c r="O38" i="6"/>
  <c r="N39" i="6"/>
  <c r="M39" i="6" s="1"/>
  <c r="O39" i="6"/>
  <c r="N40" i="6"/>
  <c r="M40" i="6" s="1"/>
  <c r="O40" i="6"/>
  <c r="N41" i="6"/>
  <c r="M41" i="6" s="1"/>
  <c r="O41" i="6"/>
  <c r="N42" i="6"/>
  <c r="M42" i="6" s="1"/>
  <c r="O42" i="6"/>
  <c r="N43" i="6"/>
  <c r="M43" i="6" s="1"/>
  <c r="O43" i="6"/>
  <c r="N44" i="6"/>
  <c r="M44" i="6" s="1"/>
  <c r="O44" i="6"/>
  <c r="N45" i="6"/>
  <c r="M45" i="6" s="1"/>
  <c r="O45" i="6"/>
  <c r="N46" i="6"/>
  <c r="M46" i="6" s="1"/>
  <c r="O46" i="6"/>
  <c r="N47" i="6"/>
  <c r="M47" i="6" s="1"/>
  <c r="O47" i="6"/>
  <c r="N48" i="6"/>
  <c r="M48" i="6" s="1"/>
  <c r="O48" i="6"/>
  <c r="N49" i="6"/>
  <c r="M49" i="6" s="1"/>
  <c r="O49" i="6"/>
  <c r="N50" i="6"/>
  <c r="M50" i="6" s="1"/>
  <c r="O50" i="6"/>
  <c r="N51" i="6"/>
  <c r="M51" i="6" s="1"/>
  <c r="O51" i="6"/>
  <c r="N52" i="6"/>
  <c r="O52" i="6"/>
  <c r="N53" i="6"/>
  <c r="O53" i="6"/>
  <c r="N54" i="6"/>
  <c r="O54" i="6"/>
  <c r="N55" i="6"/>
  <c r="O55" i="6"/>
  <c r="N56" i="6"/>
  <c r="M56" i="6" s="1"/>
  <c r="O56" i="6"/>
  <c r="N57" i="6"/>
  <c r="M57" i="6" s="1"/>
  <c r="O57" i="6"/>
  <c r="N58" i="6"/>
  <c r="M58" i="6" s="1"/>
  <c r="O58" i="6"/>
  <c r="N59" i="6"/>
  <c r="M59" i="6" s="1"/>
  <c r="O59" i="6"/>
  <c r="N60" i="6"/>
  <c r="O60" i="6"/>
  <c r="N61" i="6"/>
  <c r="M61" i="6" s="1"/>
  <c r="O61" i="6"/>
  <c r="N62" i="6"/>
  <c r="M62" i="6" s="1"/>
  <c r="O62" i="6"/>
  <c r="N63" i="6"/>
  <c r="M63" i="6" s="1"/>
  <c r="O63" i="6"/>
  <c r="N64" i="6"/>
  <c r="M64" i="6" s="1"/>
  <c r="O64" i="6"/>
  <c r="N65" i="6"/>
  <c r="M65" i="6" s="1"/>
  <c r="O65" i="6"/>
  <c r="N66" i="6"/>
  <c r="M66" i="6" s="1"/>
  <c r="O66" i="6"/>
  <c r="N67" i="6"/>
  <c r="M67" i="6" s="1"/>
  <c r="O67" i="6"/>
  <c r="N68" i="6"/>
  <c r="M68" i="6" s="1"/>
  <c r="O68" i="6"/>
  <c r="N69" i="6"/>
  <c r="M69" i="6" s="1"/>
  <c r="O69" i="6"/>
  <c r="N70" i="6"/>
  <c r="M70" i="6" s="1"/>
  <c r="O70" i="6"/>
  <c r="N71" i="6"/>
  <c r="M71" i="6" s="1"/>
  <c r="O71" i="6"/>
  <c r="N72" i="6"/>
  <c r="M72" i="6" s="1"/>
  <c r="O72" i="6"/>
  <c r="N73" i="6"/>
  <c r="M73" i="6" s="1"/>
  <c r="O73" i="6"/>
  <c r="N74" i="6"/>
  <c r="M74" i="6" s="1"/>
  <c r="O74" i="6"/>
  <c r="N75" i="6"/>
  <c r="M75" i="6" s="1"/>
  <c r="O75" i="6"/>
  <c r="N76" i="6"/>
  <c r="M76" i="6" s="1"/>
  <c r="O76" i="6"/>
  <c r="N77" i="6"/>
  <c r="M77" i="6" s="1"/>
  <c r="O77" i="6"/>
  <c r="N78" i="6"/>
  <c r="M78" i="6" s="1"/>
  <c r="O78" i="6"/>
  <c r="N79" i="6"/>
  <c r="M79" i="6" s="1"/>
  <c r="O79" i="6"/>
  <c r="N80" i="6"/>
  <c r="M80" i="6" s="1"/>
  <c r="O80" i="6"/>
  <c r="N81" i="6"/>
  <c r="O81" i="6"/>
  <c r="N82" i="6"/>
  <c r="M82" i="6" s="1"/>
  <c r="O82" i="6"/>
  <c r="N83" i="6"/>
  <c r="M83" i="6" s="1"/>
  <c r="O83" i="6"/>
  <c r="N84" i="6"/>
  <c r="M84" i="6" s="1"/>
  <c r="O84" i="6"/>
  <c r="N85" i="6"/>
  <c r="M85" i="6" s="1"/>
  <c r="O85" i="6"/>
  <c r="N86" i="6"/>
  <c r="M86" i="6" s="1"/>
  <c r="O86" i="6"/>
  <c r="N87" i="6"/>
  <c r="M87" i="6" s="1"/>
  <c r="O87" i="6"/>
  <c r="N88" i="6"/>
  <c r="M88" i="6" s="1"/>
  <c r="O88" i="6"/>
  <c r="N89" i="6"/>
  <c r="M89" i="6" s="1"/>
  <c r="O89" i="6"/>
  <c r="N90" i="6"/>
  <c r="M90" i="6" s="1"/>
  <c r="O90" i="6"/>
  <c r="N91" i="6"/>
  <c r="M91" i="6" s="1"/>
  <c r="O91" i="6"/>
  <c r="N92" i="6"/>
  <c r="M92" i="6" s="1"/>
  <c r="O92" i="6"/>
  <c r="N93" i="6"/>
  <c r="M93" i="6" s="1"/>
  <c r="O93" i="6"/>
  <c r="N94" i="6"/>
  <c r="M94" i="6" s="1"/>
  <c r="O94" i="6"/>
  <c r="N95" i="6"/>
  <c r="M95" i="6" s="1"/>
  <c r="O95" i="6"/>
  <c r="N96" i="6"/>
  <c r="M96" i="6" s="1"/>
  <c r="O96" i="6"/>
  <c r="N97" i="6"/>
  <c r="M97" i="6" s="1"/>
  <c r="O97" i="6"/>
  <c r="N98" i="6"/>
  <c r="M98" i="6" s="1"/>
  <c r="O98" i="6"/>
  <c r="N99" i="6"/>
  <c r="M99" i="6" s="1"/>
  <c r="O99" i="6"/>
  <c r="N100" i="6"/>
  <c r="M100" i="6" s="1"/>
  <c r="O100" i="6"/>
  <c r="N101" i="6"/>
  <c r="M101" i="6" s="1"/>
  <c r="O101" i="6"/>
  <c r="N102" i="6"/>
  <c r="M102" i="6" s="1"/>
  <c r="O102" i="6"/>
  <c r="N103" i="6"/>
  <c r="M103" i="6" s="1"/>
  <c r="O103" i="6"/>
  <c r="N3" i="6"/>
  <c r="M3" i="6" s="1"/>
  <c r="O3" i="6"/>
  <c r="M55" i="6" l="1"/>
  <c r="R55" i="6"/>
  <c r="M54" i="6"/>
  <c r="R54" i="6"/>
  <c r="M53" i="6"/>
  <c r="R53" i="6"/>
  <c r="M52" i="6"/>
  <c r="R52" i="6"/>
  <c r="M36" i="6"/>
  <c r="M60" i="6"/>
  <c r="M81" i="6"/>
  <c r="M26" i="1"/>
  <c r="N26" i="1"/>
  <c r="O26" i="1"/>
  <c r="P26" i="1"/>
  <c r="Q26" i="1"/>
  <c r="R26" i="1"/>
  <c r="S26" i="1"/>
  <c r="S20" i="1"/>
  <c r="S21" i="1"/>
  <c r="S22" i="1"/>
  <c r="S23" i="1"/>
  <c r="S24" i="1"/>
  <c r="S25" i="1"/>
  <c r="P4" i="6" l="1"/>
  <c r="Q4" i="6" s="1"/>
  <c r="P5" i="6"/>
  <c r="Q5" i="6" s="1"/>
  <c r="P6" i="6"/>
  <c r="Q6" i="6" s="1"/>
  <c r="P7" i="6"/>
  <c r="Q7" i="6" s="1"/>
  <c r="P8" i="6"/>
  <c r="Q8" i="6" s="1"/>
  <c r="P9" i="6"/>
  <c r="Q9" i="6" s="1"/>
  <c r="P10" i="6"/>
  <c r="Q10" i="6" s="1"/>
  <c r="P11" i="6"/>
  <c r="Q11" i="6" s="1"/>
  <c r="P12" i="6"/>
  <c r="Q12" i="6" s="1"/>
  <c r="P13" i="6"/>
  <c r="Q13" i="6" s="1"/>
  <c r="P14" i="6"/>
  <c r="Q14" i="6" s="1"/>
  <c r="P15" i="6"/>
  <c r="Q15" i="6" s="1"/>
  <c r="P16" i="6"/>
  <c r="Q16" i="6" s="1"/>
  <c r="P17" i="6"/>
  <c r="Q17" i="6" s="1"/>
  <c r="P18" i="6"/>
  <c r="Q18" i="6" s="1"/>
  <c r="P19" i="6"/>
  <c r="Q19" i="6" s="1"/>
  <c r="P20" i="6"/>
  <c r="Q20" i="6" s="1"/>
  <c r="P21" i="6"/>
  <c r="Q21" i="6" s="1"/>
  <c r="P22" i="6"/>
  <c r="Q22" i="6" s="1"/>
  <c r="P23" i="6"/>
  <c r="Q23" i="6" s="1"/>
  <c r="P24" i="6"/>
  <c r="Q24" i="6" s="1"/>
  <c r="P25" i="6"/>
  <c r="Q25" i="6" s="1"/>
  <c r="P26" i="6"/>
  <c r="Q26" i="6" s="1"/>
  <c r="P27" i="6"/>
  <c r="Q27" i="6" s="1"/>
  <c r="P28" i="6"/>
  <c r="Q28" i="6" s="1"/>
  <c r="P29" i="6"/>
  <c r="Q29" i="6" s="1"/>
  <c r="P30" i="6"/>
  <c r="Q30" i="6" s="1"/>
  <c r="P31" i="6"/>
  <c r="Q31" i="6" s="1"/>
  <c r="P32" i="6"/>
  <c r="Q32" i="6" s="1"/>
  <c r="P33" i="6"/>
  <c r="Q33" i="6" s="1"/>
  <c r="P34" i="6"/>
  <c r="Q34" i="6" s="1"/>
  <c r="P35" i="6"/>
  <c r="Q35" i="6" s="1"/>
  <c r="P36" i="6"/>
  <c r="Q36" i="6" s="1"/>
  <c r="P37" i="6"/>
  <c r="Q37" i="6" s="1"/>
  <c r="P38" i="6"/>
  <c r="Q38" i="6" s="1"/>
  <c r="P39" i="6"/>
  <c r="Q39" i="6" s="1"/>
  <c r="P40" i="6"/>
  <c r="Q40" i="6" s="1"/>
  <c r="P41" i="6"/>
  <c r="Q41" i="6" s="1"/>
  <c r="P42" i="6"/>
  <c r="Q42" i="6" s="1"/>
  <c r="P43" i="6"/>
  <c r="Q43" i="6" s="1"/>
  <c r="P44" i="6"/>
  <c r="Q44" i="6" s="1"/>
  <c r="P45" i="6"/>
  <c r="Q45" i="6" s="1"/>
  <c r="P46" i="6"/>
  <c r="Q46" i="6" s="1"/>
  <c r="P47" i="6"/>
  <c r="Q47" i="6" s="1"/>
  <c r="P48" i="6"/>
  <c r="Q48" i="6" s="1"/>
  <c r="P49" i="6"/>
  <c r="Q49" i="6" s="1"/>
  <c r="P50" i="6"/>
  <c r="Q50" i="6" s="1"/>
  <c r="P51" i="6"/>
  <c r="Q51" i="6" s="1"/>
  <c r="P52" i="6"/>
  <c r="D23" i="6" s="1"/>
  <c r="P53" i="6"/>
  <c r="D24" i="6" s="1"/>
  <c r="P54" i="6"/>
  <c r="D25" i="6" s="1"/>
  <c r="P55" i="6"/>
  <c r="D26" i="6" s="1"/>
  <c r="P56" i="6"/>
  <c r="Q56" i="6" s="1"/>
  <c r="P57" i="6"/>
  <c r="Q57" i="6" s="1"/>
  <c r="P58" i="6"/>
  <c r="Q58" i="6" s="1"/>
  <c r="P59" i="6"/>
  <c r="Q59" i="6" s="1"/>
  <c r="P60" i="6"/>
  <c r="Q60" i="6" s="1"/>
  <c r="P61" i="6"/>
  <c r="Q61" i="6" s="1"/>
  <c r="P62" i="6"/>
  <c r="Q62" i="6" s="1"/>
  <c r="P63" i="6"/>
  <c r="Q63" i="6" s="1"/>
  <c r="P64" i="6"/>
  <c r="Q64" i="6" s="1"/>
  <c r="P65" i="6"/>
  <c r="Q65" i="6" s="1"/>
  <c r="P66" i="6"/>
  <c r="Q66" i="6" s="1"/>
  <c r="P67" i="6"/>
  <c r="Q67" i="6" s="1"/>
  <c r="P68" i="6"/>
  <c r="Q68" i="6" s="1"/>
  <c r="P69" i="6"/>
  <c r="Q69" i="6" s="1"/>
  <c r="P70" i="6"/>
  <c r="Q70" i="6" s="1"/>
  <c r="P71" i="6"/>
  <c r="Q71" i="6" s="1"/>
  <c r="P72" i="6"/>
  <c r="Q72" i="6" s="1"/>
  <c r="P73" i="6"/>
  <c r="Q73" i="6" s="1"/>
  <c r="P74" i="6"/>
  <c r="Q74" i="6" s="1"/>
  <c r="P75" i="6"/>
  <c r="Q75" i="6" s="1"/>
  <c r="P76" i="6"/>
  <c r="Q76" i="6" s="1"/>
  <c r="P77" i="6"/>
  <c r="Q77" i="6" s="1"/>
  <c r="P78" i="6"/>
  <c r="Q78" i="6" s="1"/>
  <c r="P79" i="6"/>
  <c r="Q79" i="6" s="1"/>
  <c r="P80" i="6"/>
  <c r="Q80" i="6" s="1"/>
  <c r="P81" i="6"/>
  <c r="Q81" i="6" s="1"/>
  <c r="P82" i="6"/>
  <c r="Q82" i="6" s="1"/>
  <c r="P83" i="6"/>
  <c r="Q83" i="6" s="1"/>
  <c r="P84" i="6"/>
  <c r="Q84" i="6" s="1"/>
  <c r="P85" i="6"/>
  <c r="Q85" i="6" s="1"/>
  <c r="P86" i="6"/>
  <c r="Q86" i="6" s="1"/>
  <c r="P87" i="6"/>
  <c r="Q87" i="6" s="1"/>
  <c r="P88" i="6"/>
  <c r="Q88" i="6" s="1"/>
  <c r="P89" i="6"/>
  <c r="Q89" i="6" s="1"/>
  <c r="P90" i="6"/>
  <c r="Q90" i="6" s="1"/>
  <c r="P91" i="6"/>
  <c r="Q91" i="6" s="1"/>
  <c r="P92" i="6"/>
  <c r="Q92" i="6" s="1"/>
  <c r="P93" i="6"/>
  <c r="Q93" i="6" s="1"/>
  <c r="P94" i="6"/>
  <c r="Q94" i="6" s="1"/>
  <c r="P95" i="6"/>
  <c r="Q95" i="6" s="1"/>
  <c r="P96" i="6"/>
  <c r="Q96" i="6" s="1"/>
  <c r="P97" i="6"/>
  <c r="Q97" i="6" s="1"/>
  <c r="P98" i="6"/>
  <c r="Q98" i="6" s="1"/>
  <c r="P99" i="6"/>
  <c r="Q99" i="6" s="1"/>
  <c r="P100" i="6"/>
  <c r="Q100" i="6" s="1"/>
  <c r="P101" i="6"/>
  <c r="Q101" i="6" s="1"/>
  <c r="P102" i="6"/>
  <c r="Q102" i="6" s="1"/>
  <c r="P103" i="6"/>
  <c r="Q103" i="6" s="1"/>
  <c r="P3" i="6"/>
  <c r="Q3" i="6" s="1"/>
  <c r="D4" i="6" l="1"/>
  <c r="G7" i="6"/>
  <c r="D7" i="6"/>
  <c r="G6" i="6"/>
  <c r="D6" i="6"/>
  <c r="G5" i="6"/>
  <c r="D5" i="6"/>
  <c r="G4" i="6"/>
  <c r="G8" i="6" l="1"/>
  <c r="G12" i="6" s="1"/>
  <c r="D8" i="6"/>
  <c r="D14" i="6" s="1"/>
  <c r="H15" i="1"/>
  <c r="J13" i="1"/>
  <c r="G14" i="6" l="1"/>
  <c r="I14" i="6" s="1"/>
  <c r="J14" i="6" s="1"/>
  <c r="G15" i="6"/>
  <c r="G16" i="6"/>
  <c r="G13" i="6"/>
  <c r="D13" i="6"/>
  <c r="D16" i="6"/>
  <c r="D12" i="6"/>
  <c r="D15" i="6"/>
  <c r="S15" i="1"/>
  <c r="U13" i="1"/>
  <c r="I13" i="6" l="1"/>
  <c r="J13" i="6" s="1"/>
  <c r="I15" i="6"/>
  <c r="J15" i="6" s="1"/>
  <c r="I12" i="6"/>
  <c r="J12" i="6" s="1"/>
  <c r="B26" i="1"/>
  <c r="C26" i="1"/>
  <c r="D26" i="1"/>
  <c r="E26" i="1"/>
  <c r="F26" i="1"/>
  <c r="G26" i="1"/>
  <c r="H26" i="1"/>
  <c r="S28" i="1"/>
  <c r="U26" i="1"/>
  <c r="J27" i="1"/>
  <c r="W39" i="1"/>
  <c r="L39" i="1"/>
  <c r="A39" i="1"/>
  <c r="L26" i="1"/>
  <c r="A26" i="1"/>
  <c r="L13" i="1"/>
  <c r="AD32" i="1"/>
  <c r="S32" i="1"/>
  <c r="H32" i="1"/>
  <c r="S19" i="1"/>
  <c r="H19" i="1"/>
  <c r="S6" i="1"/>
  <c r="H6" i="1"/>
  <c r="K12" i="6" l="1"/>
  <c r="D33" i="6" s="1"/>
  <c r="D43" i="6" s="1"/>
  <c r="Q52" i="6" s="1"/>
  <c r="K15" i="6"/>
  <c r="D36" i="6" s="1"/>
  <c r="D46" i="6" s="1"/>
  <c r="Q55" i="6" s="1"/>
  <c r="K14" i="6"/>
  <c r="D35" i="6" s="1"/>
  <c r="D45" i="6" s="1"/>
  <c r="Q54" i="6" s="1"/>
  <c r="K13" i="6"/>
  <c r="D34" i="6" s="1"/>
  <c r="D44" i="6" s="1"/>
  <c r="Q53" i="6" s="1"/>
  <c r="J26" i="1"/>
  <c r="AC32" i="1"/>
  <c r="AB32" i="1"/>
  <c r="AA32" i="1"/>
  <c r="Z32" i="1"/>
  <c r="Y32" i="1"/>
  <c r="X32" i="1"/>
  <c r="R32" i="1"/>
  <c r="Q32" i="1"/>
  <c r="P32" i="1"/>
  <c r="O32" i="1"/>
  <c r="N32" i="1"/>
  <c r="M32" i="1"/>
  <c r="G32" i="1"/>
  <c r="F32" i="1"/>
  <c r="E32" i="1"/>
  <c r="D32" i="1"/>
  <c r="C32" i="1"/>
  <c r="B32" i="1"/>
  <c r="R19" i="1"/>
  <c r="Q19" i="1"/>
  <c r="P19" i="1"/>
  <c r="O19" i="1"/>
  <c r="N19" i="1"/>
  <c r="M19" i="1"/>
  <c r="G19" i="1"/>
  <c r="F19" i="1"/>
  <c r="E19" i="1"/>
  <c r="D19" i="1"/>
  <c r="C19" i="1"/>
  <c r="B19" i="1"/>
  <c r="R6" i="1"/>
  <c r="Q6" i="1"/>
  <c r="P6" i="1"/>
  <c r="O6" i="1"/>
  <c r="N6" i="1"/>
  <c r="M6" i="1"/>
  <c r="G6" i="1"/>
  <c r="F6" i="1"/>
  <c r="E6" i="1"/>
  <c r="D6" i="1"/>
  <c r="C6" i="1"/>
  <c r="B6" i="1"/>
  <c r="W38" i="1"/>
  <c r="W37" i="1"/>
  <c r="W36" i="1"/>
  <c r="W35" i="1"/>
  <c r="W34" i="1"/>
  <c r="W33" i="1"/>
  <c r="L38" i="1"/>
  <c r="L37" i="1"/>
  <c r="L36" i="1"/>
  <c r="L35" i="1"/>
  <c r="L34" i="1"/>
  <c r="L33" i="1"/>
  <c r="A38" i="1"/>
  <c r="A37" i="1"/>
  <c r="A36" i="1"/>
  <c r="A35" i="1"/>
  <c r="A34" i="1"/>
  <c r="A33" i="1"/>
  <c r="L25" i="1"/>
  <c r="L24" i="1"/>
  <c r="L23" i="1"/>
  <c r="L22" i="1"/>
  <c r="L21" i="1"/>
  <c r="L20" i="1"/>
  <c r="A25" i="1"/>
  <c r="A24" i="1"/>
  <c r="A23" i="1"/>
  <c r="A22" i="1"/>
  <c r="A21" i="1"/>
  <c r="A20" i="1"/>
  <c r="L12" i="1"/>
  <c r="L11" i="1"/>
  <c r="L10" i="1"/>
  <c r="L9" i="1"/>
  <c r="L8" i="1"/>
  <c r="L7" i="1"/>
  <c r="Q15" i="1" l="1"/>
  <c r="Q28" i="1" s="1"/>
  <c r="R15" i="1"/>
  <c r="R28" i="1" s="1"/>
  <c r="U10" i="1"/>
  <c r="U11" i="1"/>
  <c r="U12" i="1"/>
  <c r="F15" i="1"/>
  <c r="G15" i="1"/>
  <c r="J10" i="1"/>
  <c r="J11" i="1"/>
  <c r="J12" i="1"/>
  <c r="H24" i="1" l="1"/>
  <c r="H25" i="1"/>
  <c r="H23" i="1"/>
  <c r="I28" i="1"/>
  <c r="U25" i="1"/>
  <c r="R25" i="1"/>
  <c r="Q25" i="1"/>
  <c r="P25" i="1"/>
  <c r="O25" i="1"/>
  <c r="N25" i="1"/>
  <c r="M25" i="1"/>
  <c r="G25" i="1"/>
  <c r="F25" i="1"/>
  <c r="E25" i="1"/>
  <c r="D25" i="1"/>
  <c r="C25" i="1"/>
  <c r="B25" i="1"/>
  <c r="U24" i="1"/>
  <c r="R24" i="1"/>
  <c r="Q24" i="1"/>
  <c r="P24" i="1"/>
  <c r="O24" i="1"/>
  <c r="N24" i="1"/>
  <c r="M24" i="1"/>
  <c r="G24" i="1"/>
  <c r="F24" i="1"/>
  <c r="E24" i="1"/>
  <c r="D24" i="1"/>
  <c r="C24" i="1"/>
  <c r="B24" i="1"/>
  <c r="U23" i="1"/>
  <c r="R23" i="1"/>
  <c r="Q23" i="1"/>
  <c r="P23" i="1"/>
  <c r="O23" i="1"/>
  <c r="N23" i="1"/>
  <c r="M23" i="1"/>
  <c r="G23" i="1"/>
  <c r="F23" i="1"/>
  <c r="E23" i="1"/>
  <c r="D23" i="1"/>
  <c r="C23" i="1"/>
  <c r="B23" i="1"/>
  <c r="R22" i="1"/>
  <c r="Q22" i="1"/>
  <c r="P22" i="1"/>
  <c r="O22" i="1"/>
  <c r="N22" i="1"/>
  <c r="M22" i="1"/>
  <c r="R21" i="1"/>
  <c r="Q21" i="1"/>
  <c r="P21" i="1"/>
  <c r="O21" i="1"/>
  <c r="N21" i="1"/>
  <c r="M21" i="1"/>
  <c r="R20" i="1"/>
  <c r="Q20" i="1"/>
  <c r="P20" i="1"/>
  <c r="O20" i="1"/>
  <c r="N20" i="1"/>
  <c r="M20" i="1"/>
  <c r="T15" i="1"/>
  <c r="P15" i="1"/>
  <c r="P28" i="1" s="1"/>
  <c r="O15" i="1"/>
  <c r="O28" i="1" s="1"/>
  <c r="N15" i="1"/>
  <c r="N28" i="1" s="1"/>
  <c r="M15" i="1"/>
  <c r="M28" i="1" s="1"/>
  <c r="I15" i="1"/>
  <c r="E15" i="1"/>
  <c r="D15" i="1"/>
  <c r="C15" i="1"/>
  <c r="B15" i="1"/>
  <c r="U14" i="1"/>
  <c r="J14" i="1"/>
  <c r="U9" i="1"/>
  <c r="J9" i="1"/>
  <c r="U8" i="1"/>
  <c r="J8" i="1"/>
  <c r="U7" i="1"/>
  <c r="J7" i="1"/>
  <c r="H20" i="1" l="1"/>
  <c r="H21" i="1"/>
  <c r="H22" i="1"/>
  <c r="J24" i="1"/>
  <c r="J25" i="1"/>
  <c r="J23" i="1"/>
  <c r="U20" i="1"/>
  <c r="U21" i="1"/>
  <c r="B21" i="1"/>
  <c r="C21" i="1"/>
  <c r="J15" i="1"/>
  <c r="B22" i="1"/>
  <c r="D21" i="1"/>
  <c r="E21" i="1"/>
  <c r="F21" i="1"/>
  <c r="G21" i="1"/>
  <c r="F22" i="1"/>
  <c r="B20" i="1"/>
  <c r="E20" i="1"/>
  <c r="C22" i="1"/>
  <c r="D22" i="1"/>
  <c r="U15" i="1"/>
  <c r="U28" i="1" s="1"/>
  <c r="G22" i="1"/>
  <c r="F20" i="1"/>
  <c r="U22" i="1"/>
  <c r="D20" i="1"/>
  <c r="G20" i="1"/>
  <c r="E22" i="1"/>
  <c r="C20" i="1"/>
  <c r="F102" i="4"/>
  <c r="G101" i="4" s="1"/>
  <c r="B102" i="4"/>
  <c r="C102" i="4" s="1"/>
  <c r="F102" i="3"/>
  <c r="G101" i="3" s="1"/>
  <c r="B102" i="3"/>
  <c r="C14" i="3" s="1"/>
  <c r="F28" i="1" l="1"/>
  <c r="S36" i="1"/>
  <c r="S35" i="1"/>
  <c r="M39" i="1"/>
  <c r="N39" i="1"/>
  <c r="O39" i="1"/>
  <c r="P39" i="1"/>
  <c r="R39" i="1"/>
  <c r="S39" i="1"/>
  <c r="S34" i="1"/>
  <c r="S33" i="1"/>
  <c r="S38" i="1"/>
  <c r="S37" i="1"/>
  <c r="Q39" i="1"/>
  <c r="G28" i="1"/>
  <c r="S41" i="1"/>
  <c r="U39" i="1"/>
  <c r="H28" i="1"/>
  <c r="J21" i="1"/>
  <c r="O36" i="1"/>
  <c r="R41" i="1"/>
  <c r="Q41" i="1"/>
  <c r="O41" i="1"/>
  <c r="N41" i="1"/>
  <c r="R34" i="1"/>
  <c r="U35" i="1"/>
  <c r="Q36" i="1"/>
  <c r="Q38" i="1"/>
  <c r="M34" i="1"/>
  <c r="R36" i="1"/>
  <c r="N37" i="1"/>
  <c r="P35" i="1"/>
  <c r="M37" i="1"/>
  <c r="Q35" i="1"/>
  <c r="O37" i="1"/>
  <c r="O35" i="1"/>
  <c r="U41" i="1"/>
  <c r="T41" i="1"/>
  <c r="U37" i="1"/>
  <c r="R37" i="1"/>
  <c r="R35" i="1"/>
  <c r="P37" i="1"/>
  <c r="N35" i="1"/>
  <c r="O38" i="1"/>
  <c r="Q37" i="1"/>
  <c r="N38" i="1"/>
  <c r="M35" i="1"/>
  <c r="M38" i="1"/>
  <c r="E28" i="1"/>
  <c r="Q33" i="1"/>
  <c r="P36" i="1"/>
  <c r="N36" i="1"/>
  <c r="R38" i="1"/>
  <c r="Q34" i="1"/>
  <c r="M36" i="1"/>
  <c r="O34" i="1"/>
  <c r="M33" i="1"/>
  <c r="R33" i="1"/>
  <c r="J22" i="1"/>
  <c r="O33" i="1"/>
  <c r="C28" i="1"/>
  <c r="N33" i="1"/>
  <c r="P41" i="1"/>
  <c r="D28" i="1"/>
  <c r="P38" i="1"/>
  <c r="J20" i="1"/>
  <c r="B28" i="1"/>
  <c r="P33" i="1"/>
  <c r="U38" i="1"/>
  <c r="U34" i="1"/>
  <c r="M41" i="1"/>
  <c r="U33" i="1"/>
  <c r="N34" i="1"/>
  <c r="P34" i="1"/>
  <c r="U36" i="1"/>
  <c r="G11" i="4"/>
  <c r="G39" i="4"/>
  <c r="G15" i="4"/>
  <c r="C30" i="4"/>
  <c r="C54" i="4"/>
  <c r="C26" i="4"/>
  <c r="C46" i="4"/>
  <c r="G31" i="4"/>
  <c r="C14" i="4"/>
  <c r="C38" i="4"/>
  <c r="C22" i="4"/>
  <c r="C42" i="4"/>
  <c r="C58" i="4"/>
  <c r="C18" i="4"/>
  <c r="C34" i="4"/>
  <c r="C50" i="4"/>
  <c r="C62" i="4"/>
  <c r="C75" i="4"/>
  <c r="C13" i="4"/>
  <c r="C17" i="4"/>
  <c r="C21" i="4"/>
  <c r="C25" i="4"/>
  <c r="C29" i="4"/>
  <c r="C33" i="4"/>
  <c r="C37" i="4"/>
  <c r="C41" i="4"/>
  <c r="C45" i="4"/>
  <c r="C49" i="4"/>
  <c r="C53" i="4"/>
  <c r="C57" i="4"/>
  <c r="C61" i="4"/>
  <c r="C65" i="4"/>
  <c r="C71" i="4"/>
  <c r="C99" i="4"/>
  <c r="G27" i="4"/>
  <c r="G47" i="4"/>
  <c r="C66" i="4"/>
  <c r="C12" i="4"/>
  <c r="C16" i="4"/>
  <c r="C20" i="4"/>
  <c r="C24" i="4"/>
  <c r="C28" i="4"/>
  <c r="C32" i="4"/>
  <c r="C36" i="4"/>
  <c r="C40" i="4"/>
  <c r="C44" i="4"/>
  <c r="C48" i="4"/>
  <c r="C52" i="4"/>
  <c r="C56" i="4"/>
  <c r="C60" i="4"/>
  <c r="C64" i="4"/>
  <c r="C68" i="4"/>
  <c r="C87" i="4"/>
  <c r="G23" i="4"/>
  <c r="G43" i="4"/>
  <c r="C11" i="4"/>
  <c r="C15" i="4"/>
  <c r="C19" i="4"/>
  <c r="C23" i="4"/>
  <c r="C27" i="4"/>
  <c r="C31" i="4"/>
  <c r="C35" i="4"/>
  <c r="C39" i="4"/>
  <c r="C43" i="4"/>
  <c r="C47" i="4"/>
  <c r="C51" i="4"/>
  <c r="C55" i="4"/>
  <c r="C59" i="4"/>
  <c r="C63" i="4"/>
  <c r="C67" i="4"/>
  <c r="C83" i="4"/>
  <c r="G59" i="4"/>
  <c r="C73" i="4"/>
  <c r="C91" i="4"/>
  <c r="G19" i="4"/>
  <c r="G35" i="4"/>
  <c r="G51" i="4"/>
  <c r="C69" i="4"/>
  <c r="C79" i="4"/>
  <c r="C95" i="4"/>
  <c r="G13" i="4"/>
  <c r="G17" i="4"/>
  <c r="G21" i="4"/>
  <c r="G25" i="4"/>
  <c r="G29" i="4"/>
  <c r="G33" i="4"/>
  <c r="G37" i="4"/>
  <c r="G41" i="4"/>
  <c r="G45" i="4"/>
  <c r="G49" i="4"/>
  <c r="G53" i="4"/>
  <c r="G57" i="4"/>
  <c r="G61" i="4"/>
  <c r="G65" i="4"/>
  <c r="G69" i="4"/>
  <c r="G73" i="4"/>
  <c r="G77" i="4"/>
  <c r="G81" i="4"/>
  <c r="G85" i="4"/>
  <c r="G92" i="4"/>
  <c r="G102" i="4"/>
  <c r="G55" i="4"/>
  <c r="G63" i="4"/>
  <c r="G71" i="4"/>
  <c r="G83" i="4"/>
  <c r="G12" i="4"/>
  <c r="G16" i="4"/>
  <c r="G20" i="4"/>
  <c r="G24" i="4"/>
  <c r="G28" i="4"/>
  <c r="G32" i="4"/>
  <c r="G36" i="4"/>
  <c r="G40" i="4"/>
  <c r="G44" i="4"/>
  <c r="G48" i="4"/>
  <c r="G52" i="4"/>
  <c r="G56" i="4"/>
  <c r="G60" i="4"/>
  <c r="G64" i="4"/>
  <c r="G68" i="4"/>
  <c r="G72" i="4"/>
  <c r="G76" i="4"/>
  <c r="G80" i="4"/>
  <c r="G84" i="4"/>
  <c r="G90" i="4"/>
  <c r="G98" i="4"/>
  <c r="G67" i="4"/>
  <c r="G75" i="4"/>
  <c r="G79" i="4"/>
  <c r="G88" i="4"/>
  <c r="G96" i="4"/>
  <c r="G14" i="4"/>
  <c r="G18" i="4"/>
  <c r="G22" i="4"/>
  <c r="G26" i="4"/>
  <c r="G30" i="4"/>
  <c r="G34" i="4"/>
  <c r="G38" i="4"/>
  <c r="G42" i="4"/>
  <c r="G46" i="4"/>
  <c r="G50" i="4"/>
  <c r="G54" i="4"/>
  <c r="G58" i="4"/>
  <c r="G62" i="4"/>
  <c r="G66" i="4"/>
  <c r="G70" i="4"/>
  <c r="G74" i="4"/>
  <c r="G78" i="4"/>
  <c r="G82" i="4"/>
  <c r="G86" i="4"/>
  <c r="G94" i="4"/>
  <c r="G87" i="4"/>
  <c r="G89" i="4"/>
  <c r="G91" i="4"/>
  <c r="G93" i="4"/>
  <c r="G95" i="4"/>
  <c r="G97" i="4"/>
  <c r="G100" i="4"/>
  <c r="C70" i="4"/>
  <c r="C72" i="4"/>
  <c r="C74" i="4"/>
  <c r="C77" i="4"/>
  <c r="C81" i="4"/>
  <c r="C85" i="4"/>
  <c r="C89" i="4"/>
  <c r="C93" i="4"/>
  <c r="C97" i="4"/>
  <c r="C101" i="4"/>
  <c r="G99" i="4"/>
  <c r="C76" i="4"/>
  <c r="C78" i="4"/>
  <c r="C80" i="4"/>
  <c r="C82" i="4"/>
  <c r="C84" i="4"/>
  <c r="C86" i="4"/>
  <c r="C88" i="4"/>
  <c r="C90" i="4"/>
  <c r="C92" i="4"/>
  <c r="C94" i="4"/>
  <c r="C96" i="4"/>
  <c r="C98" i="4"/>
  <c r="C100" i="4"/>
  <c r="G12" i="3"/>
  <c r="G14" i="3"/>
  <c r="G16" i="3"/>
  <c r="G18" i="3"/>
  <c r="G20" i="3"/>
  <c r="G22" i="3"/>
  <c r="G24" i="3"/>
  <c r="G26" i="3"/>
  <c r="G28" i="3"/>
  <c r="G30" i="3"/>
  <c r="G32" i="3"/>
  <c r="G34" i="3"/>
  <c r="G36" i="3"/>
  <c r="G38" i="3"/>
  <c r="G40" i="3"/>
  <c r="G42" i="3"/>
  <c r="G44" i="3"/>
  <c r="G46" i="3"/>
  <c r="G48" i="3"/>
  <c r="G50" i="3"/>
  <c r="G52" i="3"/>
  <c r="G54" i="3"/>
  <c r="G56" i="3"/>
  <c r="G58" i="3"/>
  <c r="G60" i="3"/>
  <c r="G62" i="3"/>
  <c r="G64" i="3"/>
  <c r="G66" i="3"/>
  <c r="G68" i="3"/>
  <c r="G70" i="3"/>
  <c r="G72" i="3"/>
  <c r="G74" i="3"/>
  <c r="G76" i="3"/>
  <c r="G78" i="3"/>
  <c r="G80" i="3"/>
  <c r="G82" i="3"/>
  <c r="G84" i="3"/>
  <c r="G86" i="3"/>
  <c r="G88" i="3"/>
  <c r="G90" i="3"/>
  <c r="G92" i="3"/>
  <c r="G94" i="3"/>
  <c r="G96" i="3"/>
  <c r="G98" i="3"/>
  <c r="G100" i="3"/>
  <c r="G102" i="3"/>
  <c r="G11" i="3"/>
  <c r="G13" i="3"/>
  <c r="G15" i="3"/>
  <c r="G17" i="3"/>
  <c r="G19" i="3"/>
  <c r="G21" i="3"/>
  <c r="G23" i="3"/>
  <c r="G25" i="3"/>
  <c r="G27" i="3"/>
  <c r="G29" i="3"/>
  <c r="G31" i="3"/>
  <c r="G33" i="3"/>
  <c r="G35" i="3"/>
  <c r="G37" i="3"/>
  <c r="G39" i="3"/>
  <c r="G41" i="3"/>
  <c r="G43" i="3"/>
  <c r="G45" i="3"/>
  <c r="G47" i="3"/>
  <c r="G49" i="3"/>
  <c r="G51" i="3"/>
  <c r="G53" i="3"/>
  <c r="G55" i="3"/>
  <c r="G57" i="3"/>
  <c r="G59" i="3"/>
  <c r="G61" i="3"/>
  <c r="G63" i="3"/>
  <c r="G65" i="3"/>
  <c r="G67" i="3"/>
  <c r="G69" i="3"/>
  <c r="G71" i="3"/>
  <c r="G73" i="3"/>
  <c r="G75" i="3"/>
  <c r="G77" i="3"/>
  <c r="G79" i="3"/>
  <c r="G81" i="3"/>
  <c r="G83" i="3"/>
  <c r="G85" i="3"/>
  <c r="G87" i="3"/>
  <c r="G89" i="3"/>
  <c r="G91" i="3"/>
  <c r="G93" i="3"/>
  <c r="G95" i="3"/>
  <c r="G97" i="3"/>
  <c r="G99" i="3"/>
  <c r="C12" i="3"/>
  <c r="C101" i="3"/>
  <c r="C99" i="3"/>
  <c r="C97" i="3"/>
  <c r="C95" i="3"/>
  <c r="C93" i="3"/>
  <c r="C91" i="3"/>
  <c r="C89" i="3"/>
  <c r="C87" i="3"/>
  <c r="C85" i="3"/>
  <c r="C83" i="3"/>
  <c r="C81" i="3"/>
  <c r="C79" i="3"/>
  <c r="C77" i="3"/>
  <c r="C75" i="3"/>
  <c r="C73" i="3"/>
  <c r="C71" i="3"/>
  <c r="C69" i="3"/>
  <c r="C67" i="3"/>
  <c r="C65" i="3"/>
  <c r="C63" i="3"/>
  <c r="C61" i="3"/>
  <c r="C59" i="3"/>
  <c r="C57" i="3"/>
  <c r="C55" i="3"/>
  <c r="C53" i="3"/>
  <c r="C51" i="3"/>
  <c r="C49" i="3"/>
  <c r="C47" i="3"/>
  <c r="C45" i="3"/>
  <c r="C43" i="3"/>
  <c r="C41" i="3"/>
  <c r="C39" i="3"/>
  <c r="C37" i="3"/>
  <c r="C35" i="3"/>
  <c r="C33" i="3"/>
  <c r="C31" i="3"/>
  <c r="C29" i="3"/>
  <c r="C27" i="3"/>
  <c r="C25" i="3"/>
  <c r="C23" i="3"/>
  <c r="C21" i="3"/>
  <c r="C19" i="3"/>
  <c r="C17" i="3"/>
  <c r="C15" i="3"/>
  <c r="C13" i="3"/>
  <c r="C11" i="3"/>
  <c r="C102" i="3"/>
  <c r="C100" i="3"/>
  <c r="C98" i="3"/>
  <c r="C96" i="3"/>
  <c r="C94" i="3"/>
  <c r="C92" i="3"/>
  <c r="C90" i="3"/>
  <c r="C88" i="3"/>
  <c r="C86" i="3"/>
  <c r="C84" i="3"/>
  <c r="C82" i="3"/>
  <c r="C80" i="3"/>
  <c r="C78" i="3"/>
  <c r="C76" i="3"/>
  <c r="C74" i="3"/>
  <c r="C72" i="3"/>
  <c r="C70" i="3"/>
  <c r="C68" i="3"/>
  <c r="C66" i="3"/>
  <c r="C64" i="3"/>
  <c r="C62" i="3"/>
  <c r="C60" i="3"/>
  <c r="C58" i="3"/>
  <c r="C56" i="3"/>
  <c r="C54" i="3"/>
  <c r="C52" i="3"/>
  <c r="C50" i="3"/>
  <c r="C48" i="3"/>
  <c r="C46" i="3"/>
  <c r="C44" i="3"/>
  <c r="C42" i="3"/>
  <c r="C40" i="3"/>
  <c r="C38" i="3"/>
  <c r="C36" i="3"/>
  <c r="C34" i="3"/>
  <c r="C32" i="3"/>
  <c r="C30" i="3"/>
  <c r="C28" i="3"/>
  <c r="C26" i="3"/>
  <c r="C24" i="3"/>
  <c r="C22" i="3"/>
  <c r="C20" i="3"/>
  <c r="C18" i="3"/>
  <c r="C16" i="3"/>
  <c r="J28" i="1" l="1"/>
  <c r="F39" i="1" l="1"/>
  <c r="AB39" i="1" s="1"/>
  <c r="E39" i="1"/>
  <c r="AA39" i="1" s="1"/>
  <c r="G39" i="1"/>
  <c r="AC39" i="1" s="1"/>
  <c r="D39" i="1"/>
  <c r="Z39" i="1" s="1"/>
  <c r="H39" i="1"/>
  <c r="AD39" i="1" s="1"/>
  <c r="C39" i="1"/>
  <c r="Y39" i="1" s="1"/>
  <c r="B39" i="1"/>
  <c r="X39" i="1" s="1"/>
  <c r="H36" i="1"/>
  <c r="AD36" i="1" s="1"/>
  <c r="H38" i="1"/>
  <c r="AD38" i="1" s="1"/>
  <c r="H37" i="1"/>
  <c r="AD37" i="1" s="1"/>
  <c r="H34" i="1"/>
  <c r="AD34" i="1" s="1"/>
  <c r="H35" i="1"/>
  <c r="AD35" i="1" s="1"/>
  <c r="H33" i="1"/>
  <c r="AD33" i="1" s="1"/>
  <c r="J39" i="1"/>
  <c r="AF39" i="1" s="1"/>
  <c r="H41" i="1"/>
  <c r="AD41" i="1" s="1"/>
  <c r="J33" i="1"/>
  <c r="AF33" i="1" s="1"/>
  <c r="G41" i="1"/>
  <c r="AC41" i="1" s="1"/>
  <c r="F41" i="1"/>
  <c r="AB41" i="1" s="1"/>
  <c r="C41" i="1"/>
  <c r="Y41" i="1" s="1"/>
  <c r="E41" i="1"/>
  <c r="AA41" i="1" s="1"/>
  <c r="D41" i="1"/>
  <c r="Z41" i="1" s="1"/>
  <c r="B41" i="1"/>
  <c r="X41" i="1" s="1"/>
  <c r="G38" i="1"/>
  <c r="AC38" i="1" s="1"/>
  <c r="F38" i="1"/>
  <c r="AB38" i="1" s="1"/>
  <c r="E38" i="1"/>
  <c r="AA38" i="1" s="1"/>
  <c r="G37" i="1"/>
  <c r="AC37" i="1" s="1"/>
  <c r="B37" i="1"/>
  <c r="X37" i="1" s="1"/>
  <c r="E37" i="1"/>
  <c r="AA37" i="1" s="1"/>
  <c r="G36" i="1"/>
  <c r="AC36" i="1" s="1"/>
  <c r="B36" i="1"/>
  <c r="X36" i="1" s="1"/>
  <c r="C36" i="1"/>
  <c r="Y36" i="1" s="1"/>
  <c r="C37" i="1"/>
  <c r="Y37" i="1" s="1"/>
  <c r="D37" i="1"/>
  <c r="Z37" i="1" s="1"/>
  <c r="J41" i="1"/>
  <c r="AF41" i="1" s="1"/>
  <c r="D34" i="1"/>
  <c r="Z34" i="1" s="1"/>
  <c r="J37" i="1"/>
  <c r="AF37" i="1" s="1"/>
  <c r="G34" i="1"/>
  <c r="AC34" i="1" s="1"/>
  <c r="C34" i="1"/>
  <c r="Y34" i="1" s="1"/>
  <c r="F34" i="1"/>
  <c r="AB34" i="1" s="1"/>
  <c r="F36" i="1"/>
  <c r="AB36" i="1" s="1"/>
  <c r="E34" i="1"/>
  <c r="AA34" i="1" s="1"/>
  <c r="E36" i="1"/>
  <c r="AA36" i="1" s="1"/>
  <c r="D36" i="1"/>
  <c r="Z36" i="1" s="1"/>
  <c r="B35" i="1"/>
  <c r="X35" i="1" s="1"/>
  <c r="D38" i="1"/>
  <c r="Z38" i="1" s="1"/>
  <c r="B38" i="1"/>
  <c r="X38" i="1" s="1"/>
  <c r="I41" i="1"/>
  <c r="AE41" i="1" s="1"/>
  <c r="J36" i="1"/>
  <c r="AF36" i="1" s="1"/>
  <c r="F37" i="1"/>
  <c r="AB37" i="1" s="1"/>
  <c r="B34" i="1"/>
  <c r="X34" i="1" s="1"/>
  <c r="C38" i="1"/>
  <c r="Y38" i="1" s="1"/>
  <c r="J38" i="1"/>
  <c r="AF38" i="1" s="1"/>
  <c r="G33" i="1"/>
  <c r="AC33" i="1" s="1"/>
  <c r="G35" i="1"/>
  <c r="AC35" i="1" s="1"/>
  <c r="C35" i="1"/>
  <c r="Y35" i="1" s="1"/>
  <c r="E35" i="1"/>
  <c r="AA35" i="1" s="1"/>
  <c r="E33" i="1"/>
  <c r="AA33" i="1" s="1"/>
  <c r="J34" i="1"/>
  <c r="AF34" i="1" s="1"/>
  <c r="C33" i="1"/>
  <c r="Y33" i="1" s="1"/>
  <c r="D33" i="1"/>
  <c r="Z33" i="1" s="1"/>
  <c r="F33" i="1"/>
  <c r="AB33" i="1" s="1"/>
  <c r="F35" i="1"/>
  <c r="AB35" i="1" s="1"/>
  <c r="D35" i="1"/>
  <c r="Z35" i="1" s="1"/>
  <c r="B33" i="1"/>
  <c r="X33" i="1" s="1"/>
  <c r="J35" i="1"/>
  <c r="AF35" i="1" s="1"/>
</calcChain>
</file>

<file path=xl/sharedStrings.xml><?xml version="1.0" encoding="utf-8"?>
<sst xmlns="http://schemas.openxmlformats.org/spreadsheetml/2006/main" count="725" uniqueCount="291">
  <si>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</si>
  <si>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</si>
  <si>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</si>
  <si>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</si>
  <si>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</si>
  <si>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</si>
  <si>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</si>
  <si>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</si>
  <si>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</si>
  <si>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</si>
  <si>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</si>
  <si>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</si>
  <si>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</si>
  <si>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</si>
  <si>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</si>
  <si>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</si>
  <si>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</si>
  <si>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</si>
  <si>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</si>
  <si>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</si>
  <si>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</si>
  <si>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</si>
  <si>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</si>
  <si>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</si>
  <si>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</si>
  <si>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</si>
  <si>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</si>
  <si>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</si>
  <si>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</si>
  <si>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</si>
  <si>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</si>
  <si>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</si>
  <si>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</si>
  <si>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</si>
  <si>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</si>
  <si>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</si>
  <si>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</si>
  <si>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</si>
  <si>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</si>
  <si>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</si>
  <si>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</si>
  <si>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</si>
  <si>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</si>
  <si>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</si>
  <si>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</si>
  <si>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</si>
  <si>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</si>
  <si>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</si>
  <si>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</si>
  <si>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</si>
  <si>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</si>
  <si>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</si>
  <si>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</si>
  <si>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</si>
  <si>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</si>
  <si>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</si>
  <si>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</si>
  <si>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</si>
  <si>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</si>
  <si>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</si>
  <si>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</si>
  <si>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</si>
  <si>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</si>
  <si>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</si>
  <si>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</si>
  <si>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</si>
  <si>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</si>
  <si>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</si>
  <si>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</si>
  <si>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</si>
  <si>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</si>
  <si>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</si>
  <si>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</si>
  <si>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</si>
  <si>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</si>
  <si>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</si>
  <si>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</si>
  <si>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</si>
  <si>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</si>
  <si>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</si>
  <si>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</si>
  <si>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</si>
  <si>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</si>
  <si>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</si>
  <si>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</si>
  <si>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</si>
  <si>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</si>
  <si>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</si>
  <si>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</si>
  <si>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</si>
  <si>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</si>
  <si>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</si>
  <si>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</si>
  <si>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</si>
  <si>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</si>
  <si>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</si>
  <si>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</si>
  <si>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</si>
  <si>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</si>
  <si>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</si>
  <si>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</si>
  <si>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</si>
  <si>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</si>
  <si>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</si>
  <si>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</si>
  <si>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</si>
  <si>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</si>
  <si>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</si>
  <si>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</si>
  <si>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</si>
  <si>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</si>
  <si>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</si>
  <si>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</si>
  <si>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</si>
  <si>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</si>
  <si>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</si>
  <si>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</si>
  <si>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</si>
  <si>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</si>
  <si>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</si>
  <si>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</si>
  <si>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</si>
  <si>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</si>
  <si>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</si>
  <si>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</si>
  <si>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</si>
  <si>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</si>
  <si>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</si>
  <si>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</si>
  <si>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</si>
  <si>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</si>
  <si>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</si>
  <si>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</si>
  <si>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</si>
  <si>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</si>
  <si>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</si>
  <si>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</si>
  <si>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</si>
  <si>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</si>
  <si>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</si>
  <si>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</si>
  <si>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</si>
  <si>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</si>
  <si>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</si>
  <si>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</si>
  <si>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</si>
  <si>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</si>
  <si>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</si>
  <si>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</si>
  <si>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</si>
  <si>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</si>
  <si>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</si>
  <si>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</si>
  <si>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</si>
  <si>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</si>
  <si>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</si>
  <si>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</si>
  <si>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</si>
  <si>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</si>
  <si>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</si>
  <si>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</si>
  <si>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</si>
  <si>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</si>
  <si>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</si>
  <si>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</si>
  <si>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</si>
  <si>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</si>
  <si>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</si>
  <si>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</si>
  <si>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</si>
  <si>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</si>
  <si>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</si>
  <si>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</si>
  <si>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</si>
  <si>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</si>
  <si>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</si>
  <si>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</si>
  <si>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</si>
  <si>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</si>
  <si>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</si>
  <si>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</si>
  <si>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</si>
  <si>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</si>
  <si>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</si>
  <si>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</si>
  <si>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</si>
  <si>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</si>
  <si>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</si>
  <si>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</si>
  <si>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</si>
  <si>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</si>
  <si>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</si>
  <si>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</si>
  <si>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</si>
  <si>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</si>
  <si>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</si>
  <si>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</si>
  <si>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</si>
  <si>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</si>
  <si>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</si>
  <si>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</si>
  <si>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</si>
  <si>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</si>
  <si>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</si>
  <si>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</si>
  <si>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</si>
  <si>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</si>
  <si>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</si>
  <si>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</si>
  <si>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</si>
  <si>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</si>
  <si>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</si>
  <si>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</si>
  <si>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</si>
  <si>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</si>
  <si>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</si>
  <si>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</si>
  <si>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</si>
  <si>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</si>
  <si>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</si>
  <si>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</si>
  <si>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</si>
  <si>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</si>
  <si>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</si>
  <si>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</si>
  <si>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</si>
  <si>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</si>
  <si>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</si>
  <si>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</si>
  <si>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</si>
  <si>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</si>
  <si>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</si>
  <si>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</si>
  <si>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</si>
  <si>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</si>
  <si>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</si>
  <si>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</si>
  <si>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</si>
  <si>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</si>
  <si>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</si>
  <si>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</si>
  <si>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</si>
  <si>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</si>
  <si>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</si>
  <si>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</si>
  <si>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</si>
  <si>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</si>
  <si>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</si>
  <si>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</si>
  <si>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</si>
  <si>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</si>
  <si>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</si>
  <si>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</si>
  <si>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</si>
  <si>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v0402)</t>
  </si>
  <si>
    <t>Oct</t>
  </si>
  <si>
    <t>Beta00118</t>
  </si>
  <si>
    <t>011:04:21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</si>
  <si>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</si>
  <si>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</si>
  <si>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</si>
  <si>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</si>
  <si>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</si>
  <si>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</si>
  <si>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</si>
  <si>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</si>
  <si>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</si>
  <si>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</si>
  <si>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</si>
  <si>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</si>
  <si>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</si>
  <si>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</si>
  <si>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</si>
  <si>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</si>
  <si>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</si>
  <si>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</si>
  <si>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</si>
  <si>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</si>
  <si>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</si>
  <si>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</si>
  <si>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</si>
  <si>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Copy (Ctrl-c) cells Q3:Q104</t>
  </si>
  <si>
    <t>CALIBRATION</t>
  </si>
  <si>
    <t>Damp</t>
  </si>
  <si>
    <t>Calibration Note:</t>
  </si>
  <si>
    <t>As iteration=1 coefficients didn't work as expected, reversed the coeffcients back to iteratin=0</t>
  </si>
  <si>
    <t>this was done only for this purpose not for escort</t>
  </si>
  <si>
    <t>Distance from origin is 0-1 mile</t>
  </si>
  <si>
    <t>Distance from origin is 1-3.5 mile</t>
  </si>
  <si>
    <t>Distance from origin is 3.5-10 mile</t>
  </si>
  <si>
    <t>Distance from origin is over 10 mile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</si>
</sst>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#,##0.0"/>
    <numFmt numFmtId="173" formatCode="0.0000000000"/>
    <numFmt numFmtId="17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numFmtId="0" fontId="0" fillId="0" borderId="0"/>
    <xf numFmtId="0" fontId="2" fillId="0" borderId="0">
      <alignment wrapText="1"/>
    </xf>
    <xf numFmtId="0" fontId="3" fillId="2" borderId="0">
      <alignment wrapText="1"/>
    </xf>
    <xf numFmtId="165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0" fontId="3" fillId="0" borderId="0">
      <alignment wrapText="1"/>
    </xf>
    <xf numFmtId="165" fontId="3" fillId="0" borderId="0">
      <alignment wrapText="1"/>
    </xf>
    <xf numFmtId="43" fontId="3" fillId="0" borderId="0" applyFont="0" applyFill="0" applyBorder="0" applyAlignment="0" applyProtection="0"/>
  </cellStyleXfs>
  <cellXfs count="396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2" xfId="0" applyBorder="1" applyAlignment="1">
      <alignment horizontal="center"/>
    </xf>
    <xf numFmtId="0" fontId="1" fillId="0" borderId="1" xfId="0" applyFont="1" applyBorder="1"/>
    <xf numFmtId="0" fontId="0" fillId="0" borderId="2" xfId="0" applyBorder="1" applyAlignment="1">
      <alignment horizontal="center" vertical="top"/>
    </xf>
    <xf numFmtId="0" fontId="0" fillId="0" borderId="0" xfId="0" applyBorder="1"/>
    <xf numFmtId="0" fontId="0" fillId="0" borderId="3" xfId="0" applyFill="1" applyBorder="1"/>
    <xf numFmtId="2" fontId="0" fillId="0" borderId="0" xfId="0" applyNumberFormat="1"/>
    <xf numFmtId="2" fontId="0" fillId="0" borderId="1" xfId="0" applyNumberFormat="1" applyBorder="1"/>
    <xf numFmtId="0" fontId="1" fillId="0" borderId="0" xfId="0" applyFont="1"/>
    <xf numFmtId="10" fontId="0" fillId="0" borderId="0" xfId="0" applyNumberFormat="1"/>
    <xf numFmtId="3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3" fontId="0" fillId="0" borderId="1" xfId="0" applyNumberFormat="1" applyBorder="1"/>
    <xf numFmtId="164" fontId="0" fillId="0" borderId="0" xfId="0" applyNumberFormat="1"/>
    <xf numFmtId="164" fontId="0" fillId="0" borderId="3" xfId="0" applyNumberFormat="1" applyBorder="1"/>
    <xf numFmtId="164" fontId="0" fillId="0" borderId="1" xfId="0" applyNumberFormat="1" applyBorder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0" xfId="1" applyAlignment="1"/>
    <xf numFmtId="0" fontId="2" fillId="0" borderId="1" xfId="1" applyBorder="1" applyAlignment="1"/>
    <xf numFmtId="3" fontId="0" fillId="0" borderId="3" xfId="0" applyNumberFormat="1" applyFill="1" applyBorder="1"/>
    <xf numFmtId="0" fontId="4" fillId="0" borderId="0" xfId="0" applyFont="1"/>
    <xf numFmtId="164" fontId="0" fillId="0" borderId="4" xfId="0" applyNumberFormat="1" applyBorder="1"/>
    <xf numFmtId="1" fontId="0" fillId="0" borderId="0" xfId="0" applyNumberFormat="1" applyFont="1" applyAlignment="1">
      <alignment horizontal="right"/>
    </xf>
    <xf numFmtId="0" fontId="0" fillId="0" borderId="0" xfId="0" applyFont="1"/>
    <xf numFmtId="0" fontId="5" fillId="0" borderId="0" xfId="0" applyFont="1"/>
    <xf numFmtId="166" fontId="0" fillId="0" borderId="0" xfId="0" applyNumberFormat="1" applyFont="1"/>
    <xf numFmtId="0" fontId="0" fillId="0" borderId="2" xfId="0" applyFont="1" applyBorder="1" applyAlignment="1">
      <alignment horizontal="center" vertical="top"/>
    </xf>
    <xf numFmtId="1" fontId="0" fillId="0" borderId="2" xfId="0" applyNumberFormat="1" applyFont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0" fillId="0" borderId="0" xfId="0" applyFont="1" applyBorder="1" applyAlignment="1">
      <alignment horizontal="left" vertical="top"/>
    </xf>
    <xf numFmtId="3" fontId="0" fillId="0" borderId="0" xfId="0" applyNumberFormat="1" applyFont="1" applyBorder="1" applyAlignment="1">
      <alignment horizontal="right" vertical="top"/>
    </xf>
    <xf numFmtId="1" fontId="0" fillId="0" borderId="0" xfId="0" applyNumberFormat="1" applyFont="1"/>
    <xf numFmtId="3" fontId="0" fillId="0" borderId="0" xfId="0" applyNumberFormat="1" applyFont="1"/>
    <xf numFmtId="3" fontId="0" fillId="0" borderId="0" xfId="0" applyNumberFormat="1" applyFont="1" applyAlignment="1">
      <alignment horizontal="right"/>
    </xf>
    <xf numFmtId="1" fontId="0" fillId="0" borderId="0" xfId="0" applyNumberFormat="1" applyFont="1" applyBorder="1"/>
    <xf numFmtId="3" fontId="0" fillId="0" borderId="3" xfId="0" applyNumberFormat="1" applyFont="1" applyBorder="1"/>
    <xf numFmtId="3" fontId="0" fillId="0" borderId="3" xfId="0" applyNumberFormat="1" applyFont="1" applyBorder="1" applyAlignment="1">
      <alignment horizontal="right"/>
    </xf>
    <xf numFmtId="1" fontId="0" fillId="0" borderId="0" xfId="0" applyNumberFormat="1" applyFont="1" applyFill="1" applyBorder="1"/>
    <xf numFmtId="3" fontId="0" fillId="0" borderId="4" xfId="0" applyNumberFormat="1" applyFont="1" applyFill="1" applyBorder="1"/>
    <xf numFmtId="3" fontId="0" fillId="0" borderId="4" xfId="0" applyNumberFormat="1" applyFont="1" applyFill="1" applyBorder="1" applyAlignment="1">
      <alignment horizontal="right"/>
    </xf>
    <xf numFmtId="0" fontId="0" fillId="0" borderId="0" xfId="0" applyFont="1" applyFill="1" applyBorder="1"/>
    <xf numFmtId="3" fontId="5" fillId="0" borderId="0" xfId="0" applyNumberFormat="1" applyFont="1" applyFill="1" applyBorder="1"/>
    <xf numFmtId="9" fontId="0" fillId="0" borderId="0" xfId="0" applyNumberFormat="1" applyFont="1"/>
    <xf numFmtId="164" fontId="0" fillId="0" borderId="0" xfId="0" applyNumberFormat="1" applyFont="1" applyBorder="1" applyAlignment="1">
      <alignment horizontal="right" vertical="top"/>
    </xf>
    <xf numFmtId="164" fontId="0" fillId="0" borderId="0" xfId="0" applyNumberFormat="1" applyFont="1" applyAlignment="1">
      <alignment horizontal="right"/>
    </xf>
    <xf numFmtId="9" fontId="0" fillId="0" borderId="0" xfId="0" applyNumberFormat="1" applyFont="1" applyBorder="1"/>
    <xf numFmtId="164" fontId="0" fillId="0" borderId="4" xfId="0" applyNumberFormat="1" applyFont="1" applyBorder="1" applyAlignment="1">
      <alignment horizontal="right"/>
    </xf>
    <xf numFmtId="0" fontId="6" fillId="0" borderId="0" xfId="0" applyFont="1"/>
    <xf numFmtId="0" fontId="7" fillId="0" borderId="0" xfId="0" applyFont="1"/>
    <xf numFmtId="0" fontId="6" fillId="0" borderId="2" xfId="0" applyFont="1" applyBorder="1" applyAlignment="1">
      <alignment horizontal="left"/>
    </xf>
    <xf numFmtId="1" fontId="6" fillId="0" borderId="2" xfId="0" applyNumberFormat="1" applyFont="1" applyBorder="1" applyAlignment="1">
      <alignment horizontal="right"/>
    </xf>
    <xf numFmtId="166" fontId="7" fillId="0" borderId="0" xfId="0" applyNumberFormat="1" applyFont="1" applyAlignment="1">
      <alignment horizontal="right"/>
    </xf>
    <xf numFmtId="3" fontId="0" fillId="0" borderId="1" xfId="0" applyNumberFormat="1" applyFont="1" applyBorder="1"/>
    <xf numFmtId="166" fontId="7" fillId="0" borderId="1" xfId="0" applyNumberFormat="1" applyFont="1" applyBorder="1" applyAlignment="1">
      <alignment horizontal="right"/>
    </xf>
    <xf numFmtId="1" fontId="7" fillId="0" borderId="0" xfId="0" applyNumberFormat="1" applyFont="1" applyAlignment="1">
      <alignment horizontal="right"/>
    </xf>
    <xf numFmtId="1" fontId="6" fillId="0" borderId="0" xfId="0" applyNumberFormat="1" applyFont="1" applyAlignment="1">
      <alignment horizontal="right"/>
    </xf>
    <xf numFmtId="167" fontId="0" fillId="0" borderId="0" xfId="0" applyNumberFormat="1" applyFont="1" applyAlignment="1">
      <alignment horizontal="right"/>
    </xf>
    <xf numFmtId="168" fontId="0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167" fontId="0" fillId="0" borderId="0" xfId="0" applyNumberFormat="1" applyFont="1"/>
    <xf numFmtId="21" fontId="0" fillId="0" borderId="0" xfId="0" applyNumberFormat="1"/>
    <xf numFmtId="11" fontId="0" fillId="0" borderId="0" xfId="0" applyNumberFormat="1"/>
    <xf numFmtId="167" fontId="0" fillId="3" borderId="0" xfId="0" applyNumberFormat="1" applyFont="1" applyFill="1"/>
    <xf numFmtId="0" fontId="0" fillId="4" borderId="0" xfId="0" applyFont="1" applyFill="1"/>
    <xf numFmtId="166" fontId="0" fillId="4" borderId="0" xfId="0" applyNumberFormat="1" applyFont="1" applyFill="1"/>
    <xf numFmtId="167" fontId="0" fillId="4" borderId="0" xfId="0" applyNumberFormat="1" applyFont="1" applyFill="1"/>
    <xf numFmtId="169" fontId="0" fillId="0" borderId="0" xfId="8" applyNumberFormat="1" applyFont="1"/>
    <xf numFmtId="169" fontId="0" fillId="0" borderId="1" xfId="8" applyNumberFormat="1" applyFont="1" applyBorder="1"/>
    <xf numFmtId="169" fontId="2" fillId="0" borderId="0" xfId="8" applyNumberFormat="1" applyFont="1" applyAlignment="1"/>
    <xf numFmtId="169" fontId="2" fillId="0" borderId="1" xfId="8" applyNumberFormat="1" applyFont="1" applyBorder="1" applyAlignment="1"/>
    <xf numFmtId="0" fontId="0" fillId="0" borderId="0" xfId="0" applyFont="1" applyAlignment="1">
      <alignment horizontal="left"/>
    </xf>
    <xf numFmtId="0" fontId="0" fillId="0" borderId="1" xfId="0" applyFont="1" applyBorder="1"/>
    <xf numFmtId="0" fontId="0" fillId="0" borderId="1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166" fontId="1" fillId="0" borderId="0" xfId="0" applyNumberFormat="1" applyFont="1" applyAlignment="1">
      <alignment horizontal="right"/>
    </xf>
    <xf numFmtId="167" fontId="1" fillId="0" borderId="0" xfId="0" applyNumberFormat="1" applyFont="1" applyAlignment="1">
      <alignment horizontal="right"/>
    </xf>
    <xf numFmtId="0" fontId="5" fillId="5" borderId="5" xfId="0" applyFont="1" applyFill="1" applyBorder="1"/>
    <xf numFmtId="0" fontId="7" fillId="5" borderId="6" xfId="0" applyFont="1" applyFill="1" applyBorder="1"/>
    <xf numFmtId="0" fontId="7" fillId="5" borderId="7" xfId="0" applyFont="1" applyFill="1" applyBorder="1"/>
    <xf numFmtId="0" fontId="7" fillId="5" borderId="8" xfId="0" applyFont="1" applyFill="1" applyBorder="1"/>
    <xf numFmtId="0" fontId="7" fillId="5" borderId="0" xfId="0" applyFont="1" applyFill="1" applyBorder="1"/>
    <xf numFmtId="0" fontId="7" fillId="5" borderId="9" xfId="0" applyFont="1" applyFill="1" applyBorder="1"/>
    <xf numFmtId="0" fontId="7" fillId="5" borderId="10" xfId="0" applyFont="1" applyFill="1" applyBorder="1"/>
    <xf numFmtId="0" fontId="7" fillId="5" borderId="3" xfId="0" applyFont="1" applyFill="1" applyBorder="1"/>
    <xf numFmtId="0" fontId="7" fillId="5" borderId="11" xfId="0" applyFont="1" applyFill="1" applyBorder="1"/>
    <xf numFmtId="0" fontId="8" fillId="0" borderId="0" xfId="0" applyFont="1"/>
    <xf numFmtId="0" fontId="0" fillId="0" borderId="12" xfId="0" applyFont="1" applyBorder="1" applyAlignment="1">
      <alignment horizontal="left"/>
    </xf>
    <xf numFmtId="1" fontId="0" fillId="0" borderId="0" xfId="0" applyNumberFormat="1" applyFont="1" applyBorder="1" applyAlignment="1">
      <alignment horizontal="center" vertical="top"/>
    </xf>
    <xf numFmtId="3" fontId="0" fillId="0" borderId="0" xfId="0" applyNumberFormat="1" applyFont="1" applyBorder="1" applyAlignment="1">
      <alignment horizontal="right"/>
    </xf>
    <xf numFmtId="3" fontId="0" fillId="0" borderId="0" xfId="0" applyNumberFormat="1" applyFont="1" applyFill="1" applyBorder="1" applyAlignment="1">
      <alignment horizontal="right"/>
    </xf>
    <xf numFmtId="164" fontId="0" fillId="0" borderId="0" xfId="0" applyNumberFormat="1" applyFont="1" applyBorder="1" applyAlignment="1">
      <alignment horizontal="right"/>
    </xf>
    <xf numFmtId="1" fontId="0" fillId="0" borderId="1" xfId="0" applyNumberFormat="1" applyFont="1" applyBorder="1" applyAlignment="1">
      <alignment horizontal="right"/>
    </xf>
    <xf numFmtId="2" fontId="0" fillId="0" borderId="0" xfId="0" applyNumberFormat="1" applyFont="1" applyBorder="1" applyAlignment="1">
      <alignment horizontal="right" vertical="top"/>
    </xf>
    <xf numFmtId="170" fontId="0" fillId="0" borderId="0" xfId="0" applyNumberFormat="1" applyFont="1" applyBorder="1" applyAlignment="1">
      <alignment horizontal="right" vertical="top"/>
    </xf>
    <xf numFmtId="2" fontId="0" fillId="0" borderId="1" xfId="0" applyNumberFormat="1" applyFont="1" applyBorder="1" applyAlignment="1">
      <alignment horizontal="right" vertical="top"/>
    </xf>
    <xf numFmtId="170" fontId="0" fillId="0" borderId="1" xfId="0" applyNumberFormat="1" applyFont="1" applyBorder="1" applyAlignment="1">
      <alignment horizontal="right" vertical="top"/>
    </xf>
    <xf numFmtId="2" fontId="0" fillId="0" borderId="0" xfId="0" applyNumberFormat="1" applyFont="1" applyBorder="1" applyAlignment="1">
      <alignment horizontal="right"/>
    </xf>
    <xf numFmtId="171" fontId="0" fillId="0" borderId="0" xfId="0" applyNumberFormat="1" applyFont="1" applyAlignment="1">
      <alignment horizontal="right"/>
    </xf>
    <xf numFmtId="166" fontId="7" fillId="0" borderId="6" xfId="0" applyNumberFormat="1" applyFont="1" applyBorder="1" applyAlignment="1">
      <alignment horizontal="right"/>
    </xf>
    <xf numFmtId="166" fontId="7" fillId="0" borderId="0" xfId="0" applyNumberFormat="1" applyFont="1" applyBorder="1" applyAlignment="1">
      <alignment horizontal="right"/>
    </xf>
    <xf numFmtId="1" fontId="5" fillId="0" borderId="1" xfId="0" applyNumberFormat="1" applyFont="1" applyBorder="1" applyAlignment="1">
      <alignment horizontal="left"/>
    </xf>
    <xf numFmtId="172" fontId="0" fillId="7" borderId="0" xfId="0" applyNumberFormat="1" applyFont="1" applyFill="1" applyBorder="1" applyAlignment="1">
      <alignment horizontal="right"/>
    </xf>
    <xf numFmtId="173" fontId="7" fillId="6" borderId="0" xfId="0" applyNumberFormat="1" applyFont="1" applyFill="1" applyAlignment="1">
      <alignment horizontal="right"/>
    </xf>
    <xf numFmtId="173" fontId="7" fillId="6" borderId="1" xfId="0" applyNumberFormat="1" applyFont="1" applyFill="1" applyBorder="1" applyAlignment="1">
      <alignment horizontal="right"/>
    </xf>
    <xf numFmtId="174" fontId="0" fillId="0" borderId="0" xfId="0" applyNumberFormat="1" applyFont="1" applyBorder="1" applyAlignment="1">
      <alignment horizontal="right" vertical="top"/>
    </xf>
    <xf numFmtId="174" fontId="0" fillId="0" borderId="0" xfId="0" applyNumberFormat="1" applyFont="1" applyAlignment="1">
      <alignment horizontal="right"/>
    </xf>
    <xf numFmtId="170" fontId="0" fillId="0" borderId="6" xfId="0" applyNumberFormat="1" applyFont="1" applyBorder="1" applyAlignment="1">
      <alignment horizontal="right" vertical="top"/>
    </xf>
    <xf numFmtId="1" fontId="0" fillId="0" borderId="0" xfId="0" applyNumberFormat="1" applyFont="1" applyAlignment="1">
      <alignment horizontal="left"/>
    </xf>
    <xf numFmtId="0" fontId="6" fillId="8" borderId="2" xfId="0" applyFont="1" applyFill="1" applyBorder="1" applyAlignment="1">
      <alignment horizontal="left"/>
    </xf>
    <xf numFmtId="0" fontId="0" fillId="8" borderId="0" xfId="0" applyFont="1" applyFill="1"/>
    <xf numFmtId="0" fontId="1" fillId="8" borderId="2" xfId="0" applyFont="1" applyFill="1" applyBorder="1" applyAlignment="1">
      <alignment horizontal="left"/>
    </xf>
    <xf numFmtId="166" fontId="6" fillId="8" borderId="2" xfId="0" applyNumberFormat="1" applyFont="1" applyFill="1" applyBorder="1" applyAlignment="1">
      <alignment horizontal="right"/>
    </xf>
    <xf numFmtId="0" fontId="0" fillId="8" borderId="0" xfId="0" applyFont="1" applyFill="1" applyAlignment="1">
      <alignment horizontal="left"/>
    </xf>
    <xf numFmtId="0" fontId="0" fillId="8" borderId="0" xfId="0" applyFont="1" applyFill="1" applyBorder="1" applyAlignment="1">
      <alignment horizontal="left" vertical="top"/>
    </xf>
    <xf numFmtId="167" fontId="7" fillId="8" borderId="0" xfId="0" applyNumberFormat="1" applyFont="1" applyFill="1" applyAlignment="1">
      <alignment horizontal="right"/>
    </xf>
    <xf numFmtId="3" fontId="0" fillId="8" borderId="0" xfId="0" applyNumberFormat="1" applyFont="1" applyFill="1"/>
    <xf numFmtId="3" fontId="0" fillId="8" borderId="1" xfId="0" applyNumberFormat="1" applyFont="1" applyFill="1" applyBorder="1"/>
    <xf numFmtId="167" fontId="7" fillId="8" borderId="1" xfId="0" applyNumberFormat="1" applyFont="1" applyFill="1" applyBorder="1" applyAlignment="1">
      <alignment horizontal="right"/>
    </xf>
    <xf numFmtId="166" fontId="7" fillId="8" borderId="0" xfId="0" applyNumberFormat="1" applyFont="1" applyFill="1" applyAlignment="1">
      <alignment horizontal="right"/>
    </xf>
    <xf numFmtId="166" fontId="6" fillId="8" borderId="2" xfId="0" applyNumberFormat="1" applyFont="1" applyFill="1" applyBorder="1" applyAlignment="1">
      <alignment horizontal="left"/>
    </xf>
    <xf numFmtId="0" fontId="0" fillId="8" borderId="1" xfId="0" applyFont="1" applyFill="1" applyBorder="1" applyAlignment="1">
      <alignment horizontal="left"/>
    </xf>
    <xf numFmtId="0" fontId="0" fillId="8" borderId="1" xfId="0" applyFont="1" applyFill="1" applyBorder="1"/>
  </cellXfs>
  <cellStyles count="9">
    <cellStyle name="Comma" xfId="8" builtinId="3"/>
    <cellStyle name="Normal" xfId="0" builtinId="0"/>
    <cellStyle name="XLConnect.Boolean" xfId="6" xr:uid="{00000000-0005-0000-0000-000002000000}"/>
    <cellStyle name="XLConnect.Date" xfId="3" xr:uid="{00000000-0005-0000-0000-000003000000}"/>
    <cellStyle name="XLConnect.DateTime" xfId="7" xr:uid="{00000000-0005-0000-0000-000004000000}"/>
    <cellStyle name="XLConnect.General" xfId="1" xr:uid="{00000000-0005-0000-0000-000005000000}"/>
    <cellStyle name="XLConnect.Header" xfId="2" xr:uid="{00000000-0005-0000-0000-000006000000}"/>
    <cellStyle name="XLConnect.Numeric" xfId="5" xr:uid="{00000000-0005-0000-0000-000007000000}"/>
    <cellStyle name="XLConnect.String" xfId="4" xr:uid="{00000000-0005-0000-0000-000008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4.8818074454357388E-2</c:v>
                </c:pt>
                <c:pt idx="1">
                  <c:v>8.3848995142321969E-2</c:v>
                </c:pt>
                <c:pt idx="2">
                  <c:v>9.7057898321178407E-2</c:v>
                </c:pt>
                <c:pt idx="3">
                  <c:v>0.10616704821274628</c:v>
                </c:pt>
                <c:pt idx="4">
                  <c:v>0.16554865683076439</c:v>
                </c:pt>
                <c:pt idx="5">
                  <c:v>0.10163203446166852</c:v>
                </c:pt>
                <c:pt idx="6">
                  <c:v>0.10951698186318666</c:v>
                </c:pt>
                <c:pt idx="7">
                  <c:v>3.6874162435352367E-2</c:v>
                </c:pt>
                <c:pt idx="8">
                  <c:v>3.696837443250163E-2</c:v>
                </c:pt>
                <c:pt idx="9">
                  <c:v>2.3831116420193196E-2</c:v>
                </c:pt>
                <c:pt idx="10">
                  <c:v>4.6352666898312481E-2</c:v>
                </c:pt>
                <c:pt idx="11">
                  <c:v>1.0323501198655277E-2</c:v>
                </c:pt>
                <c:pt idx="12">
                  <c:v>2.568155067865455E-2</c:v>
                </c:pt>
                <c:pt idx="13">
                  <c:v>7.6967785414554868E-3</c:v>
                </c:pt>
                <c:pt idx="14">
                  <c:v>9.6314207374361242E-3</c:v>
                </c:pt>
                <c:pt idx="15">
                  <c:v>1.7269513516143361E-2</c:v>
                </c:pt>
                <c:pt idx="16">
                  <c:v>1.7227883609637583E-2</c:v>
                </c:pt>
                <c:pt idx="17">
                  <c:v>6.6705048377066738E-3</c:v>
                </c:pt>
                <c:pt idx="18">
                  <c:v>7.7951893685674224E-3</c:v>
                </c:pt>
                <c:pt idx="19">
                  <c:v>2.6111719713878072E-3</c:v>
                </c:pt>
                <c:pt idx="20">
                  <c:v>3.382268932789072E-3</c:v>
                </c:pt>
                <c:pt idx="21">
                  <c:v>8.3667559988107498E-4</c:v>
                </c:pt>
                <c:pt idx="22">
                  <c:v>2.3258958947075204E-3</c:v>
                </c:pt>
                <c:pt idx="23">
                  <c:v>1.8336588730983434E-3</c:v>
                </c:pt>
                <c:pt idx="24">
                  <c:v>9.9662209547153723E-3</c:v>
                </c:pt>
                <c:pt idx="25">
                  <c:v>1.4261384807941428E-3</c:v>
                </c:pt>
                <c:pt idx="26">
                  <c:v>7.1428636897960507E-4</c:v>
                </c:pt>
                <c:pt idx="27">
                  <c:v>1.922523231474599E-3</c:v>
                </c:pt>
                <c:pt idx="28">
                  <c:v>5.8871157873377565E-4</c:v>
                </c:pt>
                <c:pt idx="29">
                  <c:v>5.0779101559939466E-4</c:v>
                </c:pt>
                <c:pt idx="30">
                  <c:v>0</c:v>
                </c:pt>
                <c:pt idx="31">
                  <c:v>1.385990710037891E-3</c:v>
                </c:pt>
                <c:pt idx="32">
                  <c:v>0</c:v>
                </c:pt>
                <c:pt idx="33">
                  <c:v>7.1105884457272792E-4</c:v>
                </c:pt>
                <c:pt idx="34">
                  <c:v>8.6317566176296939E-4</c:v>
                </c:pt>
                <c:pt idx="35">
                  <c:v>2.9685482531318323E-4</c:v>
                </c:pt>
                <c:pt idx="36">
                  <c:v>6.707155175665416E-4</c:v>
                </c:pt>
                <c:pt idx="37">
                  <c:v>5.8797229476594025E-4</c:v>
                </c:pt>
                <c:pt idx="38">
                  <c:v>5.7833439383262754E-4</c:v>
                </c:pt>
                <c:pt idx="39">
                  <c:v>3.1518779807405723E-4</c:v>
                </c:pt>
                <c:pt idx="40">
                  <c:v>0</c:v>
                </c:pt>
                <c:pt idx="41">
                  <c:v>5.5040266731399808E-4</c:v>
                </c:pt>
                <c:pt idx="42">
                  <c:v>1.2315944742915516E-4</c:v>
                </c:pt>
                <c:pt idx="43">
                  <c:v>1.5737301033587209E-3</c:v>
                </c:pt>
                <c:pt idx="44">
                  <c:v>6.0876547574243345E-4</c:v>
                </c:pt>
                <c:pt idx="45">
                  <c:v>5.6948020563904347E-4</c:v>
                </c:pt>
                <c:pt idx="46">
                  <c:v>0</c:v>
                </c:pt>
                <c:pt idx="47">
                  <c:v>3.735161245056385E-4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1.6690889929188183E-4</c:v>
                </c:pt>
                <c:pt idx="53">
                  <c:v>3.6097587075762241E-5</c:v>
                </c:pt>
                <c:pt idx="54">
                  <c:v>6.1557686212604184E-4</c:v>
                </c:pt>
                <c:pt idx="55">
                  <c:v>0</c:v>
                </c:pt>
                <c:pt idx="56">
                  <c:v>0</c:v>
                </c:pt>
                <c:pt idx="57">
                  <c:v>4.998457674275878E-4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0.11259430223461904</c:v>
                </c:pt>
                <c:pt idx="1">
                  <c:v>0.11577688136569732</c:v>
                </c:pt>
                <c:pt idx="2">
                  <c:v>6.8067518976882749E-2</c:v>
                </c:pt>
                <c:pt idx="3">
                  <c:v>4.0684401136068624E-2</c:v>
                </c:pt>
                <c:pt idx="4">
                  <c:v>0.1871235780814309</c:v>
                </c:pt>
                <c:pt idx="5">
                  <c:v>0.10353559529323283</c:v>
                </c:pt>
                <c:pt idx="6">
                  <c:v>8.7510576253819736E-2</c:v>
                </c:pt>
                <c:pt idx="7">
                  <c:v>6.4361409891179944E-2</c:v>
                </c:pt>
                <c:pt idx="8">
                  <c:v>5.8599130440032531E-2</c:v>
                </c:pt>
                <c:pt idx="9">
                  <c:v>3.0581221748141554E-2</c:v>
                </c:pt>
                <c:pt idx="10">
                  <c:v>2.0727301267770479E-2</c:v>
                </c:pt>
                <c:pt idx="11">
                  <c:v>2.39314425880837E-2</c:v>
                </c:pt>
                <c:pt idx="12">
                  <c:v>1.2889014237082308E-2</c:v>
                </c:pt>
                <c:pt idx="13">
                  <c:v>1.6940118350544271E-2</c:v>
                </c:pt>
                <c:pt idx="14">
                  <c:v>9.5425624678184325E-3</c:v>
                </c:pt>
                <c:pt idx="15">
                  <c:v>1.3488443097813854E-2</c:v>
                </c:pt>
                <c:pt idx="16">
                  <c:v>8.3807917118394522E-3</c:v>
                </c:pt>
                <c:pt idx="17">
                  <c:v>6.7920896090085106E-3</c:v>
                </c:pt>
                <c:pt idx="18">
                  <c:v>4.5487594410045561E-3</c:v>
                </c:pt>
                <c:pt idx="19">
                  <c:v>2.8919208201911789E-3</c:v>
                </c:pt>
                <c:pt idx="20">
                  <c:v>2.761685197212095E-3</c:v>
                </c:pt>
                <c:pt idx="21">
                  <c:v>1.6930630987280896E-3</c:v>
                </c:pt>
                <c:pt idx="22">
                  <c:v>1.3066686676378276E-3</c:v>
                </c:pt>
                <c:pt idx="23">
                  <c:v>1.092771750427147E-3</c:v>
                </c:pt>
                <c:pt idx="24">
                  <c:v>1.0116979189037439E-3</c:v>
                </c:pt>
                <c:pt idx="25">
                  <c:v>8.0470090224824637E-4</c:v>
                </c:pt>
                <c:pt idx="26">
                  <c:v>9.6512359015625689E-4</c:v>
                </c:pt>
                <c:pt idx="27">
                  <c:v>3.0790806227505249E-4</c:v>
                </c:pt>
                <c:pt idx="28">
                  <c:v>1.9492219068392678E-4</c:v>
                </c:pt>
                <c:pt idx="29">
                  <c:v>2.1562189234947653E-4</c:v>
                </c:pt>
                <c:pt idx="30">
                  <c:v>2.1389691721068071E-4</c:v>
                </c:pt>
                <c:pt idx="31">
                  <c:v>1.1902328457691103E-4</c:v>
                </c:pt>
                <c:pt idx="32">
                  <c:v>8.9698707217382225E-5</c:v>
                </c:pt>
                <c:pt idx="33">
                  <c:v>4.8299303886282741E-5</c:v>
                </c:pt>
                <c:pt idx="34">
                  <c:v>6.9861493121230387E-5</c:v>
                </c:pt>
                <c:pt idx="35">
                  <c:v>1.3799801110366496E-5</c:v>
                </c:pt>
                <c:pt idx="36">
                  <c:v>4.2261890900497398E-5</c:v>
                </c:pt>
                <c:pt idx="37">
                  <c:v>2.3287164373743464E-5</c:v>
                </c:pt>
                <c:pt idx="38">
                  <c:v>2.0699701665549745E-5</c:v>
                </c:pt>
                <c:pt idx="39">
                  <c:v>1.0349850832774873E-5</c:v>
                </c:pt>
                <c:pt idx="40">
                  <c:v>9.4873632633769672E-6</c:v>
                </c:pt>
                <c:pt idx="41">
                  <c:v>6.0374129857853427E-6</c:v>
                </c:pt>
                <c:pt idx="42">
                  <c:v>5.1749254163874363E-6</c:v>
                </c:pt>
                <c:pt idx="43">
                  <c:v>2.5874627081937182E-6</c:v>
                </c:pt>
                <c:pt idx="44">
                  <c:v>1.724975138795812E-6</c:v>
                </c:pt>
                <c:pt idx="45">
                  <c:v>8.6248756939790602E-7</c:v>
                </c:pt>
                <c:pt idx="46">
                  <c:v>0</c:v>
                </c:pt>
                <c:pt idx="47">
                  <c:v>1.724975138795812E-6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587096"/>
        <c:axId val="119587488"/>
      </c:lineChart>
      <c:catAx>
        <c:axId val="1195870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19587488"/>
        <c:crosses val="autoZero"/>
        <c:auto val="1"/>
        <c:lblAlgn val="ctr"/>
        <c:lblOffset val="100"/>
        <c:tickLblSkip val="10"/>
        <c:noMultiLvlLbl val="0"/>
      </c:catAx>
      <c:valAx>
        <c:axId val="119587488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lang="en-US" baseline="0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19587096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2.9961232513779769E-3</c:v>
                </c:pt>
                <c:pt idx="1">
                  <c:v>8.2927543931059864E-3</c:v>
                </c:pt>
                <c:pt idx="2">
                  <c:v>5.975816646506333E-3</c:v>
                </c:pt>
                <c:pt idx="3">
                  <c:v>1.2364240496473356E-2</c:v>
                </c:pt>
                <c:pt idx="4">
                  <c:v>1.4504850883308631E-2</c:v>
                </c:pt>
                <c:pt idx="5">
                  <c:v>2.5156091906956494E-2</c:v>
                </c:pt>
                <c:pt idx="6">
                  <c:v>1.9102068402966136E-2</c:v>
                </c:pt>
                <c:pt idx="7">
                  <c:v>2.7819774369464791E-2</c:v>
                </c:pt>
                <c:pt idx="8">
                  <c:v>2.3463059777122732E-2</c:v>
                </c:pt>
                <c:pt idx="9">
                  <c:v>2.6061735885817332E-2</c:v>
                </c:pt>
                <c:pt idx="10">
                  <c:v>8.6687109464434267E-3</c:v>
                </c:pt>
                <c:pt idx="11">
                  <c:v>1.5080988081552185E-2</c:v>
                </c:pt>
                <c:pt idx="12">
                  <c:v>3.3166763836908787E-2</c:v>
                </c:pt>
                <c:pt idx="13">
                  <c:v>2.8177832678650858E-2</c:v>
                </c:pt>
                <c:pt idx="14">
                  <c:v>2.1926429811253794E-2</c:v>
                </c:pt>
                <c:pt idx="15">
                  <c:v>1.2870366957390682E-2</c:v>
                </c:pt>
                <c:pt idx="16">
                  <c:v>4.3994740688153754E-2</c:v>
                </c:pt>
                <c:pt idx="17">
                  <c:v>2.2432393072650891E-2</c:v>
                </c:pt>
                <c:pt idx="18">
                  <c:v>6.8696042936116447E-2</c:v>
                </c:pt>
                <c:pt idx="19">
                  <c:v>5.5976918904681594E-2</c:v>
                </c:pt>
                <c:pt idx="20">
                  <c:v>7.0016108504099742E-2</c:v>
                </c:pt>
                <c:pt idx="21">
                  <c:v>4.6441807083525105E-2</c:v>
                </c:pt>
                <c:pt idx="22">
                  <c:v>4.6655486015887551E-2</c:v>
                </c:pt>
                <c:pt idx="23">
                  <c:v>2.630149954648096E-2</c:v>
                </c:pt>
                <c:pt idx="24">
                  <c:v>2.6682578490607751E-2</c:v>
                </c:pt>
                <c:pt idx="25">
                  <c:v>1.7535272530734832E-2</c:v>
                </c:pt>
                <c:pt idx="26">
                  <c:v>4.815391725630442E-2</c:v>
                </c:pt>
                <c:pt idx="27">
                  <c:v>6.2600645624602044E-3</c:v>
                </c:pt>
                <c:pt idx="28">
                  <c:v>1.923914294738999E-2</c:v>
                </c:pt>
                <c:pt idx="29">
                  <c:v>2.4980163742044682E-2</c:v>
                </c:pt>
                <c:pt idx="30">
                  <c:v>7.7427933458485577E-3</c:v>
                </c:pt>
                <c:pt idx="31">
                  <c:v>1.7231835979233143E-2</c:v>
                </c:pt>
                <c:pt idx="32">
                  <c:v>6.6922628250131238E-3</c:v>
                </c:pt>
                <c:pt idx="33">
                  <c:v>4.5330665438234287E-3</c:v>
                </c:pt>
                <c:pt idx="34">
                  <c:v>1.6638244774642E-2</c:v>
                </c:pt>
                <c:pt idx="35">
                  <c:v>1.0940410963533837E-2</c:v>
                </c:pt>
                <c:pt idx="36">
                  <c:v>3.8475040726051522E-3</c:v>
                </c:pt>
                <c:pt idx="37">
                  <c:v>7.1057934280939327E-3</c:v>
                </c:pt>
                <c:pt idx="38">
                  <c:v>1.1911835913533309E-2</c:v>
                </c:pt>
                <c:pt idx="39">
                  <c:v>3.7789638631240052E-3</c:v>
                </c:pt>
                <c:pt idx="40">
                  <c:v>3.8725406392117814E-3</c:v>
                </c:pt>
                <c:pt idx="41">
                  <c:v>6.5322653162629835E-3</c:v>
                </c:pt>
                <c:pt idx="42">
                  <c:v>5.8880133361360991E-3</c:v>
                </c:pt>
                <c:pt idx="43">
                  <c:v>2.219623598437265E-3</c:v>
                </c:pt>
                <c:pt idx="44">
                  <c:v>4.6482446762276909E-4</c:v>
                </c:pt>
                <c:pt idx="45">
                  <c:v>4.4258216957131745E-2</c:v>
                </c:pt>
                <c:pt idx="46">
                  <c:v>1.5806632063179948E-3</c:v>
                </c:pt>
                <c:pt idx="47">
                  <c:v>2.5148314300353775E-3</c:v>
                </c:pt>
                <c:pt idx="48">
                  <c:v>2.7211095283974848E-3</c:v>
                </c:pt>
                <c:pt idx="49">
                  <c:v>0</c:v>
                </c:pt>
                <c:pt idx="50">
                  <c:v>5.4177574605005321E-4</c:v>
                </c:pt>
                <c:pt idx="51">
                  <c:v>3.1168763607490923E-3</c:v>
                </c:pt>
                <c:pt idx="52">
                  <c:v>3.4257071861829805E-3</c:v>
                </c:pt>
                <c:pt idx="53">
                  <c:v>9.3545234893149679E-4</c:v>
                </c:pt>
                <c:pt idx="54">
                  <c:v>4.6354882395732125E-4</c:v>
                </c:pt>
                <c:pt idx="55">
                  <c:v>0</c:v>
                </c:pt>
                <c:pt idx="56">
                  <c:v>5.5040266731399786E-4</c:v>
                </c:pt>
                <c:pt idx="57">
                  <c:v>1.2618076877617083E-3</c:v>
                </c:pt>
                <c:pt idx="58">
                  <c:v>2.6695737548682724E-4</c:v>
                </c:pt>
                <c:pt idx="59">
                  <c:v>6.8695821229493553E-4</c:v>
                </c:pt>
                <c:pt idx="60">
                  <c:v>1.1721858454596247E-3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1.6570111183272573E-2</c:v>
                </c:pt>
                <c:pt idx="1">
                  <c:v>2.1115420673999536E-2</c:v>
                </c:pt>
                <c:pt idx="2">
                  <c:v>2.7515078438932E-2</c:v>
                </c:pt>
                <c:pt idx="3">
                  <c:v>3.0633833489874827E-2</c:v>
                </c:pt>
                <c:pt idx="4">
                  <c:v>3.1238437276022761E-2</c:v>
                </c:pt>
                <c:pt idx="5">
                  <c:v>3.1113376578460063E-2</c:v>
                </c:pt>
                <c:pt idx="6">
                  <c:v>2.9823095174640796E-2</c:v>
                </c:pt>
                <c:pt idx="7">
                  <c:v>2.8563863323319852E-2</c:v>
                </c:pt>
                <c:pt idx="8">
                  <c:v>2.6248946687055873E-2</c:v>
                </c:pt>
                <c:pt idx="9">
                  <c:v>2.3532973331021868E-2</c:v>
                </c:pt>
                <c:pt idx="10">
                  <c:v>2.0930848334148384E-2</c:v>
                </c:pt>
                <c:pt idx="11">
                  <c:v>1.8212287515406184E-2</c:v>
                </c:pt>
                <c:pt idx="12">
                  <c:v>1.5632587195337048E-2</c:v>
                </c:pt>
                <c:pt idx="13">
                  <c:v>1.3138273144638304E-2</c:v>
                </c:pt>
                <c:pt idx="14">
                  <c:v>1.1476259598408537E-2</c:v>
                </c:pt>
                <c:pt idx="15">
                  <c:v>1.11623141231477E-2</c:v>
                </c:pt>
                <c:pt idx="16">
                  <c:v>1.1581483081875083E-2</c:v>
                </c:pt>
                <c:pt idx="17">
                  <c:v>1.0252389737432909E-2</c:v>
                </c:pt>
                <c:pt idx="18">
                  <c:v>0.12519697059866125</c:v>
                </c:pt>
                <c:pt idx="19">
                  <c:v>4.6948648352605621E-2</c:v>
                </c:pt>
                <c:pt idx="20">
                  <c:v>4.78206232852669E-2</c:v>
                </c:pt>
                <c:pt idx="21">
                  <c:v>5.0986815152526614E-2</c:v>
                </c:pt>
                <c:pt idx="22">
                  <c:v>4.7275531141407423E-2</c:v>
                </c:pt>
                <c:pt idx="23">
                  <c:v>3.5217954921224696E-2</c:v>
                </c:pt>
                <c:pt idx="24">
                  <c:v>3.3467105155346948E-2</c:v>
                </c:pt>
                <c:pt idx="25">
                  <c:v>3.4478803074250691E-2</c:v>
                </c:pt>
                <c:pt idx="26">
                  <c:v>2.6256709075180455E-2</c:v>
                </c:pt>
                <c:pt idx="27">
                  <c:v>2.1356917193430951E-2</c:v>
                </c:pt>
                <c:pt idx="28">
                  <c:v>1.8228674779224744E-2</c:v>
                </c:pt>
                <c:pt idx="29">
                  <c:v>1.7989765722501525E-2</c:v>
                </c:pt>
                <c:pt idx="30">
                  <c:v>2.2084856702002782E-2</c:v>
                </c:pt>
                <c:pt idx="31">
                  <c:v>1.4219832556663278E-2</c:v>
                </c:pt>
                <c:pt idx="32">
                  <c:v>1.1609945171665213E-2</c:v>
                </c:pt>
                <c:pt idx="33">
                  <c:v>1.3631616034333905E-2</c:v>
                </c:pt>
                <c:pt idx="34">
                  <c:v>7.7710130002751334E-3</c:v>
                </c:pt>
                <c:pt idx="35">
                  <c:v>6.4997063229826199E-3</c:v>
                </c:pt>
                <c:pt idx="36">
                  <c:v>5.8821652232937194E-3</c:v>
                </c:pt>
                <c:pt idx="37">
                  <c:v>5.492320841925866E-3</c:v>
                </c:pt>
                <c:pt idx="38">
                  <c:v>6.3142714955620703E-3</c:v>
                </c:pt>
                <c:pt idx="39">
                  <c:v>3.4128633121075142E-3</c:v>
                </c:pt>
                <c:pt idx="40">
                  <c:v>3.0290563437254461E-3</c:v>
                </c:pt>
                <c:pt idx="41">
                  <c:v>2.7953222124186133E-3</c:v>
                </c:pt>
                <c:pt idx="42">
                  <c:v>2.2079681776586394E-3</c:v>
                </c:pt>
                <c:pt idx="43">
                  <c:v>1.6188891677598697E-3</c:v>
                </c:pt>
                <c:pt idx="44">
                  <c:v>2.2234929539078018E-3</c:v>
                </c:pt>
                <c:pt idx="45">
                  <c:v>1.0582722476512308E-3</c:v>
                </c:pt>
                <c:pt idx="46">
                  <c:v>1.1151964272314925E-3</c:v>
                </c:pt>
                <c:pt idx="47">
                  <c:v>1.1005341385517281E-3</c:v>
                </c:pt>
                <c:pt idx="48">
                  <c:v>7.960760265542673E-4</c:v>
                </c:pt>
                <c:pt idx="49">
                  <c:v>5.8476657205178031E-4</c:v>
                </c:pt>
                <c:pt idx="50">
                  <c:v>4.4935602365630905E-4</c:v>
                </c:pt>
                <c:pt idx="51">
                  <c:v>2.8203343519311527E-4</c:v>
                </c:pt>
                <c:pt idx="52">
                  <c:v>3.3464517692638755E-4</c:v>
                </c:pt>
                <c:pt idx="53">
                  <c:v>1.7853492686536654E-4</c:v>
                </c:pt>
                <c:pt idx="54">
                  <c:v>2.0440955394730373E-4</c:v>
                </c:pt>
                <c:pt idx="55">
                  <c:v>1.9923462853091629E-4</c:v>
                </c:pt>
                <c:pt idx="56">
                  <c:v>2.2855920589044511E-4</c:v>
                </c:pt>
                <c:pt idx="57">
                  <c:v>1.1298587159112569E-4</c:v>
                </c:pt>
                <c:pt idx="58">
                  <c:v>7.5898906107015737E-5</c:v>
                </c:pt>
                <c:pt idx="59">
                  <c:v>9.0561194786780132E-5</c:v>
                </c:pt>
                <c:pt idx="60">
                  <c:v>6.899900555183248E-5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588272"/>
        <c:axId val="119589056"/>
      </c:lineChart>
      <c:catAx>
        <c:axId val="1195882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19589056"/>
        <c:crosses val="autoZero"/>
        <c:auto val="1"/>
        <c:lblAlgn val="ctr"/>
        <c:lblOffset val="100"/>
        <c:tickLblSkip val="10"/>
        <c:noMultiLvlLbl val="0"/>
      </c:catAx>
      <c:valAx>
        <c:axId val="11958905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195882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drawings/_rels/drawing1.xml.rels><?xml version="1.0" encoding="UTF-8" standalone="no"?><Relationships xmlns="http://schemas.openxmlformats.org/package/2006/relationships"><Relationship Id="rId1" Target="../charts/chart1.xml" Type="http://schemas.openxmlformats.org/officeDocument/2006/relationships/chart"/></Relationships>
</file>

<file path=xl/drawings/_rels/drawing2.xml.rels><?xml version="1.0" encoding="UTF-8" standalone="no"?><Relationships xmlns="http://schemas.openxmlformats.org/package/2006/relationships"><Relationship Id="rId1" Target="../charts/chart2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2.xml.rels><?xml version="1.0" encoding="UTF-8" standalone="no"?><Relationships xmlns="http://schemas.openxmlformats.org/package/2006/relationships"><Relationship Id="rId1" Target="../drawings/drawing2.xml" Type="http://schemas.openxmlformats.org/officeDocument/2006/relationships/drawing"/></Relationships>
</file>

<file path=xl/worksheets/_rels/sheet3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/Relationships>
</file>

<file path=xl/worksheets/_rels/sheet7.xml.rels><?xml version="1.0" encoding="UTF-8" standalone="no"?><Relationships xmlns="http://schemas.openxmlformats.org/package/2006/relationships"><Relationship Id="rId1" Target="../printerSettings/printerSettings5.bin" Type="http://schemas.openxmlformats.org/officeDocument/2006/relationships/printerSetting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02"/>
  <sheetViews>
    <sheetView workbookViewId="0">
      <selection activeCell="L11" sqref="L11"/>
    </sheetView>
  </sheetViews>
  <sheetFormatPr defaultRowHeight="14.25" x14ac:dyDescent="0.45"/>
  <cols>
    <col min="1" max="1" customWidth="true" width="13.59765625" collapsed="true"/>
    <col min="2" max="2" bestFit="true" customWidth="true" width="11.59765625" collapsed="true"/>
    <col min="6" max="6" bestFit="true" customWidth="true" width="11.59765625" collapsed="true"/>
  </cols>
  <sheetData>
    <row r="1" spans="1:12" x14ac:dyDescent="0.45">
      <c r="A1" t="s">
        <v>1</v>
      </c>
    </row>
    <row r="2" spans="1:12" x14ac:dyDescent="0.45">
      <c r="A2" t="s">
        <v>243</v>
      </c>
    </row>
    <row r="3" spans="1:12" x14ac:dyDescent="0.45">
      <c r="A3" t="s">
        <v>244</v>
      </c>
    </row>
    <row r="4" spans="1:12" x14ac:dyDescent="0.45">
      <c r="A4" t="s">
        <v>5</v>
      </c>
    </row>
    <row r="5" spans="1:12" x14ac:dyDescent="0.45">
      <c r="A5" t="s">
        <v>6</v>
      </c>
    </row>
    <row r="7" spans="1:12" x14ac:dyDescent="0.45">
      <c r="A7" t="s">
        <v>9</v>
      </c>
    </row>
    <row r="9" spans="1:12" ht="14.65" thickBot="1" x14ac:dyDescent="0.5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4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340" t="n">
        <v>52948.7990929593</v>
      </c>
      <c r="C11" s="11">
        <f>B11/B$102</f>
        <v>4.8818074454357388E-2</v>
      </c>
      <c r="E11" s="19">
        <v>0</v>
      </c>
      <c r="F11" s="342" t="n">
        <v>132204.0</v>
      </c>
      <c r="G11" s="11">
        <f>F11/F$102</f>
        <v>0.11259430223461904</v>
      </c>
      <c r="K11" s="8" t="n">
        <v>6.446202704159847</v>
      </c>
      <c r="L11" s="8" t="n">
        <v>5.63641706902331</v>
      </c>
    </row>
    <row r="12" spans="1:12" x14ac:dyDescent="0.45">
      <c r="A12">
        <v>1</v>
      </c>
      <c r="B12" s="340" t="n">
        <v>90943.8491288353</v>
      </c>
      <c r="C12" s="11">
        <f>B12/B$102</f>
        <v>8.3848995142321969E-2</v>
      </c>
      <c r="E12" s="20">
        <v>1</v>
      </c>
      <c r="F12" s="342" t="n">
        <v>133829.0</v>
      </c>
      <c r="G12" s="11">
        <f>F12/F$102</f>
        <v>0.11577688136569732</v>
      </c>
      <c r="K12" s="8"/>
      <c r="L12" s="289"/>
    </row>
    <row r="13" spans="1:12" x14ac:dyDescent="0.45">
      <c r="A13">
        <v>2</v>
      </c>
      <c r="B13" s="340" t="n">
        <v>105270.4191231009</v>
      </c>
      <c r="C13" s="11">
        <f t="shared" ref="C13:C76" si="0">B13/B$102</f>
        <v>9.7057898321178407E-2</v>
      </c>
      <c r="E13" s="21">
        <v>2</v>
      </c>
      <c r="F13" s="342" t="n">
        <v>79730.0</v>
      </c>
      <c r="G13" s="11">
        <f t="shared" ref="G13:G76" si="1">F13/F$102</f>
        <v>6.8067518976882749E-2</v>
      </c>
    </row>
    <row r="14" spans="1:12" x14ac:dyDescent="0.45">
      <c r="A14">
        <v>3</v>
      </c>
      <c r="B14" s="340" t="n">
        <v>115150.336610777</v>
      </c>
      <c r="C14" s="11">
        <f t="shared" si="0"/>
        <v>0.10616704821274628</v>
      </c>
      <c r="E14" s="22">
        <v>3</v>
      </c>
      <c r="F14" s="342" t="n">
        <v>47586.0</v>
      </c>
      <c r="G14" s="11">
        <f t="shared" si="1"/>
        <v>4.0684401136068624E-2</v>
      </c>
    </row>
    <row r="15" spans="1:12" x14ac:dyDescent="0.45">
      <c r="A15">
        <v>4</v>
      </c>
      <c r="B15" s="340" t="n">
        <v>179556.4996902292</v>
      </c>
      <c r="C15" s="11">
        <f t="shared" si="0"/>
        <v>0.16554865683076439</v>
      </c>
      <c r="E15" s="23">
        <v>4</v>
      </c>
      <c r="F15" s="342" t="n">
        <v>218411.0</v>
      </c>
      <c r="G15" s="11">
        <f t="shared" si="1"/>
        <v>0.1871235780814309</v>
      </c>
    </row>
    <row r="16" spans="1:12" x14ac:dyDescent="0.45">
      <c r="A16">
        <v>5</v>
      </c>
      <c r="B16" s="340" t="n">
        <v>110231.594225431</v>
      </c>
      <c r="C16" s="11">
        <f t="shared" si="0"/>
        <v>0.10163203446166852</v>
      </c>
      <c r="E16" s="24">
        <v>5</v>
      </c>
      <c r="F16" s="342" t="n">
        <v>120812.0</v>
      </c>
      <c r="G16" s="11">
        <f t="shared" si="1"/>
        <v>0.10353559529323283</v>
      </c>
    </row>
    <row r="17" spans="1:7" x14ac:dyDescent="0.45">
      <c r="A17">
        <v>6</v>
      </c>
      <c r="B17" s="340" t="n">
        <v>118783.7237489311</v>
      </c>
      <c r="C17" s="11">
        <f t="shared" si="0"/>
        <v>0.10951698186318666</v>
      </c>
      <c r="E17" s="25">
        <v>6</v>
      </c>
      <c r="F17" s="342" t="n">
        <v>103652.0</v>
      </c>
      <c r="G17" s="11">
        <f t="shared" si="1"/>
        <v>8.7510576253819736E-2</v>
      </c>
    </row>
    <row r="18" spans="1:7" x14ac:dyDescent="0.45">
      <c r="A18">
        <v>7</v>
      </c>
      <c r="B18" s="340" t="n">
        <v>39994.2570519872</v>
      </c>
      <c r="C18" s="11">
        <f t="shared" si="0"/>
        <v>3.6874162435352367E-2</v>
      </c>
      <c r="E18" s="26">
        <v>7</v>
      </c>
      <c r="F18" s="342" t="n">
        <v>54746.0</v>
      </c>
      <c r="G18" s="11">
        <f t="shared" si="1"/>
        <v>6.4361409891179944E-2</v>
      </c>
    </row>
    <row r="19" spans="1:7" x14ac:dyDescent="0.45">
      <c r="A19">
        <v>8</v>
      </c>
      <c r="B19" s="340" t="n">
        <v>40096.4407649861</v>
      </c>
      <c r="C19" s="11">
        <f t="shared" si="0"/>
        <v>3.696837443250163E-2</v>
      </c>
      <c r="E19" s="27">
        <v>8</v>
      </c>
      <c r="F19" s="342" t="n">
        <v>88003.0</v>
      </c>
      <c r="G19" s="11">
        <f t="shared" si="1"/>
        <v>5.8599130440032531E-2</v>
      </c>
    </row>
    <row r="20" spans="1:7" x14ac:dyDescent="0.45">
      <c r="A20">
        <v>9</v>
      </c>
      <c r="B20" s="340" t="n">
        <v>25847.5781684811</v>
      </c>
      <c r="C20" s="11">
        <f t="shared" si="0"/>
        <v>2.3831116420193196E-2</v>
      </c>
      <c r="E20" s="28">
        <v>9</v>
      </c>
      <c r="F20" s="342" t="n">
        <v>32557.0</v>
      </c>
      <c r="G20" s="11">
        <f t="shared" si="1"/>
        <v>3.0581221748141554E-2</v>
      </c>
    </row>
    <row r="21" spans="1:7" x14ac:dyDescent="0.45">
      <c r="A21">
        <v>10</v>
      </c>
      <c r="B21" s="340" t="n">
        <v>50274.7819215255</v>
      </c>
      <c r="C21" s="11">
        <f t="shared" si="0"/>
        <v>4.6352666898312481E-2</v>
      </c>
      <c r="E21" s="29">
        <v>10</v>
      </c>
      <c r="F21" s="342" t="n">
        <v>22358.0</v>
      </c>
      <c r="G21" s="11">
        <f t="shared" si="1"/>
        <v>2.0727301267770479E-2</v>
      </c>
    </row>
    <row r="22" spans="1:7" x14ac:dyDescent="0.45">
      <c r="A22">
        <v>11</v>
      </c>
      <c r="B22" s="340" t="n">
        <v>11197.0207144197</v>
      </c>
      <c r="C22" s="11">
        <f t="shared" si="0"/>
        <v>1.0323501198655277E-2</v>
      </c>
      <c r="E22" s="30">
        <v>11</v>
      </c>
      <c r="F22" s="342" t="n">
        <v>27235.0</v>
      </c>
      <c r="G22" s="11">
        <f t="shared" si="1"/>
        <v>2.39314425880837E-2</v>
      </c>
    </row>
    <row r="23" spans="1:7" x14ac:dyDescent="0.45">
      <c r="A23">
        <v>12</v>
      </c>
      <c r="B23" s="340" t="n">
        <v>27854.5862875253</v>
      </c>
      <c r="C23" s="11">
        <f t="shared" si="0"/>
        <v>2.568155067865455E-2</v>
      </c>
      <c r="E23" s="31">
        <v>12</v>
      </c>
      <c r="F23" s="342" t="n">
        <v>17585.0</v>
      </c>
      <c r="G23" s="11">
        <f t="shared" si="1"/>
        <v>1.2889014237082308E-2</v>
      </c>
    </row>
    <row r="24" spans="1:7" x14ac:dyDescent="0.45">
      <c r="A24">
        <v>13</v>
      </c>
      <c r="B24" s="340" t="n">
        <v>8348.0388198341</v>
      </c>
      <c r="C24" s="11">
        <f t="shared" si="0"/>
        <v>7.6967785414554868E-3</v>
      </c>
      <c r="E24" s="32">
        <v>13</v>
      </c>
      <c r="F24" s="342" t="n">
        <v>18110.0</v>
      </c>
      <c r="G24" s="11">
        <f t="shared" si="1"/>
        <v>1.6940118350544271E-2</v>
      </c>
    </row>
    <row r="25" spans="1:7" x14ac:dyDescent="0.45">
      <c r="A25">
        <v>14</v>
      </c>
      <c r="B25" s="340" t="n">
        <v>10446.3801021703</v>
      </c>
      <c r="C25" s="11">
        <f t="shared" si="0"/>
        <v>9.6314207374361242E-3</v>
      </c>
      <c r="E25" s="33">
        <v>14</v>
      </c>
      <c r="F25" s="342" t="n">
        <v>11419.0</v>
      </c>
      <c r="G25" s="11">
        <f t="shared" si="1"/>
        <v>9.5425624678184325E-3</v>
      </c>
    </row>
    <row r="26" spans="1:7" x14ac:dyDescent="0.45">
      <c r="A26">
        <v>15</v>
      </c>
      <c r="B26" s="340" t="n">
        <v>18730.7674835545</v>
      </c>
      <c r="C26" s="11">
        <f t="shared" si="0"/>
        <v>1.7269513516143361E-2</v>
      </c>
      <c r="E26" s="34">
        <v>15</v>
      </c>
      <c r="F26" s="342" t="n">
        <v>17172.0</v>
      </c>
      <c r="G26" s="11">
        <f t="shared" si="1"/>
        <v>1.3488443097813854E-2</v>
      </c>
    </row>
    <row r="27" spans="1:7" x14ac:dyDescent="0.45">
      <c r="A27">
        <v>16</v>
      </c>
      <c r="B27" s="340" t="n">
        <v>18685.6150767775</v>
      </c>
      <c r="C27" s="11">
        <f t="shared" si="0"/>
        <v>1.7227883609637583E-2</v>
      </c>
      <c r="E27" s="35">
        <v>16</v>
      </c>
      <c r="F27" s="342" t="n">
        <v>9839.0</v>
      </c>
      <c r="G27" s="11">
        <f t="shared" si="1"/>
        <v>8.3807917118394522E-3</v>
      </c>
    </row>
    <row r="28" spans="1:7" x14ac:dyDescent="0.45">
      <c r="A28">
        <v>17</v>
      </c>
      <c r="B28" s="340" t="n">
        <v>7234.927318376</v>
      </c>
      <c r="C28" s="11">
        <f t="shared" si="0"/>
        <v>6.6705048377066738E-3</v>
      </c>
      <c r="E28" s="36">
        <v>17</v>
      </c>
      <c r="F28" s="342" t="n">
        <v>8096.0</v>
      </c>
      <c r="G28" s="11">
        <f t="shared" si="1"/>
        <v>6.7920896090085106E-3</v>
      </c>
    </row>
    <row r="29" spans="1:7" x14ac:dyDescent="0.45">
      <c r="A29">
        <v>18</v>
      </c>
      <c r="B29" s="340" t="n">
        <v>8454.7766453539</v>
      </c>
      <c r="C29" s="11">
        <f t="shared" si="0"/>
        <v>7.7951893685674224E-3</v>
      </c>
      <c r="E29" s="37">
        <v>18</v>
      </c>
      <c r="F29" s="342" t="n">
        <v>4700.0</v>
      </c>
      <c r="G29" s="11">
        <f t="shared" si="1"/>
        <v>4.5487594410045561E-3</v>
      </c>
    </row>
    <row r="30" spans="1:7" x14ac:dyDescent="0.45">
      <c r="A30">
        <v>19</v>
      </c>
      <c r="B30" s="340" t="n">
        <v>2832.1153928233</v>
      </c>
      <c r="C30" s="11">
        <f t="shared" si="0"/>
        <v>2.6111719713878072E-3</v>
      </c>
      <c r="E30" s="38">
        <v>19</v>
      </c>
      <c r="F30" s="342" t="n">
        <v>3491.0</v>
      </c>
      <c r="G30" s="11">
        <f t="shared" si="1"/>
        <v>2.8919208201911789E-3</v>
      </c>
    </row>
    <row r="31" spans="1:7" x14ac:dyDescent="0.45">
      <c r="A31">
        <v>20</v>
      </c>
      <c r="B31" s="340" t="n">
        <v>3668.4584593365</v>
      </c>
      <c r="C31" s="11">
        <f t="shared" si="0"/>
        <v>3.382268932789072E-3</v>
      </c>
      <c r="E31" s="39">
        <v>20</v>
      </c>
      <c r="F31" s="342" t="n">
        <v>2836.0</v>
      </c>
      <c r="G31" s="11">
        <f t="shared" si="1"/>
        <v>2.761685197212095E-3</v>
      </c>
    </row>
    <row r="32" spans="1:7" x14ac:dyDescent="0.45">
      <c r="A32">
        <v>21</v>
      </c>
      <c r="B32" s="340" t="n">
        <v>907.4706190123</v>
      </c>
      <c r="C32" s="11">
        <f t="shared" si="0"/>
        <v>8.3667559988107498E-4</v>
      </c>
      <c r="E32" s="40">
        <v>21</v>
      </c>
      <c r="F32" s="342" t="n">
        <v>2220.0</v>
      </c>
      <c r="G32" s="11">
        <f t="shared" si="1"/>
        <v>1.6930630987280896E-3</v>
      </c>
    </row>
    <row r="33" spans="1:7" x14ac:dyDescent="0.45">
      <c r="A33">
        <v>22</v>
      </c>
      <c r="B33" s="340" t="n">
        <v>2522.700778687</v>
      </c>
      <c r="C33" s="11">
        <f t="shared" si="0"/>
        <v>2.3258958947075204E-3</v>
      </c>
      <c r="E33" s="41">
        <v>22</v>
      </c>
      <c r="F33" s="342" t="n">
        <v>1682.0</v>
      </c>
      <c r="G33" s="11">
        <f t="shared" si="1"/>
        <v>1.3066686676378276E-3</v>
      </c>
    </row>
    <row r="34" spans="1:7" x14ac:dyDescent="0.45">
      <c r="A34">
        <v>23</v>
      </c>
      <c r="B34" s="340" t="n">
        <v>1988.8132901981</v>
      </c>
      <c r="C34" s="11">
        <f t="shared" si="0"/>
        <v>1.8336588730983434E-3</v>
      </c>
      <c r="E34" s="42">
        <v>23</v>
      </c>
      <c r="F34" s="342" t="n">
        <v>1227.0</v>
      </c>
      <c r="G34" s="11">
        <f t="shared" si="1"/>
        <v>1.092771750427147E-3</v>
      </c>
    </row>
    <row r="35" spans="1:7" x14ac:dyDescent="0.45">
      <c r="A35">
        <v>24</v>
      </c>
      <c r="B35" s="340" t="n">
        <v>10809.509325089</v>
      </c>
      <c r="C35" s="11">
        <f t="shared" si="0"/>
        <v>9.9662209547153723E-3</v>
      </c>
      <c r="E35" s="43">
        <v>24</v>
      </c>
      <c r="F35" s="342" t="n">
        <v>1184.0</v>
      </c>
      <c r="G35" s="11">
        <f t="shared" si="1"/>
        <v>1.0116979189037439E-3</v>
      </c>
    </row>
    <row r="36" spans="1:7" x14ac:dyDescent="0.45">
      <c r="A36">
        <v>25</v>
      </c>
      <c r="B36" s="340" t="n">
        <v>1546.810699568</v>
      </c>
      <c r="C36" s="11">
        <f t="shared" si="0"/>
        <v>1.4261384807941428E-3</v>
      </c>
      <c r="E36" s="44">
        <v>25</v>
      </c>
      <c r="F36" s="342" t="n">
        <v>1481.0</v>
      </c>
      <c r="G36" s="11">
        <f t="shared" si="1"/>
        <v>8.0470090224824637E-4</v>
      </c>
    </row>
    <row r="37" spans="1:7" x14ac:dyDescent="0.45">
      <c r="A37">
        <v>26</v>
      </c>
      <c r="B37" s="340" t="n">
        <v>774.7254652844</v>
      </c>
      <c r="C37" s="11">
        <f t="shared" si="0"/>
        <v>7.1428636897960507E-4</v>
      </c>
      <c r="E37" s="45">
        <v>26</v>
      </c>
      <c r="F37" s="342" t="n">
        <v>541.0</v>
      </c>
      <c r="G37" s="11">
        <f t="shared" si="1"/>
        <v>9.6512359015625689E-4</v>
      </c>
    </row>
    <row r="38" spans="1:7" x14ac:dyDescent="0.45">
      <c r="A38">
        <v>27</v>
      </c>
      <c r="B38" s="340" t="n">
        <v>2085.196875802</v>
      </c>
      <c r="C38" s="11">
        <f t="shared" si="0"/>
        <v>1.922523231474599E-3</v>
      </c>
      <c r="E38" s="46">
        <v>27</v>
      </c>
      <c r="F38" s="342" t="n">
        <v>338.0</v>
      </c>
      <c r="G38" s="11">
        <f t="shared" si="1"/>
        <v>3.0790806227505249E-4</v>
      </c>
    </row>
    <row r="39" spans="1:7" x14ac:dyDescent="0.45">
      <c r="A39">
        <v>28</v>
      </c>
      <c r="B39" s="340" t="n">
        <v>638.5252072000001</v>
      </c>
      <c r="C39" s="11">
        <f t="shared" si="0"/>
        <v>5.8871157873377565E-4</v>
      </c>
      <c r="E39" s="47">
        <v>28</v>
      </c>
      <c r="F39" s="342" t="n">
        <v>291.0</v>
      </c>
      <c r="G39" s="11">
        <f t="shared" si="1"/>
        <v>1.9492219068392678E-4</v>
      </c>
    </row>
    <row r="40" spans="1:7" x14ac:dyDescent="0.45">
      <c r="A40">
        <v>29</v>
      </c>
      <c r="B40" s="340" t="n">
        <v>550.7575783498</v>
      </c>
      <c r="C40" s="11">
        <f t="shared" si="0"/>
        <v>5.0779101559939466E-4</v>
      </c>
      <c r="E40" s="48">
        <v>29</v>
      </c>
      <c r="F40" s="342" t="n">
        <v>274.0</v>
      </c>
      <c r="G40" s="11">
        <f t="shared" si="1"/>
        <v>2.1562189234947653E-4</v>
      </c>
    </row>
    <row r="41" spans="1:7" x14ac:dyDescent="0.45">
      <c r="A41">
        <v>30</v>
      </c>
      <c r="B41" s="340" t="n">
        <v>0.0</v>
      </c>
      <c r="C41" s="11">
        <f t="shared" si="0"/>
        <v>0</v>
      </c>
      <c r="E41" s="49">
        <v>30</v>
      </c>
      <c r="F41" s="342" t="n">
        <v>210.0</v>
      </c>
      <c r="G41" s="11">
        <f t="shared" si="1"/>
        <v>2.1389691721068071E-4</v>
      </c>
    </row>
    <row r="42" spans="1:7" x14ac:dyDescent="0.45">
      <c r="A42">
        <v>31</v>
      </c>
      <c r="B42" s="340" t="n">
        <v>1503.265838949</v>
      </c>
      <c r="C42" s="11">
        <f t="shared" si="0"/>
        <v>1.385990710037891E-3</v>
      </c>
      <c r="E42" s="50">
        <v>31</v>
      </c>
      <c r="F42" s="342" t="n">
        <v>159.0</v>
      </c>
      <c r="G42" s="11">
        <f t="shared" si="1"/>
        <v>1.1902328457691103E-4</v>
      </c>
    </row>
    <row r="43" spans="1:7" x14ac:dyDescent="0.45">
      <c r="A43">
        <v>32</v>
      </c>
      <c r="B43" s="340" t="n">
        <v>0.0</v>
      </c>
      <c r="C43" s="11">
        <f t="shared" si="0"/>
        <v>0</v>
      </c>
      <c r="E43" s="51">
        <v>32</v>
      </c>
      <c r="F43" s="342" t="n">
        <v>82.0</v>
      </c>
      <c r="G43" s="11">
        <f t="shared" si="1"/>
        <v>8.9698707217382225E-5</v>
      </c>
    </row>
    <row r="44" spans="1:7" x14ac:dyDescent="0.45">
      <c r="A44">
        <v>33</v>
      </c>
      <c r="B44" s="340" t="n">
        <v>771.224845006</v>
      </c>
      <c r="C44" s="11">
        <f t="shared" si="0"/>
        <v>7.1105884457272792E-4</v>
      </c>
      <c r="E44" s="52">
        <v>33</v>
      </c>
      <c r="F44" s="342" t="n">
        <v>62.0</v>
      </c>
      <c r="G44" s="11">
        <f t="shared" si="1"/>
        <v>4.8299303886282741E-5</v>
      </c>
    </row>
    <row r="45" spans="1:7" x14ac:dyDescent="0.45">
      <c r="A45">
        <v>34</v>
      </c>
      <c r="B45" s="340" t="n">
        <v>936.2129745479999</v>
      </c>
      <c r="C45" s="11">
        <f t="shared" si="0"/>
        <v>8.6317566176296939E-4</v>
      </c>
      <c r="E45" s="53">
        <v>34</v>
      </c>
      <c r="F45" s="342" t="n">
        <v>49.0</v>
      </c>
      <c r="G45" s="11">
        <f t="shared" si="1"/>
        <v>6.9861493121230387E-5</v>
      </c>
    </row>
    <row r="46" spans="1:7" x14ac:dyDescent="0.45">
      <c r="A46">
        <v>35</v>
      </c>
      <c r="B46" s="340" t="n">
        <v>321.9730946164</v>
      </c>
      <c r="C46" s="11">
        <f t="shared" si="0"/>
        <v>2.9685482531318323E-4</v>
      </c>
      <c r="E46" s="54">
        <v>35</v>
      </c>
      <c r="F46" s="342" t="n">
        <v>49.0</v>
      </c>
      <c r="G46" s="11">
        <f t="shared" si="1"/>
        <v>1.3799801110366496E-5</v>
      </c>
    </row>
    <row r="47" spans="1:7" x14ac:dyDescent="0.45">
      <c r="A47">
        <v>36</v>
      </c>
      <c r="B47" s="340" t="n">
        <v>727.467881212</v>
      </c>
      <c r="C47" s="11">
        <f t="shared" si="0"/>
        <v>6.707155175665416E-4</v>
      </c>
      <c r="E47" s="55">
        <v>36</v>
      </c>
      <c r="F47" s="342" t="n">
        <v>33.0</v>
      </c>
      <c r="G47" s="11">
        <f t="shared" si="1"/>
        <v>4.2261890900497398E-5</v>
      </c>
    </row>
    <row r="48" spans="1:7" x14ac:dyDescent="0.45">
      <c r="A48">
        <v>37</v>
      </c>
      <c r="B48" s="340" t="n">
        <v>637.7233689726</v>
      </c>
      <c r="C48" s="11">
        <f t="shared" si="0"/>
        <v>5.8797229476594025E-4</v>
      </c>
      <c r="E48" s="56">
        <v>37</v>
      </c>
      <c r="F48" s="342" t="n">
        <v>17.0</v>
      </c>
      <c r="G48" s="11">
        <f t="shared" si="1"/>
        <v>2.3287164373743464E-5</v>
      </c>
    </row>
    <row r="49" spans="1:7" x14ac:dyDescent="0.45">
      <c r="A49">
        <v>38</v>
      </c>
      <c r="B49" s="340" t="n">
        <v>627.269960355</v>
      </c>
      <c r="C49" s="11">
        <f t="shared" si="0"/>
        <v>5.7833439383262754E-4</v>
      </c>
      <c r="E49" s="57">
        <v>38</v>
      </c>
      <c r="F49" s="342" t="n">
        <v>12.0</v>
      </c>
      <c r="G49" s="11">
        <f t="shared" si="1"/>
        <v>2.0699701665549745E-5</v>
      </c>
    </row>
    <row r="50" spans="1:7" x14ac:dyDescent="0.45">
      <c r="A50">
        <v>39</v>
      </c>
      <c r="B50" s="340" t="n">
        <v>341.8573055842</v>
      </c>
      <c r="C50" s="11">
        <f t="shared" si="0"/>
        <v>3.1518779807405723E-4</v>
      </c>
      <c r="E50" s="58">
        <v>39</v>
      </c>
      <c r="F50" s="342" t="n">
        <v>14.0</v>
      </c>
      <c r="G50" s="11">
        <f t="shared" si="1"/>
        <v>1.0349850832774873E-5</v>
      </c>
    </row>
    <row r="51" spans="1:7" x14ac:dyDescent="0.45">
      <c r="A51">
        <v>40</v>
      </c>
      <c r="B51" s="340" t="n">
        <v>0.0</v>
      </c>
      <c r="C51" s="11">
        <f t="shared" si="0"/>
        <v>0</v>
      </c>
      <c r="E51" s="59">
        <v>40</v>
      </c>
      <c r="F51" s="342" t="n">
        <v>5.0</v>
      </c>
      <c r="G51" s="11">
        <f t="shared" si="1"/>
        <v>9.4873632633769672E-6</v>
      </c>
    </row>
    <row r="52" spans="1:7" x14ac:dyDescent="0.45">
      <c r="A52">
        <v>41</v>
      </c>
      <c r="B52" s="340" t="n">
        <v>596.97480037</v>
      </c>
      <c r="C52" s="11">
        <f t="shared" si="0"/>
        <v>5.5040266731399808E-4</v>
      </c>
      <c r="E52" s="60">
        <v>41</v>
      </c>
      <c r="F52" s="342" t="n">
        <v>1.0</v>
      </c>
      <c r="G52" s="11">
        <f t="shared" si="1"/>
        <v>6.0374129857853427E-6</v>
      </c>
    </row>
    <row r="53" spans="1:7" x14ac:dyDescent="0.45">
      <c r="A53">
        <v>42</v>
      </c>
      <c r="B53" s="340" t="n">
        <v>133.5805418631</v>
      </c>
      <c r="C53" s="11">
        <f t="shared" si="0"/>
        <v>1.2315944742915516E-4</v>
      </c>
      <c r="E53" s="61">
        <v>42</v>
      </c>
      <c r="F53" s="342" t="n">
        <v>12.0</v>
      </c>
      <c r="G53" s="11">
        <f t="shared" si="1"/>
        <v>5.1749254163874363E-6</v>
      </c>
    </row>
    <row r="54" spans="1:7" x14ac:dyDescent="0.45">
      <c r="A54">
        <v>43</v>
      </c>
      <c r="B54" s="340" t="n">
        <v>1706.890736692</v>
      </c>
      <c r="C54" s="11">
        <f t="shared" si="0"/>
        <v>1.5737301033587209E-3</v>
      </c>
      <c r="E54" s="62">
        <v>43</v>
      </c>
      <c r="F54" s="342" t="n">
        <v>7.0</v>
      </c>
      <c r="G54" s="11">
        <f t="shared" si="1"/>
        <v>2.5874627081937182E-6</v>
      </c>
    </row>
    <row r="55" spans="1:7" x14ac:dyDescent="0.45">
      <c r="A55">
        <v>44</v>
      </c>
      <c r="B55" s="340" t="n">
        <v>660.275957831</v>
      </c>
      <c r="C55" s="11">
        <f t="shared" si="0"/>
        <v>6.0876547574243345E-4</v>
      </c>
      <c r="E55" s="63">
        <v>44</v>
      </c>
      <c r="F55" s="342" t="n">
        <v>1.0</v>
      </c>
      <c r="G55" s="11">
        <f t="shared" si="1"/>
        <v>1.724975138795812E-6</v>
      </c>
    </row>
    <row r="56" spans="1:7" x14ac:dyDescent="0.45">
      <c r="A56">
        <v>45</v>
      </c>
      <c r="B56" s="340" t="n">
        <v>617.666578062</v>
      </c>
      <c r="C56" s="11">
        <f t="shared" si="0"/>
        <v>5.6948020563904347E-4</v>
      </c>
      <c r="E56" s="64">
        <v>45</v>
      </c>
      <c r="F56" s="342" t="n">
        <v>1.0</v>
      </c>
      <c r="G56" s="11">
        <f t="shared" si="1"/>
        <v>8.6248756939790602E-7</v>
      </c>
    </row>
    <row r="57" spans="1:7" x14ac:dyDescent="0.45">
      <c r="A57">
        <v>46</v>
      </c>
      <c r="B57" s="340" t="n">
        <v>0.0</v>
      </c>
      <c r="C57" s="11">
        <f t="shared" si="0"/>
        <v>0</v>
      </c>
      <c r="E57" s="65">
        <v>46</v>
      </c>
      <c r="F57" s="342" t="n">
        <v>0.0</v>
      </c>
      <c r="G57" s="11">
        <f t="shared" si="1"/>
        <v>0</v>
      </c>
    </row>
    <row r="58" spans="1:7" x14ac:dyDescent="0.45">
      <c r="A58">
        <v>47</v>
      </c>
      <c r="B58" s="340" t="n">
        <v>405.121063366</v>
      </c>
      <c r="C58" s="11">
        <f t="shared" si="0"/>
        <v>3.735161245056385E-4</v>
      </c>
      <c r="E58" s="66">
        <v>47</v>
      </c>
      <c r="F58" s="342" t="n">
        <v>3.0</v>
      </c>
      <c r="G58" s="11">
        <f t="shared" si="1"/>
        <v>1.724975138795812E-6</v>
      </c>
    </row>
    <row r="59" spans="1:7" x14ac:dyDescent="0.45">
      <c r="A59">
        <v>48</v>
      </c>
      <c r="B59" s="340" t="n">
        <v>0.0</v>
      </c>
      <c r="C59" s="11">
        <f t="shared" si="0"/>
        <v>0</v>
      </c>
      <c r="E59" s="67">
        <v>48</v>
      </c>
      <c r="F59" s="342" t="n">
        <v>0.0</v>
      </c>
      <c r="G59" s="11">
        <f t="shared" si="1"/>
        <v>0</v>
      </c>
    </row>
    <row r="60" spans="1:7" x14ac:dyDescent="0.45">
      <c r="A60">
        <v>49</v>
      </c>
      <c r="B60" s="340" t="n">
        <v>0.0</v>
      </c>
      <c r="C60" s="11">
        <f t="shared" si="0"/>
        <v>0</v>
      </c>
      <c r="E60" s="68">
        <v>49</v>
      </c>
      <c r="F60" s="342" t="n">
        <v>0.0</v>
      </c>
      <c r="G60" s="11">
        <f t="shared" si="1"/>
        <v>0</v>
      </c>
    </row>
    <row r="61" spans="1:7" x14ac:dyDescent="0.45">
      <c r="A61">
        <v>50</v>
      </c>
      <c r="B61" s="340" t="n">
        <v>0.0</v>
      </c>
      <c r="C61" s="11">
        <f t="shared" si="0"/>
        <v>0</v>
      </c>
      <c r="E61" s="69">
        <v>50</v>
      </c>
      <c r="F61" s="342" t="n">
        <v>2.0</v>
      </c>
      <c r="G61" s="11">
        <f t="shared" si="1"/>
        <v>0</v>
      </c>
    </row>
    <row r="62" spans="1:7" x14ac:dyDescent="0.45">
      <c r="A62">
        <v>51</v>
      </c>
      <c r="B62" s="340" t="n">
        <v>0.0</v>
      </c>
      <c r="C62" s="11">
        <f t="shared" si="0"/>
        <v>0</v>
      </c>
      <c r="E62" s="70">
        <v>51</v>
      </c>
      <c r="F62" s="342" t="n">
        <v>0.0</v>
      </c>
      <c r="G62" s="11">
        <f t="shared" si="1"/>
        <v>0</v>
      </c>
    </row>
    <row r="63" spans="1:7" x14ac:dyDescent="0.45">
      <c r="A63">
        <v>52</v>
      </c>
      <c r="B63" s="340" t="n">
        <v>181.031838601</v>
      </c>
      <c r="C63" s="11">
        <f t="shared" si="0"/>
        <v>1.6690889929188183E-4</v>
      </c>
      <c r="E63" s="71">
        <v>52</v>
      </c>
      <c r="F63" s="342" t="n">
        <v>0.0</v>
      </c>
      <c r="G63" s="11">
        <f t="shared" si="1"/>
        <v>0</v>
      </c>
    </row>
    <row r="64" spans="1:7" x14ac:dyDescent="0.45">
      <c r="A64">
        <v>53</v>
      </c>
      <c r="B64" s="340" t="n">
        <v>39.1519720345</v>
      </c>
      <c r="C64" s="11">
        <f t="shared" si="0"/>
        <v>3.6097587075762241E-5</v>
      </c>
      <c r="E64" s="72">
        <v>53</v>
      </c>
      <c r="F64" s="342" t="n">
        <v>0.0</v>
      </c>
      <c r="G64" s="11">
        <f t="shared" si="1"/>
        <v>0</v>
      </c>
    </row>
    <row r="65" spans="1:7" x14ac:dyDescent="0.45">
      <c r="A65">
        <v>54</v>
      </c>
      <c r="B65" s="340" t="n">
        <v>667.663687339</v>
      </c>
      <c r="C65" s="11">
        <f t="shared" si="0"/>
        <v>6.1557686212604184E-4</v>
      </c>
      <c r="E65" s="73">
        <v>54</v>
      </c>
      <c r="F65" s="342" t="n">
        <v>0.0</v>
      </c>
      <c r="G65" s="11">
        <f t="shared" si="1"/>
        <v>0</v>
      </c>
    </row>
    <row r="66" spans="1:7" x14ac:dyDescent="0.45">
      <c r="A66">
        <v>55</v>
      </c>
      <c r="B66" s="340" t="n">
        <v>0.0</v>
      </c>
      <c r="C66" s="11">
        <f t="shared" si="0"/>
        <v>0</v>
      </c>
      <c r="E66" s="74">
        <v>55</v>
      </c>
      <c r="F66" s="342" t="n">
        <v>0.0</v>
      </c>
      <c r="G66" s="11">
        <f t="shared" si="1"/>
        <v>0</v>
      </c>
    </row>
    <row r="67" spans="1:7" x14ac:dyDescent="0.45">
      <c r="A67">
        <v>56</v>
      </c>
      <c r="B67" s="340" t="n">
        <v>0.0</v>
      </c>
      <c r="C67" s="11">
        <f t="shared" si="0"/>
        <v>0</v>
      </c>
      <c r="E67" s="75">
        <v>56</v>
      </c>
      <c r="F67" s="342" t="n">
        <v>1.0</v>
      </c>
      <c r="G67" s="11">
        <f t="shared" si="1"/>
        <v>0</v>
      </c>
    </row>
    <row r="68" spans="1:7" x14ac:dyDescent="0.45">
      <c r="A68">
        <v>57</v>
      </c>
      <c r="B68" s="340" t="n">
        <v>542.140045727</v>
      </c>
      <c r="C68" s="11">
        <f t="shared" si="0"/>
        <v>4.998457674275878E-4</v>
      </c>
      <c r="E68" s="76">
        <v>57</v>
      </c>
      <c r="F68" s="342" t="n">
        <v>0.0</v>
      </c>
      <c r="G68" s="11">
        <f t="shared" si="1"/>
        <v>0</v>
      </c>
    </row>
    <row r="69" spans="1:7" x14ac:dyDescent="0.45">
      <c r="A69">
        <v>58</v>
      </c>
      <c r="B69" s="340" t="n">
        <v>0.0</v>
      </c>
      <c r="C69" s="11">
        <f t="shared" si="0"/>
        <v>0</v>
      </c>
      <c r="E69" s="77">
        <v>58</v>
      </c>
      <c r="F69" s="342" t="n">
        <v>0.0</v>
      </c>
      <c r="G69" s="11">
        <f t="shared" si="1"/>
        <v>0</v>
      </c>
    </row>
    <row r="70" spans="1:7" x14ac:dyDescent="0.45">
      <c r="A70">
        <v>59</v>
      </c>
      <c r="B70" s="340" t="n">
        <v>0.0</v>
      </c>
      <c r="C70" s="11">
        <f t="shared" si="0"/>
        <v>0</v>
      </c>
      <c r="E70" s="78">
        <v>59</v>
      </c>
      <c r="F70" s="342" t="n">
        <v>0.0</v>
      </c>
      <c r="G70" s="11">
        <f t="shared" si="1"/>
        <v>0</v>
      </c>
    </row>
    <row r="71" spans="1:7" x14ac:dyDescent="0.45">
      <c r="A71">
        <v>60</v>
      </c>
      <c r="B71" s="340" t="n">
        <v>0.0</v>
      </c>
      <c r="C71" s="11">
        <f t="shared" si="0"/>
        <v>0</v>
      </c>
      <c r="E71" s="79">
        <v>60</v>
      </c>
      <c r="F71" s="342" t="n">
        <v>0.0</v>
      </c>
      <c r="G71" s="11">
        <f t="shared" si="1"/>
        <v>0</v>
      </c>
    </row>
    <row r="72" spans="1:7" x14ac:dyDescent="0.45">
      <c r="A72">
        <v>61</v>
      </c>
      <c r="B72" s="340" t="n">
        <v>0.0</v>
      </c>
      <c r="C72" s="11">
        <f t="shared" si="0"/>
        <v>0</v>
      </c>
      <c r="E72" s="80">
        <v>61</v>
      </c>
      <c r="F72" s="342" t="n">
        <v>0.0</v>
      </c>
      <c r="G72" s="11">
        <f t="shared" si="1"/>
        <v>0</v>
      </c>
    </row>
    <row r="73" spans="1:7" x14ac:dyDescent="0.45">
      <c r="A73">
        <v>62</v>
      </c>
      <c r="B73" s="340" t="n">
        <v>0.0</v>
      </c>
      <c r="C73" s="11">
        <f t="shared" si="0"/>
        <v>0</v>
      </c>
      <c r="E73" s="81">
        <v>62</v>
      </c>
      <c r="F73" s="342" t="n">
        <v>0.0</v>
      </c>
      <c r="G73" s="11">
        <f t="shared" si="1"/>
        <v>0</v>
      </c>
    </row>
    <row r="74" spans="1:7" x14ac:dyDescent="0.45">
      <c r="A74">
        <v>63</v>
      </c>
      <c r="B74" s="340" t="n">
        <v>0.0</v>
      </c>
      <c r="C74" s="11">
        <f t="shared" si="0"/>
        <v>0</v>
      </c>
      <c r="E74" s="82">
        <v>63</v>
      </c>
      <c r="F74" s="342" t="n">
        <v>0.0</v>
      </c>
      <c r="G74" s="11">
        <f t="shared" si="1"/>
        <v>0</v>
      </c>
    </row>
    <row r="75" spans="1:7" x14ac:dyDescent="0.45">
      <c r="A75">
        <v>64</v>
      </c>
      <c r="B75" s="340" t="n">
        <v>0.0</v>
      </c>
      <c r="C75" s="11">
        <f t="shared" si="0"/>
        <v>0</v>
      </c>
      <c r="E75" s="83">
        <v>64</v>
      </c>
      <c r="F75" s="342" t="n">
        <v>0.0</v>
      </c>
      <c r="G75" s="11">
        <f t="shared" si="1"/>
        <v>0</v>
      </c>
    </row>
    <row r="76" spans="1:7" x14ac:dyDescent="0.45">
      <c r="A76">
        <v>65</v>
      </c>
      <c r="B76" s="340" t="n">
        <v>0.0</v>
      </c>
      <c r="C76" s="11">
        <f t="shared" si="0"/>
        <v>0</v>
      </c>
      <c r="E76" s="84">
        <v>65</v>
      </c>
      <c r="F76" s="342" t="n">
        <v>0.0</v>
      </c>
      <c r="G76" s="11">
        <f t="shared" si="1"/>
        <v>0</v>
      </c>
    </row>
    <row r="77" spans="1:7" x14ac:dyDescent="0.45">
      <c r="A77">
        <v>66</v>
      </c>
      <c r="B77" s="340" t="n">
        <v>0.0</v>
      </c>
      <c r="C77" s="11">
        <f t="shared" ref="C77:C102" si="2">B77/B$102</f>
        <v>0</v>
      </c>
      <c r="E77" s="85">
        <v>66</v>
      </c>
      <c r="F77" s="342" t="n">
        <v>0.0</v>
      </c>
      <c r="G77" s="11">
        <f t="shared" ref="G77:G102" si="3">F77/F$102</f>
        <v>0</v>
      </c>
    </row>
    <row r="78" spans="1:7" x14ac:dyDescent="0.45">
      <c r="A78">
        <v>67</v>
      </c>
      <c r="B78" s="340" t="n">
        <v>0.0</v>
      </c>
      <c r="C78" s="11">
        <f t="shared" si="2"/>
        <v>0</v>
      </c>
      <c r="E78" s="86">
        <v>67</v>
      </c>
      <c r="F78" s="342" t="n">
        <v>0.0</v>
      </c>
      <c r="G78" s="11">
        <f t="shared" si="3"/>
        <v>0</v>
      </c>
    </row>
    <row r="79" spans="1:7" x14ac:dyDescent="0.45">
      <c r="A79">
        <v>68</v>
      </c>
      <c r="B79" s="340" t="n">
        <v>0.0</v>
      </c>
      <c r="C79" s="11">
        <f t="shared" si="2"/>
        <v>0</v>
      </c>
      <c r="E79" s="87">
        <v>68</v>
      </c>
      <c r="F79" s="342" t="n">
        <v>0.0</v>
      </c>
      <c r="G79" s="11">
        <f t="shared" si="3"/>
        <v>0</v>
      </c>
    </row>
    <row r="80" spans="1:7" x14ac:dyDescent="0.45">
      <c r="A80">
        <v>69</v>
      </c>
      <c r="B80" s="340" t="n">
        <v>0.0</v>
      </c>
      <c r="C80" s="11">
        <f t="shared" si="2"/>
        <v>0</v>
      </c>
      <c r="E80" s="88">
        <v>69</v>
      </c>
      <c r="F80" s="342" t="n">
        <v>0.0</v>
      </c>
      <c r="G80" s="11">
        <f t="shared" si="3"/>
        <v>0</v>
      </c>
    </row>
    <row r="81" spans="1:7" x14ac:dyDescent="0.45">
      <c r="A81">
        <v>70</v>
      </c>
      <c r="B81" s="340" t="n">
        <v>0.0</v>
      </c>
      <c r="C81" s="11">
        <f t="shared" si="2"/>
        <v>0</v>
      </c>
      <c r="E81" s="89">
        <v>70</v>
      </c>
      <c r="F81" s="342" t="n">
        <v>0.0</v>
      </c>
      <c r="G81" s="11">
        <f t="shared" si="3"/>
        <v>0</v>
      </c>
    </row>
    <row r="82" spans="1:7" x14ac:dyDescent="0.45">
      <c r="A82">
        <v>71</v>
      </c>
      <c r="B82" s="340" t="n">
        <v>4605.9932193</v>
      </c>
      <c r="C82" s="11">
        <f t="shared" si="2"/>
        <v>4.2466632627736435E-3</v>
      </c>
      <c r="E82" s="90">
        <v>71</v>
      </c>
      <c r="F82" s="342" t="n">
        <v>0.0</v>
      </c>
      <c r="G82" s="11">
        <f t="shared" si="3"/>
        <v>0</v>
      </c>
    </row>
    <row r="83" spans="1:7" x14ac:dyDescent="0.45">
      <c r="A83">
        <v>72</v>
      </c>
      <c r="B83" s="340" t="n">
        <v>0.0</v>
      </c>
      <c r="C83" s="11">
        <f t="shared" si="2"/>
        <v>0</v>
      </c>
      <c r="E83" s="91">
        <v>72</v>
      </c>
      <c r="F83" s="342" t="n">
        <v>0.0</v>
      </c>
      <c r="G83" s="11">
        <f t="shared" si="3"/>
        <v>0</v>
      </c>
    </row>
    <row r="84" spans="1:7" x14ac:dyDescent="0.45">
      <c r="A84">
        <v>73</v>
      </c>
      <c r="B84" s="340" t="n">
        <v>0.0</v>
      </c>
      <c r="C84" s="11">
        <f t="shared" si="2"/>
        <v>0</v>
      </c>
      <c r="E84" s="92">
        <v>73</v>
      </c>
      <c r="F84" s="342" t="n">
        <v>0.0</v>
      </c>
      <c r="G84" s="11">
        <f t="shared" si="3"/>
        <v>0</v>
      </c>
    </row>
    <row r="85" spans="1:7" x14ac:dyDescent="0.45">
      <c r="A85">
        <v>74</v>
      </c>
      <c r="B85" s="340" t="n">
        <v>0.0</v>
      </c>
      <c r="C85" s="11">
        <f t="shared" si="2"/>
        <v>0</v>
      </c>
      <c r="E85" s="93">
        <v>74</v>
      </c>
      <c r="F85" s="342" t="n">
        <v>0.0</v>
      </c>
      <c r="G85" s="11">
        <f t="shared" si="3"/>
        <v>0</v>
      </c>
    </row>
    <row r="86" spans="1:7" x14ac:dyDescent="0.45">
      <c r="A86">
        <v>75</v>
      </c>
      <c r="B86" s="340" t="n">
        <v>0.0</v>
      </c>
      <c r="C86" s="11">
        <f t="shared" si="2"/>
        <v>0</v>
      </c>
      <c r="E86" s="94">
        <v>75</v>
      </c>
      <c r="F86" s="342" t="n">
        <v>0.0</v>
      </c>
      <c r="G86" s="11">
        <f t="shared" si="3"/>
        <v>0</v>
      </c>
    </row>
    <row r="87" spans="1:7" x14ac:dyDescent="0.45">
      <c r="A87">
        <v>76</v>
      </c>
      <c r="B87" s="340" t="n">
        <v>215.6958943</v>
      </c>
      <c r="C87" s="11">
        <f t="shared" si="2"/>
        <v>1.9886868838988976E-4</v>
      </c>
      <c r="E87" s="95">
        <v>76</v>
      </c>
      <c r="F87" s="342" t="n">
        <v>0.0</v>
      </c>
      <c r="G87" s="11">
        <f t="shared" si="3"/>
        <v>0</v>
      </c>
    </row>
    <row r="88" spans="1:7" x14ac:dyDescent="0.45">
      <c r="A88">
        <v>77</v>
      </c>
      <c r="B88" s="340" t="n">
        <v>0.0</v>
      </c>
      <c r="C88" s="11">
        <f t="shared" si="2"/>
        <v>0</v>
      </c>
      <c r="E88" s="96">
        <v>77</v>
      </c>
      <c r="F88" s="342" t="n">
        <v>0.0</v>
      </c>
      <c r="G88" s="11">
        <f t="shared" si="3"/>
        <v>0</v>
      </c>
    </row>
    <row r="89" spans="1:7" x14ac:dyDescent="0.45">
      <c r="A89">
        <v>78</v>
      </c>
      <c r="B89" s="340" t="n">
        <v>0.0</v>
      </c>
      <c r="C89" s="11">
        <f t="shared" si="2"/>
        <v>0</v>
      </c>
      <c r="E89" s="97">
        <v>78</v>
      </c>
      <c r="F89" s="342" t="n">
        <v>0.0</v>
      </c>
      <c r="G89" s="11">
        <f t="shared" si="3"/>
        <v>0</v>
      </c>
    </row>
    <row r="90" spans="1:7" x14ac:dyDescent="0.45">
      <c r="A90">
        <v>79</v>
      </c>
      <c r="B90" s="340" t="n">
        <v>0.0</v>
      </c>
      <c r="C90" s="11">
        <f t="shared" si="2"/>
        <v>0</v>
      </c>
      <c r="E90" s="98">
        <v>79</v>
      </c>
      <c r="F90" s="342" t="n">
        <v>0.0</v>
      </c>
      <c r="G90" s="11">
        <f t="shared" si="3"/>
        <v>0</v>
      </c>
    </row>
    <row r="91" spans="1:7" x14ac:dyDescent="0.45">
      <c r="A91">
        <v>80</v>
      </c>
      <c r="B91" s="340" t="n">
        <v>0.0</v>
      </c>
      <c r="C91" s="11">
        <f t="shared" si="2"/>
        <v>0</v>
      </c>
      <c r="E91" s="99">
        <v>80</v>
      </c>
      <c r="F91" s="342" t="n">
        <v>0.0</v>
      </c>
      <c r="G91" s="11">
        <f t="shared" si="3"/>
        <v>0</v>
      </c>
    </row>
    <row r="92" spans="1:7" x14ac:dyDescent="0.45">
      <c r="A92">
        <v>81</v>
      </c>
      <c r="B92" s="340" t="n">
        <v>0.0</v>
      </c>
      <c r="C92" s="11">
        <f t="shared" si="2"/>
        <v>0</v>
      </c>
      <c r="E92" s="100">
        <v>81</v>
      </c>
      <c r="F92" s="342" t="n">
        <v>0.0</v>
      </c>
      <c r="G92" s="11">
        <f t="shared" si="3"/>
        <v>0</v>
      </c>
    </row>
    <row r="93" spans="1:7" x14ac:dyDescent="0.45">
      <c r="A93">
        <v>82</v>
      </c>
      <c r="B93" s="340" t="n">
        <v>0.0</v>
      </c>
      <c r="C93" s="11">
        <f t="shared" si="2"/>
        <v>0</v>
      </c>
      <c r="E93" s="101">
        <v>82</v>
      </c>
      <c r="F93" s="342" t="n">
        <v>0.0</v>
      </c>
      <c r="G93" s="11">
        <f t="shared" si="3"/>
        <v>0</v>
      </c>
    </row>
    <row r="94" spans="1:7" x14ac:dyDescent="0.45">
      <c r="A94">
        <v>83</v>
      </c>
      <c r="B94" s="340" t="n">
        <v>0.0</v>
      </c>
      <c r="C94" s="11">
        <f t="shared" si="2"/>
        <v>0</v>
      </c>
      <c r="E94" s="102">
        <v>83</v>
      </c>
      <c r="F94" s="342" t="n">
        <v>0.0</v>
      </c>
      <c r="G94" s="11">
        <f t="shared" si="3"/>
        <v>0</v>
      </c>
    </row>
    <row r="95" spans="1:7" x14ac:dyDescent="0.45">
      <c r="A95">
        <v>84</v>
      </c>
      <c r="B95" s="340" t="n">
        <v>0.0</v>
      </c>
      <c r="C95" s="11">
        <f t="shared" si="2"/>
        <v>0</v>
      </c>
      <c r="E95" s="103">
        <v>84</v>
      </c>
      <c r="F95" s="342" t="n">
        <v>0.0</v>
      </c>
      <c r="G95" s="11">
        <f t="shared" si="3"/>
        <v>0</v>
      </c>
    </row>
    <row r="96" spans="1:7" x14ac:dyDescent="0.45">
      <c r="A96">
        <v>85</v>
      </c>
      <c r="B96" s="340" t="n">
        <v>0.0</v>
      </c>
      <c r="C96" s="11">
        <f t="shared" si="2"/>
        <v>0</v>
      </c>
      <c r="E96" s="104">
        <v>85</v>
      </c>
      <c r="F96" s="342" t="n">
        <v>0.0</v>
      </c>
      <c r="G96" s="11">
        <f t="shared" si="3"/>
        <v>0</v>
      </c>
    </row>
    <row r="97" spans="1:7" x14ac:dyDescent="0.45">
      <c r="A97">
        <v>86</v>
      </c>
      <c r="B97" s="340" t="n">
        <v>0.0</v>
      </c>
      <c r="C97" s="11">
        <f t="shared" si="2"/>
        <v>0</v>
      </c>
      <c r="E97" s="105">
        <v>86</v>
      </c>
      <c r="F97" s="342" t="n">
        <v>0.0</v>
      </c>
      <c r="G97" s="11">
        <f t="shared" si="3"/>
        <v>0</v>
      </c>
    </row>
    <row r="98" spans="1:7" x14ac:dyDescent="0.45">
      <c r="A98">
        <v>87</v>
      </c>
      <c r="B98" s="340" t="n">
        <v>0.0</v>
      </c>
      <c r="C98" s="11">
        <f t="shared" si="2"/>
        <v>0</v>
      </c>
      <c r="E98" s="106">
        <v>87</v>
      </c>
      <c r="F98" s="342" t="n">
        <v>0.0</v>
      </c>
      <c r="G98" s="11">
        <f t="shared" si="3"/>
        <v>0</v>
      </c>
    </row>
    <row r="99" spans="1:7" x14ac:dyDescent="0.45">
      <c r="A99">
        <v>88</v>
      </c>
      <c r="B99" s="340" t="n">
        <v>0.0</v>
      </c>
      <c r="C99" s="11">
        <f t="shared" si="2"/>
        <v>0</v>
      </c>
      <c r="E99" s="107">
        <v>88</v>
      </c>
      <c r="F99" s="342" t="n">
        <v>0.0</v>
      </c>
      <c r="G99" s="11">
        <f t="shared" si="3"/>
        <v>0</v>
      </c>
    </row>
    <row r="100" spans="1:7" x14ac:dyDescent="0.45">
      <c r="A100">
        <v>89</v>
      </c>
      <c r="B100" s="340" t="n">
        <v>0.0</v>
      </c>
      <c r="C100" s="11">
        <f t="shared" si="2"/>
        <v>0</v>
      </c>
      <c r="E100" s="108">
        <v>89</v>
      </c>
      <c r="F100" s="342" t="n">
        <v>0.0</v>
      </c>
      <c r="G100" s="11">
        <f t="shared" si="3"/>
        <v>0</v>
      </c>
    </row>
    <row r="101" spans="1:7" ht="14.65" thickBot="1" x14ac:dyDescent="0.5">
      <c r="A101" s="1">
        <v>90</v>
      </c>
      <c r="B101" s="341" t="n">
        <v>0.0</v>
      </c>
      <c r="C101" s="11">
        <f t="shared" si="2"/>
        <v>0</v>
      </c>
      <c r="E101" s="292">
        <v>90</v>
      </c>
      <c r="F101" s="343" t="n">
        <v>0.0</v>
      </c>
      <c r="G101" s="11">
        <f t="shared" si="3"/>
        <v>0</v>
      </c>
    </row>
    <row r="102" spans="1:7" x14ac:dyDescent="0.45">
      <c r="B102" s="340">
        <f>SUM(B11:B101)</f>
        <v>1084614.657271334</v>
      </c>
      <c r="C102" s="11">
        <f t="shared" si="2"/>
        <v>1</v>
      </c>
      <c r="F102" s="340">
        <f>SUM(F11:F101)</f>
        <v>1159437</v>
      </c>
      <c r="G102" s="11">
        <f t="shared" si="3"/>
        <v>1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102"/>
  <sheetViews>
    <sheetView workbookViewId="0">
      <selection activeCell="A6" sqref="A6"/>
    </sheetView>
  </sheetViews>
  <sheetFormatPr defaultRowHeight="14.25" x14ac:dyDescent="0.45"/>
  <cols>
    <col min="2" max="2" bestFit="true" customWidth="true" width="9.59765625" collapsed="true"/>
  </cols>
  <sheetData>
    <row r="1" spans="1:12" x14ac:dyDescent="0.45">
      <c r="A1" t="s">
        <v>0</v>
      </c>
    </row>
    <row r="2" spans="1:12" x14ac:dyDescent="0.45">
      <c r="A2" t="s">
        <v>243</v>
      </c>
    </row>
    <row r="3" spans="1:12" x14ac:dyDescent="0.45">
      <c r="A3" t="s">
        <v>245</v>
      </c>
    </row>
    <row r="4" spans="1:12" x14ac:dyDescent="0.45">
      <c r="A4" t="s">
        <v>7</v>
      </c>
    </row>
    <row r="5" spans="1:12" x14ac:dyDescent="0.45">
      <c r="A5" t="s">
        <v>8</v>
      </c>
    </row>
    <row r="7" spans="1:12" x14ac:dyDescent="0.45">
      <c r="A7" t="s">
        <v>9</v>
      </c>
    </row>
    <row r="9" spans="1:12" ht="14.65" thickBot="1" x14ac:dyDescent="0.5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4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35</v>
      </c>
      <c r="J10" s="2"/>
      <c r="K10" s="5" t="s">
        <v>35</v>
      </c>
      <c r="L10" s="5" t="s">
        <v>16</v>
      </c>
    </row>
    <row r="11" spans="1:12" x14ac:dyDescent="0.45">
      <c r="A11">
        <v>0</v>
      </c>
      <c r="B11" s="8" t="n">
        <v>3249.639193436</v>
      </c>
      <c r="C11" s="11">
        <f>B11/B$102</f>
        <v>2.9961232513779769E-3</v>
      </c>
      <c r="E11" s="109">
        <v>0</v>
      </c>
      <c r="F11" s="199" t="n">
        <v>19977.0</v>
      </c>
      <c r="G11" s="11">
        <f>F11/F$102</f>
        <v>1.6570111183272573E-2</v>
      </c>
      <c r="K11" s="8" t="n">
        <v>22.044502112060368</v>
      </c>
      <c r="L11" s="8" t="n">
        <v>18.14958540962926</v>
      </c>
    </row>
    <row r="12" spans="1:12" x14ac:dyDescent="0.45">
      <c r="A12">
        <v>1</v>
      </c>
      <c r="B12" s="8" t="n">
        <v>8994.442963914</v>
      </c>
      <c r="C12" s="11">
        <f>B12/B$102</f>
        <v>8.2927543931059864E-3</v>
      </c>
      <c r="E12" s="110">
        <v>1</v>
      </c>
      <c r="F12" s="200" t="n">
        <v>24622.0</v>
      </c>
      <c r="G12" s="11">
        <f>F12/F$102</f>
        <v>2.1115420673999536E-2</v>
      </c>
      <c r="K12" s="8"/>
      <c r="L12" s="290"/>
    </row>
    <row r="13" spans="1:12" x14ac:dyDescent="0.45">
      <c r="A13">
        <v>2</v>
      </c>
      <c r="B13" s="8" t="n">
        <v>6481.4583239668</v>
      </c>
      <c r="C13" s="11">
        <f t="shared" ref="C13:C76" si="0">B13/B$102</f>
        <v>5.975816646506333E-3</v>
      </c>
      <c r="E13" s="111">
        <v>2</v>
      </c>
      <c r="F13" s="201" t="n">
        <v>32319.0</v>
      </c>
      <c r="G13" s="11">
        <f t="shared" ref="G13:G76" si="1">F13/F$102</f>
        <v>2.7515078438932E-2</v>
      </c>
    </row>
    <row r="14" spans="1:12" x14ac:dyDescent="0.45">
      <c r="A14">
        <v>3</v>
      </c>
      <c r="B14" s="8" t="n">
        <v>13410.4364685028</v>
      </c>
      <c r="C14" s="11">
        <f t="shared" si="0"/>
        <v>1.2364240496473356E-2</v>
      </c>
      <c r="E14" s="112">
        <v>3</v>
      </c>
      <c r="F14" s="202" t="n">
        <v>35993.0</v>
      </c>
      <c r="G14" s="11">
        <f t="shared" si="1"/>
        <v>3.0633833489874827E-2</v>
      </c>
    </row>
    <row r="15" spans="1:12" x14ac:dyDescent="0.45">
      <c r="A15">
        <v>4</v>
      </c>
      <c r="B15" s="8" t="n">
        <v>15732.1738695716</v>
      </c>
      <c r="C15" s="11">
        <f t="shared" si="0"/>
        <v>1.4504850883308631E-2</v>
      </c>
      <c r="E15" s="113">
        <v>4</v>
      </c>
      <c r="F15" s="203" t="n">
        <v>36409.0</v>
      </c>
      <c r="G15" s="11">
        <f t="shared" si="1"/>
        <v>3.1238437276022761E-2</v>
      </c>
    </row>
    <row r="16" spans="1:12" x14ac:dyDescent="0.45">
      <c r="A16">
        <v>5</v>
      </c>
      <c r="B16" s="8" t="n">
        <v>27284.6660019498</v>
      </c>
      <c r="C16" s="11">
        <f t="shared" si="0"/>
        <v>2.5156091906956494E-2</v>
      </c>
      <c r="E16" s="114">
        <v>5</v>
      </c>
      <c r="F16" s="204" t="n">
        <v>35870.0</v>
      </c>
      <c r="G16" s="11">
        <f t="shared" si="1"/>
        <v>3.1113376578460063E-2</v>
      </c>
    </row>
    <row r="17" spans="1:7" x14ac:dyDescent="0.45">
      <c r="A17">
        <v>6</v>
      </c>
      <c r="B17" s="8" t="n">
        <v>20718.3833740567</v>
      </c>
      <c r="C17" s="11">
        <f t="shared" si="0"/>
        <v>1.9102068402966136E-2</v>
      </c>
      <c r="E17" s="115">
        <v>6</v>
      </c>
      <c r="F17" s="205" t="n">
        <v>34704.0</v>
      </c>
      <c r="G17" s="11">
        <f t="shared" si="1"/>
        <v>2.9823095174640796E-2</v>
      </c>
    </row>
    <row r="18" spans="1:7" x14ac:dyDescent="0.45">
      <c r="A18">
        <v>7</v>
      </c>
      <c r="B18" s="8" t="n">
        <v>30173.7350431029</v>
      </c>
      <c r="C18" s="11">
        <f t="shared" si="0"/>
        <v>2.7819774369464791E-2</v>
      </c>
      <c r="E18" s="116">
        <v>7</v>
      </c>
      <c r="F18" s="206" t="n">
        <v>33087.0</v>
      </c>
      <c r="G18" s="11">
        <f t="shared" si="1"/>
        <v>2.8563863323319852E-2</v>
      </c>
    </row>
    <row r="19" spans="1:7" x14ac:dyDescent="0.45">
      <c r="A19">
        <v>8</v>
      </c>
      <c r="B19" s="8" t="n">
        <v>25448.3785387008</v>
      </c>
      <c r="C19" s="11">
        <f t="shared" si="0"/>
        <v>2.3463059777122732E-2</v>
      </c>
      <c r="E19" s="117">
        <v>8</v>
      </c>
      <c r="F19" s="207" t="n">
        <v>29998.0</v>
      </c>
      <c r="G19" s="11">
        <f t="shared" si="1"/>
        <v>2.6248946687055873E-2</v>
      </c>
    </row>
    <row r="20" spans="1:7" x14ac:dyDescent="0.45">
      <c r="A20">
        <v>9</v>
      </c>
      <c r="B20" s="8" t="n">
        <v>28266.9407356918</v>
      </c>
      <c r="C20" s="11">
        <f t="shared" si="0"/>
        <v>2.6061735885817332E-2</v>
      </c>
      <c r="E20" s="118">
        <v>9</v>
      </c>
      <c r="F20" s="208" t="n">
        <v>27536.0</v>
      </c>
      <c r="G20" s="11">
        <f t="shared" si="1"/>
        <v>2.3532973331021868E-2</v>
      </c>
    </row>
    <row r="21" spans="1:7" x14ac:dyDescent="0.45">
      <c r="A21">
        <v>10</v>
      </c>
      <c r="B21" s="8" t="n">
        <v>9402.210952161</v>
      </c>
      <c r="C21" s="11">
        <f t="shared" si="0"/>
        <v>8.6687109464434267E-3</v>
      </c>
      <c r="E21" s="119">
        <v>10</v>
      </c>
      <c r="F21" s="209" t="n">
        <v>24624.0</v>
      </c>
      <c r="G21" s="11">
        <f t="shared" si="1"/>
        <v>2.0930848334148384E-2</v>
      </c>
    </row>
    <row r="22" spans="1:7" x14ac:dyDescent="0.45">
      <c r="A22">
        <v>11</v>
      </c>
      <c r="B22" s="8" t="n">
        <v>16357.0607193858</v>
      </c>
      <c r="C22" s="11">
        <f t="shared" si="0"/>
        <v>1.5080988081552185E-2</v>
      </c>
      <c r="E22" s="120">
        <v>11</v>
      </c>
      <c r="F22" s="210" t="n">
        <v>21212.0</v>
      </c>
      <c r="G22" s="11">
        <f t="shared" si="1"/>
        <v>1.8212287515406184E-2</v>
      </c>
    </row>
    <row r="23" spans="1:7" x14ac:dyDescent="0.45">
      <c r="A23">
        <v>12</v>
      </c>
      <c r="B23" s="8" t="n">
        <v>35973.1581917681</v>
      </c>
      <c r="C23" s="11">
        <f t="shared" si="0"/>
        <v>3.3166763836908787E-2</v>
      </c>
      <c r="E23" s="121">
        <v>12</v>
      </c>
      <c r="F23" s="211" t="n">
        <v>18308.0</v>
      </c>
      <c r="G23" s="11">
        <f t="shared" si="1"/>
        <v>1.5632587195337048E-2</v>
      </c>
    </row>
    <row r="24" spans="1:7" x14ac:dyDescent="0.45">
      <c r="A24">
        <v>13</v>
      </c>
      <c r="B24" s="8" t="n">
        <v>30562.0903334039</v>
      </c>
      <c r="C24" s="11">
        <f t="shared" si="0"/>
        <v>2.8177832678650858E-2</v>
      </c>
      <c r="E24" s="122">
        <v>13</v>
      </c>
      <c r="F24" s="212" t="n">
        <v>15221.0</v>
      </c>
      <c r="G24" s="11">
        <f t="shared" si="1"/>
        <v>1.3138273144638304E-2</v>
      </c>
    </row>
    <row r="25" spans="1:7" x14ac:dyDescent="0.45">
      <c r="A25">
        <v>14</v>
      </c>
      <c r="B25" s="8" t="n">
        <v>23781.727154917</v>
      </c>
      <c r="C25" s="11">
        <f t="shared" si="0"/>
        <v>2.1926429811253794E-2</v>
      </c>
      <c r="E25" s="123">
        <v>14</v>
      </c>
      <c r="F25" s="213" t="n">
        <v>13152.0</v>
      </c>
      <c r="G25" s="11">
        <f t="shared" si="1"/>
        <v>1.1476259598408537E-2</v>
      </c>
    </row>
    <row r="26" spans="1:7" x14ac:dyDescent="0.45">
      <c r="A26">
        <v>15</v>
      </c>
      <c r="B26" s="8" t="n">
        <v>13959.3886464466</v>
      </c>
      <c r="C26" s="11">
        <f t="shared" si="0"/>
        <v>1.2870366957390682E-2</v>
      </c>
      <c r="E26" s="124">
        <v>15</v>
      </c>
      <c r="F26" s="214" t="n">
        <v>13121.0</v>
      </c>
      <c r="G26" s="11">
        <f t="shared" si="1"/>
        <v>1.11623141231477E-2</v>
      </c>
    </row>
    <row r="27" spans="1:7" x14ac:dyDescent="0.45">
      <c r="A27">
        <v>16</v>
      </c>
      <c r="B27" s="8" t="n">
        <v>47717.3405932231</v>
      </c>
      <c r="C27" s="11">
        <f t="shared" si="0"/>
        <v>4.3994740688153754E-2</v>
      </c>
      <c r="E27" s="125">
        <v>16</v>
      </c>
      <c r="F27" s="215" t="n">
        <v>13893.0</v>
      </c>
      <c r="G27" s="11">
        <f t="shared" si="1"/>
        <v>1.1581483081875083E-2</v>
      </c>
    </row>
    <row r="28" spans="1:7" x14ac:dyDescent="0.45">
      <c r="A28">
        <v>17</v>
      </c>
      <c r="B28" s="8" t="n">
        <v>24330.5023242691</v>
      </c>
      <c r="C28" s="11">
        <f t="shared" si="0"/>
        <v>2.2432393072650891E-2</v>
      </c>
      <c r="E28" s="126">
        <v>17</v>
      </c>
      <c r="F28" s="216" t="n">
        <v>11372.0</v>
      </c>
      <c r="G28" s="11">
        <f t="shared" si="1"/>
        <v>1.0252389737432909E-2</v>
      </c>
    </row>
    <row r="29" spans="1:7" x14ac:dyDescent="0.45">
      <c r="A29">
        <v>18</v>
      </c>
      <c r="B29" s="8" t="n">
        <v>74508.7350650528</v>
      </c>
      <c r="C29" s="11">
        <f t="shared" si="0"/>
        <v>6.8696042936116447E-2</v>
      </c>
      <c r="E29" s="127">
        <v>18</v>
      </c>
      <c r="F29" s="217" t="n">
        <v>145615.0</v>
      </c>
      <c r="G29" s="11">
        <f t="shared" si="1"/>
        <v>0.12519697059866125</v>
      </c>
    </row>
    <row r="30" spans="1:7" x14ac:dyDescent="0.45">
      <c r="A30">
        <v>19</v>
      </c>
      <c r="B30" s="8" t="n">
        <v>60713.3867129065</v>
      </c>
      <c r="C30" s="11">
        <f t="shared" si="0"/>
        <v>5.5976918904681594E-2</v>
      </c>
      <c r="E30" s="128">
        <v>19</v>
      </c>
      <c r="F30" s="218" t="n">
        <v>55662.0</v>
      </c>
      <c r="G30" s="11">
        <f t="shared" si="1"/>
        <v>4.6948648352605621E-2</v>
      </c>
    </row>
    <row r="31" spans="1:7" x14ac:dyDescent="0.45">
      <c r="A31">
        <v>20</v>
      </c>
      <c r="B31" s="8" t="n">
        <v>75940.4975286467</v>
      </c>
      <c r="C31" s="11">
        <f t="shared" si="0"/>
        <v>7.0016108504099742E-2</v>
      </c>
      <c r="E31" s="129">
        <v>20</v>
      </c>
      <c r="F31" s="219" t="n">
        <v>56945.0</v>
      </c>
      <c r="G31" s="11">
        <f t="shared" si="1"/>
        <v>4.78206232852669E-2</v>
      </c>
    </row>
    <row r="32" spans="1:7" x14ac:dyDescent="0.45">
      <c r="A32">
        <v>21</v>
      </c>
      <c r="B32" s="8" t="n">
        <v>50371.464672959</v>
      </c>
      <c r="C32" s="11">
        <f t="shared" si="0"/>
        <v>4.6441807083525105E-2</v>
      </c>
      <c r="E32" s="130">
        <v>21</v>
      </c>
      <c r="F32" s="220" t="n">
        <v>59703.0</v>
      </c>
      <c r="G32" s="11">
        <f t="shared" si="1"/>
        <v>5.0986815152526614E-2</v>
      </c>
    </row>
    <row r="33" spans="1:7" x14ac:dyDescent="0.45">
      <c r="A33">
        <v>22</v>
      </c>
      <c r="B33" s="8" t="n">
        <v>50603.223974949404</v>
      </c>
      <c r="C33" s="11">
        <f t="shared" si="0"/>
        <v>4.6655486015887551E-2</v>
      </c>
      <c r="E33" s="131">
        <v>22</v>
      </c>
      <c r="F33" s="221" t="n">
        <v>55373.0</v>
      </c>
      <c r="G33" s="11">
        <f t="shared" si="1"/>
        <v>4.7275531141407423E-2</v>
      </c>
    </row>
    <row r="34" spans="1:7" x14ac:dyDescent="0.45">
      <c r="A34">
        <v>23</v>
      </c>
      <c r="B34" s="8" t="n">
        <v>28526.9919163286</v>
      </c>
      <c r="C34" s="11">
        <f t="shared" si="0"/>
        <v>2.630149954648096E-2</v>
      </c>
      <c r="E34" s="132">
        <v>23</v>
      </c>
      <c r="F34" s="222" t="n">
        <v>39200.0</v>
      </c>
      <c r="G34" s="11">
        <f t="shared" si="1"/>
        <v>3.5217954921224696E-2</v>
      </c>
    </row>
    <row r="35" spans="1:7" x14ac:dyDescent="0.45">
      <c r="A35">
        <v>24</v>
      </c>
      <c r="B35" s="8" t="n">
        <v>28940.315724706</v>
      </c>
      <c r="C35" s="11">
        <f t="shared" si="0"/>
        <v>2.6682578490607751E-2</v>
      </c>
      <c r="E35" s="133">
        <v>24</v>
      </c>
      <c r="F35" s="223" t="n">
        <v>45087.0</v>
      </c>
      <c r="G35" s="11">
        <f t="shared" si="1"/>
        <v>3.3467105155346948E-2</v>
      </c>
    </row>
    <row r="36" spans="1:7" x14ac:dyDescent="0.45">
      <c r="A36">
        <v>25</v>
      </c>
      <c r="B36" s="8" t="n">
        <v>19019.0136060824</v>
      </c>
      <c r="C36" s="11">
        <f t="shared" si="0"/>
        <v>1.7535272530734832E-2</v>
      </c>
      <c r="E36" s="134">
        <v>25</v>
      </c>
      <c r="F36" s="224" t="n">
        <v>33761.0</v>
      </c>
      <c r="G36" s="11">
        <f t="shared" si="1"/>
        <v>3.4478803074250691E-2</v>
      </c>
    </row>
    <row r="37" spans="1:7" x14ac:dyDescent="0.45">
      <c r="A37">
        <v>26</v>
      </c>
      <c r="B37" s="8" t="n">
        <v>52228.4444612188</v>
      </c>
      <c r="C37" s="11">
        <f t="shared" si="0"/>
        <v>4.815391725630442E-2</v>
      </c>
      <c r="E37" s="135">
        <v>26</v>
      </c>
      <c r="F37" s="225" t="n">
        <v>34757.0</v>
      </c>
      <c r="G37" s="11">
        <f t="shared" si="1"/>
        <v>2.6256709075180455E-2</v>
      </c>
    </row>
    <row r="38" spans="1:7" x14ac:dyDescent="0.45">
      <c r="A38">
        <v>27</v>
      </c>
      <c r="B38" s="8" t="n">
        <v>6789.7577799092</v>
      </c>
      <c r="C38" s="11">
        <f t="shared" si="0"/>
        <v>6.2600645624602044E-3</v>
      </c>
      <c r="E38" s="136">
        <v>27</v>
      </c>
      <c r="F38" s="226" t="n">
        <v>20899.0</v>
      </c>
      <c r="G38" s="11">
        <f t="shared" si="1"/>
        <v>2.1356917193430951E-2</v>
      </c>
    </row>
    <row r="39" spans="1:7" x14ac:dyDescent="0.45">
      <c r="A39">
        <v>28</v>
      </c>
      <c r="B39" s="8" t="n">
        <v>20867.0564340776</v>
      </c>
      <c r="C39" s="11">
        <f t="shared" si="0"/>
        <v>1.923914294738999E-2</v>
      </c>
      <c r="E39" s="137">
        <v>28</v>
      </c>
      <c r="F39" s="227" t="n">
        <v>20314.0</v>
      </c>
      <c r="G39" s="11">
        <f t="shared" si="1"/>
        <v>1.8228674779224744E-2</v>
      </c>
    </row>
    <row r="40" spans="1:7" x14ac:dyDescent="0.45">
      <c r="A40">
        <v>29</v>
      </c>
      <c r="B40" s="8" t="n">
        <v>27093.851735659602</v>
      </c>
      <c r="C40" s="11">
        <f t="shared" si="0"/>
        <v>2.4980163742044682E-2</v>
      </c>
      <c r="E40" s="138">
        <v>29</v>
      </c>
      <c r="F40" s="228" t="n">
        <v>27673.0</v>
      </c>
      <c r="G40" s="11">
        <f t="shared" si="1"/>
        <v>1.7989765722501525E-2</v>
      </c>
    </row>
    <row r="41" spans="1:7" x14ac:dyDescent="0.45">
      <c r="A41">
        <v>30</v>
      </c>
      <c r="B41" s="8" t="n">
        <v>8397.9471511303</v>
      </c>
      <c r="C41" s="11">
        <f t="shared" si="0"/>
        <v>7.7427933458485577E-3</v>
      </c>
      <c r="E41" s="139">
        <v>30</v>
      </c>
      <c r="F41" s="229" t="n">
        <v>22412.0</v>
      </c>
      <c r="G41" s="11">
        <f t="shared" si="1"/>
        <v>2.2084856702002782E-2</v>
      </c>
    </row>
    <row r="42" spans="1:7" x14ac:dyDescent="0.45">
      <c r="A42">
        <v>31</v>
      </c>
      <c r="B42" s="8" t="n">
        <v>18689.9018747718</v>
      </c>
      <c r="C42" s="11">
        <f t="shared" si="0"/>
        <v>1.7231835979233143E-2</v>
      </c>
      <c r="E42" s="140">
        <v>31</v>
      </c>
      <c r="F42" s="230" t="n">
        <v>13565.0</v>
      </c>
      <c r="G42" s="11">
        <f t="shared" si="1"/>
        <v>1.4219832556663278E-2</v>
      </c>
    </row>
    <row r="43" spans="1:7" x14ac:dyDescent="0.45">
      <c r="A43">
        <v>32</v>
      </c>
      <c r="B43" s="8" t="n">
        <v>7258.5263503213</v>
      </c>
      <c r="C43" s="11">
        <f t="shared" si="0"/>
        <v>6.6922628250131238E-3</v>
      </c>
      <c r="E43" s="141">
        <v>32</v>
      </c>
      <c r="F43" s="231" t="n">
        <v>15191.0</v>
      </c>
      <c r="G43" s="11">
        <f t="shared" si="1"/>
        <v>1.1609945171665213E-2</v>
      </c>
    </row>
    <row r="44" spans="1:7" x14ac:dyDescent="0.45">
      <c r="A44">
        <v>33</v>
      </c>
      <c r="B44" s="8" t="n">
        <v>4916.6304158172</v>
      </c>
      <c r="C44" s="11">
        <f t="shared" si="0"/>
        <v>4.5330665438234287E-3</v>
      </c>
      <c r="E44" s="142">
        <v>33</v>
      </c>
      <c r="F44" s="232" t="n">
        <v>11983.0</v>
      </c>
      <c r="G44" s="11">
        <f t="shared" si="1"/>
        <v>1.3631616034333905E-2</v>
      </c>
    </row>
    <row r="45" spans="1:7" x14ac:dyDescent="0.45">
      <c r="A45">
        <v>34</v>
      </c>
      <c r="B45" s="8" t="n">
        <v>18046.0841538449</v>
      </c>
      <c r="C45" s="11">
        <f t="shared" si="0"/>
        <v>1.6638244774642E-2</v>
      </c>
      <c r="E45" s="143">
        <v>34</v>
      </c>
      <c r="F45" s="233" t="n">
        <v>8889.0</v>
      </c>
      <c r="G45" s="11">
        <f t="shared" si="1"/>
        <v>7.7710130002751334E-3</v>
      </c>
    </row>
    <row r="46" spans="1:7" x14ac:dyDescent="0.45">
      <c r="A46">
        <v>35</v>
      </c>
      <c r="B46" s="8" t="n">
        <v>11866.1300876208</v>
      </c>
      <c r="C46" s="11">
        <f t="shared" si="0"/>
        <v>1.0940410963533837E-2</v>
      </c>
      <c r="E46" s="144">
        <v>35</v>
      </c>
      <c r="F46" s="234" t="n">
        <v>8196.0</v>
      </c>
      <c r="G46" s="11">
        <f t="shared" si="1"/>
        <v>6.4997063229826199E-3</v>
      </c>
    </row>
    <row r="47" spans="1:7" x14ac:dyDescent="0.45">
      <c r="A47">
        <v>36</v>
      </c>
      <c r="B47" s="8" t="n">
        <v>4173.0593110587</v>
      </c>
      <c r="C47" s="11">
        <f t="shared" si="0"/>
        <v>3.8475040726051522E-3</v>
      </c>
      <c r="E47" s="145">
        <v>36</v>
      </c>
      <c r="F47" s="235" t="n">
        <v>7809.0</v>
      </c>
      <c r="G47" s="11">
        <f t="shared" si="1"/>
        <v>5.8821652232937194E-3</v>
      </c>
    </row>
    <row r="48" spans="1:7" x14ac:dyDescent="0.45">
      <c r="A48">
        <v>37</v>
      </c>
      <c r="B48" s="8" t="n">
        <v>7707.047703653</v>
      </c>
      <c r="C48" s="11">
        <f t="shared" si="0"/>
        <v>7.1057934280939327E-3</v>
      </c>
      <c r="E48" s="146">
        <v>37</v>
      </c>
      <c r="F48" s="236" t="n">
        <v>7150.0</v>
      </c>
      <c r="G48" s="11">
        <f t="shared" si="1"/>
        <v>5.492320841925866E-3</v>
      </c>
    </row>
    <row r="49" spans="1:7" x14ac:dyDescent="0.45">
      <c r="A49">
        <v>38</v>
      </c>
      <c r="B49" s="8" t="n">
        <v>12919.7518268293</v>
      </c>
      <c r="C49" s="11">
        <f t="shared" si="0"/>
        <v>1.1911835913533309E-2</v>
      </c>
      <c r="E49" s="147">
        <v>38</v>
      </c>
      <c r="F49" s="237" t="n">
        <v>4387.0</v>
      </c>
      <c r="G49" s="11">
        <f t="shared" si="1"/>
        <v>6.3142714955620703E-3</v>
      </c>
    </row>
    <row r="50" spans="1:7" x14ac:dyDescent="0.45">
      <c r="A50">
        <v>39</v>
      </c>
      <c r="B50" s="8" t="n">
        <v>4098.719595243</v>
      </c>
      <c r="C50" s="11">
        <f t="shared" si="0"/>
        <v>3.7789638631240052E-3</v>
      </c>
      <c r="E50" s="148">
        <v>39</v>
      </c>
      <c r="F50" s="238" t="n">
        <v>6515.0</v>
      </c>
      <c r="G50" s="11">
        <f t="shared" si="1"/>
        <v>3.4128633121075142E-3</v>
      </c>
    </row>
    <row r="51" spans="1:7" x14ac:dyDescent="0.45">
      <c r="A51">
        <v>40</v>
      </c>
      <c r="B51" s="8" t="n">
        <v>4200.214338168</v>
      </c>
      <c r="C51" s="11">
        <f t="shared" si="0"/>
        <v>3.8725406392117814E-3</v>
      </c>
      <c r="E51" s="149">
        <v>40</v>
      </c>
      <c r="F51" s="239" t="n">
        <v>3549.0</v>
      </c>
      <c r="G51" s="11">
        <f t="shared" si="1"/>
        <v>3.0290563437254461E-3</v>
      </c>
    </row>
    <row r="52" spans="1:7" x14ac:dyDescent="0.45">
      <c r="A52">
        <v>41</v>
      </c>
      <c r="B52" s="8" t="n">
        <v>7084.990707204</v>
      </c>
      <c r="C52" s="11">
        <f t="shared" si="0"/>
        <v>6.5322653162629835E-3</v>
      </c>
      <c r="E52" s="150">
        <v>41</v>
      </c>
      <c r="F52" s="240" t="n">
        <v>2725.0</v>
      </c>
      <c r="G52" s="11">
        <f t="shared" si="1"/>
        <v>2.7953222124186133E-3</v>
      </c>
    </row>
    <row r="53" spans="1:7" x14ac:dyDescent="0.45">
      <c r="A53">
        <v>42</v>
      </c>
      <c r="B53" s="8" t="n">
        <v>6386.2255665823</v>
      </c>
      <c r="C53" s="11">
        <f t="shared" si="0"/>
        <v>5.8880133361360991E-3</v>
      </c>
      <c r="E53" s="151">
        <v>42</v>
      </c>
      <c r="F53" s="241" t="n">
        <v>2323.0</v>
      </c>
      <c r="G53" s="11">
        <f t="shared" si="1"/>
        <v>2.2079681776586394E-3</v>
      </c>
    </row>
    <row r="54" spans="1:7" x14ac:dyDescent="0.45">
      <c r="A54">
        <v>43</v>
      </c>
      <c r="B54" s="8" t="n">
        <v>2407.4362884904</v>
      </c>
      <c r="C54" s="11">
        <f t="shared" si="0"/>
        <v>2.219623598437265E-3</v>
      </c>
      <c r="E54" s="152">
        <v>43</v>
      </c>
      <c r="F54" s="242" t="n">
        <v>2332.0</v>
      </c>
      <c r="G54" s="11">
        <f t="shared" si="1"/>
        <v>1.6188891677598697E-3</v>
      </c>
    </row>
    <row r="55" spans="1:7" x14ac:dyDescent="0.45">
      <c r="A55">
        <v>44</v>
      </c>
      <c r="B55" s="8" t="n">
        <v>504.15543064200006</v>
      </c>
      <c r="C55" s="11">
        <f t="shared" si="0"/>
        <v>4.6482446762276909E-4</v>
      </c>
      <c r="E55" s="153">
        <v>44</v>
      </c>
      <c r="F55" s="243" t="n">
        <v>1269.0</v>
      </c>
      <c r="G55" s="11">
        <f t="shared" si="1"/>
        <v>2.2234929539078018E-3</v>
      </c>
    </row>
    <row r="56" spans="1:7" x14ac:dyDescent="0.45">
      <c r="A56">
        <v>45</v>
      </c>
      <c r="B56" s="8" t="n">
        <v>48003.1108163998</v>
      </c>
      <c r="C56" s="11">
        <f t="shared" si="0"/>
        <v>4.4258216957131745E-2</v>
      </c>
      <c r="E56" s="154">
        <v>45</v>
      </c>
      <c r="F56" s="244" t="n">
        <v>1114.0</v>
      </c>
      <c r="G56" s="11">
        <f t="shared" si="1"/>
        <v>1.0582722476512308E-3</v>
      </c>
    </row>
    <row r="57" spans="1:7" x14ac:dyDescent="0.45">
      <c r="A57">
        <v>46</v>
      </c>
      <c r="B57" s="8" t="n">
        <v>1714.410481782</v>
      </c>
      <c r="C57" s="11">
        <f t="shared" si="0"/>
        <v>1.5806632063179948E-3</v>
      </c>
      <c r="E57" s="155">
        <v>46</v>
      </c>
      <c r="F57" s="245" t="n">
        <v>1435.0</v>
      </c>
      <c r="G57" s="11">
        <f t="shared" si="1"/>
        <v>1.1151964272314925E-3</v>
      </c>
    </row>
    <row r="58" spans="1:7" x14ac:dyDescent="0.45">
      <c r="A58">
        <v>47</v>
      </c>
      <c r="B58" s="8" t="n">
        <v>2727.623029583</v>
      </c>
      <c r="C58" s="11">
        <f t="shared" si="0"/>
        <v>2.5148314300353775E-3</v>
      </c>
      <c r="E58" s="156">
        <v>47</v>
      </c>
      <c r="F58" s="246" t="n">
        <v>1662.0</v>
      </c>
      <c r="G58" s="11">
        <f t="shared" si="1"/>
        <v>1.1005341385517281E-3</v>
      </c>
    </row>
    <row r="59" spans="1:7" x14ac:dyDescent="0.45">
      <c r="A59">
        <v>48</v>
      </c>
      <c r="B59" s="8" t="n">
        <v>2951.3552785406</v>
      </c>
      <c r="C59" s="11">
        <f t="shared" si="0"/>
        <v>2.7211095283974848E-3</v>
      </c>
      <c r="E59" s="157">
        <v>48</v>
      </c>
      <c r="F59" s="247" t="n">
        <v>634.0</v>
      </c>
      <c r="G59" s="11">
        <f t="shared" si="1"/>
        <v>7.960760265542673E-4</v>
      </c>
    </row>
    <row r="60" spans="1:7" x14ac:dyDescent="0.45">
      <c r="A60">
        <v>49</v>
      </c>
      <c r="B60" s="8" t="n">
        <v>0.0</v>
      </c>
      <c r="C60" s="11">
        <f t="shared" si="0"/>
        <v>0</v>
      </c>
      <c r="E60" s="158">
        <v>49</v>
      </c>
      <c r="F60" s="248" t="n">
        <v>742.0</v>
      </c>
      <c r="G60" s="11">
        <f t="shared" si="1"/>
        <v>5.8476657205178031E-4</v>
      </c>
    </row>
    <row r="61" spans="1:7" x14ac:dyDescent="0.45">
      <c r="A61">
        <v>50</v>
      </c>
      <c r="B61" s="8" t="n">
        <v>587.6179151199999</v>
      </c>
      <c r="C61" s="11">
        <f t="shared" si="0"/>
        <v>5.4177574605005321E-4</v>
      </c>
      <c r="E61" s="159">
        <v>50</v>
      </c>
      <c r="F61" s="249" t="n">
        <v>940.0</v>
      </c>
      <c r="G61" s="11">
        <f t="shared" si="1"/>
        <v>4.4935602365630905E-4</v>
      </c>
    </row>
    <row r="62" spans="1:7" x14ac:dyDescent="0.45">
      <c r="A62">
        <v>51</v>
      </c>
      <c r="B62" s="8" t="n">
        <v>3380.609785771</v>
      </c>
      <c r="C62" s="11">
        <f t="shared" si="0"/>
        <v>3.1168763607490923E-3</v>
      </c>
      <c r="E62" s="160">
        <v>51</v>
      </c>
      <c r="F62" s="250" t="n">
        <v>400.0</v>
      </c>
      <c r="G62" s="11">
        <f t="shared" si="1"/>
        <v>2.8203343519311527E-4</v>
      </c>
    </row>
    <row r="63" spans="1:7" x14ac:dyDescent="0.45">
      <c r="A63">
        <v>52</v>
      </c>
      <c r="B63" s="8" t="n">
        <v>3715.5722256538</v>
      </c>
      <c r="C63" s="11">
        <f t="shared" si="0"/>
        <v>3.4257071861829805E-3</v>
      </c>
      <c r="E63" s="161">
        <v>52</v>
      </c>
      <c r="F63" s="251" t="n">
        <v>930.0</v>
      </c>
      <c r="G63" s="11">
        <f t="shared" si="1"/>
        <v>3.3464517692638755E-4</v>
      </c>
    </row>
    <row r="64" spans="1:7" x14ac:dyDescent="0.45">
      <c r="A64">
        <v>53</v>
      </c>
      <c r="B64" s="8" t="n">
        <v>1014.60532883</v>
      </c>
      <c r="C64" s="11">
        <f t="shared" si="0"/>
        <v>9.3545234893149679E-4</v>
      </c>
      <c r="E64" s="162">
        <v>53</v>
      </c>
      <c r="F64" s="252" t="n">
        <v>314.0</v>
      </c>
      <c r="G64" s="11">
        <f t="shared" si="1"/>
        <v>1.7853492686536654E-4</v>
      </c>
    </row>
    <row r="65" spans="1:7" x14ac:dyDescent="0.45">
      <c r="A65">
        <v>54</v>
      </c>
      <c r="B65" s="8" t="n">
        <v>502.771848825</v>
      </c>
      <c r="C65" s="11">
        <f t="shared" si="0"/>
        <v>4.6354882395732125E-4</v>
      </c>
      <c r="E65" s="163">
        <v>54</v>
      </c>
      <c r="F65" s="253" t="n">
        <v>209.0</v>
      </c>
      <c r="G65" s="11">
        <f t="shared" si="1"/>
        <v>2.0440955394730373E-4</v>
      </c>
    </row>
    <row r="66" spans="1:7" x14ac:dyDescent="0.45">
      <c r="A66">
        <v>55</v>
      </c>
      <c r="B66" s="8" t="n">
        <v>0.0</v>
      </c>
      <c r="C66" s="11">
        <f t="shared" si="0"/>
        <v>0</v>
      </c>
      <c r="E66" s="164">
        <v>55</v>
      </c>
      <c r="F66" s="254" t="n">
        <v>219.0</v>
      </c>
      <c r="G66" s="11">
        <f t="shared" si="1"/>
        <v>1.9923462853091629E-4</v>
      </c>
    </row>
    <row r="67" spans="1:7" x14ac:dyDescent="0.45">
      <c r="A67">
        <v>56</v>
      </c>
      <c r="B67" s="8" t="n">
        <v>596.97480037</v>
      </c>
      <c r="C67" s="11">
        <f t="shared" si="0"/>
        <v>5.5040266731399786E-4</v>
      </c>
      <c r="E67" s="165">
        <v>56</v>
      </c>
      <c r="F67" s="255" t="n">
        <v>137.0</v>
      </c>
      <c r="G67" s="11">
        <f t="shared" si="1"/>
        <v>2.2855920589044511E-4</v>
      </c>
    </row>
    <row r="68" spans="1:7" x14ac:dyDescent="0.45">
      <c r="A68">
        <v>57</v>
      </c>
      <c r="B68" s="8" t="n">
        <v>1368.575112804</v>
      </c>
      <c r="C68" s="11">
        <f t="shared" si="0"/>
        <v>1.2618076877617083E-3</v>
      </c>
      <c r="E68" s="166">
        <v>57</v>
      </c>
      <c r="F68" s="256" t="n">
        <v>110.0</v>
      </c>
      <c r="G68" s="11">
        <f t="shared" si="1"/>
        <v>1.1298587159112569E-4</v>
      </c>
    </row>
    <row r="69" spans="1:7" x14ac:dyDescent="0.45">
      <c r="A69">
        <v>58</v>
      </c>
      <c r="B69" s="8" t="n">
        <v>289.5458823197</v>
      </c>
      <c r="C69" s="11">
        <f t="shared" si="0"/>
        <v>2.6695737548682724E-4</v>
      </c>
      <c r="E69" s="167">
        <v>58</v>
      </c>
      <c r="F69" s="257" t="n">
        <v>128.0</v>
      </c>
      <c r="G69" s="11">
        <f t="shared" si="1"/>
        <v>7.5898906107015737E-5</v>
      </c>
    </row>
    <row r="70" spans="1:7" x14ac:dyDescent="0.45">
      <c r="A70">
        <v>59</v>
      </c>
      <c r="B70" s="8" t="n">
        <v>745.084945988</v>
      </c>
      <c r="C70" s="11">
        <f t="shared" si="0"/>
        <v>6.8695821229493553E-4</v>
      </c>
      <c r="E70" s="168">
        <v>59</v>
      </c>
      <c r="F70" s="258" t="n">
        <v>68.0</v>
      </c>
      <c r="G70" s="11">
        <f t="shared" si="1"/>
        <v>9.0561194786780132E-5</v>
      </c>
    </row>
    <row r="71" spans="1:7" x14ac:dyDescent="0.45">
      <c r="A71">
        <v>60</v>
      </c>
      <c r="B71" s="8" t="n">
        <v>1271.3699490315</v>
      </c>
      <c r="C71" s="11">
        <f t="shared" si="0"/>
        <v>1.1721858454596247E-3</v>
      </c>
      <c r="E71" s="169">
        <v>60</v>
      </c>
      <c r="F71" s="259" t="n">
        <v>147.0</v>
      </c>
      <c r="G71" s="11">
        <f t="shared" si="1"/>
        <v>6.899900555183248E-5</v>
      </c>
    </row>
    <row r="72" spans="1:7" x14ac:dyDescent="0.45">
      <c r="A72">
        <v>61</v>
      </c>
      <c r="B72" s="8" t="n">
        <v>0.0</v>
      </c>
      <c r="C72" s="11">
        <f t="shared" si="0"/>
        <v>0</v>
      </c>
      <c r="E72" s="170">
        <v>61</v>
      </c>
      <c r="F72" s="260" t="n">
        <v>89.0</v>
      </c>
      <c r="G72" s="11">
        <f t="shared" si="1"/>
        <v>5.3474229302670178E-5</v>
      </c>
    </row>
    <row r="73" spans="1:7" x14ac:dyDescent="0.45">
      <c r="A73">
        <v>62</v>
      </c>
      <c r="B73" s="8" t="n">
        <v>101.05851781</v>
      </c>
      <c r="C73" s="11">
        <f t="shared" si="0"/>
        <v>9.3174582449625286E-5</v>
      </c>
      <c r="E73" s="171">
        <v>62</v>
      </c>
      <c r="F73" s="261" t="n">
        <v>49.0</v>
      </c>
      <c r="G73" s="11">
        <f t="shared" si="1"/>
        <v>4.9161791455680642E-5</v>
      </c>
    </row>
    <row r="74" spans="1:7" x14ac:dyDescent="0.45">
      <c r="A74">
        <v>63</v>
      </c>
      <c r="B74" s="8" t="n">
        <v>210.149659191</v>
      </c>
      <c r="C74" s="11">
        <f t="shared" si="0"/>
        <v>1.9375513486023969E-4</v>
      </c>
      <c r="E74" s="172">
        <v>63</v>
      </c>
      <c r="F74" s="262" t="n">
        <v>41.0</v>
      </c>
      <c r="G74" s="11">
        <f t="shared" si="1"/>
        <v>4.0536915761701584E-5</v>
      </c>
    </row>
    <row r="75" spans="1:7" x14ac:dyDescent="0.45">
      <c r="A75">
        <v>64</v>
      </c>
      <c r="B75" s="8" t="n">
        <v>0.0</v>
      </c>
      <c r="C75" s="11">
        <f t="shared" si="0"/>
        <v>0</v>
      </c>
      <c r="E75" s="173">
        <v>64</v>
      </c>
      <c r="F75" s="263" t="n">
        <v>65.0</v>
      </c>
      <c r="G75" s="11">
        <f t="shared" si="1"/>
        <v>3.5361990345314147E-5</v>
      </c>
    </row>
    <row r="76" spans="1:7" x14ac:dyDescent="0.45">
      <c r="A76">
        <v>65</v>
      </c>
      <c r="B76" s="8" t="n">
        <v>0.0</v>
      </c>
      <c r="C76" s="11">
        <f t="shared" si="0"/>
        <v>0</v>
      </c>
      <c r="E76" s="174">
        <v>65</v>
      </c>
      <c r="F76" s="264" t="n">
        <v>27.0</v>
      </c>
      <c r="G76" s="11">
        <f t="shared" si="1"/>
        <v>3.0187064928926711E-5</v>
      </c>
    </row>
    <row r="77" spans="1:7" x14ac:dyDescent="0.45">
      <c r="A77">
        <v>66</v>
      </c>
      <c r="B77" s="8" t="n">
        <v>617.666578062</v>
      </c>
      <c r="C77" s="11">
        <f t="shared" ref="C77:C102" si="2">B77/B$102</f>
        <v>5.6948020563904337E-4</v>
      </c>
      <c r="E77" s="175">
        <v>66</v>
      </c>
      <c r="F77" s="265" t="n">
        <v>24.0</v>
      </c>
      <c r="G77" s="11">
        <f t="shared" ref="G77:G102" si="3">F77/F$102</f>
        <v>2.4149651943141371E-5</v>
      </c>
    </row>
    <row r="78" spans="1:7" x14ac:dyDescent="0.45">
      <c r="A78">
        <v>67</v>
      </c>
      <c r="B78" s="8" t="n">
        <v>723.6581128263</v>
      </c>
      <c r="C78" s="11">
        <f t="shared" si="2"/>
        <v>6.6720296279867161E-4</v>
      </c>
      <c r="E78" s="176">
        <v>67</v>
      </c>
      <c r="F78" s="266" t="n">
        <v>19.0</v>
      </c>
      <c r="G78" s="11">
        <f t="shared" si="3"/>
        <v>1.3799801110366496E-5</v>
      </c>
    </row>
    <row r="79" spans="1:7" x14ac:dyDescent="0.45">
      <c r="A79">
        <v>68</v>
      </c>
      <c r="B79" s="8" t="n">
        <v>0.0</v>
      </c>
      <c r="C79" s="11">
        <f t="shared" si="2"/>
        <v>0</v>
      </c>
      <c r="E79" s="177">
        <v>68</v>
      </c>
      <c r="F79" s="267" t="n">
        <v>14.0</v>
      </c>
      <c r="G79" s="11">
        <f t="shared" si="3"/>
        <v>4.3124378469895305E-5</v>
      </c>
    </row>
    <row r="80" spans="1:7" x14ac:dyDescent="0.45">
      <c r="A80">
        <v>69</v>
      </c>
      <c r="B80" s="8" t="n">
        <v>62.0623590382</v>
      </c>
      <c r="C80" s="11">
        <f t="shared" si="2"/>
        <v>5.7220653088292238E-5</v>
      </c>
      <c r="E80" s="178">
        <v>69</v>
      </c>
      <c r="F80" s="268" t="n">
        <v>11.0</v>
      </c>
      <c r="G80" s="11">
        <f t="shared" si="3"/>
        <v>1.724975138795812E-5</v>
      </c>
    </row>
    <row r="81" spans="1:7" x14ac:dyDescent="0.45">
      <c r="A81">
        <v>70</v>
      </c>
      <c r="B81" s="8" t="n">
        <v>0.0</v>
      </c>
      <c r="C81" s="11">
        <f t="shared" si="2"/>
        <v>0</v>
      </c>
      <c r="E81" s="179">
        <v>70</v>
      </c>
      <c r="F81" s="269" t="n">
        <v>16.0</v>
      </c>
      <c r="G81" s="11">
        <f t="shared" si="3"/>
        <v>8.62487569397906E-6</v>
      </c>
    </row>
    <row r="82" spans="1:7" x14ac:dyDescent="0.45">
      <c r="A82">
        <v>71</v>
      </c>
      <c r="B82" s="8" t="n">
        <v>0.0</v>
      </c>
      <c r="C82" s="11">
        <f t="shared" si="2"/>
        <v>0</v>
      </c>
      <c r="E82" s="180">
        <v>71</v>
      </c>
      <c r="F82" s="270" t="n">
        <v>13.0</v>
      </c>
      <c r="G82" s="11">
        <f t="shared" si="3"/>
        <v>8.62487569397906E-6</v>
      </c>
    </row>
    <row r="83" spans="1:7" x14ac:dyDescent="0.45">
      <c r="A83">
        <v>72</v>
      </c>
      <c r="B83" s="8" t="n">
        <v>6950.415883637</v>
      </c>
      <c r="C83" s="11">
        <f t="shared" si="2"/>
        <v>6.40818915459137E-3</v>
      </c>
      <c r="E83" s="181">
        <v>72</v>
      </c>
      <c r="F83" s="271" t="n">
        <v>7.0</v>
      </c>
      <c r="G83" s="11">
        <f t="shared" si="3"/>
        <v>2.5874627081937182E-6</v>
      </c>
    </row>
    <row r="84" spans="1:7" x14ac:dyDescent="0.45">
      <c r="A84">
        <v>73</v>
      </c>
      <c r="B84" s="8" t="n">
        <v>0.0</v>
      </c>
      <c r="C84" s="11">
        <f t="shared" si="2"/>
        <v>0</v>
      </c>
      <c r="E84" s="182">
        <v>73</v>
      </c>
      <c r="F84" s="272" t="n">
        <v>4.0</v>
      </c>
      <c r="G84" s="11">
        <f t="shared" si="3"/>
        <v>7.7623881245811545E-6</v>
      </c>
    </row>
    <row r="85" spans="1:7" x14ac:dyDescent="0.45">
      <c r="A85">
        <v>74</v>
      </c>
      <c r="B85" s="8" t="n">
        <v>0.0</v>
      </c>
      <c r="C85" s="11">
        <f t="shared" si="2"/>
        <v>0</v>
      </c>
      <c r="E85" s="183">
        <v>74</v>
      </c>
      <c r="F85" s="273" t="n">
        <v>3.0</v>
      </c>
      <c r="G85" s="11">
        <f t="shared" si="3"/>
        <v>7.7623881245811545E-6</v>
      </c>
    </row>
    <row r="86" spans="1:7" x14ac:dyDescent="0.45">
      <c r="A86">
        <v>75</v>
      </c>
      <c r="B86" s="8" t="n">
        <v>667.663687339</v>
      </c>
      <c r="C86" s="11">
        <f t="shared" si="2"/>
        <v>6.1557686212604162E-4</v>
      </c>
      <c r="E86" s="184">
        <v>75</v>
      </c>
      <c r="F86" s="274" t="n">
        <v>5.0</v>
      </c>
      <c r="G86" s="11">
        <f t="shared" si="3"/>
        <v>3.4499502775916241E-6</v>
      </c>
    </row>
    <row r="87" spans="1:7" x14ac:dyDescent="0.45">
      <c r="A87">
        <v>76</v>
      </c>
      <c r="B87" s="8" t="n">
        <v>0.0</v>
      </c>
      <c r="C87" s="11">
        <f t="shared" si="2"/>
        <v>0</v>
      </c>
      <c r="E87" s="185">
        <v>76</v>
      </c>
      <c r="F87" s="275" t="n">
        <v>4.0</v>
      </c>
      <c r="G87" s="11">
        <f t="shared" si="3"/>
        <v>1.724975138795812E-6</v>
      </c>
    </row>
    <row r="88" spans="1:7" x14ac:dyDescent="0.45">
      <c r="A88">
        <v>77</v>
      </c>
      <c r="B88" s="8" t="n">
        <v>784.020975559</v>
      </c>
      <c r="C88" s="11">
        <f t="shared" si="2"/>
        <v>7.2285670334885054E-4</v>
      </c>
      <c r="E88" s="186">
        <v>77</v>
      </c>
      <c r="F88" s="276" t="n">
        <v>28.0</v>
      </c>
      <c r="G88" s="11">
        <f t="shared" si="3"/>
        <v>8.6248756939790602E-7</v>
      </c>
    </row>
    <row r="89" spans="1:7" x14ac:dyDescent="0.45">
      <c r="A89">
        <v>78</v>
      </c>
      <c r="B89" s="8" t="n">
        <v>0.0</v>
      </c>
      <c r="C89" s="11">
        <f t="shared" si="2"/>
        <v>0</v>
      </c>
      <c r="E89" s="187">
        <v>78</v>
      </c>
      <c r="F89" s="277" t="n">
        <v>4.0</v>
      </c>
      <c r="G89" s="11">
        <f t="shared" si="3"/>
        <v>2.5874627081937182E-6</v>
      </c>
    </row>
    <row r="90" spans="1:7" x14ac:dyDescent="0.45">
      <c r="A90">
        <v>79</v>
      </c>
      <c r="B90" s="8" t="n">
        <v>413.665615618</v>
      </c>
      <c r="C90" s="11">
        <f t="shared" si="2"/>
        <v>3.8139408576562758E-4</v>
      </c>
      <c r="E90" s="188">
        <v>79</v>
      </c>
      <c r="F90" s="278" t="n">
        <v>0.0</v>
      </c>
      <c r="G90" s="11">
        <f t="shared" si="3"/>
        <v>1.724975138795812E-6</v>
      </c>
    </row>
    <row r="91" spans="1:7" x14ac:dyDescent="0.45">
      <c r="A91">
        <v>80</v>
      </c>
      <c r="B91" s="8" t="n">
        <v>0.0</v>
      </c>
      <c r="C91" s="11">
        <f t="shared" si="2"/>
        <v>0</v>
      </c>
      <c r="E91" s="189">
        <v>80</v>
      </c>
      <c r="F91" s="279" t="n">
        <v>1.0</v>
      </c>
      <c r="G91" s="11">
        <f t="shared" si="3"/>
        <v>2.5874627081937182E-6</v>
      </c>
    </row>
    <row r="92" spans="1:7" x14ac:dyDescent="0.45">
      <c r="A92">
        <v>81</v>
      </c>
      <c r="B92" s="8" t="n">
        <v>0.0</v>
      </c>
      <c r="C92" s="11">
        <f t="shared" si="2"/>
        <v>0</v>
      </c>
      <c r="E92" s="190">
        <v>81</v>
      </c>
      <c r="F92" s="280" t="n">
        <v>3.0</v>
      </c>
      <c r="G92" s="11">
        <f t="shared" si="3"/>
        <v>0</v>
      </c>
    </row>
    <row r="93" spans="1:7" x14ac:dyDescent="0.45">
      <c r="A93">
        <v>82</v>
      </c>
      <c r="B93" s="8" t="n">
        <v>0.0</v>
      </c>
      <c r="C93" s="11">
        <f t="shared" si="2"/>
        <v>0</v>
      </c>
      <c r="E93" s="191">
        <v>82</v>
      </c>
      <c r="F93" s="281" t="n">
        <v>5.0</v>
      </c>
      <c r="G93" s="11">
        <f t="shared" si="3"/>
        <v>8.6248756939790602E-7</v>
      </c>
    </row>
    <row r="94" spans="1:7" x14ac:dyDescent="0.45">
      <c r="A94">
        <v>83</v>
      </c>
      <c r="B94" s="8" t="n">
        <v>39.1519720345</v>
      </c>
      <c r="C94" s="11">
        <f t="shared" si="2"/>
        <v>3.6097587075762234E-5</v>
      </c>
      <c r="E94" s="192">
        <v>83</v>
      </c>
      <c r="F94" s="282" t="n">
        <v>0.0</v>
      </c>
      <c r="G94" s="11">
        <f t="shared" si="3"/>
        <v>8.6248756939790602E-7</v>
      </c>
    </row>
    <row r="95" spans="1:7" x14ac:dyDescent="0.45">
      <c r="A95">
        <v>84</v>
      </c>
      <c r="B95" s="8" t="n">
        <v>2935.91546136</v>
      </c>
      <c r="C95" s="11">
        <f t="shared" si="2"/>
        <v>2.7068742264152643E-3</v>
      </c>
      <c r="E95" s="193">
        <v>84</v>
      </c>
      <c r="F95" s="283" t="n">
        <v>3.0</v>
      </c>
      <c r="G95" s="11">
        <f t="shared" si="3"/>
        <v>8.6248756939790602E-7</v>
      </c>
    </row>
    <row r="96" spans="1:7" x14ac:dyDescent="0.45">
      <c r="A96">
        <v>85</v>
      </c>
      <c r="B96" s="8" t="n">
        <v>0.0</v>
      </c>
      <c r="C96" s="11">
        <f t="shared" si="2"/>
        <v>0</v>
      </c>
      <c r="E96" s="194">
        <v>85</v>
      </c>
      <c r="F96" s="284" t="n">
        <v>0.0</v>
      </c>
      <c r="G96" s="11">
        <f t="shared" si="3"/>
        <v>0</v>
      </c>
    </row>
    <row r="97" spans="1:7" x14ac:dyDescent="0.45">
      <c r="A97">
        <v>86</v>
      </c>
      <c r="B97" s="8" t="n">
        <v>0.0</v>
      </c>
      <c r="C97" s="11">
        <f t="shared" si="2"/>
        <v>0</v>
      </c>
      <c r="E97" s="195">
        <v>86</v>
      </c>
      <c r="F97" s="285" t="n">
        <v>1.0</v>
      </c>
      <c r="G97" s="11">
        <f t="shared" si="3"/>
        <v>8.6248756939790602E-7</v>
      </c>
    </row>
    <row r="98" spans="1:7" x14ac:dyDescent="0.45">
      <c r="A98">
        <v>87</v>
      </c>
      <c r="B98" s="8" t="n">
        <v>0.0</v>
      </c>
      <c r="C98" s="11">
        <f t="shared" si="2"/>
        <v>0</v>
      </c>
      <c r="E98" s="196">
        <v>87</v>
      </c>
      <c r="F98" s="286" t="n">
        <v>0.0</v>
      </c>
      <c r="G98" s="11">
        <f t="shared" si="3"/>
        <v>0</v>
      </c>
    </row>
    <row r="99" spans="1:7" x14ac:dyDescent="0.45">
      <c r="A99">
        <v>88</v>
      </c>
      <c r="B99" s="8" t="n">
        <v>0.0</v>
      </c>
      <c r="C99" s="11">
        <f t="shared" si="2"/>
        <v>0</v>
      </c>
      <c r="E99" s="197">
        <v>88</v>
      </c>
      <c r="F99" s="287" t="n">
        <v>0.0</v>
      </c>
      <c r="G99" s="11">
        <f t="shared" si="3"/>
        <v>0</v>
      </c>
    </row>
    <row r="100" spans="1:7" x14ac:dyDescent="0.45">
      <c r="A100">
        <v>89</v>
      </c>
      <c r="B100" s="8" t="n">
        <v>0.0</v>
      </c>
      <c r="C100" s="11">
        <f t="shared" si="2"/>
        <v>0</v>
      </c>
      <c r="E100" s="198">
        <v>89</v>
      </c>
      <c r="F100" s="288" t="n">
        <v>2.0</v>
      </c>
      <c r="G100" s="11">
        <f t="shared" si="3"/>
        <v>0</v>
      </c>
    </row>
    <row r="101" spans="1:7" ht="14.65" thickBot="1" x14ac:dyDescent="0.5">
      <c r="A101" s="1">
        <v>90</v>
      </c>
      <c r="B101" s="9" t="n">
        <v>6136.7072054994</v>
      </c>
      <c r="C101" s="11">
        <f t="shared" si="2"/>
        <v>5.6579607922117555E-3</v>
      </c>
      <c r="E101" s="292">
        <v>90</v>
      </c>
      <c r="F101" s="292" t="n">
        <v>0.0</v>
      </c>
      <c r="G101" s="11">
        <f t="shared" si="3"/>
        <v>1.724975138795812E-6</v>
      </c>
    </row>
    <row r="102" spans="1:7" x14ac:dyDescent="0.45">
      <c r="B102" s="8">
        <f>SUM(B11:B101)</f>
        <v>1084614.6572713342</v>
      </c>
      <c r="C102" s="11">
        <f t="shared" si="2"/>
        <v>1</v>
      </c>
      <c r="F102" s="8">
        <f>SUM(F11:F101)</f>
        <v>1159437</v>
      </c>
      <c r="G102" s="11">
        <f t="shared" si="3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F41"/>
  <sheetViews>
    <sheetView topLeftCell="A10" workbookViewId="0">
      <selection activeCell="I44" sqref="I44"/>
    </sheetView>
  </sheetViews>
  <sheetFormatPr defaultRowHeight="14.25" x14ac:dyDescent="0.45"/>
  <cols>
    <col min="13" max="14" bestFit="true" customWidth="true" width="10.59765625" collapsed="true"/>
    <col min="15" max="18" bestFit="true" customWidth="true" width="11.59765625" collapsed="true"/>
    <col min="19" max="19" bestFit="true" customWidth="true" width="10.59765625" collapsed="true"/>
  </cols>
  <sheetData>
    <row r="1" spans="1:21" x14ac:dyDescent="0.45">
      <c r="A1" t="s">
        <v>2</v>
      </c>
    </row>
    <row r="2" spans="1:21" x14ac:dyDescent="0.45">
      <c r="A2" t="s">
        <v>243</v>
      </c>
    </row>
    <row r="3" spans="1:21" x14ac:dyDescent="0.45">
      <c r="A3" t="s">
        <v>14</v>
      </c>
    </row>
    <row r="5" spans="1:21" ht="14.65" thickBot="1" x14ac:dyDescent="0.5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4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45">
      <c r="A7" s="294" t="s">
        <v>248</v>
      </c>
      <c r="B7" s="12" t="n">
        <v>30516.464453899</v>
      </c>
      <c r="C7" s="12" t="n">
        <v>1319.807376248</v>
      </c>
      <c r="D7" s="12" t="n">
        <v>3040.7711595897</v>
      </c>
      <c r="E7" s="12" t="n">
        <v>3410.941196756</v>
      </c>
      <c r="F7" s="12" t="n">
        <v>3672.205598719</v>
      </c>
      <c r="G7" s="12" t="n">
        <v>1106.709116145</v>
      </c>
      <c r="H7" s="12" t="n">
        <v>2290.633530187</v>
      </c>
      <c r="I7" s="12"/>
      <c r="J7" s="12">
        <f>SUM(B7:I7)</f>
        <v>45357.532431543703</v>
      </c>
      <c r="K7" s="12"/>
      <c r="L7" t="str">
        <f>$A$7</f>
        <v>Bellevue</v>
      </c>
      <c r="M7" s="342" t="n">
        <v>32503.0</v>
      </c>
      <c r="N7" s="342" t="n">
        <v>3243.0</v>
      </c>
      <c r="O7" s="342" t="n">
        <v>4120.0</v>
      </c>
      <c r="P7" s="342" t="n">
        <v>2798.0</v>
      </c>
      <c r="Q7" s="342" t="n">
        <v>2884.0</v>
      </c>
      <c r="R7" s="342" t="n">
        <v>324.0</v>
      </c>
      <c r="S7" s="342" t="n">
        <v>8480.0</v>
      </c>
      <c r="T7" s="291"/>
      <c r="U7" s="12">
        <f>SUM(M7:T7)</f>
        <v>53499</v>
      </c>
    </row>
    <row r="8" spans="1:21" x14ac:dyDescent="0.45">
      <c r="A8" t="s">
        <v>249</v>
      </c>
      <c r="B8" s="12" t="n">
        <v>1765.2336084078</v>
      </c>
      <c r="C8" s="12" t="n">
        <v>355.77460079269997</v>
      </c>
      <c r="D8" s="12" t="n">
        <v>0.0</v>
      </c>
      <c r="E8" s="12" t="n">
        <v>80.1534960505</v>
      </c>
      <c r="F8" s="12" t="n">
        <v>102.702875</v>
      </c>
      <c r="G8" s="12" t="n">
        <v>131.494048378</v>
      </c>
      <c r="H8" s="12" t="n">
        <v>117.6075445587</v>
      </c>
      <c r="I8" s="12"/>
      <c r="J8" s="12">
        <f t="shared" ref="J8:J14" si="0">SUM(B8:I8)</f>
        <v>2552.9661731877</v>
      </c>
      <c r="K8" s="12"/>
      <c r="L8" t="str">
        <f>$A$8</f>
        <v>Bellevue Downtown</v>
      </c>
      <c r="M8" s="342" t="n">
        <v>2598.0</v>
      </c>
      <c r="N8" s="342" t="n">
        <v>924.0</v>
      </c>
      <c r="O8" s="342" t="n">
        <v>715.0</v>
      </c>
      <c r="P8" s="342" t="n">
        <v>230.0</v>
      </c>
      <c r="Q8" s="342" t="n">
        <v>349.0</v>
      </c>
      <c r="R8" s="342" t="n">
        <v>19.0</v>
      </c>
      <c r="S8" s="342" t="n">
        <v>775.0</v>
      </c>
      <c r="T8" s="291"/>
      <c r="U8" s="12">
        <f t="shared" ref="U8:U14" si="1">SUM(M8:T8)</f>
        <v>5477</v>
      </c>
    </row>
    <row r="9" spans="1:21" x14ac:dyDescent="0.45">
      <c r="A9" t="s">
        <v>250</v>
      </c>
      <c r="B9" s="12" t="n">
        <v>0.0</v>
      </c>
      <c r="C9" s="12" t="n">
        <v>0.0</v>
      </c>
      <c r="D9" s="12" t="n">
        <v>22861.903025398602</v>
      </c>
      <c r="E9" s="12" t="n">
        <v>3973.395168847</v>
      </c>
      <c r="F9" s="12" t="n">
        <v>1410.832695743</v>
      </c>
      <c r="G9" s="12" t="n">
        <v>462.673980303</v>
      </c>
      <c r="H9" s="12" t="n">
        <v>3702.905689416</v>
      </c>
      <c r="I9" s="12"/>
      <c r="J9" s="12">
        <f t="shared" si="0"/>
        <v>32411.710559707601</v>
      </c>
      <c r="K9" s="13"/>
      <c r="L9" t="str">
        <f>$A$9</f>
        <v>Kirkland</v>
      </c>
      <c r="M9" s="342" t="n">
        <v>2621.0</v>
      </c>
      <c r="N9" s="342" t="n">
        <v>564.0</v>
      </c>
      <c r="O9" s="342" t="n">
        <v>19281.0</v>
      </c>
      <c r="P9" s="342" t="n">
        <v>2252.0</v>
      </c>
      <c r="Q9" s="342" t="n">
        <v>1377.0</v>
      </c>
      <c r="R9" s="342" t="n">
        <v>70.0</v>
      </c>
      <c r="S9" s="342" t="n">
        <v>21267.0</v>
      </c>
      <c r="T9" s="291"/>
      <c r="U9" s="12">
        <f t="shared" si="1"/>
        <v>47461</v>
      </c>
    </row>
    <row r="10" spans="1:21" x14ac:dyDescent="0.45">
      <c r="A10" t="s">
        <v>251</v>
      </c>
      <c r="B10" s="12" t="n">
        <v>3023.1104186019998</v>
      </c>
      <c r="C10" s="12" t="n">
        <v>0.0</v>
      </c>
      <c r="D10" s="12" t="n">
        <v>2465.43626534</v>
      </c>
      <c r="E10" s="12" t="n">
        <v>31367.574942535</v>
      </c>
      <c r="F10" s="12" t="n">
        <v>453.746371195</v>
      </c>
      <c r="G10" s="12" t="n">
        <v>0.0</v>
      </c>
      <c r="H10" s="12" t="n">
        <v>2377.4846653</v>
      </c>
      <c r="I10" s="12"/>
      <c r="J10" s="12">
        <f t="shared" si="0"/>
        <v>39687.352662971993</v>
      </c>
      <c r="K10" s="13"/>
      <c r="L10" t="str">
        <f>$A$10</f>
        <v>Redmond</v>
      </c>
      <c r="M10" s="342" t="n">
        <v>5662.0</v>
      </c>
      <c r="N10" s="342" t="n">
        <v>504.0</v>
      </c>
      <c r="O10" s="342" t="n">
        <v>5963.0</v>
      </c>
      <c r="P10" s="342" t="n">
        <v>14157.0</v>
      </c>
      <c r="Q10" s="342" t="n">
        <v>416.0</v>
      </c>
      <c r="R10" s="342" t="n">
        <v>46.0</v>
      </c>
      <c r="S10" s="342" t="n">
        <v>12273.0</v>
      </c>
      <c r="T10" s="291"/>
      <c r="U10" s="12">
        <f t="shared" si="1"/>
        <v>39140</v>
      </c>
    </row>
    <row r="11" spans="1:21" x14ac:dyDescent="0.45">
      <c r="A11" t="s">
        <v>247</v>
      </c>
      <c r="B11" s="12" t="n">
        <v>2489.8988629343</v>
      </c>
      <c r="C11" s="12" t="n">
        <v>0.0</v>
      </c>
      <c r="D11" s="12" t="n">
        <v>638.857083462</v>
      </c>
      <c r="E11" s="12" t="n">
        <v>711.9697971848</v>
      </c>
      <c r="F11" s="12" t="n">
        <v>189341.9368765592</v>
      </c>
      <c r="G11" s="12" t="n">
        <v>12867.8462138333</v>
      </c>
      <c r="H11" s="12" t="n">
        <v>12898.9596568138</v>
      </c>
      <c r="I11" s="12"/>
      <c r="J11" s="12">
        <f t="shared" si="0"/>
        <v>218949.4684907874</v>
      </c>
      <c r="K11" s="13"/>
      <c r="L11" t="str">
        <f>$A$11</f>
        <v>Seattle</v>
      </c>
      <c r="M11" s="342" t="n">
        <v>1920.0</v>
      </c>
      <c r="N11" s="342" t="n">
        <v>674.0</v>
      </c>
      <c r="O11" s="342" t="n">
        <v>4103.0</v>
      </c>
      <c r="P11" s="342" t="n">
        <v>290.0</v>
      </c>
      <c r="Q11" s="342" t="n">
        <v>165640.0</v>
      </c>
      <c r="R11" s="342" t="n">
        <v>4413.0</v>
      </c>
      <c r="S11" s="342" t="n">
        <v>38826.0</v>
      </c>
      <c r="T11" s="291"/>
      <c r="U11" s="12">
        <f t="shared" si="1"/>
        <v>215972</v>
      </c>
    </row>
    <row r="12" spans="1:21" x14ac:dyDescent="0.45">
      <c r="A12" t="s">
        <v>252</v>
      </c>
      <c r="B12" s="12" t="n">
        <v>0.0</v>
      </c>
      <c r="C12" s="12" t="n">
        <v>0.0</v>
      </c>
      <c r="D12" s="12" t="n">
        <v>56.1388760904</v>
      </c>
      <c r="E12" s="12" t="n">
        <v>225.67193067099998</v>
      </c>
      <c r="F12" s="12" t="n">
        <v>7331.3033444148</v>
      </c>
      <c r="G12" s="12" t="n">
        <v>12142.626569464699</v>
      </c>
      <c r="H12" s="12" t="n">
        <v>524.8426222547</v>
      </c>
      <c r="I12" s="12"/>
      <c r="J12" s="12">
        <f t="shared" si="0"/>
        <v>20280.583342895599</v>
      </c>
      <c r="K12" s="13"/>
      <c r="L12" t="str">
        <f>$A$12</f>
        <v>Seattle Downtown</v>
      </c>
      <c r="M12" s="342" t="n">
        <v>554.0</v>
      </c>
      <c r="N12" s="342" t="n">
        <v>141.0</v>
      </c>
      <c r="O12" s="342" t="n">
        <v>191.0</v>
      </c>
      <c r="P12" s="342" t="n">
        <v>41.0</v>
      </c>
      <c r="Q12" s="342" t="n">
        <v>19852.0</v>
      </c>
      <c r="R12" s="342" t="n">
        <v>4664.0</v>
      </c>
      <c r="S12" s="342" t="n">
        <v>2020.0</v>
      </c>
      <c r="T12" s="291"/>
      <c r="U12" s="12">
        <f t="shared" si="1"/>
        <v>27434</v>
      </c>
    </row>
    <row r="13" spans="1:21" x14ac:dyDescent="0.45">
      <c r="A13" t="s">
        <v>253</v>
      </c>
      <c r="B13" s="12" t="n">
        <v>2336.997559295</v>
      </c>
      <c r="C13" s="12" t="n">
        <v>1118.7955351589999</v>
      </c>
      <c r="D13" s="12" t="n">
        <v>9652.422794497</v>
      </c>
      <c r="E13" s="12" t="n">
        <v>3036.762032086</v>
      </c>
      <c r="F13" s="12" t="n">
        <v>28462.528161741</v>
      </c>
      <c r="G13" s="12" t="n">
        <v>2882.672983305</v>
      </c>
      <c r="H13" s="12" t="n">
        <v>683280.8078995663</v>
      </c>
      <c r="I13" s="12"/>
      <c r="J13" s="12">
        <f t="shared" si="0"/>
        <v>730770.9869656493</v>
      </c>
      <c r="K13" s="13"/>
      <c r="L13" t="str">
        <f>$A$13</f>
        <v>Rest</v>
      </c>
      <c r="M13" s="342" t="n">
        <v>8660.0</v>
      </c>
      <c r="N13" s="342" t="n">
        <v>1178.0</v>
      </c>
      <c r="O13" s="342" t="n">
        <v>2572.0</v>
      </c>
      <c r="P13" s="342" t="n">
        <v>5773.0</v>
      </c>
      <c r="Q13" s="342" t="n">
        <v>12156.0</v>
      </c>
      <c r="R13" s="342" t="n">
        <v>680.0</v>
      </c>
      <c r="S13" s="342" t="n">
        <v>743566.0</v>
      </c>
      <c r="T13" s="291"/>
      <c r="U13" s="12">
        <f t="shared" si="1"/>
        <v>770454</v>
      </c>
    </row>
    <row r="14" spans="1:21" x14ac:dyDescent="0.4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t="shared" si="0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t="shared" si="1"/>
        <v>0</v>
      </c>
    </row>
    <row r="15" spans="1:21" ht="14.65" thickBot="1" x14ac:dyDescent="0.5">
      <c r="A15" s="1" t="s">
        <v>4</v>
      </c>
      <c r="B15" s="15">
        <f t="shared" ref="B15:J15" si="2">SUM(B7:B14)</f>
        <v>40131.704903138103</v>
      </c>
      <c r="C15" s="15">
        <f t="shared" si="2"/>
        <v>2794.3775121997</v>
      </c>
      <c r="D15" s="15">
        <f t="shared" si="2"/>
        <v>38715.529204377701</v>
      </c>
      <c r="E15" s="15">
        <f t="shared" si="2"/>
        <v>42806.4685641303</v>
      </c>
      <c r="F15" s="15">
        <f t="shared" si="2"/>
        <v>230775.25592337199</v>
      </c>
      <c r="G15" s="15">
        <f t="shared" si="2"/>
        <v>29594.022911429001</v>
      </c>
      <c r="H15" s="15">
        <f t="shared" si="2"/>
        <v>705193.2416080964</v>
      </c>
      <c r="I15" s="15">
        <f t="shared" si="2"/>
        <v>0</v>
      </c>
      <c r="J15" s="15">
        <f t="shared" si="2"/>
        <v>1090010.6006267434</v>
      </c>
      <c r="K15" s="12"/>
      <c r="L15" s="15" t="s">
        <v>4</v>
      </c>
      <c r="M15" s="15">
        <f t="shared" ref="M15:U15" si="3">SUM(M7:M14)</f>
        <v>55235</v>
      </c>
      <c r="N15" s="15">
        <f t="shared" si="3"/>
        <v>7188</v>
      </c>
      <c r="O15" s="15">
        <f t="shared" si="3"/>
        <v>37038</v>
      </c>
      <c r="P15" s="15">
        <f t="shared" si="3"/>
        <v>25343</v>
      </c>
      <c r="Q15" s="15">
        <f t="shared" si="3"/>
        <v>203071</v>
      </c>
      <c r="R15" s="15">
        <f t="shared" si="3"/>
        <v>10200</v>
      </c>
      <c r="S15" s="15">
        <f t="shared" si="3"/>
        <v>821362</v>
      </c>
      <c r="T15" s="15">
        <f t="shared" si="3"/>
        <v>0</v>
      </c>
      <c r="U15" s="15">
        <f t="shared" si="3"/>
        <v>1159437</v>
      </c>
    </row>
    <row r="18" spans="1:32" ht="14.65" thickBot="1" x14ac:dyDescent="0.5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4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45">
      <c r="A20" t="str">
        <f>$A$7</f>
        <v>Bellevue</v>
      </c>
      <c r="B20" s="12">
        <f t="shared" ref="B20:G20" si="4">($U7/$J7)*B7</f>
        <v>35994.02887013663</v>
      </c>
      <c r="C20" s="12">
        <f t="shared" si="4"/>
        <v>1556.70670419424</v>
      </c>
      <c r="D20" s="12">
        <f t="shared" si="4"/>
        <v>3586.5755376444481</v>
      </c>
      <c r="E20" s="12">
        <f t="shared" si="4"/>
        <v>4023.189386694743</v>
      </c>
      <c r="F20" s="12">
        <f t="shared" si="4"/>
        <v>4331.3495420496238</v>
      </c>
      <c r="G20" s="12">
        <f t="shared" si="4"/>
        <v>1305.3582906874697</v>
      </c>
      <c r="H20" s="12">
        <f t="shared" ref="H20" si="5">($U7/$J7)*H7</f>
        <v>2701.7916685928394</v>
      </c>
      <c r="I20" s="12"/>
      <c r="J20" s="12">
        <f>SUM(B20:I20)</f>
        <v>53499</v>
      </c>
      <c r="K20" s="12"/>
      <c r="L20" t="str">
        <f>$A$7</f>
        <v>Bellevue</v>
      </c>
      <c r="M20" s="12">
        <f t="shared" ref="M20:M26" si="6">M7</f>
        <v>32163</v>
      </c>
      <c r="N20" s="12">
        <f t="shared" ref="N20:U20" si="7">N7</f>
        <v>3131</v>
      </c>
      <c r="O20" s="12">
        <f t="shared" si="7"/>
        <v>3983</v>
      </c>
      <c r="P20" s="12">
        <f t="shared" si="7"/>
        <v>2717</v>
      </c>
      <c r="Q20" s="12">
        <f t="shared" si="7"/>
        <v>2964</v>
      </c>
      <c r="R20" s="12">
        <f t="shared" si="7"/>
        <v>316</v>
      </c>
      <c r="S20" s="12">
        <f t="shared" ref="S20" si="8">S7</f>
        <v>8225</v>
      </c>
      <c r="T20" s="12"/>
      <c r="U20" s="12">
        <f t="shared" si="7"/>
        <v>53499</v>
      </c>
    </row>
    <row r="21" spans="1:32" x14ac:dyDescent="0.45">
      <c r="A21" t="str">
        <f>$A$8</f>
        <v>Bellevue Downtown</v>
      </c>
      <c r="B21" s="12">
        <f t="shared" ref="B21:G26" si="9">($U8/$J8)*B8</f>
        <v>3787.0397872046906</v>
      </c>
      <c r="C21" s="12">
        <f t="shared" si="9"/>
        <v>763.26020650268674</v>
      </c>
      <c r="D21" s="12">
        <f t="shared" si="9"/>
        <v>0</v>
      </c>
      <c r="E21" s="12">
        <f t="shared" si="9"/>
        <v>171.95711501356902</v>
      </c>
      <c r="F21" s="12">
        <f t="shared" si="9"/>
        <v>220.33337232692097</v>
      </c>
      <c r="G21" s="12">
        <f t="shared" si="9"/>
        <v>282.10044869770229</v>
      </c>
      <c r="H21" s="12">
        <f t="shared" ref="H21" si="10">($U8/$J8)*H8</f>
        <v>252.30907025443048</v>
      </c>
      <c r="I21" s="12"/>
      <c r="J21" s="12">
        <f t="shared" ref="J21:J27" si="11">SUM(B21:I21)</f>
        <v>5477</v>
      </c>
      <c r="K21" s="12"/>
      <c r="L21" t="str">
        <f>$A$8</f>
        <v>Bellevue Downtown</v>
      </c>
      <c r="M21" s="12">
        <f t="shared" si="6"/>
        <v>2533</v>
      </c>
      <c r="N21" s="12">
        <f t="shared" ref="N21:R26" si="12">N8</f>
        <v>882</v>
      </c>
      <c r="O21" s="12">
        <f t="shared" si="12"/>
        <v>709</v>
      </c>
      <c r="P21" s="12">
        <f t="shared" si="12"/>
        <v>218</v>
      </c>
      <c r="Q21" s="12">
        <f t="shared" si="12"/>
        <v>359</v>
      </c>
      <c r="R21" s="12">
        <f t="shared" si="12"/>
        <v>25</v>
      </c>
      <c r="S21" s="12">
        <f t="shared" ref="S21" si="13">S8</f>
        <v>751</v>
      </c>
      <c r="T21" s="12"/>
      <c r="U21" s="12">
        <f t="shared" ref="U21:U26" si="14">U8</f>
        <v>5477</v>
      </c>
    </row>
    <row r="22" spans="1:32" x14ac:dyDescent="0.45">
      <c r="A22" t="str">
        <f>$A$9</f>
        <v>Kirkland</v>
      </c>
      <c r="B22" s="12">
        <f t="shared" si="9"/>
        <v>0</v>
      </c>
      <c r="C22" s="12">
        <f t="shared" si="9"/>
        <v>0</v>
      </c>
      <c r="D22" s="12">
        <f t="shared" si="9"/>
        <v>33477.060011677204</v>
      </c>
      <c r="E22" s="12">
        <f t="shared" si="9"/>
        <v>5818.307792217578</v>
      </c>
      <c r="F22" s="12">
        <f t="shared" si="9"/>
        <v>2065.9054834303874</v>
      </c>
      <c r="G22" s="12">
        <f t="shared" si="9"/>
        <v>677.50110685175719</v>
      </c>
      <c r="H22" s="12">
        <f t="shared" ref="H22" si="15">($U9/$J9)*H9</f>
        <v>5422.2256058230769</v>
      </c>
      <c r="I22" s="12"/>
      <c r="J22" s="12">
        <f t="shared" si="11"/>
        <v>47461.000000000007</v>
      </c>
      <c r="K22" s="13"/>
      <c r="L22" t="str">
        <f>$A$9</f>
        <v>Kirkland</v>
      </c>
      <c r="M22" s="12">
        <f t="shared" si="6"/>
        <v>2644</v>
      </c>
      <c r="N22" s="12">
        <f t="shared" si="12"/>
        <v>635</v>
      </c>
      <c r="O22" s="12">
        <f t="shared" si="12"/>
        <v>19272</v>
      </c>
      <c r="P22" s="12">
        <f t="shared" si="12"/>
        <v>2163</v>
      </c>
      <c r="Q22" s="12">
        <f t="shared" si="12"/>
        <v>1422</v>
      </c>
      <c r="R22" s="12">
        <f t="shared" si="12"/>
        <v>62</v>
      </c>
      <c r="S22" s="12">
        <f t="shared" ref="S22" si="16">S9</f>
        <v>21263</v>
      </c>
      <c r="T22" s="12"/>
      <c r="U22" s="12">
        <f t="shared" si="14"/>
        <v>47461</v>
      </c>
    </row>
    <row r="23" spans="1:32" x14ac:dyDescent="0.45">
      <c r="A23" t="str">
        <f>$A$10</f>
        <v>Redmond</v>
      </c>
      <c r="B23" s="12">
        <f t="shared" si="9"/>
        <v>2981.4168455352324</v>
      </c>
      <c r="C23" s="12">
        <f t="shared" si="9"/>
        <v>0</v>
      </c>
      <c r="D23" s="12">
        <f t="shared" si="9"/>
        <v>2431.4339191346148</v>
      </c>
      <c r="E23" s="12">
        <f t="shared" si="9"/>
        <v>30934.965445459908</v>
      </c>
      <c r="F23" s="12">
        <f t="shared" si="9"/>
        <v>447.48847622537204</v>
      </c>
      <c r="G23" s="12">
        <f t="shared" si="9"/>
        <v>0</v>
      </c>
      <c r="H23" s="12">
        <f t="shared" ref="H23" si="17">($U10/$J10)*H10</f>
        <v>2344.6953136448778</v>
      </c>
      <c r="I23" s="12"/>
      <c r="J23" s="12">
        <f>SUM(B23:I23)</f>
        <v>39140.000000000007</v>
      </c>
      <c r="K23" s="13"/>
      <c r="L23" t="str">
        <f>$A$10</f>
        <v>Redmond</v>
      </c>
      <c r="M23" s="12">
        <f t="shared" si="6"/>
        <v>5833</v>
      </c>
      <c r="N23" s="12">
        <f t="shared" si="12"/>
        <v>532</v>
      </c>
      <c r="O23" s="12">
        <f t="shared" si="12"/>
        <v>6103</v>
      </c>
      <c r="P23" s="12">
        <f t="shared" si="12"/>
        <v>14060</v>
      </c>
      <c r="Q23" s="12">
        <f t="shared" si="12"/>
        <v>424</v>
      </c>
      <c r="R23" s="12">
        <f t="shared" si="12"/>
        <v>49</v>
      </c>
      <c r="S23" s="12">
        <f t="shared" ref="S23" si="18">S10</f>
        <v>12139</v>
      </c>
      <c r="T23" s="12"/>
      <c r="U23" s="12">
        <f t="shared" si="14"/>
        <v>39140</v>
      </c>
    </row>
    <row r="24" spans="1:32" x14ac:dyDescent="0.45">
      <c r="A24" t="str">
        <f>$A$11</f>
        <v>Seattle</v>
      </c>
      <c r="B24" s="12">
        <f t="shared" si="9"/>
        <v>2456.0390163645138</v>
      </c>
      <c r="C24" s="12">
        <f t="shared" si="9"/>
        <v>0</v>
      </c>
      <c r="D24" s="12">
        <f t="shared" si="9"/>
        <v>630.16933989616223</v>
      </c>
      <c r="E24" s="12">
        <f t="shared" si="9"/>
        <v>702.28780228377445</v>
      </c>
      <c r="F24" s="12">
        <f t="shared" si="9"/>
        <v>186767.09778276924</v>
      </c>
      <c r="G24" s="12">
        <f t="shared" si="9"/>
        <v>12692.857861908624</v>
      </c>
      <c r="H24" s="12">
        <f t="shared" ref="H24" si="19">($U11/$J11)*H11</f>
        <v>12723.548196777683</v>
      </c>
      <c r="I24" s="12"/>
      <c r="J24" s="12">
        <f t="shared" si="11"/>
        <v>215971.99999999997</v>
      </c>
      <c r="K24" s="13"/>
      <c r="L24" t="str">
        <f>$A$11</f>
        <v>Seattle</v>
      </c>
      <c r="M24" s="12">
        <f t="shared" si="6"/>
        <v>2458</v>
      </c>
      <c r="N24" s="12">
        <f t="shared" si="12"/>
        <v>663</v>
      </c>
      <c r="O24" s="12">
        <f t="shared" si="12"/>
        <v>4267</v>
      </c>
      <c r="P24" s="12">
        <f t="shared" si="12"/>
        <v>373</v>
      </c>
      <c r="Q24" s="12">
        <f t="shared" si="12"/>
        <v>165623</v>
      </c>
      <c r="R24" s="12">
        <f t="shared" si="12"/>
        <v>4390</v>
      </c>
      <c r="S24" s="12">
        <f t="shared" ref="S24" si="20">S11</f>
        <v>38198</v>
      </c>
      <c r="T24" s="12"/>
      <c r="U24" s="12">
        <f t="shared" si="14"/>
        <v>215972</v>
      </c>
    </row>
    <row r="25" spans="1:32" x14ac:dyDescent="0.45">
      <c r="A25" t="str">
        <f>$A$12</f>
        <v>Seattle Downtown</v>
      </c>
      <c r="B25" s="12">
        <f t="shared" si="9"/>
        <v>0</v>
      </c>
      <c r="C25" s="12">
        <f t="shared" si="9"/>
        <v>0</v>
      </c>
      <c r="D25" s="12">
        <f t="shared" si="9"/>
        <v>75.940316933908306</v>
      </c>
      <c r="E25" s="12">
        <f t="shared" si="9"/>
        <v>305.27148264682359</v>
      </c>
      <c r="F25" s="12">
        <f t="shared" si="9"/>
        <v>9917.2184818407368</v>
      </c>
      <c r="G25" s="12">
        <f t="shared" si="9"/>
        <v>16425.603330753729</v>
      </c>
      <c r="H25" s="12">
        <f t="shared" ref="H25:H26" si="21">($U12/$J12)*H12</f>
        <v>709.96638782480215</v>
      </c>
      <c r="I25" s="12"/>
      <c r="J25" s="12">
        <f t="shared" si="11"/>
        <v>27434</v>
      </c>
      <c r="K25" s="13"/>
      <c r="L25" t="str">
        <f>$A$12</f>
        <v>Seattle Downtown</v>
      </c>
      <c r="M25" s="12">
        <f t="shared" si="6"/>
        <v>547</v>
      </c>
      <c r="N25" s="12">
        <f t="shared" si="12"/>
        <v>158</v>
      </c>
      <c r="O25" s="12">
        <f t="shared" si="12"/>
        <v>155</v>
      </c>
      <c r="P25" s="12">
        <f t="shared" si="12"/>
        <v>41</v>
      </c>
      <c r="Q25" s="12">
        <f t="shared" si="12"/>
        <v>19923</v>
      </c>
      <c r="R25" s="12">
        <f t="shared" si="12"/>
        <v>4642</v>
      </c>
      <c r="S25" s="12">
        <f t="shared" ref="S25:S26" si="22">S12</f>
        <v>1968</v>
      </c>
      <c r="T25" s="12"/>
      <c r="U25" s="12">
        <f t="shared" si="14"/>
        <v>27434</v>
      </c>
    </row>
    <row r="26" spans="1:32" x14ac:dyDescent="0.45">
      <c r="A26" t="str">
        <f>$A$13</f>
        <v>Rest</v>
      </c>
      <c r="B26" s="12">
        <f t="shared" si="9"/>
        <v>2463.9033974589179</v>
      </c>
      <c r="C26" s="12">
        <f t="shared" si="9"/>
        <v>1179.5494219393665</v>
      </c>
      <c r="D26" s="12">
        <f t="shared" si="9"/>
        <v>10176.577730036461</v>
      </c>
      <c r="E26" s="12">
        <f t="shared" si="9"/>
        <v>3201.6671384064766</v>
      </c>
      <c r="F26" s="12">
        <f t="shared" si="9"/>
        <v>30008.127119798748</v>
      </c>
      <c r="G26" s="12">
        <f t="shared" si="9"/>
        <v>3039.2106012600489</v>
      </c>
      <c r="H26" s="12">
        <f t="shared" si="21"/>
        <v>720384.96459109988</v>
      </c>
      <c r="I26" s="12"/>
      <c r="J26" s="12">
        <f t="shared" si="11"/>
        <v>770453.99999999988</v>
      </c>
      <c r="K26" s="13"/>
      <c r="L26" t="str">
        <f>$A$13</f>
        <v>Rest</v>
      </c>
      <c r="M26" s="12">
        <f t="shared" si="6"/>
        <v>9057</v>
      </c>
      <c r="N26" s="12">
        <f t="shared" si="12"/>
        <v>1187</v>
      </c>
      <c r="O26" s="12">
        <f t="shared" si="12"/>
        <v>2549</v>
      </c>
      <c r="P26" s="12">
        <f t="shared" si="12"/>
        <v>5771</v>
      </c>
      <c r="Q26" s="12">
        <f t="shared" si="12"/>
        <v>12356</v>
      </c>
      <c r="R26" s="12">
        <f t="shared" si="12"/>
        <v>716</v>
      </c>
      <c r="S26" s="12">
        <f t="shared" si="22"/>
        <v>738818</v>
      </c>
      <c r="T26" s="12"/>
      <c r="U26" s="12">
        <f t="shared" si="14"/>
        <v>770454</v>
      </c>
    </row>
    <row r="27" spans="1:32" x14ac:dyDescent="0.45">
      <c r="A27" s="7" t="s">
        <v>13</v>
      </c>
      <c r="B27" s="14"/>
      <c r="C27" s="14"/>
      <c r="D27" s="14"/>
      <c r="E27" s="14"/>
      <c r="F27" s="14"/>
      <c r="G27" s="14"/>
      <c r="H27" s="12"/>
      <c r="I27" s="14"/>
      <c r="J27" s="12">
        <f t="shared" si="11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r="28" spans="1:32" ht="14.65" thickBot="1" x14ac:dyDescent="0.5">
      <c r="A28" s="1" t="s">
        <v>4</v>
      </c>
      <c r="B28" s="15">
        <f t="shared" ref="B28:J28" si="23">SUM(B20:B27)</f>
        <v>47682.427916699984</v>
      </c>
      <c r="C28" s="15">
        <f t="shared" si="23"/>
        <v>3499.5163326362936</v>
      </c>
      <c r="D28" s="15">
        <f t="shared" si="23"/>
        <v>50377.756855322805</v>
      </c>
      <c r="E28" s="15">
        <f t="shared" si="23"/>
        <v>45157.646162722871</v>
      </c>
      <c r="F28" s="15">
        <f t="shared" si="23"/>
        <v>233757.52025844101</v>
      </c>
      <c r="G28" s="15">
        <f t="shared" si="23"/>
        <v>34422.631640159336</v>
      </c>
      <c r="H28" s="15">
        <f t="shared" si="23"/>
        <v>744539.50083401764</v>
      </c>
      <c r="I28" s="15">
        <f t="shared" si="23"/>
        <v>0</v>
      </c>
      <c r="J28" s="15">
        <f t="shared" si="23"/>
        <v>1159437</v>
      </c>
      <c r="K28" s="12"/>
      <c r="L28" s="15" t="s">
        <v>4</v>
      </c>
      <c r="M28" s="15">
        <f t="shared" ref="M28:U28" si="24">M15</f>
        <v>55235</v>
      </c>
      <c r="N28" s="15">
        <f t="shared" si="24"/>
        <v>7188</v>
      </c>
      <c r="O28" s="15">
        <f t="shared" si="24"/>
        <v>37038</v>
      </c>
      <c r="P28" s="15">
        <f t="shared" si="24"/>
        <v>25343</v>
      </c>
      <c r="Q28" s="15">
        <f t="shared" si="24"/>
        <v>203071</v>
      </c>
      <c r="R28" s="15">
        <f t="shared" si="24"/>
        <v>10200</v>
      </c>
      <c r="S28" s="15">
        <f t="shared" si="24"/>
        <v>821362</v>
      </c>
      <c r="T28" s="15"/>
      <c r="U28" s="15">
        <f t="shared" si="24"/>
        <v>1159437</v>
      </c>
    </row>
    <row r="31" spans="1:32" ht="14.65" thickBot="1" x14ac:dyDescent="0.5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4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45">
      <c r="A33" t="str">
        <f>$A$7</f>
        <v>Bellevue</v>
      </c>
      <c r="B33" s="16">
        <f t="shared" ref="B33:G33" si="25">B20/$J$28</f>
        <v>3.1044402473042201E-2</v>
      </c>
      <c r="C33" s="16">
        <f t="shared" si="25"/>
        <v>1.3426401815659153E-3</v>
      </c>
      <c r="D33" s="16">
        <f t="shared" si="25"/>
        <v>3.0933768179249479E-3</v>
      </c>
      <c r="E33" s="16">
        <f t="shared" si="25"/>
        <v>3.4699508353578015E-3</v>
      </c>
      <c r="F33" s="16">
        <f t="shared" si="25"/>
        <v>3.7357351387351137E-3</v>
      </c>
      <c r="G33" s="16">
        <f t="shared" si="25"/>
        <v>1.125855299328441E-3</v>
      </c>
      <c r="H33" s="16">
        <f t="shared" ref="H33" si="26">H20/$J$28</f>
        <v>2.3302617292641509E-3</v>
      </c>
      <c r="I33" s="12"/>
      <c r="J33" s="16">
        <f t="shared" ref="J33:J39" si="27">J20/$J$28</f>
        <v>4.6142222475218576E-2</v>
      </c>
      <c r="K33" s="12"/>
      <c r="L33" t="str">
        <f>$A$7</f>
        <v>Bellevue</v>
      </c>
      <c r="M33" s="16">
        <f t="shared" ref="M33:R33" si="28">M20/$U$28</f>
        <v>2.7740187694544852E-2</v>
      </c>
      <c r="N33" s="16">
        <f t="shared" si="28"/>
        <v>2.7004485797848437E-3</v>
      </c>
      <c r="O33" s="16">
        <f t="shared" si="28"/>
        <v>3.4352879889118599E-3</v>
      </c>
      <c r="P33" s="16">
        <f t="shared" si="28"/>
        <v>2.3433787260541106E-3</v>
      </c>
      <c r="Q33" s="16">
        <f t="shared" si="28"/>
        <v>2.5564131556953936E-3</v>
      </c>
      <c r="R33" s="16">
        <f t="shared" si="28"/>
        <v>2.7254607192973829E-4</v>
      </c>
      <c r="S33" s="16">
        <f t="shared" ref="S33" si="29">S20/$U$28</f>
        <v>7.0939602582977771E-3</v>
      </c>
      <c r="T33" s="16"/>
      <c r="U33" s="16">
        <f t="shared" ref="U33:U39" si="30">U20/$U$28</f>
        <v>4.6142222475218576E-2</v>
      </c>
      <c r="W33" t="str">
        <f>$A$7</f>
        <v>Bellevue</v>
      </c>
      <c r="X33" s="16">
        <f t="shared" ref="X33:AD33" si="31">M33-B33</f>
        <v>-3.3042147784973497E-3</v>
      </c>
      <c r="Y33" s="16">
        <f t="shared" si="31"/>
        <v>1.3578083982189284E-3</v>
      </c>
      <c r="Z33" s="16">
        <f t="shared" si="31"/>
        <v>3.4191117098691199E-4</v>
      </c>
      <c r="AA33" s="16">
        <f t="shared" si="31"/>
        <v>-1.1265721093036908E-3</v>
      </c>
      <c r="AB33" s="16">
        <f t="shared" si="31"/>
        <v>-1.17932198303972E-3</v>
      </c>
      <c r="AC33" s="16">
        <f t="shared" si="31"/>
        <v>-8.5330922739870274E-4</v>
      </c>
      <c r="AD33" s="16">
        <f t="shared" si="31"/>
        <v>4.7636985290336262E-3</v>
      </c>
      <c r="AE33" s="16"/>
      <c r="AF33" s="16">
        <f t="shared" ref="AF33:AF39" si="32">U33-J33</f>
        <v>0</v>
      </c>
    </row>
    <row r="34" spans="1:32" x14ac:dyDescent="0.45">
      <c r="A34" t="str">
        <f>$A$8</f>
        <v>Bellevue Downtown</v>
      </c>
      <c r="B34" s="16">
        <f t="shared" ref="B34:G39" si="33">B21/$J$28</f>
        <v>3.266274741279337E-3</v>
      </c>
      <c r="C34" s="16">
        <f t="shared" si="33"/>
        <v>6.5830244032464614E-4</v>
      </c>
      <c r="D34" s="16">
        <f t="shared" si="33"/>
        <v>0</v>
      </c>
      <c r="E34" s="16">
        <f t="shared" si="33"/>
        <v>1.4831087416872931E-4</v>
      </c>
      <c r="F34" s="16">
        <f t="shared" si="33"/>
        <v>1.9003479475548991E-4</v>
      </c>
      <c r="G34" s="16">
        <f t="shared" si="33"/>
        <v>2.4330813032333995E-4</v>
      </c>
      <c r="H34" s="16">
        <f t="shared" ref="H34" si="34">H21/$J$28</f>
        <v>2.1761343674078925E-4</v>
      </c>
      <c r="I34" s="12"/>
      <c r="J34" s="16">
        <f t="shared" si="27"/>
        <v>4.7238444175923319E-3</v>
      </c>
      <c r="K34" s="12"/>
      <c r="L34" t="str">
        <f>$A$8</f>
        <v>Bellevue Downtown</v>
      </c>
      <c r="M34" s="16">
        <f t="shared" ref="M34:R39" si="35">M21/$U$28</f>
        <v>2.1846810132848961E-3</v>
      </c>
      <c r="N34" s="16">
        <f t="shared" si="35"/>
        <v>7.6071403620895316E-4</v>
      </c>
      <c r="O34" s="16">
        <f t="shared" si="35"/>
        <v>6.1150368670311538E-4</v>
      </c>
      <c r="P34" s="16">
        <f t="shared" si="35"/>
        <v>1.8802229012874352E-4</v>
      </c>
      <c r="Q34" s="16">
        <f t="shared" si="35"/>
        <v>3.0963303741384825E-4</v>
      </c>
      <c r="R34" s="16">
        <f t="shared" si="35"/>
        <v>2.1562189234947653E-5</v>
      </c>
      <c r="S34" s="16">
        <f t="shared" ref="S34" si="36">S21/$U$28</f>
        <v>6.4772816461782748E-4</v>
      </c>
      <c r="T34" s="16"/>
      <c r="U34" s="16">
        <f t="shared" si="30"/>
        <v>4.7238444175923319E-3</v>
      </c>
      <c r="W34" t="str">
        <f>$A$8</f>
        <v>Bellevue Downtown</v>
      </c>
      <c r="X34" s="16">
        <f t="shared" ref="X34:X38" si="37">M34-B34</f>
        <v>-1.0815937279944408E-3</v>
      </c>
      <c r="Y34" s="16">
        <f t="shared" ref="Y34:AD38" si="38">N34-C34</f>
        <v>1.0241159588430702E-4</v>
      </c>
      <c r="Z34" s="16">
        <f t="shared" si="38"/>
        <v>6.1150368670311538E-4</v>
      </c>
      <c r="AA34" s="16">
        <f t="shared" si="38"/>
        <v>3.9711415960014208E-5</v>
      </c>
      <c r="AB34" s="16">
        <f t="shared" si="38"/>
        <v>1.1959824265835833E-4</v>
      </c>
      <c r="AC34" s="16">
        <f t="shared" si="38"/>
        <v>-2.217459410883923E-4</v>
      </c>
      <c r="AD34" s="16">
        <f t="shared" si="38"/>
        <v>4.3011472787703826E-4</v>
      </c>
      <c r="AE34" s="16"/>
      <c r="AF34" s="16">
        <f t="shared" si="32"/>
        <v>0</v>
      </c>
    </row>
    <row r="35" spans="1:32" x14ac:dyDescent="0.45">
      <c r="A35" t="str">
        <f>$A$9</f>
        <v>Kirkland</v>
      </c>
      <c r="B35" s="16">
        <f t="shared" si="33"/>
        <v>0</v>
      </c>
      <c r="C35" s="16">
        <f t="shared" si="33"/>
        <v>0</v>
      </c>
      <c r="D35" s="16">
        <f t="shared" si="33"/>
        <v>2.8873548120059309E-2</v>
      </c>
      <c r="E35" s="16">
        <f t="shared" si="33"/>
        <v>5.0182181457186356E-3</v>
      </c>
      <c r="F35" s="16">
        <f t="shared" si="33"/>
        <v>1.7818177990096809E-3</v>
      </c>
      <c r="G35" s="16">
        <f t="shared" si="33"/>
        <v>5.843362829129631E-4</v>
      </c>
      <c r="H35" s="16">
        <f t="shared" ref="H35" si="39">H22/$J$28</f>
        <v>4.6766021834934342E-3</v>
      </c>
      <c r="I35" s="12"/>
      <c r="J35" s="16">
        <f t="shared" si="27"/>
        <v>4.0934522531194027E-2</v>
      </c>
      <c r="K35" s="13"/>
      <c r="L35" t="str">
        <f>$A$9</f>
        <v>Kirkland</v>
      </c>
      <c r="M35" s="16">
        <f t="shared" si="35"/>
        <v>2.2804171334880638E-3</v>
      </c>
      <c r="N35" s="16">
        <f t="shared" si="35"/>
        <v>5.4767960656767036E-4</v>
      </c>
      <c r="O35" s="16">
        <f t="shared" si="35"/>
        <v>1.6621860437436447E-2</v>
      </c>
      <c r="P35" s="16">
        <f t="shared" si="35"/>
        <v>1.8655606126076708E-3</v>
      </c>
      <c r="Q35" s="16">
        <f t="shared" si="35"/>
        <v>1.2264573236838224E-3</v>
      </c>
      <c r="R35" s="16">
        <f t="shared" si="35"/>
        <v>5.3474229302670178E-5</v>
      </c>
      <c r="S35" s="16">
        <f t="shared" ref="S35" si="40">S22/$U$28</f>
        <v>1.8339073188107676E-2</v>
      </c>
      <c r="T35" s="16"/>
      <c r="U35" s="16">
        <f t="shared" si="30"/>
        <v>4.093452253119402E-2</v>
      </c>
      <c r="W35" t="str">
        <f>$A$9</f>
        <v>Kirkland</v>
      </c>
      <c r="X35" s="16">
        <f t="shared" si="37"/>
        <v>2.2804171334880638E-3</v>
      </c>
      <c r="Y35" s="16">
        <f t="shared" si="38"/>
        <v>5.4767960656767036E-4</v>
      </c>
      <c r="Z35" s="16">
        <f t="shared" si="38"/>
        <v>-1.2251687682622862E-2</v>
      </c>
      <c r="AA35" s="16">
        <f t="shared" si="38"/>
        <v>-3.1526575331109648E-3</v>
      </c>
      <c r="AB35" s="16">
        <f t="shared" si="38"/>
        <v>-5.553604753258585E-4</v>
      </c>
      <c r="AC35" s="16">
        <f t="shared" si="38"/>
        <v>-5.3086205361029296E-4</v>
      </c>
      <c r="AD35" s="16">
        <f t="shared" si="38"/>
        <v>1.3662471004614242E-2</v>
      </c>
      <c r="AE35" s="16"/>
      <c r="AF35" s="16">
        <f t="shared" si="32"/>
        <v>0</v>
      </c>
    </row>
    <row r="36" spans="1:32" x14ac:dyDescent="0.45">
      <c r="A36" t="str">
        <f>$A$10</f>
        <v>Redmond</v>
      </c>
      <c r="B36" s="16">
        <f t="shared" si="33"/>
        <v>2.5714349684676551E-3</v>
      </c>
      <c r="C36" s="16">
        <f t="shared" si="33"/>
        <v>0</v>
      </c>
      <c r="D36" s="16">
        <f t="shared" si="33"/>
        <v>2.097081531066039E-3</v>
      </c>
      <c r="E36" s="16">
        <f t="shared" si="33"/>
        <v>2.6681023156462928E-2</v>
      </c>
      <c r="F36" s="16">
        <f t="shared" si="33"/>
        <v>3.8595324819319378E-4</v>
      </c>
      <c r="G36" s="16">
        <f t="shared" si="33"/>
        <v>0</v>
      </c>
      <c r="H36" s="16">
        <f t="shared" ref="H36" si="41">H23/$J$28</f>
        <v>2.0222705620442315E-3</v>
      </c>
      <c r="I36" s="12"/>
      <c r="J36" s="16">
        <f t="shared" si="27"/>
        <v>3.3757763466234048E-2</v>
      </c>
      <c r="K36" s="13"/>
      <c r="L36" t="str">
        <f>$A$10</f>
        <v>Redmond</v>
      </c>
      <c r="M36" s="16">
        <f t="shared" si="35"/>
        <v>5.0308899922979862E-3</v>
      </c>
      <c r="N36" s="16">
        <f t="shared" si="35"/>
        <v>4.5884338691968603E-4</v>
      </c>
      <c r="O36" s="16">
        <f t="shared" si="35"/>
        <v>5.263761636035421E-3</v>
      </c>
      <c r="P36" s="16">
        <f t="shared" si="35"/>
        <v>1.2126575225734558E-2</v>
      </c>
      <c r="Q36" s="16">
        <f t="shared" si="35"/>
        <v>3.6569472942471216E-4</v>
      </c>
      <c r="R36" s="16">
        <f t="shared" si="35"/>
        <v>4.2261890900497398E-5</v>
      </c>
      <c r="S36" s="16">
        <f t="shared" ref="S36" si="42">S23/$U$28</f>
        <v>1.0469736604921181E-2</v>
      </c>
      <c r="T36" s="16"/>
      <c r="U36" s="16">
        <f t="shared" si="30"/>
        <v>3.3757763466234041E-2</v>
      </c>
      <c r="W36" t="str">
        <f>$A$10</f>
        <v>Redmond</v>
      </c>
      <c r="X36" s="16">
        <f t="shared" si="37"/>
        <v>2.4594550238303311E-3</v>
      </c>
      <c r="Y36" s="16">
        <f t="shared" si="38"/>
        <v>4.5884338691968603E-4</v>
      </c>
      <c r="Z36" s="16">
        <f t="shared" si="38"/>
        <v>3.166680104969382E-3</v>
      </c>
      <c r="AA36" s="16">
        <f t="shared" si="38"/>
        <v>-1.4554447930728369E-2</v>
      </c>
      <c r="AB36" s="16">
        <f t="shared" si="38"/>
        <v>-2.0258518768481617E-5</v>
      </c>
      <c r="AC36" s="16">
        <f t="shared" si="38"/>
        <v>4.2261890900497398E-5</v>
      </c>
      <c r="AD36" s="16">
        <f t="shared" si="38"/>
        <v>8.4474660428769492E-3</v>
      </c>
      <c r="AE36" s="16"/>
      <c r="AF36" s="16">
        <f t="shared" si="32"/>
        <v>0</v>
      </c>
    </row>
    <row r="37" spans="1:32" x14ac:dyDescent="0.45">
      <c r="A37" t="str">
        <f>$A$11</f>
        <v>Seattle</v>
      </c>
      <c r="B37" s="16">
        <f t="shared" si="33"/>
        <v>2.1183031215706535E-3</v>
      </c>
      <c r="C37" s="16">
        <f t="shared" si="33"/>
        <v>0</v>
      </c>
      <c r="D37" s="16">
        <f t="shared" si="33"/>
        <v>5.4351322227612386E-4</v>
      </c>
      <c r="E37" s="16">
        <f t="shared" si="33"/>
        <v>6.0571449960952989E-4</v>
      </c>
      <c r="F37" s="16">
        <f t="shared" si="33"/>
        <v>0.16108430021016168</v>
      </c>
      <c r="G37" s="16">
        <f t="shared" si="33"/>
        <v>1.0947432126030672E-2</v>
      </c>
      <c r="H37" s="16">
        <f t="shared" ref="H37" si="43">H24/$J$28</f>
        <v>1.0973902158355895E-2</v>
      </c>
      <c r="I37" s="12"/>
      <c r="J37" s="16">
        <f t="shared" si="27"/>
        <v>0.18627316533800453</v>
      </c>
      <c r="K37" s="13"/>
      <c r="L37" t="str">
        <f>$A$11</f>
        <v>Seattle</v>
      </c>
      <c r="M37" s="16">
        <f t="shared" si="35"/>
        <v>2.1199944455800529E-3</v>
      </c>
      <c r="N37" s="16">
        <f t="shared" si="35"/>
        <v>5.7182925851081176E-4</v>
      </c>
      <c r="O37" s="16">
        <f t="shared" si="35"/>
        <v>3.6802344586208649E-3</v>
      </c>
      <c r="P37" s="16">
        <f t="shared" si="35"/>
        <v>3.2170786338541895E-4</v>
      </c>
      <c r="Q37" s="16">
        <f t="shared" si="35"/>
        <v>0.1428477787063894</v>
      </c>
      <c r="R37" s="16">
        <f t="shared" si="35"/>
        <v>3.7863204296568077E-3</v>
      </c>
      <c r="S37" s="16">
        <f t="shared" ref="S37" si="44">S24/$U$28</f>
        <v>3.2945300175861218E-2</v>
      </c>
      <c r="T37" s="16"/>
      <c r="U37" s="16">
        <f t="shared" si="30"/>
        <v>0.18627316533800456</v>
      </c>
      <c r="W37" t="str">
        <f>$A$11</f>
        <v>Seattle</v>
      </c>
      <c r="X37" s="16">
        <f t="shared" si="37"/>
        <v>1.691324009399451E-6</v>
      </c>
      <c r="Y37" s="16">
        <f t="shared" si="38"/>
        <v>5.7182925851081176E-4</v>
      </c>
      <c r="Z37" s="16">
        <f t="shared" si="38"/>
        <v>3.136721236344741E-3</v>
      </c>
      <c r="AA37" s="16">
        <f t="shared" si="38"/>
        <v>-2.8400663622411094E-4</v>
      </c>
      <c r="AB37" s="16">
        <f t="shared" si="38"/>
        <v>-1.8236521503772279E-2</v>
      </c>
      <c r="AC37" s="16">
        <f t="shared" si="38"/>
        <v>-7.1611116963738643E-3</v>
      </c>
      <c r="AD37" s="16">
        <f t="shared" si="38"/>
        <v>2.1971398017505323E-2</v>
      </c>
      <c r="AE37" s="16"/>
      <c r="AF37" s="16">
        <f t="shared" si="32"/>
        <v>0</v>
      </c>
    </row>
    <row r="38" spans="1:32" x14ac:dyDescent="0.45">
      <c r="A38" t="str">
        <f>$A$12</f>
        <v>Seattle Downtown</v>
      </c>
      <c r="B38" s="16">
        <f t="shared" si="33"/>
        <v>0</v>
      </c>
      <c r="C38" s="16">
        <f t="shared" si="33"/>
        <v>0</v>
      </c>
      <c r="D38" s="16">
        <f t="shared" si="33"/>
        <v>6.5497579371633216E-5</v>
      </c>
      <c r="E38" s="16">
        <f t="shared" si="33"/>
        <v>2.6329285907455394E-4</v>
      </c>
      <c r="F38" s="16">
        <f t="shared" si="33"/>
        <v>8.5534776635908093E-3</v>
      </c>
      <c r="G38" s="16">
        <f t="shared" si="33"/>
        <v>1.4166878692635934E-2</v>
      </c>
      <c r="H38" s="16">
        <f t="shared" ref="H38:H39" si="45">H25/$J$28</f>
        <v>6.1233718418922476E-4</v>
      </c>
      <c r="I38" s="12"/>
      <c r="J38" s="16">
        <f t="shared" si="27"/>
        <v>2.3661483978862155E-2</v>
      </c>
      <c r="K38" s="13"/>
      <c r="L38" t="str">
        <f>$A$12</f>
        <v>Seattle Downtown</v>
      </c>
      <c r="M38" s="16">
        <f t="shared" si="35"/>
        <v>4.7178070046065463E-4</v>
      </c>
      <c r="N38" s="16">
        <f t="shared" si="35"/>
        <v>1.3627303596486915E-4</v>
      </c>
      <c r="O38" s="16">
        <f t="shared" si="35"/>
        <v>1.3368557325667545E-4</v>
      </c>
      <c r="P38" s="16">
        <f t="shared" si="35"/>
        <v>3.5361990345314147E-5</v>
      </c>
      <c r="Q38" s="16">
        <f t="shared" si="35"/>
        <v>1.7183339845114481E-2</v>
      </c>
      <c r="R38" s="16">
        <f t="shared" si="35"/>
        <v>4.0036672971450801E-3</v>
      </c>
      <c r="S38" s="16">
        <f t="shared" ref="S38:S39" si="46">S25/$U$28</f>
        <v>1.6973755365750792E-3</v>
      </c>
      <c r="T38" s="16"/>
      <c r="U38" s="16">
        <f t="shared" si="30"/>
        <v>2.3661483978862155E-2</v>
      </c>
      <c r="W38" t="str">
        <f>$A$12</f>
        <v>Seattle Downtown</v>
      </c>
      <c r="X38" s="16">
        <f t="shared" si="37"/>
        <v>4.7178070046065463E-4</v>
      </c>
      <c r="Y38" s="16">
        <f t="shared" si="38"/>
        <v>1.3627303596486915E-4</v>
      </c>
      <c r="Z38" s="16">
        <f t="shared" si="38"/>
        <v>6.8187993885042235E-5</v>
      </c>
      <c r="AA38" s="16">
        <f t="shared" si="38"/>
        <v>-2.279308687292398E-4</v>
      </c>
      <c r="AB38" s="16">
        <f t="shared" si="38"/>
        <v>8.6298621815236714E-3</v>
      </c>
      <c r="AC38" s="16">
        <f t="shared" si="38"/>
        <v>-1.0163211395490854E-2</v>
      </c>
      <c r="AD38" s="16">
        <f t="shared" si="38"/>
        <v>1.0850383523858544E-3</v>
      </c>
      <c r="AE38" s="16"/>
      <c r="AF38" s="16">
        <f t="shared" si="32"/>
        <v>0</v>
      </c>
    </row>
    <row r="39" spans="1:32" x14ac:dyDescent="0.45">
      <c r="A39" t="str">
        <f>$A$13</f>
        <v>Rest</v>
      </c>
      <c r="B39" s="16">
        <f t="shared" si="33"/>
        <v>2.1250860525055849E-3</v>
      </c>
      <c r="C39" s="16">
        <f t="shared" si="33"/>
        <v>1.0173467139131893E-3</v>
      </c>
      <c r="D39" s="16">
        <f t="shared" si="33"/>
        <v>8.7771717911680064E-3</v>
      </c>
      <c r="E39" s="16">
        <f t="shared" si="33"/>
        <v>2.7613981082253514E-3</v>
      </c>
      <c r="F39" s="16">
        <f t="shared" si="33"/>
        <v>2.5881636621738608E-2</v>
      </c>
      <c r="G39" s="16">
        <f t="shared" si="33"/>
        <v>2.6212813643691282E-3</v>
      </c>
      <c r="H39" s="16">
        <f t="shared" si="45"/>
        <v>0.62132307714097434</v>
      </c>
      <c r="I39" s="12"/>
      <c r="J39" s="16">
        <f t="shared" si="27"/>
        <v>0.66450699779289424</v>
      </c>
      <c r="K39" s="13"/>
      <c r="L39" t="str">
        <f>$A$13</f>
        <v>Rest</v>
      </c>
      <c r="M39" s="16">
        <f t="shared" si="35"/>
        <v>7.811549916036835E-3</v>
      </c>
      <c r="N39" s="16">
        <f t="shared" si="35"/>
        <v>1.0237727448753145E-3</v>
      </c>
      <c r="O39" s="16">
        <f t="shared" si="35"/>
        <v>2.1984808143952627E-3</v>
      </c>
      <c r="P39" s="16">
        <f t="shared" si="35"/>
        <v>4.977415762995316E-3</v>
      </c>
      <c r="Q39" s="16">
        <f t="shared" si="35"/>
        <v>1.0656896407480528E-2</v>
      </c>
      <c r="R39" s="16">
        <f t="shared" si="35"/>
        <v>6.1754109968890079E-4</v>
      </c>
      <c r="S39" s="16">
        <f t="shared" si="46"/>
        <v>0.63722134104742212</v>
      </c>
      <c r="T39" s="16"/>
      <c r="U39" s="16">
        <f t="shared" si="30"/>
        <v>0.66450699779289435</v>
      </c>
      <c r="W39" t="str">
        <f>$A$13</f>
        <v>Rest</v>
      </c>
      <c r="X39" s="16">
        <f t="shared" ref="X39" si="47">M39-B39</f>
        <v>5.6864638635312501E-3</v>
      </c>
      <c r="Y39" s="16">
        <f t="shared" ref="Y39" si="48">N39-C39</f>
        <v>6.4260309621251392E-6</v>
      </c>
      <c r="Z39" s="16">
        <f t="shared" ref="Z39" si="49">O39-D39</f>
        <v>-6.5786909767727442E-3</v>
      </c>
      <c r="AA39" s="16">
        <f t="shared" ref="AA39" si="50">P39-E39</f>
        <v>2.2160176547699646E-3</v>
      </c>
      <c r="AB39" s="16">
        <f t="shared" ref="AB39" si="51">Q39-F39</f>
        <v>-1.5224740214258081E-2</v>
      </c>
      <c r="AC39" s="16">
        <f t="shared" ref="AC39:AD39" si="52">R39-G39</f>
        <v>-2.0037402646802273E-3</v>
      </c>
      <c r="AD39" s="16">
        <f t="shared" si="52"/>
        <v>1.5898263906447774E-2</v>
      </c>
      <c r="AE39" s="16"/>
      <c r="AF39" s="16">
        <f t="shared" si="32"/>
        <v>0</v>
      </c>
    </row>
    <row r="40" spans="1:32" x14ac:dyDescent="0.4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6"/>
      <c r="AE40" s="17"/>
      <c r="AF40" s="17"/>
    </row>
    <row r="41" spans="1:32" ht="14.65" thickBot="1" x14ac:dyDescent="0.5">
      <c r="A41" s="1" t="s">
        <v>4</v>
      </c>
      <c r="B41" s="18">
        <f t="shared" ref="B41:J41" si="53">B28/$J$28</f>
        <v>4.1125501356865428E-2</v>
      </c>
      <c r="C41" s="18">
        <f t="shared" si="53"/>
        <v>3.0182893358037511E-3</v>
      </c>
      <c r="D41" s="18">
        <f t="shared" si="53"/>
        <v>4.3450189061866068E-2</v>
      </c>
      <c r="E41" s="18">
        <f t="shared" si="53"/>
        <v>3.8947908478617531E-2</v>
      </c>
      <c r="F41" s="18">
        <f t="shared" si="53"/>
        <v>0.20161295547618457</v>
      </c>
      <c r="G41" s="18">
        <f t="shared" si="53"/>
        <v>2.9689091895600483E-2</v>
      </c>
      <c r="H41" s="18">
        <f t="shared" si="53"/>
        <v>0.64215606439506212</v>
      </c>
      <c r="I41" s="18">
        <f t="shared" si="53"/>
        <v>0</v>
      </c>
      <c r="J41" s="18">
        <f t="shared" si="53"/>
        <v>1</v>
      </c>
      <c r="K41" s="12"/>
      <c r="L41" s="15" t="s">
        <v>4</v>
      </c>
      <c r="M41" s="18">
        <f>M28/$U$28</f>
        <v>4.763950089569334E-2</v>
      </c>
      <c r="N41" s="18">
        <f>N28/$U$28</f>
        <v>6.1995606488321484E-3</v>
      </c>
      <c r="O41" s="18">
        <f>O28/$U$28</f>
        <v>3.1944814595359645E-2</v>
      </c>
      <c r="P41" s="18">
        <f>P28/$U$28</f>
        <v>2.1858022471251133E-2</v>
      </c>
      <c r="Q41" s="18">
        <f t="shared" ref="Q41:S41" si="54">Q28/$U$28</f>
        <v>0.17514621320520218</v>
      </c>
      <c r="R41" s="18">
        <f t="shared" si="54"/>
        <v>8.7973732078586424E-3</v>
      </c>
      <c r="S41" s="18">
        <f t="shared" si="54"/>
        <v>0.70841451497580288</v>
      </c>
      <c r="T41" s="18">
        <f>T28/$U$28</f>
        <v>0</v>
      </c>
      <c r="U41" s="18">
        <f>U28/$U$28</f>
        <v>1</v>
      </c>
      <c r="W41" s="15" t="s">
        <v>4</v>
      </c>
      <c r="X41" s="18">
        <f t="shared" ref="X41:AF41" si="55">M41-B41</f>
        <v>6.5139995388279123E-3</v>
      </c>
      <c r="Y41" s="18">
        <f t="shared" si="55"/>
        <v>3.1812713130283973E-3</v>
      </c>
      <c r="Z41" s="18">
        <f t="shared" si="55"/>
        <v>-1.1505374466506423E-2</v>
      </c>
      <c r="AA41" s="18">
        <f t="shared" si="55"/>
        <v>-1.7089886007366398E-2</v>
      </c>
      <c r="AB41" s="18">
        <f t="shared" si="55"/>
        <v>-2.6466742270982391E-2</v>
      </c>
      <c r="AC41" s="18">
        <f t="shared" si="55"/>
        <v>-2.0891718687741839E-2</v>
      </c>
      <c r="AD41" s="295">
        <f t="shared" si="55"/>
        <v>6.6258450580740758E-2</v>
      </c>
      <c r="AE41" s="18">
        <f t="shared" si="55"/>
        <v>0</v>
      </c>
      <c r="AF41" s="18">
        <f t="shared" si="55"/>
        <v>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5"/>
  <sheetViews>
    <sheetView workbookViewId="0">
      <selection activeCell="B3" sqref="B3"/>
    </sheetView>
  </sheetViews>
  <sheetFormatPr defaultRowHeight="14.25" x14ac:dyDescent="0.45"/>
  <sheetData>
    <row r="1" spans="1:3" x14ac:dyDescent="0.45">
      <c r="A1" s="10" t="s">
        <v>19</v>
      </c>
    </row>
    <row r="2" spans="1:3" x14ac:dyDescent="0.45">
      <c r="A2">
        <v>1</v>
      </c>
      <c r="B2" t="s">
        <v>246</v>
      </c>
    </row>
    <row r="3" spans="1:3" x14ac:dyDescent="0.45">
      <c r="B3" t="s">
        <v>20</v>
      </c>
      <c r="C3" t="s">
        <v>21</v>
      </c>
    </row>
    <row r="4" spans="1:3" x14ac:dyDescent="0.45">
      <c r="B4" t="s">
        <v>22</v>
      </c>
      <c r="C4" t="s">
        <v>23</v>
      </c>
    </row>
    <row r="5" spans="1:3" x14ac:dyDescent="0.45">
      <c r="B5" t="s">
        <v>24</v>
      </c>
      <c r="C5" t="s">
        <v>25</v>
      </c>
    </row>
    <row r="6" spans="1:3" x14ac:dyDescent="0.45">
      <c r="B6" t="s">
        <v>26</v>
      </c>
      <c r="C6" t="s">
        <v>27</v>
      </c>
    </row>
    <row r="8" spans="1:3" x14ac:dyDescent="0.45">
      <c r="A8">
        <v>2</v>
      </c>
      <c r="B8" t="s">
        <v>28</v>
      </c>
    </row>
    <row r="10" spans="1:3" x14ac:dyDescent="0.45">
      <c r="A10">
        <v>3</v>
      </c>
      <c r="B10" t="s">
        <v>29</v>
      </c>
    </row>
    <row r="12" spans="1:3" x14ac:dyDescent="0.45">
      <c r="A12">
        <v>4</v>
      </c>
      <c r="B12" t="s">
        <v>30</v>
      </c>
    </row>
    <row r="14" spans="1:3" x14ac:dyDescent="0.45">
      <c r="A14">
        <v>5</v>
      </c>
      <c r="B14" t="s">
        <v>31</v>
      </c>
    </row>
    <row r="15" spans="1:3" x14ac:dyDescent="0.45">
      <c r="B15" t="s">
        <v>32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104"/>
  <sheetViews>
    <sheetView topLeftCell="A20" workbookViewId="0">
      <selection activeCell="K98" sqref="K98"/>
    </sheetView>
  </sheetViews>
  <sheetFormatPr defaultRowHeight="14.25" x14ac:dyDescent="0.45"/>
  <cols>
    <col min="2" max="2" bestFit="true" customWidth="true" width="10.73046875" collapsed="true"/>
    <col min="3" max="3" bestFit="true" customWidth="true" width="13.73046875" collapsed="true"/>
  </cols>
  <sheetData>
    <row r="1" spans="1:4" x14ac:dyDescent="0.45">
      <c r="A1" s="298" t="s">
        <v>42</v>
      </c>
    </row>
    <row r="2" spans="1:4" x14ac:dyDescent="0.45">
      <c r="A2" t="s">
        <v>258</v>
      </c>
      <c r="B2" t="s">
        <v>259</v>
      </c>
      <c r="C2" t="s">
        <v>91</v>
      </c>
      <c r="D2" t="s">
        <v>260</v>
      </c>
    </row>
    <row r="3" spans="1:4" x14ac:dyDescent="0.45">
      <c r="A3">
        <v>1</v>
      </c>
      <c r="B3" t="s">
        <v>45</v>
      </c>
      <c r="C3" t="s">
        <v>277</v>
      </c>
      <c r="D3" t="s">
        <v>46</v>
      </c>
    </row>
    <row r="4" spans="1:4" x14ac:dyDescent="0.45">
      <c r="A4">
        <v>2</v>
      </c>
      <c r="B4" t="s">
        <v>48</v>
      </c>
      <c r="C4" t="s">
        <v>277</v>
      </c>
      <c r="D4" t="s">
        <v>49</v>
      </c>
    </row>
    <row r="5" spans="1:4" x14ac:dyDescent="0.45">
      <c r="A5">
        <v>3</v>
      </c>
      <c r="B5" t="s">
        <v>51</v>
      </c>
      <c r="C5" t="s">
        <v>277</v>
      </c>
      <c r="D5" t="s">
        <v>52</v>
      </c>
    </row>
    <row r="6" spans="1:4" x14ac:dyDescent="0.45">
      <c r="A6">
        <v>4</v>
      </c>
      <c r="B6" t="s">
        <v>54</v>
      </c>
      <c r="C6" t="s">
        <v>277</v>
      </c>
      <c r="D6" t="s">
        <v>55</v>
      </c>
    </row>
    <row r="7" spans="1:4" x14ac:dyDescent="0.45">
      <c r="A7">
        <v>5</v>
      </c>
      <c r="B7" t="s">
        <v>57</v>
      </c>
      <c r="C7" t="s">
        <v>277</v>
      </c>
      <c r="D7" t="s">
        <v>58</v>
      </c>
    </row>
    <row r="8" spans="1:4" x14ac:dyDescent="0.45">
      <c r="A8">
        <v>6</v>
      </c>
      <c r="B8" t="s">
        <v>59</v>
      </c>
      <c r="C8" t="s">
        <v>277</v>
      </c>
      <c r="D8" t="s">
        <v>60</v>
      </c>
    </row>
    <row r="9" spans="1:4" x14ac:dyDescent="0.45">
      <c r="A9">
        <v>7</v>
      </c>
      <c r="B9" t="s">
        <v>61</v>
      </c>
      <c r="C9" t="s">
        <v>277</v>
      </c>
      <c r="D9" t="s">
        <v>62</v>
      </c>
    </row>
    <row r="10" spans="1:4" x14ac:dyDescent="0.45">
      <c r="A10">
        <v>8</v>
      </c>
      <c r="B10" t="s">
        <v>64</v>
      </c>
      <c r="C10" t="s">
        <v>277</v>
      </c>
      <c r="D10" t="s">
        <v>65</v>
      </c>
    </row>
    <row r="11" spans="1:4" x14ac:dyDescent="0.45">
      <c r="A11">
        <v>9</v>
      </c>
      <c r="B11" t="s">
        <v>66</v>
      </c>
      <c r="C11" t="s">
        <v>277</v>
      </c>
      <c r="D11" t="s">
        <v>67</v>
      </c>
    </row>
    <row r="12" spans="1:4" x14ac:dyDescent="0.45">
      <c r="A12">
        <v>10</v>
      </c>
      <c r="B12" t="s">
        <v>68</v>
      </c>
      <c r="C12" t="s">
        <v>277</v>
      </c>
      <c r="D12" t="s">
        <v>69</v>
      </c>
    </row>
    <row r="13" spans="1:4" x14ac:dyDescent="0.45">
      <c r="A13">
        <v>11</v>
      </c>
      <c r="B13" t="s">
        <v>70</v>
      </c>
      <c r="C13" t="s">
        <v>277</v>
      </c>
      <c r="D13" t="s">
        <v>71</v>
      </c>
    </row>
    <row r="14" spans="1:4" x14ac:dyDescent="0.45">
      <c r="A14">
        <v>12</v>
      </c>
      <c r="B14" t="s">
        <v>72</v>
      </c>
      <c r="C14" t="s">
        <v>277</v>
      </c>
      <c r="D14" t="s">
        <v>73</v>
      </c>
    </row>
    <row r="15" spans="1:4" x14ac:dyDescent="0.45">
      <c r="A15">
        <v>13</v>
      </c>
      <c r="B15" t="s">
        <v>74</v>
      </c>
      <c r="C15" t="s">
        <v>277</v>
      </c>
      <c r="D15" t="s">
        <v>75</v>
      </c>
    </row>
    <row r="16" spans="1:4" x14ac:dyDescent="0.45">
      <c r="A16">
        <v>14</v>
      </c>
      <c r="B16" t="s">
        <v>76</v>
      </c>
      <c r="C16" t="s">
        <v>277</v>
      </c>
      <c r="D16" t="s">
        <v>77</v>
      </c>
    </row>
    <row r="17" spans="1:4" x14ac:dyDescent="0.45">
      <c r="A17">
        <v>15</v>
      </c>
      <c r="B17" t="s">
        <v>78</v>
      </c>
      <c r="C17" t="s">
        <v>277</v>
      </c>
      <c r="D17" t="s">
        <v>79</v>
      </c>
    </row>
    <row r="18" spans="1:4" x14ac:dyDescent="0.45">
      <c r="A18">
        <v>16</v>
      </c>
      <c r="B18" t="s">
        <v>80</v>
      </c>
      <c r="C18" t="s">
        <v>277</v>
      </c>
      <c r="D18" t="s">
        <v>81</v>
      </c>
    </row>
    <row r="19" spans="1:4" x14ac:dyDescent="0.45">
      <c r="A19">
        <v>17</v>
      </c>
      <c r="B19" t="s">
        <v>83</v>
      </c>
      <c r="C19" t="s">
        <v>277</v>
      </c>
      <c r="D19" t="s">
        <v>84</v>
      </c>
    </row>
    <row r="20" spans="1:4" x14ac:dyDescent="0.45">
      <c r="A20">
        <v>18</v>
      </c>
      <c r="B20" t="s">
        <v>86</v>
      </c>
      <c r="C20" t="s">
        <v>277</v>
      </c>
      <c r="D20" t="s">
        <v>87</v>
      </c>
    </row>
    <row r="21" spans="1:4" x14ac:dyDescent="0.45">
      <c r="A21">
        <v>19</v>
      </c>
      <c r="B21" t="s">
        <v>89</v>
      </c>
      <c r="C21" t="s">
        <v>277</v>
      </c>
      <c r="D21" t="s">
        <v>90</v>
      </c>
    </row>
    <row r="22" spans="1:4" x14ac:dyDescent="0.45">
      <c r="A22">
        <v>20</v>
      </c>
      <c r="B22" t="s">
        <v>92</v>
      </c>
      <c r="C22" t="s">
        <v>88</v>
      </c>
      <c r="D22" t="s">
        <v>93</v>
      </c>
    </row>
    <row r="23" spans="1:4" x14ac:dyDescent="0.45">
      <c r="A23">
        <v>21</v>
      </c>
      <c r="B23" t="s">
        <v>94</v>
      </c>
      <c r="C23" t="s">
        <v>88</v>
      </c>
      <c r="D23" t="s">
        <v>95</v>
      </c>
    </row>
    <row r="24" spans="1:4" x14ac:dyDescent="0.45">
      <c r="A24">
        <v>22</v>
      </c>
      <c r="B24" t="s">
        <v>96</v>
      </c>
      <c r="C24" t="s">
        <v>88</v>
      </c>
      <c r="D24" t="s">
        <v>97</v>
      </c>
    </row>
    <row r="25" spans="1:4" x14ac:dyDescent="0.45">
      <c r="A25">
        <v>23</v>
      </c>
      <c r="B25" t="s">
        <v>98</v>
      </c>
      <c r="C25" t="s">
        <v>88</v>
      </c>
      <c r="D25" t="s">
        <v>99</v>
      </c>
    </row>
    <row r="26" spans="1:4" x14ac:dyDescent="0.45">
      <c r="A26">
        <v>24</v>
      </c>
      <c r="B26" t="s">
        <v>100</v>
      </c>
      <c r="C26" t="s">
        <v>88</v>
      </c>
      <c r="D26" t="s">
        <v>101</v>
      </c>
    </row>
    <row r="27" spans="1:4" x14ac:dyDescent="0.45">
      <c r="A27">
        <v>25</v>
      </c>
      <c r="B27" t="s">
        <v>103</v>
      </c>
      <c r="C27" t="s">
        <v>88</v>
      </c>
      <c r="D27" t="s">
        <v>104</v>
      </c>
    </row>
    <row r="28" spans="1:4" x14ac:dyDescent="0.45">
      <c r="A28">
        <v>26</v>
      </c>
      <c r="B28" t="s">
        <v>105</v>
      </c>
      <c r="C28" t="s">
        <v>102</v>
      </c>
      <c r="D28" t="s">
        <v>93</v>
      </c>
    </row>
    <row r="29" spans="1:4" x14ac:dyDescent="0.45">
      <c r="A29">
        <v>27</v>
      </c>
      <c r="B29" t="s">
        <v>106</v>
      </c>
      <c r="C29" t="s">
        <v>102</v>
      </c>
      <c r="D29" t="s">
        <v>95</v>
      </c>
    </row>
    <row r="30" spans="1:4" x14ac:dyDescent="0.45">
      <c r="A30">
        <v>28</v>
      </c>
      <c r="B30" t="s">
        <v>108</v>
      </c>
      <c r="C30" t="s">
        <v>102</v>
      </c>
      <c r="D30" t="s">
        <v>97</v>
      </c>
    </row>
    <row r="31" spans="1:4" x14ac:dyDescent="0.45">
      <c r="A31">
        <v>29</v>
      </c>
      <c r="B31" t="s">
        <v>109</v>
      </c>
      <c r="C31" t="s">
        <v>102</v>
      </c>
      <c r="D31" t="s">
        <v>99</v>
      </c>
    </row>
    <row r="32" spans="1:4" x14ac:dyDescent="0.45">
      <c r="A32">
        <v>30</v>
      </c>
      <c r="B32" t="s">
        <v>110</v>
      </c>
      <c r="C32" t="s">
        <v>102</v>
      </c>
      <c r="D32" t="s">
        <v>111</v>
      </c>
    </row>
    <row r="33" spans="1:4" x14ac:dyDescent="0.45">
      <c r="A33">
        <v>31</v>
      </c>
      <c r="B33" t="s">
        <v>112</v>
      </c>
      <c r="C33" t="s">
        <v>102</v>
      </c>
      <c r="D33" t="s">
        <v>113</v>
      </c>
    </row>
    <row r="34" spans="1:4" x14ac:dyDescent="0.45">
      <c r="A34">
        <v>32</v>
      </c>
      <c r="B34" t="s">
        <v>114</v>
      </c>
      <c r="C34" t="s">
        <v>102</v>
      </c>
      <c r="D34" t="s">
        <v>115</v>
      </c>
    </row>
    <row r="35" spans="1:4" x14ac:dyDescent="0.45">
      <c r="A35">
        <v>33</v>
      </c>
      <c r="B35" t="s">
        <v>116</v>
      </c>
      <c r="C35" t="s">
        <v>102</v>
      </c>
      <c r="D35" t="s">
        <v>117</v>
      </c>
    </row>
    <row r="36" spans="1:4" x14ac:dyDescent="0.45">
      <c r="A36">
        <v>34</v>
      </c>
      <c r="B36" t="s">
        <v>118</v>
      </c>
      <c r="C36" t="s">
        <v>102</v>
      </c>
      <c r="D36" t="s">
        <v>119</v>
      </c>
    </row>
    <row r="37" spans="1:4" x14ac:dyDescent="0.45">
      <c r="A37">
        <v>35</v>
      </c>
      <c r="B37" t="s">
        <v>121</v>
      </c>
      <c r="C37" t="s">
        <v>102</v>
      </c>
      <c r="D37" t="s">
        <v>122</v>
      </c>
    </row>
    <row r="38" spans="1:4" x14ac:dyDescent="0.45">
      <c r="A38">
        <v>36</v>
      </c>
      <c r="B38" t="s">
        <v>123</v>
      </c>
      <c r="C38" t="s">
        <v>120</v>
      </c>
      <c r="D38" t="s">
        <v>93</v>
      </c>
    </row>
    <row r="39" spans="1:4" x14ac:dyDescent="0.45">
      <c r="A39">
        <v>37</v>
      </c>
      <c r="B39" t="s">
        <v>124</v>
      </c>
      <c r="C39" t="s">
        <v>120</v>
      </c>
      <c r="D39" t="s">
        <v>95</v>
      </c>
    </row>
    <row r="40" spans="1:4" x14ac:dyDescent="0.45">
      <c r="A40">
        <v>38</v>
      </c>
      <c r="B40" t="s">
        <v>126</v>
      </c>
      <c r="C40" t="s">
        <v>120</v>
      </c>
      <c r="D40" t="s">
        <v>97</v>
      </c>
    </row>
    <row r="41" spans="1:4" x14ac:dyDescent="0.45">
      <c r="A41">
        <v>39</v>
      </c>
      <c r="B41" t="s">
        <v>127</v>
      </c>
      <c r="C41" t="s">
        <v>120</v>
      </c>
      <c r="D41" t="s">
        <v>99</v>
      </c>
    </row>
    <row r="42" spans="1:4" x14ac:dyDescent="0.45">
      <c r="A42">
        <v>40</v>
      </c>
      <c r="B42" t="s">
        <v>128</v>
      </c>
      <c r="C42" t="s">
        <v>120</v>
      </c>
      <c r="D42" t="s">
        <v>111</v>
      </c>
    </row>
    <row r="43" spans="1:4" x14ac:dyDescent="0.45">
      <c r="A43">
        <v>41</v>
      </c>
      <c r="B43" t="s">
        <v>129</v>
      </c>
      <c r="C43" t="s">
        <v>120</v>
      </c>
      <c r="D43" t="s">
        <v>113</v>
      </c>
    </row>
    <row r="44" spans="1:4" x14ac:dyDescent="0.45">
      <c r="A44">
        <v>42</v>
      </c>
      <c r="B44" t="s">
        <v>131</v>
      </c>
      <c r="C44" t="s">
        <v>120</v>
      </c>
      <c r="D44" t="s">
        <v>132</v>
      </c>
    </row>
    <row r="45" spans="1:4" x14ac:dyDescent="0.45">
      <c r="A45">
        <v>43</v>
      </c>
      <c r="B45" t="s">
        <v>133</v>
      </c>
      <c r="C45" t="s">
        <v>130</v>
      </c>
      <c r="D45" t="s">
        <v>93</v>
      </c>
    </row>
    <row r="46" spans="1:4" x14ac:dyDescent="0.45">
      <c r="A46">
        <v>44</v>
      </c>
      <c r="B46" t="s">
        <v>134</v>
      </c>
      <c r="C46" t="s">
        <v>130</v>
      </c>
      <c r="D46" t="s">
        <v>135</v>
      </c>
    </row>
    <row r="47" spans="1:4" x14ac:dyDescent="0.45">
      <c r="A47">
        <v>45</v>
      </c>
      <c r="B47" t="s">
        <v>136</v>
      </c>
      <c r="C47" t="s">
        <v>130</v>
      </c>
      <c r="D47" t="s">
        <v>137</v>
      </c>
    </row>
    <row r="48" spans="1:4" x14ac:dyDescent="0.45">
      <c r="A48">
        <v>46</v>
      </c>
      <c r="B48" t="s">
        <v>138</v>
      </c>
      <c r="C48" t="s">
        <v>130</v>
      </c>
      <c r="D48" t="s">
        <v>139</v>
      </c>
    </row>
    <row r="49" spans="1:4" x14ac:dyDescent="0.45">
      <c r="A49">
        <v>47</v>
      </c>
      <c r="B49" t="s">
        <v>140</v>
      </c>
      <c r="C49" t="s">
        <v>130</v>
      </c>
      <c r="D49" t="s">
        <v>141</v>
      </c>
    </row>
    <row r="50" spans="1:4" x14ac:dyDescent="0.45">
      <c r="A50">
        <v>48</v>
      </c>
      <c r="B50" t="s">
        <v>143</v>
      </c>
      <c r="C50" t="s">
        <v>130</v>
      </c>
      <c r="D50" t="s">
        <v>144</v>
      </c>
    </row>
    <row r="51" spans="1:4" x14ac:dyDescent="0.45">
      <c r="A51">
        <v>49</v>
      </c>
      <c r="B51" t="s">
        <v>145</v>
      </c>
      <c r="C51" t="s">
        <v>142</v>
      </c>
      <c r="D51" t="s">
        <v>93</v>
      </c>
    </row>
    <row r="52" spans="1:4" x14ac:dyDescent="0.45">
      <c r="A52">
        <v>50</v>
      </c>
      <c r="B52" t="s">
        <v>146</v>
      </c>
      <c r="C52" t="s">
        <v>142</v>
      </c>
      <c r="D52" t="s">
        <v>95</v>
      </c>
    </row>
    <row r="53" spans="1:4" x14ac:dyDescent="0.45">
      <c r="A53">
        <v>51</v>
      </c>
      <c r="B53" t="s">
        <v>147</v>
      </c>
      <c r="C53" t="s">
        <v>142</v>
      </c>
      <c r="D53" t="s">
        <v>97</v>
      </c>
    </row>
    <row r="54" spans="1:4" x14ac:dyDescent="0.45">
      <c r="A54">
        <v>52</v>
      </c>
      <c r="B54" t="s">
        <v>148</v>
      </c>
      <c r="C54" t="s">
        <v>142</v>
      </c>
      <c r="D54" t="s">
        <v>99</v>
      </c>
    </row>
    <row r="55" spans="1:4" x14ac:dyDescent="0.45">
      <c r="A55">
        <v>53</v>
      </c>
      <c r="B55" t="s">
        <v>149</v>
      </c>
      <c r="C55" t="s">
        <v>142</v>
      </c>
      <c r="D55" t="s">
        <v>111</v>
      </c>
    </row>
    <row r="56" spans="1:4" x14ac:dyDescent="0.45">
      <c r="A56">
        <v>54</v>
      </c>
      <c r="B56" t="s">
        <v>150</v>
      </c>
      <c r="C56" t="s">
        <v>142</v>
      </c>
      <c r="D56" t="s">
        <v>151</v>
      </c>
    </row>
    <row r="57" spans="1:4" x14ac:dyDescent="0.45">
      <c r="A57">
        <v>55</v>
      </c>
      <c r="B57" t="s">
        <v>152</v>
      </c>
      <c r="C57" t="s">
        <v>142</v>
      </c>
      <c r="D57" t="s">
        <v>115</v>
      </c>
    </row>
    <row r="58" spans="1:4" x14ac:dyDescent="0.45">
      <c r="A58">
        <v>56</v>
      </c>
      <c r="B58" t="s">
        <v>153</v>
      </c>
      <c r="C58" t="s">
        <v>142</v>
      </c>
      <c r="D58" t="s">
        <v>119</v>
      </c>
    </row>
    <row r="59" spans="1:4" x14ac:dyDescent="0.45">
      <c r="A59">
        <v>57</v>
      </c>
      <c r="B59" t="s">
        <v>154</v>
      </c>
      <c r="C59" t="s">
        <v>142</v>
      </c>
      <c r="D59" t="s">
        <v>122</v>
      </c>
    </row>
    <row r="60" spans="1:4" x14ac:dyDescent="0.45">
      <c r="A60">
        <v>118</v>
      </c>
      <c r="B60" t="s">
        <v>256</v>
      </c>
    </row>
    <row r="61" spans="1:4" x14ac:dyDescent="0.45">
      <c r="A61">
        <v>70</v>
      </c>
      <c r="B61" t="s">
        <v>155</v>
      </c>
      <c r="C61" t="s">
        <v>88</v>
      </c>
    </row>
    <row r="62" spans="1:4" x14ac:dyDescent="0.45">
      <c r="A62">
        <v>71</v>
      </c>
      <c r="B62" t="s">
        <v>156</v>
      </c>
      <c r="C62" t="s">
        <v>88</v>
      </c>
      <c r="D62" t="s">
        <v>157</v>
      </c>
    </row>
    <row r="63" spans="1:4" x14ac:dyDescent="0.45">
      <c r="A63">
        <v>72</v>
      </c>
      <c r="B63" t="s">
        <v>158</v>
      </c>
      <c r="C63" t="s">
        <v>88</v>
      </c>
      <c r="D63" t="s">
        <v>159</v>
      </c>
    </row>
    <row r="64" spans="1:4" x14ac:dyDescent="0.45">
      <c r="A64">
        <v>73</v>
      </c>
      <c r="B64" t="s">
        <v>160</v>
      </c>
      <c r="C64" t="s">
        <v>88</v>
      </c>
      <c r="D64" t="s">
        <v>161</v>
      </c>
    </row>
    <row r="65" spans="1:4" x14ac:dyDescent="0.45">
      <c r="A65">
        <v>74</v>
      </c>
      <c r="B65" t="s">
        <v>162</v>
      </c>
      <c r="C65" t="s">
        <v>88</v>
      </c>
      <c r="D65" t="s">
        <v>163</v>
      </c>
    </row>
    <row r="66" spans="1:4" x14ac:dyDescent="0.45">
      <c r="A66">
        <v>75</v>
      </c>
      <c r="B66" t="s">
        <v>164</v>
      </c>
      <c r="C66" t="s">
        <v>88</v>
      </c>
      <c r="D66" t="s">
        <v>165</v>
      </c>
    </row>
    <row r="67" spans="1:4" x14ac:dyDescent="0.45">
      <c r="A67">
        <v>76</v>
      </c>
      <c r="B67" t="s">
        <v>166</v>
      </c>
      <c r="C67" t="s">
        <v>88</v>
      </c>
      <c r="D67" t="s">
        <v>167</v>
      </c>
    </row>
    <row r="68" spans="1:4" x14ac:dyDescent="0.45">
      <c r="A68">
        <v>77</v>
      </c>
      <c r="B68" t="s">
        <v>168</v>
      </c>
      <c r="C68" t="s">
        <v>88</v>
      </c>
      <c r="D68" t="s">
        <v>169</v>
      </c>
    </row>
    <row r="69" spans="1:4" x14ac:dyDescent="0.45">
      <c r="A69">
        <v>78</v>
      </c>
      <c r="B69" t="s">
        <v>170</v>
      </c>
      <c r="C69" t="s">
        <v>88</v>
      </c>
      <c r="D69" t="s">
        <v>171</v>
      </c>
    </row>
    <row r="70" spans="1:4" x14ac:dyDescent="0.45">
      <c r="A70">
        <v>79</v>
      </c>
      <c r="B70" t="s">
        <v>172</v>
      </c>
      <c r="C70" t="s">
        <v>88</v>
      </c>
      <c r="D70" t="s">
        <v>173</v>
      </c>
    </row>
    <row r="71" spans="1:4" x14ac:dyDescent="0.45">
      <c r="A71">
        <v>80</v>
      </c>
      <c r="B71" t="s">
        <v>174</v>
      </c>
      <c r="C71" t="s">
        <v>88</v>
      </c>
      <c r="D71" t="s">
        <v>175</v>
      </c>
    </row>
    <row r="72" spans="1:4" x14ac:dyDescent="0.45">
      <c r="A72">
        <v>81</v>
      </c>
      <c r="B72" t="s">
        <v>176</v>
      </c>
      <c r="C72" t="s">
        <v>88</v>
      </c>
      <c r="D72" t="s">
        <v>177</v>
      </c>
    </row>
    <row r="73" spans="1:4" x14ac:dyDescent="0.45">
      <c r="A73">
        <v>82</v>
      </c>
      <c r="B73" t="s">
        <v>178</v>
      </c>
      <c r="C73" t="s">
        <v>88</v>
      </c>
      <c r="D73" t="s">
        <v>177</v>
      </c>
    </row>
    <row r="74" spans="1:4" x14ac:dyDescent="0.45">
      <c r="A74">
        <v>83</v>
      </c>
      <c r="B74" t="s">
        <v>179</v>
      </c>
      <c r="C74" t="s">
        <v>88</v>
      </c>
      <c r="D74" t="s">
        <v>180</v>
      </c>
    </row>
    <row r="75" spans="1:4" x14ac:dyDescent="0.45">
      <c r="A75">
        <v>84</v>
      </c>
      <c r="B75" t="s">
        <v>181</v>
      </c>
      <c r="C75" t="s">
        <v>88</v>
      </c>
      <c r="D75" t="s">
        <v>182</v>
      </c>
    </row>
    <row r="76" spans="1:4" x14ac:dyDescent="0.45">
      <c r="A76">
        <v>85</v>
      </c>
      <c r="B76" t="s">
        <v>183</v>
      </c>
      <c r="C76" t="s">
        <v>88</v>
      </c>
      <c r="D76" t="s">
        <v>184</v>
      </c>
    </row>
    <row r="77" spans="1:4" x14ac:dyDescent="0.45">
      <c r="A77">
        <v>86</v>
      </c>
      <c r="B77" t="s">
        <v>185</v>
      </c>
      <c r="C77" t="s">
        <v>88</v>
      </c>
      <c r="D77" t="s">
        <v>186</v>
      </c>
    </row>
    <row r="78" spans="1:4" x14ac:dyDescent="0.45">
      <c r="A78">
        <v>87</v>
      </c>
      <c r="B78" t="s">
        <v>187</v>
      </c>
      <c r="C78" t="s">
        <v>88</v>
      </c>
      <c r="D78" t="s">
        <v>188</v>
      </c>
    </row>
    <row r="79" spans="1:4" x14ac:dyDescent="0.45">
      <c r="A79">
        <v>88</v>
      </c>
      <c r="B79" t="s">
        <v>189</v>
      </c>
      <c r="C79" t="s">
        <v>88</v>
      </c>
      <c r="D79" t="s">
        <v>190</v>
      </c>
    </row>
    <row r="80" spans="1:4" x14ac:dyDescent="0.45">
      <c r="A80">
        <v>89</v>
      </c>
      <c r="B80" t="s">
        <v>191</v>
      </c>
      <c r="C80" t="s">
        <v>102</v>
      </c>
      <c r="D80" t="s">
        <v>192</v>
      </c>
    </row>
    <row r="81" spans="1:4" x14ac:dyDescent="0.45">
      <c r="A81">
        <v>90</v>
      </c>
      <c r="B81" t="s">
        <v>193</v>
      </c>
      <c r="C81" t="s">
        <v>102</v>
      </c>
      <c r="D81" t="s">
        <v>194</v>
      </c>
    </row>
    <row r="82" spans="1:4" x14ac:dyDescent="0.45">
      <c r="A82">
        <v>91</v>
      </c>
      <c r="B82" t="s">
        <v>195</v>
      </c>
      <c r="C82" t="s">
        <v>102</v>
      </c>
      <c r="D82" t="s">
        <v>196</v>
      </c>
    </row>
    <row r="83" spans="1:4" x14ac:dyDescent="0.45">
      <c r="A83">
        <v>92</v>
      </c>
      <c r="B83" t="s">
        <v>197</v>
      </c>
      <c r="C83" t="s">
        <v>102</v>
      </c>
      <c r="D83" t="s">
        <v>198</v>
      </c>
    </row>
    <row r="84" spans="1:4" x14ac:dyDescent="0.45">
      <c r="A84">
        <v>93</v>
      </c>
      <c r="B84" t="s">
        <v>199</v>
      </c>
      <c r="C84" t="s">
        <v>102</v>
      </c>
      <c r="D84" t="s">
        <v>200</v>
      </c>
    </row>
    <row r="85" spans="1:4" x14ac:dyDescent="0.45">
      <c r="A85">
        <v>94</v>
      </c>
      <c r="B85" t="s">
        <v>201</v>
      </c>
      <c r="C85" t="s">
        <v>102</v>
      </c>
      <c r="D85" t="s">
        <v>202</v>
      </c>
    </row>
    <row r="86" spans="1:4" x14ac:dyDescent="0.45">
      <c r="A86">
        <v>95</v>
      </c>
      <c r="B86" t="s">
        <v>203</v>
      </c>
      <c r="C86" t="s">
        <v>102</v>
      </c>
      <c r="D86" t="s">
        <v>204</v>
      </c>
    </row>
    <row r="87" spans="1:4" x14ac:dyDescent="0.45">
      <c r="A87">
        <v>96</v>
      </c>
      <c r="B87" t="s">
        <v>205</v>
      </c>
      <c r="C87" t="s">
        <v>102</v>
      </c>
      <c r="D87" t="s">
        <v>206</v>
      </c>
    </row>
    <row r="88" spans="1:4" x14ac:dyDescent="0.45">
      <c r="A88">
        <v>97</v>
      </c>
      <c r="B88" t="s">
        <v>207</v>
      </c>
      <c r="C88" t="s">
        <v>102</v>
      </c>
      <c r="D88" t="s">
        <v>208</v>
      </c>
    </row>
    <row r="89" spans="1:4" x14ac:dyDescent="0.45">
      <c r="A89">
        <v>98</v>
      </c>
      <c r="B89" t="s">
        <v>209</v>
      </c>
      <c r="C89" t="s">
        <v>120</v>
      </c>
      <c r="D89" t="s">
        <v>194</v>
      </c>
    </row>
    <row r="90" spans="1:4" x14ac:dyDescent="0.45">
      <c r="A90">
        <v>99</v>
      </c>
      <c r="B90" t="s">
        <v>210</v>
      </c>
      <c r="C90" t="s">
        <v>120</v>
      </c>
      <c r="D90" t="s">
        <v>196</v>
      </c>
    </row>
    <row r="91" spans="1:4" x14ac:dyDescent="0.45">
      <c r="A91">
        <v>100</v>
      </c>
      <c r="B91" t="s">
        <v>211</v>
      </c>
      <c r="C91" t="s">
        <v>120</v>
      </c>
      <c r="D91" t="s">
        <v>198</v>
      </c>
    </row>
    <row r="92" spans="1:4" x14ac:dyDescent="0.45">
      <c r="A92">
        <v>101</v>
      </c>
      <c r="B92" t="s">
        <v>212</v>
      </c>
      <c r="C92" t="s">
        <v>120</v>
      </c>
      <c r="D92" t="s">
        <v>200</v>
      </c>
    </row>
    <row r="93" spans="1:4" x14ac:dyDescent="0.45">
      <c r="A93">
        <v>102</v>
      </c>
      <c r="B93" t="s">
        <v>213</v>
      </c>
      <c r="C93" t="s">
        <v>130</v>
      </c>
      <c r="D93" t="s">
        <v>194</v>
      </c>
    </row>
    <row r="94" spans="1:4" x14ac:dyDescent="0.45">
      <c r="A94">
        <v>103</v>
      </c>
      <c r="B94" t="s">
        <v>214</v>
      </c>
      <c r="C94" t="s">
        <v>130</v>
      </c>
      <c r="D94" t="s">
        <v>196</v>
      </c>
    </row>
    <row r="95" spans="1:4" x14ac:dyDescent="0.45">
      <c r="A95">
        <v>104</v>
      </c>
      <c r="B95" t="s">
        <v>215</v>
      </c>
      <c r="C95" t="s">
        <v>130</v>
      </c>
      <c r="D95" t="s">
        <v>198</v>
      </c>
    </row>
    <row r="96" spans="1:4" x14ac:dyDescent="0.45">
      <c r="A96">
        <v>105</v>
      </c>
      <c r="B96" t="s">
        <v>216</v>
      </c>
      <c r="C96" t="s">
        <v>130</v>
      </c>
      <c r="D96" t="s">
        <v>200</v>
      </c>
    </row>
    <row r="97" spans="1:4" x14ac:dyDescent="0.45">
      <c r="A97">
        <v>106</v>
      </c>
      <c r="B97" t="s">
        <v>217</v>
      </c>
      <c r="C97" t="s">
        <v>142</v>
      </c>
      <c r="D97" t="s">
        <v>194</v>
      </c>
    </row>
    <row r="98" spans="1:4" x14ac:dyDescent="0.45">
      <c r="A98">
        <v>107</v>
      </c>
      <c r="B98" t="s">
        <v>218</v>
      </c>
      <c r="C98" t="s">
        <v>142</v>
      </c>
      <c r="D98" t="s">
        <v>219</v>
      </c>
    </row>
    <row r="99" spans="1:4" x14ac:dyDescent="0.45">
      <c r="A99">
        <v>108</v>
      </c>
      <c r="B99" t="s">
        <v>220</v>
      </c>
      <c r="C99" t="s">
        <v>142</v>
      </c>
      <c r="D99" t="s">
        <v>196</v>
      </c>
    </row>
    <row r="100" spans="1:4" x14ac:dyDescent="0.45">
      <c r="A100">
        <v>109</v>
      </c>
      <c r="B100" t="s">
        <v>221</v>
      </c>
      <c r="C100" t="s">
        <v>142</v>
      </c>
      <c r="D100" t="s">
        <v>198</v>
      </c>
    </row>
    <row r="101" spans="1:4" x14ac:dyDescent="0.45">
      <c r="A101">
        <v>110</v>
      </c>
      <c r="B101" t="s">
        <v>222</v>
      </c>
      <c r="C101" t="s">
        <v>142</v>
      </c>
      <c r="D101" t="s">
        <v>200</v>
      </c>
    </row>
    <row r="102" spans="1:4" x14ac:dyDescent="0.45">
      <c r="A102">
        <v>111</v>
      </c>
      <c r="B102" t="s">
        <v>223</v>
      </c>
      <c r="C102" t="s">
        <v>142</v>
      </c>
      <c r="D102" t="s">
        <v>206</v>
      </c>
    </row>
    <row r="103" spans="1:4" x14ac:dyDescent="0.45">
      <c r="A103">
        <v>112</v>
      </c>
      <c r="B103" t="s">
        <v>224</v>
      </c>
      <c r="C103" t="s">
        <v>142</v>
      </c>
      <c r="D103" t="s">
        <v>225</v>
      </c>
    </row>
    <row r="104" spans="1:4" x14ac:dyDescent="0.45">
      <c r="A104">
        <v>113</v>
      </c>
      <c r="B104" t="s">
        <v>226</v>
      </c>
      <c r="C104" t="s">
        <v>142</v>
      </c>
      <c r="D104" t="s">
        <v>208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FF00"/>
  </sheetPr>
  <dimension ref="A1:K620"/>
  <sheetViews>
    <sheetView workbookViewId="0">
      <selection activeCell="A8" sqref="A8:K620"/>
    </sheetView>
  </sheetViews>
  <sheetFormatPr defaultRowHeight="14.25" x14ac:dyDescent="0.45"/>
  <sheetData>
    <row r="1" spans="1:11" x14ac:dyDescent="0.45">
      <c r="A1" s="350" t="s">
        <v>227</v>
      </c>
      <c r="B1" s="351"/>
      <c r="C1" s="351"/>
      <c r="D1" s="351"/>
      <c r="E1" s="351"/>
      <c r="F1" s="351"/>
      <c r="G1" s="351"/>
      <c r="H1" s="351" t="s">
        <v>228</v>
      </c>
      <c r="I1" s="351"/>
      <c r="J1" s="351"/>
      <c r="K1" s="352"/>
    </row>
    <row r="2" spans="1:11" x14ac:dyDescent="0.45">
      <c r="A2" s="353">
        <v>1</v>
      </c>
      <c r="B2" s="354" t="s">
        <v>264</v>
      </c>
      <c r="C2" s="354"/>
      <c r="D2" s="354"/>
      <c r="E2" s="354"/>
      <c r="F2" s="354"/>
      <c r="G2" s="354"/>
      <c r="H2" s="354"/>
      <c r="I2" s="354"/>
      <c r="J2" s="354"/>
      <c r="K2" s="355"/>
    </row>
    <row r="3" spans="1:11" x14ac:dyDescent="0.45">
      <c r="A3" s="353">
        <v>2</v>
      </c>
      <c r="B3" s="354" t="s">
        <v>229</v>
      </c>
      <c r="C3" s="354"/>
      <c r="D3" s="354"/>
      <c r="E3" s="354"/>
      <c r="F3" s="354"/>
      <c r="G3" s="354"/>
      <c r="H3" s="354"/>
      <c r="I3" s="354"/>
      <c r="J3" s="354"/>
      <c r="K3" s="355"/>
    </row>
    <row r="4" spans="1:11" x14ac:dyDescent="0.45">
      <c r="A4" s="353">
        <v>3</v>
      </c>
      <c r="B4" s="354" t="s">
        <v>230</v>
      </c>
      <c r="C4" s="354"/>
      <c r="D4" s="354"/>
      <c r="E4" s="354"/>
      <c r="F4" s="354"/>
      <c r="G4" s="354"/>
      <c r="H4" s="354"/>
      <c r="I4" s="354"/>
      <c r="J4" s="354"/>
      <c r="K4" s="355"/>
    </row>
    <row r="5" spans="1:11" x14ac:dyDescent="0.45">
      <c r="A5" s="356">
        <v>4</v>
      </c>
      <c r="B5" s="357" t="s">
        <v>231</v>
      </c>
      <c r="C5" s="357"/>
      <c r="D5" s="357"/>
      <c r="E5" s="357"/>
      <c r="F5" s="357"/>
      <c r="G5" s="357"/>
      <c r="H5" s="357"/>
      <c r="I5" s="357"/>
      <c r="J5" s="357"/>
      <c r="K5" s="358"/>
    </row>
    <row r="8" spans="1:11" x14ac:dyDescent="0.45">
      <c r="A8" t="s">
        <v>232</v>
      </c>
      <c r="B8" t="s">
        <v>233</v>
      </c>
      <c r="C8" t="s">
        <v>234</v>
      </c>
      <c r="D8" t="s">
        <v>254</v>
      </c>
    </row>
    <row r="9" spans="1:11" x14ac:dyDescent="0.4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4">
        <v>0.46135416666666668</v>
      </c>
      <c r="G9" t="s">
        <v>239</v>
      </c>
      <c r="H9">
        <v>31</v>
      </c>
      <c r="I9" t="s">
        <v>255</v>
      </c>
      <c r="J9">
        <v>16</v>
      </c>
    </row>
    <row r="10" spans="1:11" x14ac:dyDescent="0.45">
      <c r="A10" t="s">
        <v>240</v>
      </c>
    </row>
    <row r="11" spans="1:11" x14ac:dyDescent="0.4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4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45">
      <c r="B13">
        <v>3</v>
      </c>
      <c r="C13" t="s">
        <v>51</v>
      </c>
      <c r="D13" t="s">
        <v>241</v>
      </c>
      <c r="E13" s="335">
        <v>-0.2117</v>
      </c>
      <c r="F13">
        <v>0</v>
      </c>
    </row>
    <row r="14" spans="1:11" x14ac:dyDescent="0.45">
      <c r="B14">
        <v>4</v>
      </c>
      <c r="C14" t="s">
        <v>54</v>
      </c>
      <c r="D14" t="s">
        <v>242</v>
      </c>
      <c r="E14" s="335">
        <v>0.27120783067900001</v>
      </c>
      <c r="F14">
        <v>0.28080475059900001</v>
      </c>
    </row>
    <row r="15" spans="1:11" x14ac:dyDescent="0.4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45">
      <c r="B16">
        <v>6</v>
      </c>
      <c r="C16" t="s">
        <v>59</v>
      </c>
      <c r="D16" t="s">
        <v>242</v>
      </c>
      <c r="E16" s="335">
        <v>-8.2865473150899996E-2</v>
      </c>
      <c r="F16">
        <v>0.12955742148800001</v>
      </c>
    </row>
    <row r="17" spans="2:6" x14ac:dyDescent="0.4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45">
      <c r="B18">
        <v>8</v>
      </c>
      <c r="C18" t="s">
        <v>64</v>
      </c>
      <c r="D18" t="s">
        <v>241</v>
      </c>
      <c r="E18" s="335">
        <v>6.9400000000000003E-2</v>
      </c>
      <c r="F18">
        <v>0</v>
      </c>
    </row>
    <row r="19" spans="2:6" x14ac:dyDescent="0.45">
      <c r="B19">
        <v>9</v>
      </c>
      <c r="C19" t="s">
        <v>66</v>
      </c>
      <c r="D19" t="s">
        <v>242</v>
      </c>
      <c r="E19" s="335">
        <v>-9.5820044919499997E-2</v>
      </c>
      <c r="F19">
        <v>0.17082561533000001</v>
      </c>
    </row>
    <row r="20" spans="2:6" x14ac:dyDescent="0.4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4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4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4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4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4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4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4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4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4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45">
      <c r="B30">
        <v>20</v>
      </c>
      <c r="C30" t="s">
        <v>92</v>
      </c>
      <c r="D30" t="s">
        <v>242</v>
      </c>
      <c r="E30">
        <v>0.63771148688699997</v>
      </c>
      <c r="F30" s="335">
        <v>6.0015015733300002E-2</v>
      </c>
    </row>
    <row r="31" spans="2:6" x14ac:dyDescent="0.4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4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45">
      <c r="B33">
        <v>23</v>
      </c>
      <c r="C33" t="s">
        <v>98</v>
      </c>
      <c r="D33" t="s">
        <v>242</v>
      </c>
      <c r="E33">
        <v>-2.4557170493427001</v>
      </c>
      <c r="F33">
        <v>0.27393549837699999</v>
      </c>
    </row>
    <row r="34" spans="2:6" x14ac:dyDescent="0.45">
      <c r="B34">
        <v>24</v>
      </c>
      <c r="C34" t="s">
        <v>100</v>
      </c>
      <c r="D34" t="s">
        <v>242</v>
      </c>
      <c r="E34">
        <v>0.10429329553199999</v>
      </c>
      <c r="F34" s="335">
        <v>1.6423300294899999E-2</v>
      </c>
    </row>
    <row r="35" spans="2:6" x14ac:dyDescent="0.45">
      <c r="B35">
        <v>25</v>
      </c>
      <c r="C35" t="s">
        <v>103</v>
      </c>
      <c r="D35" t="s">
        <v>241</v>
      </c>
      <c r="E35">
        <v>0</v>
      </c>
      <c r="F35" s="335">
        <v>0</v>
      </c>
    </row>
    <row r="36" spans="2:6" x14ac:dyDescent="0.45">
      <c r="B36">
        <v>26</v>
      </c>
      <c r="C36" t="s">
        <v>105</v>
      </c>
      <c r="D36" t="s">
        <v>242</v>
      </c>
      <c r="E36">
        <v>0.417326479157</v>
      </c>
      <c r="F36" s="335">
        <v>9.4301876730200004E-2</v>
      </c>
    </row>
    <row r="37" spans="2:6" x14ac:dyDescent="0.4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4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4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45">
      <c r="B40">
        <v>30</v>
      </c>
      <c r="C40" t="s">
        <v>110</v>
      </c>
      <c r="D40" t="s">
        <v>242</v>
      </c>
      <c r="E40">
        <v>-0.91046169190000004</v>
      </c>
      <c r="F40" s="335">
        <v>9.2244527309799998E-2</v>
      </c>
    </row>
    <row r="41" spans="2:6" x14ac:dyDescent="0.45">
      <c r="B41">
        <v>31</v>
      </c>
      <c r="C41" t="s">
        <v>112</v>
      </c>
      <c r="D41" t="s">
        <v>242</v>
      </c>
      <c r="E41" s="335">
        <v>5.7553461640599997E-2</v>
      </c>
      <c r="F41" s="335">
        <v>1.69631861578E-2</v>
      </c>
    </row>
    <row r="42" spans="2:6" x14ac:dyDescent="0.45">
      <c r="B42">
        <v>32</v>
      </c>
      <c r="C42" t="s">
        <v>114</v>
      </c>
      <c r="D42" t="s">
        <v>242</v>
      </c>
      <c r="E42">
        <v>0.237798002151</v>
      </c>
      <c r="F42" s="335">
        <v>2.05709725741E-2</v>
      </c>
    </row>
    <row r="43" spans="2:6" x14ac:dyDescent="0.45">
      <c r="B43">
        <v>33</v>
      </c>
      <c r="C43" t="s">
        <v>116</v>
      </c>
      <c r="D43" t="s">
        <v>241</v>
      </c>
      <c r="E43">
        <v>0</v>
      </c>
      <c r="F43" s="335">
        <v>0</v>
      </c>
    </row>
    <row r="44" spans="2:6" x14ac:dyDescent="0.45">
      <c r="B44">
        <v>34</v>
      </c>
      <c r="C44" t="s">
        <v>118</v>
      </c>
      <c r="D44" t="s">
        <v>241</v>
      </c>
      <c r="E44">
        <v>0</v>
      </c>
      <c r="F44" s="335">
        <v>0</v>
      </c>
    </row>
    <row r="45" spans="2:6" x14ac:dyDescent="0.45">
      <c r="B45">
        <v>35</v>
      </c>
      <c r="C45" t="s">
        <v>121</v>
      </c>
      <c r="D45" t="s">
        <v>241</v>
      </c>
      <c r="E45">
        <v>0</v>
      </c>
      <c r="F45" s="335">
        <v>0</v>
      </c>
    </row>
    <row r="46" spans="2:6" x14ac:dyDescent="0.45">
      <c r="B46">
        <v>36</v>
      </c>
      <c r="C46" t="s">
        <v>123</v>
      </c>
      <c r="D46" t="s">
        <v>242</v>
      </c>
      <c r="E46" s="335">
        <v>0.61259135262599995</v>
      </c>
      <c r="F46" s="335">
        <v>9.8788050589500007E-2</v>
      </c>
    </row>
    <row r="47" spans="2:6" x14ac:dyDescent="0.4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4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4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4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45">
      <c r="B51">
        <v>41</v>
      </c>
      <c r="C51" t="s">
        <v>129</v>
      </c>
      <c r="D51" t="s">
        <v>242</v>
      </c>
      <c r="E51">
        <v>-0.22141031751900001</v>
      </c>
      <c r="F51" s="335">
        <v>1.8224220405400001E-2</v>
      </c>
    </row>
    <row r="52" spans="2:6" x14ac:dyDescent="0.45">
      <c r="B52">
        <v>42</v>
      </c>
      <c r="C52" t="s">
        <v>131</v>
      </c>
      <c r="D52" t="s">
        <v>242</v>
      </c>
      <c r="E52">
        <v>0.64228876129599999</v>
      </c>
      <c r="F52" s="335">
        <v>2.3327425635499999E-2</v>
      </c>
    </row>
    <row r="53" spans="2:6" x14ac:dyDescent="0.45">
      <c r="B53">
        <v>43</v>
      </c>
      <c r="C53" t="s">
        <v>133</v>
      </c>
      <c r="D53" t="s">
        <v>242</v>
      </c>
      <c r="E53">
        <v>0.74588429254199995</v>
      </c>
      <c r="F53" s="335">
        <v>9.8514285453599998E-2</v>
      </c>
    </row>
    <row r="54" spans="2:6" x14ac:dyDescent="0.4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4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4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4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45">
      <c r="B58">
        <v>48</v>
      </c>
      <c r="C58" t="s">
        <v>143</v>
      </c>
      <c r="D58" t="s">
        <v>242</v>
      </c>
      <c r="E58">
        <v>0.65760260093900003</v>
      </c>
      <c r="F58" s="335">
        <v>2.9500746847800002E-2</v>
      </c>
    </row>
    <row r="59" spans="2:6" x14ac:dyDescent="0.45">
      <c r="B59">
        <v>49</v>
      </c>
      <c r="C59" t="s">
        <v>145</v>
      </c>
      <c r="D59" t="s">
        <v>242</v>
      </c>
      <c r="E59">
        <v>0.201576719663</v>
      </c>
      <c r="F59" s="335">
        <v>0.11309559824400001</v>
      </c>
    </row>
    <row r="60" spans="2:6" x14ac:dyDescent="0.45">
      <c r="B60">
        <v>50</v>
      </c>
      <c r="C60" t="s">
        <v>146</v>
      </c>
      <c r="D60" t="s">
        <v>242</v>
      </c>
      <c r="E60">
        <v>-29.556856147209999</v>
      </c>
      <c r="F60">
        <v>2.50137650421</v>
      </c>
    </row>
    <row r="61" spans="2:6" x14ac:dyDescent="0.45">
      <c r="B61">
        <v>51</v>
      </c>
      <c r="C61" t="s">
        <v>147</v>
      </c>
      <c r="D61" t="s">
        <v>242</v>
      </c>
      <c r="E61">
        <v>-5.8091947247600002</v>
      </c>
      <c r="F61">
        <v>0.70645143226499996</v>
      </c>
    </row>
    <row r="62" spans="2:6" x14ac:dyDescent="0.45">
      <c r="B62">
        <v>52</v>
      </c>
      <c r="C62" t="s">
        <v>148</v>
      </c>
      <c r="D62" t="s">
        <v>242</v>
      </c>
      <c r="E62">
        <v>-1.94064618888</v>
      </c>
      <c r="F62">
        <v>0.24991877725200001</v>
      </c>
    </row>
    <row r="63" spans="2:6" x14ac:dyDescent="0.45">
      <c r="B63">
        <v>53</v>
      </c>
      <c r="C63" t="s">
        <v>149</v>
      </c>
      <c r="D63" t="s">
        <v>242</v>
      </c>
      <c r="E63">
        <v>-0.66321888748000002</v>
      </c>
      <c r="F63">
        <v>0.12393486604700001</v>
      </c>
    </row>
    <row r="64" spans="2:6" x14ac:dyDescent="0.45">
      <c r="B64">
        <v>54</v>
      </c>
      <c r="C64" t="s">
        <v>150</v>
      </c>
      <c r="D64" t="s">
        <v>242</v>
      </c>
      <c r="E64">
        <v>0.20818008309700001</v>
      </c>
      <c r="F64" s="335">
        <v>4.2700310294800002E-2</v>
      </c>
    </row>
    <row r="65" spans="2:6" x14ac:dyDescent="0.45">
      <c r="B65">
        <v>55</v>
      </c>
      <c r="C65" t="s">
        <v>152</v>
      </c>
      <c r="D65" t="s">
        <v>242</v>
      </c>
      <c r="E65">
        <v>0.42522231451499998</v>
      </c>
      <c r="F65" s="335">
        <v>4.5274903018000003E-2</v>
      </c>
    </row>
    <row r="66" spans="2:6" x14ac:dyDescent="0.45">
      <c r="B66">
        <v>56</v>
      </c>
      <c r="C66" t="s">
        <v>153</v>
      </c>
      <c r="D66" t="s">
        <v>242</v>
      </c>
      <c r="E66">
        <v>-0.743588483327</v>
      </c>
      <c r="F66" s="335">
        <v>4.4293261467400001E-2</v>
      </c>
    </row>
    <row r="67" spans="2:6" x14ac:dyDescent="0.45">
      <c r="B67">
        <v>57</v>
      </c>
      <c r="C67" t="s">
        <v>154</v>
      </c>
      <c r="D67" t="s">
        <v>241</v>
      </c>
      <c r="E67" s="335">
        <v>6.2100000000000002E-2</v>
      </c>
      <c r="F67" s="335">
        <v>0</v>
      </c>
    </row>
    <row r="68" spans="2:6" x14ac:dyDescent="0.45">
      <c r="B68">
        <v>118</v>
      </c>
      <c r="C68" t="s">
        <v>256</v>
      </c>
      <c r="D68" t="s">
        <v>241</v>
      </c>
      <c r="E68" s="335">
        <v>-3</v>
      </c>
      <c r="F68" s="335">
        <v>0</v>
      </c>
    </row>
    <row r="69" spans="2:6" x14ac:dyDescent="0.45">
      <c r="B69">
        <v>70</v>
      </c>
      <c r="C69" t="s">
        <v>155</v>
      </c>
      <c r="D69" t="s">
        <v>242</v>
      </c>
      <c r="E69">
        <v>0.29394695214400002</v>
      </c>
      <c r="F69" s="335">
        <v>8.1089668188599993E-3</v>
      </c>
    </row>
    <row r="70" spans="2:6" x14ac:dyDescent="0.4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4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4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4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4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4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4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4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4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4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4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4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4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4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4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4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4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4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4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4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4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4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4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4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4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4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4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4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4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4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4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4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4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4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4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4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4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4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4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4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4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4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4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2:11" x14ac:dyDescent="0.45">
      <c r="B113">
        <v>-1</v>
      </c>
    </row>
    <row r="114" spans="2:11" x14ac:dyDescent="0.45">
      <c r="B114">
        <v>10005</v>
      </c>
      <c r="C114" s="335">
        <v>-5981.59020986</v>
      </c>
      <c r="D114" s="335">
        <v>-29805.783655800002</v>
      </c>
      <c r="E114" s="335">
        <v>-17292.021287899999</v>
      </c>
    </row>
    <row r="115" spans="2:11" x14ac:dyDescent="0.45">
      <c r="B115">
        <v>17</v>
      </c>
      <c r="C115" t="s">
        <v>257</v>
      </c>
      <c r="D115" t="s">
        <v>239</v>
      </c>
      <c r="E115">
        <v>31</v>
      </c>
      <c r="F115" t="s">
        <v>255</v>
      </c>
      <c r="G115">
        <v>16</v>
      </c>
    </row>
    <row r="116" spans="2:11" x14ac:dyDescent="0.4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2:11" x14ac:dyDescent="0.4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2:11" x14ac:dyDescent="0.4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2:11" x14ac:dyDescent="0.4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2:11" x14ac:dyDescent="0.4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2:11" x14ac:dyDescent="0.4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2:11" x14ac:dyDescent="0.4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2:11" x14ac:dyDescent="0.4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2:11" x14ac:dyDescent="0.4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2:11" x14ac:dyDescent="0.4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2:11" x14ac:dyDescent="0.4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2:11" x14ac:dyDescent="0.4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2:11" x14ac:dyDescent="0.4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4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4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4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4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4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4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4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4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4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4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4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4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4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4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4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4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4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4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4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4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4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4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4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4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4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4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4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4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4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4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4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4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4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4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4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4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4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4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4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4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4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4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4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4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4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4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4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4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4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4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4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4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4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4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4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4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4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4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4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4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4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4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4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4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4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4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4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4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4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4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4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4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4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4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4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4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4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4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4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4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4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4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4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4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4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4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4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4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4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4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4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4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4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4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4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4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4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4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4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4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4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4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4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4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4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4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4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4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4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4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4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4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4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4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4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4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4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4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4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4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4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4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4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4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4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4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4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4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4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4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4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4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4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4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4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4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4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4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4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4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4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4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4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4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4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4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4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4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4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4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4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4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4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4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4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4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4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4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4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4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4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4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4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4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4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4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4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4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4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4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4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4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4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4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4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4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4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4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4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4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4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4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4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4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4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4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4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4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4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4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4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4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4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4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4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4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4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4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4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4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4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4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4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4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4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4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4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4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4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4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4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4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4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4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4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4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4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4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4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4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4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4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4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4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4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4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4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4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4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4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4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4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4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4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4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4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4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4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4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4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4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4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4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4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4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4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4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4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4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4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4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4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4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4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4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4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4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4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4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4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4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4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4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4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4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4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4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4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4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4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4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4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4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4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4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4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4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4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4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4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4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4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4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4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4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4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4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4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4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4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4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4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4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4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4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4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4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4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4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4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4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4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4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4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4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4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4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4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4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4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4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4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4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4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4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4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4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4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4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4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4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4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4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4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4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4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4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4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4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4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4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4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4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4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4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4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4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4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4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4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4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4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4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4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4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4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4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4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4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4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4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4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4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4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4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4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4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4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4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4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4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4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4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4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4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4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4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4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4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4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4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4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4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4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4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4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4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4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4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4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4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4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4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4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4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4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4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4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4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4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4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4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4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4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4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4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4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4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4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4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4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4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4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4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4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4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4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4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4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4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4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4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4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4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4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4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4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4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4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4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4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4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4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4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4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4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4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4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4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4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4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4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4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4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4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4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4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4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4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4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4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4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4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4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4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4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4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4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4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4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4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4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4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4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4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4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4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4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4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4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4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4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4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4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4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4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4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4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4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4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4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4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4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4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4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4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4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4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4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4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4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4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4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4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4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4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4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4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4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4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4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4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B050"/>
  </sheetPr>
  <dimension ref="B1:Y104"/>
  <sheetViews>
    <sheetView tabSelected="1" topLeftCell="A19" zoomScaleNormal="100" workbookViewId="0">
      <selection activeCell="G41" sqref="G41"/>
    </sheetView>
  </sheetViews>
  <sheetFormatPr defaultColWidth="9.1328125" defaultRowHeight="14.25" x14ac:dyDescent="0.45"/>
  <cols>
    <col min="1" max="2" style="297" width="9.1328125" collapsed="true"/>
    <col min="3" max="3" customWidth="true" style="297" width="12.73046875" collapsed="true"/>
    <col min="4" max="4" customWidth="true" style="296" width="18.86328125" collapsed="true"/>
    <col min="5" max="5" bestFit="true" customWidth="true" style="297" width="32.73046875" collapsed="true"/>
    <col min="6" max="6" customWidth="true" style="297" width="12.73046875" collapsed="true"/>
    <col min="7" max="7" customWidth="true" style="296" width="18.86328125" collapsed="true"/>
    <col min="8" max="8" customWidth="true" style="296" width="8.73046875" collapsed="true"/>
    <col min="9" max="9" customWidth="true" style="296" width="6.59765625" collapsed="true"/>
    <col min="10" max="10" customWidth="true" style="296" width="10.1328125" collapsed="true"/>
    <col min="11" max="11" customWidth="true" style="296" width="9.86328125" collapsed="true"/>
    <col min="12" max="14" style="297" width="9.1328125" collapsed="true"/>
    <col min="15" max="15" customWidth="true" style="297" width="13.0" collapsed="true"/>
    <col min="16" max="16" bestFit="true" customWidth="true" style="299" width="19.59765625" collapsed="true"/>
    <col min="17" max="17" customWidth="true" style="333" width="19.59765625" collapsed="true"/>
    <col min="18" max="16384" style="297" width="9.1328125" collapsed="true"/>
  </cols>
  <sheetData>
    <row r="1" spans="3:25" x14ac:dyDescent="0.45">
      <c r="C1" s="10" t="s">
        <v>40</v>
      </c>
      <c r="F1" s="10" t="s">
        <v>41</v>
      </c>
      <c r="N1" s="298" t="s">
        <v>263</v>
      </c>
      <c r="S1" s="298"/>
      <c r="T1" s="298" t="s">
        <v>263</v>
      </c>
      <c r="U1" s="322"/>
      <c r="V1" s="322"/>
      <c r="W1" s="322"/>
      <c r="X1" s="322"/>
      <c r="Y1" s="322"/>
    </row>
    <row r="2" spans="3:25" ht="14.65" thickBot="1" x14ac:dyDescent="0.5">
      <c r="C2" s="298" t="s">
        <v>43</v>
      </c>
      <c r="M2" s="10" t="s">
        <v>91</v>
      </c>
      <c r="N2" s="10" t="s">
        <v>258</v>
      </c>
      <c r="O2" s="10" t="s">
        <v>259</v>
      </c>
      <c r="P2" s="348" t="s">
        <v>261</v>
      </c>
      <c r="Q2" s="349" t="s">
        <v>262</v>
      </c>
      <c r="T2" s="322"/>
      <c r="U2" s="298" t="s">
        <v>265</v>
      </c>
      <c r="V2"/>
      <c r="W2" s="322"/>
      <c r="X2" s="322"/>
      <c r="Y2" s="322"/>
    </row>
    <row r="3" spans="3:25" x14ac:dyDescent="0.45">
      <c r="C3" s="300" t="s">
        <v>3</v>
      </c>
      <c r="D3" s="301" t="s">
        <v>44</v>
      </c>
      <c r="F3" s="300" t="s">
        <v>3</v>
      </c>
      <c r="G3" s="301" t="s">
        <v>44</v>
      </c>
      <c r="H3" s="361"/>
      <c r="I3" s="361"/>
      <c r="J3" s="361"/>
      <c r="K3" s="361"/>
      <c r="L3" s="302"/>
      <c r="M3" s="297" t="str">
        <f>VLOOKUP(N3,Coeff_Descr!$A:$D,3,FALSE)</f>
        <v>ALL</v>
      </c>
      <c r="N3" s="297">
        <f>OtherTourDestination!B11</f>
        <v>1</v>
      </c>
      <c r="O3" s="297" t="str">
        <f>OtherTourDestination!C11</f>
        <v>Beta00001</v>
      </c>
      <c r="P3" s="299">
        <f>OtherTourDestination!E11</f>
        <v>1</v>
      </c>
      <c r="Q3" s="336">
        <f>_xlfn.IFNA(VLOOKUP(N3,$B$43:$D$46,3,FALSE),P3)</f>
        <v>1</v>
      </c>
      <c r="T3">
        <v>1</v>
      </c>
      <c r="U3" s="294" t="s">
        <v>281</v>
      </c>
      <c r="V3"/>
      <c r="W3" s="322"/>
      <c r="X3" s="322"/>
      <c r="Y3" s="322"/>
    </row>
    <row r="4" spans="3:25" x14ac:dyDescent="0.45">
      <c r="C4" s="303" t="s">
        <v>47</v>
      </c>
      <c r="D4" s="304">
        <f>TLFD!B11</f>
        <v>52948.7990929593</v>
      </c>
      <c r="F4" s="303" t="s">
        <v>47</v>
      </c>
      <c r="G4" s="304">
        <f>TLFD!F11</f>
        <v>130546</v>
      </c>
      <c r="H4" s="304"/>
      <c r="I4" s="304"/>
      <c r="J4" s="304"/>
      <c r="K4" s="304"/>
      <c r="L4" s="305"/>
      <c r="M4" s="297" t="str">
        <f>VLOOKUP(N4,Coeff_Descr!$A:$D,3,FALSE)</f>
        <v>ALL</v>
      </c>
      <c r="N4" s="297">
        <f>OtherTourDestination!B12</f>
        <v>2</v>
      </c>
      <c r="O4" s="297" t="str">
        <f>OtherTourDestination!C12</f>
        <v>Beta00002</v>
      </c>
      <c r="P4" s="299">
        <f>OtherTourDestination!E12</f>
        <v>11.7146172749</v>
      </c>
      <c r="Q4" s="336">
        <f>_xlfn.IFNA(VLOOKUP(N4,$B$43:$D$46,3,FALSE),P4)</f>
        <v>11.7146172749</v>
      </c>
      <c r="T4">
        <v>2</v>
      </c>
      <c r="U4" s="294" t="s">
        <v>273</v>
      </c>
      <c r="V4"/>
      <c r="W4" s="322"/>
      <c r="X4" s="322"/>
      <c r="Y4" s="322"/>
    </row>
    <row r="5" spans="3:25" x14ac:dyDescent="0.45">
      <c r="C5" s="306" t="s">
        <v>50</v>
      </c>
      <c r="D5" s="307">
        <f>TLFD!B12+TLFD!B13+(TLFD!B14/2)</f>
        <v>253789.43655732469</v>
      </c>
      <c r="F5" s="306" t="s">
        <v>50</v>
      </c>
      <c r="G5" s="307">
        <f>TLFD!F12+TLFD!F13+(TLFD!F14/2)</f>
        <v>236741.5</v>
      </c>
      <c r="H5" s="307"/>
      <c r="I5" s="307"/>
      <c r="J5" s="307"/>
      <c r="K5" s="307"/>
      <c r="L5" s="305"/>
      <c r="M5" s="297" t="str">
        <f>VLOOKUP(N5,Coeff_Descr!$A:$D,3,FALSE)</f>
        <v>ALL</v>
      </c>
      <c r="N5" s="297">
        <f>OtherTourDestination!B13</f>
        <v>3</v>
      </c>
      <c r="O5" s="297" t="str">
        <f>OtherTourDestination!C13</f>
        <v>Beta00003</v>
      </c>
      <c r="P5" s="299">
        <f>OtherTourDestination!E13</f>
        <v>-0.2117</v>
      </c>
      <c r="Q5" s="336">
        <f t="shared" ref="Q5:Q68" si="0">_xlfn.IFNA(VLOOKUP(N5,$B$43:$D$46,3,FALSE),P5)</f>
        <v>-0.2117</v>
      </c>
      <c r="T5">
        <v>3</v>
      </c>
      <c r="U5" s="322" t="s">
        <v>275</v>
      </c>
      <c r="V5" s="322"/>
      <c r="W5" s="322"/>
      <c r="X5" s="322"/>
      <c r="Y5" s="322"/>
    </row>
    <row r="6" spans="3:25" x14ac:dyDescent="0.45">
      <c r="C6" s="306" t="s">
        <v>53</v>
      </c>
      <c r="D6" s="307">
        <f>(TLFD!B14/2)+SUM(TLFD!B15:B20)</f>
        <v>572085.26195543422</v>
      </c>
      <c r="F6" s="306" t="s">
        <v>53</v>
      </c>
      <c r="G6" s="307">
        <f>(TLFD!F14/2)+SUM(TLFD!F15:F20)</f>
        <v>640071.5</v>
      </c>
      <c r="H6" s="307"/>
      <c r="I6" s="307"/>
      <c r="J6" s="307"/>
      <c r="K6" s="307"/>
      <c r="L6" s="308"/>
      <c r="M6" s="297" t="str">
        <f>VLOOKUP(N6,Coeff_Descr!$A:$D,3,FALSE)</f>
        <v>ALL</v>
      </c>
      <c r="N6" s="297">
        <f>OtherTourDestination!B14</f>
        <v>4</v>
      </c>
      <c r="O6" s="297" t="str">
        <f>OtherTourDestination!C14</f>
        <v>Beta00004</v>
      </c>
      <c r="P6" s="299">
        <f>OtherTourDestination!E14</f>
        <v>0.27120783067900001</v>
      </c>
      <c r="Q6" s="336">
        <f t="shared" si="0"/>
        <v>0.27120783067900001</v>
      </c>
      <c r="T6">
        <v>4</v>
      </c>
      <c r="U6" s="322" t="s">
        <v>266</v>
      </c>
      <c r="V6" s="322"/>
      <c r="W6" s="322"/>
      <c r="X6" s="322"/>
      <c r="Y6" s="322"/>
    </row>
    <row r="7" spans="3:25" x14ac:dyDescent="0.45">
      <c r="C7" s="309" t="s">
        <v>56</v>
      </c>
      <c r="D7" s="310">
        <f>SUM(TLFD!B21:B101)</f>
        <v>205791.15966561608</v>
      </c>
      <c r="F7" s="309" t="s">
        <v>56</v>
      </c>
      <c r="G7" s="310">
        <f>SUM(TLFD!F21:F101)</f>
        <v>152078</v>
      </c>
      <c r="H7" s="362"/>
      <c r="I7" s="362"/>
      <c r="J7" s="362"/>
      <c r="K7" s="362"/>
      <c r="L7" s="311"/>
      <c r="M7" s="297" t="str">
        <f>VLOOKUP(N7,Coeff_Descr!$A:$D,3,FALSE)</f>
        <v>ALL</v>
      </c>
      <c r="N7" s="297">
        <f>OtherTourDestination!B15</f>
        <v>5</v>
      </c>
      <c r="O7" s="297" t="str">
        <f>OtherTourDestination!C15</f>
        <v>Beta00005</v>
      </c>
      <c r="P7" s="299">
        <f>OtherTourDestination!E15</f>
        <v>-0.34490013167299999</v>
      </c>
      <c r="Q7" s="336">
        <f t="shared" si="0"/>
        <v>-0.34490013167299999</v>
      </c>
      <c r="T7" s="322">
        <v>5</v>
      </c>
      <c r="U7" s="322" t="s">
        <v>267</v>
      </c>
      <c r="V7" s="322"/>
      <c r="W7" s="322"/>
      <c r="X7" s="322"/>
      <c r="Y7" s="322"/>
    </row>
    <row r="8" spans="3:25" ht="14.65" thickBot="1" x14ac:dyDescent="0.5">
      <c r="C8" s="312" t="s">
        <v>4</v>
      </c>
      <c r="D8" s="313">
        <f>SUM(D4:D7)</f>
        <v>1084614.6572713342</v>
      </c>
      <c r="E8" s="314"/>
      <c r="F8" s="312" t="s">
        <v>4</v>
      </c>
      <c r="G8" s="313">
        <f>SUM(G4:G7)</f>
        <v>1159437</v>
      </c>
      <c r="H8" s="363"/>
      <c r="I8" s="363"/>
      <c r="J8" s="363" t="s">
        <v>283</v>
      </c>
      <c r="K8" s="375">
        <v>1</v>
      </c>
      <c r="M8" s="297" t="str">
        <f>VLOOKUP(N8,Coeff_Descr!$A:$D,3,FALSE)</f>
        <v>ALL</v>
      </c>
      <c r="N8" s="297">
        <f>OtherTourDestination!B16</f>
        <v>6</v>
      </c>
      <c r="O8" s="297" t="str">
        <f>OtherTourDestination!C16</f>
        <v>Beta00006</v>
      </c>
      <c r="P8" s="299">
        <f>OtherTourDestination!E16</f>
        <v>-8.2865473150899996E-2</v>
      </c>
      <c r="Q8" s="336">
        <f t="shared" si="0"/>
        <v>-8.2865473150899996E-2</v>
      </c>
      <c r="T8" s="322"/>
      <c r="U8" s="322"/>
      <c r="V8" s="322"/>
      <c r="W8" s="322"/>
      <c r="X8" s="322"/>
      <c r="Y8" s="322"/>
    </row>
    <row r="9" spans="3:25" x14ac:dyDescent="0.45">
      <c r="M9" s="297" t="str">
        <f>VLOOKUP(N9,Coeff_Descr!$A:$D,3,FALSE)</f>
        <v>ALL</v>
      </c>
      <c r="N9" s="297">
        <f>OtherTourDestination!B17</f>
        <v>7</v>
      </c>
      <c r="O9" s="297" t="str">
        <f>OtherTourDestination!C17</f>
        <v>Beta00007</v>
      </c>
      <c r="P9" s="299">
        <f>OtherTourDestination!E17</f>
        <v>-3.9895313632499998</v>
      </c>
      <c r="Q9" s="336">
        <f t="shared" si="0"/>
        <v>-3.9895313632499998</v>
      </c>
      <c r="T9" s="322"/>
      <c r="U9" s="359" t="s">
        <v>268</v>
      </c>
      <c r="V9" s="322"/>
      <c r="W9" s="322"/>
      <c r="X9" s="322"/>
      <c r="Y9" s="322"/>
    </row>
    <row r="10" spans="3:25" ht="14.65" thickBot="1" x14ac:dyDescent="0.5">
      <c r="C10" s="315" t="s">
        <v>63</v>
      </c>
      <c r="I10" s="374" t="s">
        <v>282</v>
      </c>
      <c r="J10" s="365"/>
      <c r="K10" s="365"/>
      <c r="L10" s="302"/>
      <c r="M10" s="297" t="str">
        <f>VLOOKUP(N10,Coeff_Descr!$A:$D,3,FALSE)</f>
        <v>ALL</v>
      </c>
      <c r="N10" s="297">
        <f>OtherTourDestination!B18</f>
        <v>8</v>
      </c>
      <c r="O10" s="297" t="str">
        <f>OtherTourDestination!C18</f>
        <v>Beta00008</v>
      </c>
      <c r="P10" s="299">
        <f>OtherTourDestination!E18</f>
        <v>6.9400000000000003E-2</v>
      </c>
      <c r="Q10" s="336">
        <f t="shared" si="0"/>
        <v>6.9400000000000003E-2</v>
      </c>
      <c r="T10" s="322">
        <v>1</v>
      </c>
      <c r="U10" s="294" t="s">
        <v>281</v>
      </c>
      <c r="V10" s="322"/>
      <c r="W10" s="322"/>
      <c r="X10" s="322"/>
      <c r="Y10" s="322"/>
    </row>
    <row r="11" spans="3:25" x14ac:dyDescent="0.45">
      <c r="C11" s="300" t="s">
        <v>3</v>
      </c>
      <c r="D11" s="301" t="s">
        <v>44</v>
      </c>
      <c r="F11" s="300" t="s">
        <v>3</v>
      </c>
      <c r="G11" s="301" t="s">
        <v>44</v>
      </c>
      <c r="H11" s="361" t="s">
        <v>283</v>
      </c>
      <c r="I11" s="301" t="s">
        <v>278</v>
      </c>
      <c r="J11" s="301" t="s">
        <v>279</v>
      </c>
      <c r="K11" s="301" t="s">
        <v>280</v>
      </c>
      <c r="L11" s="316"/>
      <c r="M11" s="297" t="str">
        <f>VLOOKUP(N11,Coeff_Descr!$A:$D,3,FALSE)</f>
        <v>ALL</v>
      </c>
      <c r="N11" s="297">
        <f>OtherTourDestination!B19</f>
        <v>9</v>
      </c>
      <c r="O11" s="297" t="str">
        <f>OtherTourDestination!C19</f>
        <v>Beta00009</v>
      </c>
      <c r="P11" s="299">
        <f>OtherTourDestination!E19</f>
        <v>-9.5820044919499997E-2</v>
      </c>
      <c r="Q11" s="336">
        <f t="shared" si="0"/>
        <v>-9.5820044919499997E-2</v>
      </c>
      <c r="T11" s="322">
        <v>2</v>
      </c>
      <c r="U11" s="322" t="s">
        <v>269</v>
      </c>
      <c r="V11" s="322"/>
      <c r="W11" s="322"/>
      <c r="X11" s="322"/>
      <c r="Y11" s="322"/>
    </row>
    <row r="12" spans="3:25" x14ac:dyDescent="0.45">
      <c r="C12" s="303" t="s">
        <v>47</v>
      </c>
      <c r="D12" s="317">
        <f>D4/D$8</f>
        <v>4.8818074454357374E-2</v>
      </c>
      <c r="F12" s="303" t="s">
        <v>47</v>
      </c>
      <c r="G12" s="317">
        <f>G4/G$8</f>
        <v>0.11259430223461904</v>
      </c>
      <c r="H12" s="378">
        <v>0</v>
      </c>
      <c r="I12" s="366">
        <f>D12/G12</f>
        <v>0.43357499878308609</v>
      </c>
      <c r="J12" s="380">
        <f>H12*LN(I12)</f>
        <v>0</v>
      </c>
      <c r="K12" s="367">
        <f>K8*J12</f>
        <v>0</v>
      </c>
      <c r="L12" s="316"/>
      <c r="M12" s="297" t="str">
        <f>VLOOKUP(N12,Coeff_Descr!$A:$D,3,FALSE)</f>
        <v>ALL</v>
      </c>
      <c r="N12" s="297">
        <f>OtherTourDestination!B20</f>
        <v>10</v>
      </c>
      <c r="O12" s="297" t="str">
        <f>OtherTourDestination!C20</f>
        <v>Beta00010</v>
      </c>
      <c r="P12" s="299">
        <f>OtherTourDestination!E20</f>
        <v>0.517563261484</v>
      </c>
      <c r="Q12" s="336">
        <f t="shared" si="0"/>
        <v>0.517563261484</v>
      </c>
      <c r="T12" s="322">
        <v>3</v>
      </c>
      <c r="U12" s="322" t="s">
        <v>270</v>
      </c>
      <c r="V12" s="322"/>
      <c r="W12" s="322"/>
      <c r="X12" s="322"/>
      <c r="Y12" s="322"/>
    </row>
    <row r="13" spans="3:25" x14ac:dyDescent="0.45">
      <c r="C13" s="306" t="s">
        <v>50</v>
      </c>
      <c r="D13" s="318">
        <f t="shared" ref="D13:D16" si="1">D5/D$8</f>
        <v>0.23399041756987346</v>
      </c>
      <c r="F13" s="306" t="s">
        <v>50</v>
      </c>
      <c r="G13" s="318">
        <f t="shared" ref="G13:G16" si="2">G5/G$8</f>
        <v>0.20418660091061439</v>
      </c>
      <c r="H13" s="379">
        <v>0</v>
      </c>
      <c r="I13" s="366">
        <f t="shared" ref="I13:I15" si="3">D13/G13</f>
        <v>1.1459636260476569</v>
      </c>
      <c r="J13" s="367">
        <f t="shared" ref="J13:J15" si="4">H13*LN(I13)</f>
        <v>0</v>
      </c>
      <c r="K13" s="367">
        <f>K8*(J13-J12)</f>
        <v>0</v>
      </c>
      <c r="L13" s="316"/>
      <c r="M13" s="297" t="str">
        <f>VLOOKUP(N13,Coeff_Descr!$A:$D,3,FALSE)</f>
        <v>ALL</v>
      </c>
      <c r="N13" s="297">
        <f>OtherTourDestination!B21</f>
        <v>11</v>
      </c>
      <c r="O13" s="297" t="str">
        <f>OtherTourDestination!C21</f>
        <v>Beta00011</v>
      </c>
      <c r="P13" s="299">
        <f>OtherTourDestination!E21</f>
        <v>-0.80352358260699996</v>
      </c>
      <c r="Q13" s="336">
        <f t="shared" si="0"/>
        <v>-0.80352358260699996</v>
      </c>
      <c r="T13" s="322">
        <v>4</v>
      </c>
      <c r="U13" s="322" t="s">
        <v>271</v>
      </c>
      <c r="V13" s="322"/>
      <c r="W13" s="322"/>
      <c r="X13" s="322"/>
      <c r="Y13" s="322"/>
    </row>
    <row r="14" spans="3:25" x14ac:dyDescent="0.45">
      <c r="C14" s="306" t="s">
        <v>53</v>
      </c>
      <c r="D14" s="318">
        <f t="shared" si="1"/>
        <v>0.52745485055003982</v>
      </c>
      <c r="F14" s="306" t="s">
        <v>53</v>
      </c>
      <c r="G14" s="318">
        <f t="shared" si="2"/>
        <v>0.55205371227587186</v>
      </c>
      <c r="H14" s="379">
        <v>0</v>
      </c>
      <c r="I14" s="366">
        <f t="shared" si="3"/>
        <v>0.95544118048872118</v>
      </c>
      <c r="J14" s="367">
        <f t="shared" si="4"/>
        <v>0</v>
      </c>
      <c r="K14" s="367">
        <f>K8*(J14-J13-J12)</f>
        <v>0</v>
      </c>
      <c r="L14" s="319"/>
      <c r="M14" s="297" t="str">
        <f>VLOOKUP(N14,Coeff_Descr!$A:$D,3,FALSE)</f>
        <v>ALL</v>
      </c>
      <c r="N14" s="297">
        <f>OtherTourDestination!B22</f>
        <v>12</v>
      </c>
      <c r="O14" s="297" t="str">
        <f>OtherTourDestination!C22</f>
        <v>Beta00012</v>
      </c>
      <c r="P14" s="299">
        <f>OtherTourDestination!E22</f>
        <v>-0.80534348065299999</v>
      </c>
      <c r="Q14" s="336">
        <f t="shared" si="0"/>
        <v>-0.80534348065299999</v>
      </c>
      <c r="T14" s="322">
        <v>5</v>
      </c>
      <c r="U14" s="294" t="s">
        <v>274</v>
      </c>
      <c r="V14" s="322"/>
      <c r="W14" s="322"/>
      <c r="X14" s="322"/>
      <c r="Y14" s="322"/>
    </row>
    <row r="15" spans="3:25" ht="14.65" thickBot="1" x14ac:dyDescent="0.5">
      <c r="C15" s="309" t="s">
        <v>56</v>
      </c>
      <c r="D15" s="318">
        <f t="shared" si="1"/>
        <v>0.18973665742572943</v>
      </c>
      <c r="F15" s="309" t="s">
        <v>56</v>
      </c>
      <c r="G15" s="318">
        <f t="shared" si="2"/>
        <v>0.13116538457889476</v>
      </c>
      <c r="H15" s="379">
        <v>1</v>
      </c>
      <c r="I15" s="368">
        <f t="shared" si="3"/>
        <v>1.4465451996719805</v>
      </c>
      <c r="J15" s="369">
        <f t="shared" si="4"/>
        <v>0.36917809255870138</v>
      </c>
      <c r="K15" s="369">
        <f>K8*(J15-J14-J13-J12)</f>
        <v>0.36917809255870138</v>
      </c>
      <c r="M15" s="297" t="str">
        <f>VLOOKUP(N15,Coeff_Descr!$A:$D,3,FALSE)</f>
        <v>ALL</v>
      </c>
      <c r="N15" s="297">
        <f>OtherTourDestination!B23</f>
        <v>13</v>
      </c>
      <c r="O15" s="297" t="str">
        <f>OtherTourDestination!C23</f>
        <v>Beta00013</v>
      </c>
      <c r="P15" s="299">
        <f>OtherTourDestination!E23</f>
        <v>-0.51977799879300002</v>
      </c>
      <c r="Q15" s="336">
        <f t="shared" si="0"/>
        <v>-0.51977799879300002</v>
      </c>
      <c r="T15" s="322">
        <v>6</v>
      </c>
      <c r="U15" s="322" t="s">
        <v>276</v>
      </c>
      <c r="V15" s="322"/>
      <c r="W15" s="322"/>
      <c r="X15" s="322"/>
      <c r="Y15" s="322"/>
    </row>
    <row r="16" spans="3:25" ht="14.65" thickBot="1" x14ac:dyDescent="0.5">
      <c r="C16" s="312" t="s">
        <v>4</v>
      </c>
      <c r="D16" s="320">
        <f t="shared" si="1"/>
        <v>1</v>
      </c>
      <c r="E16" s="314"/>
      <c r="F16" s="312" t="s">
        <v>4</v>
      </c>
      <c r="G16" s="320">
        <f t="shared" si="2"/>
        <v>1</v>
      </c>
      <c r="H16" s="364"/>
      <c r="I16" s="366"/>
      <c r="J16" s="366"/>
      <c r="K16" s="366"/>
      <c r="M16" s="297" t="str">
        <f>VLOOKUP(N16,Coeff_Descr!$A:$D,3,FALSE)</f>
        <v>ALL</v>
      </c>
      <c r="N16" s="297">
        <f>OtherTourDestination!B24</f>
        <v>14</v>
      </c>
      <c r="O16" s="297" t="str">
        <f>OtherTourDestination!C24</f>
        <v>Beta00014</v>
      </c>
      <c r="P16" s="299">
        <f>OtherTourDestination!E24</f>
        <v>-0.27562686954600002</v>
      </c>
      <c r="Q16" s="336">
        <f t="shared" si="0"/>
        <v>-0.27562686954600002</v>
      </c>
      <c r="T16" s="322">
        <v>7</v>
      </c>
      <c r="U16" s="322" t="s">
        <v>266</v>
      </c>
      <c r="V16" s="322"/>
      <c r="W16" s="322"/>
      <c r="X16" s="322"/>
      <c r="Y16" s="322"/>
    </row>
    <row r="17" spans="2:25" x14ac:dyDescent="0.45">
      <c r="M17" s="297" t="str">
        <f>VLOOKUP(N17,Coeff_Descr!$A:$D,3,FALSE)</f>
        <v>ALL</v>
      </c>
      <c r="N17" s="297">
        <f>OtherTourDestination!B25</f>
        <v>15</v>
      </c>
      <c r="O17" s="297" t="str">
        <f>OtherTourDestination!C25</f>
        <v>Beta00015</v>
      </c>
      <c r="P17" s="299">
        <f>OtherTourDestination!E25</f>
        <v>-0.55245424085299999</v>
      </c>
      <c r="Q17" s="336">
        <f t="shared" si="0"/>
        <v>-0.55245424085299999</v>
      </c>
      <c r="T17" s="322">
        <v>8</v>
      </c>
      <c r="U17" s="322" t="s">
        <v>272</v>
      </c>
      <c r="V17" s="322"/>
      <c r="W17" s="322"/>
      <c r="X17" s="322"/>
      <c r="Y17" s="322"/>
    </row>
    <row r="18" spans="2:25" x14ac:dyDescent="0.45">
      <c r="I18" s="370"/>
      <c r="J18" s="370"/>
      <c r="K18" s="367"/>
      <c r="M18" s="297" t="str">
        <f>VLOOKUP(N18,Coeff_Descr!$A:$D,3,FALSE)</f>
        <v>ALL</v>
      </c>
      <c r="N18" s="297">
        <f>OtherTourDestination!B26</f>
        <v>16</v>
      </c>
      <c r="O18" s="297" t="str">
        <f>OtherTourDestination!C26</f>
        <v>Beta00016</v>
      </c>
      <c r="P18" s="299">
        <f>OtherTourDestination!E26</f>
        <v>-0.493022087256</v>
      </c>
      <c r="Q18" s="336">
        <f t="shared" si="0"/>
        <v>-0.493022087256</v>
      </c>
    </row>
    <row r="19" spans="2:25" x14ac:dyDescent="0.45">
      <c r="C19" s="321" t="s">
        <v>82</v>
      </c>
      <c r="I19" s="370"/>
      <c r="J19" s="370"/>
      <c r="K19" s="367"/>
      <c r="M19" s="297" t="str">
        <f>VLOOKUP(N19,Coeff_Descr!$A:$D,3,FALSE)</f>
        <v>ALL</v>
      </c>
      <c r="N19" s="297">
        <f>OtherTourDestination!B27</f>
        <v>17</v>
      </c>
      <c r="O19" s="297" t="str">
        <f>OtherTourDestination!C27</f>
        <v>Beta00017</v>
      </c>
      <c r="P19" s="299">
        <f>OtherTourDestination!E27</f>
        <v>0</v>
      </c>
      <c r="Q19" s="336">
        <f t="shared" si="0"/>
        <v>0</v>
      </c>
    </row>
    <row r="20" spans="2:25" x14ac:dyDescent="0.45">
      <c r="C20" s="321" t="s">
        <v>85</v>
      </c>
      <c r="G20" s="296" t="s">
        <v>284</v>
      </c>
      <c r="I20" s="370"/>
      <c r="J20" s="370"/>
      <c r="K20" s="367"/>
      <c r="M20" s="297" t="str">
        <f>VLOOKUP(N20,Coeff_Descr!$A:$D,3,FALSE)</f>
        <v>ALL</v>
      </c>
      <c r="N20" s="297">
        <f>OtherTourDestination!B28</f>
        <v>18</v>
      </c>
      <c r="O20" s="297" t="str">
        <f>OtherTourDestination!C28</f>
        <v>Beta00018</v>
      </c>
      <c r="P20" s="299">
        <f>OtherTourDestination!E28</f>
        <v>0</v>
      </c>
      <c r="Q20" s="336">
        <f t="shared" si="0"/>
        <v>0</v>
      </c>
    </row>
    <row r="21" spans="2:25" ht="14.65" thickBot="1" x14ac:dyDescent="0.5">
      <c r="C21" s="322"/>
      <c r="G21" s="381" t="s">
        <v>285</v>
      </c>
      <c r="I21" s="370"/>
      <c r="J21" s="370"/>
      <c r="K21" s="367"/>
      <c r="M21" s="297" t="str">
        <f>VLOOKUP(N21,Coeff_Descr!$A:$D,3,FALSE)</f>
        <v>ALL</v>
      </c>
      <c r="N21" s="297">
        <f>OtherTourDestination!B29</f>
        <v>19</v>
      </c>
      <c r="O21" s="297" t="str">
        <f>OtherTourDestination!C29</f>
        <v>Beta00019</v>
      </c>
      <c r="P21" s="299">
        <f>OtherTourDestination!E29</f>
        <v>0</v>
      </c>
      <c r="Q21" s="336">
        <f t="shared" si="0"/>
        <v>0</v>
      </c>
    </row>
    <row r="22" spans="2:25" x14ac:dyDescent="0.45">
      <c r="B22" s="347" t="s">
        <v>258</v>
      </c>
      <c r="C22" s="323" t="s">
        <v>91</v>
      </c>
      <c r="D22" s="324"/>
      <c r="G22" s="381" t="s">
        <v>286</v>
      </c>
      <c r="M22" s="297" t="str">
        <f>VLOOKUP(N22,Coeff_Descr!$A:$D,3,FALSE)</f>
        <v>ESCORT</v>
      </c>
      <c r="N22" s="297">
        <f>OtherTourDestination!B30</f>
        <v>20</v>
      </c>
      <c r="O22" s="297" t="str">
        <f>OtherTourDestination!C30</f>
        <v>Beta00020</v>
      </c>
      <c r="P22" s="299">
        <f>OtherTourDestination!E30</f>
        <v>0.63771148688699997</v>
      </c>
      <c r="Q22" s="336">
        <f t="shared" si="0"/>
        <v>0.63771148688699997</v>
      </c>
    </row>
    <row r="23" spans="2:25" x14ac:dyDescent="0.45">
      <c r="B23" s="344">
        <v>50</v>
      </c>
      <c r="C23" s="303" t="s">
        <v>47</v>
      </c>
      <c r="D23" s="376">
        <f>VLOOKUP($B23,$N:$P,3,FALSE)</f>
        <v>-29.556856147209999</v>
      </c>
      <c r="I23" s="371"/>
      <c r="J23" s="371"/>
      <c r="K23" s="371"/>
      <c r="M23" s="297" t="str">
        <f>VLOOKUP(N23,Coeff_Descr!$A:$D,3,FALSE)</f>
        <v>ESCORT</v>
      </c>
      <c r="N23" s="297">
        <f>OtherTourDestination!B31</f>
        <v>21</v>
      </c>
      <c r="O23" s="297" t="str">
        <f>OtherTourDestination!C31</f>
        <v>Beta00021</v>
      </c>
      <c r="P23" s="299">
        <f>OtherTourDestination!E31</f>
        <v>-12.0946718381</v>
      </c>
      <c r="Q23" s="336">
        <f t="shared" si="0"/>
        <v>-12.0946718381</v>
      </c>
    </row>
    <row r="24" spans="2:25" x14ac:dyDescent="0.45">
      <c r="B24" s="344">
        <v>51</v>
      </c>
      <c r="C24" s="306" t="s">
        <v>50</v>
      </c>
      <c r="D24" s="376">
        <f t="shared" ref="D24:D26" si="5">VLOOKUP($B24,$N:$P,3,FALSE)</f>
        <v>-5.8091947247600002</v>
      </c>
      <c r="M24" s="297" t="str">
        <f>VLOOKUP(N24,Coeff_Descr!$A:$D,3,FALSE)</f>
        <v>ESCORT</v>
      </c>
      <c r="N24" s="297">
        <f>OtherTourDestination!B32</f>
        <v>22</v>
      </c>
      <c r="O24" s="297" t="str">
        <f>OtherTourDestination!C32</f>
        <v>Beta00022</v>
      </c>
      <c r="P24" s="299">
        <f>OtherTourDestination!E32</f>
        <v>-4.03623745316</v>
      </c>
      <c r="Q24" s="336">
        <f t="shared" si="0"/>
        <v>-4.03623745316</v>
      </c>
    </row>
    <row r="25" spans="2:25" x14ac:dyDescent="0.45">
      <c r="B25" s="344">
        <v>52</v>
      </c>
      <c r="C25" s="306" t="s">
        <v>53</v>
      </c>
      <c r="D25" s="376">
        <f t="shared" si="5"/>
        <v>-1.94064618888</v>
      </c>
      <c r="M25" s="297" t="str">
        <f>VLOOKUP(N25,Coeff_Descr!$A:$D,3,FALSE)</f>
        <v>ESCORT</v>
      </c>
      <c r="N25" s="297">
        <f>OtherTourDestination!B33</f>
        <v>23</v>
      </c>
      <c r="O25" s="297" t="str">
        <f>OtherTourDestination!C33</f>
        <v>Beta00023</v>
      </c>
      <c r="P25" s="299">
        <f>OtherTourDestination!E33</f>
        <v>-2.4557170493427001</v>
      </c>
      <c r="Q25" s="336">
        <f t="shared" si="0"/>
        <v>-2.4557170493427001</v>
      </c>
    </row>
    <row r="26" spans="2:25" ht="14.65" thickBot="1" x14ac:dyDescent="0.5">
      <c r="B26" s="346">
        <v>53</v>
      </c>
      <c r="C26" s="326" t="s">
        <v>56</v>
      </c>
      <c r="D26" s="377">
        <f t="shared" si="5"/>
        <v>-0.66321888748000002</v>
      </c>
      <c r="M26" s="297" t="str">
        <f>VLOOKUP(N26,Coeff_Descr!$A:$D,3,FALSE)</f>
        <v>ESCORT</v>
      </c>
      <c r="N26" s="297">
        <f>OtherTourDestination!B34</f>
        <v>24</v>
      </c>
      <c r="O26" s="297" t="str">
        <f>OtherTourDestination!C34</f>
        <v>Beta00024</v>
      </c>
      <c r="P26" s="299">
        <f>OtherTourDestination!E34</f>
        <v>0.10429329553199999</v>
      </c>
      <c r="Q26" s="336">
        <f t="shared" si="0"/>
        <v>0.10429329553199999</v>
      </c>
    </row>
    <row r="27" spans="2:25" x14ac:dyDescent="0.45">
      <c r="C27" s="322"/>
      <c r="D27" s="328"/>
      <c r="M27" s="297" t="str">
        <f>VLOOKUP(N27,Coeff_Descr!$A:$D,3,FALSE)</f>
        <v>ESCORT</v>
      </c>
      <c r="N27" s="297">
        <f>OtherTourDestination!B35</f>
        <v>25</v>
      </c>
      <c r="O27" s="297" t="str">
        <f>OtherTourDestination!C35</f>
        <v>Beta00025</v>
      </c>
      <c r="P27" s="299">
        <f>OtherTourDestination!E35</f>
        <v>0</v>
      </c>
      <c r="Q27" s="336">
        <f t="shared" si="0"/>
        <v>0</v>
      </c>
    </row>
    <row r="28" spans="2:25" x14ac:dyDescent="0.45">
      <c r="C28" s="322"/>
      <c r="D28" s="328"/>
      <c r="M28" s="297" t="str">
        <f>VLOOKUP(N28,Coeff_Descr!$A:$D,3,FALSE)</f>
        <v>PERSBUS/MED</v>
      </c>
      <c r="N28" s="297">
        <f>OtherTourDestination!B36</f>
        <v>26</v>
      </c>
      <c r="O28" s="297" t="str">
        <f>OtherTourDestination!C36</f>
        <v>Beta00026</v>
      </c>
      <c r="P28" s="299">
        <f>OtherTourDestination!E36</f>
        <v>0.417326479157</v>
      </c>
      <c r="Q28" s="336">
        <f t="shared" si="0"/>
        <v>0.417326479157</v>
      </c>
    </row>
    <row r="29" spans="2:25" x14ac:dyDescent="0.45">
      <c r="C29" s="321" t="s">
        <v>82</v>
      </c>
      <c r="D29" s="329"/>
      <c r="M29" s="297" t="str">
        <f>VLOOKUP(N29,Coeff_Descr!$A:$D,3,FALSE)</f>
        <v>PERSBUS/MED</v>
      </c>
      <c r="N29" s="297">
        <f>OtherTourDestination!B37</f>
        <v>27</v>
      </c>
      <c r="O29" s="297" t="str">
        <f>OtherTourDestination!C37</f>
        <v>Beta00027</v>
      </c>
      <c r="P29" s="299">
        <f>OtherTourDestination!E37</f>
        <v>-14.8384910501</v>
      </c>
      <c r="Q29" s="336">
        <f t="shared" si="0"/>
        <v>-14.8384910501</v>
      </c>
    </row>
    <row r="30" spans="2:25" x14ac:dyDescent="0.45">
      <c r="C30" s="321" t="s">
        <v>107</v>
      </c>
      <c r="D30" s="329"/>
      <c r="M30" s="297" t="str">
        <f>VLOOKUP(N30,Coeff_Descr!$A:$D,3,FALSE)</f>
        <v>PERSBUS/MED</v>
      </c>
      <c r="N30" s="297">
        <f>OtherTourDestination!B38</f>
        <v>28</v>
      </c>
      <c r="O30" s="297" t="str">
        <f>OtherTourDestination!C38</f>
        <v>Beta00028</v>
      </c>
      <c r="P30" s="299">
        <f>OtherTourDestination!E38</f>
        <v>-5.1880432348000003</v>
      </c>
      <c r="Q30" s="336">
        <f t="shared" si="0"/>
        <v>-5.1880432348000003</v>
      </c>
    </row>
    <row r="31" spans="2:25" ht="14.65" thickBot="1" x14ac:dyDescent="0.5">
      <c r="C31" s="322"/>
      <c r="D31" s="328"/>
      <c r="M31" s="297" t="str">
        <f>VLOOKUP(N31,Coeff_Descr!$A:$D,3,FALSE)</f>
        <v>PERSBUS/MED</v>
      </c>
      <c r="N31" s="297">
        <f>OtherTourDestination!B39</f>
        <v>29</v>
      </c>
      <c r="O31" s="297" t="str">
        <f>OtherTourDestination!C39</f>
        <v>Beta00029</v>
      </c>
      <c r="P31" s="299">
        <f>OtherTourDestination!E39</f>
        <v>-2.6156308707</v>
      </c>
      <c r="Q31" s="336">
        <f t="shared" si="0"/>
        <v>-2.6156308707</v>
      </c>
    </row>
    <row r="32" spans="2:25" x14ac:dyDescent="0.45">
      <c r="B32" s="347" t="s">
        <v>258</v>
      </c>
      <c r="C32" s="323" t="s">
        <v>91</v>
      </c>
      <c r="D32" s="324"/>
      <c r="M32" s="297" t="str">
        <f>VLOOKUP(N32,Coeff_Descr!$A:$D,3,FALSE)</f>
        <v>PERSBUS/MED</v>
      </c>
      <c r="N32" s="297">
        <f>OtherTourDestination!B40</f>
        <v>30</v>
      </c>
      <c r="O32" s="297" t="str">
        <f>OtherTourDestination!C40</f>
        <v>Beta00030</v>
      </c>
      <c r="P32" s="299">
        <f>OtherTourDestination!E40</f>
        <v>-0.91046169190000004</v>
      </c>
      <c r="Q32" s="336">
        <f t="shared" si="0"/>
        <v>-0.91046169190000004</v>
      </c>
    </row>
    <row r="33" spans="2:17" x14ac:dyDescent="0.45">
      <c r="B33" s="344">
        <f>B23</f>
        <v>50</v>
      </c>
      <c r="C33" s="303" t="s">
        <v>47</v>
      </c>
      <c r="D33" s="372">
        <f>K12</f>
        <v>0</v>
      </c>
      <c r="M33" s="297" t="str">
        <f>VLOOKUP(N33,Coeff_Descr!$A:$D,3,FALSE)</f>
        <v>PERSBUS/MED</v>
      </c>
      <c r="N33" s="297">
        <f>OtherTourDestination!B41</f>
        <v>31</v>
      </c>
      <c r="O33" s="297" t="str">
        <f>OtherTourDestination!C41</f>
        <v>Beta00031</v>
      </c>
      <c r="P33" s="299">
        <f>OtherTourDestination!E41</f>
        <v>5.7553461640599997E-2</v>
      </c>
      <c r="Q33" s="336">
        <f t="shared" si="0"/>
        <v>5.7553461640599997E-2</v>
      </c>
    </row>
    <row r="34" spans="2:17" x14ac:dyDescent="0.45">
      <c r="B34" s="344">
        <f t="shared" ref="B34:B36" si="6">B24</f>
        <v>51</v>
      </c>
      <c r="C34" s="306" t="s">
        <v>50</v>
      </c>
      <c r="D34" s="373">
        <f t="shared" ref="D34:D36" si="7">K13</f>
        <v>0</v>
      </c>
      <c r="M34" s="297" t="str">
        <f>VLOOKUP(N34,Coeff_Descr!$A:$D,3,FALSE)</f>
        <v>PERSBUS/MED</v>
      </c>
      <c r="N34" s="297">
        <f>OtherTourDestination!B42</f>
        <v>32</v>
      </c>
      <c r="O34" s="297" t="str">
        <f>OtherTourDestination!C42</f>
        <v>Beta00032</v>
      </c>
      <c r="P34" s="299">
        <f>OtherTourDestination!E42</f>
        <v>0.237798002151</v>
      </c>
      <c r="Q34" s="336">
        <f t="shared" si="0"/>
        <v>0.237798002151</v>
      </c>
    </row>
    <row r="35" spans="2:17" x14ac:dyDescent="0.45">
      <c r="B35" s="344">
        <f t="shared" si="6"/>
        <v>52</v>
      </c>
      <c r="C35" s="306" t="s">
        <v>53</v>
      </c>
      <c r="D35" s="373">
        <f t="shared" si="7"/>
        <v>0</v>
      </c>
      <c r="G35" s="330"/>
      <c r="H35" s="330"/>
      <c r="I35" s="330"/>
      <c r="J35" s="330"/>
      <c r="K35" s="330"/>
      <c r="M35" s="297" t="str">
        <f>VLOOKUP(N35,Coeff_Descr!$A:$D,3,FALSE)</f>
        <v>PERSBUS/MED</v>
      </c>
      <c r="N35" s="297">
        <f>OtherTourDestination!B43</f>
        <v>33</v>
      </c>
      <c r="O35" s="297" t="str">
        <f>OtherTourDestination!C43</f>
        <v>Beta00033</v>
      </c>
      <c r="P35" s="299">
        <f>OtherTourDestination!E43</f>
        <v>0</v>
      </c>
      <c r="Q35" s="336">
        <f t="shared" si="0"/>
        <v>0</v>
      </c>
    </row>
    <row r="36" spans="2:17" ht="14.65" thickBot="1" x14ac:dyDescent="0.5">
      <c r="B36" s="360">
        <f t="shared" si="6"/>
        <v>53</v>
      </c>
      <c r="C36" s="326" t="s">
        <v>56</v>
      </c>
      <c r="D36" s="327">
        <f t="shared" si="7"/>
        <v>0.36917809255870138</v>
      </c>
      <c r="G36" s="331"/>
      <c r="H36" s="331"/>
      <c r="I36" s="331"/>
      <c r="J36" s="331"/>
      <c r="K36" s="331"/>
      <c r="M36" s="297" t="str">
        <f>VLOOKUP(N36,Coeff_Descr!$A:$D,3,FALSE)</f>
        <v>PERSBUS/MED</v>
      </c>
      <c r="N36" s="297">
        <f>OtherTourDestination!B44</f>
        <v>34</v>
      </c>
      <c r="O36" s="297" t="str">
        <f>OtherTourDestination!C44</f>
        <v>Beta00034</v>
      </c>
      <c r="P36" s="299">
        <f>OtherTourDestination!E44</f>
        <v>0</v>
      </c>
      <c r="Q36" s="336">
        <f t="shared" si="0"/>
        <v>0</v>
      </c>
    </row>
    <row r="37" spans="2:17" ht="14.65" thickTop="1" x14ac:dyDescent="0.45">
      <c r="C37" s="322"/>
      <c r="D37" s="325"/>
      <c r="M37" s="297" t="str">
        <f>VLOOKUP(N37,Coeff_Descr!$A:$D,3,FALSE)</f>
        <v>PERSBUS/MED</v>
      </c>
      <c r="N37" s="297">
        <f>OtherTourDestination!B45</f>
        <v>35</v>
      </c>
      <c r="O37" s="297" t="str">
        <f>OtherTourDestination!C45</f>
        <v>Beta00035</v>
      </c>
      <c r="P37" s="299">
        <f>OtherTourDestination!E45</f>
        <v>0</v>
      </c>
      <c r="Q37" s="336">
        <f t="shared" si="0"/>
        <v>0</v>
      </c>
    </row>
    <row r="38" spans="2:17" x14ac:dyDescent="0.45">
      <c r="C38" s="322"/>
      <c r="D38" s="325"/>
      <c r="M38" s="297" t="str">
        <f>VLOOKUP(N38,Coeff_Descr!$A:$D,3,FALSE)</f>
        <v>SHOP</v>
      </c>
      <c r="N38" s="297">
        <f>OtherTourDestination!B46</f>
        <v>36</v>
      </c>
      <c r="O38" s="297" t="str">
        <f>OtherTourDestination!C46</f>
        <v>Beta00036</v>
      </c>
      <c r="P38" s="299">
        <f>OtherTourDestination!E46</f>
        <v>0.61259135262599995</v>
      </c>
      <c r="Q38" s="336">
        <f t="shared" si="0"/>
        <v>0.61259135262599995</v>
      </c>
    </row>
    <row r="39" spans="2:17" x14ac:dyDescent="0.45">
      <c r="C39" s="321" t="s">
        <v>82</v>
      </c>
      <c r="D39" s="332"/>
      <c r="M39" s="297" t="str">
        <f>VLOOKUP(N39,Coeff_Descr!$A:$D,3,FALSE)</f>
        <v>SHOP</v>
      </c>
      <c r="N39" s="297">
        <f>OtherTourDestination!B47</f>
        <v>37</v>
      </c>
      <c r="O39" s="297" t="str">
        <f>OtherTourDestination!C47</f>
        <v>Beta00037</v>
      </c>
      <c r="P39" s="299">
        <f>OtherTourDestination!E47</f>
        <v>-20.810228388700001</v>
      </c>
      <c r="Q39" s="336">
        <f t="shared" si="0"/>
        <v>-20.810228388700001</v>
      </c>
    </row>
    <row r="40" spans="2:17" x14ac:dyDescent="0.45">
      <c r="C40" s="321" t="s">
        <v>125</v>
      </c>
      <c r="D40" s="332"/>
      <c r="M40" s="297" t="str">
        <f>VLOOKUP(N40,Coeff_Descr!$A:$D,3,FALSE)</f>
        <v>SHOP</v>
      </c>
      <c r="N40" s="297">
        <f>OtherTourDestination!B48</f>
        <v>38</v>
      </c>
      <c r="O40" s="297" t="str">
        <f>OtherTourDestination!C48</f>
        <v>Beta00038</v>
      </c>
      <c r="P40" s="299">
        <f>OtherTourDestination!E48</f>
        <v>-7.1836373472300004</v>
      </c>
      <c r="Q40" s="336">
        <f t="shared" si="0"/>
        <v>-7.1836373472300004</v>
      </c>
    </row>
    <row r="41" spans="2:17" ht="14.65" thickBot="1" x14ac:dyDescent="0.5">
      <c r="B41" s="345"/>
      <c r="C41" s="322"/>
      <c r="D41" s="392"/>
      <c r="E41" s="392"/>
      <c r="M41" s="297" t="str">
        <f>VLOOKUP(N41,Coeff_Descr!$A:$D,3,FALSE)</f>
        <v>SHOP</v>
      </c>
      <c r="N41" s="297">
        <f>OtherTourDestination!B49</f>
        <v>39</v>
      </c>
      <c r="O41" s="297" t="str">
        <f>OtherTourDestination!C49</f>
        <v>Beta00039</v>
      </c>
      <c r="P41" s="299">
        <f>OtherTourDestination!E49</f>
        <v>-3.6600975390500001</v>
      </c>
      <c r="Q41" s="336">
        <f t="shared" si="0"/>
        <v>-3.6600975390500001</v>
      </c>
    </row>
    <row r="42" spans="2:17" x14ac:dyDescent="0.45">
      <c r="B42" s="384" t="s">
        <v>258</v>
      </c>
      <c r="C42" s="382" t="s">
        <v>91</v>
      </c>
      <c r="D42" s="385"/>
      <c r="E42" s="393" t="s">
        <v>260</v>
      </c>
      <c r="M42" s="297" t="str">
        <f>VLOOKUP(N42,Coeff_Descr!$A:$D,3,FALSE)</f>
        <v>SHOP</v>
      </c>
      <c r="N42" s="297">
        <f>OtherTourDestination!B50</f>
        <v>40</v>
      </c>
      <c r="O42" s="297" t="str">
        <f>OtherTourDestination!C50</f>
        <v>Beta00040</v>
      </c>
      <c r="P42" s="299">
        <f>OtherTourDestination!E50</f>
        <v>-1.3605457273599999</v>
      </c>
      <c r="Q42" s="336">
        <f t="shared" si="0"/>
        <v>-1.3605457273599999</v>
      </c>
    </row>
    <row r="43" spans="2:17" x14ac:dyDescent="0.45">
      <c r="B43" s="386">
        <f>B33</f>
        <v>50</v>
      </c>
      <c r="C43" s="387" t="s">
        <v>47</v>
      </c>
      <c r="D43" s="388">
        <f>D23+D33</f>
        <v>-29.556856147209999</v>
      </c>
      <c r="E43" s="383" t="s">
        <v>287</v>
      </c>
      <c r="M43" s="297" t="str">
        <f>VLOOKUP(N43,Coeff_Descr!$A:$D,3,FALSE)</f>
        <v>SHOP</v>
      </c>
      <c r="N43" s="297">
        <f>OtherTourDestination!B51</f>
        <v>41</v>
      </c>
      <c r="O43" s="297" t="str">
        <f>OtherTourDestination!C51</f>
        <v>Beta00041</v>
      </c>
      <c r="P43" s="299">
        <f>OtherTourDestination!E51</f>
        <v>-0.22141031751900001</v>
      </c>
      <c r="Q43" s="336">
        <f t="shared" si="0"/>
        <v>-0.22141031751900001</v>
      </c>
    </row>
    <row r="44" spans="2:17" x14ac:dyDescent="0.45">
      <c r="B44" s="386">
        <f t="shared" ref="B44:B46" si="8">B34</f>
        <v>51</v>
      </c>
      <c r="C44" s="389" t="s">
        <v>50</v>
      </c>
      <c r="D44" s="388">
        <f t="shared" ref="D44:D46" si="9">D24+D34</f>
        <v>-5.8091947247600002</v>
      </c>
      <c r="E44" s="383" t="s">
        <v>288</v>
      </c>
      <c r="M44" s="297" t="str">
        <f>VLOOKUP(N44,Coeff_Descr!$A:$D,3,FALSE)</f>
        <v>SHOP</v>
      </c>
      <c r="N44" s="297">
        <f>OtherTourDestination!B52</f>
        <v>42</v>
      </c>
      <c r="O44" s="297" t="str">
        <f>OtherTourDestination!C52</f>
        <v>Beta00042</v>
      </c>
      <c r="P44" s="299">
        <f>OtherTourDestination!E52</f>
        <v>0.64228876129599999</v>
      </c>
      <c r="Q44" s="336">
        <f t="shared" si="0"/>
        <v>0.64228876129599999</v>
      </c>
    </row>
    <row r="45" spans="2:17" x14ac:dyDescent="0.45">
      <c r="B45" s="386">
        <f t="shared" si="8"/>
        <v>52</v>
      </c>
      <c r="C45" s="389" t="s">
        <v>53</v>
      </c>
      <c r="D45" s="388">
        <f t="shared" si="9"/>
        <v>-1.94064618888</v>
      </c>
      <c r="E45" s="383" t="s">
        <v>289</v>
      </c>
      <c r="M45" s="297" t="str">
        <f>VLOOKUP(N45,Coeff_Descr!$A:$D,3,FALSE)</f>
        <v>MEAL</v>
      </c>
      <c r="N45" s="297">
        <f>OtherTourDestination!B53</f>
        <v>43</v>
      </c>
      <c r="O45" s="297" t="str">
        <f>OtherTourDestination!C53</f>
        <v>Beta00043</v>
      </c>
      <c r="P45" s="299">
        <f>OtherTourDestination!E53</f>
        <v>0.74588429254199995</v>
      </c>
      <c r="Q45" s="336">
        <f t="shared" si="0"/>
        <v>0.74588429254199995</v>
      </c>
    </row>
    <row r="46" spans="2:17" ht="14.65" thickBot="1" x14ac:dyDescent="0.5">
      <c r="B46" s="394">
        <f t="shared" si="8"/>
        <v>53</v>
      </c>
      <c r="C46" s="390" t="s">
        <v>56</v>
      </c>
      <c r="D46" s="391">
        <f t="shared" si="9"/>
        <v>-0.29404079492129864</v>
      </c>
      <c r="E46" s="395" t="s">
        <v>290</v>
      </c>
      <c r="M46" s="297" t="str">
        <f>VLOOKUP(N46,Coeff_Descr!$A:$D,3,FALSE)</f>
        <v>MEAL</v>
      </c>
      <c r="N46" s="297">
        <f>OtherTourDestination!B54</f>
        <v>44</v>
      </c>
      <c r="O46" s="297" t="str">
        <f>OtherTourDestination!C54</f>
        <v>Beta00044</v>
      </c>
      <c r="P46" s="299">
        <f>OtherTourDestination!E54</f>
        <v>-32.156094092099998</v>
      </c>
      <c r="Q46" s="336">
        <f t="shared" si="0"/>
        <v>-32.156094092099998</v>
      </c>
    </row>
    <row r="47" spans="2:17" x14ac:dyDescent="0.45">
      <c r="M47" s="297" t="str">
        <f>VLOOKUP(N47,Coeff_Descr!$A:$D,3,FALSE)</f>
        <v>MEAL</v>
      </c>
      <c r="N47" s="297">
        <f>OtherTourDestination!B55</f>
        <v>45</v>
      </c>
      <c r="O47" s="297" t="str">
        <f>OtherTourDestination!C55</f>
        <v>Beta00045</v>
      </c>
      <c r="P47" s="299">
        <f>OtherTourDestination!E55</f>
        <v>-7.5551873767200002</v>
      </c>
      <c r="Q47" s="336">
        <f t="shared" si="0"/>
        <v>-7.5551873767200002</v>
      </c>
    </row>
    <row r="48" spans="2:17" x14ac:dyDescent="0.45">
      <c r="M48" s="297" t="str">
        <f>VLOOKUP(N48,Coeff_Descr!$A:$D,3,FALSE)</f>
        <v>MEAL</v>
      </c>
      <c r="N48" s="297">
        <f>OtherTourDestination!B56</f>
        <v>46</v>
      </c>
      <c r="O48" s="297" t="str">
        <f>OtherTourDestination!C56</f>
        <v>Beta00046</v>
      </c>
      <c r="P48" s="299">
        <f>OtherTourDestination!E56</f>
        <v>-3.4784098231399998</v>
      </c>
      <c r="Q48" s="336">
        <f t="shared" si="0"/>
        <v>-3.4784098231399998</v>
      </c>
    </row>
    <row r="49" spans="13:18" x14ac:dyDescent="0.45">
      <c r="M49" s="297" t="str">
        <f>VLOOKUP(N49,Coeff_Descr!$A:$D,3,FALSE)</f>
        <v>MEAL</v>
      </c>
      <c r="N49" s="297">
        <f>OtherTourDestination!B57</f>
        <v>47</v>
      </c>
      <c r="O49" s="297" t="str">
        <f>OtherTourDestination!C57</f>
        <v>Beta00047</v>
      </c>
      <c r="P49" s="299">
        <f>OtherTourDestination!E57</f>
        <v>-0.79171784712299997</v>
      </c>
      <c r="Q49" s="336">
        <f t="shared" si="0"/>
        <v>-0.79171784712299997</v>
      </c>
    </row>
    <row r="50" spans="13:18" x14ac:dyDescent="0.45">
      <c r="M50" s="297" t="str">
        <f>VLOOKUP(N50,Coeff_Descr!$A:$D,3,FALSE)</f>
        <v>MEAL</v>
      </c>
      <c r="N50" s="297">
        <f>OtherTourDestination!B58</f>
        <v>48</v>
      </c>
      <c r="O50" s="297" t="str">
        <f>OtherTourDestination!C58</f>
        <v>Beta00048</v>
      </c>
      <c r="P50" s="299">
        <f>OtherTourDestination!E58</f>
        <v>0.65760260093900003</v>
      </c>
      <c r="Q50" s="336">
        <f t="shared" si="0"/>
        <v>0.65760260093900003</v>
      </c>
    </row>
    <row r="51" spans="13:18" x14ac:dyDescent="0.45">
      <c r="M51" s="297" t="str">
        <f>VLOOKUP(N51,Coeff_Descr!$A:$D,3,FALSE)</f>
        <v>SOCREC</v>
      </c>
      <c r="N51" s="297">
        <f>OtherTourDestination!B59</f>
        <v>49</v>
      </c>
      <c r="O51" s="297" t="str">
        <f>OtherTourDestination!C59</f>
        <v>Beta00049</v>
      </c>
      <c r="P51" s="299">
        <f>OtherTourDestination!E59</f>
        <v>0.201576719663</v>
      </c>
      <c r="Q51" s="336">
        <f t="shared" si="0"/>
        <v>0.201576719663</v>
      </c>
    </row>
    <row r="52" spans="13:18" x14ac:dyDescent="0.45">
      <c r="M52" s="297" t="str">
        <f>VLOOKUP(N52,Coeff_Descr!$A:$D,3,FALSE)</f>
        <v>SOCREC</v>
      </c>
      <c r="N52" s="337">
        <f>OtherTourDestination!B60</f>
        <v>50</v>
      </c>
      <c r="O52" s="337" t="str">
        <f>OtherTourDestination!C60</f>
        <v>Beta00050</v>
      </c>
      <c r="P52" s="338">
        <f>OtherTourDestination!E60</f>
        <v>-29.556856147209999</v>
      </c>
      <c r="Q52" s="339">
        <f t="shared" si="0"/>
        <v>-29.556856147209999</v>
      </c>
      <c r="R52" s="297" t="str">
        <f>VLOOKUP(N52,Coeff_Descr!$A$2:$E$104,4,FALSE)</f>
        <v>distanceFromOrigin4</v>
      </c>
    </row>
    <row r="53" spans="13:18" x14ac:dyDescent="0.45">
      <c r="M53" s="297" t="str">
        <f>VLOOKUP(N53,Coeff_Descr!$A:$D,3,FALSE)</f>
        <v>SOCREC</v>
      </c>
      <c r="N53" s="337">
        <f>OtherTourDestination!B61</f>
        <v>51</v>
      </c>
      <c r="O53" s="337" t="str">
        <f>OtherTourDestination!C61</f>
        <v>Beta00051</v>
      </c>
      <c r="P53" s="338">
        <f>OtherTourDestination!E61</f>
        <v>-5.8091947247600002</v>
      </c>
      <c r="Q53" s="339">
        <f t="shared" si="0"/>
        <v>-5.8091947247600002</v>
      </c>
      <c r="R53" s="297" t="str">
        <f>VLOOKUP(N53,Coeff_Descr!$A$2:$E$104,4,FALSE)</f>
        <v>distanceFromOrigin8</v>
      </c>
    </row>
    <row r="54" spans="13:18" x14ac:dyDescent="0.45">
      <c r="M54" s="297" t="str">
        <f>VLOOKUP(N54,Coeff_Descr!$A:$D,3,FALSE)</f>
        <v>SOCREC</v>
      </c>
      <c r="N54" s="337">
        <f>OtherTourDestination!B62</f>
        <v>52</v>
      </c>
      <c r="O54" s="337" t="str">
        <f>OtherTourDestination!C62</f>
        <v>Beta00052</v>
      </c>
      <c r="P54" s="338">
        <f>OtherTourDestination!E62</f>
        <v>-1.94064618888</v>
      </c>
      <c r="Q54" s="339">
        <f t="shared" si="0"/>
        <v>-1.94064618888</v>
      </c>
      <c r="R54" s="297" t="str">
        <f>VLOOKUP(N54,Coeff_Descr!$A$2:$E$104,4,FALSE)</f>
        <v>distanceFromOrigin9</v>
      </c>
    </row>
    <row r="55" spans="13:18" x14ac:dyDescent="0.45">
      <c r="M55" s="297" t="str">
        <f>VLOOKUP(N55,Coeff_Descr!$A:$D,3,FALSE)</f>
        <v>SOCREC</v>
      </c>
      <c r="N55" s="337">
        <f>OtherTourDestination!B63</f>
        <v>53</v>
      </c>
      <c r="O55" s="337" t="str">
        <f>OtherTourDestination!C63</f>
        <v>Beta00053</v>
      </c>
      <c r="P55" s="338">
        <f>OtherTourDestination!E63</f>
        <v>-0.66321888748000002</v>
      </c>
      <c r="Q55" s="339">
        <f t="shared" si="0"/>
        <v>-0.29404079492129864</v>
      </c>
      <c r="R55" s="297" t="str">
        <f>VLOOKUP(N55,Coeff_Descr!$A$2:$E$104,4,FALSE)</f>
        <v>distanceFromOrigin3</v>
      </c>
    </row>
    <row r="56" spans="13:18" x14ac:dyDescent="0.45">
      <c r="M56" s="297" t="str">
        <f>VLOOKUP(N56,Coeff_Descr!$A:$D,3,FALSE)</f>
        <v>SOCREC</v>
      </c>
      <c r="N56" s="297">
        <f>OtherTourDestination!B64</f>
        <v>54</v>
      </c>
      <c r="O56" s="297" t="str">
        <f>OtherTourDestination!C64</f>
        <v>Beta00054</v>
      </c>
      <c r="P56" s="299">
        <f>OtherTourDestination!E64</f>
        <v>0.20818008309700001</v>
      </c>
      <c r="Q56" s="336">
        <f t="shared" si="0"/>
        <v>0.20818008309700001</v>
      </c>
    </row>
    <row r="57" spans="13:18" x14ac:dyDescent="0.45">
      <c r="M57" s="297" t="str">
        <f>VLOOKUP(N57,Coeff_Descr!$A:$D,3,FALSE)</f>
        <v>SOCREC</v>
      </c>
      <c r="N57" s="297">
        <f>OtherTourDestination!B65</f>
        <v>55</v>
      </c>
      <c r="O57" s="297" t="str">
        <f>OtherTourDestination!C65</f>
        <v>Beta00055</v>
      </c>
      <c r="P57" s="299">
        <f>OtherTourDestination!E65</f>
        <v>0.42522231451499998</v>
      </c>
      <c r="Q57" s="336">
        <f t="shared" si="0"/>
        <v>0.42522231451499998</v>
      </c>
    </row>
    <row r="58" spans="13:18" x14ac:dyDescent="0.45">
      <c r="M58" s="297" t="str">
        <f>VLOOKUP(N58,Coeff_Descr!$A:$D,3,FALSE)</f>
        <v>SOCREC</v>
      </c>
      <c r="N58" s="297">
        <f>OtherTourDestination!B66</f>
        <v>56</v>
      </c>
      <c r="O58" s="297" t="str">
        <f>OtherTourDestination!C66</f>
        <v>Beta00056</v>
      </c>
      <c r="P58" s="299">
        <f>OtherTourDestination!E66</f>
        <v>-0.743588483327</v>
      </c>
      <c r="Q58" s="336">
        <f t="shared" si="0"/>
        <v>-0.743588483327</v>
      </c>
    </row>
    <row r="59" spans="13:18" x14ac:dyDescent="0.45">
      <c r="M59" s="297" t="str">
        <f>VLOOKUP(N59,Coeff_Descr!$A:$D,3,FALSE)</f>
        <v>SOCREC</v>
      </c>
      <c r="N59" s="297">
        <f>OtherTourDestination!B67</f>
        <v>57</v>
      </c>
      <c r="O59" s="297" t="str">
        <f>OtherTourDestination!C67</f>
        <v>Beta00057</v>
      </c>
      <c r="P59" s="299">
        <f>OtherTourDestination!E67</f>
        <v>6.2100000000000002E-2</v>
      </c>
      <c r="Q59" s="336">
        <f t="shared" si="0"/>
        <v>6.2100000000000002E-2</v>
      </c>
    </row>
    <row r="60" spans="13:18" x14ac:dyDescent="0.45">
      <c r="M60" s="297">
        <f>VLOOKUP(N60,Coeff_Descr!$A:$D,3,FALSE)</f>
        <v>0</v>
      </c>
      <c r="N60" s="297">
        <f>OtherTourDestination!B68</f>
        <v>118</v>
      </c>
      <c r="O60" s="297" t="str">
        <f>OtherTourDestination!C68</f>
        <v>Beta00118</v>
      </c>
      <c r="P60" s="299">
        <f>OtherTourDestination!E68</f>
        <v>-3</v>
      </c>
      <c r="Q60" s="336">
        <f t="shared" si="0"/>
        <v>-3</v>
      </c>
    </row>
    <row r="61" spans="13:18" x14ac:dyDescent="0.45">
      <c r="M61" s="297" t="str">
        <f>VLOOKUP(N61,Coeff_Descr!$A:$D,3,FALSE)</f>
        <v>ESCORT</v>
      </c>
      <c r="N61" s="297">
        <f>OtherTourDestination!B69</f>
        <v>70</v>
      </c>
      <c r="O61" s="297" t="str">
        <f>OtherTourDestination!C69</f>
        <v>LSM_0070</v>
      </c>
      <c r="P61" s="299">
        <f>OtherTourDestination!E69</f>
        <v>0.29394695214400002</v>
      </c>
      <c r="Q61" s="336">
        <f t="shared" si="0"/>
        <v>0.29394695214400002</v>
      </c>
    </row>
    <row r="62" spans="13:18" x14ac:dyDescent="0.45">
      <c r="M62" s="297" t="str">
        <f>VLOOKUP(N62,Coeff_Descr!$A:$D,3,FALSE)</f>
        <v>ESCORT</v>
      </c>
      <c r="N62" s="297">
        <f>OtherTourDestination!B70</f>
        <v>71</v>
      </c>
      <c r="O62" s="297" t="str">
        <f>OtherTourDestination!C70</f>
        <v>Gamma071</v>
      </c>
      <c r="P62" s="299">
        <f>OtherTourDestination!E70</f>
        <v>0</v>
      </c>
      <c r="Q62" s="336">
        <f t="shared" si="0"/>
        <v>0</v>
      </c>
    </row>
    <row r="63" spans="13:18" x14ac:dyDescent="0.45">
      <c r="M63" s="297" t="str">
        <f>VLOOKUP(N63,Coeff_Descr!$A:$D,3,FALSE)</f>
        <v>ESCORT</v>
      </c>
      <c r="N63" s="297">
        <f>OtherTourDestination!B71</f>
        <v>72</v>
      </c>
      <c r="O63" s="297" t="str">
        <f>OtherTourDestination!C71</f>
        <v>Gamma072</v>
      </c>
      <c r="P63" s="299">
        <f>OtherTourDestination!E71</f>
        <v>-6.2798471793299999</v>
      </c>
      <c r="Q63" s="336">
        <f t="shared" si="0"/>
        <v>-6.2798471793299999</v>
      </c>
    </row>
    <row r="64" spans="13:18" x14ac:dyDescent="0.45">
      <c r="M64" s="297" t="str">
        <f>VLOOKUP(N64,Coeff_Descr!$A:$D,3,FALSE)</f>
        <v>ESCORT</v>
      </c>
      <c r="N64" s="297">
        <f>OtherTourDestination!B72</f>
        <v>73</v>
      </c>
      <c r="O64" s="297" t="str">
        <f>OtherTourDestination!C72</f>
        <v>Gamma073</v>
      </c>
      <c r="P64" s="299">
        <f>OtherTourDestination!E72</f>
        <v>3.2962256518299999</v>
      </c>
      <c r="Q64" s="336">
        <f t="shared" si="0"/>
        <v>3.2962256518299999</v>
      </c>
    </row>
    <row r="65" spans="13:17" x14ac:dyDescent="0.45">
      <c r="M65" s="297" t="str">
        <f>VLOOKUP(N65,Coeff_Descr!$A:$D,3,FALSE)</f>
        <v>ESCORT</v>
      </c>
      <c r="N65" s="297">
        <f>OtherTourDestination!B73</f>
        <v>74</v>
      </c>
      <c r="O65" s="297" t="str">
        <f>OtherTourDestination!C73</f>
        <v>Gamma074</v>
      </c>
      <c r="P65" s="299">
        <f>OtherTourDestination!E73</f>
        <v>-5.4150639062700003</v>
      </c>
      <c r="Q65" s="336">
        <f t="shared" si="0"/>
        <v>-5.4150639062700003</v>
      </c>
    </row>
    <row r="66" spans="13:17" x14ac:dyDescent="0.45">
      <c r="M66" s="297" t="str">
        <f>VLOOKUP(N66,Coeff_Descr!$A:$D,3,FALSE)</f>
        <v>ESCORT</v>
      </c>
      <c r="N66" s="297">
        <f>OtherTourDestination!B74</f>
        <v>75</v>
      </c>
      <c r="O66" s="297" t="str">
        <f>OtherTourDestination!C74</f>
        <v>Gamma075</v>
      </c>
      <c r="P66" s="299">
        <f>OtherTourDestination!E74</f>
        <v>-5.94820877094</v>
      </c>
      <c r="Q66" s="336">
        <f t="shared" si="0"/>
        <v>-5.94820877094</v>
      </c>
    </row>
    <row r="67" spans="13:17" x14ac:dyDescent="0.45">
      <c r="M67" s="297" t="str">
        <f>VLOOKUP(N67,Coeff_Descr!$A:$D,3,FALSE)</f>
        <v>ESCORT</v>
      </c>
      <c r="N67" s="297">
        <f>OtherTourDestination!B75</f>
        <v>76</v>
      </c>
      <c r="O67" s="297" t="str">
        <f>OtherTourDestination!C75</f>
        <v>Gamma076</v>
      </c>
      <c r="P67" s="299">
        <f>OtherTourDestination!E75</f>
        <v>-4.8479831726300002</v>
      </c>
      <c r="Q67" s="336">
        <f t="shared" si="0"/>
        <v>-4.8479831726300002</v>
      </c>
    </row>
    <row r="68" spans="13:17" x14ac:dyDescent="0.45">
      <c r="M68" s="297" t="str">
        <f>VLOOKUP(N68,Coeff_Descr!$A:$D,3,FALSE)</f>
        <v>ESCORT</v>
      </c>
      <c r="N68" s="297">
        <f>OtherTourDestination!B76</f>
        <v>77</v>
      </c>
      <c r="O68" s="297" t="str">
        <f>OtherTourDestination!C76</f>
        <v>Gamma077</v>
      </c>
      <c r="P68" s="299">
        <f>OtherTourDestination!E76</f>
        <v>-5.4883496585599998</v>
      </c>
      <c r="Q68" s="336">
        <f t="shared" si="0"/>
        <v>-5.4883496585599998</v>
      </c>
    </row>
    <row r="69" spans="13:17" x14ac:dyDescent="0.45">
      <c r="M69" s="297" t="str">
        <f>VLOOKUP(N69,Coeff_Descr!$A:$D,3,FALSE)</f>
        <v>ESCORT</v>
      </c>
      <c r="N69" s="297">
        <f>OtherTourDestination!B77</f>
        <v>78</v>
      </c>
      <c r="O69" s="297" t="str">
        <f>OtherTourDestination!C77</f>
        <v>Gamma078</v>
      </c>
      <c r="P69" s="299">
        <f>OtherTourDestination!E77</f>
        <v>-6.9308352438999998</v>
      </c>
      <c r="Q69" s="336">
        <f t="shared" ref="Q69:Q103" si="10">_xlfn.IFNA(VLOOKUP(N69,$B$43:$D$46,3,FALSE),P69)</f>
        <v>-6.9308352438999998</v>
      </c>
    </row>
    <row r="70" spans="13:17" x14ac:dyDescent="0.45">
      <c r="M70" s="297" t="str">
        <f>VLOOKUP(N70,Coeff_Descr!$A:$D,3,FALSE)</f>
        <v>ESCORT</v>
      </c>
      <c r="N70" s="297">
        <f>OtherTourDestination!B78</f>
        <v>79</v>
      </c>
      <c r="O70" s="297" t="str">
        <f>OtherTourDestination!C78</f>
        <v>Gamma079</v>
      </c>
      <c r="P70" s="299">
        <f>OtherTourDestination!E78</f>
        <v>-22.404820174200001</v>
      </c>
      <c r="Q70" s="336">
        <f t="shared" si="10"/>
        <v>-22.404820174200001</v>
      </c>
    </row>
    <row r="71" spans="13:17" x14ac:dyDescent="0.45">
      <c r="M71" s="297" t="str">
        <f>VLOOKUP(N71,Coeff_Descr!$A:$D,3,FALSE)</f>
        <v>ESCORT</v>
      </c>
      <c r="N71" s="297">
        <f>OtherTourDestination!B79</f>
        <v>80</v>
      </c>
      <c r="O71" s="297" t="str">
        <f>OtherTourDestination!C79</f>
        <v>Gamma080</v>
      </c>
      <c r="P71" s="299">
        <f>OtherTourDestination!E79</f>
        <v>-2.8929233973800002</v>
      </c>
      <c r="Q71" s="336">
        <f t="shared" si="10"/>
        <v>-2.8929233973800002</v>
      </c>
    </row>
    <row r="72" spans="13:17" x14ac:dyDescent="0.45">
      <c r="M72" s="297" t="str">
        <f>VLOOKUP(N72,Coeff_Descr!$A:$D,3,FALSE)</f>
        <v>ESCORT</v>
      </c>
      <c r="N72" s="297">
        <f>OtherTourDestination!B80</f>
        <v>81</v>
      </c>
      <c r="O72" s="297" t="str">
        <f>OtherTourDestination!C80</f>
        <v>Gamma081</v>
      </c>
      <c r="P72" s="299">
        <f>OtherTourDestination!E80</f>
        <v>-2.5610724948299999</v>
      </c>
      <c r="Q72" s="336">
        <f t="shared" si="10"/>
        <v>-2.5610724948299999</v>
      </c>
    </row>
    <row r="73" spans="13:17" x14ac:dyDescent="0.45">
      <c r="M73" s="297" t="str">
        <f>VLOOKUP(N73,Coeff_Descr!$A:$D,3,FALSE)</f>
        <v>ESCORT</v>
      </c>
      <c r="N73" s="297">
        <f>OtherTourDestination!B81</f>
        <v>82</v>
      </c>
      <c r="O73" s="297" t="str">
        <f>OtherTourDestination!C81</f>
        <v>Gamma082</v>
      </c>
      <c r="P73" s="299">
        <f>OtherTourDestination!E81</f>
        <v>-6.7871010869299999</v>
      </c>
      <c r="Q73" s="336">
        <f t="shared" si="10"/>
        <v>-6.7871010869299999</v>
      </c>
    </row>
    <row r="74" spans="13:17" x14ac:dyDescent="0.45">
      <c r="M74" s="297" t="str">
        <f>VLOOKUP(N74,Coeff_Descr!$A:$D,3,FALSE)</f>
        <v>ESCORT</v>
      </c>
      <c r="N74" s="297">
        <f>OtherTourDestination!B82</f>
        <v>83</v>
      </c>
      <c r="O74" s="297" t="str">
        <f>OtherTourDestination!C82</f>
        <v>Gamma083</v>
      </c>
      <c r="P74" s="299">
        <f>OtherTourDestination!E82</f>
        <v>-7.1983706387300002</v>
      </c>
      <c r="Q74" s="336">
        <f t="shared" si="10"/>
        <v>-7.1983706387300002</v>
      </c>
    </row>
    <row r="75" spans="13:17" x14ac:dyDescent="0.45">
      <c r="M75" s="297" t="str">
        <f>VLOOKUP(N75,Coeff_Descr!$A:$D,3,FALSE)</f>
        <v>ESCORT</v>
      </c>
      <c r="N75" s="297">
        <f>OtherTourDestination!B83</f>
        <v>84</v>
      </c>
      <c r="O75" s="297" t="str">
        <f>OtherTourDestination!C83</f>
        <v>Gamma084</v>
      </c>
      <c r="P75" s="299">
        <f>OtherTourDestination!E83</f>
        <v>-6.5584328775399996</v>
      </c>
      <c r="Q75" s="336">
        <f t="shared" si="10"/>
        <v>-6.5584328775399996</v>
      </c>
    </row>
    <row r="76" spans="13:17" x14ac:dyDescent="0.45">
      <c r="M76" s="297" t="str">
        <f>VLOOKUP(N76,Coeff_Descr!$A:$D,3,FALSE)</f>
        <v>ESCORT</v>
      </c>
      <c r="N76" s="297">
        <f>OtherTourDestination!B84</f>
        <v>85</v>
      </c>
      <c r="O76" s="297" t="str">
        <f>OtherTourDestination!C84</f>
        <v>Gamma085</v>
      </c>
      <c r="P76" s="299">
        <f>OtherTourDestination!E84</f>
        <v>-7.3832576457999997</v>
      </c>
      <c r="Q76" s="336">
        <f t="shared" si="10"/>
        <v>-7.3832576457999997</v>
      </c>
    </row>
    <row r="77" spans="13:17" x14ac:dyDescent="0.45">
      <c r="M77" s="297" t="str">
        <f>VLOOKUP(N77,Coeff_Descr!$A:$D,3,FALSE)</f>
        <v>ESCORT</v>
      </c>
      <c r="N77" s="297">
        <f>OtherTourDestination!B85</f>
        <v>86</v>
      </c>
      <c r="O77" s="297" t="str">
        <f>OtherTourDestination!C85</f>
        <v>Gamma086</v>
      </c>
      <c r="P77" s="299">
        <f>OtherTourDestination!E85</f>
        <v>-8.5452246906399996</v>
      </c>
      <c r="Q77" s="336">
        <f t="shared" si="10"/>
        <v>-8.5452246906399996</v>
      </c>
    </row>
    <row r="78" spans="13:17" x14ac:dyDescent="0.45">
      <c r="M78" s="297" t="str">
        <f>VLOOKUP(N78,Coeff_Descr!$A:$D,3,FALSE)</f>
        <v>ESCORT</v>
      </c>
      <c r="N78" s="297">
        <f>OtherTourDestination!B86</f>
        <v>87</v>
      </c>
      <c r="O78" s="297" t="str">
        <f>OtherTourDestination!C86</f>
        <v>Gamma087</v>
      </c>
      <c r="P78" s="299">
        <f>OtherTourDestination!E86</f>
        <v>-24.633851965200002</v>
      </c>
      <c r="Q78" s="336">
        <f t="shared" si="10"/>
        <v>-24.633851965200002</v>
      </c>
    </row>
    <row r="79" spans="13:17" x14ac:dyDescent="0.45">
      <c r="M79" s="297" t="str">
        <f>VLOOKUP(N79,Coeff_Descr!$A:$D,3,FALSE)</f>
        <v>ESCORT</v>
      </c>
      <c r="N79" s="297">
        <f>OtherTourDestination!B87</f>
        <v>88</v>
      </c>
      <c r="O79" s="297" t="str">
        <f>OtherTourDestination!C87</f>
        <v>Gamma088</v>
      </c>
      <c r="P79" s="299">
        <f>OtherTourDestination!E87</f>
        <v>0</v>
      </c>
      <c r="Q79" s="336">
        <f t="shared" si="10"/>
        <v>0</v>
      </c>
    </row>
    <row r="80" spans="13:17" x14ac:dyDescent="0.45">
      <c r="M80" s="297" t="str">
        <f>VLOOKUP(N80,Coeff_Descr!$A:$D,3,FALSE)</f>
        <v>PERSBUS/MED</v>
      </c>
      <c r="N80" s="297">
        <f>OtherTourDestination!B88</f>
        <v>89</v>
      </c>
      <c r="O80" s="297" t="str">
        <f>OtherTourDestination!C88</f>
        <v>Gamma089</v>
      </c>
      <c r="P80" s="299">
        <f>OtherTourDestination!E88</f>
        <v>-0.55009338373399996</v>
      </c>
      <c r="Q80" s="336">
        <f t="shared" si="10"/>
        <v>-0.55009338373399996</v>
      </c>
    </row>
    <row r="81" spans="13:17" x14ac:dyDescent="0.45">
      <c r="M81" s="297" t="str">
        <f>VLOOKUP(N81,Coeff_Descr!$A:$D,3,FALSE)</f>
        <v>PERSBUS/MED</v>
      </c>
      <c r="N81" s="297">
        <f>OtherTourDestination!B89</f>
        <v>90</v>
      </c>
      <c r="O81" s="297" t="str">
        <f>OtherTourDestination!C89</f>
        <v>Gamma090</v>
      </c>
      <c r="P81" s="299">
        <f>OtherTourDestination!E89</f>
        <v>-9.9117567037699992</v>
      </c>
      <c r="Q81" s="336">
        <f t="shared" si="10"/>
        <v>-9.9117567037699992</v>
      </c>
    </row>
    <row r="82" spans="13:17" x14ac:dyDescent="0.45">
      <c r="M82" s="297" t="str">
        <f>VLOOKUP(N82,Coeff_Descr!$A:$D,3,FALSE)</f>
        <v>PERSBUS/MED</v>
      </c>
      <c r="N82" s="297">
        <f>OtherTourDestination!B90</f>
        <v>91</v>
      </c>
      <c r="O82" s="297" t="str">
        <f>OtherTourDestination!C90</f>
        <v>Gamma091</v>
      </c>
      <c r="P82" s="299">
        <f>OtherTourDestination!E90</f>
        <v>-9.3194311560499994</v>
      </c>
      <c r="Q82" s="336">
        <f t="shared" si="10"/>
        <v>-9.3194311560499994</v>
      </c>
    </row>
    <row r="83" spans="13:17" x14ac:dyDescent="0.45">
      <c r="M83" s="297" t="str">
        <f>VLOOKUP(N83,Coeff_Descr!$A:$D,3,FALSE)</f>
        <v>PERSBUS/MED</v>
      </c>
      <c r="N83" s="297">
        <f>OtherTourDestination!B91</f>
        <v>92</v>
      </c>
      <c r="O83" s="297" t="str">
        <f>OtherTourDestination!C91</f>
        <v>Gamma092</v>
      </c>
      <c r="P83" s="299">
        <f>OtherTourDestination!E91</f>
        <v>-0.20086270196799999</v>
      </c>
      <c r="Q83" s="336">
        <f t="shared" si="10"/>
        <v>-0.20086270196799999</v>
      </c>
    </row>
    <row r="84" spans="13:17" x14ac:dyDescent="0.45">
      <c r="M84" s="297" t="str">
        <f>VLOOKUP(N84,Coeff_Descr!$A:$D,3,FALSE)</f>
        <v>PERSBUS/MED</v>
      </c>
      <c r="N84" s="297">
        <f>OtherTourDestination!B92</f>
        <v>93</v>
      </c>
      <c r="O84" s="297" t="str">
        <f>OtherTourDestination!C92</f>
        <v>Gamma093</v>
      </c>
      <c r="P84" s="299">
        <f>OtherTourDestination!E92</f>
        <v>-2.1843835309699999</v>
      </c>
      <c r="Q84" s="336">
        <f t="shared" si="10"/>
        <v>-2.1843835309699999</v>
      </c>
    </row>
    <row r="85" spans="13:17" x14ac:dyDescent="0.45">
      <c r="M85" s="297" t="str">
        <f>VLOOKUP(N85,Coeff_Descr!$A:$D,3,FALSE)</f>
        <v>PERSBUS/MED</v>
      </c>
      <c r="N85" s="297">
        <f>OtherTourDestination!B93</f>
        <v>94</v>
      </c>
      <c r="O85" s="297" t="str">
        <f>OtherTourDestination!C93</f>
        <v>Gamma094</v>
      </c>
      <c r="P85" s="299">
        <f>OtherTourDestination!E93</f>
        <v>0</v>
      </c>
      <c r="Q85" s="336">
        <f t="shared" si="10"/>
        <v>0</v>
      </c>
    </row>
    <row r="86" spans="13:17" x14ac:dyDescent="0.45">
      <c r="M86" s="297" t="str">
        <f>VLOOKUP(N86,Coeff_Descr!$A:$D,3,FALSE)</f>
        <v>PERSBUS/MED</v>
      </c>
      <c r="N86" s="297">
        <f>OtherTourDestination!B94</f>
        <v>95</v>
      </c>
      <c r="O86" s="297" t="str">
        <f>OtherTourDestination!C94</f>
        <v>Gamma095</v>
      </c>
      <c r="P86" s="299">
        <f>OtherTourDestination!E94</f>
        <v>-9.9476357147400005</v>
      </c>
      <c r="Q86" s="336">
        <f t="shared" si="10"/>
        <v>-9.9476357147400005</v>
      </c>
    </row>
    <row r="87" spans="13:17" x14ac:dyDescent="0.45">
      <c r="M87" s="297" t="str">
        <f>VLOOKUP(N87,Coeff_Descr!$A:$D,3,FALSE)</f>
        <v>PERSBUS/MED</v>
      </c>
      <c r="N87" s="297">
        <f>OtherTourDestination!B95</f>
        <v>96</v>
      </c>
      <c r="O87" s="297" t="str">
        <f>OtherTourDestination!C95</f>
        <v>Gamma096</v>
      </c>
      <c r="P87" s="299">
        <f>OtherTourDestination!E95</f>
        <v>-12.800107987600001</v>
      </c>
      <c r="Q87" s="336">
        <f t="shared" si="10"/>
        <v>-12.800107987600001</v>
      </c>
    </row>
    <row r="88" spans="13:17" x14ac:dyDescent="0.45">
      <c r="M88" s="297" t="str">
        <f>VLOOKUP(N88,Coeff_Descr!$A:$D,3,FALSE)</f>
        <v>PERSBUS/MED</v>
      </c>
      <c r="N88" s="297">
        <f>OtherTourDestination!B96</f>
        <v>97</v>
      </c>
      <c r="O88" s="297" t="str">
        <f>OtherTourDestination!C96</f>
        <v>Gamma097</v>
      </c>
      <c r="P88" s="299">
        <f>OtherTourDestination!E96</f>
        <v>-30</v>
      </c>
      <c r="Q88" s="336">
        <f t="shared" si="10"/>
        <v>-30</v>
      </c>
    </row>
    <row r="89" spans="13:17" x14ac:dyDescent="0.45">
      <c r="M89" s="297" t="str">
        <f>VLOOKUP(N89,Coeff_Descr!$A:$D,3,FALSE)</f>
        <v>SHOP</v>
      </c>
      <c r="N89" s="297">
        <f>OtherTourDestination!B97</f>
        <v>98</v>
      </c>
      <c r="O89" s="297" t="str">
        <f>OtherTourDestination!C97</f>
        <v>Gamma098</v>
      </c>
      <c r="P89" s="299">
        <f>OtherTourDestination!E97</f>
        <v>-21.699928591700001</v>
      </c>
      <c r="Q89" s="336">
        <f t="shared" si="10"/>
        <v>-21.699928591700001</v>
      </c>
    </row>
    <row r="90" spans="13:17" x14ac:dyDescent="0.45">
      <c r="M90" s="297" t="str">
        <f>VLOOKUP(N90,Coeff_Descr!$A:$D,3,FALSE)</f>
        <v>SHOP</v>
      </c>
      <c r="N90" s="297">
        <f>OtherTourDestination!B98</f>
        <v>99</v>
      </c>
      <c r="O90" s="297" t="str">
        <f>OtherTourDestination!C98</f>
        <v>Gamma099</v>
      </c>
      <c r="P90" s="299">
        <f>OtherTourDestination!E98</f>
        <v>-17.700475093400001</v>
      </c>
      <c r="Q90" s="336">
        <f t="shared" si="10"/>
        <v>-17.700475093400001</v>
      </c>
    </row>
    <row r="91" spans="13:17" x14ac:dyDescent="0.45">
      <c r="M91" s="297" t="str">
        <f>VLOOKUP(N91,Coeff_Descr!$A:$D,3,FALSE)</f>
        <v>SHOP</v>
      </c>
      <c r="N91" s="297">
        <f>OtherTourDestination!B99</f>
        <v>100</v>
      </c>
      <c r="O91" s="297" t="str">
        <f>OtherTourDestination!C99</f>
        <v>Gamma100</v>
      </c>
      <c r="P91" s="299">
        <f>OtherTourDestination!E99</f>
        <v>-0.7</v>
      </c>
      <c r="Q91" s="336">
        <f t="shared" si="10"/>
        <v>-0.7</v>
      </c>
    </row>
    <row r="92" spans="13:17" x14ac:dyDescent="0.45">
      <c r="M92" s="297" t="str">
        <f>VLOOKUP(N92,Coeff_Descr!$A:$D,3,FALSE)</f>
        <v>SHOP</v>
      </c>
      <c r="N92" s="297">
        <f>OtherTourDestination!B100</f>
        <v>101</v>
      </c>
      <c r="O92" s="297" t="str">
        <f>OtherTourDestination!C100</f>
        <v>Gamma101</v>
      </c>
      <c r="P92" s="299">
        <f>OtherTourDestination!E100</f>
        <v>-17.8758745875</v>
      </c>
      <c r="Q92" s="336">
        <f t="shared" si="10"/>
        <v>-17.8758745875</v>
      </c>
    </row>
    <row r="93" spans="13:17" x14ac:dyDescent="0.45">
      <c r="M93" s="297" t="str">
        <f>VLOOKUP(N93,Coeff_Descr!$A:$D,3,FALSE)</f>
        <v>MEAL</v>
      </c>
      <c r="N93" s="297">
        <f>OtherTourDestination!B101</f>
        <v>102</v>
      </c>
      <c r="O93" s="297" t="str">
        <f>OtherTourDestination!C101</f>
        <v>Gamma102</v>
      </c>
      <c r="P93" s="299">
        <f>OtherTourDestination!E101</f>
        <v>0</v>
      </c>
      <c r="Q93" s="336">
        <f t="shared" si="10"/>
        <v>0</v>
      </c>
    </row>
    <row r="94" spans="13:17" x14ac:dyDescent="0.45">
      <c r="M94" s="297" t="str">
        <f>VLOOKUP(N94,Coeff_Descr!$A:$D,3,FALSE)</f>
        <v>MEAL</v>
      </c>
      <c r="N94" s="297">
        <f>OtherTourDestination!B102</f>
        <v>103</v>
      </c>
      <c r="O94" s="297" t="str">
        <f>OtherTourDestination!C102</f>
        <v>Gamma103</v>
      </c>
      <c r="P94" s="299">
        <f>OtherTourDestination!E102</f>
        <v>5</v>
      </c>
      <c r="Q94" s="336">
        <f t="shared" si="10"/>
        <v>5</v>
      </c>
    </row>
    <row r="95" spans="13:17" x14ac:dyDescent="0.45">
      <c r="M95" s="297" t="str">
        <f>VLOOKUP(N95,Coeff_Descr!$A:$D,3,FALSE)</f>
        <v>MEAL</v>
      </c>
      <c r="N95" s="297">
        <f>OtherTourDestination!B103</f>
        <v>104</v>
      </c>
      <c r="O95" s="297" t="str">
        <f>OtherTourDestination!C103</f>
        <v>Gamma104</v>
      </c>
      <c r="P95" s="299">
        <f>OtherTourDestination!E103</f>
        <v>-30</v>
      </c>
      <c r="Q95" s="336">
        <f t="shared" si="10"/>
        <v>-30</v>
      </c>
    </row>
    <row r="96" spans="13:17" x14ac:dyDescent="0.45">
      <c r="M96" s="297" t="str">
        <f>VLOOKUP(N96,Coeff_Descr!$A:$D,3,FALSE)</f>
        <v>MEAL</v>
      </c>
      <c r="N96" s="297">
        <f>OtherTourDestination!B104</f>
        <v>105</v>
      </c>
      <c r="O96" s="297" t="str">
        <f>OtherTourDestination!C104</f>
        <v>Gamma105</v>
      </c>
      <c r="P96" s="299">
        <f>OtherTourDestination!E104</f>
        <v>-24.158093970700001</v>
      </c>
      <c r="Q96" s="336">
        <f t="shared" si="10"/>
        <v>-24.158093970700001</v>
      </c>
    </row>
    <row r="97" spans="13:17" x14ac:dyDescent="0.45">
      <c r="M97" s="297" t="str">
        <f>VLOOKUP(N97,Coeff_Descr!$A:$D,3,FALSE)</f>
        <v>SOCREC</v>
      </c>
      <c r="N97" s="297">
        <f>OtherTourDestination!B105</f>
        <v>106</v>
      </c>
      <c r="O97" s="297" t="str">
        <f>OtherTourDestination!C105</f>
        <v>Gamma106</v>
      </c>
      <c r="P97" s="299">
        <f>OtherTourDestination!E105</f>
        <v>-9.5803170794600003</v>
      </c>
      <c r="Q97" s="336">
        <f t="shared" si="10"/>
        <v>-9.5803170794600003</v>
      </c>
    </row>
    <row r="98" spans="13:17" x14ac:dyDescent="0.45">
      <c r="M98" s="297" t="str">
        <f>VLOOKUP(N98,Coeff_Descr!$A:$D,3,FALSE)</f>
        <v>SOCREC</v>
      </c>
      <c r="N98" s="297">
        <f>OtherTourDestination!B106</f>
        <v>107</v>
      </c>
      <c r="O98" s="297" t="str">
        <f>OtherTourDestination!C106</f>
        <v>Gamma107</v>
      </c>
      <c r="P98" s="299">
        <f>OtherTourDestination!E106</f>
        <v>0</v>
      </c>
      <c r="Q98" s="336">
        <f t="shared" si="10"/>
        <v>0</v>
      </c>
    </row>
    <row r="99" spans="13:17" x14ac:dyDescent="0.45">
      <c r="M99" s="297" t="str">
        <f>VLOOKUP(N99,Coeff_Descr!$A:$D,3,FALSE)</f>
        <v>SOCREC</v>
      </c>
      <c r="N99" s="297">
        <f>OtherTourDestination!B107</f>
        <v>108</v>
      </c>
      <c r="O99" s="297" t="str">
        <f>OtherTourDestination!C107</f>
        <v>Gamma108</v>
      </c>
      <c r="P99" s="299">
        <f>OtherTourDestination!E107</f>
        <v>-15.671349338700001</v>
      </c>
      <c r="Q99" s="336">
        <f t="shared" si="10"/>
        <v>-15.671349338700001</v>
      </c>
    </row>
    <row r="100" spans="13:17" x14ac:dyDescent="0.45">
      <c r="M100" s="297" t="str">
        <f>VLOOKUP(N100,Coeff_Descr!$A:$D,3,FALSE)</f>
        <v>SOCREC</v>
      </c>
      <c r="N100" s="297">
        <f>OtherTourDestination!B108</f>
        <v>109</v>
      </c>
      <c r="O100" s="297" t="str">
        <f>OtherTourDestination!C108</f>
        <v>Gamma109</v>
      </c>
      <c r="P100" s="299">
        <f>OtherTourDestination!E108</f>
        <v>-18.208541213899998</v>
      </c>
      <c r="Q100" s="336">
        <f t="shared" si="10"/>
        <v>-18.208541213899998</v>
      </c>
    </row>
    <row r="101" spans="13:17" x14ac:dyDescent="0.45">
      <c r="M101" s="297" t="str">
        <f>VLOOKUP(N101,Coeff_Descr!$A:$D,3,FALSE)</f>
        <v>SOCREC</v>
      </c>
      <c r="N101" s="297">
        <f>OtherTourDestination!B109</f>
        <v>110</v>
      </c>
      <c r="O101" s="297" t="str">
        <f>OtherTourDestination!C109</f>
        <v>Gamma110</v>
      </c>
      <c r="P101" s="299">
        <f>OtherTourDestination!E109</f>
        <v>-11.2471450075</v>
      </c>
      <c r="Q101" s="336">
        <f t="shared" si="10"/>
        <v>-11.2471450075</v>
      </c>
    </row>
    <row r="102" spans="13:17" x14ac:dyDescent="0.45">
      <c r="M102" s="297" t="str">
        <f>VLOOKUP(N102,Coeff_Descr!$A:$D,3,FALSE)</f>
        <v>SOCREC</v>
      </c>
      <c r="N102" s="297">
        <f>OtherTourDestination!B110</f>
        <v>111</v>
      </c>
      <c r="O102" s="297" t="str">
        <f>OtherTourDestination!C110</f>
        <v>Gamma111</v>
      </c>
      <c r="P102" s="299">
        <f>OtherTourDestination!E110</f>
        <v>-10.0807778908</v>
      </c>
      <c r="Q102" s="336">
        <f t="shared" si="10"/>
        <v>-10.0807778908</v>
      </c>
    </row>
    <row r="103" spans="13:17" x14ac:dyDescent="0.45">
      <c r="M103" s="297" t="str">
        <f>VLOOKUP(N103,Coeff_Descr!$A:$D,3,FALSE)</f>
        <v>SOCREC</v>
      </c>
      <c r="N103" s="297">
        <f>OtherTourDestination!B111</f>
        <v>112</v>
      </c>
      <c r="O103" s="297" t="str">
        <f>OtherTourDestination!C111</f>
        <v>Gamma112</v>
      </c>
      <c r="P103" s="299">
        <f>OtherTourDestination!E111</f>
        <v>-5.6623999999999999</v>
      </c>
      <c r="Q103" s="336">
        <f t="shared" si="10"/>
        <v>-5.6623999999999999</v>
      </c>
    </row>
    <row r="104" spans="13:17" x14ac:dyDescent="0.45">
      <c r="M104" s="297" t="str">
        <f>VLOOKUP(N104,Coeff_Descr!$A:$D,3,FALSE)</f>
        <v>SOCREC</v>
      </c>
      <c r="N104" s="297">
        <f>OtherTourDestination!B112</f>
        <v>113</v>
      </c>
      <c r="O104" s="297" t="str">
        <f>OtherTourDestination!C112</f>
        <v>Gamma113</v>
      </c>
      <c r="P104" s="299">
        <f>OtherTourDestination!E112</f>
        <v>-12.0597581892</v>
      </c>
      <c r="Q104" s="336">
        <f t="shared" ref="Q104" si="11">_xlfn.IFNA(VLOOKUP(N104,$B$43:$D$46,3,FALSE),P104)</f>
        <v>-12.0597581892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size="32" baseType="lpstr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2022-01-21T23:37:46Z</dcterms:modified>
</cp:coreProperties>
</file>