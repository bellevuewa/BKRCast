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3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WorkAtHome!$B$18:$D$24</definedName>
    <definedName name="out13">WorkAtHome!$B$7:$D$13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County_Flow!$X$7:$AD$13</definedName>
    <definedName name="out12">WorkAtHome!$I$18:$K$24</definedName>
    <definedName name="out14">WorkAtHome!$I$7:$K$13</definedName>
  </definedNames>
  <calcPr calcId="171027"/>
</workbook>
</file>

<file path=xl/calcChain.xml><?xml version="1.0" encoding="utf-8"?>
<calcChain xmlns="http://schemas.openxmlformats.org/spreadsheetml/2006/main">
  <c i="1" l="1" r="AF19"/>
  <c i="1" l="1" r="AF16"/>
  <c i="12" l="1" r="D9"/>
  <c i="12" r="C9"/>
  <c i="12" r="B9"/>
  <c i="3" r="E101"/>
  <c i="1" l="1" r="AC22"/>
  <c i="1" r="AB22"/>
  <c i="1" r="AD22" s="1"/>
  <c i="1" r="AC21"/>
  <c i="1" r="AB21"/>
  <c i="1" r="Y22"/>
  <c i="1" r="X22"/>
  <c i="1" r="Y21"/>
  <c i="1" r="X21"/>
  <c i="1" r="AF13"/>
  <c i="1" r="J13"/>
  <c i="1" r="AF11"/>
  <c i="1" r="AF12"/>
  <c i="1" r="J11"/>
  <c i="1" r="J12"/>
  <c i="1" l="1" r="Z22"/>
  <c i="1" r="AD21"/>
  <c i="1" r="Z21"/>
  <c i="1" r="Y23"/>
  <c i="1" r="AC23"/>
  <c i="12" r="T76"/>
  <c i="12" r="U76"/>
  <c i="12" r="V76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75"/>
  <c i="12" r="U75"/>
  <c i="12" r="V75"/>
  <c i="12" r="T4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T34"/>
  <c i="12" r="U34"/>
  <c i="12" r="V34"/>
  <c i="12" r="T35"/>
  <c i="12" r="U35"/>
  <c i="12" r="V35"/>
  <c i="12" r="T36"/>
  <c i="12" r="U36"/>
  <c i="12" r="V36"/>
  <c i="12" r="T37"/>
  <c i="12" r="U37"/>
  <c i="12" r="V37"/>
  <c i="12" r="T38"/>
  <c i="12" r="U38"/>
  <c i="12" r="V38"/>
  <c i="12" r="T39"/>
  <c i="12" r="U39"/>
  <c i="12" r="V39"/>
  <c i="12" r="T40"/>
  <c i="12" r="U40"/>
  <c i="12" r="V40"/>
  <c i="12" r="T41"/>
  <c i="12" r="U41"/>
  <c i="12" r="V41"/>
  <c i="12" r="T42"/>
  <c i="12" r="U42"/>
  <c i="12" r="V42"/>
  <c i="12" r="T43"/>
  <c i="12" r="U43"/>
  <c i="12" r="V43"/>
  <c i="12" r="T44"/>
  <c i="12" r="U44"/>
  <c i="12" r="V44"/>
  <c i="12" r="T45"/>
  <c i="12" r="U45"/>
  <c i="12" r="V45"/>
  <c i="12" r="T46"/>
  <c i="12" r="U46"/>
  <c i="12" r="V46"/>
  <c i="12" r="T47"/>
  <c i="12" r="U47"/>
  <c i="12" r="V47"/>
  <c i="12" r="T48"/>
  <c i="12" r="U48"/>
  <c i="12" r="V48"/>
  <c i="12" r="T49"/>
  <c i="12" r="U49"/>
  <c i="12" r="V49"/>
  <c i="12" r="T50"/>
  <c i="12" r="U50"/>
  <c i="12" r="V50"/>
  <c i="12" r="T51"/>
  <c i="12" r="U51"/>
  <c i="12" r="V51"/>
  <c i="12" r="T52"/>
  <c i="12" r="U52"/>
  <c i="12" r="V52"/>
  <c i="12" r="T53"/>
  <c i="12" r="U53"/>
  <c i="12" r="V53"/>
  <c i="12" r="T54"/>
  <c i="12" r="U54"/>
  <c i="12" r="V54"/>
  <c i="12" r="T55"/>
  <c i="12" r="U55"/>
  <c i="12" r="V55"/>
  <c i="12" r="T56"/>
  <c i="12" r="U56"/>
  <c i="12" r="V56"/>
  <c i="12" r="T57"/>
  <c i="12" r="U57"/>
  <c i="12" r="V57"/>
  <c i="12" r="T58"/>
  <c i="12" r="U58"/>
  <c i="12" r="V58"/>
  <c i="12" r="T59"/>
  <c i="12" r="U59"/>
  <c i="12" r="V59"/>
  <c i="12" r="T60"/>
  <c i="12" r="U60"/>
  <c i="12" r="V60"/>
  <c i="12" r="T61"/>
  <c i="12" r="U61"/>
  <c i="12" r="V61"/>
  <c i="12" r="T62"/>
  <c i="12" r="U62"/>
  <c i="12" r="V62"/>
  <c i="12" r="T63"/>
  <c i="12" r="U63"/>
  <c i="12" r="V63"/>
  <c i="12" r="T64"/>
  <c i="12" r="U64"/>
  <c i="12" r="V64"/>
  <c i="12" r="T65"/>
  <c i="12" r="U65"/>
  <c i="12" r="V65"/>
  <c i="12" r="T66"/>
  <c i="12" r="U66"/>
  <c i="12" r="V66"/>
  <c i="12" r="T67"/>
  <c i="12" r="U67"/>
  <c i="12" r="V67"/>
  <c i="12" r="T68"/>
  <c i="12" r="U68"/>
  <c i="12" r="V68"/>
  <c i="12" r="T69"/>
  <c i="12" r="U69"/>
  <c i="12" r="V69"/>
  <c i="12" r="T70"/>
  <c i="12" r="U70"/>
  <c i="12" r="V70"/>
  <c i="12" r="T71"/>
  <c i="12" r="U71"/>
  <c i="12" r="V71"/>
  <c i="12" r="T72"/>
  <c i="12" r="U72"/>
  <c i="12" r="V72"/>
  <c i="12" r="T73"/>
  <c i="12" r="U73"/>
  <c i="12" r="V73"/>
  <c i="12" r="T74"/>
  <c i="12" r="U74"/>
  <c i="12" r="V74"/>
  <c i="12" r="V3"/>
  <c i="12" r="U3"/>
  <c i="12" r="T3"/>
  <c i="12" r="W3" s="1"/>
  <c i="12" l="1" r="W17"/>
  <c i="12" r="W80"/>
  <c i="12" r="W79"/>
  <c i="12" r="W74"/>
  <c i="12" r="W58"/>
  <c i="12" r="W50"/>
  <c i="12" r="W34"/>
  <c i="12" r="W26"/>
  <c i="12" r="W65"/>
  <c i="12" r="W41"/>
  <c i="12" r="W66"/>
  <c i="12" r="W42"/>
  <c i="12" r="W18"/>
  <c i="12" r="W57"/>
  <c i="12" r="W12"/>
  <c i="12" r="W11"/>
  <c i="12" r="W43"/>
  <c i="12" r="W35"/>
  <c i="12" r="W19"/>
  <c i="12" r="W27"/>
  <c i="12" r="W36"/>
  <c i="12" r="W59"/>
  <c i="12" r="W67"/>
  <c i="12" r="W51"/>
  <c i="12" r="W60"/>
  <c i="12" r="W73"/>
  <c i="12" r="W49"/>
  <c i="12" r="W33"/>
  <c i="12" r="W25"/>
  <c i="12" r="W78"/>
  <c i="12" r="W24"/>
  <c i="12" r="W16"/>
  <c i="12" r="W72"/>
  <c i="12" r="W48"/>
  <c i="12" r="W64"/>
  <c i="12" r="W32"/>
  <c i="12" r="W56"/>
  <c i="12" r="W40"/>
  <c i="12" r="W71"/>
  <c i="12" r="W63"/>
  <c i="12" r="W55"/>
  <c i="12" r="W47"/>
  <c i="12" r="W31"/>
  <c i="12" r="W23"/>
  <c i="12" r="W15"/>
  <c i="12" r="W7"/>
  <c i="12" r="W77"/>
  <c i="12" r="W70"/>
  <c i="12" r="W62"/>
  <c i="12" r="W54"/>
  <c i="12" r="W46"/>
  <c i="12" r="W38"/>
  <c i="12" r="W30"/>
  <c i="12" r="W22"/>
  <c i="12" r="W14"/>
  <c i="12" r="W6"/>
  <c i="12" r="W76"/>
  <c i="12" r="W29"/>
  <c i="12" r="W69"/>
  <c i="12" r="W53"/>
  <c i="12" r="W37"/>
  <c i="12" r="W13"/>
  <c i="12" r="W68"/>
  <c i="12" r="W52"/>
  <c i="12" r="W44"/>
  <c i="12" r="W28"/>
  <c i="12" r="W20"/>
  <c i="12" r="W4"/>
  <c i="12" r="W75"/>
  <c i="12" r="W61"/>
  <c i="12" r="W45"/>
  <c i="12" r="W21"/>
  <c i="12" r="W5"/>
  <c i="8" r="I35"/>
  <c i="8" r="J35"/>
  <c i="8" r="K35"/>
  <c i="8" r="B35"/>
  <c i="8" r="C35"/>
  <c i="8" r="D35"/>
  <c i="8" r="P13"/>
  <c i="8" r="Q13"/>
  <c i="8" r="R13"/>
  <c i="8" r="P24"/>
  <c i="8" r="Q24"/>
  <c i="8" r="R24"/>
  <c i="8" r="L24"/>
  <c i="8" r="A24"/>
  <c i="8" r="A35" s="1"/>
  <c i="8" l="1" r="R35"/>
  <c i="8" r="Q35"/>
  <c i="8" r="P35"/>
  <c i="1" r="A21"/>
  <c i="1" r="A35" s="1"/>
  <c i="1" r="A22"/>
  <c i="1" r="A36" s="1"/>
  <c i="1" r="A23"/>
  <c i="1" r="A37" s="1"/>
  <c i="1" r="A24"/>
  <c i="1" r="A38" s="1"/>
  <c i="1" r="A25"/>
  <c i="1" r="A39" s="1"/>
  <c i="1" r="A26"/>
  <c i="1" r="A40" s="1"/>
  <c i="1" r="A27"/>
  <c i="1" r="A41" s="1"/>
  <c i="1" r="A20"/>
  <c i="1" r="A34" s="1"/>
  <c i="1" l="1" r="J41"/>
  <c i="1" r="I33"/>
  <c i="1" r="H33"/>
  <c i="1" r="G33"/>
  <c i="1" r="F33"/>
  <c i="1" r="E33"/>
  <c i="1" r="D33"/>
  <c i="1" r="C33"/>
  <c i="1" r="B33"/>
  <c i="1" r="J27"/>
  <c i="1" r="I19"/>
  <c i="1" r="H19"/>
  <c i="1" r="G19"/>
  <c i="1" r="F19"/>
  <c i="1" r="E19"/>
  <c i="1" r="D19"/>
  <c i="1" r="C19"/>
  <c i="1" r="B19"/>
  <c i="8" l="1" r="B29"/>
  <c i="12" l="1" r="B7"/>
  <c i="12" l="1" r="N14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J16"/>
  <c i="12" r="D10"/>
  <c i="12" r="D15" s="1"/>
  <c i="12" r="E8"/>
  <c i="12" r="E7"/>
  <c i="12" r="K7"/>
  <c i="12" r="K8"/>
  <c i="12" r="K9"/>
  <c i="12" r="E9"/>
  <c i="1" r="Y15"/>
  <c i="1" r="Y17" s="1"/>
  <c i="1" r="Y18" s="1"/>
  <c i="1" r="Z15"/>
  <c i="1" r="Z17" s="1"/>
  <c i="1" r="Z18" s="1"/>
  <c i="1" r="AA15"/>
  <c i="1" r="AA17" s="1"/>
  <c i="1" r="AA18" s="1"/>
  <c i="1" r="AB15"/>
  <c i="1" r="AB17" s="1"/>
  <c i="1" r="AB18" s="1"/>
  <c i="1" r="AC15"/>
  <c i="1" r="AC17" s="1"/>
  <c i="1" r="AC18" s="1"/>
  <c i="1" r="AD15"/>
  <c i="1" r="AD17" s="1"/>
  <c i="1" r="AD18" s="1"/>
  <c i="1" r="AE15"/>
  <c i="1" r="X15"/>
  <c i="1" r="X17" s="1"/>
  <c i="1" r="AF8"/>
  <c i="1" r="AF9"/>
  <c i="1" r="AF10"/>
  <c i="1" r="AF14"/>
  <c i="1" r="AF7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" l="1" r="AF17"/>
  <c i="1" r="AF18" s="1"/>
  <c i="1" r="X18"/>
  <c i="1" r="B26"/>
  <c i="1" r="H26"/>
  <c i="1" r="I26"/>
  <c i="1" r="F26"/>
  <c i="1" r="G26"/>
  <c i="1" r="C26"/>
  <c i="1" r="D26"/>
  <c i="1" r="E26"/>
  <c i="12" r="J15"/>
  <c i="12" r="J17" s="1"/>
  <c i="12" r="D14"/>
  <c i="12" r="E10"/>
  <c i="12" r="E14" s="1"/>
  <c i="12" r="I16"/>
  <c i="12" r="H15"/>
  <c i="12" r="O15" s="1"/>
  <c i="12" r="P15" s="1"/>
  <c i="12" r="D16"/>
  <c i="12" r="C15"/>
  <c i="12" r="B16"/>
  <c i="12" r="O16" s="1"/>
  <c i="12" r="P16" s="1"/>
  <c i="12" r="H14"/>
  <c i="12" r="K10"/>
  <c i="12" r="K15" s="1"/>
  <c i="12" r="C16"/>
  <c i="12" r="B17"/>
  <c i="12" r="B14"/>
  <c i="12" r="I15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E24"/>
  <c i="8" r="S24" s="1"/>
  <c i="8" r="L13"/>
  <c i="8" r="E13"/>
  <c i="12" l="1" r="K16"/>
  <c i="12" r="I17"/>
  <c i="12" r="H17"/>
  <c i="12" r="O14"/>
  <c i="12" r="E16"/>
  <c i="8" r="E35"/>
  <c i="8" r="S13"/>
  <c i="8" r="L35"/>
  <c i="8" r="S35" s="1"/>
  <c i="1" r="AA40"/>
  <c i="1" r="AE35"/>
  <c i="1" r="AD36"/>
  <c i="1" r="AE36"/>
  <c i="1" r="AD37"/>
  <c i="1" r="Z40"/>
  <c i="1" r="AB40"/>
  <c i="1" r="AC40"/>
  <c i="1" r="AD34"/>
  <c i="1" r="AD39"/>
  <c i="1" r="AD40"/>
  <c i="1" r="AE40"/>
  <c i="1" r="AE34"/>
  <c i="1" r="AD35"/>
  <c i="1" r="AE37"/>
  <c i="1" r="AE39"/>
  <c i="1" r="X40"/>
  <c i="1" r="Y40"/>
  <c i="1" r="AD38"/>
  <c i="1" r="AE38"/>
  <c i="1" r="J26"/>
  <c i="12" r="C17"/>
  <c i="12" r="K14"/>
  <c i="12" r="K17" s="1"/>
  <c i="12" r="E15"/>
  <c i="12" r="D17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V24"/>
  <c i="8" r="V13"/>
  <c i="8" r="H13"/>
  <c i="12" l="1" r="E17"/>
  <c i="12" r="P14"/>
  <c i="12" r="Q14" s="1"/>
  <c i="12" r="W8" s="1"/>
  <c i="12" r="Q16"/>
  <c i="12" r="W10" s="1"/>
  <c i="12" r="Q15"/>
  <c i="12" r="W9" s="1"/>
  <c i="8" r="H24"/>
  <c i="8" r="H35" s="1"/>
  <c i="8" r="O13"/>
  <c i="8" r="O24" s="1"/>
  <c i="8" r="O35" s="1"/>
  <c i="8" r="X25"/>
  <c i="8" r="Y25"/>
  <c i="8" r="Z25"/>
  <c i="8" r="W25"/>
  <c i="8" r="X14"/>
  <c i="8" r="X36" s="1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D14"/>
  <c i="8" r="B14"/>
  <c i="8" r="J14"/>
  <c i="8" r="K14"/>
  <c i="8" r="I14"/>
  <c i="8" l="1" r="D36"/>
  <c i="8" r="J36"/>
  <c i="8" r="I36"/>
  <c i="8" r="K36"/>
  <c i="8" r="R36" s="1"/>
  <c i="8" r="C36"/>
  <c i="8" r="B36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8" l="1" r="Q36"/>
  <c i="8" r="P36"/>
  <c i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l="1" r="H22"/>
  <c i="1" r="I22"/>
  <c i="1" r="I23"/>
  <c i="1" r="H23"/>
  <c i="1" r="I24"/>
  <c i="1" r="H24"/>
  <c i="1" r="B22"/>
  <c i="1" r="G22"/>
  <c i="1" r="F22"/>
  <c i="1" r="E22"/>
  <c i="1" r="D22"/>
  <c i="1" r="C22"/>
  <c i="1" r="F23"/>
  <c i="1" r="G23"/>
  <c i="1" r="E23"/>
  <c i="1" r="D23"/>
  <c i="1" r="C23"/>
  <c i="1" r="B23"/>
  <c i="1" r="G24"/>
  <c i="1" r="F24"/>
  <c i="1" r="E24"/>
  <c i="1" r="D24"/>
  <c i="1" r="C24"/>
  <c i="1" r="B24"/>
  <c i="8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K31"/>
  <c i="8" r="L3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1" l="1" r="J24"/>
  <c i="1" r="J23"/>
  <c i="8" r="R31"/>
  <c i="8" r="Q31"/>
  <c i="8" r="S31"/>
  <c i="1" r="J22"/>
  <c i="8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12" r="B31" s="1"/>
  <c i="8" r="E36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D15"/>
  <c i="1" r="C15"/>
  <c i="1" r="B15"/>
  <c i="1" r="J8"/>
  <c i="1" r="J7"/>
  <c i="1" l="1" r="H25"/>
  <c i="1" r="I25"/>
  <c i="1" r="H20"/>
  <c i="1" r="I20"/>
  <c i="1" r="I21"/>
  <c i="1" r="H21"/>
  <c i="1" r="G20"/>
  <c i="1" r="E20"/>
  <c i="1" r="D20"/>
  <c i="1" r="B20"/>
  <c i="1" r="F20"/>
  <c i="1" r="C20"/>
  <c i="1" r="B25"/>
  <c i="1" r="G25"/>
  <c i="1" r="F25"/>
  <c i="1" r="E25"/>
  <c i="1" r="D25"/>
  <c i="1" r="C25"/>
  <c i="1" r="G21"/>
  <c i="1" r="F21"/>
  <c i="1" r="E21"/>
  <c i="1" r="D21"/>
  <c i="1" r="C21"/>
  <c i="1" r="B21"/>
  <c i="1" r="U27"/>
  <c i="1" r="U28" s="1"/>
  <c i="1" r="M28"/>
  <c i="1" r="J15"/>
  <c i="1" l="1" r="J21"/>
  <c i="1" r="B28"/>
  <c i="1" r="J25"/>
  <c i="1" r="H28"/>
  <c i="1" r="D28"/>
  <c i="1" r="J20"/>
  <c i="1" r="C28"/>
  <c i="1" r="E28"/>
  <c i="1" r="F28"/>
  <c i="1" r="I28"/>
  <c i="1" r="G28"/>
  <c i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J28"/>
  <c i="1" r="S42"/>
  <c i="1" r="U40"/>
  <c i="8" r="S7"/>
  <c i="8" r="L14"/>
  <c i="8" r="S18"/>
  <c i="8" r="L25"/>
  <c i="8" r="L29"/>
  <c i="8" r="L30"/>
  <c i="8" r="L34"/>
  <c i="1" l="1" r="E40"/>
  <c i="1" r="D40"/>
  <c i="1" r="C40"/>
  <c i="1" r="G40"/>
  <c i="1" r="F40"/>
  <c i="1" r="I40"/>
  <c i="1" r="B40"/>
  <c i="1" r="H40"/>
  <c i="1" r="H38"/>
  <c i="1" r="I37"/>
  <c i="1" r="H36"/>
  <c i="1" r="I38"/>
  <c i="1" r="I36"/>
  <c i="1" r="H37"/>
  <c i="1" r="I34"/>
  <c i="1" r="H34"/>
  <c i="1" r="I35"/>
  <c i="1" r="I39"/>
  <c i="1" r="H35"/>
  <c i="1" r="H39"/>
  <c i="1" r="J40"/>
  <c i="1" r="E38"/>
  <c i="1" r="F37"/>
  <c i="1" r="C36"/>
  <c i="1" r="B36"/>
  <c i="1" r="D37"/>
  <c i="1" r="G36"/>
  <c i="1" r="G38"/>
  <c i="1" r="C38"/>
  <c i="1" r="D38"/>
  <c i="1" r="C37"/>
  <c i="1" r="D36"/>
  <c i="1" r="F36"/>
  <c i="1" r="E37"/>
  <c i="1" r="F38"/>
  <c i="1" r="B37"/>
  <c i="1" r="G37"/>
  <c i="1" r="B38"/>
  <c i="1" r="E36"/>
  <c i="1" r="J37"/>
  <c i="1" r="J36"/>
  <c i="1" r="J38"/>
  <c i="1" r="D35"/>
  <c i="1" r="G39"/>
  <c i="1" r="B39"/>
  <c i="1" r="B35"/>
  <c i="1" r="E34"/>
  <c i="1" r="G34"/>
  <c i="1" r="E35"/>
  <c i="1" r="E39"/>
  <c i="1" r="D39"/>
  <c i="1" r="C39"/>
  <c i="1" r="F35"/>
  <c i="1" r="F34"/>
  <c i="1" r="B34"/>
  <c i="1" r="C34"/>
  <c i="1" r="C35"/>
  <c i="1" r="G35"/>
  <c i="1" r="D34"/>
  <c i="1" r="F39"/>
  <c i="1" r="J35"/>
  <c i="1" r="J39"/>
  <c i="1" r="J34"/>
  <c i="12" r="H26"/>
  <c i="8" r="L36"/>
  <c i="8" r="S36" s="1"/>
  <c i="8" r="S25"/>
  <c i="12" r="H27"/>
  <c i="12" r="H32" s="1"/>
  <c i="8" r="S14"/>
  <c i="1" l="1" r="J42"/>
  <c i="1" r="G42"/>
  <c i="1" r="H42"/>
  <c i="1" r="E42"/>
  <c i="1" r="D42"/>
  <c i="1" r="C42"/>
  <c i="1" r="B42"/>
  <c i="1" r="F42"/>
  <c i="1" r="I42"/>
  <c i="12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P29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10" r="Q11"/>
  <c i="10" r="Q15"/>
  <c i="10" r="Q21"/>
  <c i="10" r="Q19"/>
  <c i="10" r="Q20"/>
  <c i="10" r="Q17"/>
  <c i="10" r="Q16"/>
  <c i="10" r="Q13"/>
  <c i="10" r="Q12"/>
  <c i="10" r="Q18"/>
  <c i="10" r="Q14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1" l="1" r="AD54"/>
  <c i="1" r="AD53"/>
  <c i="1" r="AC54"/>
  <c i="1" r="AD55"/>
  <c i="1" r="AB54"/>
  <c i="1" r="AA54"/>
  <c i="1" r="AD50"/>
  <c i="1" r="Z54"/>
  <c i="1" r="AD48"/>
  <c i="1" r="AE54"/>
  <c i="1" r="AD52"/>
  <c i="1" r="AD51"/>
  <c i="1" r="AD49"/>
  <c i="1" r="X54"/>
  <c i="1" r="Y54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55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55"/>
  <c i="1" r="AA36"/>
  <c i="1" r="AA50" s="1"/>
  <c i="1" r="Y34"/>
  <c i="1" r="Y48" s="1"/>
  <c i="1" r="AC36"/>
  <c i="1" r="AC50" s="1"/>
  <c i="1" r="AE51"/>
  <c i="1" r="AE49"/>
  <c i="1" r="AE52"/>
  <c i="1" r="AE50"/>
  <c i="1" r="AE48"/>
  <c i="1" r="AE53"/>
  <c i="1" r="AB55"/>
  <c i="1" r="AC55"/>
  <c i="1" r="AA55"/>
  <c i="1" r="Y55"/>
  <c i="1" r="Z55"/>
  <c i="1" l="1" r="AF40"/>
  <c i="1" r="AF54" s="1"/>
  <c i="1" r="AD42"/>
  <c i="1" r="AD56" s="1"/>
  <c i="1" r="AF34"/>
  <c i="1" r="AF48" s="1"/>
  <c i="1" r="AA42"/>
  <c i="1" r="AA56" s="1"/>
  <c i="1" r="AE42"/>
  <c i="1" r="AE56" s="1"/>
  <c i="1" r="X42"/>
  <c i="1" r="X56" s="1"/>
  <c i="1" r="AF37"/>
  <c i="1" r="AF51" s="1"/>
  <c i="1" r="AF35"/>
  <c i="1" r="AF49" s="1"/>
  <c i="1" r="AF38"/>
  <c i="1" r="AF52" s="1"/>
  <c i="1" r="AF36"/>
  <c i="1" r="AF50" s="1"/>
  <c i="1" r="AB42"/>
  <c i="1" r="AB56" s="1"/>
  <c i="1" r="Y42"/>
  <c i="1" r="Y56" s="1"/>
  <c i="1" r="AF39"/>
  <c i="1" r="AF53" s="1"/>
  <c i="1" r="Z42"/>
  <c i="1" r="Z56" s="1"/>
  <c i="1" r="AF41"/>
  <c i="1" r="AF55" s="1"/>
  <c i="1" r="AC42"/>
  <c i="1" r="AC56" s="1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r="AF56" s="1"/>
  <c i="1" l="1" r="P42"/>
  <c i="1" r="U38"/>
  <c i="1" r="U35"/>
  <c i="1" r="U37"/>
  <c i="1" r="U41"/>
  <c i="1" r="U34"/>
  <c i="1" r="N42"/>
  <c i="1" r="U39"/>
  <c i="1" r="R42"/>
  <c i="1" r="T42"/>
  <c i="1" r="M42"/>
  <c i="1" r="Q42"/>
  <c i="1" r="U36"/>
  <c i="1" r="O42"/>
  <c i="1" l="1" r="U42"/>
</calcChain>
</file>

<file path=xl/sharedStrings.xml><?xml version="1.0" encoding="utf-8"?>
<sst xmlns="http://schemas.openxmlformats.org/spreadsheetml/2006/main" count="764" uniqueCount="304">
  <si>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</si>
  <si>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</si>
  <si>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</si>
  <si>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</si>
  <si>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</si>
  <si>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</si>
  <si>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</si>
  <si>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</si>
  <si>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</si>
  <si>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</si>
  <si>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</si>
  <si>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</si>
  <si>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</si>
  <si>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</si>
  <si>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</si>
  <si>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</si>
  <si>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</si>
  <si>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</si>
  <si>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</si>
  <si>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</si>
  <si>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</si>
  <si>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</si>
  <si>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</si>
  <si>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</si>
  <si>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</si>
  <si>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</si>
  <si>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</si>
  <si>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</si>
  <si>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</si>
  <si>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</si>
  <si>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</si>
  <si>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</si>
  <si>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</si>
  <si>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</si>
  <si>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</si>
  <si>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</si>
  <si>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</si>
  <si>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</si>
  <si>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</si>
  <si>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</si>
  <si>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</si>
  <si>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</si>
  <si>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</si>
  <si>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</si>
  <si>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</si>
  <si>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</si>
  <si>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</si>
  <si>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</si>
  <si>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</si>
  <si>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</si>
  <si>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</si>
  <si>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</si>
  <si>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</si>
  <si>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</si>
  <si>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</si>
  <si>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</si>
  <si>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</si>
  <si>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</si>
  <si>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</si>
  <si>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</si>
  <si>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</si>
  <si>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</si>
  <si>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</si>
  <si>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</si>
  <si>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</si>
  <si>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</si>
  <si>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</si>
  <si>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</si>
  <si>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</si>
  <si>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</si>
  <si>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</si>
  <si>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</si>
  <si>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</si>
  <si>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</si>
  <si>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</si>
  <si>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</si>
  <si>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</si>
  <si>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</si>
  <si>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</si>
  <si>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</si>
  <si>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</si>
  <si>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</si>
  <si>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</si>
  <si>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</si>
  <si>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</si>
  <si>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</si>
  <si>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</si>
  <si>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</si>
  <si>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</si>
  <si>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</si>
  <si>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</si>
  <si>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</si>
  <si>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</si>
  <si>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</si>
  <si>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</si>
  <si>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</si>
  <si>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</si>
  <si>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</si>
  <si>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</si>
  <si>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</si>
  <si>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</si>
  <si>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</si>
  <si>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</si>
  <si>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</si>
  <si>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</si>
  <si>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</si>
  <si>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</si>
  <si>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</si>
  <si>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</si>
  <si>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</si>
  <si>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</si>
  <si>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</si>
  <si>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</si>
  <si>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</si>
  <si>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</si>
  <si>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</si>
  <si>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</si>
  <si>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</si>
  <si>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</si>
  <si>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</si>
  <si>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</si>
  <si>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</si>
  <si>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</si>
  <si>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</si>
  <si>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</si>
  <si>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</si>
  <si>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</si>
  <si>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</si>
  <si>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</si>
  <si>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</si>
  <si>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</si>
  <si>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</si>
  <si>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</si>
  <si>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</si>
  <si>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</si>
  <si>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</si>
  <si>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</si>
  <si>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</si>
  <si>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</si>
  <si>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</si>
  <si>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</si>
  <si>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</si>
  <si>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</si>
  <si>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</si>
  <si>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</si>
  <si>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</si>
  <si>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</si>
  <si>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</si>
  <si>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</si>
  <si>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</si>
  <si>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</si>
  <si>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</si>
  <si>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</si>
  <si>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</si>
  <si>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</si>
  <si>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</si>
  <si>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</si>
  <si>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</si>
  <si>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</si>
  <si>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</si>
  <si>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</si>
  <si>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</si>
  <si>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</si>
  <si>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</si>
  <si>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</si>
  <si>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</si>
  <si>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</si>
  <si>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</si>
  <si>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</si>
  <si>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</si>
  <si>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</si>
  <si>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</si>
  <si>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</si>
  <si>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</si>
  <si>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</si>
  <si>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</si>
  <si>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</si>
  <si>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</si>
  <si>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</si>
  <si>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</si>
  <si>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</si>
  <si>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</si>
  <si>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</si>
  <si>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</si>
  <si>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</si>
  <si>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</si>
  <si>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</si>
  <si>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</si>
  <si>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</si>
  <si>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</si>
  <si>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</si>
  <si>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</si>
  <si>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</si>
  <si>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</si>
  <si>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</si>
  <si>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</si>
  <si>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</si>
  <si>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</si>
  <si>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</si>
  <si>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</si>
  <si>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</si>
  <si>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</si>
  <si>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</si>
  <si>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</si>
  <si>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</si>
  <si>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</si>
  <si>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</si>
  <si>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</si>
  <si>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</si>
  <si>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</si>
  <si>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</si>
  <si>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</si>
  <si>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</si>
  <si>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</si>
  <si>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</si>
  <si>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</si>
  <si>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</si>
  <si>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</si>
  <si>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</si>
  <si>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</si>
  <si>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</si>
  <si>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</si>
  <si>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</si>
  <si>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</si>
  <si>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</si>
  <si>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</si>
  <si>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</si>
  <si>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</si>
  <si>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</si>
  <si>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</si>
  <si>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</si>
  <si>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</si>
  <si>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</si>
  <si>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</si>
  <si>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</si>
  <si>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</si>
  <si>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</si>
  <si>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</si>
  <si>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</si>
  <si>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</si>
  <si>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</si>
  <si>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</si>
  <si>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</si>
  <si>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</si>
  <si>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</si>
  <si>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</si>
  <si>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</si>
  <si>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</si>
  <si>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</si>
  <si>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</si>
  <si>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</si>
  <si>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</si>
  <si>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</si>
  <si>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</si>
  <si>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</si>
  <si>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</si>
  <si>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</si>
  <si>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</si>
  <si>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</si>
  <si>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</si>
  <si>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</si>
  <si>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</si>
  <si>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</si>
  <si>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</si>
  <si>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</si>
  <si>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</si>
  <si>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</si>
  <si>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</si>
  <si>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</si>
  <si>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</si>
  <si>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</si>
  <si>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</si>
  <si>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</si>
  <si>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"WorkLocationModel.F12" ini Notepad+</t>
  </si>
  <si>
    <t>Nov</t>
  </si>
  <si>
    <t>Distover20</t>
  </si>
  <si>
    <t>Distover30</t>
  </si>
  <si>
    <t>Distover40</t>
  </si>
  <si>
    <t>Beta00049</t>
  </si>
  <si>
    <t>Gamma89</t>
  </si>
  <si>
    <t>015:25:46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</si>
  <si>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</si>
  <si>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</si>
  <si>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</si>
  <si>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</si>
  <si>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</si>
  <si>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</si>
  <si>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</si>
  <si>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</si>
  <si>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Copy (Ctrl-c) cells W3:W100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</si>
  <si>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</si>
  <si>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</si>
  <si>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</si>
  <si>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</si>
  <si>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</si>
  <si>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</si>
  <si>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</si>
  <si>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BKR</t>
  </si>
  <si>
    <t>Damp</t>
  </si>
  <si>
    <t>damp</t>
  </si>
  <si>
    <t>Employment (parcel file)</t>
  </si>
  <si>
    <t>Diff</t>
  </si>
  <si>
    <t>Diff (%)</t>
  </si>
  <si>
    <t>Total (scaled workers)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</si>
</sst>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0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Border="1" applyFill="1" applyNumberFormat="1" borderId="1" fillId="2" fontId="0" numFmtId="164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Alignment="1" applyBorder="1" applyFill="1" borderId="2" fillId="2" fontId="0" numFmtId="0" xfId="0">
      <alignment horizontal="center"/>
    </xf>
    <xf applyBorder="1" applyFill="1" applyNumberFormat="1" borderId="3" fillId="2" fontId="0" numFmtId="164" xfId="0"/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Border="1" applyFont="1" borderId="3" fillId="0" fontId="4" numFmtId="0" xfId="0"/>
    <xf applyBorder="1" applyFont="1" borderId="6" fillId="0" fontId="4" numFmtId="0" xfId="0"/>
    <xf applyBorder="1" applyFont="1" borderId="0" fillId="0" fontId="4" numFmtId="0" xfId="0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NumberFormat="1" borderId="0" fillId="0" fontId="0" numFmtId="167" xfId="0"/>
    <xf applyFill="1" applyFont="1" applyNumberFormat="1" borderId="0" fillId="8" fontId="0" numFmtId="167" xfId="8"/>
    <xf applyFont="1" applyNumberFormat="1" borderId="0" fillId="0" fontId="8" numFmtId="167" xfId="8"/>
    <xf applyNumberFormat="1" borderId="0" fillId="0" fontId="0" numFmtId="169" xfId="0"/>
    <xf applyBorder="1" applyNumberFormat="1" borderId="3" fillId="0" fontId="0" numFmtId="169" xfId="0"/>
    <xf applyFont="1" borderId="0" fillId="0" fontId="0" numFmtId="9" xfId="9"/>
    <xf applyAlignment="1" borderId="0" fillId="0" fontId="0" numFmtId="0" xfId="0">
      <alignment horizontal="right"/>
    </xf>
    <xf applyAlignment="1" applyBorder="1" borderId="2" fillId="0" fontId="0" numFmtId="0" xfId="0">
      <alignment horizontal="right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20264.329900000001</c:v>
                </c:pt>
                <c:pt idx="1">
                  <c:v>21498.076100000002</c:v>
                </c:pt>
                <c:pt idx="2">
                  <c:v>39403.924100000004</c:v>
                </c:pt>
                <c:pt idx="3">
                  <c:v>67524.236799999999</c:v>
                </c:pt>
                <c:pt idx="4">
                  <c:v>146317.0773</c:v>
                </c:pt>
                <c:pt idx="5">
                  <c:v>127702.87129999998</c:v>
                </c:pt>
                <c:pt idx="6">
                  <c:v>127908.0227</c:v>
                </c:pt>
                <c:pt idx="7">
                  <c:v>85836.198699999994</c:v>
                </c:pt>
                <c:pt idx="8">
                  <c:v>96747.57680000001</c:v>
                </c:pt>
                <c:pt idx="9">
                  <c:v>66155.274799999999</c:v>
                </c:pt>
                <c:pt idx="10">
                  <c:v>102398.69279999999</c:v>
                </c:pt>
                <c:pt idx="11">
                  <c:v>51989.820099999997</c:v>
                </c:pt>
                <c:pt idx="12">
                  <c:v>44443.831600000005</c:v>
                </c:pt>
                <c:pt idx="13">
                  <c:v>49001.769</c:v>
                </c:pt>
                <c:pt idx="14">
                  <c:v>32925.5573</c:v>
                </c:pt>
                <c:pt idx="15">
                  <c:v>57217.192300000002</c:v>
                </c:pt>
                <c:pt idx="16">
                  <c:v>57391.408599999995</c:v>
                </c:pt>
                <c:pt idx="17">
                  <c:v>48771.441500000001</c:v>
                </c:pt>
                <c:pt idx="18">
                  <c:v>50960.727399999996</c:v>
                </c:pt>
                <c:pt idx="19">
                  <c:v>29182.155699999999</c:v>
                </c:pt>
                <c:pt idx="20">
                  <c:v>23247.704099999999</c:v>
                </c:pt>
                <c:pt idx="21">
                  <c:v>27644.0798</c:v>
                </c:pt>
                <c:pt idx="22">
                  <c:v>19401.318199999998</c:v>
                </c:pt>
                <c:pt idx="23">
                  <c:v>25607.689800000004</c:v>
                </c:pt>
                <c:pt idx="24">
                  <c:v>16664.465</c:v>
                </c:pt>
                <c:pt idx="25">
                  <c:v>20245.723400000003</c:v>
                </c:pt>
                <c:pt idx="26">
                  <c:v>17231.285599999999</c:v>
                </c:pt>
                <c:pt idx="27">
                  <c:v>12210.147500000001</c:v>
                </c:pt>
                <c:pt idx="28">
                  <c:v>10757.364100000001</c:v>
                </c:pt>
                <c:pt idx="29">
                  <c:v>4860.6378999999997</c:v>
                </c:pt>
                <c:pt idx="30">
                  <c:v>6164.0136000000002</c:v>
                </c:pt>
                <c:pt idx="31">
                  <c:v>8317.1468000000004</c:v>
                </c:pt>
                <c:pt idx="32">
                  <c:v>2506.7449000000001</c:v>
                </c:pt>
                <c:pt idx="33">
                  <c:v>4488.1894999999995</c:v>
                </c:pt>
                <c:pt idx="34">
                  <c:v>9138.4742999999999</c:v>
                </c:pt>
                <c:pt idx="35">
                  <c:v>3114.0108999999998</c:v>
                </c:pt>
                <c:pt idx="36">
                  <c:v>10686.0638</c:v>
                </c:pt>
                <c:pt idx="37">
                  <c:v>4518.6202999999996</c:v>
                </c:pt>
                <c:pt idx="38">
                  <c:v>6618.1257999999998</c:v>
                </c:pt>
                <c:pt idx="39">
                  <c:v>5271.9976999999999</c:v>
                </c:pt>
                <c:pt idx="40">
                  <c:v>5068.8937000000005</c:v>
                </c:pt>
                <c:pt idx="41">
                  <c:v>2285.7842000000001</c:v>
                </c:pt>
                <c:pt idx="42">
                  <c:v>820.25800000000004</c:v>
                </c:pt>
                <c:pt idx="43">
                  <c:v>778.78070000000002</c:v>
                </c:pt>
                <c:pt idx="44">
                  <c:v>1850.674</c:v>
                </c:pt>
                <c:pt idx="45">
                  <c:v>1873.7078999999999</c:v>
                </c:pt>
                <c:pt idx="46">
                  <c:v>1525.5855000000001</c:v>
                </c:pt>
                <c:pt idx="47">
                  <c:v>3335.2665999999999</c:v>
                </c:pt>
                <c:pt idx="48">
                  <c:v>2448.1536000000001</c:v>
                </c:pt>
                <c:pt idx="49">
                  <c:v>1198.4344999999998</c:v>
                </c:pt>
                <c:pt idx="50">
                  <c:v>909.77930000000003</c:v>
                </c:pt>
                <c:pt idx="51">
                  <c:v>438.93169999999998</c:v>
                </c:pt>
                <c:pt idx="52">
                  <c:v>1607.8973000000001</c:v>
                </c:pt>
                <c:pt idx="53">
                  <c:v>309.57670000000002</c:v>
                </c:pt>
                <c:pt idx="54">
                  <c:v>783.23289999999997</c:v>
                </c:pt>
                <c:pt idx="55">
                  <c:v>408.2697</c:v>
                </c:pt>
                <c:pt idx="56">
                  <c:v>0</c:v>
                </c:pt>
                <c:pt idx="57">
                  <c:v>203.33840000000001</c:v>
                </c:pt>
                <c:pt idx="58">
                  <c:v>0</c:v>
                </c:pt>
                <c:pt idx="59">
                  <c:v>0</c:v>
                </c:pt>
                <c:pt idx="60">
                  <c:v>657.8338</c:v>
                </c:pt>
                <c:pt idx="61">
                  <c:v>99.508899999999997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249.5401</c:v>
                </c:pt>
                <c:pt idx="66">
                  <c:v>0</c:v>
                </c:pt>
                <c:pt idx="67">
                  <c:v>86.093599999999995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173.22970000000001</c:v>
                </c:pt>
                <c:pt idx="72">
                  <c:v>0</c:v>
                </c:pt>
                <c:pt idx="73">
                  <c:v>0</c:v>
                </c:pt>
                <c:pt idx="74">
                  <c:v>409.13839999999999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212.667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390.53229999999996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151430</c:v>
                </c:pt>
                <c:pt idx="1">
                  <c:v>86557</c:v>
                </c:pt>
                <c:pt idx="2">
                  <c:v>50296</c:v>
                </c:pt>
                <c:pt idx="3">
                  <c:v>35993</c:v>
                </c:pt>
                <c:pt idx="4">
                  <c:v>119050</c:v>
                </c:pt>
                <c:pt idx="5">
                  <c:v>110167</c:v>
                </c:pt>
                <c:pt idx="6">
                  <c:v>117407</c:v>
                </c:pt>
                <c:pt idx="7">
                  <c:v>84715</c:v>
                </c:pt>
                <c:pt idx="8">
                  <c:v>98862</c:v>
                </c:pt>
                <c:pt idx="9">
                  <c:v>78820</c:v>
                </c:pt>
                <c:pt idx="10">
                  <c:v>58339</c:v>
                </c:pt>
                <c:pt idx="11">
                  <c:v>55501</c:v>
                </c:pt>
                <c:pt idx="12">
                  <c:v>63690</c:v>
                </c:pt>
                <c:pt idx="13">
                  <c:v>72427</c:v>
                </c:pt>
                <c:pt idx="14">
                  <c:v>47364</c:v>
                </c:pt>
                <c:pt idx="15">
                  <c:v>50090</c:v>
                </c:pt>
                <c:pt idx="16">
                  <c:v>55990</c:v>
                </c:pt>
                <c:pt idx="17">
                  <c:v>40392</c:v>
                </c:pt>
                <c:pt idx="18">
                  <c:v>47318</c:v>
                </c:pt>
                <c:pt idx="19">
                  <c:v>35294</c:v>
                </c:pt>
                <c:pt idx="20">
                  <c:v>30697</c:v>
                </c:pt>
                <c:pt idx="21">
                  <c:v>31749</c:v>
                </c:pt>
                <c:pt idx="22">
                  <c:v>28072</c:v>
                </c:pt>
                <c:pt idx="23">
                  <c:v>25601</c:v>
                </c:pt>
                <c:pt idx="24">
                  <c:v>23338</c:v>
                </c:pt>
                <c:pt idx="25">
                  <c:v>20591</c:v>
                </c:pt>
                <c:pt idx="26">
                  <c:v>21918</c:v>
                </c:pt>
                <c:pt idx="27">
                  <c:v>18840</c:v>
                </c:pt>
                <c:pt idx="28">
                  <c:v>15704</c:v>
                </c:pt>
                <c:pt idx="29">
                  <c:v>13926</c:v>
                </c:pt>
                <c:pt idx="30">
                  <c:v>12174</c:v>
                </c:pt>
                <c:pt idx="31">
                  <c:v>11433</c:v>
                </c:pt>
                <c:pt idx="32">
                  <c:v>9295</c:v>
                </c:pt>
                <c:pt idx="33">
                  <c:v>8590</c:v>
                </c:pt>
                <c:pt idx="34">
                  <c:v>7743</c:v>
                </c:pt>
                <c:pt idx="35">
                  <c:v>6546</c:v>
                </c:pt>
                <c:pt idx="36">
                  <c:v>8720</c:v>
                </c:pt>
                <c:pt idx="37">
                  <c:v>6921</c:v>
                </c:pt>
                <c:pt idx="38">
                  <c:v>7367</c:v>
                </c:pt>
                <c:pt idx="39">
                  <c:v>6296</c:v>
                </c:pt>
                <c:pt idx="40">
                  <c:v>5126</c:v>
                </c:pt>
                <c:pt idx="41">
                  <c:v>4751</c:v>
                </c:pt>
                <c:pt idx="42">
                  <c:v>3555</c:v>
                </c:pt>
                <c:pt idx="43">
                  <c:v>3280</c:v>
                </c:pt>
                <c:pt idx="44">
                  <c:v>3301</c:v>
                </c:pt>
                <c:pt idx="45">
                  <c:v>5180</c:v>
                </c:pt>
                <c:pt idx="46">
                  <c:v>5191</c:v>
                </c:pt>
                <c:pt idx="47">
                  <c:v>2507</c:v>
                </c:pt>
                <c:pt idx="48">
                  <c:v>1883</c:v>
                </c:pt>
                <c:pt idx="49">
                  <c:v>2287</c:v>
                </c:pt>
                <c:pt idx="50">
                  <c:v>2815</c:v>
                </c:pt>
                <c:pt idx="51">
                  <c:v>3909</c:v>
                </c:pt>
                <c:pt idx="52">
                  <c:v>1287</c:v>
                </c:pt>
                <c:pt idx="53">
                  <c:v>1552</c:v>
                </c:pt>
                <c:pt idx="54">
                  <c:v>1062</c:v>
                </c:pt>
                <c:pt idx="55">
                  <c:v>862</c:v>
                </c:pt>
                <c:pt idx="56">
                  <c:v>1404</c:v>
                </c:pt>
                <c:pt idx="57">
                  <c:v>871</c:v>
                </c:pt>
                <c:pt idx="58">
                  <c:v>1002</c:v>
                </c:pt>
                <c:pt idx="59">
                  <c:v>611</c:v>
                </c:pt>
                <c:pt idx="60">
                  <c:v>526</c:v>
                </c:pt>
                <c:pt idx="61">
                  <c:v>617</c:v>
                </c:pt>
                <c:pt idx="62">
                  <c:v>444</c:v>
                </c:pt>
                <c:pt idx="63">
                  <c:v>687</c:v>
                </c:pt>
                <c:pt idx="64">
                  <c:v>797</c:v>
                </c:pt>
                <c:pt idx="65">
                  <c:v>507</c:v>
                </c:pt>
                <c:pt idx="66">
                  <c:v>266</c:v>
                </c:pt>
                <c:pt idx="67">
                  <c:v>143</c:v>
                </c:pt>
                <c:pt idx="68">
                  <c:v>311</c:v>
                </c:pt>
                <c:pt idx="69">
                  <c:v>480</c:v>
                </c:pt>
                <c:pt idx="70">
                  <c:v>526</c:v>
                </c:pt>
                <c:pt idx="71">
                  <c:v>220</c:v>
                </c:pt>
                <c:pt idx="72">
                  <c:v>282</c:v>
                </c:pt>
                <c:pt idx="73">
                  <c:v>98</c:v>
                </c:pt>
                <c:pt idx="74">
                  <c:v>98</c:v>
                </c:pt>
                <c:pt idx="75">
                  <c:v>136</c:v>
                </c:pt>
                <c:pt idx="76">
                  <c:v>242</c:v>
                </c:pt>
                <c:pt idx="77">
                  <c:v>123</c:v>
                </c:pt>
                <c:pt idx="78">
                  <c:v>172</c:v>
                </c:pt>
                <c:pt idx="79">
                  <c:v>119</c:v>
                </c:pt>
                <c:pt idx="80">
                  <c:v>203</c:v>
                </c:pt>
                <c:pt idx="81">
                  <c:v>92</c:v>
                </c:pt>
                <c:pt idx="82">
                  <c:v>100</c:v>
                </c:pt>
                <c:pt idx="83">
                  <c:v>39</c:v>
                </c:pt>
                <c:pt idx="84">
                  <c:v>62</c:v>
                </c:pt>
                <c:pt idx="85">
                  <c:v>71</c:v>
                </c:pt>
                <c:pt idx="86">
                  <c:v>28</c:v>
                </c:pt>
                <c:pt idx="87">
                  <c:v>5</c:v>
                </c:pt>
                <c:pt idx="88">
                  <c:v>41</c:v>
                </c:pt>
                <c:pt idx="89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778992"/>
        <c:axId val="115778208"/>
      </c:lineChart>
      <c:catAx>
        <c:axId val="11577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15778208"/>
        <c:crosses val="autoZero"/>
        <c:auto val="1"/>
        <c:lblAlgn val="ctr"/>
        <c:lblOffset val="100"/>
        <c:tickLblSkip val="10"/>
        <c:noMultiLvlLbl val="0"/>
      </c:catAx>
      <c:valAx>
        <c:axId val="1157782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5778992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1749.8561</c:v>
                </c:pt>
                <c:pt idx="1">
                  <c:v>1563.9394</c:v>
                </c:pt>
                <c:pt idx="2">
                  <c:v>3436.9750000000004</c:v>
                </c:pt>
                <c:pt idx="3">
                  <c:v>3217.1254000000004</c:v>
                </c:pt>
                <c:pt idx="4">
                  <c:v>4822.9379000000008</c:v>
                </c:pt>
                <c:pt idx="5">
                  <c:v>8814.4494000000013</c:v>
                </c:pt>
                <c:pt idx="6">
                  <c:v>11329.8863</c:v>
                </c:pt>
                <c:pt idx="7">
                  <c:v>9593.5120999999999</c:v>
                </c:pt>
                <c:pt idx="8">
                  <c:v>9594.7385999999988</c:v>
                </c:pt>
                <c:pt idx="9">
                  <c:v>10122.237599999999</c:v>
                </c:pt>
                <c:pt idx="10">
                  <c:v>9156.1455999999998</c:v>
                </c:pt>
                <c:pt idx="11">
                  <c:v>11386.465700000001</c:v>
                </c:pt>
                <c:pt idx="12">
                  <c:v>15593.082899999999</c:v>
                </c:pt>
                <c:pt idx="13">
                  <c:v>14050.112800000001</c:v>
                </c:pt>
                <c:pt idx="14">
                  <c:v>13511.747000000001</c:v>
                </c:pt>
                <c:pt idx="15">
                  <c:v>9006.6046999999999</c:v>
                </c:pt>
                <c:pt idx="16">
                  <c:v>31916.5808</c:v>
                </c:pt>
                <c:pt idx="17">
                  <c:v>11694.7947</c:v>
                </c:pt>
                <c:pt idx="18">
                  <c:v>69856.116699999999</c:v>
                </c:pt>
                <c:pt idx="19">
                  <c:v>46545.2359</c:v>
                </c:pt>
                <c:pt idx="20">
                  <c:v>52492.310600000004</c:v>
                </c:pt>
                <c:pt idx="21">
                  <c:v>65054.901299999998</c:v>
                </c:pt>
                <c:pt idx="22">
                  <c:v>75186.108900000007</c:v>
                </c:pt>
                <c:pt idx="23">
                  <c:v>44267.285400000008</c:v>
                </c:pt>
                <c:pt idx="24">
                  <c:v>54954.671399999999</c:v>
                </c:pt>
                <c:pt idx="25">
                  <c:v>32822.534399999997</c:v>
                </c:pt>
                <c:pt idx="26">
                  <c:v>56536.269400000005</c:v>
                </c:pt>
                <c:pt idx="27">
                  <c:v>28055.590100000001</c:v>
                </c:pt>
                <c:pt idx="28">
                  <c:v>44049.678</c:v>
                </c:pt>
                <c:pt idx="29">
                  <c:v>38797.257799999999</c:v>
                </c:pt>
                <c:pt idx="30">
                  <c:v>39833.397300000004</c:v>
                </c:pt>
                <c:pt idx="31">
                  <c:v>44499.426800000001</c:v>
                </c:pt>
                <c:pt idx="32">
                  <c:v>29417.1548</c:v>
                </c:pt>
                <c:pt idx="33">
                  <c:v>34446.718399999998</c:v>
                </c:pt>
                <c:pt idx="34">
                  <c:v>29593.220599999997</c:v>
                </c:pt>
                <c:pt idx="35">
                  <c:v>35997.081500000008</c:v>
                </c:pt>
                <c:pt idx="36">
                  <c:v>23241.725299999998</c:v>
                </c:pt>
                <c:pt idx="37">
                  <c:v>36018.2497</c:v>
                </c:pt>
                <c:pt idx="38">
                  <c:v>41938.6158</c:v>
                </c:pt>
                <c:pt idx="39">
                  <c:v>24629.4378</c:v>
                </c:pt>
                <c:pt idx="40">
                  <c:v>30362.376899999999</c:v>
                </c:pt>
                <c:pt idx="41">
                  <c:v>19718.136400000003</c:v>
                </c:pt>
                <c:pt idx="42">
                  <c:v>13922.301600000001</c:v>
                </c:pt>
                <c:pt idx="43">
                  <c:v>26292.555800000002</c:v>
                </c:pt>
                <c:pt idx="44">
                  <c:v>13571.024300000001</c:v>
                </c:pt>
                <c:pt idx="45">
                  <c:v>58567.300199999998</c:v>
                </c:pt>
                <c:pt idx="46">
                  <c:v>27199.726999999999</c:v>
                </c:pt>
                <c:pt idx="47">
                  <c:v>19486.4539</c:v>
                </c:pt>
                <c:pt idx="48">
                  <c:v>10510.8845</c:v>
                </c:pt>
                <c:pt idx="49">
                  <c:v>13485.471500000001</c:v>
                </c:pt>
                <c:pt idx="50">
                  <c:v>12578.897500000001</c:v>
                </c:pt>
                <c:pt idx="51">
                  <c:v>7213.9838999999993</c:v>
                </c:pt>
                <c:pt idx="52">
                  <c:v>15913.1338</c:v>
                </c:pt>
                <c:pt idx="53">
                  <c:v>11756.250599999999</c:v>
                </c:pt>
                <c:pt idx="54">
                  <c:v>17745.181499999999</c:v>
                </c:pt>
                <c:pt idx="55">
                  <c:v>17102.0684</c:v>
                </c:pt>
                <c:pt idx="56">
                  <c:v>4920.5766000000003</c:v>
                </c:pt>
                <c:pt idx="57">
                  <c:v>6304.8389000000006</c:v>
                </c:pt>
                <c:pt idx="58">
                  <c:v>8214.6607000000004</c:v>
                </c:pt>
                <c:pt idx="59">
                  <c:v>9918.0873000000011</c:v>
                </c:pt>
                <c:pt idx="60">
                  <c:v>8470.482</c:v>
                </c:pt>
                <c:pt idx="61">
                  <c:v>3640.9245000000001</c:v>
                </c:pt>
                <c:pt idx="62">
                  <c:v>5550.2362000000003</c:v>
                </c:pt>
                <c:pt idx="63">
                  <c:v>4767.6255000000001</c:v>
                </c:pt>
                <c:pt idx="64">
                  <c:v>4111.7543999999998</c:v>
                </c:pt>
                <c:pt idx="65">
                  <c:v>5529.9278999999997</c:v>
                </c:pt>
                <c:pt idx="66">
                  <c:v>3616.7132999999999</c:v>
                </c:pt>
                <c:pt idx="67">
                  <c:v>6548.6219999999994</c:v>
                </c:pt>
                <c:pt idx="68">
                  <c:v>1439.4110000000001</c:v>
                </c:pt>
                <c:pt idx="69">
                  <c:v>3474.9076999999997</c:v>
                </c:pt>
                <c:pt idx="70">
                  <c:v>4436.3371999999999</c:v>
                </c:pt>
                <c:pt idx="71">
                  <c:v>2496.1585</c:v>
                </c:pt>
                <c:pt idx="72">
                  <c:v>3398.3818000000001</c:v>
                </c:pt>
                <c:pt idx="73">
                  <c:v>4769.9728999999998</c:v>
                </c:pt>
                <c:pt idx="74">
                  <c:v>7155.2539999999999</c:v>
                </c:pt>
                <c:pt idx="75">
                  <c:v>5734.0851000000002</c:v>
                </c:pt>
                <c:pt idx="76">
                  <c:v>4475.7957000000006</c:v>
                </c:pt>
                <c:pt idx="77">
                  <c:v>10738.303400000001</c:v>
                </c:pt>
                <c:pt idx="78">
                  <c:v>3202.0333999999998</c:v>
                </c:pt>
                <c:pt idx="79">
                  <c:v>2215.9219000000003</c:v>
                </c:pt>
                <c:pt idx="80">
                  <c:v>2565.0070999999998</c:v>
                </c:pt>
                <c:pt idx="81">
                  <c:v>2435.2476999999999</c:v>
                </c:pt>
                <c:pt idx="82">
                  <c:v>1395.6977999999999</c:v>
                </c:pt>
                <c:pt idx="83">
                  <c:v>917.6108999999999</c:v>
                </c:pt>
                <c:pt idx="84">
                  <c:v>504.58879999999999</c:v>
                </c:pt>
                <c:pt idx="85">
                  <c:v>1985.5875999999998</c:v>
                </c:pt>
                <c:pt idx="86">
                  <c:v>217.6002</c:v>
                </c:pt>
                <c:pt idx="87">
                  <c:v>1132.8924</c:v>
                </c:pt>
                <c:pt idx="88">
                  <c:v>343.47710000000001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60284</c:v>
                </c:pt>
                <c:pt idx="1">
                  <c:v>19033</c:v>
                </c:pt>
                <c:pt idx="2">
                  <c:v>23659</c:v>
                </c:pt>
                <c:pt idx="3">
                  <c:v>24844</c:v>
                </c:pt>
                <c:pt idx="4">
                  <c:v>25232</c:v>
                </c:pt>
                <c:pt idx="5">
                  <c:v>25835</c:v>
                </c:pt>
                <c:pt idx="6">
                  <c:v>25718</c:v>
                </c:pt>
                <c:pt idx="7">
                  <c:v>23148</c:v>
                </c:pt>
                <c:pt idx="8">
                  <c:v>19472</c:v>
                </c:pt>
                <c:pt idx="9">
                  <c:v>17632</c:v>
                </c:pt>
                <c:pt idx="10">
                  <c:v>15304</c:v>
                </c:pt>
                <c:pt idx="11">
                  <c:v>14296</c:v>
                </c:pt>
                <c:pt idx="12">
                  <c:v>13696</c:v>
                </c:pt>
                <c:pt idx="13">
                  <c:v>12323</c:v>
                </c:pt>
                <c:pt idx="14">
                  <c:v>11845</c:v>
                </c:pt>
                <c:pt idx="15">
                  <c:v>10206</c:v>
                </c:pt>
                <c:pt idx="16">
                  <c:v>9928</c:v>
                </c:pt>
                <c:pt idx="17">
                  <c:v>9690</c:v>
                </c:pt>
                <c:pt idx="18">
                  <c:v>70159</c:v>
                </c:pt>
                <c:pt idx="19">
                  <c:v>30540</c:v>
                </c:pt>
                <c:pt idx="20">
                  <c:v>32908</c:v>
                </c:pt>
                <c:pt idx="21">
                  <c:v>54051</c:v>
                </c:pt>
                <c:pt idx="22">
                  <c:v>53807</c:v>
                </c:pt>
                <c:pt idx="23">
                  <c:v>55287</c:v>
                </c:pt>
                <c:pt idx="24">
                  <c:v>36683</c:v>
                </c:pt>
                <c:pt idx="25">
                  <c:v>47045</c:v>
                </c:pt>
                <c:pt idx="26">
                  <c:v>58540</c:v>
                </c:pt>
                <c:pt idx="27">
                  <c:v>36354</c:v>
                </c:pt>
                <c:pt idx="28">
                  <c:v>43422</c:v>
                </c:pt>
                <c:pt idx="29">
                  <c:v>55273</c:v>
                </c:pt>
                <c:pt idx="30">
                  <c:v>39212</c:v>
                </c:pt>
                <c:pt idx="31">
                  <c:v>47839</c:v>
                </c:pt>
                <c:pt idx="32">
                  <c:v>46925</c:v>
                </c:pt>
                <c:pt idx="33">
                  <c:v>31747</c:v>
                </c:pt>
                <c:pt idx="34">
                  <c:v>34272</c:v>
                </c:pt>
                <c:pt idx="35">
                  <c:v>38712</c:v>
                </c:pt>
                <c:pt idx="36">
                  <c:v>33035</c:v>
                </c:pt>
                <c:pt idx="37">
                  <c:v>29112</c:v>
                </c:pt>
                <c:pt idx="38">
                  <c:v>25306</c:v>
                </c:pt>
                <c:pt idx="39">
                  <c:v>32554</c:v>
                </c:pt>
                <c:pt idx="40">
                  <c:v>39182</c:v>
                </c:pt>
                <c:pt idx="41">
                  <c:v>27811</c:v>
                </c:pt>
                <c:pt idx="42">
                  <c:v>30450</c:v>
                </c:pt>
                <c:pt idx="43">
                  <c:v>21158</c:v>
                </c:pt>
                <c:pt idx="44">
                  <c:v>19100</c:v>
                </c:pt>
                <c:pt idx="45">
                  <c:v>32280</c:v>
                </c:pt>
                <c:pt idx="46">
                  <c:v>19755</c:v>
                </c:pt>
                <c:pt idx="47">
                  <c:v>19893</c:v>
                </c:pt>
                <c:pt idx="48">
                  <c:v>22670</c:v>
                </c:pt>
                <c:pt idx="49">
                  <c:v>18579</c:v>
                </c:pt>
                <c:pt idx="50">
                  <c:v>27288</c:v>
                </c:pt>
                <c:pt idx="51">
                  <c:v>12912</c:v>
                </c:pt>
                <c:pt idx="52">
                  <c:v>16485</c:v>
                </c:pt>
                <c:pt idx="53">
                  <c:v>13086</c:v>
                </c:pt>
                <c:pt idx="54">
                  <c:v>19238</c:v>
                </c:pt>
                <c:pt idx="55">
                  <c:v>12653</c:v>
                </c:pt>
                <c:pt idx="56">
                  <c:v>10786</c:v>
                </c:pt>
                <c:pt idx="57">
                  <c:v>11558</c:v>
                </c:pt>
                <c:pt idx="58">
                  <c:v>12744</c:v>
                </c:pt>
                <c:pt idx="59">
                  <c:v>8165</c:v>
                </c:pt>
                <c:pt idx="60">
                  <c:v>8827</c:v>
                </c:pt>
                <c:pt idx="61">
                  <c:v>10132</c:v>
                </c:pt>
                <c:pt idx="62">
                  <c:v>11566</c:v>
                </c:pt>
                <c:pt idx="63">
                  <c:v>8359</c:v>
                </c:pt>
                <c:pt idx="64">
                  <c:v>7491</c:v>
                </c:pt>
                <c:pt idx="65">
                  <c:v>6174</c:v>
                </c:pt>
                <c:pt idx="66">
                  <c:v>5838</c:v>
                </c:pt>
                <c:pt idx="67">
                  <c:v>6094</c:v>
                </c:pt>
                <c:pt idx="68">
                  <c:v>6768</c:v>
                </c:pt>
                <c:pt idx="69">
                  <c:v>5656</c:v>
                </c:pt>
                <c:pt idx="70">
                  <c:v>8301</c:v>
                </c:pt>
                <c:pt idx="71">
                  <c:v>4106</c:v>
                </c:pt>
                <c:pt idx="72">
                  <c:v>4012</c:v>
                </c:pt>
                <c:pt idx="73">
                  <c:v>4506</c:v>
                </c:pt>
                <c:pt idx="74">
                  <c:v>4342</c:v>
                </c:pt>
                <c:pt idx="75">
                  <c:v>3899</c:v>
                </c:pt>
                <c:pt idx="76">
                  <c:v>4424</c:v>
                </c:pt>
                <c:pt idx="77">
                  <c:v>3513</c:v>
                </c:pt>
                <c:pt idx="78">
                  <c:v>2983</c:v>
                </c:pt>
                <c:pt idx="79">
                  <c:v>1799</c:v>
                </c:pt>
                <c:pt idx="80">
                  <c:v>1717</c:v>
                </c:pt>
                <c:pt idx="81">
                  <c:v>2331</c:v>
                </c:pt>
                <c:pt idx="82">
                  <c:v>2043</c:v>
                </c:pt>
                <c:pt idx="83">
                  <c:v>1548</c:v>
                </c:pt>
                <c:pt idx="84">
                  <c:v>1661</c:v>
                </c:pt>
                <c:pt idx="85">
                  <c:v>1361</c:v>
                </c:pt>
                <c:pt idx="86">
                  <c:v>1003</c:v>
                </c:pt>
                <c:pt idx="87">
                  <c:v>1037</c:v>
                </c:pt>
                <c:pt idx="88">
                  <c:v>1170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780560"/>
        <c:axId val="115779384"/>
      </c:lineChart>
      <c:catAx>
        <c:axId val="11578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15779384"/>
        <c:crosses val="autoZero"/>
        <c:auto val="1"/>
        <c:lblAlgn val="ctr"/>
        <c:lblOffset val="100"/>
        <c:tickLblSkip val="10"/>
        <c:noMultiLvlLbl val="0"/>
      </c:catAx>
      <c:valAx>
        <c:axId val="115779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5780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W101"/>
  <sheetViews>
    <sheetView workbookViewId="0">
      <selection activeCell="J104" sqref="J10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261</v>
      </c>
    </row>
    <row r="3" spans="1:23" x14ac:dyDescent="0.25">
      <c r="A3" t="s">
        <v>253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ht="15.75" r="9" spans="1:23" thickBot="1" x14ac:dyDescent="0.3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265</v>
      </c>
      <c r="N9" s="32"/>
      <c r="O9" s="32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281</v>
      </c>
      <c r="M10" s="31"/>
      <c r="N10" s="37" t="s">
        <v>213</v>
      </c>
      <c r="O10" s="37" t="s">
        <v>281</v>
      </c>
    </row>
    <row r="11" spans="1:23" x14ac:dyDescent="0.25">
      <c r="A11">
        <v>0</v>
      </c>
      <c r="B11" s="77" t="n">
        <v>13577.9659</v>
      </c>
      <c r="C11" s="77" t="n">
        <v>6018.6153</v>
      </c>
      <c r="D11" s="77" t="n">
        <v>667.7487</v>
      </c>
      <c r="E11" s="77">
        <f>SUM(B11:D11)</f>
        <v>20264.329900000001</v>
      </c>
      <c r="G11">
        <v>0</v>
      </c>
      <c r="H11" s="87" t="n">
        <v>100563.0</v>
      </c>
      <c r="I11" s="87" t="n">
        <v>34790.0</v>
      </c>
      <c r="J11" s="87" t="n">
        <v>10662.0</v>
      </c>
      <c r="K11" s="77">
        <f>SUM(H11:J11)</f>
        <v>151430</v>
      </c>
      <c r="M11" s="32" t="s">
        <v>9</v>
      </c>
      <c r="N11" s="84" t="n">
        <v>12.702560755941155</v>
      </c>
      <c r="O11" s="84" t="n">
        <v>11.602239732018669</v>
      </c>
    </row>
    <row r="12" spans="1:23" x14ac:dyDescent="0.25">
      <c r="A12">
        <v>1</v>
      </c>
      <c r="B12" s="77" t="n">
        <v>16417.4791</v>
      </c>
      <c r="C12" s="77" t="n">
        <v>4526.9610999999995</v>
      </c>
      <c r="D12" s="77" t="n">
        <v>553.6359</v>
      </c>
      <c r="E12" s="77">
        <f ref="E12:E75" si="0" t="shared">SUM(B12:D12)</f>
        <v>21498.076100000002</v>
      </c>
      <c r="G12">
        <v>1</v>
      </c>
      <c r="H12" s="87" t="n">
        <v>62010.0</v>
      </c>
      <c r="I12" s="87" t="n">
        <v>20872.0</v>
      </c>
      <c r="J12" s="87" t="n">
        <v>6033.0</v>
      </c>
      <c r="K12" s="77">
        <f ref="K12:K75" si="1" t="shared">SUM(H12:J12)</f>
        <v>86557</v>
      </c>
      <c r="M12" s="32" t="s">
        <v>10</v>
      </c>
      <c r="N12" s="84" t="n">
        <v>9.282596143354432</v>
      </c>
      <c r="O12" s="84" t="n">
        <v>10.870197338263884</v>
      </c>
    </row>
    <row r="13" spans="1:23" x14ac:dyDescent="0.25">
      <c r="A13">
        <v>2</v>
      </c>
      <c r="B13" s="77" t="n">
        <v>30547.1067</v>
      </c>
      <c r="C13" s="77" t="n">
        <v>8433.3843</v>
      </c>
      <c r="D13" s="77" t="n">
        <v>423.4331</v>
      </c>
      <c r="E13" s="77">
        <f si="0" t="shared"/>
        <v>39403.924100000004</v>
      </c>
      <c r="G13">
        <v>2</v>
      </c>
      <c r="H13" s="87" t="n">
        <v>39255.0</v>
      </c>
      <c r="I13" s="87" t="n">
        <v>11575.0</v>
      </c>
      <c r="J13" s="87" t="n">
        <v>3177.0</v>
      </c>
      <c r="K13" s="77">
        <f si="1" t="shared"/>
        <v>50296</v>
      </c>
      <c r="M13" s="34" t="s">
        <v>11</v>
      </c>
      <c r="N13" s="85" t="n">
        <v>10.444926044299041</v>
      </c>
      <c r="O13" s="85" t="n">
        <v>9.657046285536394</v>
      </c>
    </row>
    <row ht="15.75" r="14" spans="1:23" thickBot="1" x14ac:dyDescent="0.3">
      <c r="A14">
        <v>3</v>
      </c>
      <c r="B14" s="77" t="n">
        <v>48136.7747</v>
      </c>
      <c r="C14" s="77" t="n">
        <v>17205.886</v>
      </c>
      <c r="D14" s="77" t="n">
        <v>2181.5761</v>
      </c>
      <c r="E14" s="77">
        <f si="0" t="shared"/>
        <v>67524.236799999999</v>
      </c>
      <c r="G14">
        <v>3</v>
      </c>
      <c r="H14" s="87" t="n">
        <v>28893.0</v>
      </c>
      <c r="I14" s="87" t="n">
        <v>8315.0</v>
      </c>
      <c r="J14" s="87" t="n">
        <v>2258.0</v>
      </c>
      <c r="K14" s="77">
        <f si="1" t="shared"/>
        <v>35993</v>
      </c>
      <c r="M14" s="30" t="s">
        <v>4</v>
      </c>
      <c r="N14" s="86" t="n">
        <v>12.07290509524561</v>
      </c>
      <c r="O14" s="86" t="n">
        <v>11.373275819470662</v>
      </c>
      <c r="S14" s="9"/>
    </row>
    <row r="15" spans="1:23" x14ac:dyDescent="0.25">
      <c r="A15">
        <v>4</v>
      </c>
      <c r="B15" s="77" t="n">
        <v>110467.3749</v>
      </c>
      <c r="C15" s="77" t="n">
        <v>32819.7429</v>
      </c>
      <c r="D15" s="77" t="n">
        <v>3029.9595</v>
      </c>
      <c r="E15" s="77">
        <f si="0" t="shared"/>
        <v>146317.0773</v>
      </c>
      <c r="G15">
        <v>4</v>
      </c>
      <c r="H15" s="87" t="n">
        <v>94186.0</v>
      </c>
      <c r="I15" s="87" t="n">
        <v>30705.0</v>
      </c>
      <c r="J15" s="87" t="n">
        <v>8396.0</v>
      </c>
      <c r="K15" s="77">
        <f si="1" t="shared"/>
        <v>119050</v>
      </c>
      <c r="W15" s="9"/>
    </row>
    <row r="16" spans="1:23" x14ac:dyDescent="0.25">
      <c r="A16">
        <v>5</v>
      </c>
      <c r="B16" s="77" t="n">
        <v>96104.919</v>
      </c>
      <c r="C16" s="77" t="n">
        <v>27881.9996</v>
      </c>
      <c r="D16" s="77" t="n">
        <v>3715.9527</v>
      </c>
      <c r="E16" s="77">
        <f si="0" t="shared"/>
        <v>127702.87129999998</v>
      </c>
      <c r="G16">
        <v>5</v>
      </c>
      <c r="H16" s="87" t="n">
        <v>97774.0</v>
      </c>
      <c r="I16" s="87" t="n">
        <v>24524.0</v>
      </c>
      <c r="J16" s="87" t="n">
        <v>7364.0</v>
      </c>
      <c r="K16" s="77">
        <f si="1" t="shared"/>
        <v>110167</v>
      </c>
      <c r="W16" s="9"/>
    </row>
    <row r="17" spans="1:23" x14ac:dyDescent="0.25">
      <c r="A17">
        <v>6</v>
      </c>
      <c r="B17" s="77" t="n">
        <v>94775.943</v>
      </c>
      <c r="C17" s="77" t="n">
        <v>24184.6784</v>
      </c>
      <c r="D17" s="77" t="n">
        <v>8947.4013</v>
      </c>
      <c r="E17" s="77">
        <f si="0" t="shared"/>
        <v>127908.0227</v>
      </c>
      <c r="G17">
        <v>6</v>
      </c>
      <c r="H17" s="87" t="n">
        <v>97765.0</v>
      </c>
      <c r="I17" s="87" t="n">
        <v>21619.0</v>
      </c>
      <c r="J17" s="87" t="n">
        <v>6625.0</v>
      </c>
      <c r="K17" s="77">
        <f si="1" t="shared"/>
        <v>117407</v>
      </c>
      <c r="W17" s="9"/>
    </row>
    <row r="18" spans="1:23" x14ac:dyDescent="0.25">
      <c r="A18">
        <v>7</v>
      </c>
      <c r="B18" s="77" t="n">
        <v>69450.041</v>
      </c>
      <c r="C18" s="77" t="n">
        <v>13457.1823</v>
      </c>
      <c r="D18" s="77" t="n">
        <v>2928.9754</v>
      </c>
      <c r="E18" s="77">
        <f si="0" t="shared"/>
        <v>85836.198699999994</v>
      </c>
      <c r="G18">
        <v>7</v>
      </c>
      <c r="H18" s="87" t="n">
        <v>75345.0</v>
      </c>
      <c r="I18" s="87" t="n">
        <v>16694.0</v>
      </c>
      <c r="J18" s="87" t="n">
        <v>4894.0</v>
      </c>
      <c r="K18" s="77">
        <f si="1" t="shared"/>
        <v>84715</v>
      </c>
      <c r="W18" s="9"/>
    </row>
    <row r="19" spans="1:23" x14ac:dyDescent="0.25">
      <c r="A19">
        <v>8</v>
      </c>
      <c r="B19" s="77" t="n">
        <v>75065.7629</v>
      </c>
      <c r="C19" s="77" t="n">
        <v>18367.1854</v>
      </c>
      <c r="D19" s="77" t="n">
        <v>3314.6285</v>
      </c>
      <c r="E19" s="77">
        <f si="0" t="shared"/>
        <v>96747.57680000001</v>
      </c>
      <c r="G19">
        <v>8</v>
      </c>
      <c r="H19" s="87" t="n">
        <v>86001.0</v>
      </c>
      <c r="I19" s="87" t="n">
        <v>16697.0</v>
      </c>
      <c r="J19" s="87" t="n">
        <v>4879.0</v>
      </c>
      <c r="K19" s="77">
        <f si="1" t="shared"/>
        <v>98862</v>
      </c>
      <c r="W19" s="9"/>
    </row>
    <row r="20" spans="1:23" x14ac:dyDescent="0.25">
      <c r="A20">
        <v>9</v>
      </c>
      <c r="B20" s="77" t="n">
        <v>53774.4664</v>
      </c>
      <c r="C20" s="77" t="n">
        <v>10951.333</v>
      </c>
      <c r="D20" s="77" t="n">
        <v>1429.4754</v>
      </c>
      <c r="E20" s="77">
        <f si="0" t="shared"/>
        <v>66155.274799999999</v>
      </c>
      <c r="G20">
        <v>9</v>
      </c>
      <c r="H20" s="87" t="n">
        <v>86082.0</v>
      </c>
      <c r="I20" s="87" t="n">
        <v>16776.0</v>
      </c>
      <c r="J20" s="87" t="n">
        <v>5081.0</v>
      </c>
      <c r="K20" s="77">
        <f si="1" t="shared"/>
        <v>78820</v>
      </c>
      <c r="W20" s="9"/>
    </row>
    <row r="21" spans="1:23" x14ac:dyDescent="0.25">
      <c r="A21">
        <v>10</v>
      </c>
      <c r="B21" s="77" t="n">
        <v>74298.2931</v>
      </c>
      <c r="C21" s="77" t="n">
        <v>20573.4458</v>
      </c>
      <c r="D21" s="77" t="n">
        <v>7526.9539</v>
      </c>
      <c r="E21" s="77">
        <f si="0" t="shared"/>
        <v>102398.69279999999</v>
      </c>
      <c r="G21">
        <v>10</v>
      </c>
      <c r="H21" s="87" t="n">
        <v>45916.0</v>
      </c>
      <c r="I21" s="87" t="n">
        <v>8505.0</v>
      </c>
      <c r="J21" s="87" t="n">
        <v>2485.0</v>
      </c>
      <c r="K21" s="77">
        <f si="1" t="shared"/>
        <v>58339</v>
      </c>
      <c r="W21" s="9"/>
    </row>
    <row r="22" spans="1:23" x14ac:dyDescent="0.25">
      <c r="A22">
        <v>11</v>
      </c>
      <c r="B22" s="77" t="n">
        <v>44184.7673</v>
      </c>
      <c r="C22" s="77" t="n">
        <v>6478.6017</v>
      </c>
      <c r="D22" s="77" t="n">
        <v>1326.4511</v>
      </c>
      <c r="E22" s="77">
        <f si="0" t="shared"/>
        <v>51989.820099999997</v>
      </c>
      <c r="G22">
        <v>11</v>
      </c>
      <c r="H22" s="87" t="n">
        <v>53637.0</v>
      </c>
      <c r="I22" s="87" t="n">
        <v>10336.0</v>
      </c>
      <c r="J22" s="87" t="n">
        <v>2721.0</v>
      </c>
      <c r="K22" s="77">
        <f si="1" t="shared"/>
        <v>55501</v>
      </c>
      <c r="W22" s="9"/>
    </row>
    <row r="23" spans="1:23" x14ac:dyDescent="0.25">
      <c r="A23">
        <v>12</v>
      </c>
      <c r="B23" s="77" t="n">
        <v>36714.7494</v>
      </c>
      <c r="C23" s="77" t="n">
        <v>6172.3182</v>
      </c>
      <c r="D23" s="77" t="n">
        <v>1556.764</v>
      </c>
      <c r="E23" s="77">
        <f si="0" t="shared"/>
        <v>44443.831600000005</v>
      </c>
      <c r="G23">
        <v>12</v>
      </c>
      <c r="H23" s="87" t="n">
        <v>55535.0</v>
      </c>
      <c r="I23" s="87" t="n">
        <v>9746.0</v>
      </c>
      <c r="J23" s="87" t="n">
        <v>2606.0</v>
      </c>
      <c r="K23" s="77">
        <f si="1" t="shared"/>
        <v>63690</v>
      </c>
      <c r="W23" s="9"/>
    </row>
    <row r="24" spans="1:23" x14ac:dyDescent="0.25">
      <c r="A24">
        <v>13</v>
      </c>
      <c r="B24" s="77" t="n">
        <v>42048.2069</v>
      </c>
      <c r="C24" s="77" t="n">
        <v>4861.9568</v>
      </c>
      <c r="D24" s="77" t="n">
        <v>2091.6053</v>
      </c>
      <c r="E24" s="77">
        <f si="0" t="shared"/>
        <v>49001.769</v>
      </c>
      <c r="G24">
        <v>13</v>
      </c>
      <c r="H24" s="87" t="n">
        <v>58632.0</v>
      </c>
      <c r="I24" s="87" t="n">
        <v>11724.0</v>
      </c>
      <c r="J24" s="87" t="n">
        <v>2889.0</v>
      </c>
      <c r="K24" s="77">
        <f si="1" t="shared"/>
        <v>72427</v>
      </c>
      <c r="W24" s="9"/>
    </row>
    <row r="25" spans="1:23" x14ac:dyDescent="0.25">
      <c r="A25">
        <v>14</v>
      </c>
      <c r="B25" s="77" t="n">
        <v>27911.8554</v>
      </c>
      <c r="C25" s="77" t="n">
        <v>4189.3711</v>
      </c>
      <c r="D25" s="77" t="n">
        <v>824.3308</v>
      </c>
      <c r="E25" s="77">
        <f si="0" t="shared"/>
        <v>32925.5573</v>
      </c>
      <c r="G25">
        <v>14</v>
      </c>
      <c r="H25" s="87" t="n">
        <v>37060.0</v>
      </c>
      <c r="I25" s="87" t="n">
        <v>7358.0</v>
      </c>
      <c r="J25" s="87" t="n">
        <v>2097.0</v>
      </c>
      <c r="K25" s="77">
        <f si="1" t="shared"/>
        <v>47364</v>
      </c>
      <c r="W25" s="9"/>
    </row>
    <row r="26" spans="1:23" x14ac:dyDescent="0.25">
      <c r="A26">
        <v>15</v>
      </c>
      <c r="B26" s="77" t="n">
        <v>43795.48</v>
      </c>
      <c r="C26" s="77" t="n">
        <v>9687.0343</v>
      </c>
      <c r="D26" s="77" t="n">
        <v>3734.678</v>
      </c>
      <c r="E26" s="77">
        <f si="0" t="shared"/>
        <v>57217.192300000002</v>
      </c>
      <c r="G26">
        <v>15</v>
      </c>
      <c r="H26" s="87" t="n">
        <v>42684.0</v>
      </c>
      <c r="I26" s="87" t="n">
        <v>7857.0</v>
      </c>
      <c r="J26" s="87" t="n">
        <v>2165.0</v>
      </c>
      <c r="K26" s="77">
        <f si="1" t="shared"/>
        <v>50090</v>
      </c>
      <c r="W26" s="9"/>
    </row>
    <row r="27" spans="1:23" x14ac:dyDescent="0.25">
      <c r="A27">
        <v>16</v>
      </c>
      <c r="B27" s="77" t="n">
        <v>47275.2221</v>
      </c>
      <c r="C27" s="77" t="n">
        <v>8527.8348</v>
      </c>
      <c r="D27" s="77" t="n">
        <v>1588.3517</v>
      </c>
      <c r="E27" s="77">
        <f si="0" t="shared"/>
        <v>57391.408599999995</v>
      </c>
      <c r="G27">
        <v>16</v>
      </c>
      <c r="H27" s="87" t="n">
        <v>45815.0</v>
      </c>
      <c r="I27" s="87" t="n">
        <v>8420.0</v>
      </c>
      <c r="J27" s="87" t="n">
        <v>2280.0</v>
      </c>
      <c r="K27" s="77">
        <f si="1" t="shared"/>
        <v>55990</v>
      </c>
      <c r="W27" s="9"/>
    </row>
    <row r="28" spans="1:23" x14ac:dyDescent="0.25">
      <c r="A28">
        <v>17</v>
      </c>
      <c r="B28" s="77" t="n">
        <v>41405.6304</v>
      </c>
      <c r="C28" s="77" t="n">
        <v>7084.5149</v>
      </c>
      <c r="D28" s="77" t="n">
        <v>281.2962</v>
      </c>
      <c r="E28" s="77">
        <f si="0" t="shared"/>
        <v>48771.441500000001</v>
      </c>
      <c r="G28">
        <v>17</v>
      </c>
      <c r="H28" s="87" t="n">
        <v>30415.0</v>
      </c>
      <c r="I28" s="87" t="n">
        <v>6116.0</v>
      </c>
      <c r="J28" s="87" t="n">
        <v>1422.0</v>
      </c>
      <c r="K28" s="77">
        <f si="1" t="shared"/>
        <v>40392</v>
      </c>
      <c r="W28" s="9"/>
    </row>
    <row r="29" spans="1:23" x14ac:dyDescent="0.25">
      <c r="A29">
        <v>18</v>
      </c>
      <c r="B29" s="77" t="n">
        <v>43232.2226</v>
      </c>
      <c r="C29" s="77" t="n">
        <v>6231.8757000000005</v>
      </c>
      <c r="D29" s="77" t="n">
        <v>1496.6290999999999</v>
      </c>
      <c r="E29" s="77">
        <f si="0" t="shared"/>
        <v>50960.727399999996</v>
      </c>
      <c r="G29">
        <v>18</v>
      </c>
      <c r="H29" s="87" t="n">
        <v>32867.0</v>
      </c>
      <c r="I29" s="87" t="n">
        <v>6259.0</v>
      </c>
      <c r="J29" s="87" t="n">
        <v>1452.0</v>
      </c>
      <c r="K29" s="77">
        <f si="1" t="shared"/>
        <v>47318</v>
      </c>
      <c r="W29" s="9"/>
    </row>
    <row r="30" spans="1:23" x14ac:dyDescent="0.25">
      <c r="A30">
        <v>19</v>
      </c>
      <c r="B30" s="77" t="n">
        <v>26729.1799</v>
      </c>
      <c r="C30" s="77" t="n">
        <v>2294.7582</v>
      </c>
      <c r="D30" s="77" t="n">
        <v>158.2176</v>
      </c>
      <c r="E30" s="77">
        <f si="0" t="shared"/>
        <v>29182.155699999999</v>
      </c>
      <c r="G30">
        <v>19</v>
      </c>
      <c r="H30" s="87" t="n">
        <v>23032.0</v>
      </c>
      <c r="I30" s="87" t="n">
        <v>4286.0</v>
      </c>
      <c r="J30" s="87" t="n">
        <v>1159.0</v>
      </c>
      <c r="K30" s="77">
        <f si="1" t="shared"/>
        <v>35294</v>
      </c>
      <c r="W30" s="9"/>
    </row>
    <row r="31" spans="1:23" x14ac:dyDescent="0.25">
      <c r="A31">
        <v>20</v>
      </c>
      <c r="B31" s="77" t="n">
        <v>21173.2638</v>
      </c>
      <c r="C31" s="77" t="n">
        <v>1642.6358</v>
      </c>
      <c r="D31" s="77" t="n">
        <v>431.80449999999996</v>
      </c>
      <c r="E31" s="77">
        <f si="0" t="shared"/>
        <v>23247.704099999999</v>
      </c>
      <c r="G31">
        <v>20</v>
      </c>
      <c r="H31" s="87" t="n">
        <v>23716.0</v>
      </c>
      <c r="I31" s="87" t="n">
        <v>4555.0</v>
      </c>
      <c r="J31" s="87" t="n">
        <v>1151.0</v>
      </c>
      <c r="K31" s="77">
        <f si="1" t="shared"/>
        <v>30697</v>
      </c>
      <c r="W31" s="9"/>
    </row>
    <row r="32" spans="1:23" x14ac:dyDescent="0.25">
      <c r="A32">
        <v>21</v>
      </c>
      <c r="B32" s="77" t="n">
        <v>26602.5822</v>
      </c>
      <c r="C32" s="77" t="n">
        <v>916.4123</v>
      </c>
      <c r="D32" s="77" t="n">
        <v>125.08529999999999</v>
      </c>
      <c r="E32" s="77">
        <f si="0" t="shared"/>
        <v>27644.0798</v>
      </c>
      <c r="G32">
        <v>21</v>
      </c>
      <c r="H32" s="87" t="n">
        <v>21457.0</v>
      </c>
      <c r="I32" s="87" t="n">
        <v>4097.0</v>
      </c>
      <c r="J32" s="87" t="n">
        <v>874.0</v>
      </c>
      <c r="K32" s="77">
        <f si="1" t="shared"/>
        <v>31749</v>
      </c>
      <c r="W32" s="9"/>
    </row>
    <row r="33" spans="1:23" x14ac:dyDescent="0.25">
      <c r="A33">
        <v>22</v>
      </c>
      <c r="B33" s="77" t="n">
        <v>17899.6012</v>
      </c>
      <c r="C33" s="77" t="n">
        <v>1210.3886</v>
      </c>
      <c r="D33" s="77" t="n">
        <v>291.3284</v>
      </c>
      <c r="E33" s="77">
        <f si="0" t="shared"/>
        <v>19401.318199999998</v>
      </c>
      <c r="G33">
        <v>22</v>
      </c>
      <c r="H33" s="87" t="n">
        <v>20551.0</v>
      </c>
      <c r="I33" s="87" t="n">
        <v>3887.0</v>
      </c>
      <c r="J33" s="87" t="n">
        <v>890.0</v>
      </c>
      <c r="K33" s="77">
        <f si="1" t="shared"/>
        <v>28072</v>
      </c>
      <c r="W33" s="9"/>
    </row>
    <row r="34" spans="1:23" x14ac:dyDescent="0.25">
      <c r="A34">
        <v>23</v>
      </c>
      <c r="B34" s="77" t="n">
        <v>22191.3902</v>
      </c>
      <c r="C34" s="77" t="n">
        <v>3158.1215</v>
      </c>
      <c r="D34" s="77" t="n">
        <v>258.1781</v>
      </c>
      <c r="E34" s="77">
        <f si="0" t="shared"/>
        <v>25607.689800000004</v>
      </c>
      <c r="G34">
        <v>23</v>
      </c>
      <c r="H34" s="87" t="n">
        <v>16294.0</v>
      </c>
      <c r="I34" s="87" t="n">
        <v>3157.0</v>
      </c>
      <c r="J34" s="87" t="n">
        <v>720.0</v>
      </c>
      <c r="K34" s="77">
        <f si="1" t="shared"/>
        <v>25601</v>
      </c>
      <c r="W34" s="9"/>
    </row>
    <row r="35" spans="1:23" x14ac:dyDescent="0.25">
      <c r="A35">
        <v>24</v>
      </c>
      <c r="B35" s="77" t="n">
        <v>15331.7325</v>
      </c>
      <c r="C35" s="77" t="n">
        <v>1332.7325</v>
      </c>
      <c r="D35" s="77" t="n">
        <v>0.0</v>
      </c>
      <c r="E35" s="77">
        <f si="0" t="shared"/>
        <v>16664.465</v>
      </c>
      <c r="G35">
        <v>24</v>
      </c>
      <c r="H35" s="87" t="n">
        <v>15866.0</v>
      </c>
      <c r="I35" s="87" t="n">
        <v>2878.0</v>
      </c>
      <c r="J35" s="87" t="n">
        <v>661.0</v>
      </c>
      <c r="K35" s="77">
        <f si="1" t="shared"/>
        <v>23338</v>
      </c>
      <c r="W35" s="9"/>
    </row>
    <row r="36" spans="1:23" x14ac:dyDescent="0.25">
      <c r="A36">
        <v>25</v>
      </c>
      <c r="B36" s="77" t="n">
        <v>18954.232500000002</v>
      </c>
      <c r="C36" s="77" t="n">
        <v>1291.4909</v>
      </c>
      <c r="D36" s="77" t="n">
        <v>0.0</v>
      </c>
      <c r="E36" s="77">
        <f si="0" t="shared"/>
        <v>20245.723400000003</v>
      </c>
      <c r="G36">
        <v>25</v>
      </c>
      <c r="H36" s="87" t="n">
        <v>14716.0</v>
      </c>
      <c r="I36" s="87" t="n">
        <v>2839.0</v>
      </c>
      <c r="J36" s="87" t="n">
        <v>659.0</v>
      </c>
      <c r="K36" s="77">
        <f si="1" t="shared"/>
        <v>20591</v>
      </c>
      <c r="W36" s="9"/>
    </row>
    <row r="37" spans="1:23" x14ac:dyDescent="0.25">
      <c r="A37">
        <v>26</v>
      </c>
      <c r="B37" s="77" t="n">
        <v>15467.329</v>
      </c>
      <c r="C37" s="77" t="n">
        <v>394.4873</v>
      </c>
      <c r="D37" s="77" t="n">
        <v>1369.4693000000002</v>
      </c>
      <c r="E37" s="77">
        <f si="0" t="shared"/>
        <v>17231.285599999999</v>
      </c>
      <c r="G37">
        <v>26</v>
      </c>
      <c r="H37" s="87" t="n">
        <v>11494.0</v>
      </c>
      <c r="I37" s="87" t="n">
        <v>2413.0</v>
      </c>
      <c r="J37" s="87" t="n">
        <v>534.0</v>
      </c>
      <c r="K37" s="77">
        <f si="1" t="shared"/>
        <v>21918</v>
      </c>
      <c r="W37" s="9"/>
    </row>
    <row r="38" spans="1:23" x14ac:dyDescent="0.25">
      <c r="A38">
        <v>27</v>
      </c>
      <c r="B38" s="77" t="n">
        <v>11571.3982</v>
      </c>
      <c r="C38" s="77" t="n">
        <v>473.82550000000003</v>
      </c>
      <c r="D38" s="77" t="n">
        <v>164.9238</v>
      </c>
      <c r="E38" s="77">
        <f si="0" t="shared"/>
        <v>12210.147500000001</v>
      </c>
      <c r="G38">
        <v>27</v>
      </c>
      <c r="H38" s="87" t="n">
        <v>13028.0</v>
      </c>
      <c r="I38" s="87" t="n">
        <v>3057.0</v>
      </c>
      <c r="J38" s="87" t="n">
        <v>604.0</v>
      </c>
      <c r="K38" s="77">
        <f si="1" t="shared"/>
        <v>18840</v>
      </c>
      <c r="W38" s="9"/>
    </row>
    <row r="39" spans="1:23" x14ac:dyDescent="0.25">
      <c r="A39">
        <v>28</v>
      </c>
      <c r="B39" s="77" t="n">
        <v>9574.3783</v>
      </c>
      <c r="C39" s="77" t="n">
        <v>1182.9858</v>
      </c>
      <c r="D39" s="77" t="n">
        <v>0.0</v>
      </c>
      <c r="E39" s="77">
        <f si="0" t="shared"/>
        <v>10757.364100000001</v>
      </c>
      <c r="G39">
        <v>28</v>
      </c>
      <c r="H39" s="87" t="n">
        <v>8167.0</v>
      </c>
      <c r="I39" s="87" t="n">
        <v>1807.0</v>
      </c>
      <c r="J39" s="87" t="n">
        <v>362.0</v>
      </c>
      <c r="K39" s="77">
        <f si="1" t="shared"/>
        <v>15704</v>
      </c>
      <c r="W39" s="9"/>
    </row>
    <row r="40" spans="1:23" x14ac:dyDescent="0.25">
      <c r="A40">
        <v>29</v>
      </c>
      <c r="B40" s="77" t="n">
        <v>4207.8454</v>
      </c>
      <c r="C40" s="77" t="n">
        <v>342.003</v>
      </c>
      <c r="D40" s="77" t="n">
        <v>310.7895</v>
      </c>
      <c r="E40" s="77">
        <f si="0" t="shared"/>
        <v>4860.6378999999997</v>
      </c>
      <c r="G40">
        <v>29</v>
      </c>
      <c r="H40" s="87" t="n">
        <v>8772.0</v>
      </c>
      <c r="I40" s="87" t="n">
        <v>2008.0</v>
      </c>
      <c r="J40" s="87" t="n">
        <v>439.0</v>
      </c>
      <c r="K40" s="77">
        <f si="1" t="shared"/>
        <v>13926</v>
      </c>
      <c r="W40" s="9"/>
    </row>
    <row r="41" spans="1:23" x14ac:dyDescent="0.25">
      <c r="A41">
        <v>30</v>
      </c>
      <c r="B41" s="77" t="n">
        <v>4956.5909</v>
      </c>
      <c r="C41" s="77" t="n">
        <v>1057.8468</v>
      </c>
      <c r="D41" s="77" t="n">
        <v>149.5759</v>
      </c>
      <c r="E41" s="77">
        <f si="0" t="shared"/>
        <v>6164.0136000000002</v>
      </c>
      <c r="G41">
        <v>30</v>
      </c>
      <c r="H41" s="87" t="n">
        <v>7737.0</v>
      </c>
      <c r="I41" s="87" t="n">
        <v>1903.0</v>
      </c>
      <c r="J41" s="87" t="n">
        <v>332.0</v>
      </c>
      <c r="K41" s="77">
        <f si="1" t="shared"/>
        <v>12174</v>
      </c>
      <c r="W41" s="9"/>
    </row>
    <row r="42" spans="1:23" x14ac:dyDescent="0.25">
      <c r="A42">
        <v>31</v>
      </c>
      <c r="B42" s="77" t="n">
        <v>7420.6662</v>
      </c>
      <c r="C42" s="77" t="n">
        <v>896.4806</v>
      </c>
      <c r="D42" s="77" t="n">
        <v>0.0</v>
      </c>
      <c r="E42" s="77">
        <f si="0" t="shared"/>
        <v>8317.1468000000004</v>
      </c>
      <c r="G42">
        <v>31</v>
      </c>
      <c r="H42" s="87" t="n">
        <v>5553.0</v>
      </c>
      <c r="I42" s="87" t="n">
        <v>1394.0</v>
      </c>
      <c r="J42" s="87" t="n">
        <v>240.0</v>
      </c>
      <c r="K42" s="77">
        <f si="1" t="shared"/>
        <v>11433</v>
      </c>
      <c r="W42" s="9"/>
    </row>
    <row r="43" spans="1:23" x14ac:dyDescent="0.25">
      <c r="A43">
        <v>32</v>
      </c>
      <c r="B43" s="77" t="n">
        <v>2142.3544</v>
      </c>
      <c r="C43" s="77" t="n">
        <v>364.3905</v>
      </c>
      <c r="D43" s="77" t="n">
        <v>0.0</v>
      </c>
      <c r="E43" s="77">
        <f si="0" t="shared"/>
        <v>2506.7449000000001</v>
      </c>
      <c r="G43">
        <v>32</v>
      </c>
      <c r="H43" s="87" t="n">
        <v>4318.0</v>
      </c>
      <c r="I43" s="87" t="n">
        <v>1138.0</v>
      </c>
      <c r="J43" s="87" t="n">
        <v>180.0</v>
      </c>
      <c r="K43" s="77">
        <f si="1" t="shared"/>
        <v>9295</v>
      </c>
      <c r="W43" s="9"/>
    </row>
    <row r="44" spans="1:23" x14ac:dyDescent="0.25">
      <c r="A44">
        <v>33</v>
      </c>
      <c r="B44" s="77" t="n">
        <v>4324.428</v>
      </c>
      <c r="C44" s="77" t="n">
        <v>163.7615</v>
      </c>
      <c r="D44" s="77" t="n">
        <v>0.0</v>
      </c>
      <c r="E44" s="77">
        <f si="0" t="shared"/>
        <v>4488.1894999999995</v>
      </c>
      <c r="G44">
        <v>33</v>
      </c>
      <c r="H44" s="87" t="n">
        <v>4386.0</v>
      </c>
      <c r="I44" s="87" t="n">
        <v>1136.0</v>
      </c>
      <c r="J44" s="87" t="n">
        <v>211.0</v>
      </c>
      <c r="K44" s="77">
        <f si="1" t="shared"/>
        <v>8590</v>
      </c>
      <c r="W44" s="9"/>
    </row>
    <row r="45" spans="1:23" x14ac:dyDescent="0.25">
      <c r="A45">
        <v>34</v>
      </c>
      <c r="B45" s="77" t="n">
        <v>8539.184</v>
      </c>
      <c r="C45" s="77" t="n">
        <v>0.0</v>
      </c>
      <c r="D45" s="77" t="n">
        <v>599.2903</v>
      </c>
      <c r="E45" s="77">
        <f si="0" t="shared"/>
        <v>9138.4742999999999</v>
      </c>
      <c r="G45">
        <v>34</v>
      </c>
      <c r="H45" s="87" t="n">
        <v>3980.0</v>
      </c>
      <c r="I45" s="87" t="n">
        <v>1044.0</v>
      </c>
      <c r="J45" s="87" t="n">
        <v>241.0</v>
      </c>
      <c r="K45" s="77">
        <f si="1" t="shared"/>
        <v>7743</v>
      </c>
      <c r="W45" s="9"/>
    </row>
    <row r="46" spans="1:23" x14ac:dyDescent="0.25">
      <c r="A46">
        <v>35</v>
      </c>
      <c r="B46" s="77" t="n">
        <v>3114.0108999999998</v>
      </c>
      <c r="C46" s="77" t="n">
        <v>0.0</v>
      </c>
      <c r="D46" s="77" t="n">
        <v>0.0</v>
      </c>
      <c r="E46" s="77">
        <f si="0" t="shared"/>
        <v>3114.0108999999998</v>
      </c>
      <c r="G46">
        <v>35</v>
      </c>
      <c r="H46" s="87" t="n">
        <v>2801.0</v>
      </c>
      <c r="I46" s="87" t="n">
        <v>782.0</v>
      </c>
      <c r="J46" s="87" t="n">
        <v>138.0</v>
      </c>
      <c r="K46" s="77">
        <f si="1" t="shared"/>
        <v>6546</v>
      </c>
      <c r="W46" s="9"/>
    </row>
    <row r="47" spans="1:23" x14ac:dyDescent="0.25">
      <c r="A47">
        <v>36</v>
      </c>
      <c r="B47" s="77" t="n">
        <v>10686.0638</v>
      </c>
      <c r="C47" s="77" t="n">
        <v>0.0</v>
      </c>
      <c r="D47" s="77" t="n">
        <v>0.0</v>
      </c>
      <c r="E47" s="77">
        <f si="0" t="shared"/>
        <v>10686.0638</v>
      </c>
      <c r="G47">
        <v>36</v>
      </c>
      <c r="H47" s="87" t="n">
        <v>3557.0</v>
      </c>
      <c r="I47" s="87" t="n">
        <v>944.0</v>
      </c>
      <c r="J47" s="87" t="n">
        <v>185.0</v>
      </c>
      <c r="K47" s="77">
        <f si="1" t="shared"/>
        <v>8720</v>
      </c>
      <c r="W47" s="9"/>
    </row>
    <row r="48" spans="1:23" x14ac:dyDescent="0.25">
      <c r="A48">
        <v>37</v>
      </c>
      <c r="B48" s="77" t="n">
        <v>4518.6203</v>
      </c>
      <c r="C48" s="77" t="n">
        <v>0.0</v>
      </c>
      <c r="D48" s="77" t="n">
        <v>0.0</v>
      </c>
      <c r="E48" s="77">
        <f si="0" t="shared"/>
        <v>4518.6202999999996</v>
      </c>
      <c r="G48">
        <v>37</v>
      </c>
      <c r="H48" s="87" t="n">
        <v>3620.0</v>
      </c>
      <c r="I48" s="87" t="n">
        <v>1007.0</v>
      </c>
      <c r="J48" s="87" t="n">
        <v>156.0</v>
      </c>
      <c r="K48" s="77">
        <f si="1" t="shared"/>
        <v>6921</v>
      </c>
      <c r="W48" s="9"/>
    </row>
    <row r="49" spans="1:23" x14ac:dyDescent="0.25">
      <c r="A49">
        <v>38</v>
      </c>
      <c r="B49" s="77" t="n">
        <v>5133.441</v>
      </c>
      <c r="C49" s="77" t="n">
        <v>1226.5317</v>
      </c>
      <c r="D49" s="77" t="n">
        <v>258.1531</v>
      </c>
      <c r="E49" s="77">
        <f si="0" t="shared"/>
        <v>6618.1257999999998</v>
      </c>
      <c r="G49">
        <v>38</v>
      </c>
      <c r="H49" s="87" t="n">
        <v>3087.0</v>
      </c>
      <c r="I49" s="87" t="n">
        <v>836.0</v>
      </c>
      <c r="J49" s="87" t="n">
        <v>147.0</v>
      </c>
      <c r="K49" s="77">
        <f si="1" t="shared"/>
        <v>7367</v>
      </c>
      <c r="W49" s="9"/>
    </row>
    <row r="50" spans="1:23" x14ac:dyDescent="0.25">
      <c r="A50">
        <v>39</v>
      </c>
      <c r="B50" s="77" t="n">
        <v>4463.5301</v>
      </c>
      <c r="C50" s="77" t="n">
        <v>426.0483</v>
      </c>
      <c r="D50" s="77" t="n">
        <v>382.4193</v>
      </c>
      <c r="E50" s="77">
        <f si="0" t="shared"/>
        <v>5271.9976999999999</v>
      </c>
      <c r="G50">
        <v>39</v>
      </c>
      <c r="H50" s="87" t="n">
        <v>2595.0</v>
      </c>
      <c r="I50" s="87" t="n">
        <v>718.0</v>
      </c>
      <c r="J50" s="87" t="n">
        <v>109.0</v>
      </c>
      <c r="K50" s="77">
        <f si="1" t="shared"/>
        <v>6296</v>
      </c>
      <c r="W50" s="9"/>
    </row>
    <row r="51" spans="1:23" x14ac:dyDescent="0.25">
      <c r="A51">
        <v>40</v>
      </c>
      <c r="B51" s="77" t="n">
        <v>4850.2659</v>
      </c>
      <c r="C51" s="77" t="n">
        <v>0.0</v>
      </c>
      <c r="D51" s="77" t="n">
        <v>218.6278</v>
      </c>
      <c r="E51" s="77">
        <f si="0" t="shared"/>
        <v>5068.8937000000005</v>
      </c>
      <c r="G51">
        <v>40</v>
      </c>
      <c r="H51" s="87" t="n">
        <v>2005.0</v>
      </c>
      <c r="I51" s="87" t="n">
        <v>605.0</v>
      </c>
      <c r="J51" s="87" t="n">
        <v>112.0</v>
      </c>
      <c r="K51" s="77">
        <f si="1" t="shared"/>
        <v>5126</v>
      </c>
      <c r="W51" s="9"/>
    </row>
    <row r="52" spans="1:23" x14ac:dyDescent="0.25">
      <c r="A52">
        <v>41</v>
      </c>
      <c r="B52" s="77" t="n">
        <v>2198.2316</v>
      </c>
      <c r="C52" s="77" t="n">
        <v>87.5526</v>
      </c>
      <c r="D52" s="77" t="n">
        <v>0.0</v>
      </c>
      <c r="E52" s="77">
        <f si="0" t="shared"/>
        <v>2285.7842000000001</v>
      </c>
      <c r="G52">
        <v>41</v>
      </c>
      <c r="H52" s="87" t="n">
        <v>1819.0</v>
      </c>
      <c r="I52" s="87" t="n">
        <v>563.0</v>
      </c>
      <c r="J52" s="87" t="n">
        <v>71.0</v>
      </c>
      <c r="K52" s="77">
        <f si="1" t="shared"/>
        <v>4751</v>
      </c>
      <c r="W52" s="9"/>
    </row>
    <row r="53" spans="1:23" x14ac:dyDescent="0.25">
      <c r="A53">
        <v>42</v>
      </c>
      <c r="B53" s="77" t="n">
        <v>763.2845</v>
      </c>
      <c r="C53" s="77" t="n">
        <v>56.9735</v>
      </c>
      <c r="D53" s="77" t="n">
        <v>0.0</v>
      </c>
      <c r="E53" s="77">
        <f si="0" t="shared"/>
        <v>820.25800000000004</v>
      </c>
      <c r="G53">
        <v>42</v>
      </c>
      <c r="H53" s="87" t="n">
        <v>1043.0</v>
      </c>
      <c r="I53" s="87" t="n">
        <v>394.0</v>
      </c>
      <c r="J53" s="87" t="n">
        <v>54.0</v>
      </c>
      <c r="K53" s="77">
        <f si="1" t="shared"/>
        <v>3555</v>
      </c>
      <c r="W53" s="9"/>
    </row>
    <row r="54" spans="1:23" x14ac:dyDescent="0.25">
      <c r="A54">
        <v>43</v>
      </c>
      <c r="B54" s="77" t="n">
        <v>778.7807</v>
      </c>
      <c r="C54" s="77" t="n">
        <v>0.0</v>
      </c>
      <c r="D54" s="77" t="n">
        <v>0.0</v>
      </c>
      <c r="E54" s="77">
        <f si="0" t="shared"/>
        <v>778.78070000000002</v>
      </c>
      <c r="G54">
        <v>43</v>
      </c>
      <c r="H54" s="87" t="n">
        <v>1485.0</v>
      </c>
      <c r="I54" s="87" t="n">
        <v>454.0</v>
      </c>
      <c r="J54" s="87" t="n">
        <v>113.0</v>
      </c>
      <c r="K54" s="77">
        <f si="1" t="shared"/>
        <v>3280</v>
      </c>
      <c r="W54" s="9"/>
    </row>
    <row r="55" spans="1:23" x14ac:dyDescent="0.25">
      <c r="A55">
        <v>44</v>
      </c>
      <c r="B55" s="77" t="n">
        <v>1850.674</v>
      </c>
      <c r="C55" s="77" t="n">
        <v>0.0</v>
      </c>
      <c r="D55" s="77" t="n">
        <v>0.0</v>
      </c>
      <c r="E55" s="77">
        <f si="0" t="shared"/>
        <v>1850.674</v>
      </c>
      <c r="G55">
        <v>44</v>
      </c>
      <c r="H55" s="87" t="n">
        <v>1224.0</v>
      </c>
      <c r="I55" s="87" t="n">
        <v>415.0</v>
      </c>
      <c r="J55" s="87" t="n">
        <v>58.0</v>
      </c>
      <c r="K55" s="77">
        <f si="1" t="shared"/>
        <v>3301</v>
      </c>
      <c r="W55" s="9"/>
    </row>
    <row r="56" spans="1:23" x14ac:dyDescent="0.25">
      <c r="A56">
        <v>45</v>
      </c>
      <c r="B56" s="77" t="n">
        <v>1873.7078999999999</v>
      </c>
      <c r="C56" s="77" t="n">
        <v>0.0</v>
      </c>
      <c r="D56" s="77" t="n">
        <v>0.0</v>
      </c>
      <c r="E56" s="77">
        <f si="0" t="shared"/>
        <v>1873.7078999999999</v>
      </c>
      <c r="G56">
        <v>45</v>
      </c>
      <c r="H56" s="87" t="n">
        <v>3304.0</v>
      </c>
      <c r="I56" s="87" t="n">
        <v>990.0</v>
      </c>
      <c r="J56" s="87" t="n">
        <v>195.0</v>
      </c>
      <c r="K56" s="77">
        <f si="1" t="shared"/>
        <v>5180</v>
      </c>
      <c r="W56" s="9"/>
    </row>
    <row r="57" spans="1:23" x14ac:dyDescent="0.25">
      <c r="A57">
        <v>46</v>
      </c>
      <c r="B57" s="77" t="n">
        <v>661.6214</v>
      </c>
      <c r="C57" s="77" t="n">
        <v>863.9641</v>
      </c>
      <c r="D57" s="77" t="n">
        <v>0.0</v>
      </c>
      <c r="E57" s="77">
        <f si="0" t="shared"/>
        <v>1525.5855000000001</v>
      </c>
      <c r="G57">
        <v>46</v>
      </c>
      <c r="H57" s="87" t="n">
        <v>2307.0</v>
      </c>
      <c r="I57" s="87" t="n">
        <v>636.0</v>
      </c>
      <c r="J57" s="87" t="n">
        <v>89.0</v>
      </c>
      <c r="K57" s="77">
        <f si="1" t="shared"/>
        <v>5191</v>
      </c>
      <c r="W57" s="9"/>
    </row>
    <row r="58" spans="1:23" x14ac:dyDescent="0.25">
      <c r="A58">
        <v>47</v>
      </c>
      <c r="B58" s="77" t="n">
        <v>3229.8224</v>
      </c>
      <c r="C58" s="77" t="n">
        <v>105.4442</v>
      </c>
      <c r="D58" s="77" t="n">
        <v>0.0</v>
      </c>
      <c r="E58" s="77">
        <f si="0" t="shared"/>
        <v>3335.2665999999999</v>
      </c>
      <c r="G58">
        <v>47</v>
      </c>
      <c r="H58" s="87" t="n">
        <v>799.0</v>
      </c>
      <c r="I58" s="87" t="n">
        <v>302.0</v>
      </c>
      <c r="J58" s="87" t="n">
        <v>42.0</v>
      </c>
      <c r="K58" s="77">
        <f si="1" t="shared"/>
        <v>2507</v>
      </c>
      <c r="W58" s="9"/>
    </row>
    <row r="59" spans="1:23" x14ac:dyDescent="0.25">
      <c r="A59">
        <v>48</v>
      </c>
      <c r="B59" s="77" t="n">
        <v>2448.1536</v>
      </c>
      <c r="C59" s="77" t="n">
        <v>0.0</v>
      </c>
      <c r="D59" s="77" t="n">
        <v>0.0</v>
      </c>
      <c r="E59" s="77">
        <f si="0" t="shared"/>
        <v>2448.1536000000001</v>
      </c>
      <c r="G59">
        <v>48</v>
      </c>
      <c r="H59" s="87" t="n">
        <v>592.0</v>
      </c>
      <c r="I59" s="87" t="n">
        <v>215.0</v>
      </c>
      <c r="J59" s="87" t="n">
        <v>29.0</v>
      </c>
      <c r="K59" s="77">
        <f si="1" t="shared"/>
        <v>1883</v>
      </c>
      <c r="W59" s="9"/>
    </row>
    <row r="60" spans="1:23" x14ac:dyDescent="0.25">
      <c r="A60">
        <v>49</v>
      </c>
      <c r="B60" s="77" t="n">
        <v>1198.4344999999998</v>
      </c>
      <c r="C60" s="77" t="n">
        <v>0.0</v>
      </c>
      <c r="D60" s="77" t="n">
        <v>0.0</v>
      </c>
      <c r="E60" s="77">
        <f si="0" t="shared"/>
        <v>1198.4344999999998</v>
      </c>
      <c r="G60">
        <v>49</v>
      </c>
      <c r="H60" s="87" t="n">
        <v>1182.0</v>
      </c>
      <c r="I60" s="87" t="n">
        <v>324.0</v>
      </c>
      <c r="J60" s="87" t="n">
        <v>38.0</v>
      </c>
      <c r="K60" s="77">
        <f si="1" t="shared"/>
        <v>2287</v>
      </c>
      <c r="W60" s="9"/>
    </row>
    <row r="61" spans="1:23" x14ac:dyDescent="0.25">
      <c r="A61">
        <v>50</v>
      </c>
      <c r="B61" s="77" t="n">
        <v>909.7793</v>
      </c>
      <c r="C61" s="77" t="n">
        <v>0.0</v>
      </c>
      <c r="D61" s="77" t="n">
        <v>0.0</v>
      </c>
      <c r="E61" s="77">
        <f si="0" t="shared"/>
        <v>909.77930000000003</v>
      </c>
      <c r="G61">
        <v>50</v>
      </c>
      <c r="H61" s="87" t="n">
        <v>957.0</v>
      </c>
      <c r="I61" s="87" t="n">
        <v>330.0</v>
      </c>
      <c r="J61" s="87" t="n">
        <v>66.0</v>
      </c>
      <c r="K61" s="77">
        <f si="1" t="shared"/>
        <v>2815</v>
      </c>
      <c r="W61" s="9"/>
    </row>
    <row r="62" spans="1:23" x14ac:dyDescent="0.25">
      <c r="A62">
        <v>51</v>
      </c>
      <c r="B62" s="77" t="n">
        <v>438.9317</v>
      </c>
      <c r="C62" s="77" t="n">
        <v>0.0</v>
      </c>
      <c r="D62" s="77" t="n">
        <v>0.0</v>
      </c>
      <c r="E62" s="77">
        <f si="0" t="shared"/>
        <v>438.93169999999998</v>
      </c>
      <c r="G62">
        <v>51</v>
      </c>
      <c r="H62" s="87" t="n">
        <v>1711.0</v>
      </c>
      <c r="I62" s="87" t="n">
        <v>579.0</v>
      </c>
      <c r="J62" s="87" t="n">
        <v>125.0</v>
      </c>
      <c r="K62" s="77">
        <f si="1" t="shared"/>
        <v>3909</v>
      </c>
      <c r="W62" s="9"/>
    </row>
    <row r="63" spans="1:23" x14ac:dyDescent="0.25">
      <c r="A63">
        <v>52</v>
      </c>
      <c r="B63" s="77" t="n">
        <v>1607.8973</v>
      </c>
      <c r="C63" s="77" t="n">
        <v>0.0</v>
      </c>
      <c r="D63" s="77" t="n">
        <v>0.0</v>
      </c>
      <c r="E63" s="77">
        <f si="0" t="shared"/>
        <v>1607.8973000000001</v>
      </c>
      <c r="G63">
        <v>52</v>
      </c>
      <c r="H63" s="87" t="n">
        <v>367.0</v>
      </c>
      <c r="I63" s="87" t="n">
        <v>151.0</v>
      </c>
      <c r="J63" s="87" t="n">
        <v>18.0</v>
      </c>
      <c r="K63" s="77">
        <f si="1" t="shared"/>
        <v>1287</v>
      </c>
      <c r="W63" s="9"/>
    </row>
    <row r="64" spans="1:23" x14ac:dyDescent="0.25">
      <c r="A64">
        <v>53</v>
      </c>
      <c r="B64" s="77" t="n">
        <v>309.5767</v>
      </c>
      <c r="C64" s="77" t="n">
        <v>0.0</v>
      </c>
      <c r="D64" s="77" t="n">
        <v>0.0</v>
      </c>
      <c r="E64" s="77">
        <f si="0" t="shared"/>
        <v>309.57670000000002</v>
      </c>
      <c r="G64">
        <v>53</v>
      </c>
      <c r="H64" s="87" t="n">
        <v>493.0</v>
      </c>
      <c r="I64" s="87" t="n">
        <v>178.0</v>
      </c>
      <c r="J64" s="87" t="n">
        <v>25.0</v>
      </c>
      <c r="K64" s="77">
        <f si="1" t="shared"/>
        <v>1552</v>
      </c>
      <c r="W64" s="9"/>
    </row>
    <row r="65" spans="1:23" x14ac:dyDescent="0.25">
      <c r="A65">
        <v>54</v>
      </c>
      <c r="B65" s="77" t="n">
        <v>783.2329</v>
      </c>
      <c r="C65" s="77" t="n">
        <v>0.0</v>
      </c>
      <c r="D65" s="77" t="n">
        <v>0.0</v>
      </c>
      <c r="E65" s="77">
        <f si="0" t="shared"/>
        <v>783.23289999999997</v>
      </c>
      <c r="G65">
        <v>54</v>
      </c>
      <c r="H65" s="87" t="n">
        <v>310.0</v>
      </c>
      <c r="I65" s="87" t="n">
        <v>140.0</v>
      </c>
      <c r="J65" s="87" t="n">
        <v>16.0</v>
      </c>
      <c r="K65" s="77">
        <f si="1" t="shared"/>
        <v>1062</v>
      </c>
      <c r="W65" s="9"/>
    </row>
    <row r="66" spans="1:23" x14ac:dyDescent="0.25">
      <c r="A66">
        <v>55</v>
      </c>
      <c r="B66" s="77" t="n">
        <v>139.8938</v>
      </c>
      <c r="C66" s="77" t="n">
        <v>268.3759</v>
      </c>
      <c r="D66" s="77" t="n">
        <v>0.0</v>
      </c>
      <c r="E66" s="77">
        <f si="0" t="shared"/>
        <v>408.2697</v>
      </c>
      <c r="G66">
        <v>55</v>
      </c>
      <c r="H66" s="87" t="n">
        <v>347.0</v>
      </c>
      <c r="I66" s="87" t="n">
        <v>154.0</v>
      </c>
      <c r="J66" s="87" t="n">
        <v>20.0</v>
      </c>
      <c r="K66" s="77">
        <f si="1" t="shared"/>
        <v>862</v>
      </c>
      <c r="W66" s="9"/>
    </row>
    <row r="67" spans="1:23" x14ac:dyDescent="0.25">
      <c r="A67">
        <v>56</v>
      </c>
      <c r="B67" s="77" t="n">
        <v>0.0</v>
      </c>
      <c r="C67" s="77" t="n">
        <v>0.0</v>
      </c>
      <c r="D67" s="77" t="n">
        <v>0.0</v>
      </c>
      <c r="E67" s="77">
        <f si="0" t="shared"/>
        <v>0</v>
      </c>
      <c r="G67">
        <v>56</v>
      </c>
      <c r="H67" s="87" t="n">
        <v>344.0</v>
      </c>
      <c r="I67" s="87" t="n">
        <v>163.0</v>
      </c>
      <c r="J67" s="87" t="n">
        <v>26.0</v>
      </c>
      <c r="K67" s="77">
        <f si="1" t="shared"/>
        <v>1404</v>
      </c>
      <c r="W67" s="9"/>
    </row>
    <row r="68" spans="1:23" x14ac:dyDescent="0.25">
      <c r="A68">
        <v>57</v>
      </c>
      <c r="B68" s="77" t="n">
        <v>0.0</v>
      </c>
      <c r="C68" s="77" t="n">
        <v>203.3384</v>
      </c>
      <c r="D68" s="77" t="n">
        <v>0.0</v>
      </c>
      <c r="E68" s="77">
        <f si="0" t="shared"/>
        <v>203.33840000000001</v>
      </c>
      <c r="G68">
        <v>57</v>
      </c>
      <c r="H68" s="87" t="n">
        <v>249.0</v>
      </c>
      <c r="I68" s="87" t="n">
        <v>112.0</v>
      </c>
      <c r="J68" s="87" t="n">
        <v>18.0</v>
      </c>
      <c r="K68" s="77">
        <f si="1" t="shared"/>
        <v>871</v>
      </c>
      <c r="W68" s="9"/>
    </row>
    <row r="69" spans="1:23" x14ac:dyDescent="0.25">
      <c r="A69">
        <v>58</v>
      </c>
      <c r="B69" s="77" t="n">
        <v>0.0</v>
      </c>
      <c r="C69" s="77" t="n">
        <v>0.0</v>
      </c>
      <c r="D69" s="77" t="n">
        <v>0.0</v>
      </c>
      <c r="E69" s="77">
        <f si="0" t="shared"/>
        <v>0</v>
      </c>
      <c r="G69">
        <v>58</v>
      </c>
      <c r="H69" s="87" t="n">
        <v>202.0</v>
      </c>
      <c r="I69" s="87" t="n">
        <v>144.0</v>
      </c>
      <c r="J69" s="87" t="n">
        <v>16.0</v>
      </c>
      <c r="K69" s="77">
        <f si="1" t="shared"/>
        <v>1002</v>
      </c>
      <c r="W69" s="9"/>
    </row>
    <row r="70" spans="1:23" x14ac:dyDescent="0.25">
      <c r="A70">
        <v>59</v>
      </c>
      <c r="B70" s="77" t="n">
        <v>0.0</v>
      </c>
      <c r="C70" s="77" t="n">
        <v>0.0</v>
      </c>
      <c r="D70" s="77" t="n">
        <v>0.0</v>
      </c>
      <c r="E70" s="77">
        <f si="0" t="shared"/>
        <v>0</v>
      </c>
      <c r="G70">
        <v>59</v>
      </c>
      <c r="H70" s="87" t="n">
        <v>189.0</v>
      </c>
      <c r="I70" s="87" t="n">
        <v>121.0</v>
      </c>
      <c r="J70" s="87" t="n">
        <v>17.0</v>
      </c>
      <c r="K70" s="77">
        <f si="1" t="shared"/>
        <v>611</v>
      </c>
      <c r="W70" s="9"/>
    </row>
    <row r="71" spans="1:23" x14ac:dyDescent="0.25">
      <c r="A71">
        <v>60</v>
      </c>
      <c r="B71" s="77" t="n">
        <v>0.0</v>
      </c>
      <c r="C71" s="77" t="n">
        <v>657.8338</v>
      </c>
      <c r="D71" s="77" t="n">
        <v>0.0</v>
      </c>
      <c r="E71" s="77">
        <f si="0" t="shared"/>
        <v>657.8338</v>
      </c>
      <c r="G71">
        <v>60</v>
      </c>
      <c r="H71" s="87" t="n">
        <v>118.0</v>
      </c>
      <c r="I71" s="87" t="n">
        <v>74.0</v>
      </c>
      <c r="J71" s="87" t="n">
        <v>9.0</v>
      </c>
      <c r="K71" s="77">
        <f si="1" t="shared"/>
        <v>526</v>
      </c>
      <c r="W71" s="9"/>
    </row>
    <row r="72" spans="1:23" x14ac:dyDescent="0.25">
      <c r="A72">
        <v>61</v>
      </c>
      <c r="B72" s="77" t="n">
        <v>99.5089</v>
      </c>
      <c r="C72" s="77" t="n">
        <v>0.0</v>
      </c>
      <c r="D72" s="77" t="n">
        <v>0.0</v>
      </c>
      <c r="E72" s="77">
        <f si="0" t="shared"/>
        <v>99.508899999999997</v>
      </c>
      <c r="G72">
        <v>61</v>
      </c>
      <c r="H72" s="87" t="n">
        <v>227.0</v>
      </c>
      <c r="I72" s="87" t="n">
        <v>99.0</v>
      </c>
      <c r="J72" s="87" t="n">
        <v>22.0</v>
      </c>
      <c r="K72" s="77">
        <f si="1" t="shared"/>
        <v>617</v>
      </c>
      <c r="W72" s="9"/>
    </row>
    <row r="73" spans="1:23" x14ac:dyDescent="0.25">
      <c r="A73">
        <v>62</v>
      </c>
      <c r="B73" s="77" t="n">
        <v>0.0</v>
      </c>
      <c r="C73" s="77" t="n">
        <v>0.0</v>
      </c>
      <c r="D73" s="77" t="n">
        <v>0.0</v>
      </c>
      <c r="E73" s="77">
        <f si="0" t="shared"/>
        <v>0</v>
      </c>
      <c r="G73">
        <v>62</v>
      </c>
      <c r="H73" s="87" t="n">
        <v>86.0</v>
      </c>
      <c r="I73" s="87" t="n">
        <v>53.0</v>
      </c>
      <c r="J73" s="87" t="n">
        <v>6.0</v>
      </c>
      <c r="K73" s="77">
        <f si="1" t="shared"/>
        <v>444</v>
      </c>
      <c r="W73" s="9"/>
    </row>
    <row r="74" spans="1:23" x14ac:dyDescent="0.25">
      <c r="A74">
        <v>63</v>
      </c>
      <c r="B74" s="77" t="n">
        <v>0.0</v>
      </c>
      <c r="C74" s="77" t="n">
        <v>0.0</v>
      </c>
      <c r="D74" s="77" t="n">
        <v>0.0</v>
      </c>
      <c r="E74" s="77">
        <f si="0" t="shared"/>
        <v>0</v>
      </c>
      <c r="G74">
        <v>63</v>
      </c>
      <c r="H74" s="87" t="n">
        <v>254.0</v>
      </c>
      <c r="I74" s="87" t="n">
        <v>112.0</v>
      </c>
      <c r="J74" s="87" t="n">
        <v>24.0</v>
      </c>
      <c r="K74" s="77">
        <f si="1" t="shared"/>
        <v>687</v>
      </c>
      <c r="W74" s="9"/>
    </row>
    <row r="75" spans="1:23" x14ac:dyDescent="0.25">
      <c r="A75">
        <v>64</v>
      </c>
      <c r="B75" s="77" t="n">
        <v>0.0</v>
      </c>
      <c r="C75" s="77" t="n">
        <v>0.0</v>
      </c>
      <c r="D75" s="77" t="n">
        <v>0.0</v>
      </c>
      <c r="E75" s="77">
        <f si="0" t="shared"/>
        <v>0</v>
      </c>
      <c r="G75">
        <v>64</v>
      </c>
      <c r="H75" s="87" t="n">
        <v>129.0</v>
      </c>
      <c r="I75" s="87" t="n">
        <v>85.0</v>
      </c>
      <c r="J75" s="87" t="n">
        <v>14.0</v>
      </c>
      <c r="K75" s="77">
        <f si="1" t="shared"/>
        <v>797</v>
      </c>
      <c r="W75" s="9"/>
    </row>
    <row r="76" spans="1:23" x14ac:dyDescent="0.25">
      <c r="A76">
        <v>65</v>
      </c>
      <c r="B76" s="77" t="n">
        <v>249.5401</v>
      </c>
      <c r="C76" s="77" t="n">
        <v>0.0</v>
      </c>
      <c r="D76" s="77" t="n">
        <v>0.0</v>
      </c>
      <c r="E76" s="77">
        <f ref="E76:E101" si="2" t="shared">SUM(B76:D76)</f>
        <v>249.5401</v>
      </c>
      <c r="G76">
        <v>65</v>
      </c>
      <c r="H76" s="87" t="n">
        <v>97.0</v>
      </c>
      <c r="I76" s="87" t="n">
        <v>68.0</v>
      </c>
      <c r="J76" s="87" t="n">
        <v>9.0</v>
      </c>
      <c r="K76" s="77">
        <f ref="K76:K101" si="3" t="shared">SUM(H76:J76)</f>
        <v>507</v>
      </c>
      <c r="W76" s="9"/>
    </row>
    <row r="77" spans="1:23" x14ac:dyDescent="0.25">
      <c r="A77">
        <v>66</v>
      </c>
      <c r="B77" s="77" t="n">
        <v>0.0</v>
      </c>
      <c r="C77" s="77" t="n">
        <v>0.0</v>
      </c>
      <c r="D77" s="77" t="n">
        <v>0.0</v>
      </c>
      <c r="E77" s="77">
        <f si="2" t="shared"/>
        <v>0</v>
      </c>
      <c r="G77">
        <v>66</v>
      </c>
      <c r="H77" s="87" t="n">
        <v>45.0</v>
      </c>
      <c r="I77" s="87" t="n">
        <v>53.0</v>
      </c>
      <c r="J77" s="87" t="n">
        <v>6.0</v>
      </c>
      <c r="K77" s="77">
        <f si="3" t="shared"/>
        <v>266</v>
      </c>
      <c r="W77" s="9"/>
    </row>
    <row r="78" spans="1:23" x14ac:dyDescent="0.25">
      <c r="A78">
        <v>67</v>
      </c>
      <c r="B78" s="77" t="n">
        <v>86.0936</v>
      </c>
      <c r="C78" s="77" t="n">
        <v>0.0</v>
      </c>
      <c r="D78" s="77" t="n">
        <v>0.0</v>
      </c>
      <c r="E78" s="77">
        <f si="2" t="shared"/>
        <v>86.093599999999995</v>
      </c>
      <c r="G78">
        <v>67</v>
      </c>
      <c r="H78" s="87" t="n">
        <v>58.0</v>
      </c>
      <c r="I78" s="87" t="n">
        <v>28.0</v>
      </c>
      <c r="J78" s="87" t="n">
        <v>2.0</v>
      </c>
      <c r="K78" s="77">
        <f si="3" t="shared"/>
        <v>143</v>
      </c>
      <c r="W78" s="9"/>
    </row>
    <row r="79" spans="1:23" x14ac:dyDescent="0.25">
      <c r="A79">
        <v>68</v>
      </c>
      <c r="B79" s="77" t="n">
        <v>0.0</v>
      </c>
      <c r="C79" s="77" t="n">
        <v>0.0</v>
      </c>
      <c r="D79" s="77" t="n">
        <v>0.0</v>
      </c>
      <c r="E79" s="77">
        <f si="2" t="shared"/>
        <v>0</v>
      </c>
      <c r="G79">
        <v>68</v>
      </c>
      <c r="H79" s="87" t="n">
        <v>52.0</v>
      </c>
      <c r="I79" s="87" t="n">
        <v>42.0</v>
      </c>
      <c r="J79" s="87" t="n">
        <v>5.0</v>
      </c>
      <c r="K79" s="77">
        <f si="3" t="shared"/>
        <v>311</v>
      </c>
      <c r="W79" s="9"/>
    </row>
    <row r="80" spans="1:23" x14ac:dyDescent="0.25">
      <c r="A80">
        <v>69</v>
      </c>
      <c r="B80" s="77" t="n">
        <v>0.0</v>
      </c>
      <c r="C80" s="77" t="n">
        <v>0.0</v>
      </c>
      <c r="D80" s="77" t="n">
        <v>0.0</v>
      </c>
      <c r="E80" s="77">
        <f si="2" t="shared"/>
        <v>0</v>
      </c>
      <c r="G80">
        <v>69</v>
      </c>
      <c r="H80" s="87" t="n">
        <v>152.0</v>
      </c>
      <c r="I80" s="87" t="n">
        <v>55.0</v>
      </c>
      <c r="J80" s="87" t="n">
        <v>9.0</v>
      </c>
      <c r="K80" s="77">
        <f si="3" t="shared"/>
        <v>480</v>
      </c>
      <c r="W80" s="9"/>
    </row>
    <row r="81" spans="1:23" x14ac:dyDescent="0.25">
      <c r="A81">
        <v>70</v>
      </c>
      <c r="B81" s="77" t="n">
        <v>0.0</v>
      </c>
      <c r="C81" s="77" t="n">
        <v>0.0</v>
      </c>
      <c r="D81" s="77" t="n">
        <v>0.0</v>
      </c>
      <c r="E81" s="77">
        <f si="2" t="shared"/>
        <v>0</v>
      </c>
      <c r="G81">
        <v>70</v>
      </c>
      <c r="H81" s="87" t="n">
        <v>61.0</v>
      </c>
      <c r="I81" s="87" t="n">
        <v>41.0</v>
      </c>
      <c r="J81" s="87" t="n">
        <v>4.0</v>
      </c>
      <c r="K81" s="77">
        <f si="3" t="shared"/>
        <v>526</v>
      </c>
      <c r="W81" s="9"/>
    </row>
    <row r="82" spans="1:23" x14ac:dyDescent="0.25">
      <c r="A82">
        <v>71</v>
      </c>
      <c r="B82" s="77" t="n">
        <v>173.2297</v>
      </c>
      <c r="C82" s="77" t="n">
        <v>0.0</v>
      </c>
      <c r="D82" s="77" t="n">
        <v>0.0</v>
      </c>
      <c r="E82" s="77">
        <f si="2" t="shared"/>
        <v>173.22970000000001</v>
      </c>
      <c r="G82">
        <v>71</v>
      </c>
      <c r="H82" s="87" t="n">
        <v>23.0</v>
      </c>
      <c r="I82" s="87" t="n">
        <v>18.0</v>
      </c>
      <c r="J82" s="87" t="n">
        <v>0.0</v>
      </c>
      <c r="K82" s="77">
        <f si="3" t="shared"/>
        <v>220</v>
      </c>
      <c r="W82" s="9"/>
    </row>
    <row r="83" spans="1:23" x14ac:dyDescent="0.25">
      <c r="A83">
        <v>72</v>
      </c>
      <c r="B83" s="77" t="n">
        <v>0.0</v>
      </c>
      <c r="C83" s="77" t="n">
        <v>0.0</v>
      </c>
      <c r="D83" s="77" t="n">
        <v>0.0</v>
      </c>
      <c r="E83" s="77">
        <f si="2" t="shared"/>
        <v>0</v>
      </c>
      <c r="G83">
        <v>72</v>
      </c>
      <c r="H83" s="87" t="n">
        <v>69.0</v>
      </c>
      <c r="I83" s="87" t="n">
        <v>48.0</v>
      </c>
      <c r="J83" s="87" t="n">
        <v>7.0</v>
      </c>
      <c r="K83" s="77">
        <f si="3" t="shared"/>
        <v>282</v>
      </c>
      <c r="W83" s="9"/>
    </row>
    <row r="84" spans="1:23" x14ac:dyDescent="0.25">
      <c r="A84">
        <v>73</v>
      </c>
      <c r="B84" s="77" t="n">
        <v>0.0</v>
      </c>
      <c r="C84" s="77" t="n">
        <v>0.0</v>
      </c>
      <c r="D84" s="77" t="n">
        <v>0.0</v>
      </c>
      <c r="E84" s="77">
        <f si="2" t="shared"/>
        <v>0</v>
      </c>
      <c r="G84">
        <v>73</v>
      </c>
      <c r="H84" s="87" t="n">
        <v>24.0</v>
      </c>
      <c r="I84" s="77" t="n">
        <v>35.0</v>
      </c>
      <c r="J84" s="87" t="n">
        <v>2.0</v>
      </c>
      <c r="K84" s="77">
        <f si="3" t="shared"/>
        <v>98</v>
      </c>
      <c r="W84" s="9"/>
    </row>
    <row r="85" spans="1:23" x14ac:dyDescent="0.25">
      <c r="A85">
        <v>74</v>
      </c>
      <c r="B85" s="77" t="n">
        <v>409.1384</v>
      </c>
      <c r="C85" s="77" t="n">
        <v>0.0</v>
      </c>
      <c r="D85" s="77" t="n">
        <v>0.0</v>
      </c>
      <c r="E85" s="77">
        <f si="2" t="shared"/>
        <v>409.13839999999999</v>
      </c>
      <c r="G85">
        <v>74</v>
      </c>
      <c r="H85" s="87" t="n">
        <v>8.0</v>
      </c>
      <c r="I85" s="87" t="n">
        <v>12.0</v>
      </c>
      <c r="J85" s="87" t="n">
        <v>0.0</v>
      </c>
      <c r="K85" s="77">
        <f si="3" t="shared"/>
        <v>98</v>
      </c>
      <c r="W85" s="9"/>
    </row>
    <row r="86" spans="1:23" x14ac:dyDescent="0.25">
      <c r="A86">
        <v>75</v>
      </c>
      <c r="B86" s="77" t="n">
        <v>0.0</v>
      </c>
      <c r="C86" s="77" t="n">
        <v>0.0</v>
      </c>
      <c r="D86" s="77" t="n">
        <v>0.0</v>
      </c>
      <c r="E86" s="77">
        <f si="2" t="shared"/>
        <v>0</v>
      </c>
      <c r="G86">
        <v>75</v>
      </c>
      <c r="H86" s="87" t="n">
        <v>21.0</v>
      </c>
      <c r="I86" s="77" t="n">
        <v>25.0</v>
      </c>
      <c r="J86" s="87" t="n">
        <v>3.0</v>
      </c>
      <c r="K86" s="77">
        <f si="3" t="shared"/>
        <v>136</v>
      </c>
      <c r="W86" s="9"/>
    </row>
    <row r="87" spans="1:23" x14ac:dyDescent="0.25">
      <c r="A87">
        <v>76</v>
      </c>
      <c r="B87" s="77" t="n">
        <v>0.0</v>
      </c>
      <c r="C87" s="77" t="n">
        <v>0.0</v>
      </c>
      <c r="D87" s="77" t="n">
        <v>0.0</v>
      </c>
      <c r="E87" s="77">
        <f si="2" t="shared"/>
        <v>0</v>
      </c>
      <c r="G87">
        <v>76</v>
      </c>
      <c r="H87" s="87" t="n">
        <v>18.0</v>
      </c>
      <c r="I87" s="77" t="n">
        <v>9.0</v>
      </c>
      <c r="J87" s="87" t="n">
        <v>0.0</v>
      </c>
      <c r="K87" s="77">
        <f si="3" t="shared"/>
        <v>242</v>
      </c>
      <c r="W87" s="9"/>
    </row>
    <row r="88" spans="1:23" x14ac:dyDescent="0.25">
      <c r="A88">
        <v>77</v>
      </c>
      <c r="B88" s="77" t="n">
        <v>0.0</v>
      </c>
      <c r="C88" s="77" t="n">
        <v>0.0</v>
      </c>
      <c r="D88" s="77" t="n">
        <v>0.0</v>
      </c>
      <c r="E88" s="77">
        <f si="2" t="shared"/>
        <v>0</v>
      </c>
      <c r="G88">
        <v>77</v>
      </c>
      <c r="H88" s="87" t="n">
        <v>54.0</v>
      </c>
      <c r="I88" s="77" t="n">
        <v>18.0</v>
      </c>
      <c r="J88" s="77" t="n">
        <v>4.0</v>
      </c>
      <c r="K88" s="77">
        <f si="3" t="shared"/>
        <v>123</v>
      </c>
      <c r="W88" s="9"/>
    </row>
    <row r="89" spans="1:23" x14ac:dyDescent="0.25">
      <c r="A89">
        <v>78</v>
      </c>
      <c r="B89" s="77" t="n">
        <v>212.667</v>
      </c>
      <c r="C89" s="77" t="n">
        <v>0.0</v>
      </c>
      <c r="D89" s="77" t="n">
        <v>0.0</v>
      </c>
      <c r="E89" s="77">
        <f si="2" t="shared"/>
        <v>212.667</v>
      </c>
      <c r="G89">
        <v>78</v>
      </c>
      <c r="H89" s="87" t="n">
        <v>27.0</v>
      </c>
      <c r="I89" s="77" t="n">
        <v>28.0</v>
      </c>
      <c r="J89" s="77" t="n">
        <v>7.0</v>
      </c>
      <c r="K89" s="77">
        <f si="3" t="shared"/>
        <v>172</v>
      </c>
      <c r="W89" s="9"/>
    </row>
    <row r="90" spans="1:23" x14ac:dyDescent="0.25">
      <c r="A90">
        <v>79</v>
      </c>
      <c r="B90" s="77" t="n">
        <v>0.0</v>
      </c>
      <c r="C90" s="77" t="n">
        <v>0.0</v>
      </c>
      <c r="D90" s="77" t="n">
        <v>0.0</v>
      </c>
      <c r="E90" s="77">
        <f si="2" t="shared"/>
        <v>0</v>
      </c>
      <c r="G90">
        <v>79</v>
      </c>
      <c r="H90" s="87" t="n">
        <v>19.0</v>
      </c>
      <c r="I90" s="77" t="n">
        <v>13.0</v>
      </c>
      <c r="J90" s="77" t="n">
        <v>2.0</v>
      </c>
      <c r="K90" s="77">
        <f si="3" t="shared"/>
        <v>119</v>
      </c>
      <c r="W90" s="9"/>
    </row>
    <row r="91" spans="1:23" x14ac:dyDescent="0.25">
      <c r="A91">
        <v>80</v>
      </c>
      <c r="B91" s="77" t="n">
        <v>0.0</v>
      </c>
      <c r="C91" s="77" t="n">
        <v>0.0</v>
      </c>
      <c r="D91" s="77" t="n">
        <v>0.0</v>
      </c>
      <c r="E91" s="77">
        <f si="2" t="shared"/>
        <v>0</v>
      </c>
      <c r="G91">
        <v>80</v>
      </c>
      <c r="H91" s="87" t="n">
        <v>35.0</v>
      </c>
      <c r="I91" s="77" t="n">
        <v>24.0</v>
      </c>
      <c r="J91" s="77" t="n">
        <v>3.0</v>
      </c>
      <c r="K91" s="77">
        <f si="3" t="shared"/>
        <v>203</v>
      </c>
      <c r="W91" s="9"/>
    </row>
    <row r="92" spans="1:23" x14ac:dyDescent="0.25">
      <c r="A92">
        <v>81</v>
      </c>
      <c r="B92" s="77" t="n">
        <v>0.0</v>
      </c>
      <c r="C92" s="77" t="n">
        <v>0.0</v>
      </c>
      <c r="D92" s="77" t="n">
        <v>0.0</v>
      </c>
      <c r="E92" s="77">
        <f si="2" t="shared"/>
        <v>0</v>
      </c>
      <c r="G92">
        <v>81</v>
      </c>
      <c r="H92" s="87" t="n">
        <v>11.0</v>
      </c>
      <c r="I92" s="77" t="n">
        <v>16.0</v>
      </c>
      <c r="J92" s="77" t="n">
        <v>5.0</v>
      </c>
      <c r="K92" s="77">
        <f si="3" t="shared"/>
        <v>92</v>
      </c>
      <c r="W92" s="9"/>
    </row>
    <row r="93" spans="1:23" x14ac:dyDescent="0.25">
      <c r="A93">
        <v>82</v>
      </c>
      <c r="B93" s="77" t="n">
        <v>0.0</v>
      </c>
      <c r="C93" s="77" t="n">
        <v>0.0</v>
      </c>
      <c r="D93" s="77" t="n">
        <v>0.0</v>
      </c>
      <c r="E93" s="77">
        <f si="2" t="shared"/>
        <v>0</v>
      </c>
      <c r="G93">
        <v>82</v>
      </c>
      <c r="H93" s="87" t="n">
        <v>12.0</v>
      </c>
      <c r="I93" s="77" t="n">
        <v>11.0</v>
      </c>
      <c r="J93" s="77" t="n">
        <v>1.0</v>
      </c>
      <c r="K93" s="77">
        <f si="3" t="shared"/>
        <v>100</v>
      </c>
      <c r="W93" s="9"/>
    </row>
    <row r="94" spans="1:23" x14ac:dyDescent="0.25">
      <c r="A94">
        <v>83</v>
      </c>
      <c r="B94" s="77" t="n">
        <v>0.0</v>
      </c>
      <c r="C94" s="77" t="n">
        <v>0.0</v>
      </c>
      <c r="D94" s="77" t="n">
        <v>0.0</v>
      </c>
      <c r="E94" s="77">
        <f si="2" t="shared"/>
        <v>0</v>
      </c>
      <c r="G94">
        <v>83</v>
      </c>
      <c r="H94" s="87" t="n">
        <v>3.0</v>
      </c>
      <c r="I94" s="77" t="n">
        <v>10.0</v>
      </c>
      <c r="J94" s="77" t="n">
        <v>1.0</v>
      </c>
      <c r="K94" s="77">
        <f si="3" t="shared"/>
        <v>39</v>
      </c>
      <c r="W94" s="9"/>
    </row>
    <row r="95" spans="1:23" x14ac:dyDescent="0.25">
      <c r="A95">
        <v>84</v>
      </c>
      <c r="B95" s="77" t="n">
        <v>0.0</v>
      </c>
      <c r="C95" s="77" t="n">
        <v>0.0</v>
      </c>
      <c r="D95" s="77" t="n">
        <v>0.0</v>
      </c>
      <c r="E95" s="77">
        <f si="2" t="shared"/>
        <v>0</v>
      </c>
      <c r="G95">
        <v>84</v>
      </c>
      <c r="H95" s="87" t="n">
        <v>9.0</v>
      </c>
      <c r="I95" s="77" t="n">
        <v>8.0</v>
      </c>
      <c r="J95" s="77" t="n">
        <v>2.0</v>
      </c>
      <c r="K95" s="77">
        <f si="3" t="shared"/>
        <v>62</v>
      </c>
      <c r="W95" s="9"/>
    </row>
    <row r="96" spans="1:23" x14ac:dyDescent="0.25">
      <c r="A96">
        <v>85</v>
      </c>
      <c r="B96" s="77" t="n">
        <v>0.0</v>
      </c>
      <c r="C96" s="77" t="n">
        <v>0.0</v>
      </c>
      <c r="D96" s="77" t="n">
        <v>0.0</v>
      </c>
      <c r="E96" s="77">
        <f si="2" t="shared"/>
        <v>0</v>
      </c>
      <c r="G96">
        <v>85</v>
      </c>
      <c r="H96" s="87" t="n">
        <v>6.0</v>
      </c>
      <c r="I96" s="77" t="n">
        <v>15.0</v>
      </c>
      <c r="J96" s="77" t="n">
        <v>5.0</v>
      </c>
      <c r="K96" s="77">
        <f si="3" t="shared"/>
        <v>71</v>
      </c>
      <c r="W96" s="9"/>
    </row>
    <row r="97" spans="1:23" x14ac:dyDescent="0.25">
      <c r="A97">
        <v>86</v>
      </c>
      <c r="B97" s="77" t="n">
        <v>0.0</v>
      </c>
      <c r="C97" s="77" t="n">
        <v>0.0</v>
      </c>
      <c r="D97" s="77" t="n">
        <v>0.0</v>
      </c>
      <c r="E97" s="77">
        <f si="2" t="shared"/>
        <v>0</v>
      </c>
      <c r="G97">
        <v>86</v>
      </c>
      <c r="H97" s="87" t="n">
        <v>2.0</v>
      </c>
      <c r="I97" s="77" t="n">
        <v>5.0</v>
      </c>
      <c r="J97" s="77" t="n">
        <v>0.0</v>
      </c>
      <c r="K97" s="77">
        <f si="3" t="shared"/>
        <v>28</v>
      </c>
      <c r="W97" s="9"/>
    </row>
    <row r="98" spans="1:23" x14ac:dyDescent="0.25">
      <c r="A98">
        <v>87</v>
      </c>
      <c r="B98" s="77" t="n">
        <v>0.0</v>
      </c>
      <c r="C98" s="77" t="n">
        <v>0.0</v>
      </c>
      <c r="D98" s="77" t="n">
        <v>0.0</v>
      </c>
      <c r="E98" s="77">
        <f si="2" t="shared"/>
        <v>0</v>
      </c>
      <c r="G98">
        <v>87</v>
      </c>
      <c r="H98" s="87" t="n">
        <v>3.0</v>
      </c>
      <c r="I98" s="77" t="n">
        <v>4.0</v>
      </c>
      <c r="J98" s="77" t="n">
        <v>0.0</v>
      </c>
      <c r="K98" s="77">
        <f si="3" t="shared"/>
        <v>5</v>
      </c>
      <c r="W98" s="9"/>
    </row>
    <row r="99" spans="1:23" x14ac:dyDescent="0.25">
      <c r="A99">
        <v>88</v>
      </c>
      <c r="B99" s="77" t="n">
        <v>0.0</v>
      </c>
      <c r="C99" s="77" t="n">
        <v>0.0</v>
      </c>
      <c r="D99" s="77" t="n">
        <v>0.0</v>
      </c>
      <c r="E99" s="77">
        <f si="2" t="shared"/>
        <v>0</v>
      </c>
      <c r="G99">
        <v>88</v>
      </c>
      <c r="H99" s="87" t="n">
        <v>8.0</v>
      </c>
      <c r="I99" s="77" t="n">
        <v>21.0</v>
      </c>
      <c r="J99" s="77" t="n">
        <v>4.0</v>
      </c>
      <c r="K99" s="77">
        <f si="3" t="shared"/>
        <v>41</v>
      </c>
      <c r="W99" s="9"/>
    </row>
    <row r="100" spans="1:23" x14ac:dyDescent="0.25">
      <c r="A100">
        <v>89</v>
      </c>
      <c r="B100" s="77" t="n">
        <v>390.53229999999996</v>
      </c>
      <c r="C100" s="77" t="n">
        <v>0.0</v>
      </c>
      <c r="D100" s="77" t="n">
        <v>0.0</v>
      </c>
      <c r="E100" s="77">
        <f si="2" t="shared"/>
        <v>390.53229999999996</v>
      </c>
      <c r="G100">
        <v>89</v>
      </c>
      <c r="H100" s="87" t="n">
        <v>38.0</v>
      </c>
      <c r="I100" s="77" t="n">
        <v>35.0</v>
      </c>
      <c r="J100" s="77" t="n">
        <v>6.0</v>
      </c>
      <c r="K100" s="77">
        <f si="3" t="shared"/>
        <v>263</v>
      </c>
      <c r="W100" s="9"/>
    </row>
    <row ht="15.75" r="101" spans="1:23" thickBot="1" x14ac:dyDescent="0.3">
      <c r="A101" s="1" t="s">
        <v>260</v>
      </c>
      <c r="B101" s="78" t="n">
        <v>104700.6578</v>
      </c>
      <c r="C101" s="78" t="n">
        <v>78770.7669</v>
      </c>
      <c r="D101" s="78" t="n">
        <v>9339.8181</v>
      </c>
      <c r="E101" s="77">
        <f si="2" t="shared"/>
        <v>192811.24280000001</v>
      </c>
      <c r="G101" s="1" t="s">
        <v>260</v>
      </c>
      <c r="H101" s="88" t="n">
        <v>0.0</v>
      </c>
      <c r="I101" s="78" t="n">
        <v>0.0</v>
      </c>
      <c r="J101" s="78" t="n">
        <v>0.0</v>
      </c>
      <c r="K101" s="78">
        <f si="3" t="shared"/>
        <v>0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W101"/>
  <sheetViews>
    <sheetView workbookViewId="0">
      <selection activeCell="Q9" sqref="Q9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261</v>
      </c>
    </row>
    <row r="3" spans="1:23" x14ac:dyDescent="0.25">
      <c r="A3" t="s">
        <v>262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ht="15.75" r="9" spans="1:23" thickBot="1" x14ac:dyDescent="0.3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281</v>
      </c>
      <c r="M10" s="2"/>
      <c r="N10" s="5" t="s">
        <v>213</v>
      </c>
      <c r="O10" s="37" t="s">
        <v>281</v>
      </c>
      <c r="W10" s="9"/>
    </row>
    <row r="11" spans="1:23" x14ac:dyDescent="0.25">
      <c r="A11">
        <v>0</v>
      </c>
      <c r="B11" s="77" t="n">
        <v>976.8606</v>
      </c>
      <c r="C11" s="77" t="n">
        <v>772.9955</v>
      </c>
      <c r="D11" s="77" t="n">
        <v>0.0</v>
      </c>
      <c r="E11" s="77">
        <f>SUM(B11:D11)</f>
        <v>1749.8561</v>
      </c>
      <c r="G11">
        <v>0</v>
      </c>
      <c r="H11" s="87" t="n">
        <v>29332.0</v>
      </c>
      <c r="I11" s="87" t="n">
        <v>16933.0</v>
      </c>
      <c r="J11" s="87" t="n">
        <v>5691.0</v>
      </c>
      <c r="K11" s="77">
        <f>SUM(H11:J11)</f>
        <v>60284</v>
      </c>
      <c r="M11" t="s">
        <v>9</v>
      </c>
      <c r="N11" s="81" t="n">
        <v>33.95231958027881</v>
      </c>
      <c r="O11" s="81" t="n">
        <v>29.498365793517902</v>
      </c>
      <c r="W11" s="9"/>
    </row>
    <row r="12" spans="1:23" x14ac:dyDescent="0.25">
      <c r="A12">
        <v>1</v>
      </c>
      <c r="B12" s="77" t="n">
        <v>768.7115</v>
      </c>
      <c r="C12" s="77" t="n">
        <v>795.2279</v>
      </c>
      <c r="D12" s="77" t="n">
        <v>0.0</v>
      </c>
      <c r="E12" s="77">
        <f ref="E12:E75" si="0" t="shared">SUM(B12:D12)</f>
        <v>1563.9394</v>
      </c>
      <c r="G12">
        <v>1</v>
      </c>
      <c r="H12" s="87" t="n">
        <v>14728.0</v>
      </c>
      <c r="I12" s="87" t="n">
        <v>3631.0</v>
      </c>
      <c r="J12" s="87" t="n">
        <v>937.0</v>
      </c>
      <c r="K12" s="77">
        <f ref="K12:K75" si="1" t="shared">SUM(H12:J12)</f>
        <v>19033</v>
      </c>
      <c r="M12" t="s">
        <v>10</v>
      </c>
      <c r="N12" s="81" t="n">
        <v>28.481409922167774</v>
      </c>
      <c r="O12" s="81" t="n">
        <v>27.32037034075621</v>
      </c>
      <c r="W12" s="9"/>
    </row>
    <row r="13" spans="1:23" x14ac:dyDescent="0.25">
      <c r="A13">
        <v>2</v>
      </c>
      <c r="B13" s="77" t="n">
        <v>3333.5511</v>
      </c>
      <c r="C13" s="77" t="n">
        <v>103.4239</v>
      </c>
      <c r="D13" s="77" t="n">
        <v>0.0</v>
      </c>
      <c r="E13" s="77">
        <f si="0" t="shared"/>
        <v>3436.9750000000004</v>
      </c>
      <c r="G13">
        <v>2</v>
      </c>
      <c r="H13" s="87" t="n">
        <v>18271.0</v>
      </c>
      <c r="I13" s="87" t="n">
        <v>4690.0</v>
      </c>
      <c r="J13" s="87" t="n">
        <v>1270.0</v>
      </c>
      <c r="K13" s="77">
        <f si="1" t="shared"/>
        <v>23659</v>
      </c>
      <c r="M13" s="6" t="s">
        <v>11</v>
      </c>
      <c r="N13" s="82" t="n">
        <v>33.201766695193704</v>
      </c>
      <c r="O13" s="82" t="n">
        <v>25.41091816837341</v>
      </c>
      <c r="W13" s="9"/>
    </row>
    <row ht="15.75" r="14" spans="1:23" thickBot="1" x14ac:dyDescent="0.3">
      <c r="A14">
        <v>3</v>
      </c>
      <c r="B14" s="77" t="n">
        <v>2600.5398</v>
      </c>
      <c r="C14" s="77" t="n">
        <v>411.0399</v>
      </c>
      <c r="D14" s="77" t="n">
        <v>205.5457</v>
      </c>
      <c r="E14" s="77">
        <f si="0" t="shared"/>
        <v>3217.1254000000004</v>
      </c>
      <c r="G14">
        <v>3</v>
      </c>
      <c r="H14" s="87" t="n">
        <v>19348.0</v>
      </c>
      <c r="I14" s="87" t="n">
        <v>5148.0</v>
      </c>
      <c r="J14" s="87" t="n">
        <v>1366.0</v>
      </c>
      <c r="K14" s="77">
        <f si="1" t="shared"/>
        <v>24844</v>
      </c>
      <c r="M14" s="1" t="s">
        <v>4</v>
      </c>
      <c r="N14" s="83" t="n">
        <v>33.03920797016727</v>
      </c>
      <c r="O14" s="83" t="n">
        <v>28.901235271428853</v>
      </c>
      <c r="W14" s="9"/>
    </row>
    <row r="15" spans="1:23" x14ac:dyDescent="0.25">
      <c r="A15">
        <v>4</v>
      </c>
      <c r="B15" s="77" t="n">
        <v>4736.5321</v>
      </c>
      <c r="C15" s="77" t="n">
        <v>86.4058</v>
      </c>
      <c r="D15" s="77" t="n">
        <v>0.0</v>
      </c>
      <c r="E15" s="77">
        <f si="0" t="shared"/>
        <v>4822.9379000000008</v>
      </c>
      <c r="G15">
        <v>4</v>
      </c>
      <c r="H15" s="87" t="n">
        <v>19548.0</v>
      </c>
      <c r="I15" s="87" t="n">
        <v>5352.0</v>
      </c>
      <c r="J15" s="87" t="n">
        <v>1411.0</v>
      </c>
      <c r="K15" s="77">
        <f si="1" t="shared"/>
        <v>25232</v>
      </c>
      <c r="W15" s="9"/>
    </row>
    <row r="16" spans="1:23" x14ac:dyDescent="0.25">
      <c r="A16">
        <v>5</v>
      </c>
      <c r="B16" s="77" t="n">
        <v>4897.4107</v>
      </c>
      <c r="C16" s="77" t="n">
        <v>3596.0171</v>
      </c>
      <c r="D16" s="77" t="n">
        <v>321.0216</v>
      </c>
      <c r="E16" s="77">
        <f si="0" t="shared"/>
        <v>8814.4494000000013</v>
      </c>
      <c r="G16">
        <v>5</v>
      </c>
      <c r="H16" s="87" t="n">
        <v>19330.0</v>
      </c>
      <c r="I16" s="87" t="n">
        <v>5828.0</v>
      </c>
      <c r="J16" s="87" t="n">
        <v>1630.0</v>
      </c>
      <c r="K16" s="77">
        <f si="1" t="shared"/>
        <v>25835</v>
      </c>
      <c r="W16" s="9"/>
    </row>
    <row r="17" spans="1:23" x14ac:dyDescent="0.25">
      <c r="A17">
        <v>6</v>
      </c>
      <c r="B17" s="77" t="n">
        <v>9085.5473</v>
      </c>
      <c r="C17" s="77" t="n">
        <v>1749.5683999999999</v>
      </c>
      <c r="D17" s="77" t="n">
        <v>494.7706</v>
      </c>
      <c r="E17" s="77">
        <f si="0" t="shared"/>
        <v>11329.8863</v>
      </c>
      <c r="G17">
        <v>6</v>
      </c>
      <c r="H17" s="87" t="n">
        <v>18731.0</v>
      </c>
      <c r="I17" s="87" t="n">
        <v>5934.0</v>
      </c>
      <c r="J17" s="87" t="n">
        <v>1833.0</v>
      </c>
      <c r="K17" s="77">
        <f si="1" t="shared"/>
        <v>25718</v>
      </c>
      <c r="W17" s="9"/>
    </row>
    <row r="18" spans="1:23" x14ac:dyDescent="0.25">
      <c r="A18">
        <v>7</v>
      </c>
      <c r="B18" s="77" t="n">
        <v>7631.5134</v>
      </c>
      <c r="C18" s="77" t="n">
        <v>1961.9987</v>
      </c>
      <c r="D18" s="77" t="n">
        <v>0.0</v>
      </c>
      <c r="E18" s="77">
        <f si="0" t="shared"/>
        <v>9593.5120999999999</v>
      </c>
      <c r="G18">
        <v>7</v>
      </c>
      <c r="H18" s="87" t="n">
        <v>17053.0</v>
      </c>
      <c r="I18" s="87" t="n">
        <v>5437.0</v>
      </c>
      <c r="J18" s="87" t="n">
        <v>1555.0</v>
      </c>
      <c r="K18" s="77">
        <f si="1" t="shared"/>
        <v>23148</v>
      </c>
      <c r="W18" s="9"/>
    </row>
    <row r="19" spans="1:23" x14ac:dyDescent="0.25">
      <c r="A19">
        <v>8</v>
      </c>
      <c r="B19" s="77" t="n">
        <v>7528.9149</v>
      </c>
      <c r="C19" s="77" t="n">
        <v>1690.9759</v>
      </c>
      <c r="D19" s="77" t="n">
        <v>374.8478</v>
      </c>
      <c r="E19" s="77">
        <f si="0" t="shared"/>
        <v>9594.7385999999988</v>
      </c>
      <c r="G19">
        <v>8</v>
      </c>
      <c r="H19" s="87" t="n">
        <v>15028.0</v>
      </c>
      <c r="I19" s="87" t="n">
        <v>4474.0</v>
      </c>
      <c r="J19" s="87" t="n">
        <v>1396.0</v>
      </c>
      <c r="K19" s="77">
        <f si="1" t="shared"/>
        <v>19472</v>
      </c>
      <c r="W19" s="9"/>
    </row>
    <row r="20" spans="1:23" x14ac:dyDescent="0.25">
      <c r="A20">
        <v>9</v>
      </c>
      <c r="B20" s="77" t="n">
        <v>7522.7171</v>
      </c>
      <c r="C20" s="77" t="n">
        <v>2399.5253000000002</v>
      </c>
      <c r="D20" s="77" t="n">
        <v>199.9952</v>
      </c>
      <c r="E20" s="77">
        <f si="0" t="shared"/>
        <v>10122.237599999999</v>
      </c>
      <c r="G20">
        <v>9</v>
      </c>
      <c r="H20" s="87" t="n">
        <v>13642.0</v>
      </c>
      <c r="I20" s="87" t="n">
        <v>3928.0</v>
      </c>
      <c r="J20" s="87" t="n">
        <v>1175.0</v>
      </c>
      <c r="K20" s="77">
        <f si="1" t="shared"/>
        <v>17632</v>
      </c>
      <c r="W20" s="9"/>
    </row>
    <row r="21" spans="1:23" x14ac:dyDescent="0.25">
      <c r="A21">
        <v>10</v>
      </c>
      <c r="B21" s="77" t="n">
        <v>8417.4603</v>
      </c>
      <c r="C21" s="77" t="n">
        <v>738.6853</v>
      </c>
      <c r="D21" s="77" t="n">
        <v>0.0</v>
      </c>
      <c r="E21" s="77">
        <f si="0" t="shared"/>
        <v>9156.1455999999998</v>
      </c>
      <c r="G21">
        <v>10</v>
      </c>
      <c r="H21" s="87" t="n">
        <v>12299.0</v>
      </c>
      <c r="I21" s="87" t="n">
        <v>3519.0</v>
      </c>
      <c r="J21" s="87" t="n">
        <v>998.0</v>
      </c>
      <c r="K21" s="77">
        <f si="1" t="shared"/>
        <v>15304</v>
      </c>
      <c r="W21" s="9"/>
    </row>
    <row r="22" spans="1:23" x14ac:dyDescent="0.25">
      <c r="A22">
        <v>11</v>
      </c>
      <c r="B22" s="77" t="n">
        <v>7086.4241</v>
      </c>
      <c r="C22" s="77" t="n">
        <v>4300.0416000000005</v>
      </c>
      <c r="D22" s="77" t="n">
        <v>0.0</v>
      </c>
      <c r="E22" s="77">
        <f si="0" t="shared"/>
        <v>11386.465700000001</v>
      </c>
      <c r="G22">
        <v>11</v>
      </c>
      <c r="H22" s="87" t="n">
        <v>11419.0</v>
      </c>
      <c r="I22" s="87" t="n">
        <v>3300.0</v>
      </c>
      <c r="J22" s="87" t="n">
        <v>900.0</v>
      </c>
      <c r="K22" s="77">
        <f si="1" t="shared"/>
        <v>14296</v>
      </c>
      <c r="W22" s="9"/>
    </row>
    <row r="23" spans="1:23" x14ac:dyDescent="0.25">
      <c r="A23">
        <v>12</v>
      </c>
      <c r="B23" s="77" t="n">
        <v>13080.2019</v>
      </c>
      <c r="C23" s="77" t="n">
        <v>2512.881</v>
      </c>
      <c r="D23" s="77" t="n">
        <v>0.0</v>
      </c>
      <c r="E23" s="77">
        <f si="0" t="shared"/>
        <v>15593.082899999999</v>
      </c>
      <c r="G23">
        <v>12</v>
      </c>
      <c r="H23" s="87" t="n">
        <v>11340.0</v>
      </c>
      <c r="I23" s="87" t="n">
        <v>2966.0</v>
      </c>
      <c r="J23" s="87" t="n">
        <v>879.0</v>
      </c>
      <c r="K23" s="77">
        <f si="1" t="shared"/>
        <v>13696</v>
      </c>
      <c r="W23" s="9"/>
    </row>
    <row r="24" spans="1:23" x14ac:dyDescent="0.25">
      <c r="A24">
        <v>13</v>
      </c>
      <c r="B24" s="77" t="n">
        <v>10118.058</v>
      </c>
      <c r="C24" s="77" t="n">
        <v>3824.6041999999998</v>
      </c>
      <c r="D24" s="77" t="n">
        <v>107.4506</v>
      </c>
      <c r="E24" s="77">
        <f si="0" t="shared"/>
        <v>14050.112800000001</v>
      </c>
      <c r="G24">
        <v>13</v>
      </c>
      <c r="H24" s="87" t="n">
        <v>10262.0</v>
      </c>
      <c r="I24" s="87" t="n">
        <v>2624.0</v>
      </c>
      <c r="J24" s="87" t="n">
        <v>779.0</v>
      </c>
      <c r="K24" s="77">
        <f si="1" t="shared"/>
        <v>12323</v>
      </c>
      <c r="W24" s="9"/>
    </row>
    <row r="25" spans="1:23" x14ac:dyDescent="0.25">
      <c r="A25">
        <v>14</v>
      </c>
      <c r="B25" s="77" t="n">
        <v>7824.167</v>
      </c>
      <c r="C25" s="77" t="n">
        <v>5343.0985</v>
      </c>
      <c r="D25" s="77" t="n">
        <v>344.4815</v>
      </c>
      <c r="E25" s="77">
        <f si="0" t="shared"/>
        <v>13511.747000000001</v>
      </c>
      <c r="G25">
        <v>14</v>
      </c>
      <c r="H25" s="87" t="n">
        <v>9971.0</v>
      </c>
      <c r="I25" s="87" t="n">
        <v>2639.0</v>
      </c>
      <c r="J25" s="87" t="n">
        <v>773.0</v>
      </c>
      <c r="K25" s="77">
        <f si="1" t="shared"/>
        <v>11845</v>
      </c>
      <c r="W25" s="9"/>
    </row>
    <row r="26" spans="1:23" x14ac:dyDescent="0.25">
      <c r="A26">
        <v>15</v>
      </c>
      <c r="B26" s="77" t="n">
        <v>7316.9541</v>
      </c>
      <c r="C26" s="77" t="n">
        <v>1605.7164</v>
      </c>
      <c r="D26" s="77" t="n">
        <v>83.9342</v>
      </c>
      <c r="E26" s="77">
        <f si="0" t="shared"/>
        <v>9006.6046999999999</v>
      </c>
      <c r="G26">
        <v>15</v>
      </c>
      <c r="H26" s="87" t="n">
        <v>8523.0</v>
      </c>
      <c r="I26" s="87" t="n">
        <v>2287.0</v>
      </c>
      <c r="J26" s="87" t="n">
        <v>628.0</v>
      </c>
      <c r="K26" s="77">
        <f si="1" t="shared"/>
        <v>10206</v>
      </c>
      <c r="W26" s="9"/>
    </row>
    <row r="27" spans="1:23" x14ac:dyDescent="0.25">
      <c r="A27">
        <v>16</v>
      </c>
      <c r="B27" s="77" t="n">
        <v>20061.0547</v>
      </c>
      <c r="C27" s="77" t="n">
        <v>10110.8344</v>
      </c>
      <c r="D27" s="77" t="n">
        <v>1744.6917</v>
      </c>
      <c r="E27" s="77">
        <f si="0" t="shared"/>
        <v>31916.5808</v>
      </c>
      <c r="G27">
        <v>16</v>
      </c>
      <c r="H27" s="87" t="n">
        <v>8438.0</v>
      </c>
      <c r="I27" s="87" t="n">
        <v>2275.0</v>
      </c>
      <c r="J27" s="87" t="n">
        <v>645.0</v>
      </c>
      <c r="K27" s="77">
        <f si="1" t="shared"/>
        <v>9928</v>
      </c>
      <c r="W27" s="9"/>
    </row>
    <row r="28" spans="1:23" x14ac:dyDescent="0.25">
      <c r="A28">
        <v>17</v>
      </c>
      <c r="B28" s="77" t="n">
        <v>9203.9356</v>
      </c>
      <c r="C28" s="77" t="n">
        <v>2398.4562</v>
      </c>
      <c r="D28" s="77" t="n">
        <v>92.4029</v>
      </c>
      <c r="E28" s="77">
        <f si="0" t="shared"/>
        <v>11694.7947</v>
      </c>
      <c r="G28">
        <v>17</v>
      </c>
      <c r="H28" s="87" t="n">
        <v>8458.0</v>
      </c>
      <c r="I28" s="87" t="n">
        <v>2082.0</v>
      </c>
      <c r="J28" s="87" t="n">
        <v>624.0</v>
      </c>
      <c r="K28" s="77">
        <f si="1" t="shared"/>
        <v>9690</v>
      </c>
      <c r="W28" s="9"/>
    </row>
    <row r="29" spans="1:23" x14ac:dyDescent="0.25">
      <c r="A29">
        <v>18</v>
      </c>
      <c r="B29" s="77" t="n">
        <v>54233.9252</v>
      </c>
      <c r="C29" s="77" t="n">
        <v>13267.4627</v>
      </c>
      <c r="D29" s="77" t="n">
        <v>2354.7288</v>
      </c>
      <c r="E29" s="77">
        <f si="0" t="shared"/>
        <v>69856.116699999999</v>
      </c>
      <c r="G29">
        <v>18</v>
      </c>
      <c r="H29" s="87" t="n">
        <v>55139.0</v>
      </c>
      <c r="I29" s="87" t="n">
        <v>18943.0</v>
      </c>
      <c r="J29" s="87" t="n">
        <v>4936.0</v>
      </c>
      <c r="K29" s="77">
        <f si="1" t="shared"/>
        <v>70159</v>
      </c>
      <c r="W29" s="9"/>
    </row>
    <row r="30" spans="1:23" x14ac:dyDescent="0.25">
      <c r="A30">
        <v>19</v>
      </c>
      <c r="B30" s="77" t="n">
        <v>35516.8831</v>
      </c>
      <c r="C30" s="77" t="n">
        <v>10486.7828</v>
      </c>
      <c r="D30" s="77" t="n">
        <v>541.5699999999999</v>
      </c>
      <c r="E30" s="77">
        <f si="0" t="shared"/>
        <v>46545.2359</v>
      </c>
      <c r="G30">
        <v>19</v>
      </c>
      <c r="H30" s="87" t="n">
        <v>25053.0</v>
      </c>
      <c r="I30" s="87" t="n">
        <v>7258.0</v>
      </c>
      <c r="J30" s="87" t="n">
        <v>2194.0</v>
      </c>
      <c r="K30" s="77">
        <f si="1" t="shared"/>
        <v>30540</v>
      </c>
      <c r="W30" s="9"/>
    </row>
    <row r="31" spans="1:23" x14ac:dyDescent="0.25">
      <c r="A31">
        <v>20</v>
      </c>
      <c r="B31" s="77" t="n">
        <v>38108.569</v>
      </c>
      <c r="C31" s="77" t="n">
        <v>13450.072</v>
      </c>
      <c r="D31" s="77" t="n">
        <v>933.6696</v>
      </c>
      <c r="E31" s="77">
        <f si="0" t="shared"/>
        <v>52492.310600000004</v>
      </c>
      <c r="G31">
        <v>20</v>
      </c>
      <c r="H31" s="87" t="n">
        <v>31513.0</v>
      </c>
      <c r="I31" s="87" t="n">
        <v>7621.0</v>
      </c>
      <c r="J31" s="87" t="n">
        <v>2297.0</v>
      </c>
      <c r="K31" s="77">
        <f si="1" t="shared"/>
        <v>32908</v>
      </c>
      <c r="W31" s="9"/>
    </row>
    <row r="32" spans="1:23" x14ac:dyDescent="0.25">
      <c r="A32">
        <v>21</v>
      </c>
      <c r="B32" s="77" t="n">
        <v>48844.0247</v>
      </c>
      <c r="C32" s="77" t="n">
        <v>13953.9054</v>
      </c>
      <c r="D32" s="77" t="n">
        <v>2256.9712</v>
      </c>
      <c r="E32" s="77">
        <f si="0" t="shared"/>
        <v>65054.901299999998</v>
      </c>
      <c r="G32">
        <v>21</v>
      </c>
      <c r="H32" s="87" t="n">
        <v>41102.0</v>
      </c>
      <c r="I32" s="87" t="n">
        <v>10649.0</v>
      </c>
      <c r="J32" s="87" t="n">
        <v>3177.0</v>
      </c>
      <c r="K32" s="77">
        <f si="1" t="shared"/>
        <v>54051</v>
      </c>
      <c r="W32" s="9"/>
    </row>
    <row r="33" spans="1:23" x14ac:dyDescent="0.25">
      <c r="A33">
        <v>22</v>
      </c>
      <c r="B33" s="77" t="n">
        <v>56403.0031</v>
      </c>
      <c r="C33" s="77" t="n">
        <v>12371.5524</v>
      </c>
      <c r="D33" s="77" t="n">
        <v>6411.5534</v>
      </c>
      <c r="E33" s="77">
        <f si="0" t="shared"/>
        <v>75186.108900000007</v>
      </c>
      <c r="G33">
        <v>22</v>
      </c>
      <c r="H33" s="87" t="n">
        <v>47105.0</v>
      </c>
      <c r="I33" s="87" t="n">
        <v>11937.0</v>
      </c>
      <c r="J33" s="87" t="n">
        <v>3604.0</v>
      </c>
      <c r="K33" s="77">
        <f si="1" t="shared"/>
        <v>53807</v>
      </c>
      <c r="W33" s="9"/>
    </row>
    <row r="34" spans="1:23" x14ac:dyDescent="0.25">
      <c r="A34">
        <v>23</v>
      </c>
      <c r="B34" s="77" t="n">
        <v>32898.927</v>
      </c>
      <c r="C34" s="77" t="n">
        <v>9913.44</v>
      </c>
      <c r="D34" s="77" t="n">
        <v>1454.9184</v>
      </c>
      <c r="E34" s="77">
        <f si="0" t="shared"/>
        <v>44267.285400000008</v>
      </c>
      <c r="G34">
        <v>23</v>
      </c>
      <c r="H34" s="87" t="n">
        <v>49939.0</v>
      </c>
      <c r="I34" s="87" t="n">
        <v>11557.0</v>
      </c>
      <c r="J34" s="87" t="n">
        <v>3354.0</v>
      </c>
      <c r="K34" s="77">
        <f si="1" t="shared"/>
        <v>55287</v>
      </c>
      <c r="W34" s="9"/>
    </row>
    <row r="35" spans="1:23" x14ac:dyDescent="0.25">
      <c r="A35">
        <v>24</v>
      </c>
      <c r="B35" s="77" t="n">
        <v>41052.6633</v>
      </c>
      <c r="C35" s="77" t="n">
        <v>11386.7241</v>
      </c>
      <c r="D35" s="77" t="n">
        <v>2515.284</v>
      </c>
      <c r="E35" s="77">
        <f si="0" t="shared"/>
        <v>54954.671399999999</v>
      </c>
      <c r="G35">
        <v>24</v>
      </c>
      <c r="H35" s="87" t="n">
        <v>37337.0</v>
      </c>
      <c r="I35" s="87" t="n">
        <v>7555.0</v>
      </c>
      <c r="J35" s="87" t="n">
        <v>2476.0</v>
      </c>
      <c r="K35" s="77">
        <f si="1" t="shared"/>
        <v>36683</v>
      </c>
      <c r="W35" s="9"/>
    </row>
    <row r="36" spans="1:23" x14ac:dyDescent="0.25">
      <c r="A36">
        <v>25</v>
      </c>
      <c r="B36" s="77" t="n">
        <v>26051.0564</v>
      </c>
      <c r="C36" s="77" t="n">
        <v>5423.5444</v>
      </c>
      <c r="D36" s="77" t="n">
        <v>1347.9336</v>
      </c>
      <c r="E36" s="77">
        <f si="0" t="shared"/>
        <v>32822.534399999997</v>
      </c>
      <c r="G36">
        <v>25</v>
      </c>
      <c r="H36" s="87" t="n">
        <v>46060.0</v>
      </c>
      <c r="I36" s="87" t="n">
        <v>10498.0</v>
      </c>
      <c r="J36" s="87" t="n">
        <v>3208.0</v>
      </c>
      <c r="K36" s="77">
        <f si="1" t="shared"/>
        <v>47045</v>
      </c>
      <c r="W36" s="9"/>
    </row>
    <row r="37" spans="1:23" x14ac:dyDescent="0.25">
      <c r="A37">
        <v>26</v>
      </c>
      <c r="B37" s="77" t="n">
        <v>44809.536</v>
      </c>
      <c r="C37" s="77" t="n">
        <v>11196.6143</v>
      </c>
      <c r="D37" s="77" t="n">
        <v>530.1191</v>
      </c>
      <c r="E37" s="77">
        <f si="0" t="shared"/>
        <v>56536.269400000005</v>
      </c>
      <c r="G37">
        <v>26</v>
      </c>
      <c r="H37" s="87" t="n">
        <v>47968.0</v>
      </c>
      <c r="I37" s="87" t="n">
        <v>9683.0</v>
      </c>
      <c r="J37" s="87" t="n">
        <v>3045.0</v>
      </c>
      <c r="K37" s="77">
        <f si="1" t="shared"/>
        <v>58540</v>
      </c>
      <c r="W37" s="9"/>
    </row>
    <row r="38" spans="1:23" x14ac:dyDescent="0.25">
      <c r="A38">
        <v>27</v>
      </c>
      <c r="B38" s="77" t="n">
        <v>22839.2256</v>
      </c>
      <c r="C38" s="77" t="n">
        <v>4827.4892</v>
      </c>
      <c r="D38" s="77" t="n">
        <v>388.8753</v>
      </c>
      <c r="E38" s="77">
        <f si="0" t="shared"/>
        <v>28055.590100000001</v>
      </c>
      <c r="G38">
        <v>27</v>
      </c>
      <c r="H38" s="87" t="n">
        <v>32488.0</v>
      </c>
      <c r="I38" s="87" t="n">
        <v>6527.0</v>
      </c>
      <c r="J38" s="87" t="n">
        <v>2000.0</v>
      </c>
      <c r="K38" s="77">
        <f si="1" t="shared"/>
        <v>36354</v>
      </c>
      <c r="W38" s="9"/>
    </row>
    <row r="39" spans="1:23" x14ac:dyDescent="0.25">
      <c r="A39">
        <v>28</v>
      </c>
      <c r="B39" s="77" t="n">
        <v>37325.3525</v>
      </c>
      <c r="C39" s="77" t="n">
        <v>5041.6772</v>
      </c>
      <c r="D39" s="77" t="n">
        <v>1682.6483</v>
      </c>
      <c r="E39" s="77">
        <f si="0" t="shared"/>
        <v>44049.678</v>
      </c>
      <c r="G39">
        <v>28</v>
      </c>
      <c r="H39" s="87" t="n">
        <v>44914.0</v>
      </c>
      <c r="I39" s="87" t="n">
        <v>8794.0</v>
      </c>
      <c r="J39" s="87" t="n">
        <v>2682.0</v>
      </c>
      <c r="K39" s="77">
        <f si="1" t="shared"/>
        <v>43422</v>
      </c>
      <c r="W39" s="9"/>
    </row>
    <row r="40" spans="1:23" x14ac:dyDescent="0.25">
      <c r="A40">
        <v>29</v>
      </c>
      <c r="B40" s="77" t="n">
        <v>28116.7169</v>
      </c>
      <c r="C40" s="77" t="n">
        <v>8071.1693000000005</v>
      </c>
      <c r="D40" s="77" t="n">
        <v>2609.3716</v>
      </c>
      <c r="E40" s="77">
        <f si="0" t="shared"/>
        <v>38797.257799999999</v>
      </c>
      <c r="G40">
        <v>29</v>
      </c>
      <c r="H40" s="87" t="n">
        <v>42953.0</v>
      </c>
      <c r="I40" s="87" t="n">
        <v>8008.0</v>
      </c>
      <c r="J40" s="87" t="n">
        <v>2125.0</v>
      </c>
      <c r="K40" s="77">
        <f si="1" t="shared"/>
        <v>55273</v>
      </c>
      <c r="W40" s="9"/>
    </row>
    <row r="41" spans="1:23" x14ac:dyDescent="0.25">
      <c r="A41">
        <v>30</v>
      </c>
      <c r="B41" s="77" t="n">
        <v>35270.0422</v>
      </c>
      <c r="C41" s="77" t="n">
        <v>3885.6249</v>
      </c>
      <c r="D41" s="77" t="n">
        <v>677.7302</v>
      </c>
      <c r="E41" s="77">
        <f si="0" t="shared"/>
        <v>39833.397300000004</v>
      </c>
      <c r="G41">
        <v>30</v>
      </c>
      <c r="H41" s="87" t="n">
        <v>43381.0</v>
      </c>
      <c r="I41" s="87" t="n">
        <v>7944.0</v>
      </c>
      <c r="J41" s="87" t="n">
        <v>2227.0</v>
      </c>
      <c r="K41" s="77">
        <f si="1" t="shared"/>
        <v>39212</v>
      </c>
      <c r="W41" s="9"/>
    </row>
    <row r="42" spans="1:23" x14ac:dyDescent="0.25">
      <c r="A42">
        <v>31</v>
      </c>
      <c r="B42" s="77" t="n">
        <v>34771.8416</v>
      </c>
      <c r="C42" s="77" t="n">
        <v>8885.7135</v>
      </c>
      <c r="D42" s="77" t="n">
        <v>841.8717</v>
      </c>
      <c r="E42" s="77">
        <f si="0" t="shared"/>
        <v>44499.426800000001</v>
      </c>
      <c r="G42">
        <v>31</v>
      </c>
      <c r="H42" s="87" t="n">
        <v>44282.0</v>
      </c>
      <c r="I42" s="87" t="n">
        <v>9953.0</v>
      </c>
      <c r="J42" s="87" t="n">
        <v>2375.0</v>
      </c>
      <c r="K42" s="77">
        <f si="1" t="shared"/>
        <v>47839</v>
      </c>
      <c r="W42" s="9"/>
    </row>
    <row r="43" spans="1:23" x14ac:dyDescent="0.25">
      <c r="A43">
        <v>32</v>
      </c>
      <c r="B43" s="77" t="n">
        <v>23089.4725</v>
      </c>
      <c r="C43" s="77" t="n">
        <v>4080.5611</v>
      </c>
      <c r="D43" s="77" t="n">
        <v>2247.1212</v>
      </c>
      <c r="E43" s="77">
        <f si="0" t="shared"/>
        <v>29417.1548</v>
      </c>
      <c r="G43">
        <v>32</v>
      </c>
      <c r="H43" s="87" t="n">
        <v>38768.0</v>
      </c>
      <c r="I43" s="87" t="n">
        <v>7320.0</v>
      </c>
      <c r="J43" s="87" t="n">
        <v>2078.0</v>
      </c>
      <c r="K43" s="77">
        <f si="1" t="shared"/>
        <v>46925</v>
      </c>
      <c r="W43" s="9"/>
    </row>
    <row r="44" spans="1:23" x14ac:dyDescent="0.25">
      <c r="A44">
        <v>33</v>
      </c>
      <c r="B44" s="77" t="n">
        <v>28861.443</v>
      </c>
      <c r="C44" s="77" t="n">
        <v>5224.704</v>
      </c>
      <c r="D44" s="77" t="n">
        <v>360.5714</v>
      </c>
      <c r="E44" s="77">
        <f si="0" t="shared"/>
        <v>34446.718399999998</v>
      </c>
      <c r="G44">
        <v>33</v>
      </c>
      <c r="H44" s="87" t="n">
        <v>24724.0</v>
      </c>
      <c r="I44" s="87" t="n">
        <v>4790.0</v>
      </c>
      <c r="J44" s="87" t="n">
        <v>1377.0</v>
      </c>
      <c r="K44" s="77">
        <f si="1" t="shared"/>
        <v>31747</v>
      </c>
      <c r="W44" s="9"/>
    </row>
    <row r="45" spans="1:23" x14ac:dyDescent="0.25">
      <c r="A45">
        <v>34</v>
      </c>
      <c r="B45" s="77" t="n">
        <v>23191.5002</v>
      </c>
      <c r="C45" s="77" t="n">
        <v>3715.6376</v>
      </c>
      <c r="D45" s="77" t="n">
        <v>2686.0828</v>
      </c>
      <c r="E45" s="77">
        <f si="0" t="shared"/>
        <v>29593.220599999997</v>
      </c>
      <c r="G45">
        <v>34</v>
      </c>
      <c r="H45" s="87" t="n">
        <v>33852.0</v>
      </c>
      <c r="I45" s="87" t="n">
        <v>6560.0</v>
      </c>
      <c r="J45" s="87" t="n">
        <v>1835.0</v>
      </c>
      <c r="K45" s="77">
        <f si="1" t="shared"/>
        <v>34272</v>
      </c>
      <c r="W45" s="9"/>
    </row>
    <row r="46" spans="1:23" x14ac:dyDescent="0.25">
      <c r="A46">
        <v>35</v>
      </c>
      <c r="B46" s="77" t="n">
        <v>28738.343100000002</v>
      </c>
      <c r="C46" s="77" t="n">
        <v>5445.5936</v>
      </c>
      <c r="D46" s="77" t="n">
        <v>1813.1448</v>
      </c>
      <c r="E46" s="77">
        <f si="0" t="shared"/>
        <v>35997.081500000008</v>
      </c>
      <c r="G46">
        <v>35</v>
      </c>
      <c r="H46" s="87" t="n">
        <v>29857.0</v>
      </c>
      <c r="I46" s="87" t="n">
        <v>6137.0</v>
      </c>
      <c r="J46" s="87" t="n">
        <v>1640.0</v>
      </c>
      <c r="K46" s="77">
        <f si="1" t="shared"/>
        <v>38712</v>
      </c>
      <c r="W46" s="9"/>
    </row>
    <row r="47" spans="1:23" x14ac:dyDescent="0.25">
      <c r="A47">
        <v>36</v>
      </c>
      <c r="B47" s="77" t="n">
        <v>22361.0691</v>
      </c>
      <c r="C47" s="77" t="n">
        <v>150.8726</v>
      </c>
      <c r="D47" s="77" t="n">
        <v>729.7836</v>
      </c>
      <c r="E47" s="77">
        <f si="0" t="shared"/>
        <v>23241.725299999998</v>
      </c>
      <c r="G47">
        <v>36</v>
      </c>
      <c r="H47" s="87" t="n">
        <v>24037.0</v>
      </c>
      <c r="I47" s="87" t="n">
        <v>5261.0</v>
      </c>
      <c r="J47" s="87" t="n">
        <v>1293.0</v>
      </c>
      <c r="K47" s="77">
        <f si="1" t="shared"/>
        <v>33035</v>
      </c>
      <c r="W47" s="9"/>
    </row>
    <row r="48" spans="1:23" x14ac:dyDescent="0.25">
      <c r="A48">
        <v>37</v>
      </c>
      <c r="B48" s="77" t="n">
        <v>29645.9568</v>
      </c>
      <c r="C48" s="77" t="n">
        <v>5477.1683</v>
      </c>
      <c r="D48" s="77" t="n">
        <v>895.1246</v>
      </c>
      <c r="E48" s="77">
        <f si="0" t="shared"/>
        <v>36018.2497</v>
      </c>
      <c r="G48">
        <v>37</v>
      </c>
      <c r="H48" s="87" t="n">
        <v>24966.0</v>
      </c>
      <c r="I48" s="87" t="n">
        <v>4725.0</v>
      </c>
      <c r="J48" s="87" t="n">
        <v>1289.0</v>
      </c>
      <c r="K48" s="77">
        <f si="1" t="shared"/>
        <v>29112</v>
      </c>
      <c r="W48" s="9"/>
    </row>
    <row r="49" spans="1:23" x14ac:dyDescent="0.25">
      <c r="A49">
        <v>38</v>
      </c>
      <c r="B49" s="77" t="n">
        <v>34776.6183</v>
      </c>
      <c r="C49" s="77" t="n">
        <v>6737.3730000000005</v>
      </c>
      <c r="D49" s="77" t="n">
        <v>424.6245</v>
      </c>
      <c r="E49" s="77">
        <f si="0" t="shared"/>
        <v>41938.6158</v>
      </c>
      <c r="G49">
        <v>38</v>
      </c>
      <c r="H49" s="87" t="n">
        <v>25748.0</v>
      </c>
      <c r="I49" s="87" t="n">
        <v>5341.0</v>
      </c>
      <c r="J49" s="87" t="n">
        <v>1402.0</v>
      </c>
      <c r="K49" s="77">
        <f si="1" t="shared"/>
        <v>25306</v>
      </c>
      <c r="W49" s="9"/>
    </row>
    <row r="50" spans="1:23" x14ac:dyDescent="0.25">
      <c r="A50">
        <v>39</v>
      </c>
      <c r="B50" s="77" t="n">
        <v>20769.1595</v>
      </c>
      <c r="C50" s="77" t="n">
        <v>2386.3916</v>
      </c>
      <c r="D50" s="77" t="n">
        <v>1473.8867</v>
      </c>
      <c r="E50" s="77">
        <f si="0" t="shared"/>
        <v>24629.4378</v>
      </c>
      <c r="G50">
        <v>39</v>
      </c>
      <c r="H50" s="87" t="n">
        <v>25725.0</v>
      </c>
      <c r="I50" s="87" t="n">
        <v>5370.0</v>
      </c>
      <c r="J50" s="87" t="n">
        <v>1344.0</v>
      </c>
      <c r="K50" s="77">
        <f si="1" t="shared"/>
        <v>32554</v>
      </c>
      <c r="W50" s="9"/>
    </row>
    <row r="51" spans="1:23" x14ac:dyDescent="0.25">
      <c r="A51">
        <v>40</v>
      </c>
      <c r="B51" s="77" t="n">
        <v>28122.1993</v>
      </c>
      <c r="C51" s="77" t="n">
        <v>1752.5722</v>
      </c>
      <c r="D51" s="77" t="n">
        <v>487.6054</v>
      </c>
      <c r="E51" s="77">
        <f si="0" t="shared"/>
        <v>30362.376899999999</v>
      </c>
      <c r="G51">
        <v>40</v>
      </c>
      <c r="H51" s="87" t="n">
        <v>22411.0</v>
      </c>
      <c r="I51" s="87" t="n">
        <v>3985.0</v>
      </c>
      <c r="J51" s="87" t="n">
        <v>1012.0</v>
      </c>
      <c r="K51" s="77">
        <f si="1" t="shared"/>
        <v>39182</v>
      </c>
      <c r="W51" s="9"/>
    </row>
    <row r="52" spans="1:23" x14ac:dyDescent="0.25">
      <c r="A52">
        <v>41</v>
      </c>
      <c r="B52" s="77" t="n">
        <v>15388.57</v>
      </c>
      <c r="C52" s="77" t="n">
        <v>3679.8153</v>
      </c>
      <c r="D52" s="77" t="n">
        <v>649.7511</v>
      </c>
      <c r="E52" s="77">
        <f si="0" t="shared"/>
        <v>19718.136400000003</v>
      </c>
      <c r="G52">
        <v>41</v>
      </c>
      <c r="H52" s="87" t="n">
        <v>27879.0</v>
      </c>
      <c r="I52" s="87" t="n">
        <v>6044.0</v>
      </c>
      <c r="J52" s="87" t="n">
        <v>1291.0</v>
      </c>
      <c r="K52" s="77">
        <f si="1" t="shared"/>
        <v>27811</v>
      </c>
      <c r="W52" s="9"/>
    </row>
    <row r="53" spans="1:23" x14ac:dyDescent="0.25">
      <c r="A53">
        <v>42</v>
      </c>
      <c r="B53" s="77" t="n">
        <v>11128.128</v>
      </c>
      <c r="C53" s="77" t="n">
        <v>2557.6177000000002</v>
      </c>
      <c r="D53" s="77" t="n">
        <v>236.5559</v>
      </c>
      <c r="E53" s="77">
        <f si="0" t="shared"/>
        <v>13922.301600000001</v>
      </c>
      <c r="G53">
        <v>42</v>
      </c>
      <c r="H53" s="87" t="n">
        <v>26664.0</v>
      </c>
      <c r="I53" s="87" t="n">
        <v>4571.0</v>
      </c>
      <c r="J53" s="87" t="n">
        <v>1069.0</v>
      </c>
      <c r="K53" s="77">
        <f si="1" t="shared"/>
        <v>30450</v>
      </c>
      <c r="W53" s="9"/>
    </row>
    <row r="54" spans="1:23" x14ac:dyDescent="0.25">
      <c r="A54">
        <v>43</v>
      </c>
      <c r="B54" s="77" t="n">
        <v>20990.971700000002</v>
      </c>
      <c r="C54" s="77" t="n">
        <v>4801.5053</v>
      </c>
      <c r="D54" s="77" t="n">
        <v>500.0788</v>
      </c>
      <c r="E54" s="77">
        <f si="0" t="shared"/>
        <v>26292.555800000002</v>
      </c>
      <c r="G54">
        <v>43</v>
      </c>
      <c r="H54" s="87" t="n">
        <v>16800.0</v>
      </c>
      <c r="I54" s="87" t="n">
        <v>3133.0</v>
      </c>
      <c r="J54" s="87" t="n">
        <v>793.0</v>
      </c>
      <c r="K54" s="77">
        <f si="1" t="shared"/>
        <v>21158</v>
      </c>
      <c r="W54" s="9"/>
    </row>
    <row r="55" spans="1:23" x14ac:dyDescent="0.25">
      <c r="A55">
        <v>44</v>
      </c>
      <c r="B55" s="77" t="n">
        <v>11192.805900000001</v>
      </c>
      <c r="C55" s="77" t="n">
        <v>1639.226</v>
      </c>
      <c r="D55" s="77" t="n">
        <v>738.9924</v>
      </c>
      <c r="E55" s="77">
        <f si="0" t="shared"/>
        <v>13571.024300000001</v>
      </c>
      <c r="G55">
        <v>44</v>
      </c>
      <c r="H55" s="87" t="n">
        <v>14987.0</v>
      </c>
      <c r="I55" s="87" t="n">
        <v>2831.0</v>
      </c>
      <c r="J55" s="87" t="n">
        <v>635.0</v>
      </c>
      <c r="K55" s="77">
        <f si="1" t="shared"/>
        <v>19100</v>
      </c>
      <c r="W55" s="9"/>
    </row>
    <row r="56" spans="1:23" x14ac:dyDescent="0.25">
      <c r="A56">
        <v>45</v>
      </c>
      <c r="B56" s="77" t="n">
        <v>45591.6102</v>
      </c>
      <c r="C56" s="77" t="n">
        <v>9474.4543</v>
      </c>
      <c r="D56" s="77" t="n">
        <v>3501.2357</v>
      </c>
      <c r="E56" s="77">
        <f si="0" t="shared"/>
        <v>58567.300199999998</v>
      </c>
      <c r="G56">
        <v>45</v>
      </c>
      <c r="H56" s="87" t="n">
        <v>24096.0</v>
      </c>
      <c r="I56" s="87" t="n">
        <v>4030.0</v>
      </c>
      <c r="J56" s="87" t="n">
        <v>890.0</v>
      </c>
      <c r="K56" s="77">
        <f si="1" t="shared"/>
        <v>32280</v>
      </c>
      <c r="W56" s="9"/>
    </row>
    <row r="57" spans="1:23" x14ac:dyDescent="0.25">
      <c r="A57">
        <v>46</v>
      </c>
      <c r="B57" s="77" t="n">
        <v>23351.7166</v>
      </c>
      <c r="C57" s="77" t="n">
        <v>3683.0866</v>
      </c>
      <c r="D57" s="77" t="n">
        <v>164.9238</v>
      </c>
      <c r="E57" s="77">
        <f si="0" t="shared"/>
        <v>27199.726999999999</v>
      </c>
      <c r="G57">
        <v>46</v>
      </c>
      <c r="H57" s="87" t="n">
        <v>15907.0</v>
      </c>
      <c r="I57" s="87" t="n">
        <v>2735.0</v>
      </c>
      <c r="J57" s="87" t="n">
        <v>697.0</v>
      </c>
      <c r="K57" s="77">
        <f si="1" t="shared"/>
        <v>19755</v>
      </c>
      <c r="W57" s="9"/>
    </row>
    <row r="58" spans="1:23" x14ac:dyDescent="0.25">
      <c r="A58">
        <v>47</v>
      </c>
      <c r="B58" s="77" t="n">
        <v>19037.6587</v>
      </c>
      <c r="C58" s="77" t="n">
        <v>251.3456</v>
      </c>
      <c r="D58" s="77" t="n">
        <v>197.4496</v>
      </c>
      <c r="E58" s="77">
        <f si="0" t="shared"/>
        <v>19486.4539</v>
      </c>
      <c r="G58">
        <v>47</v>
      </c>
      <c r="H58" s="87" t="n">
        <v>12515.0</v>
      </c>
      <c r="I58" s="87" t="n">
        <v>2514.0</v>
      </c>
      <c r="J58" s="87" t="n">
        <v>558.0</v>
      </c>
      <c r="K58" s="77">
        <f si="1" t="shared"/>
        <v>19893</v>
      </c>
      <c r="W58" s="9"/>
    </row>
    <row r="59" spans="1:23" x14ac:dyDescent="0.25">
      <c r="A59">
        <v>48</v>
      </c>
      <c r="B59" s="77" t="n">
        <v>8574.8078</v>
      </c>
      <c r="C59" s="77" t="n">
        <v>1714.4099999999999</v>
      </c>
      <c r="D59" s="77" t="n">
        <v>221.6667</v>
      </c>
      <c r="E59" s="77">
        <f si="0" t="shared"/>
        <v>10510.8845</v>
      </c>
      <c r="G59">
        <v>48</v>
      </c>
      <c r="H59" s="87" t="n">
        <v>13422.0</v>
      </c>
      <c r="I59" s="87" t="n">
        <v>2286.0</v>
      </c>
      <c r="J59" s="87" t="n">
        <v>579.0</v>
      </c>
      <c r="K59" s="77">
        <f si="1" t="shared"/>
        <v>22670</v>
      </c>
      <c r="W59" s="9"/>
    </row>
    <row r="60" spans="1:23" x14ac:dyDescent="0.25">
      <c r="A60">
        <v>49</v>
      </c>
      <c r="B60" s="77" t="n">
        <v>13313.1465</v>
      </c>
      <c r="C60" s="77" t="n">
        <v>172.325</v>
      </c>
      <c r="D60" s="77" t="n">
        <v>0.0</v>
      </c>
      <c r="E60" s="77">
        <f si="0" t="shared"/>
        <v>13485.471500000001</v>
      </c>
      <c r="G60">
        <v>49</v>
      </c>
      <c r="H60" s="87" t="n">
        <v>11795.0</v>
      </c>
      <c r="I60" s="87" t="n">
        <v>2253.0</v>
      </c>
      <c r="J60" s="87" t="n">
        <v>511.0</v>
      </c>
      <c r="K60" s="77">
        <f si="1" t="shared"/>
        <v>18579</v>
      </c>
      <c r="W60" s="9"/>
    </row>
    <row r="61" spans="1:23" x14ac:dyDescent="0.25">
      <c r="A61">
        <v>50</v>
      </c>
      <c r="B61" s="77" t="n">
        <v>11971.2203</v>
      </c>
      <c r="C61" s="77" t="n">
        <v>607.6772</v>
      </c>
      <c r="D61" s="77" t="n">
        <v>0.0</v>
      </c>
      <c r="E61" s="77">
        <f si="0" t="shared"/>
        <v>12578.897500000001</v>
      </c>
      <c r="G61">
        <v>50</v>
      </c>
      <c r="H61" s="87" t="n">
        <v>18956.0</v>
      </c>
      <c r="I61" s="87" t="n">
        <v>3284.0</v>
      </c>
      <c r="J61" s="87" t="n">
        <v>667.0</v>
      </c>
      <c r="K61" s="77">
        <f si="1" t="shared"/>
        <v>27288</v>
      </c>
      <c r="W61" s="9"/>
    </row>
    <row r="62" spans="1:23" x14ac:dyDescent="0.25">
      <c r="A62">
        <v>51</v>
      </c>
      <c r="B62" s="77" t="n">
        <v>6749.5877</v>
      </c>
      <c r="C62" s="77" t="n">
        <v>355.0461</v>
      </c>
      <c r="D62" s="77" t="n">
        <v>109.3501</v>
      </c>
      <c r="E62" s="77">
        <f si="0" t="shared"/>
        <v>7213.9838999999993</v>
      </c>
      <c r="G62">
        <v>51</v>
      </c>
      <c r="H62" s="87" t="n">
        <v>8522.0</v>
      </c>
      <c r="I62" s="87" t="n">
        <v>1691.0</v>
      </c>
      <c r="J62" s="87" t="n">
        <v>384.0</v>
      </c>
      <c r="K62" s="77">
        <f si="1" t="shared"/>
        <v>12912</v>
      </c>
      <c r="W62" s="9"/>
    </row>
    <row r="63" spans="1:23" x14ac:dyDescent="0.25">
      <c r="A63">
        <v>52</v>
      </c>
      <c r="B63" s="77" t="n">
        <v>15710.4756</v>
      </c>
      <c r="C63" s="77" t="n">
        <v>202.6582</v>
      </c>
      <c r="D63" s="77" t="n">
        <v>0.0</v>
      </c>
      <c r="E63" s="77">
        <f si="0" t="shared"/>
        <v>15913.1338</v>
      </c>
      <c r="G63">
        <v>52</v>
      </c>
      <c r="H63" s="87" t="n">
        <v>9444.0</v>
      </c>
      <c r="I63" s="87" t="n">
        <v>1993.0</v>
      </c>
      <c r="J63" s="87" t="n">
        <v>416.0</v>
      </c>
      <c r="K63" s="77">
        <f si="1" t="shared"/>
        <v>16485</v>
      </c>
      <c r="W63" s="9"/>
    </row>
    <row r="64" spans="1:23" x14ac:dyDescent="0.25">
      <c r="A64">
        <v>53</v>
      </c>
      <c r="B64" s="77" t="n">
        <v>9426.2494</v>
      </c>
      <c r="C64" s="77" t="n">
        <v>1069.882</v>
      </c>
      <c r="D64" s="77" t="n">
        <v>1260.1192</v>
      </c>
      <c r="E64" s="77">
        <f si="0" t="shared"/>
        <v>11756.250599999999</v>
      </c>
      <c r="G64">
        <v>53</v>
      </c>
      <c r="H64" s="87" t="n">
        <v>6571.0</v>
      </c>
      <c r="I64" s="87" t="n">
        <v>1355.0</v>
      </c>
      <c r="J64" s="87" t="n">
        <v>281.0</v>
      </c>
      <c r="K64" s="77">
        <f si="1" t="shared"/>
        <v>13086</v>
      </c>
      <c r="W64" s="9"/>
    </row>
    <row r="65" spans="1:23" x14ac:dyDescent="0.25">
      <c r="A65">
        <v>54</v>
      </c>
      <c r="B65" s="77" t="n">
        <v>14228.0244</v>
      </c>
      <c r="C65" s="77" t="n">
        <v>3517.1571000000004</v>
      </c>
      <c r="D65" s="77" t="n">
        <v>0.0</v>
      </c>
      <c r="E65" s="77">
        <f si="0" t="shared"/>
        <v>17745.181499999999</v>
      </c>
      <c r="G65">
        <v>54</v>
      </c>
      <c r="H65" s="87" t="n">
        <v>11736.0</v>
      </c>
      <c r="I65" s="87" t="n">
        <v>2057.0</v>
      </c>
      <c r="J65" s="87" t="n">
        <v>407.0</v>
      </c>
      <c r="K65" s="77">
        <f si="1" t="shared"/>
        <v>19238</v>
      </c>
      <c r="W65" s="9"/>
    </row>
    <row r="66" spans="1:23" x14ac:dyDescent="0.25">
      <c r="A66">
        <v>55</v>
      </c>
      <c r="B66" s="77" t="n">
        <v>14906.8109</v>
      </c>
      <c r="C66" s="77" t="n">
        <v>2195.2575</v>
      </c>
      <c r="D66" s="77" t="n">
        <v>0.0</v>
      </c>
      <c r="E66" s="77">
        <f si="0" t="shared"/>
        <v>17102.0684</v>
      </c>
      <c r="G66">
        <v>55</v>
      </c>
      <c r="H66" s="87" t="n">
        <v>11617.0</v>
      </c>
      <c r="I66" s="87" t="n">
        <v>2056.0</v>
      </c>
      <c r="J66" s="87" t="n">
        <v>387.0</v>
      </c>
      <c r="K66" s="77">
        <f si="1" t="shared"/>
        <v>12653</v>
      </c>
      <c r="W66" s="9"/>
    </row>
    <row r="67" spans="1:23" x14ac:dyDescent="0.25">
      <c r="A67">
        <v>56</v>
      </c>
      <c r="B67" s="77" t="n">
        <v>4920.5766</v>
      </c>
      <c r="C67" s="77" t="n">
        <v>0.0</v>
      </c>
      <c r="D67" s="77" t="n">
        <v>0.0</v>
      </c>
      <c r="E67" s="77">
        <f si="0" t="shared"/>
        <v>4920.5766000000003</v>
      </c>
      <c r="G67">
        <v>56</v>
      </c>
      <c r="H67" s="87" t="n">
        <v>4493.0</v>
      </c>
      <c r="I67" s="87" t="n">
        <v>1039.0</v>
      </c>
      <c r="J67" s="87" t="n">
        <v>207.0</v>
      </c>
      <c r="K67" s="77">
        <f si="1" t="shared"/>
        <v>10786</v>
      </c>
      <c r="W67" s="9"/>
    </row>
    <row r="68" spans="1:23" x14ac:dyDescent="0.25">
      <c r="A68">
        <v>57</v>
      </c>
      <c r="B68" s="77" t="n">
        <v>4799.5738</v>
      </c>
      <c r="C68" s="77" t="n">
        <v>1505.2651</v>
      </c>
      <c r="D68" s="77" t="n">
        <v>0.0</v>
      </c>
      <c r="E68" s="77">
        <f si="0" t="shared"/>
        <v>6304.8389000000006</v>
      </c>
      <c r="G68">
        <v>57</v>
      </c>
      <c r="H68" s="87" t="n">
        <v>6714.0</v>
      </c>
      <c r="I68" s="87" t="n">
        <v>1588.0</v>
      </c>
      <c r="J68" s="87" t="n">
        <v>296.0</v>
      </c>
      <c r="K68" s="77">
        <f si="1" t="shared"/>
        <v>11558</v>
      </c>
      <c r="W68" s="9"/>
    </row>
    <row r="69" spans="1:23" x14ac:dyDescent="0.25">
      <c r="A69">
        <v>58</v>
      </c>
      <c r="B69" s="77" t="n">
        <v>7992.6848</v>
      </c>
      <c r="C69" s="77" t="n">
        <v>221.9759</v>
      </c>
      <c r="D69" s="77" t="n">
        <v>0.0</v>
      </c>
      <c r="E69" s="77">
        <f si="0" t="shared"/>
        <v>8214.6607000000004</v>
      </c>
      <c r="G69">
        <v>58</v>
      </c>
      <c r="H69" s="87" t="n">
        <v>4235.0</v>
      </c>
      <c r="I69" s="87" t="n">
        <v>1063.0</v>
      </c>
      <c r="J69" s="87" t="n">
        <v>190.0</v>
      </c>
      <c r="K69" s="77">
        <f si="1" t="shared"/>
        <v>12744</v>
      </c>
      <c r="W69" s="9"/>
    </row>
    <row r="70" spans="1:23" x14ac:dyDescent="0.25">
      <c r="A70">
        <v>59</v>
      </c>
      <c r="B70" s="77" t="n">
        <v>8593.5807</v>
      </c>
      <c r="C70" s="77" t="n">
        <v>357.1718</v>
      </c>
      <c r="D70" s="77" t="n">
        <v>967.3348</v>
      </c>
      <c r="E70" s="77">
        <f si="0" t="shared"/>
        <v>9918.0873000000011</v>
      </c>
      <c r="G70">
        <v>59</v>
      </c>
      <c r="H70" s="87" t="n">
        <v>4621.0</v>
      </c>
      <c r="I70" s="87" t="n">
        <v>1156.0</v>
      </c>
      <c r="J70" s="87" t="n">
        <v>210.0</v>
      </c>
      <c r="K70" s="77">
        <f si="1" t="shared"/>
        <v>8165</v>
      </c>
      <c r="W70" s="9"/>
    </row>
    <row r="71" spans="1:23" x14ac:dyDescent="0.25">
      <c r="A71">
        <v>60</v>
      </c>
      <c r="B71" s="77" t="n">
        <v>8470.482</v>
      </c>
      <c r="C71" s="77" t="n">
        <v>0.0</v>
      </c>
      <c r="D71" s="77" t="n">
        <v>0.0</v>
      </c>
      <c r="E71" s="77">
        <f si="0" t="shared"/>
        <v>8470.482</v>
      </c>
      <c r="G71">
        <v>60</v>
      </c>
      <c r="H71" s="87" t="n">
        <v>3922.0</v>
      </c>
      <c r="I71" s="87" t="n">
        <v>923.0</v>
      </c>
      <c r="J71" s="87" t="n">
        <v>204.0</v>
      </c>
      <c r="K71" s="77">
        <f si="1" t="shared"/>
        <v>8827</v>
      </c>
      <c r="W71" s="9"/>
    </row>
    <row r="72" spans="1:23" x14ac:dyDescent="0.25">
      <c r="A72">
        <v>61</v>
      </c>
      <c r="B72" s="77" t="n">
        <v>3449.6851</v>
      </c>
      <c r="C72" s="77" t="n">
        <v>191.2394</v>
      </c>
      <c r="D72" s="77" t="n">
        <v>0.0</v>
      </c>
      <c r="E72" s="77">
        <f si="0" t="shared"/>
        <v>3640.9245000000001</v>
      </c>
      <c r="G72">
        <v>61</v>
      </c>
      <c r="H72" s="87" t="n">
        <v>3353.0</v>
      </c>
      <c r="I72" s="87" t="n">
        <v>796.0</v>
      </c>
      <c r="J72" s="87" t="n">
        <v>157.0</v>
      </c>
      <c r="K72" s="77">
        <f si="1" t="shared"/>
        <v>10132</v>
      </c>
      <c r="W72" s="9"/>
    </row>
    <row r="73" spans="1:23" x14ac:dyDescent="0.25">
      <c r="A73">
        <v>62</v>
      </c>
      <c r="B73" s="77" t="n">
        <v>5407.8216</v>
      </c>
      <c r="C73" s="77" t="n">
        <v>142.4146</v>
      </c>
      <c r="D73" s="77" t="n">
        <v>0.0</v>
      </c>
      <c r="E73" s="77">
        <f si="0" t="shared"/>
        <v>5550.2362000000003</v>
      </c>
      <c r="G73">
        <v>62</v>
      </c>
      <c r="H73" s="87" t="n">
        <v>7866.0</v>
      </c>
      <c r="I73" s="87" t="n">
        <v>1546.0</v>
      </c>
      <c r="J73" s="87" t="n">
        <v>244.0</v>
      </c>
      <c r="K73" s="77">
        <f si="1" t="shared"/>
        <v>11566</v>
      </c>
      <c r="W73" s="9"/>
    </row>
    <row r="74" spans="1:23" x14ac:dyDescent="0.25">
      <c r="A74">
        <v>63</v>
      </c>
      <c r="B74" s="77" t="n">
        <v>4585.2093</v>
      </c>
      <c r="C74" s="77" t="n">
        <v>182.4162</v>
      </c>
      <c r="D74" s="77" t="n">
        <v>0.0</v>
      </c>
      <c r="E74" s="77">
        <f si="0" t="shared"/>
        <v>4767.6255000000001</v>
      </c>
      <c r="G74">
        <v>63</v>
      </c>
      <c r="H74" s="87" t="n">
        <v>4782.0</v>
      </c>
      <c r="I74" s="87" t="n">
        <v>1140.0</v>
      </c>
      <c r="J74" s="87" t="n">
        <v>262.0</v>
      </c>
      <c r="K74" s="77">
        <f si="1" t="shared"/>
        <v>8359</v>
      </c>
      <c r="W74" s="9"/>
    </row>
    <row r="75" spans="1:23" x14ac:dyDescent="0.25">
      <c r="A75">
        <v>64</v>
      </c>
      <c r="B75" s="77" t="n">
        <v>4111.7544</v>
      </c>
      <c r="C75" s="77" t="n">
        <v>0.0</v>
      </c>
      <c r="D75" s="77" t="n">
        <v>0.0</v>
      </c>
      <c r="E75" s="77">
        <f si="0" t="shared"/>
        <v>4111.7543999999998</v>
      </c>
      <c r="G75">
        <v>64</v>
      </c>
      <c r="H75" s="87" t="n">
        <v>4471.0</v>
      </c>
      <c r="I75" s="87" t="n">
        <v>1150.0</v>
      </c>
      <c r="J75" s="87" t="n">
        <v>263.0</v>
      </c>
      <c r="K75" s="77">
        <f si="1" t="shared"/>
        <v>7491</v>
      </c>
      <c r="W75" s="9"/>
    </row>
    <row r="76" spans="1:23" x14ac:dyDescent="0.25">
      <c r="A76">
        <v>65</v>
      </c>
      <c r="B76" s="77" t="n">
        <v>5151.6911</v>
      </c>
      <c r="C76" s="77" t="n">
        <v>105.4442</v>
      </c>
      <c r="D76" s="77" t="n">
        <v>272.7926</v>
      </c>
      <c r="E76" s="77">
        <f ref="E76:E101" si="2" t="shared">SUM(B76:D76)</f>
        <v>5529.9278999999997</v>
      </c>
      <c r="G76">
        <v>65</v>
      </c>
      <c r="H76" s="87" t="n">
        <v>2690.0</v>
      </c>
      <c r="I76" s="87" t="n">
        <v>783.0</v>
      </c>
      <c r="J76" s="87" t="n">
        <v>119.0</v>
      </c>
      <c r="K76" s="77">
        <f ref="K76:K101" si="3" t="shared">SUM(H76:J76)</f>
        <v>6174</v>
      </c>
      <c r="W76" s="9"/>
    </row>
    <row r="77" spans="1:23" x14ac:dyDescent="0.25">
      <c r="A77">
        <v>66</v>
      </c>
      <c r="B77" s="77" t="n">
        <v>3616.7133</v>
      </c>
      <c r="C77" s="77" t="n">
        <v>0.0</v>
      </c>
      <c r="D77" s="77" t="n">
        <v>0.0</v>
      </c>
      <c r="E77" s="77">
        <f si="2" t="shared"/>
        <v>3616.7132999999999</v>
      </c>
      <c r="G77">
        <v>66</v>
      </c>
      <c r="H77" s="87" t="n">
        <v>4157.0</v>
      </c>
      <c r="I77" s="87" t="n">
        <v>987.0</v>
      </c>
      <c r="J77" s="87" t="n">
        <v>219.0</v>
      </c>
      <c r="K77" s="77">
        <f si="3" t="shared"/>
        <v>5838</v>
      </c>
      <c r="W77" s="9"/>
    </row>
    <row r="78" spans="1:23" x14ac:dyDescent="0.25">
      <c r="A78">
        <v>67</v>
      </c>
      <c r="B78" s="77" t="n">
        <v>6067.8571</v>
      </c>
      <c r="C78" s="77" t="n">
        <v>98.3456</v>
      </c>
      <c r="D78" s="77" t="n">
        <v>382.4193</v>
      </c>
      <c r="E78" s="77">
        <f si="2" t="shared"/>
        <v>6548.6219999999994</v>
      </c>
      <c r="G78">
        <v>67</v>
      </c>
      <c r="H78" s="87" t="n">
        <v>2399.0</v>
      </c>
      <c r="I78" s="87" t="n">
        <v>621.0</v>
      </c>
      <c r="J78" s="87" t="n">
        <v>120.0</v>
      </c>
      <c r="K78" s="77">
        <f si="3" t="shared"/>
        <v>6094</v>
      </c>
      <c r="W78" s="9"/>
    </row>
    <row r="79" spans="1:23" x14ac:dyDescent="0.25">
      <c r="A79">
        <v>68</v>
      </c>
      <c r="B79" s="77" t="n">
        <v>1439.411</v>
      </c>
      <c r="C79" s="77" t="n">
        <v>0.0</v>
      </c>
      <c r="D79" s="77" t="n">
        <v>0.0</v>
      </c>
      <c r="E79" s="77">
        <f si="2" t="shared"/>
        <v>1439.4110000000001</v>
      </c>
      <c r="G79">
        <v>68</v>
      </c>
      <c r="H79" s="87" t="n">
        <v>1974.0</v>
      </c>
      <c r="I79" s="87" t="n">
        <v>525.0</v>
      </c>
      <c r="J79" s="87" t="n">
        <v>89.0</v>
      </c>
      <c r="K79" s="77">
        <f si="3" t="shared"/>
        <v>6768</v>
      </c>
      <c r="W79" s="9"/>
    </row>
    <row r="80" spans="1:23" x14ac:dyDescent="0.25">
      <c r="A80">
        <v>69</v>
      </c>
      <c r="B80" s="77" t="n">
        <v>3387.3550999999998</v>
      </c>
      <c r="C80" s="77" t="n">
        <v>87.5526</v>
      </c>
      <c r="D80" s="77" t="n">
        <v>0.0</v>
      </c>
      <c r="E80" s="77">
        <f si="2" t="shared"/>
        <v>3474.9076999999997</v>
      </c>
      <c r="G80">
        <v>69</v>
      </c>
      <c r="H80" s="87" t="n">
        <v>3399.0</v>
      </c>
      <c r="I80" s="87" t="n">
        <v>871.0</v>
      </c>
      <c r="J80" s="87" t="n">
        <v>201.0</v>
      </c>
      <c r="K80" s="77">
        <f si="3" t="shared"/>
        <v>5656</v>
      </c>
      <c r="W80" s="9"/>
    </row>
    <row r="81" spans="1:23" x14ac:dyDescent="0.25">
      <c r="A81">
        <v>70</v>
      </c>
      <c r="B81" s="77" t="n">
        <v>4139.8503</v>
      </c>
      <c r="C81" s="77" t="n">
        <v>187.4745</v>
      </c>
      <c r="D81" s="77" t="n">
        <v>109.0124</v>
      </c>
      <c r="E81" s="77">
        <f si="2" t="shared"/>
        <v>4436.3371999999999</v>
      </c>
      <c r="G81">
        <v>70</v>
      </c>
      <c r="H81" s="87" t="n">
        <v>1964.0</v>
      </c>
      <c r="I81" s="87" t="n">
        <v>528.0</v>
      </c>
      <c r="J81" s="87" t="n">
        <v>70.0</v>
      </c>
      <c r="K81" s="77">
        <f si="3" t="shared"/>
        <v>8301</v>
      </c>
      <c r="W81" s="9"/>
    </row>
    <row r="82" spans="1:23" x14ac:dyDescent="0.25">
      <c r="A82">
        <v>71</v>
      </c>
      <c r="B82" s="77" t="n">
        <v>2496.1585</v>
      </c>
      <c r="C82" s="77" t="n">
        <v>0.0</v>
      </c>
      <c r="D82" s="77" t="n">
        <v>0.0</v>
      </c>
      <c r="E82" s="77">
        <f si="2" t="shared"/>
        <v>2496.1585</v>
      </c>
      <c r="G82">
        <v>71</v>
      </c>
      <c r="H82" s="87" t="n">
        <v>1320.0</v>
      </c>
      <c r="I82" s="87" t="n">
        <v>453.0</v>
      </c>
      <c r="J82" s="87" t="n">
        <v>69.0</v>
      </c>
      <c r="K82" s="77">
        <f si="3" t="shared"/>
        <v>4106</v>
      </c>
      <c r="W82" s="9"/>
    </row>
    <row r="83" spans="1:23" x14ac:dyDescent="0.25">
      <c r="A83">
        <v>72</v>
      </c>
      <c r="B83" s="77" t="n">
        <v>2415.0693</v>
      </c>
      <c r="C83" s="77" t="n">
        <v>983.3125</v>
      </c>
      <c r="D83" s="77" t="n">
        <v>0.0</v>
      </c>
      <c r="E83" s="77">
        <f si="2" t="shared"/>
        <v>3398.3818000000001</v>
      </c>
      <c r="G83">
        <v>72</v>
      </c>
      <c r="H83" s="87" t="n">
        <v>999.0</v>
      </c>
      <c r="I83" s="87" t="n">
        <v>416.0</v>
      </c>
      <c r="J83" s="87" t="n">
        <v>67.0</v>
      </c>
      <c r="K83" s="77">
        <f si="3" t="shared"/>
        <v>4012</v>
      </c>
      <c r="W83" s="9"/>
    </row>
    <row r="84" spans="1:23" x14ac:dyDescent="0.25">
      <c r="A84">
        <v>73</v>
      </c>
      <c r="B84" s="77" t="n">
        <v>4557.629</v>
      </c>
      <c r="C84" s="77" t="n">
        <v>0.0</v>
      </c>
      <c r="D84" s="77" t="n">
        <v>212.3439</v>
      </c>
      <c r="E84" s="77">
        <f si="2" t="shared"/>
        <v>4769.9728999999998</v>
      </c>
      <c r="G84">
        <v>73</v>
      </c>
      <c r="H84" s="87" t="n">
        <v>2029.0</v>
      </c>
      <c r="I84" s="87" t="n">
        <v>430.0</v>
      </c>
      <c r="J84" s="87" t="n">
        <v>80.0</v>
      </c>
      <c r="K84" s="77">
        <f si="3" t="shared"/>
        <v>4506</v>
      </c>
      <c r="W84" s="9"/>
    </row>
    <row r="85" spans="1:23" x14ac:dyDescent="0.25">
      <c r="A85">
        <v>74</v>
      </c>
      <c r="B85" s="77" t="n">
        <v>6512.6523</v>
      </c>
      <c r="C85" s="77" t="n">
        <v>642.6016999999999</v>
      </c>
      <c r="D85" s="77" t="n">
        <v>0.0</v>
      </c>
      <c r="E85" s="77">
        <f si="2" t="shared"/>
        <v>7155.2539999999999</v>
      </c>
      <c r="G85">
        <v>74</v>
      </c>
      <c r="H85" s="87" t="n">
        <v>857.0</v>
      </c>
      <c r="I85" s="87" t="n">
        <v>311.0</v>
      </c>
      <c r="J85" s="87" t="n">
        <v>42.0</v>
      </c>
      <c r="K85" s="77">
        <f si="3" t="shared"/>
        <v>4342</v>
      </c>
      <c r="W85" s="9"/>
    </row>
    <row r="86" spans="1:23" x14ac:dyDescent="0.25">
      <c r="A86">
        <v>75</v>
      </c>
      <c r="B86" s="77" t="n">
        <v>5734.0851</v>
      </c>
      <c r="C86" s="77" t="n">
        <v>0.0</v>
      </c>
      <c r="D86" s="77" t="n">
        <v>0.0</v>
      </c>
      <c r="E86" s="77">
        <f si="2" t="shared"/>
        <v>5734.0851000000002</v>
      </c>
      <c r="G86">
        <v>75</v>
      </c>
      <c r="H86" s="87" t="n">
        <v>739.0</v>
      </c>
      <c r="I86" s="87" t="n">
        <v>267.0</v>
      </c>
      <c r="J86" s="87" t="n">
        <v>42.0</v>
      </c>
      <c r="K86" s="77">
        <f si="3" t="shared"/>
        <v>3899</v>
      </c>
      <c r="W86" s="9"/>
    </row>
    <row r="87" spans="1:23" x14ac:dyDescent="0.25">
      <c r="A87">
        <v>76</v>
      </c>
      <c r="B87" s="77" t="n">
        <v>4217.6426</v>
      </c>
      <c r="C87" s="77" t="n">
        <v>0.0</v>
      </c>
      <c r="D87" s="77" t="n">
        <v>258.1531</v>
      </c>
      <c r="E87" s="77">
        <f si="2" t="shared"/>
        <v>4475.7957000000006</v>
      </c>
      <c r="G87">
        <v>76</v>
      </c>
      <c r="H87" s="87" t="n">
        <v>1165.0</v>
      </c>
      <c r="I87" s="87" t="n">
        <v>477.0</v>
      </c>
      <c r="J87" s="87" t="n">
        <v>73.0</v>
      </c>
      <c r="K87" s="77">
        <f si="3" t="shared"/>
        <v>4424</v>
      </c>
      <c r="W87" s="9"/>
    </row>
    <row r="88" spans="1:23" x14ac:dyDescent="0.25">
      <c r="A88">
        <v>77</v>
      </c>
      <c r="B88" s="77" t="n">
        <v>6088.5308</v>
      </c>
      <c r="C88" s="77" t="n">
        <v>2235.7517</v>
      </c>
      <c r="D88" s="77" t="n">
        <v>2414.0209</v>
      </c>
      <c r="E88" s="77">
        <f si="2" t="shared"/>
        <v>10738.303400000001</v>
      </c>
      <c r="G88">
        <v>77</v>
      </c>
      <c r="H88" s="87" t="n">
        <v>849.0</v>
      </c>
      <c r="I88" s="87" t="n">
        <v>324.0</v>
      </c>
      <c r="J88" s="87" t="n">
        <v>36.0</v>
      </c>
      <c r="K88" s="77">
        <f si="3" t="shared"/>
        <v>3513</v>
      </c>
      <c r="W88" s="9"/>
    </row>
    <row r="89" spans="1:23" x14ac:dyDescent="0.25">
      <c r="A89">
        <v>78</v>
      </c>
      <c r="B89" s="77" t="n">
        <v>2784.0238</v>
      </c>
      <c r="C89" s="77" t="n">
        <v>207.1665</v>
      </c>
      <c r="D89" s="77" t="n">
        <v>210.8431</v>
      </c>
      <c r="E89" s="77">
        <f si="2" t="shared"/>
        <v>3202.0333999999998</v>
      </c>
      <c r="G89">
        <v>78</v>
      </c>
      <c r="H89" s="87" t="n">
        <v>562.0</v>
      </c>
      <c r="I89" s="87" t="n">
        <v>247.0</v>
      </c>
      <c r="J89" s="87" t="n">
        <v>39.0</v>
      </c>
      <c r="K89" s="77">
        <f si="3" t="shared"/>
        <v>2983</v>
      </c>
      <c r="W89" s="9"/>
    </row>
    <row r="90" spans="1:23" x14ac:dyDescent="0.25">
      <c r="A90">
        <v>79</v>
      </c>
      <c r="B90" s="77" t="n">
        <v>2215.9219000000003</v>
      </c>
      <c r="C90" s="77" t="n">
        <v>0.0</v>
      </c>
      <c r="D90" s="77" t="n">
        <v>0.0</v>
      </c>
      <c r="E90" s="77">
        <f si="2" t="shared"/>
        <v>2215.9219000000003</v>
      </c>
      <c r="G90">
        <v>79</v>
      </c>
      <c r="H90" s="87" t="n">
        <v>513.0</v>
      </c>
      <c r="I90" s="87" t="n">
        <v>191.0</v>
      </c>
      <c r="J90" s="87" t="n">
        <v>38.0</v>
      </c>
      <c r="K90" s="77">
        <f si="3" t="shared"/>
        <v>1799</v>
      </c>
      <c r="W90" s="9"/>
    </row>
    <row r="91" spans="1:23" x14ac:dyDescent="0.25">
      <c r="A91">
        <v>80</v>
      </c>
      <c r="B91" s="77" t="n">
        <v>2565.0071</v>
      </c>
      <c r="C91" s="77" t="n">
        <v>0.0</v>
      </c>
      <c r="D91" s="77" t="n">
        <v>0.0</v>
      </c>
      <c r="E91" s="77">
        <f si="2" t="shared"/>
        <v>2565.0070999999998</v>
      </c>
      <c r="G91">
        <v>80</v>
      </c>
      <c r="H91" s="87" t="n">
        <v>600.0</v>
      </c>
      <c r="I91" s="87" t="n">
        <v>177.0</v>
      </c>
      <c r="J91" s="87" t="n">
        <v>32.0</v>
      </c>
      <c r="K91" s="77">
        <f si="3" t="shared"/>
        <v>1717</v>
      </c>
      <c r="W91" s="9"/>
    </row>
    <row r="92" spans="1:23" x14ac:dyDescent="0.25">
      <c r="A92">
        <v>81</v>
      </c>
      <c r="B92" s="77" t="n">
        <v>2181.9134</v>
      </c>
      <c r="C92" s="77" t="n">
        <v>253.3343</v>
      </c>
      <c r="D92" s="77" t="n">
        <v>0.0</v>
      </c>
      <c r="E92" s="77">
        <f si="2" t="shared"/>
        <v>2435.2476999999999</v>
      </c>
      <c r="G92">
        <v>81</v>
      </c>
      <c r="H92" s="87" t="n">
        <v>592.0</v>
      </c>
      <c r="I92" s="87" t="n">
        <v>257.0</v>
      </c>
      <c r="J92" s="87" t="n">
        <v>50.0</v>
      </c>
      <c r="K92" s="77">
        <f si="3" t="shared"/>
        <v>2331</v>
      </c>
      <c r="W92" s="9"/>
    </row>
    <row r="93" spans="1:23" x14ac:dyDescent="0.25">
      <c r="A93">
        <v>82</v>
      </c>
      <c r="B93" s="77" t="n">
        <v>1395.6978</v>
      </c>
      <c r="C93" s="77" t="n">
        <v>0.0</v>
      </c>
      <c r="D93" s="77" t="n">
        <v>0.0</v>
      </c>
      <c r="E93" s="77">
        <f si="2" t="shared"/>
        <v>1395.6977999999999</v>
      </c>
      <c r="G93">
        <v>82</v>
      </c>
      <c r="H93" s="87" t="n">
        <v>324.0</v>
      </c>
      <c r="I93" s="87" t="n">
        <v>197.0</v>
      </c>
      <c r="J93" s="87" t="n">
        <v>19.0</v>
      </c>
      <c r="K93" s="77">
        <f si="3" t="shared"/>
        <v>2043</v>
      </c>
      <c r="W93" s="9"/>
    </row>
    <row r="94" spans="1:23" x14ac:dyDescent="0.25">
      <c r="A94">
        <v>83</v>
      </c>
      <c r="B94" s="77" t="n">
        <v>698.9830999999999</v>
      </c>
      <c r="C94" s="77" t="n">
        <v>0.0</v>
      </c>
      <c r="D94" s="77" t="n">
        <v>218.6278</v>
      </c>
      <c r="E94" s="77">
        <f si="2" t="shared"/>
        <v>917.6108999999999</v>
      </c>
      <c r="G94">
        <v>83</v>
      </c>
      <c r="H94" s="87" t="n">
        <v>388.0</v>
      </c>
      <c r="I94" s="87" t="n">
        <v>167.0</v>
      </c>
      <c r="J94" s="77" t="n">
        <v>25.0</v>
      </c>
      <c r="K94" s="77">
        <f si="3" t="shared"/>
        <v>1548</v>
      </c>
      <c r="W94" s="9"/>
    </row>
    <row ht="15.75" r="95" spans="1:23" thickBot="1" x14ac:dyDescent="0.3">
      <c r="A95">
        <v>84</v>
      </c>
      <c r="B95" s="77" t="n">
        <v>78.5405</v>
      </c>
      <c r="C95" s="77" t="n">
        <v>426.0483</v>
      </c>
      <c r="D95" s="77" t="n">
        <v>0.0</v>
      </c>
      <c r="E95" s="77">
        <f si="2" t="shared"/>
        <v>504.58879999999999</v>
      </c>
      <c r="G95">
        <v>84</v>
      </c>
      <c r="H95" s="87" t="n">
        <v>378.0</v>
      </c>
      <c r="I95" s="87" t="n">
        <v>154.0</v>
      </c>
      <c r="J95" s="87" t="n">
        <v>27.0</v>
      </c>
      <c r="K95" s="77">
        <f si="3" t="shared"/>
        <v>1661</v>
      </c>
      <c r="W95" s="10"/>
    </row>
    <row r="96" spans="1:23" x14ac:dyDescent="0.25">
      <c r="A96">
        <v>85</v>
      </c>
      <c r="B96" s="77" t="n">
        <v>1121.6235</v>
      </c>
      <c r="C96" s="77" t="n">
        <v>863.9641</v>
      </c>
      <c r="D96" s="77" t="n">
        <v>0.0</v>
      </c>
      <c r="E96" s="77">
        <f si="2" t="shared"/>
        <v>1985.5875999999998</v>
      </c>
      <c r="G96">
        <v>85</v>
      </c>
      <c r="H96" s="87" t="n">
        <v>377.0</v>
      </c>
      <c r="I96" s="87" t="n">
        <v>157.0</v>
      </c>
      <c r="J96" s="77" t="n">
        <v>26.0</v>
      </c>
      <c r="K96" s="77">
        <f si="3" t="shared"/>
        <v>1361</v>
      </c>
    </row>
    <row r="97" spans="1:11" x14ac:dyDescent="0.25">
      <c r="A97">
        <v>86</v>
      </c>
      <c r="B97" s="77" t="n">
        <v>217.6002</v>
      </c>
      <c r="C97" s="77" t="n">
        <v>0.0</v>
      </c>
      <c r="D97" s="77" t="n">
        <v>0.0</v>
      </c>
      <c r="E97" s="77">
        <f si="2" t="shared"/>
        <v>217.6002</v>
      </c>
      <c r="G97">
        <v>86</v>
      </c>
      <c r="H97" s="87" t="n">
        <v>317.0</v>
      </c>
      <c r="I97" s="87" t="n">
        <v>131.0</v>
      </c>
      <c r="J97" s="87" t="n">
        <v>13.0</v>
      </c>
      <c r="K97" s="77">
        <f si="3" t="shared"/>
        <v>1003</v>
      </c>
    </row>
    <row r="98" spans="1:11" x14ac:dyDescent="0.25">
      <c r="A98">
        <v>87</v>
      </c>
      <c r="B98" s="77" t="n">
        <v>1132.8924</v>
      </c>
      <c r="C98" s="77" t="n">
        <v>0.0</v>
      </c>
      <c r="D98" s="77" t="n">
        <v>0.0</v>
      </c>
      <c r="E98" s="77">
        <f si="2" t="shared"/>
        <v>1132.8924</v>
      </c>
      <c r="G98">
        <v>87</v>
      </c>
      <c r="H98" s="87" t="n">
        <v>219.0</v>
      </c>
      <c r="I98" s="87" t="n">
        <v>101.0</v>
      </c>
      <c r="J98" s="87" t="n">
        <v>17.0</v>
      </c>
      <c r="K98" s="77">
        <f si="3" t="shared"/>
        <v>1037</v>
      </c>
    </row>
    <row r="99" spans="1:11" x14ac:dyDescent="0.25">
      <c r="A99">
        <v>88</v>
      </c>
      <c r="B99" s="77" t="n">
        <v>343.4771</v>
      </c>
      <c r="C99" s="77" t="n">
        <v>0.0</v>
      </c>
      <c r="D99" s="77" t="n">
        <v>0.0</v>
      </c>
      <c r="E99" s="77">
        <f si="2" t="shared"/>
        <v>343.47710000000001</v>
      </c>
      <c r="G99">
        <v>88</v>
      </c>
      <c r="H99" s="87" t="n">
        <v>296.0</v>
      </c>
      <c r="I99" s="87" t="n">
        <v>127.0</v>
      </c>
      <c r="J99" s="87" t="n">
        <v>18.0</v>
      </c>
      <c r="K99" s="77">
        <f si="3" t="shared"/>
        <v>1170</v>
      </c>
    </row>
    <row r="100" spans="1:11" x14ac:dyDescent="0.25">
      <c r="A100">
        <v>89</v>
      </c>
      <c r="B100" s="77" t="n">
        <v>7407.5208999999995</v>
      </c>
      <c r="C100" s="77" t="n">
        <v>2125.2198</v>
      </c>
      <c r="D100" s="77" t="n">
        <v>77.7064</v>
      </c>
      <c r="E100" s="77">
        <f si="2" t="shared"/>
        <v>9610.4470999999976</v>
      </c>
      <c r="G100">
        <v>89</v>
      </c>
      <c r="H100" s="87" t="n">
        <v>2242.0</v>
      </c>
      <c r="I100" s="87" t="n">
        <v>1213.0</v>
      </c>
      <c r="J100" s="77" t="n">
        <v>199.0</v>
      </c>
      <c r="K100" s="77">
        <f si="3" t="shared"/>
        <v>11975</v>
      </c>
    </row>
    <row ht="15.75" r="101" spans="1:11" thickBot="1" x14ac:dyDescent="0.3">
      <c r="A101" s="1">
        <v>90</v>
      </c>
      <c r="B101" s="78" t="n">
        <v>104700.6578</v>
      </c>
      <c r="C101" s="78" t="n">
        <v>78770.7669</v>
      </c>
      <c r="D101" s="78" t="n">
        <v>9339.8181</v>
      </c>
      <c r="E101" s="78">
        <f si="2" t="shared"/>
        <v>192811.24280000001</v>
      </c>
      <c r="G101" s="1">
        <v>90</v>
      </c>
      <c r="H101" s="78" t="n">
        <v>0.0</v>
      </c>
      <c r="I101" s="78" t="n">
        <v>0.0</v>
      </c>
      <c r="J101" s="78" t="n">
        <v>0.0</v>
      </c>
      <c r="K101" s="78">
        <f si="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22"/>
  <sheetViews>
    <sheetView workbookViewId="0">
      <selection activeCell="A4" sqref="A4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25</v>
      </c>
    </row>
    <row r="2" spans="1:17" x14ac:dyDescent="0.25">
      <c r="A2" t="s">
        <v>263</v>
      </c>
    </row>
    <row r="3" spans="1:17" x14ac:dyDescent="0.25">
      <c r="A3" t="s">
        <v>264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ht="15.75" r="9" spans="1:17" thickBot="1" x14ac:dyDescent="0.3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12416.195100000001</v>
      </c>
      <c r="C11" s="12">
        <f>SUM(TDFD!C11:C15)</f>
        <v>2169.0929999999998</v>
      </c>
      <c r="D11" s="12">
        <f>SUM(TDFD!D11:D15)</f>
        <v>205.54570000000001</v>
      </c>
      <c r="E11" s="12">
        <f>SUM(TDFD!E11:E15)</f>
        <v>14790.833800000002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101669</v>
      </c>
      <c r="O11" s="12">
        <f>SUM(TDFD!I11:I15)</f>
        <v>39557</v>
      </c>
      <c r="P11" s="12">
        <f>SUM(TDFD!J11:J15)</f>
        <v>11826</v>
      </c>
      <c r="Q11" s="12">
        <f>SUM(TDFD!K11:K15)</f>
        <v>153052</v>
      </c>
    </row>
    <row r="12" spans="1:17" x14ac:dyDescent="0.25">
      <c r="A12" t="s">
        <v>28</v>
      </c>
      <c r="B12" s="12">
        <f>SUM(TDFD!B16:B20)</f>
        <v>36666.1034</v>
      </c>
      <c r="C12" s="12">
        <f>SUM(TDFD!C16:C20)</f>
        <v>11398.0854</v>
      </c>
      <c r="D12" s="12">
        <f>SUM(TDFD!D16:D20)</f>
        <v>1390.6351999999999</v>
      </c>
      <c r="E12" s="12">
        <f>SUM(TDFD!E16:E20)</f>
        <v>49454.824000000001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76528</v>
      </c>
      <c r="O12" s="12">
        <f>SUM(TDFD!I16:I20)</f>
        <v>27312</v>
      </c>
      <c r="P12" s="12">
        <f>SUM(TDFD!J16:J20)</f>
        <v>7965</v>
      </c>
      <c r="Q12" s="12">
        <f>SUM(TDFD!K16:K20)</f>
        <v>111805</v>
      </c>
    </row>
    <row r="13" spans="1:17" x14ac:dyDescent="0.25">
      <c r="A13" t="s">
        <v>29</v>
      </c>
      <c r="B13" s="12">
        <f>SUM(TDFD!B21:B25)</f>
        <v>46526.311300000001</v>
      </c>
      <c r="C13" s="12">
        <f>SUM(TDFD!C21:C25)</f>
        <v>16719.310600000001</v>
      </c>
      <c r="D13" s="12">
        <f>SUM(TDFD!D21:D25)</f>
        <v>451.93209999999999</v>
      </c>
      <c r="E13" s="12">
        <f>SUM(TDFD!E21:E25)</f>
        <v>63697.554000000004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47342</v>
      </c>
      <c r="O13" s="12">
        <f>SUM(TDFD!I21:I25)</f>
        <v>15739</v>
      </c>
      <c r="P13" s="12">
        <f>SUM(TDFD!J21:J25)</f>
        <v>4383</v>
      </c>
      <c r="Q13" s="12">
        <f>SUM(TDFD!K21:K25)</f>
        <v>67464</v>
      </c>
    </row>
    <row r="14" spans="1:17" x14ac:dyDescent="0.25">
      <c r="A14" t="s">
        <v>30</v>
      </c>
      <c r="B14" s="12">
        <f>SUM(TDFD!B26:B30)</f>
        <v>126332.75270000001</v>
      </c>
      <c r="C14" s="12">
        <f>SUM(TDFD!C26:C30)</f>
        <v>37869.252500000002</v>
      </c>
      <c r="D14" s="12">
        <f>SUM(TDFD!D26:D30)</f>
        <v>4817.3275999999996</v>
      </c>
      <c r="E14" s="12">
        <f>SUM(TDFD!E26:E30)</f>
        <v>169019.3328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87802</v>
      </c>
      <c r="O14" s="12">
        <f>SUM(TDFD!I26:I30)</f>
        <v>33473</v>
      </c>
      <c r="P14" s="12">
        <f>SUM(TDFD!J26:J30)</f>
        <v>9248</v>
      </c>
      <c r="Q14" s="12">
        <f>SUM(TDFD!K26:K30)</f>
        <v>130523</v>
      </c>
    </row>
    <row r="15" spans="1:17" x14ac:dyDescent="0.25">
      <c r="A15" t="s">
        <v>31</v>
      </c>
      <c r="B15" s="12">
        <f>SUM(TDFD!B31:B35)</f>
        <v>217307.18709999998</v>
      </c>
      <c r="C15" s="12">
        <f>SUM(TDFD!C31:C35)</f>
        <v>61075.693900000006</v>
      </c>
      <c r="D15" s="12">
        <f>SUM(TDFD!D31:D35)</f>
        <v>13572.3966</v>
      </c>
      <c r="E15" s="12">
        <f>SUM(TDFD!E31:E35)</f>
        <v>291955.27759999997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168480</v>
      </c>
      <c r="O15" s="12">
        <f>SUM(TDFD!I31:I35)</f>
        <v>49588</v>
      </c>
      <c r="P15" s="12">
        <f>SUM(TDFD!J31:J35)</f>
        <v>14668</v>
      </c>
      <c r="Q15" s="12">
        <f>SUM(TDFD!K31:K35)</f>
        <v>232736</v>
      </c>
    </row>
    <row r="16" spans="1:17" x14ac:dyDescent="0.25">
      <c r="A16" t="s">
        <v>32</v>
      </c>
      <c r="B16" s="12">
        <f>SUM(TDFD!B36:B40)</f>
        <v>159141.88740000001</v>
      </c>
      <c r="C16" s="12">
        <f>SUM(TDFD!C36:C40)</f>
        <v>34560.494400000003</v>
      </c>
      <c r="D16" s="12">
        <f>SUM(TDFD!D36:D40)</f>
        <v>6558.947900000001</v>
      </c>
      <c r="E16" s="12">
        <f>SUM(TDFD!E36:E40)</f>
        <v>200261.32969999997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183424</v>
      </c>
      <c r="O16" s="12">
        <f>SUM(TDFD!I36:I40)</f>
        <v>44148</v>
      </c>
      <c r="P16" s="12">
        <f>SUM(TDFD!J36:J40)</f>
        <v>13062</v>
      </c>
      <c r="Q16" s="12">
        <f>SUM(TDFD!K36:K40)</f>
        <v>240634</v>
      </c>
    </row>
    <row r="17" spans="1:17" x14ac:dyDescent="0.25">
      <c r="A17" t="s">
        <v>33</v>
      </c>
      <c r="B17" s="12">
        <f>SUM(TDFD!B41:B45)</f>
        <v>145184.29950000002</v>
      </c>
      <c r="C17" s="12">
        <f>SUM(TDFD!C41:C45)</f>
        <v>25792.241099999999</v>
      </c>
      <c r="D17" s="12">
        <f>SUM(TDFD!D41:D45)</f>
        <v>6813.3773000000001</v>
      </c>
      <c r="E17" s="12">
        <f>SUM(TDFD!E41:E45)</f>
        <v>177789.9179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155445</v>
      </c>
      <c r="O17" s="12">
        <f>SUM(TDFD!I41:I45)</f>
        <v>35210</v>
      </c>
      <c r="P17" s="12">
        <f>SUM(TDFD!J41:J45)</f>
        <v>9340</v>
      </c>
      <c r="Q17" s="12">
        <f>SUM(TDFD!K41:K45)</f>
        <v>199995</v>
      </c>
    </row>
    <row r="18" spans="1:17" x14ac:dyDescent="0.25">
      <c r="A18" t="s">
        <v>34</v>
      </c>
      <c r="B18" s="12">
        <f>SUM(TDFD!B46:B50)</f>
        <v>136291.14680000002</v>
      </c>
      <c r="C18" s="12">
        <f>SUM(TDFD!C46:C50)</f>
        <v>20197.399099999999</v>
      </c>
      <c r="D18" s="12">
        <f>SUM(TDFD!D46:D50)</f>
        <v>5336.5641999999998</v>
      </c>
      <c r="E18" s="12">
        <f>SUM(TDFD!E46:E50)</f>
        <v>161825.11009999999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127262</v>
      </c>
      <c r="O18" s="12">
        <f>SUM(TDFD!I46:I50)</f>
        <v>25067</v>
      </c>
      <c r="P18" s="12">
        <f>SUM(TDFD!J46:J50)</f>
        <v>6390</v>
      </c>
      <c r="Q18" s="12">
        <f>SUM(TDFD!K46:K50)</f>
        <v>158719</v>
      </c>
    </row>
    <row r="19" spans="1:17" x14ac:dyDescent="0.25">
      <c r="A19" t="s">
        <v>35</v>
      </c>
      <c r="B19" s="12">
        <f>SUM(TDFD!B51:B55)</f>
        <v>86822.674900000013</v>
      </c>
      <c r="C19" s="12">
        <f>SUM(TDFD!C51:C55)</f>
        <v>14430.736500000001</v>
      </c>
      <c r="D19" s="12">
        <f>SUM(TDFD!D51:D55)</f>
        <v>2612.9836</v>
      </c>
      <c r="E19" s="12">
        <f>SUM(TDFD!E51:E55)</f>
        <v>103866.395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113709</v>
      </c>
      <c r="O19" s="12">
        <f>SUM(TDFD!I51:I55)</f>
        <v>19241</v>
      </c>
      <c r="P19" s="12">
        <f>SUM(TDFD!J51:J55)</f>
        <v>4751</v>
      </c>
      <c r="Q19" s="12">
        <f>SUM(TDFD!K51:K55)</f>
        <v>137701</v>
      </c>
    </row>
    <row r="20" spans="1:17" x14ac:dyDescent="0.25">
      <c r="A20" t="s">
        <v>36</v>
      </c>
      <c r="B20" s="12">
        <f>SUM(TDFD!B56:B70)</f>
        <v>209167.72400000002</v>
      </c>
      <c r="C20" s="12">
        <f>SUM(TDFD!C56:C70)</f>
        <v>25327.712400000004</v>
      </c>
      <c r="D20" s="12">
        <f>SUM(TDFD!D56:D70)</f>
        <v>6422.0798999999997</v>
      </c>
      <c r="E20" s="12">
        <f>SUM(TDFD!E56:E70)</f>
        <v>240917.51630000002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222340</v>
      </c>
      <c r="O20" s="12">
        <f>SUM(TDFD!I56:I70)</f>
        <v>29289</v>
      </c>
      <c r="P20" s="12">
        <f>SUM(TDFD!J56:J70)</f>
        <v>6463</v>
      </c>
      <c r="Q20" s="12">
        <f>SUM(TDFD!K56:K70)</f>
        <v>258092</v>
      </c>
    </row>
    <row r="21" spans="1:17" x14ac:dyDescent="0.25">
      <c r="A21" t="s">
        <v>37</v>
      </c>
      <c r="B21" s="12">
        <f>SUM(TDFD!B71:B100)</f>
        <v>103992.7996</v>
      </c>
      <c r="C21" s="12">
        <f>SUM(TDFD!C71:C100)</f>
        <v>8732.2860000000001</v>
      </c>
      <c r="D21" s="12">
        <f>SUM(TDFD!D71:D100)</f>
        <v>4155.9195</v>
      </c>
      <c r="E21" s="12">
        <f>SUM(TDFD!E71:E100)</f>
        <v>116881.00510000001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127759</v>
      </c>
      <c r="O21" s="12">
        <f>SUM(TDFD!I71:I100)</f>
        <v>14185</v>
      </c>
      <c r="P21" s="12">
        <f>SUM(TDFD!J71:J100)</f>
        <v>2692</v>
      </c>
      <c r="Q21" s="12">
        <f>SUM(TDFD!K71:K100)</f>
        <v>144636</v>
      </c>
    </row>
    <row ht="15.75" r="22" spans="1:17" thickBot="1" x14ac:dyDescent="0.3">
      <c r="A22" s="1" t="s">
        <v>38</v>
      </c>
      <c r="B22" s="13">
        <f>TDFD!B101</f>
        <v>104700.6578</v>
      </c>
      <c r="C22" s="13">
        <f>TDFD!C101</f>
        <v>78770.766900000002</v>
      </c>
      <c r="D22" s="13">
        <f>TDFD!D101</f>
        <v>9339.8181000000004</v>
      </c>
      <c r="E22" s="13">
        <f>TDFD!E101</f>
        <v>192811.24280000001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bottom="0.75" footer="0.3" header="0.3" left="0.7" right="0.7" top="0.75"/>
  <pageSetup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J56"/>
  <sheetViews>
    <sheetView tabSelected="1" topLeftCell="E1" workbookViewId="0" zoomScale="85" zoomScaleNormal="85">
      <selection activeCell="AA27" sqref="AA27"/>
    </sheetView>
  </sheetViews>
  <sheetFormatPr defaultRowHeight="15" x14ac:dyDescent="0.25"/>
  <cols>
    <col min="1" max="1" customWidth="true" width="19.5703125" collapsed="true"/>
    <col min="3" max="3" bestFit="true" customWidth="true" width="9.7109375" collapsed="true"/>
    <col min="4" max="4" customWidth="true" width="8.85546875" collapsed="true"/>
    <col min="12" max="22" customWidth="true" hidden="true" width="0.0" collapsed="true"/>
    <col min="23" max="23" customWidth="true" width="23.85546875" collapsed="true"/>
    <col min="24" max="24" bestFit="true" customWidth="true" width="36.7109375" collapsed="true"/>
    <col min="25" max="25" bestFit="true" customWidth="true" width="19.42578125" collapsed="true"/>
    <col min="26" max="26" customWidth="true" width="9.140625" collapsed="true"/>
    <col min="27" max="27" bestFit="true" customWidth="true" width="11.5703125" collapsed="true"/>
    <col min="28" max="29" bestFit="true" customWidth="true" width="11.7109375" collapsed="true"/>
    <col min="30" max="30" bestFit="true" customWidth="true" width="13.42578125" collapsed="true"/>
    <col min="31" max="31" bestFit="true" customWidth="true" width="9.28515625" collapsed="true"/>
    <col min="32" max="32" bestFit="true" customWidth="true" width="13.28515625" collapsed="true"/>
  </cols>
  <sheetData>
    <row r="1" spans="1:36" x14ac:dyDescent="0.25">
      <c r="A1" t="s">
        <v>2</v>
      </c>
    </row>
    <row r="2" spans="1:36" x14ac:dyDescent="0.25">
      <c r="A2" t="s">
        <v>261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2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107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25">
      <c r="A7" s="41" t="s">
        <v>267</v>
      </c>
      <c r="B7" s="15" t="n">
        <v>18622.2188</v>
      </c>
      <c r="C7" s="15" t="n">
        <v>6072.1702000000005</v>
      </c>
      <c r="D7" s="15" t="n">
        <v>4862.4175000000005</v>
      </c>
      <c r="E7" s="15" t="n">
        <v>10577.337</v>
      </c>
      <c r="F7" s="15" t="n">
        <v>12444.7887</v>
      </c>
      <c r="G7" s="15" t="n">
        <v>9302.9043</v>
      </c>
      <c r="H7" s="15" t="n">
        <v>11449.3001</v>
      </c>
      <c r="I7" s="15"/>
      <c r="J7" s="15">
        <f>SUM(B7:I7)</f>
        <v>73331.136599999998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s="77" t="n">
        <v>17804.0</v>
      </c>
      <c r="Y7" s="102" t="n">
        <v>8400.0</v>
      </c>
      <c r="Z7" s="77" t="n">
        <v>3870.0</v>
      </c>
      <c r="AA7" s="77" t="n">
        <v>12205.0</v>
      </c>
      <c r="AB7" s="77" t="n">
        <v>10874.0</v>
      </c>
      <c r="AC7" s="77" t="n">
        <v>6991.0</v>
      </c>
      <c r="AD7" s="101" t="n">
        <v>15243.0</v>
      </c>
      <c r="AE7" s="77">
        <v>0</v>
      </c>
      <c r="AF7" s="77">
        <f>SUM(X7:AE7)</f>
        <v>75387</v>
      </c>
      <c r="AH7" s="16"/>
      <c r="AI7" s="16"/>
      <c r="AJ7" s="7"/>
    </row>
    <row r="8" spans="1:36" x14ac:dyDescent="0.25">
      <c r="A8" t="s">
        <v>268</v>
      </c>
      <c r="B8" s="15" t="n">
        <v>770.9271</v>
      </c>
      <c r="C8" s="15" t="n">
        <v>1361.1623</v>
      </c>
      <c r="D8" s="15" t="n">
        <v>76.2762</v>
      </c>
      <c r="E8" s="15" t="n">
        <v>1415.9551000000001</v>
      </c>
      <c r="F8" s="15" t="n">
        <v>654.9437</v>
      </c>
      <c r="G8" s="15" t="n">
        <v>355.7554</v>
      </c>
      <c r="H8" s="15" t="n">
        <v>579.1288</v>
      </c>
      <c r="I8" s="15"/>
      <c r="J8" s="15">
        <f>SUM(B8:I8)</f>
        <v>5214.1486000000004</v>
      </c>
      <c r="K8" s="15"/>
      <c r="L8" t="str">
        <f>$A$8</f>
        <v>Bellevue Downtown</v>
      </c>
      <c r="T8" s="15"/>
      <c r="U8" s="15">
        <f ref="U8:U14" si="0" t="shared">SUM(M8:T8)</f>
        <v>0</v>
      </c>
      <c r="V8" s="15"/>
      <c r="W8" t="str">
        <f>$A$8</f>
        <v>Bellevue Downtown</v>
      </c>
      <c r="X8" s="77" t="n">
        <v>930.0</v>
      </c>
      <c r="Y8" s="77" t="n">
        <v>2743.0</v>
      </c>
      <c r="Z8" s="77" t="n">
        <v>198.0</v>
      </c>
      <c r="AA8" s="77" t="n">
        <v>432.0</v>
      </c>
      <c r="AB8" s="77" t="n">
        <v>503.0</v>
      </c>
      <c r="AC8" s="77" t="n">
        <v>341.0</v>
      </c>
      <c r="AD8" s="77" t="n">
        <v>535.0</v>
      </c>
      <c r="AE8" s="77">
        <v>0</v>
      </c>
      <c r="AF8" s="77">
        <f ref="AF8:AF14" si="1" t="shared">SUM(X8:AE8)</f>
        <v>5682</v>
      </c>
      <c r="AH8" s="16"/>
      <c r="AI8" s="16"/>
      <c r="AJ8" s="7"/>
    </row>
    <row r="9" spans="1:36" x14ac:dyDescent="0.25">
      <c r="A9" t="s">
        <v>269</v>
      </c>
      <c r="B9" s="15" t="n">
        <v>3744.751</v>
      </c>
      <c r="C9" s="15" t="n">
        <v>5539.7495</v>
      </c>
      <c r="D9" s="15" t="n">
        <v>16450.3303</v>
      </c>
      <c r="E9" s="15" t="n">
        <v>14257.4123</v>
      </c>
      <c r="F9" s="15" t="n">
        <v>9962.1424</v>
      </c>
      <c r="G9" s="15" t="n">
        <v>6764.6253</v>
      </c>
      <c r="H9" s="15" t="n">
        <v>8479.9245</v>
      </c>
      <c r="I9" s="15"/>
      <c r="J9" s="15">
        <f ref="J9:J11" si="2" t="shared">SUM(B9:I9)</f>
        <v>65198.935300000005</v>
      </c>
      <c r="K9" s="15"/>
      <c r="L9" t="str">
        <f>$A$9</f>
        <v>Kirkland</v>
      </c>
      <c r="T9" s="15"/>
      <c r="U9" s="15">
        <f si="0" t="shared"/>
        <v>0</v>
      </c>
      <c r="V9" s="15"/>
      <c r="W9" t="str">
        <f>$A$9</f>
        <v>Kirkland</v>
      </c>
      <c r="X9" s="77" t="n">
        <v>6903.0</v>
      </c>
      <c r="Y9" s="102" t="n">
        <v>4916.0</v>
      </c>
      <c r="Z9" s="77" t="n">
        <v>16824.0</v>
      </c>
      <c r="AA9" s="77" t="n">
        <v>12443.0</v>
      </c>
      <c r="AB9" s="77" t="n">
        <v>12156.0</v>
      </c>
      <c r="AC9" s="77" t="n">
        <v>5128.0</v>
      </c>
      <c r="AD9" s="101" t="n">
        <v>13731.0</v>
      </c>
      <c r="AE9" s="77">
        <v>0</v>
      </c>
      <c r="AF9" s="77">
        <f si="1" t="shared"/>
        <v>72101</v>
      </c>
      <c r="AH9" s="16"/>
      <c r="AI9" s="16"/>
      <c r="AJ9" s="7"/>
    </row>
    <row r="10" spans="1:36" x14ac:dyDescent="0.25">
      <c r="A10" t="s">
        <v>270</v>
      </c>
      <c r="B10" s="15" t="n">
        <v>8579.2613</v>
      </c>
      <c r="C10" s="15" t="n">
        <v>4296.2137999999995</v>
      </c>
      <c r="D10" s="15" t="n">
        <v>5724.8873</v>
      </c>
      <c r="E10" s="15" t="n">
        <v>17795.3069</v>
      </c>
      <c r="F10" s="15" t="n">
        <v>4389.9072</v>
      </c>
      <c r="G10" s="15" t="n">
        <v>3855.6452</v>
      </c>
      <c r="H10" s="15" t="n">
        <v>5039.4436</v>
      </c>
      <c r="I10" s="15"/>
      <c r="J10" s="15">
        <f si="2" t="shared"/>
        <v>49680.665299999993</v>
      </c>
      <c r="K10" s="15"/>
      <c r="L10" t="str">
        <f>$A$10</f>
        <v>Redmond</v>
      </c>
      <c r="T10" s="15"/>
      <c r="U10" s="15">
        <f si="0" t="shared"/>
        <v>0</v>
      </c>
      <c r="V10" s="15"/>
      <c r="W10" t="str">
        <f>$A$10</f>
        <v>Redmond</v>
      </c>
      <c r="X10" s="77" t="n">
        <v>6811.0</v>
      </c>
      <c r="Y10" s="102" t="n">
        <v>3633.0</v>
      </c>
      <c r="Z10" s="77" t="n">
        <v>6061.0</v>
      </c>
      <c r="AA10" s="77" t="n">
        <v>20377.0</v>
      </c>
      <c r="AB10" s="77" t="n">
        <v>5717.0</v>
      </c>
      <c r="AC10" s="77" t="n">
        <v>2866.0</v>
      </c>
      <c r="AD10" s="101" t="n">
        <v>9691.0</v>
      </c>
      <c r="AE10" s="77">
        <v>0</v>
      </c>
      <c r="AF10" s="77">
        <f si="1" t="shared"/>
        <v>55156</v>
      </c>
      <c r="AH10" s="16"/>
      <c r="AI10" s="16"/>
      <c r="AJ10" s="7"/>
    </row>
    <row r="11" spans="1:36" x14ac:dyDescent="0.25">
      <c r="A11" t="s">
        <v>266</v>
      </c>
      <c r="B11" s="15" t="n">
        <v>10211.4989</v>
      </c>
      <c r="C11" s="15" t="n">
        <v>5845.1939</v>
      </c>
      <c r="D11" s="15" t="n">
        <v>6726.1918</v>
      </c>
      <c r="E11" s="15" t="n">
        <v>9807.3248</v>
      </c>
      <c r="F11" s="15" t="n">
        <v>139609.1678</v>
      </c>
      <c r="G11" s="15" t="n">
        <v>96016.0834</v>
      </c>
      <c r="H11" s="15" t="n">
        <v>45908.8335</v>
      </c>
      <c r="I11" s="15"/>
      <c r="J11" s="15">
        <f si="2" t="shared"/>
        <v>314124.2941</v>
      </c>
      <c r="K11" s="15"/>
      <c r="L11" t="str">
        <f>$A$11</f>
        <v>Seattle</v>
      </c>
      <c r="T11" s="15"/>
      <c r="U11" s="15">
        <f si="0" t="shared"/>
        <v>0</v>
      </c>
      <c r="V11" s="15"/>
      <c r="W11" t="str">
        <f>$A$11</f>
        <v>Seattle</v>
      </c>
      <c r="X11" s="77" t="n">
        <v>9035.0</v>
      </c>
      <c r="Y11" s="77" t="n">
        <v>5623.0</v>
      </c>
      <c r="Z11" s="77" t="n">
        <v>6638.0</v>
      </c>
      <c r="AA11" s="77" t="n">
        <v>8453.0</v>
      </c>
      <c r="AB11" s="77" t="n">
        <v>176513.0</v>
      </c>
      <c r="AC11" s="77" t="n">
        <v>97311.0</v>
      </c>
      <c r="AD11" s="77" t="n">
        <v>50636.0</v>
      </c>
      <c r="AE11" s="77">
        <v>0</v>
      </c>
      <c r="AF11" s="77">
        <f si="1" t="shared"/>
        <v>354209</v>
      </c>
      <c r="AH11" s="16"/>
      <c r="AI11" s="16"/>
      <c r="AJ11" s="7"/>
    </row>
    <row r="12" spans="1:36" x14ac:dyDescent="0.25">
      <c r="A12" t="s">
        <v>271</v>
      </c>
      <c r="B12" s="15" t="n">
        <v>1256.096</v>
      </c>
      <c r="C12" s="15" t="n">
        <v>915.1105</v>
      </c>
      <c r="D12" s="15" t="n">
        <v>586.137</v>
      </c>
      <c r="E12" s="15" t="n">
        <v>2832.7625</v>
      </c>
      <c r="F12" s="15" t="n">
        <v>8442.9068</v>
      </c>
      <c r="G12" s="15" t="n">
        <v>17324.273</v>
      </c>
      <c r="H12" s="15" t="n">
        <v>2772.1528</v>
      </c>
      <c r="I12" s="15"/>
      <c r="J12" s="15">
        <f>SUM(B12:I12)</f>
        <v>34129.438600000001</v>
      </c>
      <c r="K12" s="15"/>
      <c r="L12" t="str">
        <f>$A$12</f>
        <v>Seattle Downtown</v>
      </c>
      <c r="T12" s="16"/>
      <c r="U12" s="15">
        <f si="0" t="shared"/>
        <v>0</v>
      </c>
      <c r="V12" s="16"/>
      <c r="W12" t="str">
        <f>$A$12</f>
        <v>Seattle Downtown</v>
      </c>
      <c r="X12" s="77" t="n">
        <v>864.0</v>
      </c>
      <c r="Y12" s="77" t="n">
        <v>512.0</v>
      </c>
      <c r="Z12" s="77" t="n">
        <v>329.0</v>
      </c>
      <c r="AA12" s="77" t="n">
        <v>587.0</v>
      </c>
      <c r="AB12" s="77" t="n">
        <v>10533.0</v>
      </c>
      <c r="AC12" s="77" t="n">
        <v>22161.0</v>
      </c>
      <c r="AD12" s="77" t="n">
        <v>3478.0</v>
      </c>
      <c r="AE12" s="99">
        <v>0</v>
      </c>
      <c r="AF12" s="77">
        <f si="1" t="shared"/>
        <v>38464</v>
      </c>
      <c r="AH12" s="16"/>
      <c r="AI12" s="16"/>
      <c r="AJ12" s="7"/>
    </row>
    <row r="13" spans="1:36" x14ac:dyDescent="0.25">
      <c r="A13" t="s">
        <v>272</v>
      </c>
      <c r="B13" s="15" t="n">
        <v>27334.9816</v>
      </c>
      <c r="C13" s="15" t="n">
        <v>17160.3785</v>
      </c>
      <c r="D13" s="15" t="n">
        <v>27096.21</v>
      </c>
      <c r="E13" s="15" t="n">
        <v>36022.9773</v>
      </c>
      <c r="F13" s="15" t="n">
        <v>108718.8125</v>
      </c>
      <c r="G13" s="15" t="n">
        <v>80621.8255</v>
      </c>
      <c r="H13" s="15" t="n">
        <v>785791.1153</v>
      </c>
      <c r="I13" s="15"/>
      <c r="J13" s="15">
        <f>SUM(B13:I13)</f>
        <v>1082746.3007</v>
      </c>
      <c r="K13" s="15"/>
      <c r="L13" t="str">
        <f>$A$13</f>
        <v>Rest</v>
      </c>
      <c r="T13" s="16"/>
      <c r="U13" s="15">
        <f si="0" t="shared"/>
        <v>0</v>
      </c>
      <c r="V13" s="16"/>
      <c r="W13" t="str">
        <f>$A$13</f>
        <v>Rest</v>
      </c>
      <c r="X13" s="77" t="n">
        <v>32636.0</v>
      </c>
      <c r="Y13" s="77" t="n">
        <v>18426.0</v>
      </c>
      <c r="Z13" s="77" t="n">
        <v>28114.0</v>
      </c>
      <c r="AA13" s="77" t="n">
        <v>42612.0</v>
      </c>
      <c r="AB13" s="77" t="n">
        <v>111910.0</v>
      </c>
      <c r="AC13" s="77" t="n">
        <v>53554.0</v>
      </c>
      <c r="AD13" s="77" t="n">
        <v>947106.0</v>
      </c>
      <c r="AE13" s="99"/>
      <c r="AF13" s="77">
        <f si="1" t="shared"/>
        <v>1234358</v>
      </c>
      <c r="AH13" s="16"/>
      <c r="AI13" s="16"/>
      <c r="AJ13" s="7"/>
    </row>
    <row r="14" spans="1:36" x14ac:dyDescent="0.2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si="0" t="shared"/>
        <v>0</v>
      </c>
      <c r="V14" s="15"/>
      <c r="W14" s="18" t="s">
        <v>17</v>
      </c>
      <c r="X14" s="79"/>
      <c r="Y14" s="79"/>
      <c r="Z14" s="79"/>
      <c r="AA14" s="79"/>
      <c r="AB14" s="79"/>
      <c r="AC14" s="79"/>
      <c r="AD14" s="79"/>
      <c r="AE14" s="79"/>
      <c r="AF14" s="79">
        <f si="1" t="shared"/>
        <v>0</v>
      </c>
      <c r="AI14" s="16"/>
      <c r="AJ14" s="7"/>
    </row>
    <row ht="15.75" r="15" spans="1:36" thickBot="1" x14ac:dyDescent="0.3">
      <c r="A15" s="1" t="s">
        <v>4</v>
      </c>
      <c r="B15" s="19">
        <f>SUM(B7:B14)</f>
        <v>70519.734700000001</v>
      </c>
      <c r="C15" s="19">
        <f>SUM(C7:C14)</f>
        <v>41189.978699999992</v>
      </c>
      <c r="D15" s="19">
        <f>SUM(D7:D14)</f>
        <v>61522.450100000002</v>
      </c>
      <c r="E15" s="19">
        <f ref="E15:H15" si="3" t="shared">SUM(E7:E14)</f>
        <v>92709.075899999996</v>
      </c>
      <c r="F15" s="19">
        <f si="3" t="shared"/>
        <v>284222.6691</v>
      </c>
      <c r="G15" s="19">
        <f si="3" t="shared"/>
        <v>214241.1121</v>
      </c>
      <c r="H15" s="19">
        <f si="3" t="shared"/>
        <v>860019.89859999996</v>
      </c>
      <c r="I15" s="19"/>
      <c r="J15" s="19">
        <f>SUM(J7:J14)</f>
        <v>1624424.9191999999</v>
      </c>
      <c r="K15" s="15"/>
      <c r="L15" s="19" t="s">
        <v>4</v>
      </c>
      <c r="M15" s="19">
        <f>SUM(M7:M14)</f>
        <v>0</v>
      </c>
      <c r="N15" s="19">
        <f ref="N15:U15" si="4" t="shared">SUM(N7:N14)</f>
        <v>0</v>
      </c>
      <c r="O15" s="19">
        <f si="4" t="shared"/>
        <v>0</v>
      </c>
      <c r="P15" s="19">
        <f si="4" t="shared"/>
        <v>0</v>
      </c>
      <c r="Q15" s="19">
        <f si="4" t="shared"/>
        <v>0</v>
      </c>
      <c r="R15" s="19">
        <f si="4" t="shared"/>
        <v>0</v>
      </c>
      <c r="S15" s="19">
        <f si="4" t="shared"/>
        <v>0</v>
      </c>
      <c r="T15" s="19">
        <f si="4" t="shared"/>
        <v>0</v>
      </c>
      <c r="U15" s="19">
        <f si="4" t="shared"/>
        <v>0</v>
      </c>
      <c r="V15" s="15"/>
      <c r="W15" s="19" t="s">
        <v>4</v>
      </c>
      <c r="X15" s="78">
        <f>SUM(X7:X14)</f>
        <v>87192</v>
      </c>
      <c r="Y15" s="78">
        <f ref="Y15:AF15" si="5" t="shared">SUM(Y7:Y14)</f>
        <v>42287</v>
      </c>
      <c r="Z15" s="78">
        <f si="5" t="shared"/>
        <v>63113</v>
      </c>
      <c r="AA15" s="78">
        <f si="5" t="shared"/>
        <v>92981</v>
      </c>
      <c r="AB15" s="78">
        <f si="5" t="shared"/>
        <v>330133</v>
      </c>
      <c r="AC15" s="78">
        <f si="5" t="shared"/>
        <v>191243</v>
      </c>
      <c r="AD15" s="78">
        <f si="5" t="shared"/>
        <v>1028408</v>
      </c>
      <c r="AE15" s="78">
        <f si="5" t="shared"/>
        <v>0</v>
      </c>
      <c r="AF15" s="78">
        <f si="5" t="shared"/>
        <v>1835357</v>
      </c>
      <c r="AH15" s="21"/>
      <c r="AI15" s="16"/>
      <c r="AJ15" s="7"/>
    </row>
    <row r="16" spans="1:36" x14ac:dyDescent="0.25">
      <c r="W16" t="s">
        <v>300</v>
      </c>
      <c r="X16" s="77">
        <v>97566</v>
      </c>
      <c r="Y16" s="77">
        <v>39834</v>
      </c>
      <c r="Z16" s="77">
        <v>70347</v>
      </c>
      <c r="AA16" s="77">
        <v>113410</v>
      </c>
      <c r="AB16" s="77">
        <v>356992</v>
      </c>
      <c r="AC16" s="77">
        <v>244690</v>
      </c>
      <c r="AD16" s="77">
        <v>1138424</v>
      </c>
      <c r="AF16" s="100">
        <f>SUM(X16:AE16)</f>
        <v>2061263</v>
      </c>
      <c r="AH16" s="7"/>
      <c r="AI16" s="7"/>
      <c r="AJ16" s="7"/>
    </row>
    <row r="17" spans="1:36" x14ac:dyDescent="0.25">
      <c r="W17" t="s">
        <v>301</v>
      </c>
      <c r="X17" s="100">
        <f>X16-X15</f>
        <v>10374</v>
      </c>
      <c r="Y17" s="100">
        <f ref="Y17:AD17" si="6" t="shared">Y16-Y15</f>
        <v>-2453</v>
      </c>
      <c r="Z17" s="100">
        <f si="6" t="shared"/>
        <v>7234</v>
      </c>
      <c r="AA17" s="100">
        <f si="6" t="shared"/>
        <v>20429</v>
      </c>
      <c r="AB17" s="100">
        <f si="6" t="shared"/>
        <v>26859</v>
      </c>
      <c r="AC17" s="100">
        <f si="6" t="shared"/>
        <v>53447</v>
      </c>
      <c r="AD17" s="100">
        <f si="6" t="shared"/>
        <v>110016</v>
      </c>
      <c r="AF17" s="100">
        <f>SUM(X17:AE17)</f>
        <v>225906</v>
      </c>
      <c r="AH17" s="7"/>
      <c r="AI17" s="7"/>
      <c r="AJ17" s="7"/>
    </row>
    <row ht="15.75" r="18" spans="1:36" thickBot="1" x14ac:dyDescent="0.3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  <c r="W18" t="s">
        <v>302</v>
      </c>
      <c r="X18" s="105">
        <f>X17/X16</f>
        <v>0.1063280241067585</v>
      </c>
      <c r="Y18" s="105">
        <f ref="Y18:AF18" si="7" t="shared">Y17/Y16</f>
        <v>-6.1580559321182907E-2</v>
      </c>
      <c r="Z18" s="105">
        <f si="7" t="shared"/>
        <v>0.10283309878175331</v>
      </c>
      <c r="AA18" s="105">
        <f si="7" t="shared"/>
        <v>0.18013402698174763</v>
      </c>
      <c r="AB18" s="105">
        <f si="7" t="shared"/>
        <v>7.523698010039441E-2</v>
      </c>
      <c r="AC18" s="105">
        <f si="7" t="shared"/>
        <v>0.21842739793207733</v>
      </c>
      <c r="AD18" s="105">
        <f si="7" t="shared"/>
        <v>9.6638862146265367E-2</v>
      </c>
      <c r="AF18" s="105">
        <f si="7" t="shared"/>
        <v>0.10959591279715397</v>
      </c>
    </row>
    <row ht="15.75" r="19" spans="1:36" thickBot="1" x14ac:dyDescent="0.3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  <c r="W19" t="s">
        <v>303</v>
      </c>
      <c r="X19" s="78">
        <v>98174.94</v>
      </c>
      <c r="Y19" s="78">
        <v>39752.339999999997</v>
      </c>
      <c r="Z19" s="78">
        <v>70583.11</v>
      </c>
      <c r="AA19" s="78">
        <v>113043.14</v>
      </c>
      <c r="AB19" s="78">
        <v>372318.66</v>
      </c>
      <c r="AC19" s="78">
        <v>262203.83</v>
      </c>
      <c r="AD19" s="78">
        <v>1136426.46</v>
      </c>
      <c r="AF19" s="100">
        <f>SUM(X19:AD19)</f>
        <v>2092502.48</v>
      </c>
    </row>
    <row r="20" spans="1:36" x14ac:dyDescent="0.25">
      <c r="A20" s="41" t="str">
        <f>A7</f>
        <v>Bellevue</v>
      </c>
      <c r="B20" s="15">
        <f ref="B20:G26" si="8" t="shared">(B7/$J7)*$AF7</f>
        <v>19144.299049029058</v>
      </c>
      <c r="C20" s="15">
        <f si="8" t="shared"/>
        <v>6242.4055604696578</v>
      </c>
      <c r="D20" s="15">
        <f si="8" t="shared"/>
        <v>4998.737031337655</v>
      </c>
      <c r="E20" s="15">
        <f si="8" t="shared"/>
        <v>10873.876246710186</v>
      </c>
      <c r="F20" s="15">
        <f si="8" t="shared"/>
        <v>12793.6825913987</v>
      </c>
      <c r="G20" s="15">
        <f si="8" t="shared"/>
        <v>9563.7143917403828</v>
      </c>
      <c r="H20" s="15">
        <f ref="H20:I20" si="9" t="shared">(H7/$J7)*$AF7</f>
        <v>11770.285129314361</v>
      </c>
      <c r="I20" s="15">
        <f si="9" t="shared"/>
        <v>0</v>
      </c>
      <c r="J20" s="15">
        <f>SUM(B20:I20)</f>
        <v>75387</v>
      </c>
      <c r="L20" t="str">
        <f>$A$7</f>
        <v>Bellevue</v>
      </c>
      <c r="M20" s="15" t="e">
        <f ref="M20:T26" si="10" t="shared">M7*($AF7/$U7)</f>
        <v>#DIV/0!</v>
      </c>
      <c r="N20" s="15" t="e">
        <f si="10" t="shared"/>
        <v>#DIV/0!</v>
      </c>
      <c r="O20" s="15" t="e">
        <f si="10" t="shared"/>
        <v>#DIV/0!</v>
      </c>
      <c r="P20" s="15" t="e">
        <f si="10" t="shared"/>
        <v>#DIV/0!</v>
      </c>
      <c r="Q20" s="15" t="e">
        <f si="10" t="shared"/>
        <v>#DIV/0!</v>
      </c>
      <c r="R20" s="15" t="e">
        <f si="10" t="shared"/>
        <v>#DIV/0!</v>
      </c>
      <c r="S20" s="15" t="e">
        <f si="10" t="shared"/>
        <v>#DIV/0!</v>
      </c>
      <c r="T20" s="15" t="e">
        <f ref="T20:T25" si="11" t="shared">T7*($AF7/$U7)</f>
        <v>#DIV/0!</v>
      </c>
      <c r="U20" s="15" t="e">
        <f>SUM(M20:T20)</f>
        <v>#DIV/0!</v>
      </c>
      <c r="X20" s="106" t="s">
        <v>297</v>
      </c>
      <c r="Y20" s="106" t="s">
        <v>272</v>
      </c>
      <c r="Z20" s="106"/>
      <c r="AA20" s="106"/>
      <c r="AB20" s="106" t="s">
        <v>297</v>
      </c>
      <c r="AC20" s="106" t="s">
        <v>272</v>
      </c>
      <c r="AD20" s="106"/>
    </row>
    <row r="21" spans="1:36" x14ac:dyDescent="0.25">
      <c r="A21" s="41" t="str">
        <f ref="A21:A27" si="12" t="shared">A8</f>
        <v>Bellevue Downtown</v>
      </c>
      <c r="B21" s="15">
        <f si="8" t="shared"/>
        <v>840.10029599079701</v>
      </c>
      <c r="C21" s="15">
        <f si="8" t="shared"/>
        <v>1483.2956982852386</v>
      </c>
      <c r="D21" s="15">
        <f si="8" t="shared"/>
        <v>83.120256373207312</v>
      </c>
      <c r="E21" s="15">
        <f si="8" t="shared"/>
        <v>1543.0049074934307</v>
      </c>
      <c r="F21" s="15">
        <f si="8" t="shared"/>
        <v>713.71002034732953</v>
      </c>
      <c r="G21" s="15">
        <f si="8" t="shared"/>
        <v>387.67636633907972</v>
      </c>
      <c r="H21" s="15">
        <f ref="H21:I21" si="13" t="shared">(H8/$J8)*$AF8</f>
        <v>631.09245517091699</v>
      </c>
      <c r="I21" s="15">
        <f si="13" t="shared"/>
        <v>0</v>
      </c>
      <c r="J21" s="15">
        <f>SUM(B21:I21)</f>
        <v>5681.9999999999991</v>
      </c>
      <c r="L21" t="str">
        <f>$A$8</f>
        <v>Bellevue Downtown</v>
      </c>
      <c r="M21" s="15" t="e">
        <f si="10" t="shared"/>
        <v>#DIV/0!</v>
      </c>
      <c r="N21" s="15" t="e">
        <f si="10" t="shared"/>
        <v>#DIV/0!</v>
      </c>
      <c r="O21" s="15" t="e">
        <f si="10" t="shared"/>
        <v>#DIV/0!</v>
      </c>
      <c r="P21" s="15" t="e">
        <f si="10" t="shared"/>
        <v>#DIV/0!</v>
      </c>
      <c r="Q21" s="15" t="e">
        <f si="10" t="shared"/>
        <v>#DIV/0!</v>
      </c>
      <c r="R21" s="15" t="e">
        <f si="10" t="shared"/>
        <v>#DIV/0!</v>
      </c>
      <c r="S21" s="15" t="e">
        <f ref="S21" si="14" t="shared">S8*($AF8/$U8)</f>
        <v>#DIV/0!</v>
      </c>
      <c r="T21" s="15" t="e">
        <f si="11" t="shared"/>
        <v>#DIV/0!</v>
      </c>
      <c r="U21" s="15" t="e">
        <f>SUM(M21:T21)</f>
        <v>#DIV/0!</v>
      </c>
      <c r="W21" t="s">
        <v>297</v>
      </c>
      <c r="X21" s="15">
        <f>SUM(B7:E10)</f>
        <v>120146.3766</v>
      </c>
      <c r="Y21" s="15">
        <f>SUM(F7:H10)</f>
        <v>73278.509200000015</v>
      </c>
      <c r="Z21" s="15">
        <f>SUM(X21:Y21)</f>
        <v>193424.88580000002</v>
      </c>
      <c r="AA21" t="s">
        <v>297</v>
      </c>
      <c r="AB21" s="15">
        <f>SUM(X7:AA10)</f>
        <v>114082</v>
      </c>
      <c r="AC21" s="15">
        <f>SUM(AB7:AD10)</f>
        <v>94244</v>
      </c>
      <c r="AD21" s="15">
        <f>SUM(AB21:AC21)</f>
        <v>208326</v>
      </c>
    </row>
    <row r="22" spans="1:36" x14ac:dyDescent="0.25">
      <c r="A22" s="41" t="str">
        <f si="12" t="shared"/>
        <v>Kirkland</v>
      </c>
      <c r="B22" s="15">
        <f si="8" t="shared"/>
        <v>4141.1763951151515</v>
      </c>
      <c r="C22" s="15">
        <f si="8" t="shared"/>
        <v>6126.19633835493</v>
      </c>
      <c r="D22" s="15">
        <f si="8" t="shared"/>
        <v>18191.788861317495</v>
      </c>
      <c r="E22" s="15">
        <f si="8" t="shared"/>
        <v>15766.725016478909</v>
      </c>
      <c r="F22" s="15">
        <f si="8" t="shared"/>
        <v>11016.75090056877</v>
      </c>
      <c r="G22" s="15">
        <f si="8" t="shared"/>
        <v>7480.7394708376469</v>
      </c>
      <c r="H22" s="15">
        <f ref="H22:I22" si="15" t="shared">(H9/$J9)*$AF9</f>
        <v>9377.6230173270924</v>
      </c>
      <c r="I22" s="15">
        <f si="15" t="shared"/>
        <v>0</v>
      </c>
      <c r="J22" s="15">
        <f ref="J22:J24" si="16" t="shared">SUM(B22:I22)</f>
        <v>72100.999999999985</v>
      </c>
      <c r="L22" t="str">
        <f>$A$9</f>
        <v>Kirkland</v>
      </c>
      <c r="M22" s="15" t="e">
        <f si="10" t="shared"/>
        <v>#DIV/0!</v>
      </c>
      <c r="N22" s="15" t="e">
        <f si="10" t="shared"/>
        <v>#DIV/0!</v>
      </c>
      <c r="O22" s="15" t="e">
        <f si="10" t="shared"/>
        <v>#DIV/0!</v>
      </c>
      <c r="P22" s="15" t="e">
        <f si="10" t="shared"/>
        <v>#DIV/0!</v>
      </c>
      <c r="Q22" s="15" t="e">
        <f si="10" t="shared"/>
        <v>#DIV/0!</v>
      </c>
      <c r="R22" s="15" t="e">
        <f si="10" t="shared"/>
        <v>#DIV/0!</v>
      </c>
      <c r="S22" s="15" t="e">
        <f ref="S22" si="17" t="shared">S9*($AF9/$U9)</f>
        <v>#DIV/0!</v>
      </c>
      <c r="T22" s="15" t="e">
        <f si="11" t="shared"/>
        <v>#DIV/0!</v>
      </c>
      <c r="U22" s="15" t="e">
        <f>SUM(M22:T22)</f>
        <v>#DIV/0!</v>
      </c>
      <c r="W22" t="s">
        <v>272</v>
      </c>
      <c r="X22" s="15">
        <f>SUM(B11:E13)</f>
        <v>145794.8628</v>
      </c>
      <c r="Y22" s="15">
        <f>SUM(F11:H13)</f>
        <v>1285205.1705999998</v>
      </c>
      <c r="Z22" s="15">
        <f>SUM(X22:Y22)</f>
        <v>1431000.0333999998</v>
      </c>
      <c r="AA22" t="s">
        <v>272</v>
      </c>
      <c r="AB22" s="15">
        <f>SUM(X11:AA13)</f>
        <v>171491</v>
      </c>
      <c r="AC22" s="15">
        <f>SUM(AB11:AD13)</f>
        <v>1455540</v>
      </c>
      <c r="AD22" s="15">
        <f>SUM(AB22:AC22)</f>
        <v>1627031</v>
      </c>
    </row>
    <row r="23" spans="1:36" x14ac:dyDescent="0.25">
      <c r="A23" s="41" t="str">
        <f si="12" t="shared"/>
        <v>Redmond</v>
      </c>
      <c r="B23" s="15">
        <f si="8" t="shared"/>
        <v>9524.7866228313196</v>
      </c>
      <c r="C23" s="15">
        <f si="8" t="shared"/>
        <v>4769.7019941639146</v>
      </c>
      <c r="D23" s="15">
        <f si="8" t="shared"/>
        <v>6355.8304223997593</v>
      </c>
      <c r="E23" s="15">
        <f si="8" t="shared"/>
        <v>19756.537909656377</v>
      </c>
      <c r="F23" s="15">
        <f si="8" t="shared"/>
        <v>4873.721397672185</v>
      </c>
      <c r="G23" s="15">
        <f si="8" t="shared"/>
        <v>4280.5780753342697</v>
      </c>
      <c r="H23" s="15">
        <f ref="H23:I23" si="18" t="shared">(H10/$J10)*$AF10</f>
        <v>5594.8435779421825</v>
      </c>
      <c r="I23" s="15">
        <f si="18" t="shared"/>
        <v>0</v>
      </c>
      <c r="J23" s="15">
        <f si="16" t="shared"/>
        <v>55156.000000000007</v>
      </c>
      <c r="L23" t="str">
        <f>$A$10</f>
        <v>Redmond</v>
      </c>
      <c r="M23" s="15" t="e">
        <f si="10" t="shared"/>
        <v>#DIV/0!</v>
      </c>
      <c r="N23" s="15" t="e">
        <f si="10" t="shared"/>
        <v>#DIV/0!</v>
      </c>
      <c r="O23" s="15" t="e">
        <f si="10" t="shared"/>
        <v>#DIV/0!</v>
      </c>
      <c r="P23" s="15" t="e">
        <f si="10" t="shared"/>
        <v>#DIV/0!</v>
      </c>
      <c r="Q23" s="15" t="e">
        <f si="10" t="shared"/>
        <v>#DIV/0!</v>
      </c>
      <c r="R23" s="15" t="e">
        <f si="10" t="shared"/>
        <v>#DIV/0!</v>
      </c>
      <c r="S23" s="15" t="e">
        <f ref="S23" si="19" t="shared">S10*($AF10/$U10)</f>
        <v>#DIV/0!</v>
      </c>
      <c r="T23" s="15" t="e">
        <f si="11" t="shared"/>
        <v>#DIV/0!</v>
      </c>
      <c r="U23" s="15" t="e">
        <f ref="U23:U26" si="20" t="shared">SUM(M23:T23)</f>
        <v>#DIV/0!</v>
      </c>
      <c r="Y23" s="15">
        <f>SUM(X21:Y22)</f>
        <v>1624424.9191999999</v>
      </c>
      <c r="AC23" s="15">
        <f>SUM(AB21:AC22)</f>
        <v>1835357</v>
      </c>
    </row>
    <row r="24" spans="1:36" x14ac:dyDescent="0.25">
      <c r="A24" s="41" t="str">
        <f si="12" t="shared"/>
        <v>Seattle</v>
      </c>
      <c r="B24" s="15">
        <f si="8" t="shared"/>
        <v>11514.565672907309</v>
      </c>
      <c r="C24" s="15">
        <f si="8" t="shared"/>
        <v>6591.0861560614967</v>
      </c>
      <c r="D24" s="15">
        <f si="8" t="shared"/>
        <v>7584.5062481151144</v>
      </c>
      <c r="E24" s="15">
        <f si="8" t="shared"/>
        <v>11058.815810589036</v>
      </c>
      <c r="F24" s="15">
        <f si="8" t="shared"/>
        <v>157424.38469763106</v>
      </c>
      <c r="G24" s="15">
        <f si="8" t="shared"/>
        <v>108268.48328452988</v>
      </c>
      <c r="H24" s="15">
        <f ref="H24:I24" si="21" t="shared">(H11/$J11)*$AF11</f>
        <v>51767.158130166092</v>
      </c>
      <c r="I24" s="15">
        <f si="21" t="shared"/>
        <v>0</v>
      </c>
      <c r="J24" s="15">
        <f si="16" t="shared"/>
        <v>354209</v>
      </c>
      <c r="L24" t="str">
        <f>$A$11</f>
        <v>Seattle</v>
      </c>
      <c r="M24" s="15" t="e">
        <f si="10" t="shared"/>
        <v>#DIV/0!</v>
      </c>
      <c r="N24" s="15" t="e">
        <f si="10" t="shared"/>
        <v>#DIV/0!</v>
      </c>
      <c r="O24" s="15" t="e">
        <f si="10" t="shared"/>
        <v>#DIV/0!</v>
      </c>
      <c r="P24" s="15" t="e">
        <f si="10" t="shared"/>
        <v>#DIV/0!</v>
      </c>
      <c r="Q24" s="15" t="e">
        <f si="10" t="shared"/>
        <v>#DIV/0!</v>
      </c>
      <c r="R24" s="15" t="e">
        <f si="10" t="shared"/>
        <v>#DIV/0!</v>
      </c>
      <c r="S24" s="15" t="e">
        <f ref="S24" si="22" t="shared">S11*($AF11/$U11)</f>
        <v>#DIV/0!</v>
      </c>
      <c r="T24" s="15" t="e">
        <f si="11" t="shared"/>
        <v>#DIV/0!</v>
      </c>
      <c r="U24" s="15" t="e">
        <f si="20" t="shared"/>
        <v>#DIV/0!</v>
      </c>
    </row>
    <row r="25" spans="1:36" x14ac:dyDescent="0.25">
      <c r="A25" s="41" t="str">
        <f si="12" t="shared"/>
        <v>Seattle Downtown</v>
      </c>
      <c r="B25" s="15">
        <f si="8" t="shared"/>
        <v>1415.6247077559606</v>
      </c>
      <c r="C25" s="15">
        <f si="8" t="shared"/>
        <v>1031.3328233884281</v>
      </c>
      <c r="D25" s="15">
        <f si="8" t="shared"/>
        <v>660.57850620490422</v>
      </c>
      <c r="E25" s="15">
        <f si="8" t="shared"/>
        <v>3192.533521486052</v>
      </c>
      <c r="F25" s="15">
        <f si="8" t="shared"/>
        <v>9515.1863164605347</v>
      </c>
      <c r="G25" s="15">
        <f si="8" t="shared"/>
        <v>19524.517953014325</v>
      </c>
      <c r="H25" s="15">
        <f ref="H25:I26" si="23" t="shared">(H12/$J12)*$AF12</f>
        <v>3124.2261716897974</v>
      </c>
      <c r="I25" s="15">
        <f si="23" t="shared"/>
        <v>0</v>
      </c>
      <c r="J25" s="15">
        <f>SUM(B25:I25)</f>
        <v>38464.000000000007</v>
      </c>
      <c r="L25" t="str">
        <f>$A$12</f>
        <v>Seattle Downtown</v>
      </c>
      <c r="M25" s="15" t="e">
        <f si="10" t="shared"/>
        <v>#DIV/0!</v>
      </c>
      <c r="N25" s="15" t="e">
        <f si="10" t="shared"/>
        <v>#DIV/0!</v>
      </c>
      <c r="O25" s="15" t="e">
        <f si="10" t="shared"/>
        <v>#DIV/0!</v>
      </c>
      <c r="P25" s="15" t="e">
        <f si="10" t="shared"/>
        <v>#DIV/0!</v>
      </c>
      <c r="Q25" s="15" t="e">
        <f si="10" t="shared"/>
        <v>#DIV/0!</v>
      </c>
      <c r="R25" s="15" t="e">
        <f si="10" t="shared"/>
        <v>#DIV/0!</v>
      </c>
      <c r="S25" s="15" t="e">
        <f ref="S25" si="24" t="shared">S12*($AF12/$U12)</f>
        <v>#DIV/0!</v>
      </c>
      <c r="T25" s="15" t="e">
        <f si="11" t="shared"/>
        <v>#DIV/0!</v>
      </c>
      <c r="U25" s="15" t="e">
        <f si="20" t="shared"/>
        <v>#DIV/0!</v>
      </c>
    </row>
    <row r="26" spans="1:36" x14ac:dyDescent="0.25">
      <c r="A26" s="41" t="str">
        <f si="12" t="shared"/>
        <v>Rest</v>
      </c>
      <c r="B26" s="15">
        <f si="8" t="shared"/>
        <v>31162.566148689682</v>
      </c>
      <c r="C26" s="15">
        <f si="8" t="shared"/>
        <v>19563.262853734723</v>
      </c>
      <c r="D26" s="15">
        <f si="8" t="shared"/>
        <v>30890.360522642051</v>
      </c>
      <c r="E26" s="15">
        <f si="8" t="shared"/>
        <v>41067.099638508509</v>
      </c>
      <c r="F26" s="15">
        <f si="8" t="shared"/>
        <v>123942.17913569917</v>
      </c>
      <c r="G26" s="15">
        <f si="8" t="shared"/>
        <v>91910.907676333212</v>
      </c>
      <c r="H26" s="15">
        <f si="23" t="shared"/>
        <v>895821.62402439269</v>
      </c>
      <c r="I26" s="15">
        <f si="23" t="shared"/>
        <v>0</v>
      </c>
      <c r="J26" s="15">
        <f>SUM(B26:I26)</f>
        <v>1234358</v>
      </c>
      <c r="L26" t="str">
        <f>$A$13</f>
        <v>Rest</v>
      </c>
      <c r="M26" s="15" t="e">
        <f si="10" t="shared"/>
        <v>#DIV/0!</v>
      </c>
      <c r="N26" s="15" t="e">
        <f si="10" t="shared"/>
        <v>#DIV/0!</v>
      </c>
      <c r="O26" s="15" t="e">
        <f si="10" t="shared"/>
        <v>#DIV/0!</v>
      </c>
      <c r="P26" s="15" t="e">
        <f si="10" t="shared"/>
        <v>#DIV/0!</v>
      </c>
      <c r="Q26" s="15" t="e">
        <f si="10" t="shared"/>
        <v>#DIV/0!</v>
      </c>
      <c r="R26" s="15" t="e">
        <f si="10" t="shared"/>
        <v>#DIV/0!</v>
      </c>
      <c r="S26" s="15" t="e">
        <f ref="S26" si="25" t="shared">S13*($AF13/$U13)</f>
        <v>#DIV/0!</v>
      </c>
      <c r="T26" s="15" t="e">
        <f si="10" t="shared"/>
        <v>#DIV/0!</v>
      </c>
      <c r="U26" s="15" t="e">
        <f si="20" t="shared"/>
        <v>#DIV/0!</v>
      </c>
    </row>
    <row r="27" spans="1:36" x14ac:dyDescent="0.25">
      <c r="A27" s="90" t="str">
        <f si="12" t="shared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ref="M27:S27" si="26" t="shared">M14*($AF14/$U14)</f>
        <v>#DIV/0!</v>
      </c>
      <c r="N27" s="17" t="e">
        <f si="26" t="shared"/>
        <v>#DIV/0!</v>
      </c>
      <c r="O27" s="17" t="e">
        <f si="26" t="shared"/>
        <v>#DIV/0!</v>
      </c>
      <c r="P27" s="17" t="e">
        <f si="26" t="shared"/>
        <v>#DIV/0!</v>
      </c>
      <c r="Q27" s="17" t="e">
        <f si="26" t="shared"/>
        <v>#DIV/0!</v>
      </c>
      <c r="R27" s="17" t="e">
        <f si="26" t="shared"/>
        <v>#DIV/0!</v>
      </c>
      <c r="S27" s="15" t="e">
        <f si="26" t="shared"/>
        <v>#DIV/0!</v>
      </c>
      <c r="T27" s="17" t="e">
        <f>T14*($AF14/$U14)</f>
        <v>#DIV/0!</v>
      </c>
      <c r="U27" s="17" t="e">
        <f>SUM(M27:T27)</f>
        <v>#DIV/0!</v>
      </c>
    </row>
    <row ht="15.75" r="28" spans="1:36" thickBot="1" x14ac:dyDescent="0.3">
      <c r="A28" s="1" t="s">
        <v>4</v>
      </c>
      <c r="B28" s="19">
        <f>SUM(B20:B27)</f>
        <v>77743.118892319282</v>
      </c>
      <c r="C28" s="19">
        <f>SUM(C20:C27)</f>
        <v>45807.281424458386</v>
      </c>
      <c r="D28" s="19">
        <f>SUM(D20:D27)</f>
        <v>68764.921848390193</v>
      </c>
      <c r="E28" s="19">
        <f ref="E28:H28" si="27" t="shared">SUM(E20:E27)</f>
        <v>103258.5930509225</v>
      </c>
      <c r="F28" s="19">
        <f si="27" t="shared"/>
        <v>320279.61505977775</v>
      </c>
      <c r="G28" s="19">
        <f si="27" t="shared"/>
        <v>241416.61721812878</v>
      </c>
      <c r="H28" s="19">
        <f si="27" t="shared"/>
        <v>978086.85250600311</v>
      </c>
      <c r="I28" s="19">
        <f>SUM(I20:I27)</f>
        <v>0</v>
      </c>
      <c r="J28" s="19">
        <f>SUM(J20:J27)</f>
        <v>1835357</v>
      </c>
      <c r="L28" s="19" t="s">
        <v>4</v>
      </c>
      <c r="M28" s="19" t="e">
        <f>SUM(M20:M27)</f>
        <v>#DIV/0!</v>
      </c>
      <c r="N28" s="19" t="e">
        <f ref="N28:S28" si="28" t="shared">SUM(N20:N27)</f>
        <v>#DIV/0!</v>
      </c>
      <c r="O28" s="19" t="e">
        <f si="28" t="shared"/>
        <v>#DIV/0!</v>
      </c>
      <c r="P28" s="19" t="e">
        <f si="28" t="shared"/>
        <v>#DIV/0!</v>
      </c>
      <c r="Q28" s="19" t="e">
        <f si="28" t="shared"/>
        <v>#DIV/0!</v>
      </c>
      <c r="R28" s="19" t="e">
        <f si="28" t="shared"/>
        <v>#DIV/0!</v>
      </c>
      <c r="S28" s="19" t="e">
        <f si="28" t="shared"/>
        <v>#DIV/0!</v>
      </c>
      <c r="T28" s="19" t="e">
        <f>SUM(T20:T27)</f>
        <v>#DIV/0!</v>
      </c>
      <c r="U28" s="19" t="e">
        <f>SUM(U20:U27)</f>
        <v>#DIV/0!</v>
      </c>
    </row>
    <row ht="15.75" r="32" spans="1:36" thickBot="1" x14ac:dyDescent="0.3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25">
      <c r="A34" s="91" t="str">
        <f>A20</f>
        <v>Bellevue</v>
      </c>
      <c r="B34" s="25">
        <f>B20/$J$28</f>
        <v>1.0430831194709835E-2</v>
      </c>
      <c r="C34" s="25">
        <f ref="C34:J34" si="29" t="shared">C20/$J$28</f>
        <v>3.401194187544798E-3</v>
      </c>
      <c r="D34" s="25">
        <f si="29" t="shared"/>
        <v>2.7235775009099893E-3</v>
      </c>
      <c r="E34" s="25">
        <f si="29" t="shared"/>
        <v>5.9246654720090889E-3</v>
      </c>
      <c r="F34" s="25">
        <f si="29" t="shared"/>
        <v>6.9706779615075973E-3</v>
      </c>
      <c r="G34" s="25">
        <f si="29" t="shared"/>
        <v>5.2108196888890736E-3</v>
      </c>
      <c r="H34" s="25">
        <f ref="H34:I34" si="30" t="shared">H20/$J$28</f>
        <v>6.4130766544679653E-3</v>
      </c>
      <c r="I34" s="25">
        <f si="30" t="shared"/>
        <v>0</v>
      </c>
      <c r="J34" s="25">
        <f si="29" t="shared"/>
        <v>4.1074842660038344E-2</v>
      </c>
      <c r="L34" t="str">
        <f>$A$7</f>
        <v>Bellevue</v>
      </c>
      <c r="M34" s="25" t="e">
        <f ref="M34:T41" si="31" t="shared">M20/$U$28</f>
        <v>#DIV/0!</v>
      </c>
      <c r="N34" s="25" t="e">
        <f si="31" t="shared"/>
        <v>#DIV/0!</v>
      </c>
      <c r="O34" s="25" t="e">
        <f si="31" t="shared"/>
        <v>#DIV/0!</v>
      </c>
      <c r="P34" s="25" t="e">
        <f si="31" t="shared"/>
        <v>#DIV/0!</v>
      </c>
      <c r="Q34" s="25" t="e">
        <f si="31" t="shared"/>
        <v>#DIV/0!</v>
      </c>
      <c r="R34" s="25" t="e">
        <f si="31" t="shared"/>
        <v>#DIV/0!</v>
      </c>
      <c r="S34" s="25" t="e">
        <f si="31" t="shared"/>
        <v>#DIV/0!</v>
      </c>
      <c r="T34" s="25" t="e">
        <f ref="T34:T39" si="32" t="shared">T20/$U$28</f>
        <v>#DIV/0!</v>
      </c>
      <c r="U34" s="25" t="e">
        <f>SUM(M34:T34)</f>
        <v>#DIV/0!</v>
      </c>
      <c r="W34" t="str">
        <f>$A$7</f>
        <v>Bellevue</v>
      </c>
      <c r="X34" s="25">
        <f ref="X34:AC40" si="33" t="shared">X7/$AF$15</f>
        <v>9.95555633045778E-3</v>
      </c>
      <c r="Y34" s="25">
        <f si="33" t="shared"/>
        <v>3.8532013117883878E-3</v>
      </c>
      <c r="Z34" s="25">
        <f si="33" t="shared"/>
        <v>2.1178441033542794E-3</v>
      </c>
      <c r="AA34" s="25">
        <f si="33" t="shared"/>
        <v>5.7661806395159091E-3</v>
      </c>
      <c r="AB34" s="25">
        <f si="33" t="shared"/>
        <v>6.0004674839826801E-3</v>
      </c>
      <c r="AC34" s="25">
        <f si="33" t="shared"/>
        <v>3.7518586302283424E-3</v>
      </c>
      <c r="AD34" s="25">
        <f ref="AD34:AE34" si="34" t="shared">AD7/$AF$15</f>
        <v>9.629734160710968E-3</v>
      </c>
      <c r="AE34" s="25">
        <f si="34" t="shared"/>
        <v>0</v>
      </c>
      <c r="AF34" s="25">
        <f>SUM(X34:AE34)</f>
        <v>4.1074842660038344E-2</v>
      </c>
    </row>
    <row r="35" spans="1:32" x14ac:dyDescent="0.25">
      <c r="A35" s="92" t="str">
        <f ref="A35:A41" si="35" t="shared">A21</f>
        <v>Bellevue Downtown</v>
      </c>
      <c r="B35" s="25">
        <f ref="B35:J35" si="36" t="shared">B21/$J$28</f>
        <v>4.5773127298438234E-4</v>
      </c>
      <c r="C35" s="25">
        <f si="36" t="shared"/>
        <v>8.0817829898228988E-4</v>
      </c>
      <c r="D35" s="25">
        <f si="36" t="shared"/>
        <v>4.5288331574297157E-5</v>
      </c>
      <c r="E35" s="25">
        <f si="36" t="shared"/>
        <v>8.4071104831018198E-4</v>
      </c>
      <c r="F35" s="25">
        <f si="36" t="shared"/>
        <v>3.8886713611974649E-4</v>
      </c>
      <c r="G35" s="25">
        <f si="36" t="shared"/>
        <v>2.1122668033471401E-4</v>
      </c>
      <c r="H35" s="25">
        <f ref="H35:I35" si="37" t="shared">H21/$J$28</f>
        <v>3.4385269741577087E-4</v>
      </c>
      <c r="I35" s="25">
        <f si="37" t="shared"/>
        <v>0</v>
      </c>
      <c r="J35" s="25">
        <f si="36" t="shared"/>
        <v>3.0958554657213823E-3</v>
      </c>
      <c r="L35" t="str">
        <f>$A$8</f>
        <v>Bellevue Downtown</v>
      </c>
      <c r="M35" s="25" t="e">
        <f si="31" t="shared"/>
        <v>#DIV/0!</v>
      </c>
      <c r="N35" s="25" t="e">
        <f si="31" t="shared"/>
        <v>#DIV/0!</v>
      </c>
      <c r="O35" s="25" t="e">
        <f si="31" t="shared"/>
        <v>#DIV/0!</v>
      </c>
      <c r="P35" s="25" t="e">
        <f si="31" t="shared"/>
        <v>#DIV/0!</v>
      </c>
      <c r="Q35" s="25" t="e">
        <f si="31" t="shared"/>
        <v>#DIV/0!</v>
      </c>
      <c r="R35" s="25" t="e">
        <f si="31" t="shared"/>
        <v>#DIV/0!</v>
      </c>
      <c r="S35" s="25" t="e">
        <f ref="S35" si="38" t="shared">S21/$U$28</f>
        <v>#DIV/0!</v>
      </c>
      <c r="T35" s="25" t="e">
        <f si="32" t="shared"/>
        <v>#DIV/0!</v>
      </c>
      <c r="U35" s="25" t="e">
        <f>SUM(M35:T35)</f>
        <v>#DIV/0!</v>
      </c>
      <c r="W35" t="str">
        <f>$A$8</f>
        <v>Bellevue Downtown</v>
      </c>
      <c r="X35" s="25">
        <f si="33" t="shared"/>
        <v>5.6446783922691878E-4</v>
      </c>
      <c r="Y35" s="25">
        <f si="33" t="shared"/>
        <v>1.4416813731606439E-3</v>
      </c>
      <c r="Z35" s="25">
        <f si="33" t="shared"/>
        <v>1.1332945034671729E-4</v>
      </c>
      <c r="AA35" s="25">
        <f si="33" t="shared"/>
        <v>1.9723683185342143E-4</v>
      </c>
      <c r="AB35" s="25">
        <f si="33" t="shared"/>
        <v>2.549912632801139E-4</v>
      </c>
      <c r="AC35" s="25">
        <f si="33" t="shared"/>
        <v>1.6563535050674065E-4</v>
      </c>
      <c r="AD35" s="25">
        <f ref="AD35:AE35" si="39" t="shared">AD8/$AF$15</f>
        <v>3.585133573468268E-4</v>
      </c>
      <c r="AE35" s="25">
        <f si="39" t="shared"/>
        <v>0</v>
      </c>
      <c r="AF35" s="25">
        <f>SUM(X35:AE35)</f>
        <v>3.0958554657213831E-3</v>
      </c>
    </row>
    <row r="36" spans="1:32" x14ac:dyDescent="0.25">
      <c r="A36" s="92" t="str">
        <f si="35" t="shared"/>
        <v>Kirkland</v>
      </c>
      <c r="B36" s="25">
        <f ref="B36:J36" si="40" t="shared">B22/$J$28</f>
        <v>2.2563329069576936E-3</v>
      </c>
      <c r="C36" s="25">
        <f si="40" t="shared"/>
        <v>3.3378772295280593E-3</v>
      </c>
      <c r="D36" s="25">
        <f si="40" t="shared"/>
        <v>9.911853040753104E-3</v>
      </c>
      <c r="E36" s="25">
        <f si="40" t="shared"/>
        <v>8.5905494225259216E-3</v>
      </c>
      <c r="F36" s="25">
        <f si="40" t="shared"/>
        <v>6.0025111738853908E-3</v>
      </c>
      <c r="G36" s="25">
        <f si="40" t="shared"/>
        <v>4.0759042904664582E-3</v>
      </c>
      <c r="H36" s="25">
        <f ref="H36:I36" si="41" t="shared">H22/$J$28</f>
        <v>5.1094272216942495E-3</v>
      </c>
      <c r="I36" s="25">
        <f si="41" t="shared"/>
        <v>0</v>
      </c>
      <c r="J36" s="25">
        <f si="40" t="shared"/>
        <v>3.9284455285810871E-2</v>
      </c>
      <c r="L36" t="str">
        <f>$A$9</f>
        <v>Kirkland</v>
      </c>
      <c r="M36" s="25" t="e">
        <f si="31" t="shared"/>
        <v>#DIV/0!</v>
      </c>
      <c r="N36" s="25" t="e">
        <f si="31" t="shared"/>
        <v>#DIV/0!</v>
      </c>
      <c r="O36" s="25" t="e">
        <f si="31" t="shared"/>
        <v>#DIV/0!</v>
      </c>
      <c r="P36" s="25" t="e">
        <f si="31" t="shared"/>
        <v>#DIV/0!</v>
      </c>
      <c r="Q36" s="25" t="e">
        <f si="31" t="shared"/>
        <v>#DIV/0!</v>
      </c>
      <c r="R36" s="25" t="e">
        <f si="31" t="shared"/>
        <v>#DIV/0!</v>
      </c>
      <c r="S36" s="25" t="e">
        <f ref="S36" si="42" t="shared">S22/$U$28</f>
        <v>#DIV/0!</v>
      </c>
      <c r="T36" s="25" t="e">
        <f si="32" t="shared"/>
        <v>#DIV/0!</v>
      </c>
      <c r="U36" s="25" t="e">
        <f>SUM(M36:T36)</f>
        <v>#DIV/0!</v>
      </c>
      <c r="W36" t="str">
        <f>$A$9</f>
        <v>Kirkland</v>
      </c>
      <c r="X36" s="25">
        <f si="33" t="shared"/>
        <v>3.8319520398483781E-3</v>
      </c>
      <c r="Y36" s="25">
        <f si="33" t="shared"/>
        <v>2.1717845628943036E-3</v>
      </c>
      <c r="Z36" s="25">
        <f si="33" t="shared"/>
        <v>8.6931316359705503E-3</v>
      </c>
      <c r="AA36" s="25">
        <f si="33" t="shared"/>
        <v>5.662113692322529E-3</v>
      </c>
      <c r="AB36" s="25">
        <f si="33" t="shared"/>
        <v>6.4935595636162339E-3</v>
      </c>
      <c r="AC36" s="25">
        <f si="33" t="shared"/>
        <v>3.1666863721880813E-3</v>
      </c>
      <c r="AD36" s="25">
        <f ref="AD36:AE36" si="43" t="shared">AD9/$AF$15</f>
        <v>9.2652274189708051E-3</v>
      </c>
      <c r="AE36" s="25">
        <f si="43" t="shared"/>
        <v>0</v>
      </c>
      <c r="AF36" s="25">
        <f>SUM(X36:AE36)</f>
        <v>3.9284455285810878E-2</v>
      </c>
    </row>
    <row r="37" spans="1:32" x14ac:dyDescent="0.25">
      <c r="A37" s="92" t="str">
        <f si="35" t="shared"/>
        <v>Redmond</v>
      </c>
      <c r="B37" s="25">
        <f ref="B37:J37" si="44" t="shared">B23/$J$28</f>
        <v>5.1896097722848034E-3</v>
      </c>
      <c r="C37" s="25">
        <f si="44" t="shared"/>
        <v>2.5987870447896047E-3</v>
      </c>
      <c r="D37" s="25">
        <f si="44" t="shared"/>
        <v>3.4629940782091762E-3</v>
      </c>
      <c r="E37" s="25">
        <f si="44" t="shared"/>
        <v>1.0764411452189615E-2</v>
      </c>
      <c r="F37" s="25">
        <f si="44" t="shared"/>
        <v>2.655462342025113E-3</v>
      </c>
      <c r="G37" s="25">
        <f si="44" t="shared"/>
        <v>2.3322863482877006E-3</v>
      </c>
      <c r="H37" s="25">
        <f ref="H37:I37" si="45" t="shared">H23/$J$28</f>
        <v>3.0483680166540801E-3</v>
      </c>
      <c r="I37" s="25">
        <f si="45" t="shared"/>
        <v>0</v>
      </c>
      <c r="J37" s="25">
        <f si="44" t="shared"/>
        <v>3.0051919054440095E-2</v>
      </c>
      <c r="L37" t="str">
        <f>$A$10</f>
        <v>Redmond</v>
      </c>
      <c r="M37" s="25" t="e">
        <f si="31" t="shared"/>
        <v>#DIV/0!</v>
      </c>
      <c r="N37" s="25" t="e">
        <f si="31" t="shared"/>
        <v>#DIV/0!</v>
      </c>
      <c r="O37" s="25" t="e">
        <f si="31" t="shared"/>
        <v>#DIV/0!</v>
      </c>
      <c r="P37" s="25" t="e">
        <f si="31" t="shared"/>
        <v>#DIV/0!</v>
      </c>
      <c r="Q37" s="25" t="e">
        <f si="31" t="shared"/>
        <v>#DIV/0!</v>
      </c>
      <c r="R37" s="25" t="e">
        <f si="31" t="shared"/>
        <v>#DIV/0!</v>
      </c>
      <c r="S37" s="25" t="e">
        <f ref="S37" si="46" t="shared">S23/$U$28</f>
        <v>#DIV/0!</v>
      </c>
      <c r="T37" s="25" t="e">
        <f si="32" t="shared"/>
        <v>#DIV/0!</v>
      </c>
      <c r="U37" s="25" t="e">
        <f ref="U37:U40" si="47" t="shared">SUM(M37:T37)</f>
        <v>#DIV/0!</v>
      </c>
      <c r="W37" t="str">
        <f>$A$10</f>
        <v>Redmond</v>
      </c>
      <c r="X37" s="25">
        <f si="33" t="shared"/>
        <v>3.7153534707416594E-3</v>
      </c>
      <c r="Y37" s="25">
        <f si="33" t="shared"/>
        <v>1.6432770300274008E-3</v>
      </c>
      <c r="Z37" s="25">
        <f si="33" t="shared"/>
        <v>2.9155090807946355E-3</v>
      </c>
      <c r="AA37" s="25">
        <f si="33" t="shared"/>
        <v>9.5153150041109164E-3</v>
      </c>
      <c r="AB37" s="25">
        <f si="33" t="shared"/>
        <v>3.6870211081549802E-3</v>
      </c>
      <c r="AC37" s="25">
        <f si="33" t="shared"/>
        <v>2.071531587587592E-3</v>
      </c>
      <c r="AD37" s="25">
        <f ref="AD37:AE37" si="48" t="shared">AD10/$AF$15</f>
        <v>6.5039117730229055E-3</v>
      </c>
      <c r="AE37" s="25">
        <f si="48" t="shared"/>
        <v>0</v>
      </c>
      <c r="AF37" s="25">
        <f ref="AF37:AF40" si="49" t="shared">SUM(X37:AE37)</f>
        <v>3.0051919054440088E-2</v>
      </c>
    </row>
    <row r="38" spans="1:32" x14ac:dyDescent="0.25">
      <c r="A38" s="92" t="str">
        <f si="35" t="shared"/>
        <v>Seattle</v>
      </c>
      <c r="B38" s="25">
        <f ref="B38:J38" si="50" t="shared">B24/$J$28</f>
        <v>6.27374710909502E-3</v>
      </c>
      <c r="C38" s="25">
        <f si="50" t="shared"/>
        <v>3.5911739002610918E-3</v>
      </c>
      <c r="D38" s="25">
        <f si="50" t="shared"/>
        <v>4.1324419435102349E-3</v>
      </c>
      <c r="E38" s="25">
        <f si="50" t="shared"/>
        <v>6.0254303716328955E-3</v>
      </c>
      <c r="F38" s="25">
        <f si="50" t="shared"/>
        <v>8.5773168216118745E-2</v>
      </c>
      <c r="G38" s="25">
        <f si="50" t="shared"/>
        <v>5.8990421637060191E-2</v>
      </c>
      <c r="H38" s="25">
        <f ref="H38:I38" si="51" t="shared">H24/$J$28</f>
        <v>2.8205497965881347E-2</v>
      </c>
      <c r="I38" s="25">
        <f si="51" t="shared"/>
        <v>0</v>
      </c>
      <c r="J38" s="25">
        <f si="50" t="shared"/>
        <v>0.19299188114355953</v>
      </c>
      <c r="L38" t="str">
        <f>$A$11</f>
        <v>Seattle</v>
      </c>
      <c r="M38" s="25" t="e">
        <f si="31" t="shared"/>
        <v>#DIV/0!</v>
      </c>
      <c r="N38" s="25" t="e">
        <f si="31" t="shared"/>
        <v>#DIV/0!</v>
      </c>
      <c r="O38" s="25" t="e">
        <f si="31" t="shared"/>
        <v>#DIV/0!</v>
      </c>
      <c r="P38" s="25" t="e">
        <f si="31" t="shared"/>
        <v>#DIV/0!</v>
      </c>
      <c r="Q38" s="25" t="e">
        <f si="31" t="shared"/>
        <v>#DIV/0!</v>
      </c>
      <c r="R38" s="25" t="e">
        <f si="31" t="shared"/>
        <v>#DIV/0!</v>
      </c>
      <c r="S38" s="25" t="e">
        <f ref="S38" si="52" t="shared">S24/$U$28</f>
        <v>#DIV/0!</v>
      </c>
      <c r="T38" s="25" t="e">
        <f si="32" t="shared"/>
        <v>#DIV/0!</v>
      </c>
      <c r="U38" s="25" t="e">
        <f si="47" t="shared"/>
        <v>#DIV/0!</v>
      </c>
      <c r="W38" t="str">
        <f>$A$11</f>
        <v>Seattle</v>
      </c>
      <c r="X38" s="25">
        <f si="33" t="shared"/>
        <v>6.5812809170096064E-3</v>
      </c>
      <c r="Y38" s="25">
        <f si="33" t="shared"/>
        <v>3.3748202665748409E-3</v>
      </c>
      <c r="Z38" s="25">
        <f si="33" t="shared"/>
        <v>4.2138940816418826E-3</v>
      </c>
      <c r="AA38" s="25">
        <f si="33" t="shared"/>
        <v>5.6174357359358423E-3</v>
      </c>
      <c r="AB38" s="25">
        <f si="33" t="shared"/>
        <v>8.9999929169093537E-2</v>
      </c>
      <c r="AC38" s="25">
        <f si="33" t="shared"/>
        <v>4.8613430520601714E-2</v>
      </c>
      <c r="AD38" s="25">
        <f ref="AD38:AE38" si="53" t="shared">AD11/$AF$15</f>
        <v>3.4591090452702117E-2</v>
      </c>
      <c r="AE38" s="25">
        <f si="53" t="shared"/>
        <v>0</v>
      </c>
      <c r="AF38" s="25">
        <f si="49" t="shared"/>
        <v>0.19299188114355956</v>
      </c>
    </row>
    <row r="39" spans="1:32" x14ac:dyDescent="0.25">
      <c r="A39" s="92" t="str">
        <f si="35" t="shared"/>
        <v>Seattle Downtown</v>
      </c>
      <c r="B39" s="25">
        <f ref="B39:J40" si="54" t="shared">B25/$J$28</f>
        <v>7.7130754820776591E-4</v>
      </c>
      <c r="C39" s="25">
        <f si="54" t="shared"/>
        <v>5.6192491345739717E-4</v>
      </c>
      <c r="D39" s="25">
        <f si="54" t="shared"/>
        <v>3.5991826451469891E-4</v>
      </c>
      <c r="E39" s="25">
        <f si="54" t="shared"/>
        <v>1.7394618711705963E-3</v>
      </c>
      <c r="F39" s="25">
        <f si="54" t="shared"/>
        <v>5.1843790153417212E-3</v>
      </c>
      <c r="G39" s="25">
        <f si="54" t="shared"/>
        <v>1.0637994653364072E-2</v>
      </c>
      <c r="H39" s="25">
        <f ref="H39:I40" si="55" t="shared">H25/$J$28</f>
        <v>1.7022443980597767E-3</v>
      </c>
      <c r="I39" s="25">
        <f si="55" t="shared"/>
        <v>0</v>
      </c>
      <c r="J39" s="25">
        <f si="54" t="shared"/>
        <v>2.095723066411603E-2</v>
      </c>
      <c r="L39" t="str">
        <f>$A$12</f>
        <v>Seattle Downtown</v>
      </c>
      <c r="M39" s="25" t="e">
        <f si="31" t="shared"/>
        <v>#DIV/0!</v>
      </c>
      <c r="N39" s="25" t="e">
        <f si="31" t="shared"/>
        <v>#DIV/0!</v>
      </c>
      <c r="O39" s="25" t="e">
        <f si="31" t="shared"/>
        <v>#DIV/0!</v>
      </c>
      <c r="P39" s="25" t="e">
        <f si="31" t="shared"/>
        <v>#DIV/0!</v>
      </c>
      <c r="Q39" s="25" t="e">
        <f si="31" t="shared"/>
        <v>#DIV/0!</v>
      </c>
      <c r="R39" s="25" t="e">
        <f si="31" t="shared"/>
        <v>#DIV/0!</v>
      </c>
      <c r="S39" s="25" t="e">
        <f ref="S39" si="56" t="shared">S25/$U$28</f>
        <v>#DIV/0!</v>
      </c>
      <c r="T39" s="25" t="e">
        <f si="32" t="shared"/>
        <v>#DIV/0!</v>
      </c>
      <c r="U39" s="25" t="e">
        <f si="47" t="shared"/>
        <v>#DIV/0!</v>
      </c>
      <c r="W39" t="str">
        <f>$A$12</f>
        <v>Seattle Downtown</v>
      </c>
      <c r="X39" s="25">
        <f si="33" t="shared"/>
        <v>5.9116564243359736E-4</v>
      </c>
      <c r="Y39" s="25">
        <f si="33" t="shared"/>
        <v>3.0130377904680124E-4</v>
      </c>
      <c r="Z39" s="25">
        <f si="33" t="shared"/>
        <v>2.5063243826677859E-4</v>
      </c>
      <c r="AA39" s="25">
        <f si="33" t="shared"/>
        <v>3.9283910432684211E-4</v>
      </c>
      <c r="AB39" s="25">
        <f si="33" t="shared"/>
        <v>5.3297532850557139E-3</v>
      </c>
      <c r="AC39" s="25">
        <f si="33" t="shared"/>
        <v>1.1681106182611884E-2</v>
      </c>
      <c r="AD39" s="25">
        <f ref="AD39:AE40" si="57" t="shared">AD12/$AF$15</f>
        <v>2.4104302323744099E-3</v>
      </c>
      <c r="AE39" s="25">
        <f si="57" t="shared"/>
        <v>0</v>
      </c>
      <c r="AF39" s="25">
        <f si="49" t="shared"/>
        <v>2.0957230664116026E-2</v>
      </c>
    </row>
    <row r="40" spans="1:32" x14ac:dyDescent="0.25">
      <c r="A40" s="92" t="str">
        <f si="35" t="shared"/>
        <v>Rest</v>
      </c>
      <c r="B40" s="25">
        <f si="54" t="shared"/>
        <v>1.6979021601077983E-2</v>
      </c>
      <c r="C40" s="25">
        <f si="54" t="shared"/>
        <v>1.065910493366398E-2</v>
      </c>
      <c r="D40" s="25">
        <f si="54" t="shared"/>
        <v>1.6830709514629606E-2</v>
      </c>
      <c r="E40" s="25">
        <f si="54" t="shared"/>
        <v>2.2375537641182892E-2</v>
      </c>
      <c r="F40" s="25">
        <f si="54" t="shared"/>
        <v>6.753028382799596E-2</v>
      </c>
      <c r="G40" s="25">
        <f si="54" t="shared"/>
        <v>5.0077945422243857E-2</v>
      </c>
      <c r="H40" s="25">
        <f si="55" t="shared"/>
        <v>0.48809121278551948</v>
      </c>
      <c r="I40" s="25">
        <f si="55" t="shared"/>
        <v>0</v>
      </c>
      <c r="J40" s="25">
        <f ref="J40" si="58" t="shared">J26/$J$28</f>
        <v>0.67254381572631372</v>
      </c>
      <c r="L40" t="str">
        <f>$A$13</f>
        <v>Rest</v>
      </c>
      <c r="M40" s="25" t="e">
        <f si="31" t="shared"/>
        <v>#DIV/0!</v>
      </c>
      <c r="N40" s="25" t="e">
        <f si="31" t="shared"/>
        <v>#DIV/0!</v>
      </c>
      <c r="O40" s="25" t="e">
        <f si="31" t="shared"/>
        <v>#DIV/0!</v>
      </c>
      <c r="P40" s="25" t="e">
        <f si="31" t="shared"/>
        <v>#DIV/0!</v>
      </c>
      <c r="Q40" s="25" t="e">
        <f si="31" t="shared"/>
        <v>#DIV/0!</v>
      </c>
      <c r="R40" s="25" t="e">
        <f si="31" t="shared"/>
        <v>#DIV/0!</v>
      </c>
      <c r="S40" s="25" t="e">
        <f ref="S40" si="59" t="shared">S26/$U$28</f>
        <v>#DIV/0!</v>
      </c>
      <c r="T40" s="25" t="e">
        <f si="31" t="shared"/>
        <v>#DIV/0!</v>
      </c>
      <c r="U40" s="25" t="e">
        <f si="47" t="shared"/>
        <v>#DIV/0!</v>
      </c>
      <c r="W40" t="str">
        <f>$A$13</f>
        <v>Rest</v>
      </c>
      <c r="X40" s="25">
        <f si="33" t="shared"/>
        <v>2.2267057580623278E-2</v>
      </c>
      <c r="Y40" s="25">
        <f si="33" t="shared"/>
        <v>1.0254135843871246E-2</v>
      </c>
      <c r="Z40" s="25">
        <f si="33" t="shared"/>
        <v>1.6082974592953849E-2</v>
      </c>
      <c r="AA40" s="25">
        <f si="33" t="shared"/>
        <v>2.35098675625505E-2</v>
      </c>
      <c r="AB40" s="25">
        <f si="33" t="shared"/>
        <v>6.810827539274375E-2</v>
      </c>
      <c r="AC40" s="25">
        <f si="33" t="shared"/>
        <v>3.4749097859435522E-2</v>
      </c>
      <c r="AD40" s="25">
        <f si="57" t="shared"/>
        <v>0.49757240689413557</v>
      </c>
      <c r="AE40" s="25">
        <f si="57" t="shared"/>
        <v>0</v>
      </c>
      <c r="AF40" s="25">
        <f si="49" t="shared"/>
        <v>0.67254381572631372</v>
      </c>
    </row>
    <row r="41" spans="1:32" x14ac:dyDescent="0.25">
      <c r="A41" s="90" t="str">
        <f si="35" t="shared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si="31" t="shared"/>
        <v>#DIV/0!</v>
      </c>
      <c r="N41" s="25" t="e">
        <f si="31" t="shared"/>
        <v>#DIV/0!</v>
      </c>
      <c r="O41" s="25" t="e">
        <f si="31" t="shared"/>
        <v>#DIV/0!</v>
      </c>
      <c r="P41" s="25" t="e">
        <f si="31" t="shared"/>
        <v>#DIV/0!</v>
      </c>
      <c r="Q41" s="25" t="e">
        <f si="31" t="shared"/>
        <v>#DIV/0!</v>
      </c>
      <c r="R41" s="25" t="e">
        <f si="31" t="shared"/>
        <v>#DIV/0!</v>
      </c>
      <c r="S41" s="25" t="e">
        <f si="31" t="shared"/>
        <v>#DIV/0!</v>
      </c>
      <c r="T41" s="25" t="e">
        <f si="31" t="shared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ht="15.75" r="42" spans="1:32" thickBot="1" x14ac:dyDescent="0.3">
      <c r="A42" s="1" t="s">
        <v>4</v>
      </c>
      <c r="B42" s="27">
        <f>SUM(B34:B41)</f>
        <v>4.235858140531748E-2</v>
      </c>
      <c r="C42" s="27">
        <f>SUM(C34:C41)</f>
        <v>2.495824050822722E-2</v>
      </c>
      <c r="D42" s="27">
        <f>SUM(D34:D41)</f>
        <v>3.7466782674101112E-2</v>
      </c>
      <c r="E42" s="27">
        <f ref="E42:H42" si="60" t="shared">SUM(E34:E41)</f>
        <v>5.6260767279021198E-2</v>
      </c>
      <c r="F42" s="27">
        <f si="60" t="shared"/>
        <v>0.17450534967299425</v>
      </c>
      <c r="G42" s="27">
        <f si="60" t="shared"/>
        <v>0.13153659872064608</v>
      </c>
      <c r="H42" s="27">
        <f si="60" t="shared"/>
        <v>0.53291367973969272</v>
      </c>
      <c r="I42" s="27">
        <f>SUM(I34:I41)</f>
        <v>0</v>
      </c>
      <c r="J42" s="27">
        <f>SUM(J34:J41)</f>
        <v>1</v>
      </c>
      <c r="L42" s="44" t="s">
        <v>4</v>
      </c>
      <c r="M42" s="45" t="e">
        <f>SUM(M34:M41)</f>
        <v>#DIV/0!</v>
      </c>
      <c r="N42" s="45" t="e">
        <f ref="N42:S42" si="61" t="shared">SUM(N34:N41)</f>
        <v>#DIV/0!</v>
      </c>
      <c r="O42" s="45" t="e">
        <f si="61" t="shared"/>
        <v>#DIV/0!</v>
      </c>
      <c r="P42" s="45" t="e">
        <f si="61" t="shared"/>
        <v>#DIV/0!</v>
      </c>
      <c r="Q42" s="45" t="e">
        <f si="61" t="shared"/>
        <v>#DIV/0!</v>
      </c>
      <c r="R42" s="45" t="e">
        <f si="61" t="shared"/>
        <v>#DIV/0!</v>
      </c>
      <c r="S42" s="45" t="e">
        <f si="61" t="shared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4.7506833820341217E-2</v>
      </c>
      <c r="Y42" s="27">
        <f>SUM(Y34:Y41)</f>
        <v>2.3040204167363625E-2</v>
      </c>
      <c r="Z42" s="27">
        <f>SUM(Z34:Z41)</f>
        <v>3.438731538332869E-2</v>
      </c>
      <c r="AA42" s="27">
        <f ref="AA42:AD42" si="62" t="shared">SUM(AA34:AA41)</f>
        <v>5.0660988570615961E-2</v>
      </c>
      <c r="AB42" s="27">
        <f si="62" t="shared"/>
        <v>0.17987399726592701</v>
      </c>
      <c r="AC42" s="27">
        <f si="62" t="shared"/>
        <v>0.10419934650315987</v>
      </c>
      <c r="AD42" s="27">
        <f si="62" t="shared"/>
        <v>0.56033131428926364</v>
      </c>
      <c r="AE42" s="27">
        <f>SUM(AE34:AE41)</f>
        <v>0</v>
      </c>
      <c r="AF42" s="27">
        <f>SUM(AF34:AF41)</f>
        <v>1</v>
      </c>
    </row>
    <row ht="15.75" r="46" spans="1:32" thickBot="1" x14ac:dyDescent="0.3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2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25">
      <c r="W48" t="str">
        <f>$A$7</f>
        <v>Bellevue</v>
      </c>
      <c r="X48" s="33">
        <f>X34-B34</f>
        <v>-4.7527486425205483E-4</v>
      </c>
      <c r="Y48" s="33">
        <f ref="Y48:AF48" si="63" t="shared">Y34-C34</f>
        <v>4.5200712424358974E-4</v>
      </c>
      <c r="Z48" s="33">
        <f si="63" t="shared"/>
        <v>-6.0573339755570993E-4</v>
      </c>
      <c r="AA48" s="33">
        <f si="63" t="shared"/>
        <v>-1.5848483249317983E-4</v>
      </c>
      <c r="AB48" s="33">
        <f si="63" t="shared"/>
        <v>-9.7021047752491717E-4</v>
      </c>
      <c r="AC48" s="33">
        <f si="63" t="shared"/>
        <v>-1.4589610586607312E-3</v>
      </c>
      <c r="AD48" s="33">
        <f si="63" t="shared"/>
        <v>3.2166575062430027E-3</v>
      </c>
      <c r="AE48" s="33">
        <f si="63" t="shared"/>
        <v>0</v>
      </c>
      <c r="AF48" s="33">
        <f si="63" t="shared"/>
        <v>0</v>
      </c>
    </row>
    <row r="49" spans="23:32" x14ac:dyDescent="0.25">
      <c r="W49" t="str">
        <f>$A$8</f>
        <v>Bellevue Downtown</v>
      </c>
      <c r="X49" s="33">
        <f ref="X49:AF49" si="64" t="shared">X35-B35</f>
        <v>1.0673656624253644E-4</v>
      </c>
      <c r="Y49" s="33">
        <f si="64" t="shared"/>
        <v>6.3350307417835399E-4</v>
      </c>
      <c r="Z49" s="33">
        <f si="64" t="shared"/>
        <v>6.804111877242013E-5</v>
      </c>
      <c r="AA49" s="33">
        <f si="64" t="shared"/>
        <v>-6.434742164567605E-4</v>
      </c>
      <c r="AB49" s="33">
        <f si="64" t="shared"/>
        <v>-1.3387587283963259E-4</v>
      </c>
      <c r="AC49" s="33">
        <f si="64" t="shared"/>
        <v>-4.5591329827973355E-5</v>
      </c>
      <c r="AD49" s="33">
        <f si="64" t="shared"/>
        <v>1.4660659931055927E-5</v>
      </c>
      <c r="AE49" s="33">
        <f si="64" t="shared"/>
        <v>0</v>
      </c>
      <c r="AF49" s="33">
        <f si="64" t="shared"/>
        <v>0</v>
      </c>
    </row>
    <row r="50" spans="23:32" x14ac:dyDescent="0.25">
      <c r="W50" t="str">
        <f>$A$9</f>
        <v>Kirkland</v>
      </c>
      <c r="X50" s="33">
        <f ref="X50:AF50" si="65" t="shared">X36-B36</f>
        <v>1.5756191328906845E-3</v>
      </c>
      <c r="Y50" s="33">
        <f si="65" t="shared"/>
        <v>-1.1660926666337557E-3</v>
      </c>
      <c r="Z50" s="33">
        <f si="65" t="shared"/>
        <v>-1.2187214047825537E-3</v>
      </c>
      <c r="AA50" s="33">
        <f si="65" t="shared"/>
        <v>-2.9284357302033926E-3</v>
      </c>
      <c r="AB50" s="33">
        <f si="65" t="shared"/>
        <v>4.9104838973084309E-4</v>
      </c>
      <c r="AC50" s="33">
        <f si="65" t="shared"/>
        <v>-9.0921791827837687E-4</v>
      </c>
      <c r="AD50" s="33">
        <f si="65" t="shared"/>
        <v>4.1558001972765556E-3</v>
      </c>
      <c r="AE50" s="33">
        <f si="65" t="shared"/>
        <v>0</v>
      </c>
      <c r="AF50" s="33">
        <f si="65" t="shared"/>
        <v>0</v>
      </c>
    </row>
    <row r="51" spans="23:32" x14ac:dyDescent="0.25">
      <c r="W51" t="str">
        <f>$A$10</f>
        <v>Redmond</v>
      </c>
      <c r="X51" s="33">
        <f ref="X51:AF51" si="66" t="shared">X37-B37</f>
        <v>-1.4742563015431439E-3</v>
      </c>
      <c r="Y51" s="33">
        <f si="66" t="shared"/>
        <v>-9.5551001476220396E-4</v>
      </c>
      <c r="Z51" s="33">
        <f si="66" t="shared"/>
        <v>-5.4748499741454071E-4</v>
      </c>
      <c r="AA51" s="33">
        <f si="66" t="shared"/>
        <v>-1.249096448078699E-3</v>
      </c>
      <c r="AB51" s="33">
        <f si="66" t="shared"/>
        <v>1.0315587661298671E-3</v>
      </c>
      <c r="AC51" s="33">
        <f si="66" t="shared"/>
        <v>-2.6075476070010857E-4</v>
      </c>
      <c r="AD51" s="33">
        <f si="66" t="shared"/>
        <v>3.4555437563688254E-3</v>
      </c>
      <c r="AE51" s="33">
        <f si="66" t="shared"/>
        <v>0</v>
      </c>
      <c r="AF51" s="33">
        <f si="66" t="shared"/>
        <v>0</v>
      </c>
    </row>
    <row r="52" spans="23:32" x14ac:dyDescent="0.25">
      <c r="W52" t="str">
        <f>$A$11</f>
        <v>Seattle</v>
      </c>
      <c r="X52" s="33">
        <f ref="X52:AF52" si="67" t="shared">X38-B38</f>
        <v>3.0753380791458639E-4</v>
      </c>
      <c r="Y52" s="33">
        <f si="67" t="shared"/>
        <v>-2.163536336862509E-4</v>
      </c>
      <c r="Z52" s="33">
        <f si="67" t="shared"/>
        <v>8.14521381316477E-5</v>
      </c>
      <c r="AA52" s="33">
        <f si="67" t="shared"/>
        <v>-4.0799463569705322E-4</v>
      </c>
      <c r="AB52" s="33">
        <f si="67" t="shared"/>
        <v>4.2267609529747924E-3</v>
      </c>
      <c r="AC52" s="33">
        <f si="67" t="shared"/>
        <v>-1.0376991116458477E-2</v>
      </c>
      <c r="AD52" s="33">
        <f si="67" t="shared"/>
        <v>6.3855924868207702E-3</v>
      </c>
      <c r="AE52" s="33">
        <f si="67" t="shared"/>
        <v>0</v>
      </c>
      <c r="AF52" s="33">
        <f si="67" t="shared"/>
        <v>0</v>
      </c>
    </row>
    <row r="53" spans="23:32" x14ac:dyDescent="0.25">
      <c r="W53" t="str">
        <f>$A$12</f>
        <v>Seattle Downtown</v>
      </c>
      <c r="X53" s="33">
        <f ref="X53:AF53" si="68" t="shared">X39-B39</f>
        <v>-1.8014190577416854E-4</v>
      </c>
      <c r="Y53" s="33">
        <f si="68" t="shared"/>
        <v>-2.6062113441059593E-4</v>
      </c>
      <c r="Z53" s="33">
        <f si="68" t="shared"/>
        <v>-1.0928582624792032E-4</v>
      </c>
      <c r="AA53" s="33">
        <f si="68" t="shared"/>
        <v>-1.3466227668437541E-3</v>
      </c>
      <c r="AB53" s="33">
        <f si="68" t="shared"/>
        <v>1.4537426971399266E-4</v>
      </c>
      <c r="AC53" s="33">
        <f si="68" t="shared"/>
        <v>1.0431115292478116E-3</v>
      </c>
      <c r="AD53" s="33">
        <f si="68" t="shared"/>
        <v>7.0818583431463329E-4</v>
      </c>
      <c r="AE53" s="33">
        <f si="68" t="shared"/>
        <v>0</v>
      </c>
      <c r="AF53" s="33">
        <f si="68" t="shared"/>
        <v>0</v>
      </c>
    </row>
    <row r="54" spans="23:32" x14ac:dyDescent="0.25">
      <c r="W54" t="str">
        <f>$A$13</f>
        <v>Rest</v>
      </c>
      <c r="X54" s="33">
        <f ref="X54:AF54" si="69" t="shared">X40-B40</f>
        <v>5.2880359795452955E-3</v>
      </c>
      <c r="Y54" s="33">
        <f si="69" t="shared"/>
        <v>-4.0496908979273383E-4</v>
      </c>
      <c r="Z54" s="33">
        <f si="69" t="shared"/>
        <v>-7.4773492167575645E-4</v>
      </c>
      <c r="AA54" s="33">
        <f si="69" t="shared"/>
        <v>1.1343299213676071E-3</v>
      </c>
      <c r="AB54" s="33">
        <f si="69" t="shared"/>
        <v>5.7799156474779012E-4</v>
      </c>
      <c r="AC54" s="33">
        <f si="69" t="shared"/>
        <v>-1.5328847562808334E-2</v>
      </c>
      <c r="AD54" s="33">
        <f si="69" t="shared"/>
        <v>9.4811941086160867E-3</v>
      </c>
      <c r="AE54" s="33">
        <f si="69" t="shared"/>
        <v>0</v>
      </c>
      <c r="AF54" s="33">
        <f si="69" t="shared"/>
        <v>0</v>
      </c>
    </row>
    <row r="55" spans="23:32" x14ac:dyDescent="0.25">
      <c r="W55" s="34" t="s">
        <v>17</v>
      </c>
      <c r="X55" s="39">
        <f ref="X55:AF55" si="70" t="shared">X41-B41</f>
        <v>0</v>
      </c>
      <c r="Y55" s="39">
        <f si="70" t="shared"/>
        <v>0</v>
      </c>
      <c r="Z55" s="39">
        <f si="70" t="shared"/>
        <v>0</v>
      </c>
      <c r="AA55" s="39">
        <f si="70" t="shared"/>
        <v>0</v>
      </c>
      <c r="AB55" s="39">
        <f si="70" t="shared"/>
        <v>0</v>
      </c>
      <c r="AC55" s="39">
        <f si="70" t="shared"/>
        <v>0</v>
      </c>
      <c r="AD55" s="39">
        <f si="70" t="shared"/>
        <v>0</v>
      </c>
      <c r="AE55" s="39">
        <f si="70" t="shared"/>
        <v>0</v>
      </c>
      <c r="AF55" s="33">
        <f si="70" t="shared"/>
        <v>0</v>
      </c>
    </row>
    <row ht="15.75" r="56" spans="23:32" thickBot="1" x14ac:dyDescent="0.3">
      <c r="W56" s="30" t="s">
        <v>4</v>
      </c>
      <c r="X56" s="35">
        <f ref="X56:AF56" si="71" t="shared">X42-B42</f>
        <v>5.1482524150237366E-3</v>
      </c>
      <c r="Y56" s="35">
        <f si="71" t="shared"/>
        <v>-1.9180363408635957E-3</v>
      </c>
      <c r="Z56" s="35">
        <f si="71" t="shared"/>
        <v>-3.0794672907724224E-3</v>
      </c>
      <c r="AA56" s="35">
        <f si="71" t="shared"/>
        <v>-5.5997787084052369E-3</v>
      </c>
      <c r="AB56" s="35">
        <f si="71" t="shared"/>
        <v>5.3686475929327626E-3</v>
      </c>
      <c r="AC56" s="35">
        <f si="71" t="shared"/>
        <v>-2.7337252217486202E-2</v>
      </c>
      <c r="AD56" s="35">
        <f si="71" t="shared"/>
        <v>2.7417634549570913E-2</v>
      </c>
      <c r="AE56" s="35">
        <f si="71" t="shared"/>
        <v>0</v>
      </c>
      <c r="AF56" s="42">
        <f si="71" t="shared"/>
        <v>0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36"/>
  <sheetViews>
    <sheetView workbookViewId="0" zoomScaleNormal="100">
      <selection activeCell="T26" sqref="T26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24</v>
      </c>
    </row>
    <row r="2" spans="1:26" x14ac:dyDescent="0.25">
      <c r="A2" t="s">
        <v>261</v>
      </c>
    </row>
    <row r="3" spans="1:26" x14ac:dyDescent="0.25">
      <c r="A3" t="s">
        <v>39</v>
      </c>
    </row>
    <row ht="15.75" r="5" spans="1:26" thickBot="1" x14ac:dyDescent="0.3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1" t="s">
        <v>267</v>
      </c>
      <c r="B7" s="15" t="n">
        <v>126.2846</v>
      </c>
      <c r="C7" s="15" t="n">
        <v>98.1093</v>
      </c>
      <c r="D7" s="15" t="n">
        <v>0.0</v>
      </c>
      <c r="E7" s="15">
        <f>SUM(B7:D7)</f>
        <v>224.3939</v>
      </c>
      <c r="F7" s="15"/>
      <c r="G7" s="15"/>
      <c r="H7" t="str">
        <f>$A$7</f>
        <v>Bellevue</v>
      </c>
      <c r="I7" s="15" t="n">
        <v>1101.0</v>
      </c>
      <c r="J7" s="15" t="n">
        <v>718.0</v>
      </c>
      <c r="K7" s="15" t="n">
        <v>293.0</v>
      </c>
      <c r="L7" s="15">
        <f>SUM(I7:K7)</f>
        <v>2227</v>
      </c>
      <c r="O7" t="str">
        <f>$A$7</f>
        <v>Bellevue</v>
      </c>
      <c r="P7" s="15">
        <f>I7-B7</f>
        <v>993.71540000000005</v>
      </c>
      <c r="Q7" s="15">
        <f ref="Q7:Q14" si="0" t="shared">J7-C7</f>
        <v>677.89070000000004</v>
      </c>
      <c r="R7" s="15">
        <f ref="R7:R14" si="1" t="shared">K7-D7</f>
        <v>331</v>
      </c>
      <c r="S7" s="15">
        <f ref="S7:S14" si="2" t="shared">L7-E7</f>
        <v>2002.6061</v>
      </c>
      <c r="V7" t="str">
        <f>$A$7</f>
        <v>Bellevue</v>
      </c>
      <c r="W7" s="15"/>
      <c r="X7" s="15"/>
      <c r="Y7" s="15"/>
      <c r="Z7" s="15"/>
    </row>
    <row r="8" spans="1:26" x14ac:dyDescent="0.25">
      <c r="A8" t="s">
        <v>268</v>
      </c>
      <c r="B8" s="15" t="n">
        <v>0.0</v>
      </c>
      <c r="C8" s="15" t="n">
        <v>0.0</v>
      </c>
      <c r="D8" s="15" t="n">
        <v>0.0</v>
      </c>
      <c r="E8" s="15">
        <f ref="E8:E11" si="3" t="shared">SUM(B8:D8)</f>
        <v>0</v>
      </c>
      <c r="F8" s="15"/>
      <c r="G8" s="15"/>
      <c r="H8" t="str">
        <f>$A$8</f>
        <v>Bellevue Downtown</v>
      </c>
      <c r="I8" s="15" t="n">
        <v>66.0</v>
      </c>
      <c r="J8" s="15" t="n">
        <v>27.0</v>
      </c>
      <c r="K8" s="15" t="n">
        <v>15.0</v>
      </c>
      <c r="L8" s="15">
        <f ref="L8:L13" si="4" t="shared">SUM(I8:K8)</f>
        <v>110</v>
      </c>
      <c r="O8" t="str">
        <f>$A$8</f>
        <v>Bellevue Downtown</v>
      </c>
      <c r="P8" s="15">
        <f ref="P8:P14" si="5" t="shared">I8-B8</f>
        <v>68</v>
      </c>
      <c r="Q8" s="15">
        <f si="0" t="shared"/>
        <v>28</v>
      </c>
      <c r="R8" s="15">
        <f si="1" t="shared"/>
        <v>14</v>
      </c>
      <c r="S8" s="15">
        <f si="2" t="shared"/>
        <v>110</v>
      </c>
      <c r="V8" t="str">
        <f>$A$8</f>
        <v>Bellevue Downtown</v>
      </c>
      <c r="W8" s="15"/>
      <c r="X8" s="15"/>
      <c r="Y8" s="15"/>
      <c r="Z8" s="15"/>
    </row>
    <row r="9" spans="1:26" x14ac:dyDescent="0.25">
      <c r="A9" t="s">
        <v>269</v>
      </c>
      <c r="B9" s="15" t="n">
        <v>0.0</v>
      </c>
      <c r="C9" s="15" t="n">
        <v>0.0</v>
      </c>
      <c r="D9" s="15" t="n">
        <v>0.0</v>
      </c>
      <c r="E9" s="15">
        <f si="3" t="shared"/>
        <v>0</v>
      </c>
      <c r="F9" s="15"/>
      <c r="G9" s="15"/>
      <c r="H9" t="str">
        <f>$A$9</f>
        <v>Kirkland</v>
      </c>
      <c r="I9" s="15" t="n">
        <v>926.0</v>
      </c>
      <c r="J9" s="15" t="n">
        <v>580.0</v>
      </c>
      <c r="K9" s="15" t="n">
        <v>264.0</v>
      </c>
      <c r="L9" s="15">
        <f si="4" t="shared"/>
        <v>2296</v>
      </c>
      <c r="O9" t="str">
        <f>$A$9</f>
        <v>Kirkland</v>
      </c>
      <c r="P9" s="15">
        <f ref="P9:P11" si="6" t="shared">I9-B9</f>
        <v>1109</v>
      </c>
      <c r="Q9" s="15">
        <f ref="Q9:Q11" si="7" t="shared">J9-C9</f>
        <v>816</v>
      </c>
      <c r="R9" s="15">
        <f ref="R9:R11" si="8" t="shared">K9-D9</f>
        <v>371</v>
      </c>
      <c r="S9" s="15">
        <f ref="S9:S11" si="9" t="shared">L9-E9</f>
        <v>2296</v>
      </c>
      <c r="V9" t="str">
        <f>$A$9</f>
        <v>Kirkland</v>
      </c>
      <c r="W9" s="15"/>
      <c r="X9" s="15"/>
      <c r="Y9" s="15"/>
      <c r="Z9" s="15"/>
    </row>
    <row r="10" spans="1:26" x14ac:dyDescent="0.25">
      <c r="A10" t="s">
        <v>270</v>
      </c>
      <c r="B10" s="15" t="n">
        <v>0.0</v>
      </c>
      <c r="C10" s="15" t="n">
        <v>0.0</v>
      </c>
      <c r="D10" s="15" t="n">
        <v>0.0</v>
      </c>
      <c r="E10" s="15">
        <f si="3" t="shared"/>
        <v>0</v>
      </c>
      <c r="F10" s="15"/>
      <c r="G10" s="15"/>
      <c r="H10" t="str">
        <f>$A$10</f>
        <v>Redmond</v>
      </c>
      <c r="I10" s="15" t="n">
        <v>827.0</v>
      </c>
      <c r="J10" s="15" t="n">
        <v>477.0</v>
      </c>
      <c r="K10" s="15" t="n">
        <v>210.0</v>
      </c>
      <c r="L10" s="15">
        <f si="4" t="shared"/>
        <v>1791</v>
      </c>
      <c r="O10" t="str">
        <f>$A$10</f>
        <v>Redmond</v>
      </c>
      <c r="P10" s="15">
        <f si="6" t="shared"/>
        <v>941</v>
      </c>
      <c r="Q10" s="15">
        <f si="7" t="shared"/>
        <v>571</v>
      </c>
      <c r="R10" s="15">
        <f si="8" t="shared"/>
        <v>279</v>
      </c>
      <c r="S10" s="15">
        <f si="9" t="shared"/>
        <v>1791</v>
      </c>
      <c r="V10" t="str">
        <f>$A$10</f>
        <v>Redmond</v>
      </c>
      <c r="W10" s="15"/>
      <c r="X10" s="15"/>
      <c r="Y10" s="15"/>
      <c r="Z10" s="15"/>
    </row>
    <row r="11" spans="1:26" x14ac:dyDescent="0.25">
      <c r="A11" t="s">
        <v>266</v>
      </c>
      <c r="B11" s="15" t="n">
        <v>212.42340000000002</v>
      </c>
      <c r="C11" s="15" t="n">
        <v>0.0</v>
      </c>
      <c r="D11" s="15" t="n">
        <v>0.0</v>
      </c>
      <c r="E11" s="15">
        <f si="3" t="shared"/>
        <v>212.42340000000002</v>
      </c>
      <c r="F11" s="15"/>
      <c r="G11" s="15"/>
      <c r="H11" t="str">
        <f>$A$11</f>
        <v>Seattle</v>
      </c>
      <c r="I11" s="15" t="n">
        <v>4722.0</v>
      </c>
      <c r="J11" s="15" t="n">
        <v>3727.0</v>
      </c>
      <c r="K11" s="15" t="n">
        <v>2035.0</v>
      </c>
      <c r="L11" s="15">
        <f si="4" t="shared"/>
        <v>11230</v>
      </c>
      <c r="O11" t="str">
        <f>$A$11</f>
        <v>Seattle</v>
      </c>
      <c r="P11" s="15">
        <f si="6" t="shared"/>
        <v>4843.5766000000003</v>
      </c>
      <c r="Q11" s="15">
        <f si="7" t="shared"/>
        <v>3989</v>
      </c>
      <c r="R11" s="15">
        <f si="8" t="shared"/>
        <v>2185</v>
      </c>
      <c r="S11" s="15">
        <f si="9" t="shared"/>
        <v>11017.5766</v>
      </c>
      <c r="V11" t="str">
        <f>$A$11</f>
        <v>Seattle</v>
      </c>
      <c r="W11" s="15"/>
      <c r="X11" s="15"/>
      <c r="Y11" s="15"/>
      <c r="Z11" s="15"/>
    </row>
    <row r="12" spans="1:26" x14ac:dyDescent="0.25">
      <c r="A12" t="s">
        <v>271</v>
      </c>
      <c r="B12" s="16" t="n">
        <v>0.0</v>
      </c>
      <c r="C12" s="16" t="n">
        <v>47.1777</v>
      </c>
      <c r="D12" s="16" t="n">
        <v>0.0</v>
      </c>
      <c r="E12" s="16">
        <f ref="E12:E13" si="10" t="shared">SUM(B12:D12)</f>
        <v>47.177700000000002</v>
      </c>
      <c r="F12" s="15"/>
      <c r="G12" s="15"/>
      <c r="H12" t="str">
        <f>$A$12</f>
        <v>Seattle Downtown</v>
      </c>
      <c r="I12" s="16" t="n">
        <v>421.0</v>
      </c>
      <c r="J12" s="16" t="n">
        <v>252.0</v>
      </c>
      <c r="K12" s="16" t="n">
        <v>147.0</v>
      </c>
      <c r="L12" s="16">
        <f si="4" t="shared"/>
        <v>832</v>
      </c>
      <c r="O12" t="str">
        <f>$A$12</f>
        <v>Seattle Downtown</v>
      </c>
      <c r="P12" s="16">
        <f si="5" t="shared"/>
        <v>427</v>
      </c>
      <c r="Q12" s="16">
        <f si="0" t="shared"/>
        <v>201.82229999999998</v>
      </c>
      <c r="R12" s="16">
        <f si="1" t="shared"/>
        <v>156</v>
      </c>
      <c r="S12" s="16">
        <f si="2" t="shared"/>
        <v>784.82230000000004</v>
      </c>
      <c r="V12" t="str">
        <f>$A$12</f>
        <v>Seattle Downtown</v>
      </c>
      <c r="W12" s="16"/>
      <c r="X12" s="16"/>
      <c r="Y12" s="16"/>
      <c r="Z12" s="16"/>
    </row>
    <row r="13" spans="1:26" x14ac:dyDescent="0.25">
      <c r="A13" s="6" t="s">
        <v>272</v>
      </c>
      <c r="B13" s="17" t="n">
        <v>1948.3502</v>
      </c>
      <c r="C13" s="17" t="n">
        <v>1971.7784000000001</v>
      </c>
      <c r="D13" s="17" t="n">
        <v>0.0</v>
      </c>
      <c r="E13" s="16">
        <f si="10" t="shared"/>
        <v>3920.1286</v>
      </c>
      <c r="F13" s="15"/>
      <c r="G13" s="15"/>
      <c r="H13" s="15" t="str">
        <f>$A$13</f>
        <v>Rest</v>
      </c>
      <c r="I13" s="17" t="n">
        <v>23507.0</v>
      </c>
      <c r="J13" s="17" t="n">
        <v>16663.0</v>
      </c>
      <c r="K13" s="17" t="n">
        <v>6110.0</v>
      </c>
      <c r="L13" s="16">
        <f si="4" t="shared"/>
        <v>53862</v>
      </c>
      <c r="O13" s="15" t="str">
        <f>H13</f>
        <v>Rest</v>
      </c>
      <c r="P13" s="16">
        <f ref="P13" si="11" t="shared">I13-B13</f>
        <v>24315.649799999999</v>
      </c>
      <c r="Q13" s="16">
        <f ref="Q13" si="12" t="shared">J13-C13</f>
        <v>18310.221600000001</v>
      </c>
      <c r="R13" s="16">
        <f ref="R13" si="13" t="shared">K13-D13</f>
        <v>7316</v>
      </c>
      <c r="S13" s="16">
        <f ref="S13" si="14" t="shared">L13-E13</f>
        <v>49941.871400000004</v>
      </c>
      <c r="V13" s="15" t="str">
        <f>$A$13</f>
        <v>Rest</v>
      </c>
      <c r="W13" s="17"/>
      <c r="X13" s="17"/>
      <c r="Y13" s="17"/>
      <c r="Z13" s="17"/>
    </row>
    <row ht="15.75" r="14" spans="1:26" thickBot="1" x14ac:dyDescent="0.3">
      <c r="A14" s="19" t="s">
        <v>4</v>
      </c>
      <c r="B14" s="19">
        <f>SUM(B7:B13)</f>
        <v>2287.0581999999999</v>
      </c>
      <c r="C14" s="19">
        <f ref="C14:E14" si="15" t="shared">SUM(C7:C13)</f>
        <v>2117.0654</v>
      </c>
      <c r="D14" s="19">
        <f si="15" t="shared"/>
        <v>0</v>
      </c>
      <c r="E14" s="19">
        <f si="15" t="shared"/>
        <v>4404.1235999999999</v>
      </c>
      <c r="F14" s="15"/>
      <c r="G14" s="15"/>
      <c r="H14" s="19" t="s">
        <v>4</v>
      </c>
      <c r="I14" s="19">
        <f>SUM(I7:I13)</f>
        <v>34985</v>
      </c>
      <c r="J14" s="19">
        <f ref="J14:L14" si="16" t="shared">SUM(J7:J13)</f>
        <v>26711</v>
      </c>
      <c r="K14" s="19">
        <f si="16" t="shared"/>
        <v>10652</v>
      </c>
      <c r="L14" s="19">
        <f si="16" t="shared"/>
        <v>72348</v>
      </c>
      <c r="O14" s="19" t="s">
        <v>4</v>
      </c>
      <c r="P14" s="19">
        <f si="5" t="shared"/>
        <v>32697.941800000001</v>
      </c>
      <c r="Q14" s="19">
        <f si="0" t="shared"/>
        <v>24593.934600000001</v>
      </c>
      <c r="R14" s="19">
        <f si="1" t="shared"/>
        <v>10652</v>
      </c>
      <c r="S14" s="19">
        <f si="2" t="shared"/>
        <v>67943.876399999994</v>
      </c>
      <c r="V14" s="19" t="s">
        <v>4</v>
      </c>
      <c r="W14" s="19">
        <f>SUM(W7:W13)</f>
        <v>0</v>
      </c>
      <c r="X14" s="19">
        <f ref="X14:Z14" si="17" t="shared">SUM(X7:X13)</f>
        <v>0</v>
      </c>
      <c r="Y14" s="19">
        <f si="17" t="shared"/>
        <v>0</v>
      </c>
      <c r="Z14" s="19">
        <f si="17" t="shared"/>
        <v>0</v>
      </c>
    </row>
    <row r="15" spans="1:26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ht="15.75" r="16" spans="1:26" thickBot="1" x14ac:dyDescent="0.3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2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25">
      <c r="A18" t="str">
        <f>$A$7</f>
        <v>Bellevue</v>
      </c>
      <c r="B18" s="15" t="n">
        <v>67542.7374</v>
      </c>
      <c r="C18" s="15" t="n">
        <v>12706.5116</v>
      </c>
      <c r="D18" s="15" t="n">
        <v>991.766</v>
      </c>
      <c r="E18" s="15">
        <f>SUM(B18:D18)</f>
        <v>81241.014999999999</v>
      </c>
      <c r="F18" s="15"/>
      <c r="G18" s="15"/>
      <c r="H18" t="str">
        <f>$A$7</f>
        <v>Bellevue</v>
      </c>
      <c r="I18" s="15" t="n">
        <v>59849.0</v>
      </c>
      <c r="J18" s="15" t="n">
        <v>12089.0</v>
      </c>
      <c r="K18" s="15" t="n">
        <v>3449.0</v>
      </c>
      <c r="L18" s="15">
        <f>SUM(I18:K18)</f>
        <v>75387</v>
      </c>
      <c r="O18" t="str">
        <f>$A$7</f>
        <v>Bellevue</v>
      </c>
      <c r="P18" s="15">
        <f ref="P18:P25" si="18" t="shared">I18-B18</f>
        <v>-7693.7373999999982</v>
      </c>
      <c r="Q18" s="15">
        <f ref="Q18:Q25" si="19" t="shared">J18-C18</f>
        <v>-617.51159999999982</v>
      </c>
      <c r="R18" s="15">
        <f ref="R18:R25" si="20" t="shared">K18-D18</f>
        <v>2457.2339999999999</v>
      </c>
      <c r="S18" s="15">
        <f ref="S18:S25" si="21" t="shared">L18-E18</f>
        <v>-5854.0149999999994</v>
      </c>
      <c r="V18" t="str">
        <f>$A$7</f>
        <v>Bellevue</v>
      </c>
      <c r="W18" s="15"/>
      <c r="X18" s="15"/>
      <c r="Y18" s="15"/>
      <c r="Z18" s="15"/>
    </row>
    <row r="19" spans="1:26" x14ac:dyDescent="0.25">
      <c r="A19" t="str">
        <f>$A$8</f>
        <v>Bellevue Downtown</v>
      </c>
      <c r="B19" s="15" t="n">
        <v>4996.582</v>
      </c>
      <c r="C19" s="15" t="n">
        <v>378.6098</v>
      </c>
      <c r="D19" s="15" t="n">
        <v>83.9342</v>
      </c>
      <c r="E19" s="15">
        <f ref="E19:E24" si="22" t="shared">SUM(B19:D19)</f>
        <v>5459.1260000000002</v>
      </c>
      <c r="F19" s="15"/>
      <c r="G19" s="15"/>
      <c r="H19" t="str">
        <f>$A$8</f>
        <v>Bellevue Downtown</v>
      </c>
      <c r="I19" s="15" t="n">
        <v>5006.0</v>
      </c>
      <c r="J19" s="15" t="n">
        <v>543.0</v>
      </c>
      <c r="K19" s="15" t="n">
        <v>133.0</v>
      </c>
      <c r="L19" s="15">
        <f>SUM(I19:K19)</f>
        <v>5682</v>
      </c>
      <c r="O19" t="str">
        <f>$A$8</f>
        <v>Bellevue Downtown</v>
      </c>
      <c r="P19" s="15">
        <f si="18" t="shared"/>
        <v>9.4179999999996653</v>
      </c>
      <c r="Q19" s="15">
        <f si="19" t="shared"/>
        <v>164.39019999999999</v>
      </c>
      <c r="R19" s="15">
        <f si="20" t="shared"/>
        <v>49.065799999999996</v>
      </c>
      <c r="S19" s="15">
        <f si="21" t="shared"/>
        <v>222.8739999999998</v>
      </c>
      <c r="V19" t="str">
        <f>$A$8</f>
        <v>Bellevue Downtown</v>
      </c>
      <c r="W19" s="15"/>
      <c r="X19" s="15"/>
      <c r="Y19" s="15"/>
      <c r="Z19" s="15"/>
    </row>
    <row r="20" spans="1:26" x14ac:dyDescent="0.25">
      <c r="A20" t="str">
        <f>$A$9</f>
        <v>Kirkland</v>
      </c>
      <c r="B20" s="15" t="n">
        <v>56770.7963</v>
      </c>
      <c r="C20" s="15" t="n">
        <v>12551.3848</v>
      </c>
      <c r="D20" s="15" t="n">
        <v>844.9634</v>
      </c>
      <c r="E20" s="15">
        <f si="22" t="shared"/>
        <v>70167.144499999995</v>
      </c>
      <c r="F20" s="15"/>
      <c r="G20" s="15"/>
      <c r="H20" t="str">
        <f>$A$9</f>
        <v>Kirkland</v>
      </c>
      <c r="I20" s="15" t="n">
        <v>56256.0</v>
      </c>
      <c r="J20" s="15" t="n">
        <v>12077.0</v>
      </c>
      <c r="K20" s="15" t="n">
        <v>3768.0</v>
      </c>
      <c r="L20" s="15">
        <f ref="L20:L22" si="23" t="shared">SUM(I20:K20)</f>
        <v>72101</v>
      </c>
      <c r="O20" t="str">
        <f>$A$9</f>
        <v>Kirkland</v>
      </c>
      <c r="P20" s="15">
        <f ref="P20:P22" si="24" t="shared">I20-B20</f>
        <v>-514.79630000000179</v>
      </c>
      <c r="Q20" s="15">
        <f ref="Q20:Q22" si="25" t="shared">J20-C20</f>
        <v>-474.38479999999981</v>
      </c>
      <c r="R20" s="15">
        <f ref="R20:R22" si="26" t="shared">K20-D20</f>
        <v>2923.0365999999999</v>
      </c>
      <c r="S20" s="15">
        <f ref="S20:S22" si="27" t="shared">L20-E20</f>
        <v>1933.8555000000051</v>
      </c>
      <c r="V20" t="str">
        <f>$A$9</f>
        <v>Kirkland</v>
      </c>
      <c r="W20" s="15"/>
      <c r="X20" s="15"/>
      <c r="Y20" s="15"/>
      <c r="Z20" s="15"/>
    </row>
    <row r="21" spans="1:26" x14ac:dyDescent="0.25">
      <c r="A21" t="str">
        <f>$A$10</f>
        <v>Redmond</v>
      </c>
      <c r="B21" s="15" t="n">
        <v>44724.3739</v>
      </c>
      <c r="C21" s="15" t="n">
        <v>10086.334200000001</v>
      </c>
      <c r="D21" s="15" t="n">
        <v>2087.2448</v>
      </c>
      <c r="E21" s="15">
        <f si="22" t="shared"/>
        <v>56897.952900000004</v>
      </c>
      <c r="F21" s="15"/>
      <c r="G21" s="15"/>
      <c r="H21" t="str">
        <f>$A$10</f>
        <v>Redmond</v>
      </c>
      <c r="I21" s="15" t="n">
        <v>44423.0</v>
      </c>
      <c r="J21" s="15" t="n">
        <v>8283.0</v>
      </c>
      <c r="K21" s="15" t="n">
        <v>2450.0</v>
      </c>
      <c r="L21" s="15">
        <f si="23" t="shared"/>
        <v>55156</v>
      </c>
      <c r="O21" t="str">
        <f>$A$10</f>
        <v>Redmond</v>
      </c>
      <c r="P21" s="15">
        <f si="24" t="shared"/>
        <v>-301.37389999999868</v>
      </c>
      <c r="Q21" s="15">
        <f si="25" t="shared"/>
        <v>-1803.3342000000011</v>
      </c>
      <c r="R21" s="15">
        <f si="26" t="shared"/>
        <v>362.75520000000006</v>
      </c>
      <c r="S21" s="15">
        <f si="27" t="shared"/>
        <v>-1741.9529000000039</v>
      </c>
      <c r="V21" t="str">
        <f>$A$10</f>
        <v>Redmond</v>
      </c>
      <c r="W21" s="15"/>
      <c r="X21" s="15"/>
      <c r="Y21" s="15"/>
      <c r="Z21" s="15"/>
    </row>
    <row r="22" spans="1:26" x14ac:dyDescent="0.25">
      <c r="A22" t="str">
        <f>$A$11</f>
        <v>Seattle</v>
      </c>
      <c r="B22" s="15" t="n">
        <v>275288.0414</v>
      </c>
      <c r="C22" s="15" t="n">
        <v>63820.7654</v>
      </c>
      <c r="D22" s="15" t="n">
        <v>13173.748</v>
      </c>
      <c r="E22" s="15">
        <f si="22" t="shared"/>
        <v>352282.55479999998</v>
      </c>
      <c r="F22" s="15"/>
      <c r="G22" s="15"/>
      <c r="H22" t="str">
        <f>$A$11</f>
        <v>Seattle</v>
      </c>
      <c r="I22" s="15" t="n">
        <v>269611.0</v>
      </c>
      <c r="J22" s="15" t="n">
        <v>62283.0</v>
      </c>
      <c r="K22" s="15" t="n">
        <v>22315.0</v>
      </c>
      <c r="L22" s="15">
        <f si="23" t="shared"/>
        <v>354209</v>
      </c>
      <c r="O22" t="str">
        <f>$A$11</f>
        <v>Seattle</v>
      </c>
      <c r="P22" s="15">
        <f si="24" t="shared"/>
        <v>-5677.0413999999873</v>
      </c>
      <c r="Q22" s="15">
        <f si="25" t="shared"/>
        <v>-1537.7653999999966</v>
      </c>
      <c r="R22" s="15">
        <f si="26" t="shared"/>
        <v>9141.2520000000004</v>
      </c>
      <c r="S22" s="15">
        <f si="27" t="shared"/>
        <v>1926.4452000000165</v>
      </c>
      <c r="V22" t="str">
        <f>$A$11</f>
        <v>Seattle</v>
      </c>
      <c r="W22" s="15"/>
      <c r="X22" s="15"/>
      <c r="Y22" s="15"/>
      <c r="Z22" s="15"/>
    </row>
    <row r="23" spans="1:26" x14ac:dyDescent="0.25">
      <c r="A23" t="str">
        <f>$A$12</f>
        <v>Seattle Downtown</v>
      </c>
      <c r="B23" s="16" t="n">
        <v>32042.4611</v>
      </c>
      <c r="C23" s="16" t="n">
        <v>4354.1833</v>
      </c>
      <c r="D23" s="16" t="n">
        <v>970.3995</v>
      </c>
      <c r="E23" s="16">
        <f si="22" t="shared"/>
        <v>37367.043899999997</v>
      </c>
      <c r="F23" s="15"/>
      <c r="G23" s="15"/>
      <c r="H23" t="str">
        <f>$A$12</f>
        <v>Seattle Downtown</v>
      </c>
      <c r="I23" s="16" t="n">
        <v>31145.0</v>
      </c>
      <c r="J23" s="16" t="n">
        <v>5282.0</v>
      </c>
      <c r="K23" s="16" t="n">
        <v>2037.0</v>
      </c>
      <c r="L23" s="16">
        <f>SUM(I23:K23)</f>
        <v>38464</v>
      </c>
      <c r="O23" t="str">
        <f>$A$12</f>
        <v>Seattle Downtown</v>
      </c>
      <c r="P23" s="16">
        <f si="18" t="shared"/>
        <v>-897.46110000000044</v>
      </c>
      <c r="Q23" s="16">
        <f si="19" t="shared"/>
        <v>927.81670000000031</v>
      </c>
      <c r="R23" s="16">
        <f si="20" t="shared"/>
        <v>1066.6005</v>
      </c>
      <c r="S23" s="16">
        <f si="21" t="shared"/>
        <v>1096.9561000000031</v>
      </c>
      <c r="V23" t="str">
        <f>$A$12</f>
        <v>Seattle Downtown</v>
      </c>
      <c r="W23" s="16"/>
      <c r="X23" s="16"/>
      <c r="Y23" s="16"/>
      <c r="Z23" s="16"/>
    </row>
    <row r="24" spans="1:26" x14ac:dyDescent="0.25">
      <c r="A24" s="15" t="str">
        <f>A13</f>
        <v>Rest</v>
      </c>
      <c r="B24" s="17" t="n">
        <v>931224.7503</v>
      </c>
      <c r="C24" s="17" t="n">
        <v>237057.893</v>
      </c>
      <c r="D24" s="17" t="n">
        <v>45538.681599999996</v>
      </c>
      <c r="E24" s="16">
        <f si="22" t="shared"/>
        <v>1213821.3248999999</v>
      </c>
      <c r="F24" s="15"/>
      <c r="G24" s="15"/>
      <c r="H24" s="15" t="str">
        <f>H13</f>
        <v>Rest</v>
      </c>
      <c r="I24" s="17" t="n">
        <v>945470.0</v>
      </c>
      <c r="J24" s="17" t="n">
        <v>232252.0</v>
      </c>
      <c r="K24" s="17" t="n">
        <v>56636.0</v>
      </c>
      <c r="L24" s="16">
        <f>SUM(I24:K24)</f>
        <v>1234358</v>
      </c>
      <c r="O24" s="15" t="str">
        <f>O13</f>
        <v>Rest</v>
      </c>
      <c r="P24" s="16">
        <f ref="P24" si="28" t="shared">I24-B24</f>
        <v>14245.249700000044</v>
      </c>
      <c r="Q24" s="16">
        <f ref="Q24" si="29" t="shared">J24-C24</f>
        <v>-4805.8930000000109</v>
      </c>
      <c r="R24" s="16">
        <f ref="R24" si="30" t="shared">K24-D24</f>
        <v>11097.318400000004</v>
      </c>
      <c r="S24" s="16">
        <f ref="S24" si="31" t="shared">L24-E24</f>
        <v>20536.67510000011</v>
      </c>
      <c r="V24" s="15" t="str">
        <f>$A$13</f>
        <v>Rest</v>
      </c>
      <c r="W24" s="17"/>
      <c r="X24" s="17"/>
      <c r="Y24" s="17"/>
      <c r="Z24" s="17"/>
    </row>
    <row ht="15.75" r="25" spans="1:26" thickBot="1" x14ac:dyDescent="0.3">
      <c r="A25" s="19" t="s">
        <v>4</v>
      </c>
      <c r="B25" s="19">
        <f>SUM(B18:B24)</f>
        <v>1412589.7423999999</v>
      </c>
      <c r="C25" s="19">
        <f ref="C25:E25" si="32" t="shared">SUM(C18:C24)</f>
        <v>340955.68209999998</v>
      </c>
      <c r="D25" s="19">
        <f si="32" t="shared"/>
        <v>63690.737499999996</v>
      </c>
      <c r="E25" s="19">
        <f si="32" t="shared"/>
        <v>1817236.162</v>
      </c>
      <c r="F25" s="15"/>
      <c r="G25" s="15"/>
      <c r="H25" s="19" t="s">
        <v>4</v>
      </c>
      <c r="I25" s="19">
        <f>SUM(I18:I24)</f>
        <v>1411760</v>
      </c>
      <c r="J25" s="19">
        <f ref="J25:L25" si="33" t="shared">SUM(J18:J24)</f>
        <v>332809</v>
      </c>
      <c r="K25" s="19">
        <f si="33" t="shared"/>
        <v>90788</v>
      </c>
      <c r="L25" s="19">
        <f si="33" t="shared"/>
        <v>1835357</v>
      </c>
      <c r="O25" s="19" t="s">
        <v>4</v>
      </c>
      <c r="P25" s="19">
        <f si="18" t="shared"/>
        <v>-829.74239999987185</v>
      </c>
      <c r="Q25" s="19">
        <f si="19" t="shared"/>
        <v>-8146.6820999999763</v>
      </c>
      <c r="R25" s="19">
        <f si="20" t="shared"/>
        <v>27097.262500000004</v>
      </c>
      <c r="S25" s="19">
        <f si="21" t="shared"/>
        <v>18120.837999999989</v>
      </c>
      <c r="V25" s="19" t="s">
        <v>4</v>
      </c>
      <c r="W25" s="19">
        <f>SUM(W18:W24)</f>
        <v>0</v>
      </c>
      <c r="X25" s="19">
        <f ref="X25:Z25" si="34" t="shared">SUM(X18:X24)</f>
        <v>0</v>
      </c>
      <c r="Y25" s="19">
        <f si="34" t="shared"/>
        <v>0</v>
      </c>
      <c r="Z25" s="19">
        <f si="34" t="shared"/>
        <v>0</v>
      </c>
    </row>
    <row ht="15.75" r="27" spans="1:26" thickBot="1" x14ac:dyDescent="0.3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Bellevue</v>
      </c>
      <c r="B29" s="25">
        <f>B7/B18</f>
        <v>1.8696991691663359E-3</v>
      </c>
      <c r="C29" s="25">
        <f ref="B29:E36" si="35" t="shared">C7/C18</f>
        <v>7.7211828933442285E-3</v>
      </c>
      <c r="D29" s="25">
        <f si="35" t="shared"/>
        <v>0</v>
      </c>
      <c r="E29" s="25">
        <f si="35" t="shared"/>
        <v>2.7620765200927141E-3</v>
      </c>
      <c r="F29" s="25"/>
      <c r="G29" s="25"/>
      <c r="H29" t="str">
        <f>$A$7</f>
        <v>Bellevue</v>
      </c>
      <c r="I29" s="25">
        <f ref="I29:L36" si="36" t="shared">I7/I18</f>
        <v>1.8713762970141525E-2</v>
      </c>
      <c r="J29" s="25">
        <f si="36" t="shared"/>
        <v>6.4190586483580114E-2</v>
      </c>
      <c r="K29" s="25">
        <f si="36" t="shared"/>
        <v>9.5969846332270223E-2</v>
      </c>
      <c r="L29" s="25">
        <f si="36" t="shared"/>
        <v>2.9540902277581015E-2</v>
      </c>
      <c r="O29" t="str">
        <f>$A$7</f>
        <v>Bellevue</v>
      </c>
      <c r="P29" s="25">
        <f>I29-B29</f>
        <v>1.6844063800975188E-2</v>
      </c>
      <c r="Q29" s="25">
        <f ref="Q29:Q36" si="37" t="shared">J29-C29</f>
        <v>5.6469403590235889E-2</v>
      </c>
      <c r="R29" s="25">
        <f ref="R29:R36" si="38" t="shared">K29-D29</f>
        <v>9.5969846332270223E-2</v>
      </c>
      <c r="S29" s="25">
        <f ref="S29:S36" si="39" t="shared">L29-E29</f>
        <v>2.67788257574883E-2</v>
      </c>
      <c r="V29" t="str">
        <f>$A$7</f>
        <v>Bellevue</v>
      </c>
      <c r="W29" s="25" t="e">
        <f ref="W29:Z35" si="40" t="shared">W7/W18</f>
        <v>#DIV/0!</v>
      </c>
      <c r="X29" s="25" t="e">
        <f si="40" t="shared"/>
        <v>#DIV/0!</v>
      </c>
      <c r="Y29" s="25" t="e">
        <f si="40" t="shared"/>
        <v>#DIV/0!</v>
      </c>
      <c r="Z29" s="25" t="e">
        <f si="40" t="shared"/>
        <v>#DIV/0!</v>
      </c>
    </row>
    <row r="30" spans="1:26" x14ac:dyDescent="0.25">
      <c r="A30" t="str">
        <f>$A$8</f>
        <v>Bellevue Downtown</v>
      </c>
      <c r="B30" s="25">
        <f si="35" t="shared"/>
        <v>0</v>
      </c>
      <c r="C30" s="25">
        <f si="35" t="shared"/>
        <v>0</v>
      </c>
      <c r="D30" s="25">
        <f si="35" t="shared"/>
        <v>0</v>
      </c>
      <c r="E30" s="25">
        <f si="35" t="shared"/>
        <v>0</v>
      </c>
      <c r="F30" s="25"/>
      <c r="G30" s="25"/>
      <c r="H30" t="str">
        <f>$A$8</f>
        <v>Bellevue Downtown</v>
      </c>
      <c r="I30" s="25">
        <f si="36" t="shared"/>
        <v>1.3583699560527367E-2</v>
      </c>
      <c r="J30" s="25">
        <f si="36" t="shared"/>
        <v>5.1565377532228361E-2</v>
      </c>
      <c r="K30" s="25">
        <f si="36" t="shared"/>
        <v>0.10526315789473684</v>
      </c>
      <c r="L30" s="25">
        <f si="36" t="shared"/>
        <v>1.9359380499824004E-2</v>
      </c>
      <c r="O30" t="str">
        <f>$A$8</f>
        <v>Bellevue Downtown</v>
      </c>
      <c r="P30" s="25">
        <f ref="P30:P36" si="41" t="shared">I30-B30</f>
        <v>1.3583699560527367E-2</v>
      </c>
      <c r="Q30" s="25">
        <f si="37" t="shared"/>
        <v>5.1565377532228361E-2</v>
      </c>
      <c r="R30" s="25">
        <f si="38" t="shared"/>
        <v>0.10526315789473684</v>
      </c>
      <c r="S30" s="25">
        <f si="39" t="shared"/>
        <v>1.9359380499824004E-2</v>
      </c>
      <c r="V30" t="str">
        <f>$A$8</f>
        <v>Bellevue Downtown</v>
      </c>
      <c r="W30" s="25" t="e">
        <f si="40" t="shared"/>
        <v>#DIV/0!</v>
      </c>
      <c r="X30" s="25" t="e">
        <f si="40" t="shared"/>
        <v>#DIV/0!</v>
      </c>
      <c r="Y30" s="25" t="e">
        <f si="40" t="shared"/>
        <v>#DIV/0!</v>
      </c>
      <c r="Z30" s="25" t="e">
        <f si="40" t="shared"/>
        <v>#DIV/0!</v>
      </c>
    </row>
    <row r="31" spans="1:26" x14ac:dyDescent="0.25">
      <c r="A31" t="str">
        <f>$A$9</f>
        <v>Kirkland</v>
      </c>
      <c r="B31" s="25">
        <f si="35" t="shared"/>
        <v>0</v>
      </c>
      <c r="C31" s="25">
        <f si="35" t="shared"/>
        <v>0</v>
      </c>
      <c r="D31" s="25">
        <f si="35" t="shared"/>
        <v>0</v>
      </c>
      <c r="E31" s="25">
        <f si="35" t="shared"/>
        <v>0</v>
      </c>
      <c r="F31" s="25"/>
      <c r="G31" s="25"/>
      <c r="H31" t="str">
        <f>$A$9</f>
        <v>Kirkland</v>
      </c>
      <c r="I31" s="25">
        <f si="36" t="shared"/>
        <v>1.9713452787258248E-2</v>
      </c>
      <c r="J31" s="25">
        <f si="36" t="shared"/>
        <v>6.7566448621346364E-2</v>
      </c>
      <c r="K31" s="25">
        <f si="36" t="shared"/>
        <v>9.8460721868365186E-2</v>
      </c>
      <c r="L31" s="25">
        <f si="36" t="shared"/>
        <v>3.1844218526788808E-2</v>
      </c>
      <c r="O31" t="str">
        <f>$A$9</f>
        <v>Kirkland</v>
      </c>
      <c r="P31" s="25">
        <f ref="P31:P33" si="42" t="shared">I31-B31</f>
        <v>1.9713452787258248E-2</v>
      </c>
      <c r="Q31" s="25">
        <f ref="Q31:Q33" si="43" t="shared">J31-C31</f>
        <v>6.7566448621346364E-2</v>
      </c>
      <c r="R31" s="25">
        <f ref="R31:R33" si="44" t="shared">K31-D31</f>
        <v>9.8460721868365186E-2</v>
      </c>
      <c r="S31" s="25">
        <f ref="S31:S33" si="45" t="shared">L31-E31</f>
        <v>3.1844218526788808E-2</v>
      </c>
      <c r="V31" t="str">
        <f>$A$9</f>
        <v>Kirkland</v>
      </c>
      <c r="W31" s="25" t="e">
        <f si="40" t="shared"/>
        <v>#DIV/0!</v>
      </c>
      <c r="X31" s="25" t="e">
        <f si="40" t="shared"/>
        <v>#DIV/0!</v>
      </c>
      <c r="Y31" s="25" t="e">
        <f si="40" t="shared"/>
        <v>#DIV/0!</v>
      </c>
      <c r="Z31" s="25" t="e">
        <f si="40" t="shared"/>
        <v>#DIV/0!</v>
      </c>
    </row>
    <row r="32" spans="1:26" x14ac:dyDescent="0.25">
      <c r="A32" t="str">
        <f>$A$10</f>
        <v>Redmond</v>
      </c>
      <c r="B32" s="25">
        <f si="35" t="shared"/>
        <v>0</v>
      </c>
      <c r="C32" s="25">
        <f si="35" t="shared"/>
        <v>0</v>
      </c>
      <c r="D32" s="25">
        <f si="35" t="shared"/>
        <v>0</v>
      </c>
      <c r="E32" s="25">
        <f si="35" t="shared"/>
        <v>0</v>
      </c>
      <c r="F32" s="25"/>
      <c r="G32" s="25"/>
      <c r="H32" t="str">
        <f>$A$10</f>
        <v>Redmond</v>
      </c>
      <c r="I32" s="25">
        <f si="36" t="shared"/>
        <v>2.1182720662719763E-2</v>
      </c>
      <c r="J32" s="25">
        <f si="36" t="shared"/>
        <v>6.893637570928407E-2</v>
      </c>
      <c r="K32" s="25">
        <f si="36" t="shared"/>
        <v>0.11387755102040817</v>
      </c>
      <c r="L32" s="25">
        <f si="36" t="shared"/>
        <v>3.2471535281746317E-2</v>
      </c>
      <c r="O32" t="str">
        <f>$A$10</f>
        <v>Redmond</v>
      </c>
      <c r="P32" s="25">
        <f si="42" t="shared"/>
        <v>2.1182720662719763E-2</v>
      </c>
      <c r="Q32" s="25">
        <f si="43" t="shared"/>
        <v>6.893637570928407E-2</v>
      </c>
      <c r="R32" s="25">
        <f si="44" t="shared"/>
        <v>0.11387755102040817</v>
      </c>
      <c r="S32" s="25">
        <f si="45" t="shared"/>
        <v>3.2471535281746317E-2</v>
      </c>
      <c r="V32" t="str">
        <f>$A$10</f>
        <v>Redmond</v>
      </c>
      <c r="W32" s="25" t="e">
        <f si="40" t="shared"/>
        <v>#DIV/0!</v>
      </c>
      <c r="X32" s="25" t="e">
        <f si="40" t="shared"/>
        <v>#DIV/0!</v>
      </c>
      <c r="Y32" s="25" t="e">
        <f si="40" t="shared"/>
        <v>#DIV/0!</v>
      </c>
      <c r="Z32" s="25" t="e">
        <f si="40" t="shared"/>
        <v>#DIV/0!</v>
      </c>
    </row>
    <row r="33" spans="1:26" x14ac:dyDescent="0.25">
      <c r="A33" t="str">
        <f>$A$11</f>
        <v>Seattle</v>
      </c>
      <c r="B33" s="25">
        <f si="35" t="shared"/>
        <v>7.7164049306211531E-4</v>
      </c>
      <c r="C33" s="25">
        <f si="35" t="shared"/>
        <v>0</v>
      </c>
      <c r="D33" s="25">
        <f si="35" t="shared"/>
        <v>0</v>
      </c>
      <c r="E33" s="25">
        <f si="35" t="shared"/>
        <v>6.0299153933579921E-4</v>
      </c>
      <c r="F33" s="25"/>
      <c r="G33" s="25"/>
      <c r="H33" t="str">
        <f>$A$11</f>
        <v>Seattle</v>
      </c>
      <c r="I33" s="25">
        <f si="36" t="shared"/>
        <v>1.8752944056436866E-2</v>
      </c>
      <c r="J33" s="25">
        <f si="36" t="shared"/>
        <v>6.4046368993144198E-2</v>
      </c>
      <c r="K33" s="25">
        <f si="36" t="shared"/>
        <v>9.7916199865561285E-2</v>
      </c>
      <c r="L33" s="25">
        <f si="36" t="shared"/>
        <v>3.1704445680375143E-2</v>
      </c>
      <c r="O33" t="str">
        <f>$A$11</f>
        <v>Seattle</v>
      </c>
      <c r="P33" s="25">
        <f si="42" t="shared"/>
        <v>1.798130356337475E-2</v>
      </c>
      <c r="Q33" s="25">
        <f si="43" t="shared"/>
        <v>6.4046368993144198E-2</v>
      </c>
      <c r="R33" s="25">
        <f si="44" t="shared"/>
        <v>9.7916199865561285E-2</v>
      </c>
      <c r="S33" s="25">
        <f si="45" t="shared"/>
        <v>3.1101454141039344E-2</v>
      </c>
      <c r="V33" t="str">
        <f>$A$11</f>
        <v>Seattle</v>
      </c>
      <c r="W33" s="25" t="e">
        <f si="40" t="shared"/>
        <v>#DIV/0!</v>
      </c>
      <c r="X33" s="25" t="e">
        <f si="40" t="shared"/>
        <v>#DIV/0!</v>
      </c>
      <c r="Y33" s="25" t="e">
        <f si="40" t="shared"/>
        <v>#DIV/0!</v>
      </c>
      <c r="Z33" s="25" t="e">
        <f si="40" t="shared"/>
        <v>#DIV/0!</v>
      </c>
    </row>
    <row r="34" spans="1:26" x14ac:dyDescent="0.25">
      <c r="A34" t="str">
        <f>$A$12</f>
        <v>Seattle Downtown</v>
      </c>
      <c r="B34" s="40">
        <f si="35" t="shared"/>
        <v>0</v>
      </c>
      <c r="C34" s="40">
        <f si="35" t="shared"/>
        <v>1.0835028465613747E-2</v>
      </c>
      <c r="D34" s="40">
        <f si="35" t="shared"/>
        <v>0</v>
      </c>
      <c r="E34" s="40">
        <f si="35" t="shared"/>
        <v>1.2625483601607567E-3</v>
      </c>
      <c r="F34" s="25"/>
      <c r="G34" s="25"/>
      <c r="H34" t="str">
        <f>$A$12</f>
        <v>Seattle Downtown</v>
      </c>
      <c r="I34" s="40">
        <f si="36" t="shared"/>
        <v>1.3710065821159094E-2</v>
      </c>
      <c r="J34" s="40">
        <f si="36" t="shared"/>
        <v>4.7141234380916316E-2</v>
      </c>
      <c r="K34" s="40">
        <f si="36" t="shared"/>
        <v>7.6583210603829166E-2</v>
      </c>
      <c r="L34" s="40">
        <f si="36" t="shared"/>
        <v>2.1630615640599003E-2</v>
      </c>
      <c r="O34" t="str">
        <f>$A$12</f>
        <v>Seattle Downtown</v>
      </c>
      <c r="P34" s="40">
        <f si="41" t="shared"/>
        <v>1.3710065821159094E-2</v>
      </c>
      <c r="Q34" s="40">
        <f si="37" t="shared"/>
        <v>3.6306205915302571E-2</v>
      </c>
      <c r="R34" s="40">
        <f si="38" t="shared"/>
        <v>7.6583210603829166E-2</v>
      </c>
      <c r="S34" s="40">
        <f si="39" t="shared"/>
        <v>2.0368067280438246E-2</v>
      </c>
      <c r="V34" t="str">
        <f>$A$12</f>
        <v>Seattle Downtown</v>
      </c>
      <c r="W34" s="40" t="e">
        <f si="40" t="shared"/>
        <v>#DIV/0!</v>
      </c>
      <c r="X34" s="40" t="e">
        <f si="40" t="shared"/>
        <v>#DIV/0!</v>
      </c>
      <c r="Y34" s="40" t="e">
        <f si="40" t="shared"/>
        <v>#DIV/0!</v>
      </c>
      <c r="Z34" s="40" t="e">
        <f si="40" t="shared"/>
        <v>#DIV/0!</v>
      </c>
    </row>
    <row r="35" spans="1:26" x14ac:dyDescent="0.25">
      <c r="A35" s="15" t="str">
        <f>A24</f>
        <v>Rest</v>
      </c>
      <c r="B35" s="40">
        <f si="35" t="shared"/>
        <v>2.0922448628779753E-3</v>
      </c>
      <c r="C35" s="40">
        <f si="35" t="shared"/>
        <v>8.3177082823392857E-3</v>
      </c>
      <c r="D35" s="40">
        <f si="35" t="shared"/>
        <v>0</v>
      </c>
      <c r="E35" s="40">
        <f si="35" t="shared"/>
        <v>3.2295763137321367E-3</v>
      </c>
      <c r="F35" s="25"/>
      <c r="G35" s="25"/>
      <c r="H35" s="15" t="str">
        <f>H24</f>
        <v>Rest</v>
      </c>
      <c r="I35" s="40">
        <f si="36" t="shared"/>
        <v>2.7778776693073288E-2</v>
      </c>
      <c r="J35" s="40">
        <f si="36" t="shared"/>
        <v>8.7327557997347705E-2</v>
      </c>
      <c r="K35" s="40">
        <f si="36" t="shared"/>
        <v>0.12917578925065329</v>
      </c>
      <c r="L35" s="40">
        <f si="36" t="shared"/>
        <v>4.3635638931331107E-2</v>
      </c>
      <c r="O35" s="17" t="str">
        <f>O24</f>
        <v>Rest</v>
      </c>
      <c r="P35" s="40">
        <f ref="P35" si="46" t="shared">I35-B35</f>
        <v>2.5686531830195314E-2</v>
      </c>
      <c r="Q35" s="40">
        <f ref="Q35" si="47" t="shared">J35-C35</f>
        <v>7.9009849715008421E-2</v>
      </c>
      <c r="R35" s="40">
        <f ref="R35" si="48" t="shared">K35-D35</f>
        <v>0.12917578925065329</v>
      </c>
      <c r="S35" s="40">
        <f ref="S35" si="49" t="shared">L35-E35</f>
        <v>4.0406062617598971E-2</v>
      </c>
      <c r="V35" s="15" t="str">
        <f>$A$13</f>
        <v>Rest</v>
      </c>
      <c r="W35" s="17" t="e">
        <f si="40" t="shared"/>
        <v>#DIV/0!</v>
      </c>
      <c r="X35" s="17" t="e">
        <f si="40" t="shared"/>
        <v>#DIV/0!</v>
      </c>
      <c r="Y35" s="17" t="e">
        <f si="40" t="shared"/>
        <v>#DIV/0!</v>
      </c>
      <c r="Z35" s="17" t="e">
        <f si="40" t="shared"/>
        <v>#DIV/0!</v>
      </c>
    </row>
    <row ht="15.75" r="36" spans="1:26" thickBot="1" x14ac:dyDescent="0.3">
      <c r="A36" s="19" t="s">
        <v>4</v>
      </c>
      <c r="B36" s="27">
        <f si="35" t="shared"/>
        <v>1.6190533821336349E-3</v>
      </c>
      <c r="C36" s="27">
        <f si="35" t="shared"/>
        <v>6.2092099095127536E-3</v>
      </c>
      <c r="D36" s="27">
        <f si="35" t="shared"/>
        <v>0</v>
      </c>
      <c r="E36" s="27">
        <f si="35" t="shared"/>
        <v>2.4235284835807708E-3</v>
      </c>
      <c r="F36" s="7"/>
      <c r="H36" s="19" t="s">
        <v>4</v>
      </c>
      <c r="I36" s="27">
        <f si="36" t="shared"/>
        <v>2.4781124270414234E-2</v>
      </c>
      <c r="J36" s="27">
        <f si="36" t="shared"/>
        <v>8.0259247796784339E-2</v>
      </c>
      <c r="K36" s="27">
        <f si="36" t="shared"/>
        <v>0.11732828127065251</v>
      </c>
      <c r="L36" s="27">
        <f si="36" t="shared"/>
        <v>3.9419034008097605E-2</v>
      </c>
      <c r="O36" s="19" t="s">
        <v>4</v>
      </c>
      <c r="P36" s="27">
        <f si="41" t="shared"/>
        <v>2.3162070888280598E-2</v>
      </c>
      <c r="Q36" s="27">
        <f si="37" t="shared"/>
        <v>7.4050037887271589E-2</v>
      </c>
      <c r="R36" s="27">
        <f si="38" t="shared"/>
        <v>0.11732828127065251</v>
      </c>
      <c r="S36" s="27">
        <f si="39" t="shared"/>
        <v>3.6995505524516831E-2</v>
      </c>
      <c r="V36" s="19" t="s">
        <v>4</v>
      </c>
      <c r="W36" s="19" t="e">
        <f>W14/W25</f>
        <v>#DIV/0!</v>
      </c>
      <c r="X36" s="19" t="e">
        <f ref="X36:Z36" si="50" t="shared">X14/X25</f>
        <v>#DIV/0!</v>
      </c>
      <c r="Y36" s="19" t="e">
        <f si="50" t="shared"/>
        <v>#DIV/0!</v>
      </c>
      <c r="Z36" s="19" t="e">
        <f si="50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s="11" t="s">
        <v>220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45</v>
      </c>
    </row>
    <row r="14" spans="1:2" x14ac:dyDescent="0.25">
      <c r="A14">
        <v>2</v>
      </c>
      <c r="B14" t="s">
        <v>221</v>
      </c>
    </row>
    <row r="15" spans="1:2" x14ac:dyDescent="0.25">
      <c r="B15" t="s">
        <v>46</v>
      </c>
    </row>
    <row r="17" spans="1:4" x14ac:dyDescent="0.25">
      <c r="A17">
        <v>3</v>
      </c>
      <c r="B17" t="s">
        <v>47</v>
      </c>
    </row>
    <row r="18" spans="1:4" x14ac:dyDescent="0.25">
      <c r="B18" t="s">
        <v>222</v>
      </c>
    </row>
    <row r="19" spans="1:4" x14ac:dyDescent="0.25">
      <c r="B19" t="s">
        <v>9</v>
      </c>
      <c r="C19" t="s">
        <v>53</v>
      </c>
      <c r="D19" t="s">
        <v>20</v>
      </c>
    </row>
    <row r="20" spans="1:4" x14ac:dyDescent="0.25">
      <c r="B20" t="s">
        <v>10</v>
      </c>
      <c r="C20" t="s">
        <v>54</v>
      </c>
      <c r="D20" t="s">
        <v>21</v>
      </c>
    </row>
    <row r="21" spans="1:4" x14ac:dyDescent="0.25">
      <c r="B21" t="s">
        <v>11</v>
      </c>
      <c r="C21" t="s">
        <v>55</v>
      </c>
      <c r="D21" t="s">
        <v>22</v>
      </c>
    </row>
    <row r="23" spans="1:4" x14ac:dyDescent="0.25">
      <c r="A23" s="11" t="s">
        <v>48</v>
      </c>
    </row>
    <row r="24" spans="1:4" x14ac:dyDescent="0.25">
      <c r="A24">
        <v>1</v>
      </c>
      <c r="B24" t="s">
        <v>49</v>
      </c>
    </row>
    <row r="26" spans="1:4" x14ac:dyDescent="0.25">
      <c r="A26">
        <v>2</v>
      </c>
      <c r="B26" t="s">
        <v>50</v>
      </c>
    </row>
    <row r="28" spans="1:4" x14ac:dyDescent="0.25">
      <c r="A28" s="11" t="s">
        <v>51</v>
      </c>
    </row>
    <row r="29" spans="1:4" x14ac:dyDescent="0.25">
      <c r="A29">
        <v>1</v>
      </c>
      <c r="B29" t="s">
        <v>52</v>
      </c>
    </row>
    <row r="31" spans="1:4" x14ac:dyDescent="0.25">
      <c r="A31" s="11">
        <v>2</v>
      </c>
      <c r="B31" t="s">
        <v>223</v>
      </c>
    </row>
    <row r="33" spans="1:2" x14ac:dyDescent="0.25">
      <c r="A33">
        <v>3</v>
      </c>
      <c r="B33" t="s">
        <v>56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74"/>
  <sheetViews>
    <sheetView workbookViewId="0">
      <selection activeCell="I18" sqref="I18"/>
    </sheetView>
  </sheetViews>
  <sheetFormatPr defaultRowHeight="15" x14ac:dyDescent="0.25"/>
  <cols>
    <col min="4" max="4" bestFit="true" customWidth="true" width="12.7109375" collapsed="true"/>
    <col min="5" max="5" bestFit="true" customWidth="true" style="47" width="94.7109375" collapsed="true"/>
  </cols>
  <sheetData>
    <row r="1" spans="1:5" x14ac:dyDescent="0.25">
      <c r="A1" t="s">
        <v>141</v>
      </c>
      <c r="B1" t="s">
        <v>142</v>
      </c>
      <c r="E1" s="47" t="s">
        <v>143</v>
      </c>
    </row>
    <row r="2" spans="1:5" x14ac:dyDescent="0.2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2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2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2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2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2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2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2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2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2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2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2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2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2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2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2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2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2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2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2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2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2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2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2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2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2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2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2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2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2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2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2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2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2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2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2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2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2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2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2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25">
      <c r="A42">
        <v>50</v>
      </c>
      <c r="B42" t="s">
        <v>108</v>
      </c>
      <c r="C42" t="s">
        <v>67</v>
      </c>
      <c r="D42">
        <v>0.33566647407</v>
      </c>
    </row>
    <row r="43" spans="1:5" x14ac:dyDescent="0.2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2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2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2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2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2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2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2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2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2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2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2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2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2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2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2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2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2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2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2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2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2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2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2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2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2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2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2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2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2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2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25">
      <c r="A74">
        <v>98</v>
      </c>
      <c r="B74" t="s">
        <v>140</v>
      </c>
      <c r="C74" t="s">
        <v>104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384"/>
  <sheetViews>
    <sheetView workbookViewId="0">
      <selection activeCell="A8" sqref="A8:K384"/>
    </sheetView>
  </sheetViews>
  <sheetFormatPr defaultRowHeight="15" x14ac:dyDescent="0.25"/>
  <sheetData>
    <row r="1" spans="1:11" x14ac:dyDescent="0.25">
      <c r="A1" s="93" t="s">
        <v>246</v>
      </c>
      <c r="B1" s="94"/>
      <c r="C1" s="94"/>
      <c r="D1" s="94"/>
      <c r="E1" s="94"/>
      <c r="F1" s="94"/>
      <c r="G1" s="94"/>
      <c r="H1" s="94" t="s">
        <v>252</v>
      </c>
      <c r="I1" s="94"/>
      <c r="J1" s="94"/>
      <c r="K1" s="94"/>
    </row>
    <row r="2" spans="1:11" x14ac:dyDescent="0.25">
      <c r="A2" s="94">
        <v>1</v>
      </c>
      <c r="B2" s="94" t="s">
        <v>273</v>
      </c>
      <c r="C2" s="94"/>
      <c r="D2" s="94"/>
      <c r="E2" s="94"/>
      <c r="F2" s="94"/>
      <c r="G2" s="94"/>
      <c r="H2" s="94"/>
      <c r="I2" s="94"/>
      <c r="J2" s="94"/>
      <c r="K2" s="94"/>
    </row>
    <row r="3" spans="1:11" x14ac:dyDescent="0.25">
      <c r="A3" s="94">
        <v>2</v>
      </c>
      <c r="B3" s="94" t="s">
        <v>247</v>
      </c>
      <c r="C3" s="94"/>
      <c r="D3" s="94"/>
      <c r="E3" s="94"/>
      <c r="F3" s="94"/>
      <c r="G3" s="94"/>
      <c r="H3" s="94"/>
      <c r="I3" s="94"/>
      <c r="J3" s="94"/>
      <c r="K3" s="94"/>
    </row>
    <row r="4" spans="1:11" x14ac:dyDescent="0.25">
      <c r="A4" s="94">
        <v>3</v>
      </c>
      <c r="B4" s="94" t="s">
        <v>249</v>
      </c>
      <c r="C4" s="94"/>
      <c r="D4" s="94"/>
      <c r="E4" s="94"/>
      <c r="F4" s="94"/>
      <c r="G4" s="94"/>
      <c r="H4" s="94"/>
      <c r="I4" s="94"/>
      <c r="J4" s="94"/>
      <c r="K4" s="94"/>
    </row>
    <row r="5" spans="1:11" x14ac:dyDescent="0.25">
      <c r="A5" s="94">
        <v>4</v>
      </c>
      <c r="B5" s="94" t="s">
        <v>248</v>
      </c>
      <c r="C5" s="94"/>
      <c r="D5" s="94"/>
      <c r="E5" s="94"/>
      <c r="F5" s="94"/>
      <c r="G5" s="94"/>
      <c r="H5" s="94"/>
      <c r="I5" s="94"/>
      <c r="J5" s="94"/>
      <c r="K5" s="94"/>
    </row>
    <row r="6" spans="1:11" x14ac:dyDescent="0.2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</row>
    <row r="8" spans="1:11" x14ac:dyDescent="0.25">
      <c r="A8" t="s">
        <v>238</v>
      </c>
      <c r="B8" t="s">
        <v>239</v>
      </c>
    </row>
    <row r="9" spans="1:11" x14ac:dyDescent="0.25">
      <c r="A9" t="s">
        <v>240</v>
      </c>
      <c r="B9" t="s">
        <v>241</v>
      </c>
      <c r="C9" t="s">
        <v>242</v>
      </c>
      <c r="D9" t="s">
        <v>243</v>
      </c>
      <c r="E9">
        <v>4</v>
      </c>
      <c r="F9" s="52">
        <v>0.6428935185185185</v>
      </c>
      <c r="G9" t="s">
        <v>244</v>
      </c>
      <c r="H9">
        <v>17</v>
      </c>
      <c r="I9" t="s">
        <v>274</v>
      </c>
      <c r="J9">
        <v>16</v>
      </c>
    </row>
    <row r="10" spans="1:11" x14ac:dyDescent="0.25">
      <c r="A10" t="s">
        <v>245</v>
      </c>
    </row>
    <row r="11" spans="1:11" x14ac:dyDescent="0.2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1" x14ac:dyDescent="0.25">
      <c r="B12">
        <v>2</v>
      </c>
      <c r="C12" t="s">
        <v>68</v>
      </c>
      <c r="D12" t="s">
        <v>104</v>
      </c>
      <c r="E12">
        <v>2.14949839843</v>
      </c>
      <c r="F12" s="46">
        <v>7.7115322767800004E-2</v>
      </c>
    </row>
    <row r="13" spans="1:11" x14ac:dyDescent="0.25">
      <c r="B13">
        <v>3</v>
      </c>
      <c r="C13" t="s">
        <v>69</v>
      </c>
      <c r="D13" t="s">
        <v>104</v>
      </c>
      <c r="E13">
        <v>1.88565401973</v>
      </c>
      <c r="F13">
        <v>0.16285990155499999</v>
      </c>
    </row>
    <row r="14" spans="1:11" x14ac:dyDescent="0.25">
      <c r="B14">
        <v>4</v>
      </c>
      <c r="C14" t="s">
        <v>70</v>
      </c>
      <c r="D14" t="s">
        <v>104</v>
      </c>
      <c r="E14">
        <v>1.8034780813</v>
      </c>
      <c r="F14">
        <v>0.34068447560999998</v>
      </c>
    </row>
    <row r="15" spans="1:11" x14ac:dyDescent="0.2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1" x14ac:dyDescent="0.25">
      <c r="B16">
        <v>6</v>
      </c>
      <c r="C16" t="s">
        <v>72</v>
      </c>
      <c r="D16" t="s">
        <v>104</v>
      </c>
      <c r="E16">
        <v>1.1024115210600001</v>
      </c>
      <c r="F16">
        <v>0.31454809644199999</v>
      </c>
    </row>
    <row r="17" spans="2:6" x14ac:dyDescent="0.25">
      <c r="B17">
        <v>7</v>
      </c>
      <c r="C17" t="s">
        <v>73</v>
      </c>
      <c r="D17" t="s">
        <v>104</v>
      </c>
      <c r="E17">
        <v>-0.11176778012499999</v>
      </c>
      <c r="F17" s="46">
        <v>9.7981681049500002E-2</v>
      </c>
    </row>
    <row r="18" spans="2:6" x14ac:dyDescent="0.25">
      <c r="B18">
        <v>8</v>
      </c>
      <c r="C18" t="s">
        <v>74</v>
      </c>
      <c r="D18" t="s">
        <v>104</v>
      </c>
      <c r="E18">
        <v>-0.16334177843100001</v>
      </c>
      <c r="F18" s="46">
        <v>3.9552209665100001E-2</v>
      </c>
    </row>
    <row r="19" spans="2:6" x14ac:dyDescent="0.25">
      <c r="B19">
        <v>9</v>
      </c>
      <c r="C19" t="s">
        <v>75</v>
      </c>
      <c r="D19" t="s">
        <v>104</v>
      </c>
      <c r="E19">
        <v>-1.5661461968899999</v>
      </c>
      <c r="F19">
        <v>0.23693505920999999</v>
      </c>
    </row>
    <row r="20" spans="2:6" x14ac:dyDescent="0.25">
      <c r="B20">
        <v>10</v>
      </c>
      <c r="C20" t="s">
        <v>76</v>
      </c>
      <c r="D20" t="s">
        <v>104</v>
      </c>
      <c r="E20">
        <v>-0.66779675448800002</v>
      </c>
      <c r="F20">
        <v>0.48175390663399997</v>
      </c>
    </row>
    <row r="21" spans="2:6" x14ac:dyDescent="0.25">
      <c r="B21">
        <v>11</v>
      </c>
      <c r="C21" t="s">
        <v>77</v>
      </c>
      <c r="D21" t="s">
        <v>104</v>
      </c>
      <c r="E21">
        <v>1.5169080773200001</v>
      </c>
      <c r="F21">
        <v>0.35499934743799999</v>
      </c>
    </row>
    <row r="22" spans="2:6" x14ac:dyDescent="0.25">
      <c r="B22">
        <v>12</v>
      </c>
      <c r="C22" t="s">
        <v>78</v>
      </c>
      <c r="D22" t="s">
        <v>104</v>
      </c>
      <c r="E22" s="46">
        <v>9.6281119029700005E-2</v>
      </c>
      <c r="F22">
        <v>0.102005886659</v>
      </c>
    </row>
    <row r="23" spans="2:6" x14ac:dyDescent="0.25">
      <c r="B23">
        <v>13</v>
      </c>
      <c r="C23" t="s">
        <v>79</v>
      </c>
      <c r="D23" t="s">
        <v>104</v>
      </c>
      <c r="E23" s="46">
        <v>8.7280108952199995E-2</v>
      </c>
      <c r="F23">
        <v>0.10421138110600001</v>
      </c>
    </row>
    <row r="24" spans="2:6" x14ac:dyDescent="0.25">
      <c r="B24">
        <v>14</v>
      </c>
      <c r="C24" t="s">
        <v>80</v>
      </c>
      <c r="D24" t="s">
        <v>104</v>
      </c>
      <c r="E24">
        <v>-0.65321648326299997</v>
      </c>
      <c r="F24" s="46">
        <v>7.7963941319299998E-2</v>
      </c>
    </row>
    <row r="25" spans="2:6" x14ac:dyDescent="0.25">
      <c r="B25">
        <v>15</v>
      </c>
      <c r="C25" t="s">
        <v>81</v>
      </c>
      <c r="D25" t="s">
        <v>104</v>
      </c>
      <c r="E25">
        <v>-2.0836558474400002</v>
      </c>
      <c r="F25">
        <v>0.37863759926899998</v>
      </c>
    </row>
    <row r="26" spans="2:6" x14ac:dyDescent="0.25">
      <c r="B26">
        <v>16</v>
      </c>
      <c r="C26" t="s">
        <v>82</v>
      </c>
      <c r="D26" t="s">
        <v>104</v>
      </c>
      <c r="E26">
        <v>0.12841955786000001</v>
      </c>
      <c r="F26" s="46">
        <v>2.1456890215E-2</v>
      </c>
    </row>
    <row r="27" spans="2:6" x14ac:dyDescent="0.25">
      <c r="B27">
        <v>17</v>
      </c>
      <c r="C27" t="s">
        <v>83</v>
      </c>
      <c r="D27" t="s">
        <v>104</v>
      </c>
      <c r="E27" s="46">
        <v>5.0032634056299999E-2</v>
      </c>
      <c r="F27" s="46">
        <v>4.2615204630999999E-2</v>
      </c>
    </row>
    <row r="28" spans="2:6" x14ac:dyDescent="0.25">
      <c r="B28">
        <v>18</v>
      </c>
      <c r="C28" t="s">
        <v>84</v>
      </c>
      <c r="D28" t="s">
        <v>104</v>
      </c>
      <c r="E28" s="46">
        <v>3.4162126485399999E-2</v>
      </c>
      <c r="F28" s="46">
        <v>9.9959041173699997E-2</v>
      </c>
    </row>
    <row r="29" spans="2:6" x14ac:dyDescent="0.25">
      <c r="B29">
        <v>19</v>
      </c>
      <c r="C29" t="s">
        <v>85</v>
      </c>
      <c r="D29" t="s">
        <v>104</v>
      </c>
      <c r="E29" s="46">
        <v>2.06192780063E-2</v>
      </c>
      <c r="F29" s="46">
        <v>9.8092327791799994E-3</v>
      </c>
    </row>
    <row r="30" spans="2:6" x14ac:dyDescent="0.25">
      <c r="B30">
        <v>20</v>
      </c>
      <c r="C30" t="s">
        <v>86</v>
      </c>
      <c r="D30" t="s">
        <v>104</v>
      </c>
      <c r="E30">
        <v>0.70980117649899999</v>
      </c>
      <c r="F30">
        <v>0.176757252532</v>
      </c>
    </row>
    <row r="31" spans="2:6" x14ac:dyDescent="0.25">
      <c r="B31">
        <v>21</v>
      </c>
      <c r="C31" t="s">
        <v>87</v>
      </c>
      <c r="D31" t="s">
        <v>104</v>
      </c>
      <c r="E31">
        <v>-0.21233099600700001</v>
      </c>
      <c r="F31" s="46">
        <v>1.9353983747500001E-2</v>
      </c>
    </row>
    <row r="32" spans="2:6" x14ac:dyDescent="0.25">
      <c r="B32">
        <v>22</v>
      </c>
      <c r="C32" t="s">
        <v>88</v>
      </c>
      <c r="D32" t="s">
        <v>104</v>
      </c>
      <c r="E32">
        <v>-0.100909331694</v>
      </c>
      <c r="F32" s="46">
        <v>1.1473315894699999E-2</v>
      </c>
    </row>
    <row r="33" spans="2:6" x14ac:dyDescent="0.25">
      <c r="B33">
        <v>23</v>
      </c>
      <c r="C33" t="s">
        <v>89</v>
      </c>
      <c r="D33" t="s">
        <v>104</v>
      </c>
      <c r="E33" s="46">
        <v>4.2307356465000001E-2</v>
      </c>
      <c r="F33" s="46">
        <v>1.5185014739E-2</v>
      </c>
    </row>
    <row r="34" spans="2:6" x14ac:dyDescent="0.25">
      <c r="B34">
        <v>24</v>
      </c>
      <c r="C34" t="s">
        <v>90</v>
      </c>
      <c r="D34" t="s">
        <v>104</v>
      </c>
      <c r="E34" s="46">
        <v>3.0386300234600001E-2</v>
      </c>
      <c r="F34" s="46">
        <v>8.9883518361399996E-3</v>
      </c>
    </row>
    <row r="35" spans="2:6" x14ac:dyDescent="0.25">
      <c r="B35">
        <v>25</v>
      </c>
      <c r="C35" t="s">
        <v>91</v>
      </c>
      <c r="D35" t="s">
        <v>104</v>
      </c>
      <c r="E35">
        <v>0.21754461703899999</v>
      </c>
      <c r="F35" s="46">
        <v>1.6650153237899999E-2</v>
      </c>
    </row>
    <row r="36" spans="2:6" x14ac:dyDescent="0.25">
      <c r="B36">
        <v>26</v>
      </c>
      <c r="C36" t="s">
        <v>92</v>
      </c>
      <c r="D36" t="s">
        <v>67</v>
      </c>
      <c r="E36" s="46">
        <v>0</v>
      </c>
      <c r="F36">
        <v>0</v>
      </c>
    </row>
    <row r="37" spans="2:6" x14ac:dyDescent="0.25">
      <c r="B37">
        <v>27</v>
      </c>
      <c r="C37" t="s">
        <v>93</v>
      </c>
      <c r="D37" t="s">
        <v>104</v>
      </c>
      <c r="E37" s="46">
        <v>-9.1127176217099995E-2</v>
      </c>
      <c r="F37" s="46">
        <v>9.7375126102199998E-3</v>
      </c>
    </row>
    <row r="38" spans="2:6" x14ac:dyDescent="0.25">
      <c r="B38">
        <v>28</v>
      </c>
      <c r="C38" t="s">
        <v>94</v>
      </c>
      <c r="D38" t="s">
        <v>104</v>
      </c>
      <c r="E38" s="46">
        <v>4.6096337213499997E-2</v>
      </c>
      <c r="F38" s="46">
        <v>1.25146167715E-2</v>
      </c>
    </row>
    <row r="39" spans="2:6" x14ac:dyDescent="0.25">
      <c r="B39">
        <v>29</v>
      </c>
      <c r="C39" t="s">
        <v>95</v>
      </c>
      <c r="D39" t="s">
        <v>67</v>
      </c>
      <c r="E39" s="46">
        <v>0</v>
      </c>
      <c r="F39">
        <v>0</v>
      </c>
    </row>
    <row r="40" spans="2:6" x14ac:dyDescent="0.25">
      <c r="B40">
        <v>30</v>
      </c>
      <c r="C40" t="s">
        <v>96</v>
      </c>
      <c r="D40" t="s">
        <v>104</v>
      </c>
      <c r="E40" s="46">
        <v>-6.3121901013000001E-3</v>
      </c>
      <c r="F40" s="46">
        <v>1.3433361568100001E-2</v>
      </c>
    </row>
    <row r="41" spans="2:6" x14ac:dyDescent="0.25">
      <c r="B41">
        <v>31</v>
      </c>
      <c r="C41" t="s">
        <v>97</v>
      </c>
      <c r="D41" t="s">
        <v>104</v>
      </c>
      <c r="E41">
        <v>-0.13401376001099999</v>
      </c>
      <c r="F41" s="46">
        <v>3.2805316376899998E-2</v>
      </c>
    </row>
    <row r="42" spans="2:6" x14ac:dyDescent="0.25">
      <c r="B42">
        <v>32</v>
      </c>
      <c r="C42" t="s">
        <v>98</v>
      </c>
      <c r="D42" t="s">
        <v>104</v>
      </c>
      <c r="E42">
        <v>0.15253604736900001</v>
      </c>
      <c r="F42" s="46">
        <v>7.5511377294200002E-2</v>
      </c>
    </row>
    <row r="43" spans="2:6" x14ac:dyDescent="0.25">
      <c r="B43">
        <v>33</v>
      </c>
      <c r="C43" t="s">
        <v>99</v>
      </c>
      <c r="D43" t="s">
        <v>104</v>
      </c>
      <c r="E43">
        <v>-0.25509812605400001</v>
      </c>
      <c r="F43" s="46">
        <v>6.5826297234800005E-2</v>
      </c>
    </row>
    <row r="44" spans="2:6" x14ac:dyDescent="0.25">
      <c r="B44">
        <v>34</v>
      </c>
      <c r="C44" t="s">
        <v>100</v>
      </c>
      <c r="D44" t="s">
        <v>104</v>
      </c>
      <c r="E44">
        <v>0.16041234343999999</v>
      </c>
      <c r="F44" s="46">
        <v>1.9770755277699999E-2</v>
      </c>
    </row>
    <row r="45" spans="2:6" x14ac:dyDescent="0.25">
      <c r="B45">
        <v>35</v>
      </c>
      <c r="C45" t="s">
        <v>101</v>
      </c>
      <c r="D45" t="s">
        <v>104</v>
      </c>
      <c r="E45">
        <v>0.15648588405700001</v>
      </c>
      <c r="F45">
        <v>0.115082009539</v>
      </c>
    </row>
    <row r="46" spans="2:6" x14ac:dyDescent="0.25">
      <c r="B46">
        <v>36</v>
      </c>
      <c r="C46" t="s">
        <v>102</v>
      </c>
      <c r="D46" t="s">
        <v>104</v>
      </c>
      <c r="E46">
        <v>-0.21178599557</v>
      </c>
      <c r="F46">
        <v>0.18110958745799999</v>
      </c>
    </row>
    <row r="47" spans="2:6" x14ac:dyDescent="0.25">
      <c r="B47">
        <v>41</v>
      </c>
      <c r="C47" t="s">
        <v>103</v>
      </c>
      <c r="D47" t="s">
        <v>67</v>
      </c>
      <c r="E47">
        <v>2.5</v>
      </c>
      <c r="F47">
        <v>0</v>
      </c>
    </row>
    <row r="48" spans="2:6" x14ac:dyDescent="0.25">
      <c r="B48">
        <v>42</v>
      </c>
      <c r="C48" t="s">
        <v>105</v>
      </c>
      <c r="D48" t="s">
        <v>104</v>
      </c>
      <c r="E48">
        <v>1.73714658904</v>
      </c>
      <c r="F48">
        <v>1.33079998673</v>
      </c>
    </row>
    <row r="49" spans="2:6" x14ac:dyDescent="0.25">
      <c r="B49">
        <v>43</v>
      </c>
      <c r="C49" t="s">
        <v>106</v>
      </c>
      <c r="D49" t="s">
        <v>104</v>
      </c>
      <c r="E49">
        <v>2.4212998718800001</v>
      </c>
      <c r="F49">
        <v>2.1916922222199999</v>
      </c>
    </row>
    <row r="50" spans="2:6" x14ac:dyDescent="0.25">
      <c r="B50">
        <v>44</v>
      </c>
      <c r="C50" t="s">
        <v>107</v>
      </c>
      <c r="D50" t="s">
        <v>104</v>
      </c>
      <c r="E50">
        <v>-0.66840803487400002</v>
      </c>
      <c r="F50">
        <v>1.2346475111999999</v>
      </c>
    </row>
    <row r="51" spans="2:6" x14ac:dyDescent="0.25">
      <c r="B51">
        <v>46</v>
      </c>
      <c r="C51" t="s">
        <v>275</v>
      </c>
      <c r="D51" t="s">
        <v>67</v>
      </c>
      <c r="E51">
        <v>0</v>
      </c>
      <c r="F51">
        <v>0</v>
      </c>
    </row>
    <row r="52" spans="2:6" x14ac:dyDescent="0.25">
      <c r="B52">
        <v>47</v>
      </c>
      <c r="C52" t="s">
        <v>276</v>
      </c>
      <c r="D52" t="s">
        <v>67</v>
      </c>
      <c r="E52">
        <v>0</v>
      </c>
      <c r="F52">
        <v>0</v>
      </c>
    </row>
    <row r="53" spans="2:6" x14ac:dyDescent="0.25">
      <c r="B53">
        <v>48</v>
      </c>
      <c r="C53" t="s">
        <v>277</v>
      </c>
      <c r="D53" t="s">
        <v>67</v>
      </c>
      <c r="E53">
        <v>0</v>
      </c>
      <c r="F53">
        <v>0</v>
      </c>
    </row>
    <row r="54" spans="2:6" x14ac:dyDescent="0.25">
      <c r="B54">
        <v>49</v>
      </c>
      <c r="C54" t="s">
        <v>278</v>
      </c>
      <c r="D54" t="s">
        <v>104</v>
      </c>
      <c r="E54">
        <v>-4</v>
      </c>
      <c r="F54">
        <v>0.25201715741500003</v>
      </c>
    </row>
    <row r="55" spans="2:6" x14ac:dyDescent="0.25">
      <c r="B55">
        <v>50</v>
      </c>
      <c r="C55" t="s">
        <v>108</v>
      </c>
      <c r="D55" t="s">
        <v>67</v>
      </c>
      <c r="E55">
        <v>0.75</v>
      </c>
      <c r="F55">
        <v>0</v>
      </c>
    </row>
    <row r="56" spans="2:6" x14ac:dyDescent="0.25">
      <c r="B56">
        <v>51</v>
      </c>
      <c r="C56" t="s">
        <v>109</v>
      </c>
      <c r="D56" t="s">
        <v>104</v>
      </c>
      <c r="E56">
        <v>-0.49700583154299999</v>
      </c>
      <c r="F56">
        <v>0.149930588088</v>
      </c>
    </row>
    <row r="57" spans="2:6" x14ac:dyDescent="0.25">
      <c r="B57">
        <v>52</v>
      </c>
      <c r="C57" t="s">
        <v>110</v>
      </c>
      <c r="D57" t="s">
        <v>67</v>
      </c>
      <c r="E57">
        <v>0</v>
      </c>
      <c r="F57">
        <v>0</v>
      </c>
    </row>
    <row r="58" spans="2:6" x14ac:dyDescent="0.25">
      <c r="B58">
        <v>53</v>
      </c>
      <c r="C58" t="s">
        <v>111</v>
      </c>
      <c r="D58" t="s">
        <v>104</v>
      </c>
      <c r="E58">
        <v>-0.605690877287</v>
      </c>
      <c r="F58">
        <v>0.14841142226599999</v>
      </c>
    </row>
    <row r="59" spans="2:6" x14ac:dyDescent="0.25">
      <c r="B59">
        <v>54</v>
      </c>
      <c r="C59" t="s">
        <v>112</v>
      </c>
      <c r="D59" t="s">
        <v>67</v>
      </c>
      <c r="E59">
        <v>-30</v>
      </c>
      <c r="F59">
        <v>0</v>
      </c>
    </row>
    <row r="60" spans="2:6" x14ac:dyDescent="0.25">
      <c r="B60">
        <v>55</v>
      </c>
      <c r="C60" t="s">
        <v>113</v>
      </c>
      <c r="D60" t="s">
        <v>104</v>
      </c>
      <c r="E60">
        <v>-0.51316052694199998</v>
      </c>
      <c r="F60">
        <v>0.15278538077000001</v>
      </c>
    </row>
    <row r="61" spans="2:6" x14ac:dyDescent="0.25">
      <c r="B61">
        <v>56</v>
      </c>
      <c r="C61" t="s">
        <v>114</v>
      </c>
      <c r="D61" t="s">
        <v>104</v>
      </c>
      <c r="E61">
        <v>-0.64943027957999999</v>
      </c>
      <c r="F61">
        <v>0.14822211886799999</v>
      </c>
    </row>
    <row r="62" spans="2:6" x14ac:dyDescent="0.25">
      <c r="B62">
        <v>57</v>
      </c>
      <c r="C62" t="s">
        <v>115</v>
      </c>
      <c r="D62" t="s">
        <v>104</v>
      </c>
      <c r="E62">
        <v>-0.29326002292699999</v>
      </c>
      <c r="F62">
        <v>0.142056333733</v>
      </c>
    </row>
    <row r="63" spans="2:6" x14ac:dyDescent="0.25">
      <c r="B63">
        <v>58</v>
      </c>
      <c r="C63" t="s">
        <v>116</v>
      </c>
      <c r="D63" t="s">
        <v>104</v>
      </c>
      <c r="E63">
        <v>-1.5090651052799999</v>
      </c>
      <c r="F63">
        <v>0.21079562856799999</v>
      </c>
    </row>
    <row r="64" spans="2:6" x14ac:dyDescent="0.25">
      <c r="B64">
        <v>59</v>
      </c>
      <c r="C64" t="s">
        <v>117</v>
      </c>
      <c r="D64" t="s">
        <v>104</v>
      </c>
      <c r="E64">
        <v>-1.36938286579</v>
      </c>
      <c r="F64">
        <v>0.25936269265400003</v>
      </c>
    </row>
    <row r="65" spans="2:6" x14ac:dyDescent="0.25">
      <c r="B65">
        <v>60</v>
      </c>
      <c r="C65" t="s">
        <v>118</v>
      </c>
      <c r="D65" t="s">
        <v>104</v>
      </c>
      <c r="E65">
        <v>-0.93751237680199995</v>
      </c>
      <c r="F65">
        <v>0.57435805220699998</v>
      </c>
    </row>
    <row r="66" spans="2:6" x14ac:dyDescent="0.25">
      <c r="B66">
        <v>61</v>
      </c>
      <c r="C66" t="s">
        <v>119</v>
      </c>
      <c r="D66" t="s">
        <v>104</v>
      </c>
      <c r="E66">
        <v>-0.92340114333900003</v>
      </c>
      <c r="F66">
        <v>0.19044677629599999</v>
      </c>
    </row>
    <row r="67" spans="2:6" x14ac:dyDescent="0.25">
      <c r="B67">
        <v>62</v>
      </c>
      <c r="C67" t="s">
        <v>120</v>
      </c>
      <c r="D67" t="s">
        <v>67</v>
      </c>
      <c r="E67">
        <v>-30</v>
      </c>
      <c r="F67">
        <v>0</v>
      </c>
    </row>
    <row r="68" spans="2:6" x14ac:dyDescent="0.25">
      <c r="B68">
        <v>63</v>
      </c>
      <c r="C68" t="s">
        <v>121</v>
      </c>
      <c r="D68" t="s">
        <v>67</v>
      </c>
      <c r="E68">
        <v>-3</v>
      </c>
      <c r="F68">
        <v>0</v>
      </c>
    </row>
    <row r="69" spans="2:6" x14ac:dyDescent="0.25">
      <c r="B69">
        <v>64</v>
      </c>
      <c r="C69" t="s">
        <v>122</v>
      </c>
      <c r="D69" t="s">
        <v>104</v>
      </c>
      <c r="E69">
        <v>-2.1492277890199998</v>
      </c>
      <c r="F69">
        <v>2.85231408871</v>
      </c>
    </row>
    <row r="70" spans="2:6" x14ac:dyDescent="0.25">
      <c r="B70">
        <v>65</v>
      </c>
      <c r="C70" t="s">
        <v>123</v>
      </c>
      <c r="D70" t="s">
        <v>67</v>
      </c>
      <c r="E70">
        <v>-19.9689285352</v>
      </c>
      <c r="F70">
        <v>0</v>
      </c>
    </row>
    <row r="71" spans="2:6" x14ac:dyDescent="0.25">
      <c r="B71">
        <v>66</v>
      </c>
      <c r="C71" t="s">
        <v>124</v>
      </c>
      <c r="D71" t="s">
        <v>104</v>
      </c>
      <c r="E71">
        <v>-0.46116498409599999</v>
      </c>
      <c r="F71">
        <v>0.27821786892</v>
      </c>
    </row>
    <row r="72" spans="2:6" x14ac:dyDescent="0.25">
      <c r="B72">
        <v>67</v>
      </c>
      <c r="C72" t="s">
        <v>125</v>
      </c>
      <c r="D72" t="s">
        <v>104</v>
      </c>
      <c r="E72">
        <v>-0.79765455241399996</v>
      </c>
      <c r="F72">
        <v>0.39838437241199998</v>
      </c>
    </row>
    <row r="73" spans="2:6" x14ac:dyDescent="0.25">
      <c r="B73">
        <v>68</v>
      </c>
      <c r="C73" t="s">
        <v>126</v>
      </c>
      <c r="D73" t="s">
        <v>67</v>
      </c>
      <c r="E73">
        <v>-14.701499999999999</v>
      </c>
      <c r="F73">
        <v>0</v>
      </c>
    </row>
    <row r="74" spans="2:6" x14ac:dyDescent="0.25">
      <c r="B74">
        <v>69</v>
      </c>
      <c r="C74" t="s">
        <v>127</v>
      </c>
      <c r="D74" t="s">
        <v>104</v>
      </c>
      <c r="E74">
        <v>-1.5107843774800001</v>
      </c>
      <c r="F74">
        <v>0.55745234123999998</v>
      </c>
    </row>
    <row r="75" spans="2:6" x14ac:dyDescent="0.25">
      <c r="B75">
        <v>70</v>
      </c>
      <c r="C75" t="s">
        <v>128</v>
      </c>
      <c r="D75" t="s">
        <v>104</v>
      </c>
      <c r="E75">
        <v>-0.96563188399400002</v>
      </c>
      <c r="F75">
        <v>0.57343842027500003</v>
      </c>
    </row>
    <row r="76" spans="2:6" x14ac:dyDescent="0.25">
      <c r="B76">
        <v>71</v>
      </c>
      <c r="C76" t="s">
        <v>129</v>
      </c>
      <c r="D76" t="s">
        <v>104</v>
      </c>
      <c r="E76">
        <v>-26.857069753499999</v>
      </c>
      <c r="F76">
        <v>498365.11683299998</v>
      </c>
    </row>
    <row r="77" spans="2:6" x14ac:dyDescent="0.25">
      <c r="B77">
        <v>72</v>
      </c>
      <c r="C77" t="s">
        <v>130</v>
      </c>
      <c r="D77" t="s">
        <v>104</v>
      </c>
      <c r="E77">
        <v>-2.0562930258900001</v>
      </c>
      <c r="F77">
        <v>0.95427509505599994</v>
      </c>
    </row>
    <row r="78" spans="2:6" x14ac:dyDescent="0.25">
      <c r="B78">
        <v>73</v>
      </c>
      <c r="C78" t="s">
        <v>131</v>
      </c>
      <c r="D78" t="s">
        <v>104</v>
      </c>
      <c r="E78">
        <v>-0.61032158496099997</v>
      </c>
      <c r="F78">
        <v>0.25296368500799998</v>
      </c>
    </row>
    <row r="79" spans="2:6" x14ac:dyDescent="0.25">
      <c r="B79">
        <v>74</v>
      </c>
      <c r="C79" t="s">
        <v>132</v>
      </c>
      <c r="D79" t="s">
        <v>104</v>
      </c>
      <c r="E79">
        <v>-0.83667988805899995</v>
      </c>
      <c r="F79">
        <v>0.61650878029400003</v>
      </c>
    </row>
    <row r="80" spans="2:6" x14ac:dyDescent="0.25">
      <c r="B80">
        <v>75</v>
      </c>
      <c r="C80" t="s">
        <v>133</v>
      </c>
      <c r="D80" t="s">
        <v>67</v>
      </c>
      <c r="E80">
        <v>-4.8688475256299997</v>
      </c>
      <c r="F80">
        <v>0</v>
      </c>
    </row>
    <row r="81" spans="2:11" x14ac:dyDescent="0.25">
      <c r="B81">
        <v>76</v>
      </c>
      <c r="C81" t="s">
        <v>134</v>
      </c>
      <c r="D81" t="s">
        <v>104</v>
      </c>
      <c r="E81">
        <v>-0.88437463824600004</v>
      </c>
      <c r="F81">
        <v>0.57061666079700002</v>
      </c>
    </row>
    <row r="82" spans="2:11" x14ac:dyDescent="0.25">
      <c r="B82">
        <v>77</v>
      </c>
      <c r="C82" t="s">
        <v>135</v>
      </c>
      <c r="D82" t="s">
        <v>67</v>
      </c>
      <c r="E82">
        <v>-11.698399999999999</v>
      </c>
      <c r="F82" s="46">
        <v>0</v>
      </c>
    </row>
    <row r="83" spans="2:11" x14ac:dyDescent="0.25">
      <c r="B83">
        <v>78</v>
      </c>
      <c r="C83" t="s">
        <v>136</v>
      </c>
      <c r="D83" t="s">
        <v>104</v>
      </c>
      <c r="E83">
        <v>-30.3398858485</v>
      </c>
      <c r="F83" s="46">
        <v>2677474.7792199999</v>
      </c>
    </row>
    <row r="84" spans="2:11" x14ac:dyDescent="0.25">
      <c r="B84">
        <v>79</v>
      </c>
      <c r="C84" s="46" t="s">
        <v>137</v>
      </c>
      <c r="D84" s="46" t="s">
        <v>104</v>
      </c>
      <c r="E84" s="46">
        <v>1.40262934456</v>
      </c>
      <c r="F84">
        <v>0.81693056553200005</v>
      </c>
    </row>
    <row r="85" spans="2:11" x14ac:dyDescent="0.25">
      <c r="B85">
        <v>80</v>
      </c>
      <c r="C85" s="46" t="s">
        <v>138</v>
      </c>
      <c r="D85" s="46" t="s">
        <v>67</v>
      </c>
      <c r="E85" s="46">
        <v>0</v>
      </c>
      <c r="F85">
        <v>0</v>
      </c>
    </row>
    <row r="86" spans="2:11" x14ac:dyDescent="0.25">
      <c r="B86">
        <v>89</v>
      </c>
      <c r="C86" t="s">
        <v>279</v>
      </c>
      <c r="D86" t="s">
        <v>67</v>
      </c>
      <c r="E86">
        <v>0</v>
      </c>
      <c r="F86">
        <v>0</v>
      </c>
    </row>
    <row r="87" spans="2:11" x14ac:dyDescent="0.25">
      <c r="B87">
        <v>90</v>
      </c>
      <c r="C87" t="s">
        <v>139</v>
      </c>
      <c r="D87" t="s">
        <v>67</v>
      </c>
      <c r="E87">
        <v>-80</v>
      </c>
      <c r="F87">
        <v>0</v>
      </c>
    </row>
    <row r="88" spans="2:11" x14ac:dyDescent="0.25">
      <c r="B88">
        <v>98</v>
      </c>
      <c r="C88" t="s">
        <v>140</v>
      </c>
      <c r="D88" t="s">
        <v>104</v>
      </c>
      <c r="E88">
        <v>0.247098934499</v>
      </c>
      <c r="F88" s="46">
        <v>1.1983457610600001E-2</v>
      </c>
    </row>
    <row r="89" spans="2:11" x14ac:dyDescent="0.25">
      <c r="B89">
        <v>-1</v>
      </c>
    </row>
    <row r="90" spans="2:11" x14ac:dyDescent="0.25">
      <c r="B90">
        <v>6113</v>
      </c>
      <c r="C90" s="46">
        <v>-5476.7195856300004</v>
      </c>
      <c r="D90" s="46">
        <v>-20880.426957600001</v>
      </c>
      <c r="E90" s="46">
        <v>-18524.231565999999</v>
      </c>
    </row>
    <row r="91" spans="2:11" x14ac:dyDescent="0.25">
      <c r="B91">
        <v>3</v>
      </c>
      <c r="C91" t="s">
        <v>280</v>
      </c>
      <c r="D91" t="s">
        <v>244</v>
      </c>
      <c r="E91">
        <v>17</v>
      </c>
      <c r="F91" t="s">
        <v>274</v>
      </c>
      <c r="G91">
        <v>16</v>
      </c>
    </row>
    <row r="92" spans="2:11" x14ac:dyDescent="0.25">
      <c r="B92">
        <v>0</v>
      </c>
      <c r="C92">
        <v>0</v>
      </c>
      <c r="D92">
        <v>1895</v>
      </c>
      <c r="E92">
        <v>0</v>
      </c>
      <c r="F92">
        <v>987</v>
      </c>
      <c r="G92">
        <v>969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65537</v>
      </c>
      <c r="D93">
        <v>1356</v>
      </c>
      <c r="E93">
        <v>683</v>
      </c>
      <c r="F93">
        <v>0</v>
      </c>
      <c r="G93">
        <v>0</v>
      </c>
      <c r="H93">
        <v>38924</v>
      </c>
      <c r="I93">
        <v>1750</v>
      </c>
      <c r="J93">
        <v>576</v>
      </c>
      <c r="K93">
        <v>0</v>
      </c>
    </row>
    <row r="94" spans="2:11" x14ac:dyDescent="0.25">
      <c r="B94">
        <v>-4790</v>
      </c>
      <c r="C94">
        <v>0</v>
      </c>
      <c r="D94">
        <v>72362</v>
      </c>
      <c r="E94">
        <v>2471</v>
      </c>
      <c r="F94">
        <v>922</v>
      </c>
      <c r="G94">
        <v>0</v>
      </c>
      <c r="H94">
        <v>55152</v>
      </c>
      <c r="I94">
        <v>14173</v>
      </c>
      <c r="J94">
        <v>0</v>
      </c>
      <c r="K94">
        <v>2637</v>
      </c>
    </row>
    <row r="95" spans="2:11" x14ac:dyDescent="0.25">
      <c r="B95">
        <v>85395</v>
      </c>
      <c r="C95">
        <v>906</v>
      </c>
      <c r="D95">
        <v>0</v>
      </c>
      <c r="E95">
        <v>4669</v>
      </c>
      <c r="F95">
        <v>10810</v>
      </c>
      <c r="G95">
        <v>9905</v>
      </c>
      <c r="H95">
        <v>0</v>
      </c>
      <c r="I95">
        <v>1032</v>
      </c>
      <c r="J95">
        <v>941</v>
      </c>
      <c r="K95">
        <v>87999</v>
      </c>
    </row>
    <row r="96" spans="2:11" x14ac:dyDescent="0.25">
      <c r="B96">
        <v>0</v>
      </c>
      <c r="C96">
        <v>1782</v>
      </c>
      <c r="D96">
        <v>3971</v>
      </c>
      <c r="E96">
        <v>3918</v>
      </c>
      <c r="F96">
        <v>3363</v>
      </c>
      <c r="G96">
        <v>0</v>
      </c>
      <c r="H96">
        <v>5537</v>
      </c>
      <c r="I96">
        <v>9476</v>
      </c>
      <c r="J96">
        <v>5235</v>
      </c>
      <c r="K96">
        <v>0</v>
      </c>
    </row>
    <row r="97" spans="2:11" x14ac:dyDescent="0.25">
      <c r="B97">
        <v>1474</v>
      </c>
      <c r="C97">
        <v>-1793</v>
      </c>
      <c r="D97">
        <v>1506</v>
      </c>
      <c r="E97">
        <v>1525</v>
      </c>
      <c r="F97">
        <v>1612</v>
      </c>
      <c r="G97">
        <v>0</v>
      </c>
      <c r="H97">
        <v>2238</v>
      </c>
      <c r="I97">
        <v>-504</v>
      </c>
      <c r="J97">
        <v>-229</v>
      </c>
      <c r="K97">
        <v>0</v>
      </c>
    </row>
    <row r="98" spans="2:11" x14ac:dyDescent="0.25">
      <c r="B98">
        <v>-3487</v>
      </c>
      <c r="C98">
        <v>-13459</v>
      </c>
      <c r="D98">
        <v>-14671</v>
      </c>
      <c r="E98">
        <v>-8701</v>
      </c>
      <c r="F98">
        <v>-4571</v>
      </c>
      <c r="G98">
        <v>6311</v>
      </c>
      <c r="H98">
        <v>0</v>
      </c>
      <c r="I98">
        <v>-310</v>
      </c>
      <c r="J98">
        <v>-1531</v>
      </c>
      <c r="K98">
        <v>581</v>
      </c>
    </row>
    <row r="99" spans="2:11" x14ac:dyDescent="0.25">
      <c r="B99">
        <v>0</v>
      </c>
      <c r="C99">
        <v>-5198</v>
      </c>
      <c r="D99">
        <v>-14002</v>
      </c>
      <c r="E99">
        <v>-19352</v>
      </c>
      <c r="F99">
        <v>-10406</v>
      </c>
      <c r="G99">
        <v>-5639</v>
      </c>
      <c r="H99">
        <v>5854</v>
      </c>
      <c r="I99">
        <v>21373</v>
      </c>
      <c r="J99">
        <v>0</v>
      </c>
      <c r="K99">
        <v>-7671</v>
      </c>
    </row>
    <row r="100" spans="2:11" x14ac:dyDescent="0.25">
      <c r="B100">
        <v>-4398</v>
      </c>
      <c r="C100">
        <v>-1627</v>
      </c>
      <c r="D100">
        <v>0</v>
      </c>
      <c r="E100">
        <v>-13335</v>
      </c>
      <c r="F100">
        <v>-32051</v>
      </c>
      <c r="G100">
        <v>-24823</v>
      </c>
      <c r="H100">
        <v>-26075</v>
      </c>
      <c r="I100">
        <v>-8345</v>
      </c>
      <c r="J100">
        <v>-132</v>
      </c>
      <c r="K100">
        <v>-4609</v>
      </c>
    </row>
    <row r="101" spans="2:11" x14ac:dyDescent="0.25">
      <c r="B101">
        <v>1254</v>
      </c>
      <c r="C101">
        <v>0</v>
      </c>
      <c r="D101">
        <v>-114</v>
      </c>
      <c r="E101">
        <v>-4</v>
      </c>
      <c r="F101">
        <v>5710</v>
      </c>
      <c r="G101">
        <v>0</v>
      </c>
      <c r="H101">
        <v>62</v>
      </c>
      <c r="I101">
        <v>321</v>
      </c>
      <c r="J101">
        <v>159</v>
      </c>
      <c r="K101">
        <v>279</v>
      </c>
    </row>
    <row r="102" spans="2:11" x14ac:dyDescent="0.25">
      <c r="B102">
        <v>-3259</v>
      </c>
      <c r="C102">
        <v>-1266</v>
      </c>
      <c r="D102">
        <v>-1934</v>
      </c>
      <c r="E102">
        <v>260</v>
      </c>
      <c r="F102">
        <v>-61</v>
      </c>
      <c r="G102">
        <v>0</v>
      </c>
      <c r="H102">
        <v>11792</v>
      </c>
      <c r="I102">
        <v>2654</v>
      </c>
      <c r="J102">
        <v>694</v>
      </c>
      <c r="K102">
        <v>0</v>
      </c>
    </row>
    <row r="103" spans="2:11" x14ac:dyDescent="0.25">
      <c r="B103">
        <v>7713</v>
      </c>
      <c r="C103">
        <v>8478</v>
      </c>
      <c r="D103">
        <v>7229</v>
      </c>
      <c r="E103">
        <v>1628</v>
      </c>
      <c r="F103">
        <v>895</v>
      </c>
      <c r="G103">
        <v>2509</v>
      </c>
      <c r="H103">
        <v>1288</v>
      </c>
      <c r="I103">
        <v>-1250</v>
      </c>
      <c r="J103">
        <v>-1789</v>
      </c>
      <c r="K103">
        <v>269</v>
      </c>
    </row>
    <row r="104" spans="2:11" x14ac:dyDescent="0.25">
      <c r="B104">
        <v>0</v>
      </c>
      <c r="C104">
        <v>1939</v>
      </c>
      <c r="D104">
        <v>5942</v>
      </c>
      <c r="E104">
        <v>-613</v>
      </c>
      <c r="F104">
        <v>0</v>
      </c>
      <c r="G104">
        <v>308</v>
      </c>
      <c r="H104">
        <v>1351</v>
      </c>
      <c r="I104">
        <v>1840</v>
      </c>
      <c r="J104">
        <v>6196</v>
      </c>
      <c r="K104">
        <v>-400</v>
      </c>
    </row>
    <row r="105" spans="2:11" x14ac:dyDescent="0.25">
      <c r="B105">
        <v>1857</v>
      </c>
      <c r="C105">
        <v>-835</v>
      </c>
      <c r="D105">
        <v>-510</v>
      </c>
      <c r="E105">
        <v>-1782</v>
      </c>
      <c r="F105">
        <v>-877</v>
      </c>
      <c r="G105">
        <v>16617</v>
      </c>
      <c r="H105">
        <v>0</v>
      </c>
      <c r="I105">
        <v>240</v>
      </c>
      <c r="J105">
        <v>-303</v>
      </c>
      <c r="K105">
        <v>10391</v>
      </c>
    </row>
    <row r="106" spans="2:11" x14ac:dyDescent="0.25">
      <c r="B106">
        <v>0</v>
      </c>
      <c r="C106">
        <v>142</v>
      </c>
      <c r="D106">
        <v>433</v>
      </c>
      <c r="E106">
        <v>257</v>
      </c>
      <c r="F106">
        <v>-366</v>
      </c>
      <c r="G106">
        <v>8608</v>
      </c>
      <c r="H106">
        <v>742</v>
      </c>
      <c r="I106">
        <v>-259</v>
      </c>
      <c r="J106">
        <v>206</v>
      </c>
      <c r="K106">
        <v>-375</v>
      </c>
    </row>
    <row r="107" spans="2:11" x14ac:dyDescent="0.25">
      <c r="B107">
        <v>14553</v>
      </c>
      <c r="C107">
        <v>3942</v>
      </c>
      <c r="D107">
        <v>5144</v>
      </c>
      <c r="E107">
        <v>0</v>
      </c>
      <c r="F107">
        <v>-11981</v>
      </c>
      <c r="G107">
        <v>-1900</v>
      </c>
      <c r="H107">
        <v>-682</v>
      </c>
      <c r="I107">
        <v>0</v>
      </c>
      <c r="J107">
        <v>-8114</v>
      </c>
      <c r="K107">
        <v>-6040</v>
      </c>
    </row>
    <row r="108" spans="2:11" x14ac:dyDescent="0.25">
      <c r="B108">
        <v>-7773</v>
      </c>
      <c r="C108">
        <v>-1807</v>
      </c>
      <c r="D108">
        <v>-637</v>
      </c>
      <c r="E108">
        <v>-1147</v>
      </c>
      <c r="F108">
        <v>-298</v>
      </c>
      <c r="G108">
        <v>166</v>
      </c>
      <c r="H108">
        <v>1254</v>
      </c>
      <c r="I108">
        <v>-385</v>
      </c>
      <c r="J108">
        <v>-11054</v>
      </c>
      <c r="K108">
        <v>-4630</v>
      </c>
    </row>
    <row r="109" spans="2:11" x14ac:dyDescent="0.25">
      <c r="B109">
        <v>-1975</v>
      </c>
      <c r="C109">
        <v>0</v>
      </c>
      <c r="D109">
        <v>-578</v>
      </c>
      <c r="E109">
        <v>-1634</v>
      </c>
      <c r="F109">
        <v>-39</v>
      </c>
      <c r="G109">
        <v>0</v>
      </c>
      <c r="H109">
        <v>436</v>
      </c>
      <c r="I109">
        <v>669</v>
      </c>
      <c r="J109">
        <v>-1283</v>
      </c>
      <c r="K109">
        <v>-1335</v>
      </c>
    </row>
    <row r="110" spans="2:11" x14ac:dyDescent="0.25">
      <c r="B110">
        <v>-103</v>
      </c>
      <c r="C110">
        <v>-400</v>
      </c>
      <c r="D110">
        <v>-39</v>
      </c>
      <c r="E110">
        <v>325</v>
      </c>
      <c r="F110">
        <v>515</v>
      </c>
      <c r="G110">
        <v>1174</v>
      </c>
      <c r="H110">
        <v>-1706</v>
      </c>
      <c r="I110">
        <v>-848</v>
      </c>
      <c r="J110">
        <v>-130</v>
      </c>
      <c r="K110">
        <v>4012</v>
      </c>
    </row>
    <row r="111" spans="2:11" x14ac:dyDescent="0.25">
      <c r="B111">
        <v>0</v>
      </c>
      <c r="C111">
        <v>25</v>
      </c>
      <c r="D111">
        <v>-1</v>
      </c>
      <c r="E111">
        <v>-30</v>
      </c>
      <c r="F111">
        <v>0</v>
      </c>
      <c r="G111">
        <v>-412</v>
      </c>
      <c r="H111">
        <v>319</v>
      </c>
      <c r="I111">
        <v>-958</v>
      </c>
      <c r="J111">
        <v>555</v>
      </c>
      <c r="K111">
        <v>-82</v>
      </c>
    </row>
    <row r="112" spans="2:11" x14ac:dyDescent="0.25">
      <c r="B112">
        <v>-217</v>
      </c>
      <c r="C112">
        <v>353</v>
      </c>
      <c r="D112">
        <v>69</v>
      </c>
      <c r="E112">
        <v>88</v>
      </c>
      <c r="F112">
        <v>340</v>
      </c>
      <c r="G112">
        <v>-15038</v>
      </c>
      <c r="H112">
        <v>-2171</v>
      </c>
      <c r="I112">
        <v>-915</v>
      </c>
      <c r="J112">
        <v>-2957</v>
      </c>
      <c r="K112">
        <v>-1248</v>
      </c>
    </row>
    <row r="113" spans="2:11" x14ac:dyDescent="0.25">
      <c r="B113">
        <v>0</v>
      </c>
      <c r="C113">
        <v>-9511</v>
      </c>
      <c r="D113">
        <v>-4905</v>
      </c>
      <c r="E113">
        <v>-1760</v>
      </c>
      <c r="F113">
        <v>0</v>
      </c>
      <c r="G113">
        <v>-6472</v>
      </c>
      <c r="H113">
        <v>-1703</v>
      </c>
      <c r="I113">
        <v>-7459</v>
      </c>
      <c r="J113">
        <v>-3620</v>
      </c>
      <c r="K113">
        <v>-1524</v>
      </c>
    </row>
    <row r="114" spans="2:11" x14ac:dyDescent="0.25">
      <c r="B114">
        <v>-654</v>
      </c>
      <c r="C114">
        <v>596</v>
      </c>
      <c r="D114">
        <v>198</v>
      </c>
      <c r="E114">
        <v>888</v>
      </c>
      <c r="F114">
        <v>425</v>
      </c>
      <c r="G114">
        <v>-14423</v>
      </c>
      <c r="H114">
        <v>-8919</v>
      </c>
      <c r="I114">
        <v>-2467</v>
      </c>
      <c r="J114">
        <v>10845</v>
      </c>
      <c r="K114">
        <v>-7452</v>
      </c>
    </row>
    <row r="115" spans="2:11" x14ac:dyDescent="0.25">
      <c r="B115">
        <v>1802</v>
      </c>
      <c r="C115">
        <v>0</v>
      </c>
      <c r="D115">
        <v>-3615</v>
      </c>
      <c r="E115">
        <v>-2735</v>
      </c>
      <c r="F115">
        <v>52</v>
      </c>
      <c r="G115">
        <v>0</v>
      </c>
      <c r="H115">
        <v>-1255</v>
      </c>
      <c r="I115">
        <v>-584</v>
      </c>
      <c r="J115">
        <v>-2821</v>
      </c>
      <c r="K115">
        <v>-2030</v>
      </c>
    </row>
    <row r="116" spans="2:11" x14ac:dyDescent="0.25">
      <c r="B116">
        <v>91</v>
      </c>
      <c r="C116">
        <v>16</v>
      </c>
      <c r="D116">
        <v>1155</v>
      </c>
      <c r="E116">
        <v>646</v>
      </c>
      <c r="F116">
        <v>772</v>
      </c>
      <c r="G116">
        <v>-120</v>
      </c>
      <c r="H116">
        <v>-5165</v>
      </c>
      <c r="I116">
        <v>-5990</v>
      </c>
      <c r="J116">
        <v>4086</v>
      </c>
      <c r="K116">
        <v>128</v>
      </c>
    </row>
    <row r="117" spans="2:11" x14ac:dyDescent="0.25">
      <c r="B117">
        <v>-14301</v>
      </c>
      <c r="C117">
        <v>-32923</v>
      </c>
      <c r="D117">
        <v>-12912</v>
      </c>
      <c r="E117">
        <v>0</v>
      </c>
      <c r="F117">
        <v>580</v>
      </c>
      <c r="G117">
        <v>824</v>
      </c>
      <c r="H117">
        <v>404</v>
      </c>
      <c r="I117">
        <v>0</v>
      </c>
      <c r="J117">
        <v>571</v>
      </c>
      <c r="K117">
        <v>-1413</v>
      </c>
    </row>
    <row r="118" spans="2:11" x14ac:dyDescent="0.25">
      <c r="B118">
        <v>2034</v>
      </c>
      <c r="C118">
        <v>327</v>
      </c>
      <c r="D118">
        <v>474</v>
      </c>
      <c r="E118">
        <v>817</v>
      </c>
      <c r="F118">
        <v>1087</v>
      </c>
      <c r="G118">
        <v>853</v>
      </c>
      <c r="H118">
        <v>726</v>
      </c>
      <c r="I118">
        <v>-169</v>
      </c>
      <c r="J118">
        <v>-4345</v>
      </c>
      <c r="K118">
        <v>-3148</v>
      </c>
    </row>
    <row r="119" spans="2:11" x14ac:dyDescent="0.25">
      <c r="B119">
        <v>-2160</v>
      </c>
      <c r="C119">
        <v>-9231</v>
      </c>
      <c r="D119">
        <v>-10848</v>
      </c>
      <c r="E119">
        <v>-27564</v>
      </c>
      <c r="F119">
        <v>-4103</v>
      </c>
      <c r="G119">
        <v>-5588</v>
      </c>
      <c r="H119">
        <v>0</v>
      </c>
      <c r="I119">
        <v>7339</v>
      </c>
      <c r="J119">
        <v>1143</v>
      </c>
      <c r="K119">
        <v>284</v>
      </c>
    </row>
    <row r="120" spans="2:11" x14ac:dyDescent="0.25">
      <c r="B120">
        <v>0</v>
      </c>
      <c r="C120">
        <v>6081</v>
      </c>
      <c r="D120">
        <v>390</v>
      </c>
      <c r="E120">
        <v>5320</v>
      </c>
      <c r="F120">
        <v>740</v>
      </c>
      <c r="G120">
        <v>-506</v>
      </c>
      <c r="H120">
        <v>213</v>
      </c>
      <c r="I120">
        <v>-824</v>
      </c>
      <c r="J120">
        <v>-2441</v>
      </c>
      <c r="K120">
        <v>-1025</v>
      </c>
    </row>
    <row r="121" spans="2:11" x14ac:dyDescent="0.25">
      <c r="B121">
        <v>-1199</v>
      </c>
      <c r="C121">
        <v>-23914</v>
      </c>
      <c r="D121">
        <v>-11351</v>
      </c>
      <c r="E121">
        <v>-6503</v>
      </c>
      <c r="F121">
        <v>-1853</v>
      </c>
      <c r="G121">
        <v>-2170</v>
      </c>
      <c r="H121">
        <v>-36003</v>
      </c>
      <c r="I121">
        <v>-4342</v>
      </c>
      <c r="J121">
        <v>-19831</v>
      </c>
      <c r="K121">
        <v>-2785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412</v>
      </c>
      <c r="I124">
        <v>514</v>
      </c>
      <c r="J124">
        <v>-201</v>
      </c>
      <c r="K124">
        <v>0</v>
      </c>
    </row>
    <row r="125" spans="2:11" x14ac:dyDescent="0.25">
      <c r="B125">
        <v>4546</v>
      </c>
      <c r="C125">
        <v>1089</v>
      </c>
      <c r="D125">
        <v>2169</v>
      </c>
      <c r="E125">
        <v>1583</v>
      </c>
      <c r="F125">
        <v>396</v>
      </c>
      <c r="G125">
        <v>-296</v>
      </c>
      <c r="H125">
        <v>-216</v>
      </c>
      <c r="I125">
        <v>379</v>
      </c>
      <c r="J125">
        <v>-398</v>
      </c>
      <c r="K125">
        <v>188</v>
      </c>
    </row>
    <row r="126" spans="2:11" x14ac:dyDescent="0.25">
      <c r="B126">
        <v>-4695</v>
      </c>
      <c r="C126">
        <v>-3116</v>
      </c>
      <c r="D126">
        <v>1125</v>
      </c>
      <c r="E126">
        <v>-4795</v>
      </c>
      <c r="F126">
        <v>2243</v>
      </c>
      <c r="G126">
        <v>-34167</v>
      </c>
      <c r="H126">
        <v>-26696</v>
      </c>
      <c r="I126">
        <v>-7478</v>
      </c>
      <c r="J126">
        <v>16821</v>
      </c>
      <c r="K126">
        <v>13707</v>
      </c>
    </row>
    <row r="127" spans="2:11" x14ac:dyDescent="0.25">
      <c r="B127">
        <v>0</v>
      </c>
      <c r="C127">
        <v>0</v>
      </c>
      <c r="D127">
        <v>675</v>
      </c>
      <c r="E127">
        <v>5151</v>
      </c>
      <c r="F127">
        <v>4343</v>
      </c>
      <c r="G127">
        <v>0</v>
      </c>
      <c r="H127">
        <v>241</v>
      </c>
      <c r="I127">
        <v>282</v>
      </c>
      <c r="J127">
        <v>439</v>
      </c>
      <c r="K127">
        <v>6214</v>
      </c>
    </row>
    <row r="128" spans="2:11" x14ac:dyDescent="0.25">
      <c r="B128">
        <v>3120</v>
      </c>
      <c r="C128">
        <v>1943</v>
      </c>
      <c r="D128">
        <v>-934</v>
      </c>
      <c r="E128">
        <v>-192</v>
      </c>
      <c r="F128">
        <v>-44</v>
      </c>
      <c r="G128">
        <v>2762</v>
      </c>
      <c r="H128">
        <v>5848</v>
      </c>
      <c r="I128">
        <v>-29889</v>
      </c>
      <c r="J128">
        <v>-8376</v>
      </c>
      <c r="K128">
        <v>-3938</v>
      </c>
    </row>
    <row r="129" spans="2:11" x14ac:dyDescent="0.25">
      <c r="B129">
        <v>3830</v>
      </c>
      <c r="C129">
        <v>-679</v>
      </c>
      <c r="D129">
        <v>-10220</v>
      </c>
      <c r="E129">
        <v>2581</v>
      </c>
      <c r="F129">
        <v>-7867</v>
      </c>
      <c r="G129">
        <v>-3122</v>
      </c>
      <c r="H129">
        <v>0</v>
      </c>
      <c r="I129">
        <v>-2972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1986</v>
      </c>
      <c r="J132">
        <v>-4409</v>
      </c>
      <c r="K132">
        <v>-4038</v>
      </c>
    </row>
    <row r="133" spans="2:11" x14ac:dyDescent="0.25">
      <c r="B133">
        <v>0</v>
      </c>
      <c r="C133">
        <v>2443</v>
      </c>
      <c r="D133">
        <v>1417</v>
      </c>
      <c r="E133">
        <v>1500</v>
      </c>
      <c r="F133">
        <v>-5696</v>
      </c>
      <c r="G133">
        <v>-2922</v>
      </c>
      <c r="H133">
        <v>-1447</v>
      </c>
      <c r="I133">
        <v>1114</v>
      </c>
      <c r="J133">
        <v>571</v>
      </c>
      <c r="K133">
        <v>-16</v>
      </c>
    </row>
    <row r="134" spans="2:11" x14ac:dyDescent="0.25">
      <c r="B134">
        <v>-2612</v>
      </c>
      <c r="C134">
        <v>-10956</v>
      </c>
      <c r="D134">
        <v>30646</v>
      </c>
      <c r="E134">
        <v>8422</v>
      </c>
      <c r="F134">
        <v>-111</v>
      </c>
      <c r="G134">
        <v>-412</v>
      </c>
      <c r="H134">
        <v>-1162</v>
      </c>
      <c r="I134">
        <v>1662</v>
      </c>
      <c r="J134">
        <v>572</v>
      </c>
      <c r="K134">
        <v>-768</v>
      </c>
    </row>
    <row r="135" spans="2:11" x14ac:dyDescent="0.25">
      <c r="B135">
        <v>644</v>
      </c>
      <c r="C135">
        <v>0</v>
      </c>
      <c r="D135">
        <v>-2150</v>
      </c>
      <c r="E135">
        <v>-89012</v>
      </c>
      <c r="F135">
        <v>0</v>
      </c>
      <c r="G135">
        <v>0</v>
      </c>
      <c r="H135">
        <v>-1480</v>
      </c>
      <c r="I135">
        <v>4368</v>
      </c>
      <c r="J135">
        <v>-708</v>
      </c>
      <c r="K135">
        <v>0</v>
      </c>
    </row>
    <row r="136" spans="2:11" x14ac:dyDescent="0.25">
      <c r="B136">
        <v>-1528</v>
      </c>
      <c r="C136">
        <v>245</v>
      </c>
      <c r="D136">
        <v>-840</v>
      </c>
      <c r="E136">
        <v>1644</v>
      </c>
      <c r="F136">
        <v>-12</v>
      </c>
      <c r="G136">
        <v>845</v>
      </c>
      <c r="H136">
        <v>185</v>
      </c>
      <c r="I136">
        <v>417</v>
      </c>
      <c r="J136">
        <v>-620</v>
      </c>
      <c r="K136">
        <v>135</v>
      </c>
    </row>
    <row r="137" spans="2:11" x14ac:dyDescent="0.25">
      <c r="B137">
        <v>12836</v>
      </c>
      <c r="C137">
        <v>-43552</v>
      </c>
      <c r="D137">
        <v>1626</v>
      </c>
      <c r="E137">
        <v>1231</v>
      </c>
      <c r="F137">
        <v>-4542</v>
      </c>
      <c r="G137">
        <v>-4754</v>
      </c>
      <c r="H137">
        <v>-16</v>
      </c>
      <c r="I137">
        <v>-4451</v>
      </c>
      <c r="J137">
        <v>-4250</v>
      </c>
      <c r="K137">
        <v>-13941</v>
      </c>
    </row>
    <row r="138" spans="2:11" x14ac:dyDescent="0.25">
      <c r="B138">
        <v>0</v>
      </c>
      <c r="C138">
        <v>7852</v>
      </c>
      <c r="D138">
        <v>-2131</v>
      </c>
      <c r="E138">
        <v>0</v>
      </c>
      <c r="F138">
        <v>3457</v>
      </c>
      <c r="G138">
        <v>0</v>
      </c>
      <c r="H138">
        <v>93</v>
      </c>
      <c r="I138">
        <v>637</v>
      </c>
      <c r="J138">
        <v>-9118</v>
      </c>
      <c r="K138">
        <v>0</v>
      </c>
    </row>
    <row r="139" spans="2:11" x14ac:dyDescent="0.25">
      <c r="B139">
        <v>-268</v>
      </c>
      <c r="C139">
        <v>138</v>
      </c>
      <c r="D139">
        <v>291</v>
      </c>
      <c r="E139">
        <v>563</v>
      </c>
      <c r="F139">
        <v>-7277</v>
      </c>
      <c r="G139">
        <v>-611</v>
      </c>
      <c r="H139">
        <v>-764</v>
      </c>
      <c r="I139">
        <v>-602</v>
      </c>
      <c r="J139">
        <v>72</v>
      </c>
      <c r="K139">
        <v>-7097</v>
      </c>
    </row>
    <row r="140" spans="2:11" x14ac:dyDescent="0.25">
      <c r="B140">
        <v>4495</v>
      </c>
      <c r="C140">
        <v>1289</v>
      </c>
      <c r="D140">
        <v>-39553</v>
      </c>
      <c r="E140">
        <v>373</v>
      </c>
      <c r="F140">
        <v>11</v>
      </c>
      <c r="G140">
        <v>1447</v>
      </c>
      <c r="H140">
        <v>1720</v>
      </c>
      <c r="I140">
        <v>-14600</v>
      </c>
      <c r="J140">
        <v>654</v>
      </c>
      <c r="K140">
        <v>103</v>
      </c>
    </row>
    <row r="141" spans="2:11" x14ac:dyDescent="0.25">
      <c r="B141">
        <v>0</v>
      </c>
      <c r="C141">
        <v>2597</v>
      </c>
      <c r="D141">
        <v>2873</v>
      </c>
      <c r="E141">
        <v>0</v>
      </c>
      <c r="F141">
        <v>-2643</v>
      </c>
      <c r="G141">
        <v>2835</v>
      </c>
      <c r="H141">
        <v>0</v>
      </c>
      <c r="I141">
        <v>-12</v>
      </c>
      <c r="J141">
        <v>-141</v>
      </c>
      <c r="K141">
        <v>2516</v>
      </c>
    </row>
    <row r="142" spans="2:11" x14ac:dyDescent="0.25">
      <c r="B142">
        <v>0</v>
      </c>
      <c r="C142">
        <v>-475</v>
      </c>
      <c r="D142">
        <v>-252</v>
      </c>
      <c r="E142">
        <v>-200</v>
      </c>
      <c r="F142">
        <v>-683</v>
      </c>
      <c r="G142">
        <v>2759</v>
      </c>
      <c r="H142">
        <v>-225</v>
      </c>
      <c r="I142">
        <v>642</v>
      </c>
      <c r="J142">
        <v>-375</v>
      </c>
      <c r="K142">
        <v>512</v>
      </c>
    </row>
    <row r="143" spans="2:11" x14ac:dyDescent="0.25">
      <c r="B143">
        <v>7698</v>
      </c>
      <c r="C143">
        <v>3226</v>
      </c>
      <c r="D143">
        <v>6037</v>
      </c>
      <c r="E143">
        <v>-21309</v>
      </c>
      <c r="F143">
        <v>-263</v>
      </c>
      <c r="G143">
        <v>-479</v>
      </c>
      <c r="H143">
        <v>-4238</v>
      </c>
      <c r="I143">
        <v>-3306</v>
      </c>
      <c r="J143">
        <v>6572</v>
      </c>
      <c r="K143">
        <v>122</v>
      </c>
    </row>
    <row r="144" spans="2:11" x14ac:dyDescent="0.25">
      <c r="B144">
        <v>-1889</v>
      </c>
      <c r="C144">
        <v>0</v>
      </c>
      <c r="D144">
        <v>-5144</v>
      </c>
      <c r="E144">
        <v>-9064</v>
      </c>
      <c r="F144">
        <v>0</v>
      </c>
      <c r="G144">
        <v>9696</v>
      </c>
      <c r="H144">
        <v>-724</v>
      </c>
      <c r="I144">
        <v>-57191</v>
      </c>
      <c r="J144">
        <v>0</v>
      </c>
      <c r="K144">
        <v>-10099</v>
      </c>
    </row>
    <row r="145" spans="2:11" x14ac:dyDescent="0.25">
      <c r="B145">
        <v>1077</v>
      </c>
      <c r="C145">
        <v>-60</v>
      </c>
      <c r="D145">
        <v>0</v>
      </c>
      <c r="E145">
        <v>-10239</v>
      </c>
      <c r="F145">
        <v>-3685</v>
      </c>
      <c r="G145">
        <v>-7055</v>
      </c>
      <c r="H145">
        <v>1232</v>
      </c>
      <c r="I145">
        <v>381</v>
      </c>
      <c r="J145">
        <v>-2487</v>
      </c>
      <c r="K145">
        <v>-3371</v>
      </c>
    </row>
    <row r="146" spans="2:11" x14ac:dyDescent="0.25">
      <c r="B146">
        <v>945</v>
      </c>
      <c r="C146">
        <v>-637</v>
      </c>
      <c r="D146">
        <v>476</v>
      </c>
      <c r="E146">
        <v>-24384</v>
      </c>
      <c r="F146">
        <v>8583</v>
      </c>
      <c r="G146">
        <v>2234</v>
      </c>
      <c r="H146">
        <v>-2908</v>
      </c>
      <c r="I146">
        <v>-862</v>
      </c>
      <c r="J146">
        <v>6268</v>
      </c>
      <c r="K146">
        <v>-4494</v>
      </c>
    </row>
    <row r="147" spans="2:11" x14ac:dyDescent="0.25">
      <c r="B147">
        <v>-16400</v>
      </c>
      <c r="C147">
        <v>-10766</v>
      </c>
      <c r="D147">
        <v>-19604</v>
      </c>
      <c r="E147">
        <v>0</v>
      </c>
      <c r="F147">
        <v>9423</v>
      </c>
      <c r="G147">
        <v>2306</v>
      </c>
      <c r="H147">
        <v>0</v>
      </c>
      <c r="I147">
        <v>-6884</v>
      </c>
      <c r="J147">
        <v>10057</v>
      </c>
      <c r="K147">
        <v>4768</v>
      </c>
    </row>
    <row r="148" spans="2:11" x14ac:dyDescent="0.25">
      <c r="B148">
        <v>-662</v>
      </c>
      <c r="C148">
        <v>0</v>
      </c>
      <c r="D148">
        <v>27</v>
      </c>
      <c r="E148">
        <v>21</v>
      </c>
      <c r="F148">
        <v>2915</v>
      </c>
      <c r="G148">
        <v>0</v>
      </c>
      <c r="H148">
        <v>59</v>
      </c>
      <c r="I148">
        <v>181</v>
      </c>
      <c r="J148">
        <v>69</v>
      </c>
      <c r="K148">
        <v>19</v>
      </c>
    </row>
    <row r="149" spans="2:11" x14ac:dyDescent="0.25">
      <c r="B149">
        <v>6141</v>
      </c>
      <c r="C149">
        <v>1177</v>
      </c>
      <c r="D149">
        <v>-881</v>
      </c>
      <c r="E149">
        <v>-1013</v>
      </c>
      <c r="F149">
        <v>359</v>
      </c>
      <c r="G149">
        <v>-2651</v>
      </c>
      <c r="H149">
        <v>-71</v>
      </c>
      <c r="I149">
        <v>798</v>
      </c>
      <c r="J149">
        <v>3061</v>
      </c>
      <c r="K149">
        <v>134</v>
      </c>
    </row>
    <row r="150" spans="2:11" x14ac:dyDescent="0.25">
      <c r="B150">
        <v>966</v>
      </c>
      <c r="C150">
        <v>1519</v>
      </c>
      <c r="D150">
        <v>1243</v>
      </c>
      <c r="E150">
        <v>-50</v>
      </c>
      <c r="F150">
        <v>-7312</v>
      </c>
      <c r="G150">
        <v>910</v>
      </c>
      <c r="H150">
        <v>0</v>
      </c>
      <c r="I150">
        <v>-215</v>
      </c>
      <c r="J150">
        <v>-125</v>
      </c>
      <c r="K150">
        <v>0</v>
      </c>
    </row>
    <row r="151" spans="2:11" x14ac:dyDescent="0.25">
      <c r="B151">
        <v>471</v>
      </c>
      <c r="C151">
        <v>-380</v>
      </c>
      <c r="D151">
        <v>1764</v>
      </c>
      <c r="E151">
        <v>-4786</v>
      </c>
      <c r="F151">
        <v>864</v>
      </c>
      <c r="G151">
        <v>0</v>
      </c>
      <c r="H151">
        <v>95</v>
      </c>
      <c r="I151">
        <v>-224</v>
      </c>
      <c r="J151">
        <v>1272</v>
      </c>
      <c r="K151">
        <v>0</v>
      </c>
    </row>
    <row r="152" spans="2:11" x14ac:dyDescent="0.25">
      <c r="B152">
        <v>155</v>
      </c>
      <c r="C152">
        <v>90</v>
      </c>
      <c r="D152">
        <v>144</v>
      </c>
      <c r="E152">
        <v>-44</v>
      </c>
      <c r="F152">
        <v>-80</v>
      </c>
      <c r="G152">
        <v>-2215</v>
      </c>
      <c r="H152">
        <v>266</v>
      </c>
      <c r="I152">
        <v>648</v>
      </c>
      <c r="J152">
        <v>-411</v>
      </c>
      <c r="K152">
        <v>1003</v>
      </c>
    </row>
    <row r="153" spans="2:11" x14ac:dyDescent="0.25">
      <c r="B153">
        <v>823</v>
      </c>
      <c r="C153">
        <v>-46</v>
      </c>
      <c r="D153">
        <v>-10752</v>
      </c>
      <c r="E153">
        <v>-3</v>
      </c>
      <c r="F153">
        <v>-1134</v>
      </c>
      <c r="G153">
        <v>-594</v>
      </c>
      <c r="H153">
        <v>-1418</v>
      </c>
      <c r="I153">
        <v>442</v>
      </c>
      <c r="J153">
        <v>4068</v>
      </c>
      <c r="K153">
        <v>-2152</v>
      </c>
    </row>
    <row r="154" spans="2:11" x14ac:dyDescent="0.25">
      <c r="B154">
        <v>0</v>
      </c>
      <c r="C154">
        <v>991</v>
      </c>
      <c r="D154">
        <v>-1124</v>
      </c>
      <c r="E154">
        <v>0</v>
      </c>
      <c r="F154">
        <v>847</v>
      </c>
      <c r="G154">
        <v>1003</v>
      </c>
      <c r="H154">
        <v>-10167</v>
      </c>
      <c r="I154">
        <v>4024</v>
      </c>
      <c r="J154">
        <v>29</v>
      </c>
      <c r="K154">
        <v>-75958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-7745</v>
      </c>
      <c r="J158">
        <v>19441</v>
      </c>
      <c r="K158">
        <v>-137</v>
      </c>
    </row>
    <row r="159" spans="2:11" x14ac:dyDescent="0.25">
      <c r="B159">
        <v>0</v>
      </c>
      <c r="C159">
        <v>-7404</v>
      </c>
      <c r="D159">
        <v>-2074</v>
      </c>
      <c r="E159">
        <v>-4974</v>
      </c>
      <c r="F159">
        <v>18987</v>
      </c>
      <c r="G159">
        <v>67</v>
      </c>
      <c r="H159">
        <v>1848</v>
      </c>
      <c r="I159">
        <v>-551</v>
      </c>
      <c r="J159">
        <v>-252</v>
      </c>
      <c r="K159">
        <v>-1855</v>
      </c>
    </row>
    <row r="160" spans="2:11" x14ac:dyDescent="0.25">
      <c r="B160">
        <v>-365</v>
      </c>
      <c r="C160">
        <v>-5545</v>
      </c>
      <c r="D160">
        <v>23851</v>
      </c>
      <c r="E160">
        <v>1013</v>
      </c>
      <c r="F160">
        <v>743</v>
      </c>
      <c r="G160">
        <v>1601</v>
      </c>
      <c r="H160">
        <v>284</v>
      </c>
      <c r="I160">
        <v>-787</v>
      </c>
      <c r="J160">
        <v>-1709</v>
      </c>
      <c r="K160">
        <v>-366</v>
      </c>
    </row>
    <row r="161" spans="2:11" x14ac:dyDescent="0.25">
      <c r="B161">
        <v>-1289</v>
      </c>
      <c r="C161">
        <v>0</v>
      </c>
      <c r="D161">
        <v>878</v>
      </c>
      <c r="E161">
        <v>-7960</v>
      </c>
      <c r="F161">
        <v>0</v>
      </c>
      <c r="G161">
        <v>8764</v>
      </c>
      <c r="H161">
        <v>-2610</v>
      </c>
      <c r="I161">
        <v>120</v>
      </c>
      <c r="J161">
        <v>1099</v>
      </c>
      <c r="K161">
        <v>3398</v>
      </c>
    </row>
    <row r="162" spans="2:11" x14ac:dyDescent="0.25">
      <c r="B162">
        <v>521</v>
      </c>
      <c r="C162">
        <v>-633</v>
      </c>
      <c r="D162">
        <v>0</v>
      </c>
      <c r="E162">
        <v>0</v>
      </c>
      <c r="F162">
        <v>-4415</v>
      </c>
      <c r="G162">
        <v>-160</v>
      </c>
      <c r="H162">
        <v>26380</v>
      </c>
      <c r="I162">
        <v>0</v>
      </c>
      <c r="J162">
        <v>-4102</v>
      </c>
      <c r="K162">
        <v>-1359</v>
      </c>
    </row>
    <row r="163" spans="2:11" x14ac:dyDescent="0.25">
      <c r="B163">
        <v>-3016</v>
      </c>
      <c r="C163">
        <v>-97</v>
      </c>
      <c r="D163">
        <v>25820</v>
      </c>
      <c r="E163">
        <v>673</v>
      </c>
      <c r="F163">
        <v>-418</v>
      </c>
      <c r="G163">
        <v>263</v>
      </c>
      <c r="H163">
        <v>-372</v>
      </c>
      <c r="I163">
        <v>11796</v>
      </c>
      <c r="J163">
        <v>-4021</v>
      </c>
      <c r="K163">
        <v>1419</v>
      </c>
    </row>
    <row r="164" spans="2:11" x14ac:dyDescent="0.25">
      <c r="B164">
        <v>36458</v>
      </c>
      <c r="C164">
        <v>269</v>
      </c>
      <c r="D164">
        <v>1823</v>
      </c>
      <c r="E164">
        <v>-18</v>
      </c>
      <c r="F164">
        <v>-217</v>
      </c>
      <c r="G164">
        <v>1161</v>
      </c>
      <c r="H164">
        <v>200</v>
      </c>
      <c r="I164">
        <v>-1210</v>
      </c>
      <c r="J164">
        <v>0</v>
      </c>
      <c r="K164">
        <v>839</v>
      </c>
    </row>
    <row r="165" spans="2:11" x14ac:dyDescent="0.25">
      <c r="B165">
        <v>-3487</v>
      </c>
      <c r="C165">
        <v>0</v>
      </c>
      <c r="D165">
        <v>3795</v>
      </c>
      <c r="E165">
        <v>-423</v>
      </c>
      <c r="F165">
        <v>-14087</v>
      </c>
      <c r="G165">
        <v>-3007</v>
      </c>
      <c r="H165">
        <v>1168</v>
      </c>
      <c r="I165">
        <v>-4712</v>
      </c>
      <c r="J165">
        <v>6685</v>
      </c>
      <c r="K165">
        <v>0</v>
      </c>
    </row>
    <row r="166" spans="2:11" x14ac:dyDescent="0.25">
      <c r="B166">
        <v>16609</v>
      </c>
      <c r="C166">
        <v>0</v>
      </c>
      <c r="D166">
        <v>-439</v>
      </c>
      <c r="E166">
        <v>-807</v>
      </c>
      <c r="F166">
        <v>-435</v>
      </c>
      <c r="G166">
        <v>0</v>
      </c>
      <c r="H166">
        <v>-552</v>
      </c>
      <c r="I166">
        <v>-1395</v>
      </c>
      <c r="J166">
        <v>-1174</v>
      </c>
      <c r="K166">
        <v>-1561</v>
      </c>
    </row>
    <row r="167" spans="2:11" x14ac:dyDescent="0.25">
      <c r="B167">
        <v>-662</v>
      </c>
      <c r="C167">
        <v>-123</v>
      </c>
      <c r="D167">
        <v>23</v>
      </c>
      <c r="E167">
        <v>102</v>
      </c>
      <c r="F167">
        <v>3981</v>
      </c>
      <c r="G167">
        <v>-317</v>
      </c>
      <c r="H167">
        <v>68</v>
      </c>
      <c r="I167">
        <v>-340</v>
      </c>
      <c r="J167">
        <v>-64</v>
      </c>
      <c r="K167">
        <v>108</v>
      </c>
    </row>
    <row r="168" spans="2:11" x14ac:dyDescent="0.25">
      <c r="B168">
        <v>103</v>
      </c>
      <c r="C168">
        <v>-34</v>
      </c>
      <c r="D168">
        <v>96</v>
      </c>
      <c r="E168">
        <v>153</v>
      </c>
      <c r="F168">
        <v>88</v>
      </c>
      <c r="G168">
        <v>55</v>
      </c>
      <c r="H168">
        <v>0</v>
      </c>
      <c r="I168">
        <v>-58</v>
      </c>
      <c r="J168">
        <v>-47</v>
      </c>
      <c r="K168">
        <v>0</v>
      </c>
    </row>
    <row r="169" spans="2:11" x14ac:dyDescent="0.25">
      <c r="B169">
        <v>79</v>
      </c>
      <c r="C169">
        <v>-209</v>
      </c>
      <c r="D169">
        <v>234</v>
      </c>
      <c r="E169">
        <v>-87</v>
      </c>
      <c r="F169">
        <v>-724</v>
      </c>
      <c r="G169">
        <v>146</v>
      </c>
      <c r="H169">
        <v>-501</v>
      </c>
      <c r="I169">
        <v>0</v>
      </c>
      <c r="J169">
        <v>-34648</v>
      </c>
      <c r="K169">
        <v>-11659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1241</v>
      </c>
      <c r="J186">
        <v>-2488</v>
      </c>
      <c r="K186">
        <v>761</v>
      </c>
    </row>
    <row r="187" spans="2:11" x14ac:dyDescent="0.25">
      <c r="B187">
        <v>0</v>
      </c>
      <c r="C187">
        <v>919</v>
      </c>
      <c r="D187">
        <v>452</v>
      </c>
      <c r="E187">
        <v>1110</v>
      </c>
      <c r="F187">
        <v>-1067</v>
      </c>
      <c r="G187">
        <v>395</v>
      </c>
      <c r="H187">
        <v>-413</v>
      </c>
      <c r="I187">
        <v>-811</v>
      </c>
      <c r="J187">
        <v>770</v>
      </c>
      <c r="K187">
        <v>-486</v>
      </c>
    </row>
    <row r="188" spans="2:11" x14ac:dyDescent="0.25">
      <c r="B188">
        <v>-341</v>
      </c>
      <c r="C188">
        <v>3794</v>
      </c>
      <c r="D188">
        <v>3569</v>
      </c>
      <c r="E188">
        <v>2467</v>
      </c>
      <c r="F188">
        <v>458</v>
      </c>
      <c r="G188">
        <v>-631</v>
      </c>
      <c r="H188">
        <v>-8955</v>
      </c>
      <c r="I188">
        <v>13001</v>
      </c>
      <c r="J188">
        <v>-1704</v>
      </c>
      <c r="K188">
        <v>8298</v>
      </c>
    </row>
    <row r="189" spans="2:11" x14ac:dyDescent="0.25">
      <c r="B189">
        <v>-2083</v>
      </c>
      <c r="C189">
        <v>0</v>
      </c>
      <c r="D189">
        <v>-2452</v>
      </c>
      <c r="E189">
        <v>-1175</v>
      </c>
      <c r="F189">
        <v>0</v>
      </c>
      <c r="G189">
        <v>-557</v>
      </c>
      <c r="H189">
        <v>-3200</v>
      </c>
      <c r="I189">
        <v>-341</v>
      </c>
      <c r="J189">
        <v>-2461</v>
      </c>
      <c r="K189">
        <v>-982</v>
      </c>
    </row>
    <row r="190" spans="2:11" x14ac:dyDescent="0.25">
      <c r="B190">
        <v>1637</v>
      </c>
      <c r="C190">
        <v>-377</v>
      </c>
      <c r="D190">
        <v>0</v>
      </c>
      <c r="E190">
        <v>401</v>
      </c>
      <c r="F190">
        <v>1078</v>
      </c>
      <c r="G190">
        <v>-57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1768</v>
      </c>
      <c r="I195">
        <v>-2226</v>
      </c>
      <c r="J195">
        <v>438</v>
      </c>
      <c r="K195">
        <v>0</v>
      </c>
    </row>
    <row r="196" spans="2:11" x14ac:dyDescent="0.25">
      <c r="B196">
        <v>1377</v>
      </c>
      <c r="C196">
        <v>942</v>
      </c>
      <c r="D196">
        <v>1702</v>
      </c>
      <c r="E196">
        <v>-675</v>
      </c>
      <c r="F196">
        <v>124</v>
      </c>
      <c r="G196">
        <v>-95</v>
      </c>
      <c r="H196">
        <v>-1099</v>
      </c>
      <c r="I196">
        <v>366</v>
      </c>
      <c r="J196">
        <v>-762</v>
      </c>
      <c r="K196">
        <v>-409</v>
      </c>
    </row>
    <row r="197" spans="2:11" x14ac:dyDescent="0.25">
      <c r="B197">
        <v>5303</v>
      </c>
      <c r="C197">
        <v>4403</v>
      </c>
      <c r="D197">
        <v>1600</v>
      </c>
      <c r="E197">
        <v>3273</v>
      </c>
      <c r="F197">
        <v>-2380</v>
      </c>
      <c r="G197">
        <v>-4333</v>
      </c>
      <c r="H197">
        <v>13444</v>
      </c>
      <c r="I197">
        <v>-11424</v>
      </c>
      <c r="J197">
        <v>7348</v>
      </c>
      <c r="K197">
        <v>-2078</v>
      </c>
    </row>
    <row r="198" spans="2:11" x14ac:dyDescent="0.25">
      <c r="B198">
        <v>0</v>
      </c>
      <c r="C198">
        <v>-2208</v>
      </c>
      <c r="D198">
        <v>-1288</v>
      </c>
      <c r="E198">
        <v>0</v>
      </c>
      <c r="F198">
        <v>-198</v>
      </c>
      <c r="G198">
        <v>-2994</v>
      </c>
      <c r="H198">
        <v>1582</v>
      </c>
      <c r="I198">
        <v>-2767</v>
      </c>
      <c r="J198">
        <v>475</v>
      </c>
      <c r="K198">
        <v>1749</v>
      </c>
    </row>
    <row r="199" spans="2:11" x14ac:dyDescent="0.25">
      <c r="B199">
        <v>-459</v>
      </c>
      <c r="C199">
        <v>0</v>
      </c>
      <c r="D199">
        <v>371</v>
      </c>
      <c r="E199">
        <v>481</v>
      </c>
      <c r="F199">
        <v>-97</v>
      </c>
      <c r="G199">
        <v>0</v>
      </c>
      <c r="H199">
        <v>0</v>
      </c>
      <c r="I199">
        <v>0</v>
      </c>
      <c r="J199">
        <v>0</v>
      </c>
      <c r="K199">
        <v>57609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1780</v>
      </c>
    </row>
    <row r="205" spans="2:11" x14ac:dyDescent="0.25">
      <c r="B205">
        <v>-370</v>
      </c>
      <c r="C205">
        <v>1429</v>
      </c>
      <c r="D205">
        <v>0</v>
      </c>
      <c r="E205">
        <v>1572</v>
      </c>
      <c r="F205">
        <v>193</v>
      </c>
      <c r="G205">
        <v>1138</v>
      </c>
      <c r="H205">
        <v>-62</v>
      </c>
      <c r="I205">
        <v>1135</v>
      </c>
      <c r="J205">
        <v>-759</v>
      </c>
      <c r="K205">
        <v>-138</v>
      </c>
    </row>
    <row r="206" spans="2:11" x14ac:dyDescent="0.25">
      <c r="B206">
        <v>895</v>
      </c>
      <c r="C206">
        <v>-237</v>
      </c>
      <c r="D206">
        <v>-384</v>
      </c>
      <c r="E206">
        <v>2974</v>
      </c>
      <c r="F206">
        <v>3710</v>
      </c>
      <c r="G206">
        <v>2286</v>
      </c>
      <c r="H206">
        <v>-2897</v>
      </c>
      <c r="I206">
        <v>15</v>
      </c>
      <c r="J206">
        <v>956</v>
      </c>
      <c r="K206">
        <v>13292</v>
      </c>
    </row>
    <row r="207" spans="2:11" x14ac:dyDescent="0.25">
      <c r="B207">
        <v>-2103</v>
      </c>
      <c r="C207">
        <v>5554</v>
      </c>
      <c r="D207">
        <v>-14130</v>
      </c>
      <c r="E207">
        <v>0</v>
      </c>
      <c r="F207">
        <v>-1372</v>
      </c>
      <c r="G207">
        <v>-1416</v>
      </c>
      <c r="H207">
        <v>0</v>
      </c>
      <c r="I207">
        <v>-735</v>
      </c>
      <c r="J207">
        <v>-2809</v>
      </c>
      <c r="K207">
        <v>-124</v>
      </c>
    </row>
    <row r="208" spans="2:11" x14ac:dyDescent="0.25">
      <c r="B208">
        <v>-1700</v>
      </c>
      <c r="C208">
        <v>5622</v>
      </c>
      <c r="D208">
        <v>3303</v>
      </c>
      <c r="E208">
        <v>-1447</v>
      </c>
      <c r="F208">
        <v>0</v>
      </c>
      <c r="G208">
        <v>631</v>
      </c>
      <c r="H208">
        <v>1017</v>
      </c>
      <c r="I208">
        <v>-149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40083</v>
      </c>
      <c r="E209">
        <v>0</v>
      </c>
      <c r="F209">
        <v>43573</v>
      </c>
      <c r="G209">
        <v>0</v>
      </c>
      <c r="H209">
        <v>0</v>
      </c>
      <c r="I209">
        <v>730</v>
      </c>
      <c r="J209">
        <v>-2199</v>
      </c>
      <c r="K209">
        <v>324</v>
      </c>
    </row>
    <row r="210" spans="2:11" x14ac:dyDescent="0.25">
      <c r="B210">
        <v>0</v>
      </c>
      <c r="C210">
        <v>511</v>
      </c>
      <c r="D210">
        <v>52</v>
      </c>
      <c r="E210">
        <v>922</v>
      </c>
      <c r="F210">
        <v>-897</v>
      </c>
      <c r="G210">
        <v>17</v>
      </c>
      <c r="H210">
        <v>-384</v>
      </c>
      <c r="I210">
        <v>-488</v>
      </c>
      <c r="J210">
        <v>728</v>
      </c>
      <c r="K210">
        <v>-244</v>
      </c>
    </row>
    <row r="211" spans="2:11" x14ac:dyDescent="0.25">
      <c r="B211">
        <v>-593</v>
      </c>
      <c r="C211">
        <v>2305</v>
      </c>
      <c r="D211">
        <v>3565</v>
      </c>
      <c r="E211">
        <v>2426</v>
      </c>
      <c r="F211">
        <v>2235</v>
      </c>
      <c r="G211">
        <v>-1674</v>
      </c>
      <c r="H211">
        <v>-6095</v>
      </c>
      <c r="I211">
        <v>13679</v>
      </c>
      <c r="J211">
        <v>-6465</v>
      </c>
      <c r="K211">
        <v>7855</v>
      </c>
    </row>
    <row r="212" spans="2:11" x14ac:dyDescent="0.25">
      <c r="B212">
        <v>-1554</v>
      </c>
      <c r="C212">
        <v>0</v>
      </c>
      <c r="D212">
        <v>327</v>
      </c>
      <c r="E212">
        <v>-869</v>
      </c>
      <c r="F212">
        <v>0</v>
      </c>
      <c r="G212">
        <v>152</v>
      </c>
      <c r="H212">
        <v>-3870</v>
      </c>
      <c r="I212">
        <v>-503</v>
      </c>
      <c r="J212">
        <v>-2920</v>
      </c>
      <c r="K212">
        <v>-576</v>
      </c>
    </row>
    <row r="213" spans="2:11" x14ac:dyDescent="0.25">
      <c r="B213">
        <v>1695</v>
      </c>
      <c r="C213">
        <v>-226</v>
      </c>
      <c r="D213">
        <v>0</v>
      </c>
      <c r="E213">
        <v>531</v>
      </c>
      <c r="F213">
        <v>976</v>
      </c>
      <c r="G213">
        <v>-10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60380</v>
      </c>
      <c r="C214">
        <v>0</v>
      </c>
      <c r="D214">
        <v>57110</v>
      </c>
      <c r="E214">
        <v>0</v>
      </c>
      <c r="F214">
        <v>40362</v>
      </c>
      <c r="G214">
        <v>0</v>
      </c>
      <c r="H214">
        <v>2477</v>
      </c>
      <c r="I214">
        <v>-1972</v>
      </c>
      <c r="J214">
        <v>480</v>
      </c>
      <c r="K214">
        <v>0</v>
      </c>
    </row>
    <row r="215" spans="2:11" x14ac:dyDescent="0.25">
      <c r="B215">
        <v>2369</v>
      </c>
      <c r="C215">
        <v>745</v>
      </c>
      <c r="D215">
        <v>1855</v>
      </c>
      <c r="E215">
        <v>-890</v>
      </c>
      <c r="F215">
        <v>238</v>
      </c>
      <c r="G215">
        <v>-81</v>
      </c>
      <c r="H215">
        <v>-451</v>
      </c>
      <c r="I215">
        <v>-138</v>
      </c>
      <c r="J215">
        <v>-184</v>
      </c>
      <c r="K215">
        <v>-553</v>
      </c>
    </row>
    <row r="216" spans="2:11" x14ac:dyDescent="0.25">
      <c r="B216">
        <v>4324</v>
      </c>
      <c r="C216">
        <v>3661</v>
      </c>
      <c r="D216">
        <v>2663</v>
      </c>
      <c r="E216">
        <v>1237</v>
      </c>
      <c r="F216">
        <v>-953</v>
      </c>
      <c r="G216">
        <v>-1552</v>
      </c>
      <c r="H216">
        <v>12324</v>
      </c>
      <c r="I216">
        <v>-5167</v>
      </c>
      <c r="J216">
        <v>4375</v>
      </c>
      <c r="K216">
        <v>-3882</v>
      </c>
    </row>
    <row r="217" spans="2:11" x14ac:dyDescent="0.25">
      <c r="B217">
        <v>0</v>
      </c>
      <c r="C217">
        <v>-5153</v>
      </c>
      <c r="D217">
        <v>-1653</v>
      </c>
      <c r="E217">
        <v>0</v>
      </c>
      <c r="F217">
        <v>-664</v>
      </c>
      <c r="G217">
        <v>-3072</v>
      </c>
      <c r="H217">
        <v>594</v>
      </c>
      <c r="I217">
        <v>-3748</v>
      </c>
      <c r="J217">
        <v>1627</v>
      </c>
      <c r="K217">
        <v>1946</v>
      </c>
    </row>
    <row r="218" spans="2:11" x14ac:dyDescent="0.25">
      <c r="B218">
        <v>-604</v>
      </c>
      <c r="C218">
        <v>0</v>
      </c>
      <c r="D218">
        <v>143</v>
      </c>
      <c r="E218">
        <v>794</v>
      </c>
      <c r="F218">
        <v>-89</v>
      </c>
      <c r="G218">
        <v>0</v>
      </c>
      <c r="H218">
        <v>0</v>
      </c>
      <c r="I218">
        <v>0</v>
      </c>
      <c r="J218">
        <v>0</v>
      </c>
      <c r="K218">
        <v>48217</v>
      </c>
    </row>
    <row r="219" spans="2:11" x14ac:dyDescent="0.25">
      <c r="B219">
        <v>0</v>
      </c>
      <c r="C219">
        <v>50694</v>
      </c>
      <c r="D219">
        <v>0</v>
      </c>
      <c r="E219">
        <v>49060</v>
      </c>
      <c r="F219">
        <v>49008</v>
      </c>
      <c r="G219">
        <v>0</v>
      </c>
      <c r="H219">
        <v>260</v>
      </c>
      <c r="I219">
        <v>409</v>
      </c>
      <c r="J219">
        <v>1914</v>
      </c>
      <c r="K219">
        <v>0</v>
      </c>
    </row>
    <row r="220" spans="2:11" x14ac:dyDescent="0.25">
      <c r="B220">
        <v>749</v>
      </c>
      <c r="C220">
        <v>78</v>
      </c>
      <c r="D220">
        <v>307</v>
      </c>
      <c r="E220">
        <v>513</v>
      </c>
      <c r="F220">
        <v>146</v>
      </c>
      <c r="G220">
        <v>286</v>
      </c>
      <c r="H220">
        <v>-261</v>
      </c>
      <c r="I220">
        <v>250</v>
      </c>
      <c r="J220">
        <v>94</v>
      </c>
      <c r="K220">
        <v>-128</v>
      </c>
    </row>
    <row r="221" spans="2:11" x14ac:dyDescent="0.25">
      <c r="B221">
        <v>-4099</v>
      </c>
      <c r="C221">
        <v>15916</v>
      </c>
      <c r="D221">
        <v>1359</v>
      </c>
      <c r="E221">
        <v>-453</v>
      </c>
      <c r="F221">
        <v>1497</v>
      </c>
      <c r="G221">
        <v>-1435</v>
      </c>
      <c r="H221">
        <v>11111</v>
      </c>
      <c r="I221">
        <v>-250</v>
      </c>
      <c r="J221">
        <v>6275</v>
      </c>
      <c r="K221">
        <v>-757</v>
      </c>
    </row>
    <row r="222" spans="2:11" x14ac:dyDescent="0.25">
      <c r="B222">
        <v>0</v>
      </c>
      <c r="C222">
        <v>2810</v>
      </c>
      <c r="D222">
        <v>1559</v>
      </c>
      <c r="E222">
        <v>0</v>
      </c>
      <c r="F222">
        <v>-3714</v>
      </c>
      <c r="G222">
        <v>-23118</v>
      </c>
      <c r="H222">
        <v>-1471</v>
      </c>
      <c r="I222">
        <v>3539</v>
      </c>
      <c r="J222">
        <v>-2562</v>
      </c>
      <c r="K222">
        <v>3047</v>
      </c>
    </row>
    <row r="223" spans="2:11" x14ac:dyDescent="0.25">
      <c r="B223">
        <v>-3026</v>
      </c>
      <c r="C223">
        <v>0</v>
      </c>
      <c r="D223">
        <v>4112</v>
      </c>
      <c r="E223">
        <v>2247</v>
      </c>
      <c r="F223">
        <v>15</v>
      </c>
      <c r="G223">
        <v>0</v>
      </c>
      <c r="H223">
        <v>0</v>
      </c>
      <c r="I223">
        <v>0</v>
      </c>
      <c r="J223">
        <v>0</v>
      </c>
      <c r="K223">
        <v>34531</v>
      </c>
    </row>
    <row r="224" spans="2:11" x14ac:dyDescent="0.25">
      <c r="B224">
        <v>0</v>
      </c>
      <c r="C224">
        <v>33420</v>
      </c>
      <c r="D224">
        <v>0</v>
      </c>
      <c r="E224">
        <v>30359</v>
      </c>
      <c r="F224">
        <v>34803</v>
      </c>
      <c r="G224">
        <v>31224</v>
      </c>
      <c r="H224">
        <v>0</v>
      </c>
      <c r="I224">
        <v>5242</v>
      </c>
      <c r="J224">
        <v>227</v>
      </c>
      <c r="K224">
        <v>1240</v>
      </c>
    </row>
    <row r="225" spans="2:11" x14ac:dyDescent="0.25">
      <c r="B225">
        <v>0</v>
      </c>
      <c r="C225">
        <v>2351</v>
      </c>
      <c r="D225">
        <v>2375</v>
      </c>
      <c r="E225">
        <v>3996</v>
      </c>
      <c r="F225">
        <v>415</v>
      </c>
      <c r="G225">
        <v>742</v>
      </c>
      <c r="H225">
        <v>269</v>
      </c>
      <c r="I225">
        <v>-119</v>
      </c>
      <c r="J225">
        <v>-369</v>
      </c>
      <c r="K225">
        <v>-710</v>
      </c>
    </row>
    <row r="226" spans="2:11" x14ac:dyDescent="0.25">
      <c r="B226">
        <v>-33</v>
      </c>
      <c r="C226">
        <v>5724</v>
      </c>
      <c r="D226">
        <v>4181</v>
      </c>
      <c r="E226">
        <v>2392</v>
      </c>
      <c r="F226">
        <v>-2188</v>
      </c>
      <c r="G226">
        <v>-5402</v>
      </c>
      <c r="H226">
        <v>-1636</v>
      </c>
      <c r="I226">
        <v>2913</v>
      </c>
      <c r="J226">
        <v>-1598</v>
      </c>
      <c r="K226">
        <v>9561</v>
      </c>
    </row>
    <row r="227" spans="2:11" x14ac:dyDescent="0.25">
      <c r="B227">
        <v>1003</v>
      </c>
      <c r="C227">
        <v>0</v>
      </c>
      <c r="D227">
        <v>4561</v>
      </c>
      <c r="E227">
        <v>-13635</v>
      </c>
      <c r="F227">
        <v>0</v>
      </c>
      <c r="G227">
        <v>1494</v>
      </c>
      <c r="H227">
        <v>-1684</v>
      </c>
      <c r="I227">
        <v>-232</v>
      </c>
      <c r="J227">
        <v>-1425</v>
      </c>
      <c r="K227">
        <v>2448</v>
      </c>
    </row>
    <row r="228" spans="2:11" x14ac:dyDescent="0.25">
      <c r="B228">
        <v>1293</v>
      </c>
      <c r="C228">
        <v>-266</v>
      </c>
      <c r="D228">
        <v>0</v>
      </c>
      <c r="E228">
        <v>339</v>
      </c>
      <c r="F228">
        <v>791</v>
      </c>
      <c r="G228">
        <v>-102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31929</v>
      </c>
      <c r="C229">
        <v>0</v>
      </c>
      <c r="D229">
        <v>31379</v>
      </c>
      <c r="E229">
        <v>0</v>
      </c>
      <c r="F229">
        <v>26767</v>
      </c>
      <c r="G229">
        <v>31206</v>
      </c>
      <c r="H229">
        <v>29819</v>
      </c>
      <c r="I229">
        <v>19412</v>
      </c>
      <c r="J229">
        <v>0</v>
      </c>
      <c r="K229">
        <v>3954</v>
      </c>
    </row>
    <row r="230" spans="2:11" x14ac:dyDescent="0.25">
      <c r="B230">
        <v>-1557</v>
      </c>
      <c r="C230">
        <v>464</v>
      </c>
      <c r="D230">
        <v>0</v>
      </c>
      <c r="E230">
        <v>2653</v>
      </c>
      <c r="F230">
        <v>1261</v>
      </c>
      <c r="G230">
        <v>3137</v>
      </c>
      <c r="H230">
        <v>-494</v>
      </c>
      <c r="I230">
        <v>186</v>
      </c>
      <c r="J230">
        <v>-53</v>
      </c>
      <c r="K230">
        <v>-749</v>
      </c>
    </row>
    <row r="231" spans="2:11" x14ac:dyDescent="0.25">
      <c r="B231">
        <v>187</v>
      </c>
      <c r="C231">
        <v>-683</v>
      </c>
      <c r="D231">
        <v>-268</v>
      </c>
      <c r="E231">
        <v>847</v>
      </c>
      <c r="F231">
        <v>2678</v>
      </c>
      <c r="G231">
        <v>2278</v>
      </c>
      <c r="H231">
        <v>124</v>
      </c>
      <c r="I231">
        <v>-1554</v>
      </c>
      <c r="J231">
        <v>3355</v>
      </c>
      <c r="K231">
        <v>13746</v>
      </c>
    </row>
    <row r="232" spans="2:11" x14ac:dyDescent="0.25">
      <c r="B232">
        <v>-1626</v>
      </c>
      <c r="C232">
        <v>-14510</v>
      </c>
      <c r="D232">
        <v>-3994</v>
      </c>
      <c r="E232">
        <v>0</v>
      </c>
      <c r="F232">
        <v>-934</v>
      </c>
      <c r="G232">
        <v>-571</v>
      </c>
      <c r="H232">
        <v>0</v>
      </c>
      <c r="I232">
        <v>-859</v>
      </c>
      <c r="J232">
        <v>-1797</v>
      </c>
      <c r="K232">
        <v>-229</v>
      </c>
    </row>
    <row r="233" spans="2:11" x14ac:dyDescent="0.25">
      <c r="B233">
        <v>-2689</v>
      </c>
      <c r="C233">
        <v>5458</v>
      </c>
      <c r="D233">
        <v>3281</v>
      </c>
      <c r="E233">
        <v>-1308</v>
      </c>
      <c r="F233">
        <v>0</v>
      </c>
      <c r="G233">
        <v>15</v>
      </c>
      <c r="H233">
        <v>509</v>
      </c>
      <c r="I233">
        <v>-61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42010</v>
      </c>
      <c r="E234">
        <v>0</v>
      </c>
      <c r="F234">
        <v>44244</v>
      </c>
      <c r="G234">
        <v>0</v>
      </c>
      <c r="H234">
        <v>43581</v>
      </c>
      <c r="I234">
        <v>43263</v>
      </c>
      <c r="J234">
        <v>47895</v>
      </c>
      <c r="K234">
        <v>26187</v>
      </c>
    </row>
    <row r="235" spans="2:11" x14ac:dyDescent="0.25">
      <c r="B235">
        <v>25642</v>
      </c>
      <c r="C235">
        <v>0</v>
      </c>
      <c r="D235">
        <v>3334</v>
      </c>
      <c r="E235">
        <v>-3446</v>
      </c>
      <c r="F235">
        <v>-909</v>
      </c>
      <c r="G235">
        <v>0</v>
      </c>
      <c r="H235">
        <v>1719</v>
      </c>
      <c r="I235">
        <v>1754</v>
      </c>
      <c r="J235">
        <v>2085</v>
      </c>
      <c r="K235">
        <v>-1605</v>
      </c>
    </row>
    <row r="236" spans="2:11" x14ac:dyDescent="0.25">
      <c r="B236">
        <v>-102</v>
      </c>
      <c r="C236">
        <v>-373</v>
      </c>
      <c r="D236">
        <v>-371</v>
      </c>
      <c r="E236">
        <v>538</v>
      </c>
      <c r="F236">
        <v>-710</v>
      </c>
      <c r="G236">
        <v>-288</v>
      </c>
      <c r="H236">
        <v>6429</v>
      </c>
      <c r="I236">
        <v>-9528</v>
      </c>
      <c r="J236">
        <v>1364</v>
      </c>
      <c r="K236">
        <v>-301</v>
      </c>
    </row>
    <row r="237" spans="2:11" x14ac:dyDescent="0.25">
      <c r="B237">
        <v>-1344</v>
      </c>
      <c r="C237">
        <v>-2340</v>
      </c>
      <c r="D237">
        <v>14413</v>
      </c>
      <c r="E237">
        <v>-2909</v>
      </c>
      <c r="F237">
        <v>4284</v>
      </c>
      <c r="G237">
        <v>-4102</v>
      </c>
      <c r="H237">
        <v>0</v>
      </c>
      <c r="I237">
        <v>7596</v>
      </c>
      <c r="J237">
        <v>-4649</v>
      </c>
      <c r="K237">
        <v>0</v>
      </c>
    </row>
    <row r="238" spans="2:11" x14ac:dyDescent="0.25">
      <c r="B238">
        <v>3135</v>
      </c>
      <c r="C238">
        <v>9564</v>
      </c>
      <c r="D238">
        <v>293</v>
      </c>
      <c r="E238">
        <v>-6940</v>
      </c>
      <c r="F238">
        <v>-3457</v>
      </c>
      <c r="G238">
        <v>557</v>
      </c>
      <c r="H238">
        <v>1293</v>
      </c>
      <c r="I238">
        <v>0</v>
      </c>
      <c r="J238">
        <v>-3402</v>
      </c>
      <c r="K238">
        <v>-805</v>
      </c>
    </row>
    <row r="239" spans="2:11" x14ac:dyDescent="0.25">
      <c r="B239">
        <v>-58</v>
      </c>
      <c r="C239">
        <v>0</v>
      </c>
      <c r="D239">
        <v>0</v>
      </c>
      <c r="E239">
        <v>0</v>
      </c>
      <c r="F239">
        <v>0</v>
      </c>
      <c r="G239">
        <v>49250</v>
      </c>
      <c r="H239">
        <v>0</v>
      </c>
      <c r="I239">
        <v>48391</v>
      </c>
      <c r="J239">
        <v>0</v>
      </c>
      <c r="K239">
        <v>35827</v>
      </c>
    </row>
    <row r="240" spans="2:11" x14ac:dyDescent="0.25">
      <c r="B240">
        <v>50201</v>
      </c>
      <c r="C240">
        <v>42172</v>
      </c>
      <c r="D240">
        <v>-20105</v>
      </c>
      <c r="E240">
        <v>26952</v>
      </c>
      <c r="F240">
        <v>39946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48</v>
      </c>
      <c r="J251">
        <v>245</v>
      </c>
      <c r="K251">
        <v>2105</v>
      </c>
    </row>
    <row r="252" spans="2:11" x14ac:dyDescent="0.25">
      <c r="B252">
        <v>0</v>
      </c>
      <c r="C252">
        <v>13</v>
      </c>
      <c r="D252">
        <v>-86</v>
      </c>
      <c r="E252">
        <v>-1</v>
      </c>
      <c r="F252">
        <v>99</v>
      </c>
      <c r="G252">
        <v>1781</v>
      </c>
      <c r="H252">
        <v>445</v>
      </c>
      <c r="I252">
        <v>-39</v>
      </c>
      <c r="J252">
        <v>318</v>
      </c>
      <c r="K252">
        <v>-159</v>
      </c>
    </row>
    <row r="253" spans="2:11" x14ac:dyDescent="0.25">
      <c r="B253">
        <v>-1404</v>
      </c>
      <c r="C253">
        <v>-1123</v>
      </c>
      <c r="D253">
        <v>-143</v>
      </c>
      <c r="E253">
        <v>8276</v>
      </c>
      <c r="F253">
        <v>-672</v>
      </c>
      <c r="G253">
        <v>-45</v>
      </c>
      <c r="H253">
        <v>-154</v>
      </c>
      <c r="I253">
        <v>181</v>
      </c>
      <c r="J253">
        <v>1922</v>
      </c>
      <c r="K253">
        <v>938</v>
      </c>
    </row>
    <row r="254" spans="2:11" x14ac:dyDescent="0.25">
      <c r="B254">
        <v>353</v>
      </c>
      <c r="C254">
        <v>0</v>
      </c>
      <c r="D254">
        <v>-537</v>
      </c>
      <c r="E254">
        <v>425</v>
      </c>
      <c r="F254">
        <v>0</v>
      </c>
      <c r="G254">
        <v>-676</v>
      </c>
      <c r="H254">
        <v>-1109</v>
      </c>
      <c r="I254">
        <v>-17068</v>
      </c>
      <c r="J254">
        <v>4003</v>
      </c>
      <c r="K254">
        <v>-649</v>
      </c>
    </row>
    <row r="255" spans="2:11" x14ac:dyDescent="0.25">
      <c r="B255">
        <v>469</v>
      </c>
      <c r="C255">
        <v>1704</v>
      </c>
      <c r="D255">
        <v>0</v>
      </c>
      <c r="E255">
        <v>78</v>
      </c>
      <c r="F255">
        <v>3502</v>
      </c>
      <c r="G255">
        <v>-37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396</v>
      </c>
      <c r="C256">
        <v>0</v>
      </c>
      <c r="D256">
        <v>-11070</v>
      </c>
      <c r="E256">
        <v>0</v>
      </c>
      <c r="F256">
        <v>1640</v>
      </c>
      <c r="G256">
        <v>-369</v>
      </c>
      <c r="H256">
        <v>1214</v>
      </c>
      <c r="I256">
        <v>2797</v>
      </c>
      <c r="J256">
        <v>535</v>
      </c>
      <c r="K256">
        <v>-235</v>
      </c>
    </row>
    <row r="257" spans="2:11" x14ac:dyDescent="0.25">
      <c r="B257">
        <v>-2270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864</v>
      </c>
      <c r="E263">
        <v>-286</v>
      </c>
      <c r="F263">
        <v>305</v>
      </c>
      <c r="G263">
        <v>0</v>
      </c>
      <c r="H263">
        <v>1131</v>
      </c>
      <c r="I263">
        <v>185</v>
      </c>
      <c r="J263">
        <v>610</v>
      </c>
      <c r="K263">
        <v>98</v>
      </c>
    </row>
    <row r="264" spans="2:11" x14ac:dyDescent="0.25">
      <c r="B264">
        <v>91</v>
      </c>
      <c r="C264">
        <v>-986</v>
      </c>
      <c r="D264">
        <v>-626</v>
      </c>
      <c r="E264">
        <v>-298</v>
      </c>
      <c r="F264">
        <v>100</v>
      </c>
      <c r="G264">
        <v>-426</v>
      </c>
      <c r="H264">
        <v>1290</v>
      </c>
      <c r="I264">
        <v>985</v>
      </c>
      <c r="J264">
        <v>759</v>
      </c>
      <c r="K264">
        <v>366</v>
      </c>
    </row>
    <row r="265" spans="2:11" x14ac:dyDescent="0.25">
      <c r="B265">
        <v>-2210</v>
      </c>
      <c r="C265">
        <v>-2024</v>
      </c>
      <c r="D265">
        <v>7963</v>
      </c>
      <c r="E265">
        <v>-4151</v>
      </c>
      <c r="F265">
        <v>2887</v>
      </c>
      <c r="G265">
        <v>-1546</v>
      </c>
      <c r="H265">
        <v>0</v>
      </c>
      <c r="I265">
        <v>493</v>
      </c>
      <c r="J265">
        <v>-34</v>
      </c>
      <c r="K265">
        <v>0</v>
      </c>
    </row>
    <row r="266" spans="2:11" x14ac:dyDescent="0.25">
      <c r="B266">
        <v>-1150</v>
      </c>
      <c r="C266">
        <v>-1776</v>
      </c>
      <c r="D266">
        <v>228</v>
      </c>
      <c r="E266">
        <v>-597</v>
      </c>
      <c r="F266">
        <v>2723</v>
      </c>
      <c r="G266">
        <v>1667</v>
      </c>
      <c r="H266">
        <v>-1288</v>
      </c>
      <c r="I266">
        <v>0</v>
      </c>
      <c r="J266">
        <v>123</v>
      </c>
      <c r="K266">
        <v>188</v>
      </c>
    </row>
    <row r="267" spans="2:11" x14ac:dyDescent="0.25">
      <c r="B267">
        <v>-46</v>
      </c>
      <c r="C267">
        <v>0</v>
      </c>
      <c r="D267">
        <v>0</v>
      </c>
      <c r="E267">
        <v>0</v>
      </c>
      <c r="F267">
        <v>0</v>
      </c>
      <c r="G267">
        <v>13607</v>
      </c>
      <c r="H267">
        <v>0</v>
      </c>
      <c r="I267">
        <v>17956</v>
      </c>
      <c r="J267">
        <v>0</v>
      </c>
      <c r="K267">
        <v>35813</v>
      </c>
    </row>
    <row r="268" spans="2:11" x14ac:dyDescent="0.25">
      <c r="B268">
        <v>-3163</v>
      </c>
      <c r="C268">
        <v>28277</v>
      </c>
      <c r="D268">
        <v>15341</v>
      </c>
      <c r="E268">
        <v>12165</v>
      </c>
      <c r="F268">
        <v>24013</v>
      </c>
      <c r="G268">
        <v>13589</v>
      </c>
      <c r="H268">
        <v>0</v>
      </c>
      <c r="I268">
        <v>0</v>
      </c>
      <c r="J268">
        <v>1308</v>
      </c>
      <c r="K268">
        <v>0</v>
      </c>
    </row>
    <row r="269" spans="2:11" x14ac:dyDescent="0.25">
      <c r="B269">
        <v>0</v>
      </c>
      <c r="C269">
        <v>1555</v>
      </c>
      <c r="D269">
        <v>32</v>
      </c>
      <c r="E269">
        <v>520</v>
      </c>
      <c r="F269">
        <v>0</v>
      </c>
      <c r="G269">
        <v>1253</v>
      </c>
      <c r="H269">
        <v>709</v>
      </c>
      <c r="I269">
        <v>1034</v>
      </c>
      <c r="J269">
        <v>-80</v>
      </c>
      <c r="K269">
        <v>223</v>
      </c>
    </row>
    <row r="270" spans="2:11" x14ac:dyDescent="0.25">
      <c r="B270">
        <v>95</v>
      </c>
      <c r="C270">
        <v>-307</v>
      </c>
      <c r="D270">
        <v>-344</v>
      </c>
      <c r="E270">
        <v>84</v>
      </c>
      <c r="F270">
        <v>113</v>
      </c>
      <c r="G270">
        <v>1412</v>
      </c>
      <c r="H270">
        <v>1599</v>
      </c>
      <c r="I270">
        <v>641</v>
      </c>
      <c r="J270">
        <v>-396</v>
      </c>
      <c r="K270">
        <v>-932</v>
      </c>
    </row>
    <row r="271" spans="2:11" x14ac:dyDescent="0.25">
      <c r="B271">
        <v>-2868</v>
      </c>
      <c r="C271">
        <v>6154</v>
      </c>
      <c r="D271">
        <v>-1151</v>
      </c>
      <c r="E271">
        <v>1905</v>
      </c>
      <c r="F271">
        <v>-1026</v>
      </c>
      <c r="G271">
        <v>0</v>
      </c>
      <c r="H271">
        <v>53</v>
      </c>
      <c r="I271">
        <v>-1293</v>
      </c>
      <c r="J271">
        <v>0</v>
      </c>
      <c r="K271">
        <v>148</v>
      </c>
    </row>
    <row r="272" spans="2:11" x14ac:dyDescent="0.25">
      <c r="B272">
        <v>-303</v>
      </c>
      <c r="C272">
        <v>-393</v>
      </c>
      <c r="D272">
        <v>-314</v>
      </c>
      <c r="E272">
        <v>2027</v>
      </c>
      <c r="F272">
        <v>1073</v>
      </c>
      <c r="G272">
        <v>210</v>
      </c>
      <c r="H272">
        <v>0</v>
      </c>
      <c r="I272">
        <v>405</v>
      </c>
      <c r="J272">
        <v>367</v>
      </c>
      <c r="K272">
        <v>-89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-13474</v>
      </c>
      <c r="G273">
        <v>0</v>
      </c>
      <c r="H273">
        <v>9715</v>
      </c>
      <c r="I273">
        <v>0</v>
      </c>
      <c r="J273">
        <v>27930</v>
      </c>
      <c r="K273">
        <v>6825</v>
      </c>
    </row>
    <row r="274" spans="2:11" x14ac:dyDescent="0.25">
      <c r="B274">
        <v>20912</v>
      </c>
      <c r="C274">
        <v>9563</v>
      </c>
      <c r="D274">
        <v>8696</v>
      </c>
      <c r="E274">
        <v>18546</v>
      </c>
      <c r="F274">
        <v>8593</v>
      </c>
      <c r="G274">
        <v>0</v>
      </c>
      <c r="H274">
        <v>0</v>
      </c>
      <c r="I274">
        <v>2503</v>
      </c>
      <c r="J274">
        <v>0</v>
      </c>
      <c r="K274">
        <v>24624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-238</v>
      </c>
      <c r="E281">
        <v>-588</v>
      </c>
      <c r="F281">
        <v>-404</v>
      </c>
      <c r="G281">
        <v>0</v>
      </c>
      <c r="H281">
        <v>-265</v>
      </c>
      <c r="I281">
        <v>-124</v>
      </c>
      <c r="J281">
        <v>435</v>
      </c>
      <c r="K281">
        <v>-27</v>
      </c>
    </row>
    <row r="282" spans="2:11" x14ac:dyDescent="0.25">
      <c r="B282">
        <v>-506</v>
      </c>
      <c r="C282">
        <v>395</v>
      </c>
      <c r="D282">
        <v>-2403</v>
      </c>
      <c r="E282">
        <v>66</v>
      </c>
      <c r="F282">
        <v>-320</v>
      </c>
      <c r="G282">
        <v>355</v>
      </c>
      <c r="H282">
        <v>-86</v>
      </c>
      <c r="I282">
        <v>1568</v>
      </c>
      <c r="J282">
        <v>660</v>
      </c>
      <c r="K282">
        <v>-596</v>
      </c>
    </row>
    <row r="283" spans="2:11" x14ac:dyDescent="0.25">
      <c r="B283">
        <v>-151</v>
      </c>
      <c r="C283">
        <v>586</v>
      </c>
      <c r="D283">
        <v>3926</v>
      </c>
      <c r="E283">
        <v>-994</v>
      </c>
      <c r="F283">
        <v>1697</v>
      </c>
      <c r="G283">
        <v>-4993</v>
      </c>
      <c r="H283">
        <v>0</v>
      </c>
      <c r="I283">
        <v>-936</v>
      </c>
      <c r="J283">
        <v>-196</v>
      </c>
      <c r="K283">
        <v>0</v>
      </c>
    </row>
    <row r="284" spans="2:11" x14ac:dyDescent="0.25">
      <c r="B284">
        <v>-123</v>
      </c>
      <c r="C284">
        <v>151</v>
      </c>
      <c r="D284">
        <v>487</v>
      </c>
      <c r="E284">
        <v>-1454</v>
      </c>
      <c r="F284">
        <v>2656</v>
      </c>
      <c r="G284">
        <v>-916</v>
      </c>
      <c r="H284">
        <v>1033</v>
      </c>
      <c r="I284">
        <v>0</v>
      </c>
      <c r="J284">
        <v>345</v>
      </c>
      <c r="K284">
        <v>184</v>
      </c>
    </row>
    <row r="285" spans="2:11" x14ac:dyDescent="0.25">
      <c r="B285">
        <v>79</v>
      </c>
      <c r="C285">
        <v>0</v>
      </c>
      <c r="D285">
        <v>0</v>
      </c>
      <c r="E285">
        <v>0</v>
      </c>
      <c r="F285">
        <v>0</v>
      </c>
      <c r="G285">
        <v>19140</v>
      </c>
      <c r="H285">
        <v>0</v>
      </c>
      <c r="I285">
        <v>15707</v>
      </c>
      <c r="J285">
        <v>0</v>
      </c>
      <c r="K285">
        <v>-35055</v>
      </c>
    </row>
    <row r="286" spans="2:11" x14ac:dyDescent="0.25">
      <c r="B286">
        <v>20179</v>
      </c>
      <c r="C286">
        <v>13188</v>
      </c>
      <c r="D286">
        <v>7647</v>
      </c>
      <c r="E286">
        <v>8386</v>
      </c>
      <c r="F286">
        <v>13273</v>
      </c>
      <c r="G286">
        <v>14062</v>
      </c>
      <c r="H286">
        <v>0</v>
      </c>
      <c r="I286">
        <v>0</v>
      </c>
      <c r="J286">
        <v>-468</v>
      </c>
      <c r="K286">
        <v>0</v>
      </c>
    </row>
    <row r="287" spans="2:11" x14ac:dyDescent="0.25">
      <c r="B287">
        <v>-11180</v>
      </c>
      <c r="C287">
        <v>-11056</v>
      </c>
      <c r="D287">
        <v>0</v>
      </c>
      <c r="E287">
        <v>0</v>
      </c>
      <c r="F287">
        <v>-3345</v>
      </c>
      <c r="G287">
        <v>-2523</v>
      </c>
      <c r="H287">
        <v>-614</v>
      </c>
      <c r="I287">
        <v>0</v>
      </c>
      <c r="J287">
        <v>-2808</v>
      </c>
      <c r="K287">
        <v>-979</v>
      </c>
    </row>
    <row r="288" spans="2:11" x14ac:dyDescent="0.25">
      <c r="B288">
        <v>-2273</v>
      </c>
      <c r="C288">
        <v>-1228</v>
      </c>
      <c r="D288">
        <v>-827</v>
      </c>
      <c r="E288">
        <v>-833</v>
      </c>
      <c r="F288">
        <v>-1386</v>
      </c>
      <c r="G288">
        <v>1036</v>
      </c>
      <c r="H288">
        <v>179</v>
      </c>
      <c r="I288">
        <v>-501</v>
      </c>
      <c r="J288">
        <v>-3013</v>
      </c>
      <c r="K288">
        <v>885</v>
      </c>
    </row>
    <row r="289" spans="2:11" x14ac:dyDescent="0.25">
      <c r="B289">
        <v>722</v>
      </c>
      <c r="C289">
        <v>774</v>
      </c>
      <c r="D289">
        <v>2062</v>
      </c>
      <c r="E289">
        <v>-2918</v>
      </c>
      <c r="F289">
        <v>-9929</v>
      </c>
      <c r="G289">
        <v>888</v>
      </c>
      <c r="H289">
        <v>10331</v>
      </c>
      <c r="I289">
        <v>2930</v>
      </c>
      <c r="J289">
        <v>0</v>
      </c>
      <c r="K289">
        <v>275</v>
      </c>
    </row>
    <row r="290" spans="2:11" x14ac:dyDescent="0.25">
      <c r="B290">
        <v>1882</v>
      </c>
      <c r="C290">
        <v>0</v>
      </c>
      <c r="D290">
        <v>533</v>
      </c>
      <c r="E290">
        <v>-3620</v>
      </c>
      <c r="F290">
        <v>-429</v>
      </c>
      <c r="G290">
        <v>-1934</v>
      </c>
      <c r="H290">
        <v>-2115</v>
      </c>
      <c r="I290">
        <v>1045</v>
      </c>
      <c r="J290">
        <v>-209</v>
      </c>
      <c r="K290">
        <v>0</v>
      </c>
    </row>
    <row r="291" spans="2:11" x14ac:dyDescent="0.25">
      <c r="B291">
        <v>802</v>
      </c>
      <c r="C291">
        <v>796</v>
      </c>
      <c r="D291">
        <v>-13</v>
      </c>
      <c r="E291">
        <v>0</v>
      </c>
      <c r="F291">
        <v>0</v>
      </c>
      <c r="G291">
        <v>0</v>
      </c>
      <c r="H291">
        <v>0</v>
      </c>
      <c r="I291">
        <v>57222</v>
      </c>
      <c r="J291">
        <v>0</v>
      </c>
      <c r="K291">
        <v>53765</v>
      </c>
    </row>
    <row r="292" spans="2:11" x14ac:dyDescent="0.25">
      <c r="B292">
        <v>0</v>
      </c>
      <c r="C292">
        <v>33899</v>
      </c>
      <c r="D292">
        <v>56844</v>
      </c>
      <c r="E292">
        <v>41052</v>
      </c>
      <c r="F292">
        <v>31413</v>
      </c>
      <c r="G292">
        <v>22223</v>
      </c>
      <c r="H292">
        <v>34739</v>
      </c>
      <c r="I292">
        <v>45364</v>
      </c>
      <c r="J292">
        <v>0</v>
      </c>
      <c r="K292">
        <v>0</v>
      </c>
    </row>
    <row r="293" spans="2:11" x14ac:dyDescent="0.25">
      <c r="B293">
        <v>-214</v>
      </c>
      <c r="C293">
        <v>0</v>
      </c>
      <c r="D293">
        <v>9313</v>
      </c>
      <c r="E293">
        <v>2538</v>
      </c>
      <c r="F293">
        <v>0</v>
      </c>
      <c r="G293">
        <v>14427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1275</v>
      </c>
      <c r="D300">
        <v>-557</v>
      </c>
      <c r="E300">
        <v>141</v>
      </c>
      <c r="F300">
        <v>0</v>
      </c>
      <c r="G300">
        <v>510</v>
      </c>
      <c r="H300">
        <v>517</v>
      </c>
      <c r="I300">
        <v>1208</v>
      </c>
      <c r="J300">
        <v>-197</v>
      </c>
      <c r="K300">
        <v>-123</v>
      </c>
    </row>
    <row r="301" spans="2:11" x14ac:dyDescent="0.25">
      <c r="B301">
        <v>-252</v>
      </c>
      <c r="C301">
        <v>-971</v>
      </c>
      <c r="D301">
        <v>979</v>
      </c>
      <c r="E301">
        <v>-536</v>
      </c>
      <c r="F301">
        <v>281</v>
      </c>
      <c r="G301">
        <v>771</v>
      </c>
      <c r="H301">
        <v>339</v>
      </c>
      <c r="I301">
        <v>510</v>
      </c>
      <c r="J301">
        <v>380</v>
      </c>
      <c r="K301">
        <v>831</v>
      </c>
    </row>
    <row r="302" spans="2:11" x14ac:dyDescent="0.25">
      <c r="B302">
        <v>-1811</v>
      </c>
      <c r="C302">
        <v>664</v>
      </c>
      <c r="D302">
        <v>648</v>
      </c>
      <c r="E302">
        <v>2381</v>
      </c>
      <c r="F302">
        <v>641</v>
      </c>
      <c r="G302">
        <v>0</v>
      </c>
      <c r="H302">
        <v>-1156</v>
      </c>
      <c r="I302">
        <v>459</v>
      </c>
      <c r="J302">
        <v>0</v>
      </c>
      <c r="K302">
        <v>-440</v>
      </c>
    </row>
    <row r="303" spans="2:11" x14ac:dyDescent="0.25">
      <c r="B303">
        <v>-1639</v>
      </c>
      <c r="C303">
        <v>233</v>
      </c>
      <c r="D303">
        <v>-1727</v>
      </c>
      <c r="E303">
        <v>-2471</v>
      </c>
      <c r="F303">
        <v>335</v>
      </c>
      <c r="G303">
        <v>71</v>
      </c>
      <c r="H303">
        <v>0</v>
      </c>
      <c r="I303">
        <v>-264</v>
      </c>
      <c r="J303">
        <v>221</v>
      </c>
      <c r="K303">
        <v>-2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27242</v>
      </c>
      <c r="G304">
        <v>0</v>
      </c>
      <c r="H304">
        <v>21474</v>
      </c>
      <c r="I304">
        <v>0</v>
      </c>
      <c r="J304">
        <v>1716</v>
      </c>
      <c r="K304">
        <v>26130</v>
      </c>
    </row>
    <row r="305" spans="2:11" x14ac:dyDescent="0.25">
      <c r="B305">
        <v>-33752</v>
      </c>
      <c r="C305">
        <v>9737</v>
      </c>
      <c r="D305">
        <v>9737</v>
      </c>
      <c r="E305">
        <v>4100</v>
      </c>
      <c r="F305">
        <v>20719</v>
      </c>
      <c r="G305">
        <v>0</v>
      </c>
      <c r="H305">
        <v>0</v>
      </c>
      <c r="I305">
        <v>-945</v>
      </c>
      <c r="J305">
        <v>0</v>
      </c>
      <c r="K305">
        <v>-10581</v>
      </c>
    </row>
    <row r="306" spans="2:11" x14ac:dyDescent="0.25">
      <c r="B306">
        <v>-12308</v>
      </c>
      <c r="C306">
        <v>0</v>
      </c>
      <c r="D306">
        <v>5527</v>
      </c>
      <c r="E306">
        <v>31540</v>
      </c>
      <c r="F306">
        <v>0</v>
      </c>
      <c r="G306">
        <v>0</v>
      </c>
      <c r="H306">
        <v>52</v>
      </c>
      <c r="I306">
        <v>-2883</v>
      </c>
      <c r="J306">
        <v>-686</v>
      </c>
      <c r="K306">
        <v>0</v>
      </c>
    </row>
    <row r="307" spans="2:11" x14ac:dyDescent="0.25">
      <c r="B307">
        <v>-530</v>
      </c>
      <c r="C307">
        <v>754</v>
      </c>
      <c r="D307">
        <v>672</v>
      </c>
      <c r="E307">
        <v>-1405</v>
      </c>
      <c r="F307">
        <v>-710</v>
      </c>
      <c r="G307">
        <v>112</v>
      </c>
      <c r="H307">
        <v>-770</v>
      </c>
      <c r="I307">
        <v>-273</v>
      </c>
      <c r="J307">
        <v>-563</v>
      </c>
      <c r="K307">
        <v>-257</v>
      </c>
    </row>
    <row r="308" spans="2:11" x14ac:dyDescent="0.25">
      <c r="B308">
        <v>3769</v>
      </c>
      <c r="C308">
        <v>2121</v>
      </c>
      <c r="D308">
        <v>1267</v>
      </c>
      <c r="E308">
        <v>-2937</v>
      </c>
      <c r="F308">
        <v>418</v>
      </c>
      <c r="G308">
        <v>-1204</v>
      </c>
      <c r="H308">
        <v>7341</v>
      </c>
      <c r="I308">
        <v>1345</v>
      </c>
      <c r="J308">
        <v>7535</v>
      </c>
      <c r="K308">
        <v>-7446</v>
      </c>
    </row>
    <row r="309" spans="2:11" x14ac:dyDescent="0.25">
      <c r="B309">
        <v>0</v>
      </c>
      <c r="C309">
        <v>-3031</v>
      </c>
      <c r="D309">
        <v>-515</v>
      </c>
      <c r="E309">
        <v>0</v>
      </c>
      <c r="F309">
        <v>808</v>
      </c>
      <c r="G309">
        <v>-2370</v>
      </c>
      <c r="H309">
        <v>-749</v>
      </c>
      <c r="I309">
        <v>-1764</v>
      </c>
      <c r="J309">
        <v>-9387</v>
      </c>
      <c r="K309">
        <v>-249</v>
      </c>
    </row>
    <row r="310" spans="2:11" x14ac:dyDescent="0.25">
      <c r="B310">
        <v>974</v>
      </c>
      <c r="C310">
        <v>0</v>
      </c>
      <c r="D310">
        <v>138</v>
      </c>
      <c r="E310">
        <v>510</v>
      </c>
      <c r="F310">
        <v>45</v>
      </c>
      <c r="G310">
        <v>0</v>
      </c>
      <c r="H310">
        <v>0</v>
      </c>
      <c r="I310">
        <v>0</v>
      </c>
      <c r="J310">
        <v>0</v>
      </c>
      <c r="K310">
        <v>53409</v>
      </c>
    </row>
    <row r="311" spans="2:11" x14ac:dyDescent="0.25">
      <c r="B311">
        <v>0</v>
      </c>
      <c r="C311">
        <v>46394</v>
      </c>
      <c r="D311">
        <v>0</v>
      </c>
      <c r="E311">
        <v>-13713</v>
      </c>
      <c r="F311">
        <v>52444</v>
      </c>
      <c r="G311">
        <v>26700</v>
      </c>
      <c r="H311">
        <v>24675</v>
      </c>
      <c r="I311">
        <v>22780</v>
      </c>
      <c r="J311">
        <v>23357</v>
      </c>
      <c r="K311">
        <v>41681</v>
      </c>
    </row>
    <row r="312" spans="2:11" x14ac:dyDescent="0.25">
      <c r="B312">
        <v>0</v>
      </c>
      <c r="C312">
        <v>0</v>
      </c>
      <c r="D312">
        <v>-1296</v>
      </c>
      <c r="E312">
        <v>0</v>
      </c>
      <c r="F312">
        <v>-7954</v>
      </c>
      <c r="G312">
        <v>-12243</v>
      </c>
      <c r="H312">
        <v>0</v>
      </c>
      <c r="I312">
        <v>44511</v>
      </c>
      <c r="J312">
        <v>55285</v>
      </c>
      <c r="K312">
        <v>0</v>
      </c>
    </row>
    <row r="313" spans="2:11" x14ac:dyDescent="0.25">
      <c r="B313">
        <v>39733</v>
      </c>
      <c r="C313">
        <v>0</v>
      </c>
      <c r="D313">
        <v>-104</v>
      </c>
      <c r="E313">
        <v>-1516</v>
      </c>
      <c r="F313">
        <v>-224</v>
      </c>
      <c r="G313">
        <v>0</v>
      </c>
      <c r="H313">
        <v>-528</v>
      </c>
      <c r="I313">
        <v>298</v>
      </c>
      <c r="J313">
        <v>-186</v>
      </c>
      <c r="K313">
        <v>-872</v>
      </c>
    </row>
    <row r="314" spans="2:11" x14ac:dyDescent="0.25">
      <c r="B314">
        <v>-319</v>
      </c>
      <c r="C314">
        <v>-184</v>
      </c>
      <c r="D314">
        <v>97</v>
      </c>
      <c r="E314">
        <v>541</v>
      </c>
      <c r="F314">
        <v>-221</v>
      </c>
      <c r="G314">
        <v>-189</v>
      </c>
      <c r="H314">
        <v>3578</v>
      </c>
      <c r="I314">
        <v>48</v>
      </c>
      <c r="J314">
        <v>379</v>
      </c>
      <c r="K314">
        <v>997</v>
      </c>
    </row>
    <row r="315" spans="2:11" x14ac:dyDescent="0.25">
      <c r="B315">
        <v>987</v>
      </c>
      <c r="C315">
        <v>-2936</v>
      </c>
      <c r="D315">
        <v>3830</v>
      </c>
      <c r="E315">
        <v>2144</v>
      </c>
      <c r="F315">
        <v>3244</v>
      </c>
      <c r="G315">
        <v>479</v>
      </c>
      <c r="H315">
        <v>0</v>
      </c>
      <c r="I315">
        <v>-2237</v>
      </c>
      <c r="J315">
        <v>-259</v>
      </c>
      <c r="K315">
        <v>0</v>
      </c>
    </row>
    <row r="316" spans="2:11" x14ac:dyDescent="0.25">
      <c r="B316">
        <v>563</v>
      </c>
      <c r="C316">
        <v>-2136</v>
      </c>
      <c r="D316">
        <v>-642</v>
      </c>
      <c r="E316">
        <v>-886</v>
      </c>
      <c r="F316">
        <v>-12673</v>
      </c>
      <c r="G316">
        <v>275</v>
      </c>
      <c r="H316">
        <v>82</v>
      </c>
      <c r="I316">
        <v>0</v>
      </c>
      <c r="J316">
        <v>-129</v>
      </c>
      <c r="K316">
        <v>242</v>
      </c>
    </row>
    <row r="317" spans="2:11" x14ac:dyDescent="0.25">
      <c r="B317">
        <v>21</v>
      </c>
      <c r="C317">
        <v>0</v>
      </c>
      <c r="D317">
        <v>0</v>
      </c>
      <c r="E317">
        <v>0</v>
      </c>
      <c r="F317">
        <v>0</v>
      </c>
      <c r="G317">
        <v>29748</v>
      </c>
      <c r="H317">
        <v>0</v>
      </c>
      <c r="I317">
        <v>24859</v>
      </c>
      <c r="J317">
        <v>0</v>
      </c>
      <c r="K317">
        <v>4959</v>
      </c>
    </row>
    <row r="318" spans="2:11" x14ac:dyDescent="0.25">
      <c r="B318">
        <v>28647</v>
      </c>
      <c r="C318">
        <v>8410</v>
      </c>
      <c r="D318">
        <v>13041</v>
      </c>
      <c r="E318">
        <v>11169</v>
      </c>
      <c r="F318">
        <v>-37845</v>
      </c>
      <c r="G318">
        <v>21901</v>
      </c>
      <c r="H318">
        <v>0</v>
      </c>
      <c r="I318">
        <v>0</v>
      </c>
      <c r="J318">
        <v>-810</v>
      </c>
      <c r="K318">
        <v>0</v>
      </c>
    </row>
    <row r="319" spans="2:11" x14ac:dyDescent="0.25">
      <c r="B319">
        <v>-7641</v>
      </c>
      <c r="C319">
        <v>-10566</v>
      </c>
      <c r="D319">
        <v>0</v>
      </c>
      <c r="E319">
        <v>5504</v>
      </c>
      <c r="F319">
        <v>32839</v>
      </c>
      <c r="G319">
        <v>0</v>
      </c>
      <c r="H319">
        <v>30567</v>
      </c>
      <c r="I319">
        <v>41370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-1010</v>
      </c>
      <c r="J326">
        <v>1416</v>
      </c>
      <c r="K326">
        <v>51</v>
      </c>
    </row>
    <row r="327" spans="2:11" x14ac:dyDescent="0.25">
      <c r="B327">
        <v>0</v>
      </c>
      <c r="C327">
        <v>-1196</v>
      </c>
      <c r="D327">
        <v>-397</v>
      </c>
      <c r="E327">
        <v>-677</v>
      </c>
      <c r="F327">
        <v>1959</v>
      </c>
      <c r="G327">
        <v>-106</v>
      </c>
      <c r="H327">
        <v>-97</v>
      </c>
      <c r="I327">
        <v>153</v>
      </c>
      <c r="J327">
        <v>-72</v>
      </c>
      <c r="K327">
        <v>4</v>
      </c>
    </row>
    <row r="328" spans="2:11" x14ac:dyDescent="0.25">
      <c r="B328">
        <v>-164</v>
      </c>
      <c r="C328">
        <v>389</v>
      </c>
      <c r="D328">
        <v>2070</v>
      </c>
      <c r="E328">
        <v>86</v>
      </c>
      <c r="F328">
        <v>-38</v>
      </c>
      <c r="G328">
        <v>249</v>
      </c>
      <c r="H328">
        <v>-659</v>
      </c>
      <c r="I328">
        <v>1651</v>
      </c>
      <c r="J328">
        <v>-734</v>
      </c>
      <c r="K328">
        <v>2172</v>
      </c>
    </row>
    <row r="329" spans="2:11" x14ac:dyDescent="0.25">
      <c r="B329">
        <v>-1902</v>
      </c>
      <c r="C329">
        <v>0</v>
      </c>
      <c r="D329">
        <v>-1580</v>
      </c>
      <c r="E329">
        <v>-1792</v>
      </c>
      <c r="F329">
        <v>0</v>
      </c>
      <c r="G329">
        <v>2107</v>
      </c>
      <c r="H329">
        <v>1374</v>
      </c>
      <c r="I329">
        <v>-400</v>
      </c>
      <c r="J329">
        <v>1655</v>
      </c>
      <c r="K329">
        <v>-747</v>
      </c>
    </row>
    <row r="330" spans="2:11" x14ac:dyDescent="0.25">
      <c r="B330">
        <v>258</v>
      </c>
      <c r="C330">
        <v>-184</v>
      </c>
      <c r="D330">
        <v>0</v>
      </c>
      <c r="E330">
        <v>2494</v>
      </c>
      <c r="F330">
        <v>284</v>
      </c>
      <c r="G330">
        <v>100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10765</v>
      </c>
      <c r="C331">
        <v>0</v>
      </c>
      <c r="D331">
        <v>9585</v>
      </c>
      <c r="E331">
        <v>0</v>
      </c>
      <c r="F331">
        <v>4195</v>
      </c>
      <c r="G331">
        <v>10368</v>
      </c>
      <c r="H331">
        <v>-2059</v>
      </c>
      <c r="I331">
        <v>12732</v>
      </c>
      <c r="J331">
        <v>4986</v>
      </c>
      <c r="K331">
        <v>4468</v>
      </c>
    </row>
    <row r="332" spans="2:11" x14ac:dyDescent="0.25">
      <c r="B332">
        <v>252</v>
      </c>
      <c r="C332">
        <v>0</v>
      </c>
      <c r="D332">
        <v>0</v>
      </c>
      <c r="E332">
        <v>-575</v>
      </c>
      <c r="F332">
        <v>0</v>
      </c>
      <c r="G332">
        <v>-648</v>
      </c>
      <c r="H332">
        <v>-1815</v>
      </c>
      <c r="I332">
        <v>0</v>
      </c>
      <c r="J332">
        <v>7862</v>
      </c>
      <c r="K332">
        <v>10543</v>
      </c>
    </row>
    <row r="333" spans="2:11" x14ac:dyDescent="0.25">
      <c r="B333">
        <v>0</v>
      </c>
      <c r="C333">
        <v>-1833</v>
      </c>
      <c r="D333">
        <v>10928</v>
      </c>
      <c r="E333">
        <v>4303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-453</v>
      </c>
      <c r="J347">
        <v>178</v>
      </c>
      <c r="K347">
        <v>-31</v>
      </c>
    </row>
    <row r="348" spans="2:11" x14ac:dyDescent="0.25">
      <c r="B348">
        <v>0</v>
      </c>
      <c r="C348">
        <v>-619</v>
      </c>
      <c r="D348">
        <v>-486</v>
      </c>
      <c r="E348">
        <v>228</v>
      </c>
      <c r="F348">
        <v>71</v>
      </c>
      <c r="G348">
        <v>-68</v>
      </c>
      <c r="H348">
        <v>-30</v>
      </c>
      <c r="I348">
        <v>-246</v>
      </c>
      <c r="J348">
        <v>-252</v>
      </c>
      <c r="K348">
        <v>859</v>
      </c>
    </row>
    <row r="349" spans="2:11" x14ac:dyDescent="0.25">
      <c r="B349">
        <v>44</v>
      </c>
      <c r="C349">
        <v>360</v>
      </c>
      <c r="D349">
        <v>-173</v>
      </c>
      <c r="E349">
        <v>-96</v>
      </c>
      <c r="F349">
        <v>961</v>
      </c>
      <c r="G349">
        <v>833</v>
      </c>
      <c r="H349">
        <v>-227</v>
      </c>
      <c r="I349">
        <v>235</v>
      </c>
      <c r="J349">
        <v>-259</v>
      </c>
      <c r="K349">
        <v>-12</v>
      </c>
    </row>
    <row r="350" spans="2:11" x14ac:dyDescent="0.25">
      <c r="B350">
        <v>-148</v>
      </c>
      <c r="C350">
        <v>0</v>
      </c>
      <c r="D350">
        <v>168</v>
      </c>
      <c r="E350">
        <v>-59</v>
      </c>
      <c r="F350">
        <v>0</v>
      </c>
      <c r="G350">
        <v>-102</v>
      </c>
      <c r="H350">
        <v>471</v>
      </c>
      <c r="I350">
        <v>46</v>
      </c>
      <c r="J350">
        <v>83</v>
      </c>
      <c r="K350">
        <v>5</v>
      </c>
    </row>
    <row r="351" spans="2:11" x14ac:dyDescent="0.25">
      <c r="B351">
        <v>-29</v>
      </c>
      <c r="C351">
        <v>113</v>
      </c>
      <c r="D351">
        <v>0</v>
      </c>
      <c r="E351">
        <v>-341</v>
      </c>
      <c r="F351">
        <v>-813</v>
      </c>
      <c r="G351">
        <v>-66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1004</v>
      </c>
      <c r="C352">
        <v>0</v>
      </c>
      <c r="D352">
        <v>950</v>
      </c>
      <c r="E352">
        <v>0</v>
      </c>
      <c r="F352">
        <v>548</v>
      </c>
      <c r="G352">
        <v>998</v>
      </c>
      <c r="H352">
        <v>308</v>
      </c>
      <c r="I352">
        <v>866</v>
      </c>
      <c r="J352">
        <v>533</v>
      </c>
      <c r="K352">
        <v>586</v>
      </c>
    </row>
    <row r="353" spans="2:11" x14ac:dyDescent="0.25">
      <c r="B353">
        <v>499</v>
      </c>
      <c r="C353">
        <v>0</v>
      </c>
      <c r="D353">
        <v>0</v>
      </c>
      <c r="E353">
        <v>-53</v>
      </c>
      <c r="F353">
        <v>0</v>
      </c>
      <c r="G353">
        <v>127</v>
      </c>
      <c r="H353">
        <v>20</v>
      </c>
      <c r="I353">
        <v>0</v>
      </c>
      <c r="J353">
        <v>505</v>
      </c>
      <c r="K353">
        <v>971</v>
      </c>
    </row>
    <row r="354" spans="2:11" x14ac:dyDescent="0.25">
      <c r="B354">
        <v>0</v>
      </c>
      <c r="C354">
        <v>60</v>
      </c>
      <c r="D354">
        <v>860</v>
      </c>
      <c r="E354">
        <v>400</v>
      </c>
      <c r="F354">
        <v>0</v>
      </c>
      <c r="G354">
        <v>5232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</row>
    <row r="377" spans="2:11" x14ac:dyDescent="0.25">
      <c r="B377">
        <v>0</v>
      </c>
      <c r="C377">
        <v>-15297</v>
      </c>
      <c r="D377">
        <v>-775</v>
      </c>
      <c r="E377">
        <v>-668</v>
      </c>
      <c r="F377">
        <v>0</v>
      </c>
      <c r="G377">
        <v>-14492</v>
      </c>
      <c r="H377">
        <v>-6591</v>
      </c>
      <c r="I377">
        <v>-11466</v>
      </c>
      <c r="J377">
        <v>-1364</v>
      </c>
      <c r="K377">
        <v>-673</v>
      </c>
    </row>
    <row r="378" spans="2:11" x14ac:dyDescent="0.25">
      <c r="B378">
        <v>-913</v>
      </c>
      <c r="C378">
        <v>-463</v>
      </c>
      <c r="D378">
        <v>287</v>
      </c>
      <c r="E378">
        <v>3579</v>
      </c>
      <c r="F378">
        <v>-737</v>
      </c>
      <c r="G378">
        <v>-15394</v>
      </c>
      <c r="H378">
        <v>-2315</v>
      </c>
      <c r="I378">
        <v>-634</v>
      </c>
      <c r="J378">
        <v>4047</v>
      </c>
      <c r="K378">
        <v>-12349</v>
      </c>
    </row>
    <row r="379" spans="2:11" x14ac:dyDescent="0.25">
      <c r="B379">
        <v>2759</v>
      </c>
      <c r="C379">
        <v>2714</v>
      </c>
      <c r="D379">
        <v>4112</v>
      </c>
      <c r="E379">
        <v>1599</v>
      </c>
      <c r="F379">
        <v>994</v>
      </c>
      <c r="G379">
        <v>0</v>
      </c>
      <c r="H379">
        <v>-3308</v>
      </c>
      <c r="I379">
        <v>-761</v>
      </c>
      <c r="J379">
        <v>0</v>
      </c>
      <c r="K379">
        <v>2192</v>
      </c>
    </row>
    <row r="380" spans="2:11" x14ac:dyDescent="0.25">
      <c r="B380">
        <v>-585</v>
      </c>
      <c r="C380">
        <v>-247</v>
      </c>
      <c r="D380">
        <v>88</v>
      </c>
      <c r="E380">
        <v>1298</v>
      </c>
      <c r="F380">
        <v>268</v>
      </c>
      <c r="G380">
        <v>-1340</v>
      </c>
      <c r="H380">
        <v>0</v>
      </c>
      <c r="I380">
        <v>18904</v>
      </c>
      <c r="J380">
        <v>14540</v>
      </c>
      <c r="K380">
        <v>54872</v>
      </c>
    </row>
    <row r="381" spans="2:11" x14ac:dyDescent="0.25">
      <c r="B381">
        <v>0</v>
      </c>
      <c r="C381">
        <v>0</v>
      </c>
      <c r="D381">
        <v>0</v>
      </c>
      <c r="E381">
        <v>0</v>
      </c>
      <c r="F381">
        <v>-6163</v>
      </c>
      <c r="G381">
        <v>0</v>
      </c>
      <c r="H381">
        <v>-6123</v>
      </c>
      <c r="I381">
        <v>0</v>
      </c>
      <c r="J381">
        <v>-5346</v>
      </c>
      <c r="K381">
        <v>-5820</v>
      </c>
    </row>
    <row r="382" spans="2:11" x14ac:dyDescent="0.25">
      <c r="B382">
        <v>-6004</v>
      </c>
      <c r="C382">
        <v>-3188</v>
      </c>
      <c r="D382">
        <v>-4894</v>
      </c>
      <c r="E382">
        <v>-5374</v>
      </c>
      <c r="F382">
        <v>-6861</v>
      </c>
      <c r="G382">
        <v>0</v>
      </c>
      <c r="H382">
        <v>0</v>
      </c>
      <c r="I382">
        <v>137</v>
      </c>
      <c r="J382">
        <v>0</v>
      </c>
      <c r="K382">
        <v>-2225</v>
      </c>
    </row>
    <row r="383" spans="2:11" x14ac:dyDescent="0.25">
      <c r="B383">
        <v>-1848</v>
      </c>
      <c r="C383">
        <v>0</v>
      </c>
      <c r="D383">
        <v>-1216</v>
      </c>
      <c r="E383">
        <v>-4367</v>
      </c>
      <c r="F383">
        <v>0</v>
      </c>
      <c r="G383">
        <v>-2194</v>
      </c>
      <c r="H383">
        <v>-4192</v>
      </c>
      <c r="I383">
        <v>-2209</v>
      </c>
      <c r="J383">
        <v>0</v>
      </c>
      <c r="K383">
        <v>-455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E80"/>
  <sheetViews>
    <sheetView workbookViewId="0">
      <selection activeCell="Q9" sqref="Q9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12.8554687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31" x14ac:dyDescent="0.25">
      <c r="M1" s="49"/>
      <c r="T1" s="49" t="s">
        <v>296</v>
      </c>
      <c r="Z1" s="49" t="s">
        <v>295</v>
      </c>
    </row>
    <row r="2" spans="1:31" x14ac:dyDescent="0.25">
      <c r="V2" s="59" t="s">
        <v>250</v>
      </c>
      <c r="W2" s="59" t="s">
        <v>251</v>
      </c>
      <c r="Z2" s="97"/>
      <c r="AA2" s="49" t="s">
        <v>282</v>
      </c>
      <c r="AC2" s="97"/>
      <c r="AD2" s="97"/>
      <c r="AE2" s="97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53">
        <f>WorkLocationCoefficients!E11</f>
        <v>1</v>
      </c>
      <c r="W3" s="58">
        <f>_xlfn.IFNA(VLOOKUP(T3,$M$13:$Q$31,5,FALSE),V3)</f>
        <v>1</v>
      </c>
      <c r="Z3">
        <v>1</v>
      </c>
      <c r="AA3" s="41" t="s">
        <v>289</v>
      </c>
      <c r="AC3" s="97"/>
      <c r="AD3" s="97"/>
      <c r="AE3" s="97"/>
    </row>
    <row r="4" spans="1:31" x14ac:dyDescent="0.25">
      <c r="C4" s="11" t="s">
        <v>213</v>
      </c>
      <c r="I4" s="11" t="s">
        <v>230</v>
      </c>
      <c r="T4">
        <f>WorkLocationCoefficients!B12</f>
        <v>2</v>
      </c>
      <c r="U4" t="str">
        <f>WorkLocationCoefficients!C12</f>
        <v>Beta00002</v>
      </c>
      <c r="V4" s="53">
        <f>WorkLocationCoefficients!E12</f>
        <v>2.14949839843</v>
      </c>
      <c r="W4" s="58">
        <f ref="W4:W67" si="0" t="shared">_xlfn.IFNA(VLOOKUP(T4,$M$13:$Q$31,5,FALSE),V4)</f>
        <v>2.14949839843</v>
      </c>
      <c r="Z4">
        <v>2</v>
      </c>
      <c r="AA4" s="41" t="s">
        <v>290</v>
      </c>
      <c r="AC4" s="97"/>
      <c r="AD4" s="97"/>
      <c r="AE4" s="97"/>
    </row>
    <row ht="15.75" r="5" spans="1:31" thickBot="1" x14ac:dyDescent="0.3">
      <c r="A5" s="49" t="s">
        <v>231</v>
      </c>
      <c r="M5" s="71"/>
      <c r="N5" s="43"/>
      <c r="O5" s="43"/>
      <c r="P5" s="43"/>
      <c r="Q5" s="43"/>
      <c r="T5">
        <f>WorkLocationCoefficients!B13</f>
        <v>3</v>
      </c>
      <c r="U5" t="str">
        <f>WorkLocationCoefficients!C13</f>
        <v>Beta00003</v>
      </c>
      <c r="V5" s="53">
        <f>WorkLocationCoefficients!E13</f>
        <v>1.88565401973</v>
      </c>
      <c r="W5" s="58">
        <f si="0" t="shared"/>
        <v>1.88565401973</v>
      </c>
      <c r="Z5">
        <v>3</v>
      </c>
      <c r="AA5" s="97" t="s">
        <v>292</v>
      </c>
      <c r="AB5" s="97"/>
      <c r="AC5" s="97"/>
      <c r="AD5" s="97"/>
      <c r="AE5" s="97"/>
    </row>
    <row r="6" spans="1:31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2"/>
      <c r="N6" s="72"/>
      <c r="O6" s="72"/>
      <c r="P6" s="72"/>
      <c r="Q6" s="72"/>
      <c r="T6">
        <f>WorkLocationCoefficients!B14</f>
        <v>4</v>
      </c>
      <c r="U6" t="str">
        <f>WorkLocationCoefficients!C14</f>
        <v>Beta00004</v>
      </c>
      <c r="V6" s="53">
        <f>WorkLocationCoefficients!E14</f>
        <v>1.8034780813</v>
      </c>
      <c r="W6" s="58">
        <f si="0" t="shared"/>
        <v>1.8034780813</v>
      </c>
      <c r="Z6">
        <v>4</v>
      </c>
      <c r="AA6" s="97" t="s">
        <v>294</v>
      </c>
      <c r="AB6" s="97"/>
      <c r="AC6" s="97"/>
      <c r="AD6" s="97"/>
      <c r="AE6" s="97"/>
    </row>
    <row r="7" spans="1:31" x14ac:dyDescent="0.25">
      <c r="A7" s="48" t="s">
        <v>225</v>
      </c>
      <c r="B7" s="77">
        <f>SUM(TLFD!B11:B13)+0.5*(TLFD!B14)</f>
        <v>84610.939050000001</v>
      </c>
      <c r="C7" s="77">
        <f>SUM(TLFD!C11:C13)+0.5*(TLFD!C14)</f>
        <v>27581.903699999999</v>
      </c>
      <c r="D7" s="77">
        <f>SUM(TLFD!D11:D13)+0.5*(TLFD!D14)</f>
        <v>2735.6057499999997</v>
      </c>
      <c r="E7" s="77">
        <f>SUM(B7:D7)</f>
        <v>114928.4485</v>
      </c>
      <c r="G7" s="48" t="s">
        <v>225</v>
      </c>
      <c r="H7" s="77">
        <f>SUM(TLFD!H11:H13)+0.5*(TLFD!H14)</f>
        <v>205640</v>
      </c>
      <c r="I7" s="77">
        <f>SUM(TLFD!I11:I13)+0.5*(TLFD!I14)</f>
        <v>77774.5</v>
      </c>
      <c r="J7" s="77">
        <f>SUM(TLFD!J11:J13)+0.5*(TLFD!J14)</f>
        <v>22865</v>
      </c>
      <c r="K7" s="77">
        <f>SUM(H7:J7)</f>
        <v>306279.5</v>
      </c>
      <c r="M7" s="43"/>
      <c r="N7" s="63"/>
      <c r="O7" s="64"/>
      <c r="P7" s="64"/>
      <c r="Q7" s="63"/>
      <c r="T7">
        <f>WorkLocationCoefficients!B15</f>
        <v>5</v>
      </c>
      <c r="U7" t="str">
        <f>WorkLocationCoefficients!C15</f>
        <v>Beta00005</v>
      </c>
      <c r="V7" s="53">
        <f>WorkLocationCoefficients!E15</f>
        <v>0</v>
      </c>
      <c r="W7" s="58">
        <f si="0" t="shared"/>
        <v>0</v>
      </c>
      <c r="Z7" s="97">
        <v>5</v>
      </c>
      <c r="AA7" s="97" t="s">
        <v>283</v>
      </c>
      <c r="AB7" s="97"/>
      <c r="AC7" s="97"/>
      <c r="AD7" s="97"/>
      <c r="AE7" s="97"/>
    </row>
    <row r="8" spans="1:31" x14ac:dyDescent="0.25">
      <c r="A8" s="48" t="s">
        <v>226</v>
      </c>
      <c r="B8" s="77">
        <f>0.5*(TLFD!B14)+SUM(TLFD!B15:B20)</f>
        <v>523706.89454999991</v>
      </c>
      <c r="C8" s="77">
        <f>0.5*(TLFD!C14)+SUM(TLFD!C15:C20)</f>
        <v>136265.06459999998</v>
      </c>
      <c r="D8" s="77">
        <f>0.5*(TLFD!D14)+SUM(TLFD!D15:D20)</f>
        <v>24457.180849999997</v>
      </c>
      <c r="E8" s="77">
        <f>SUM(B8:D8)</f>
        <v>684429.1399999999</v>
      </c>
      <c r="G8" s="48" t="s">
        <v>226</v>
      </c>
      <c r="H8" s="77">
        <f>0.5*(TLFD!H14)+SUM(TLFD!H15:H20)</f>
        <v>455267</v>
      </c>
      <c r="I8" s="77">
        <f>0.5*(TLFD!I14)+SUM(TLFD!I15:I20)</f>
        <v>133399.5</v>
      </c>
      <c r="J8" s="77">
        <f>0.5*(TLFD!J14)+SUM(TLFD!J15:J20)</f>
        <v>38351</v>
      </c>
      <c r="K8" s="77">
        <f>SUM(H8:J8)</f>
        <v>627017.5</v>
      </c>
      <c r="M8" s="96" t="s">
        <v>257</v>
      </c>
      <c r="N8" s="63"/>
      <c r="O8" s="64"/>
      <c r="P8" s="64"/>
      <c r="Q8" s="63"/>
      <c r="T8" s="94">
        <f>WorkLocationCoefficients!B16</f>
        <v>6</v>
      </c>
      <c r="U8" s="94" t="str">
        <f>WorkLocationCoefficients!C16</f>
        <v>Beta00006</v>
      </c>
      <c r="V8" s="95">
        <f>WorkLocationCoefficients!E16</f>
        <v>1.1024115210600001</v>
      </c>
      <c r="W8" s="95">
        <f si="0" t="shared"/>
        <v>1.1024115210600001</v>
      </c>
      <c r="Z8" s="97"/>
      <c r="AA8" s="97"/>
      <c r="AB8" s="97"/>
      <c r="AC8" s="97"/>
      <c r="AD8" s="97"/>
      <c r="AE8" s="97"/>
    </row>
    <row r="9" spans="1:31" x14ac:dyDescent="0.25">
      <c r="A9" s="65" t="s">
        <v>227</v>
      </c>
      <c r="B9" s="79">
        <f>SUM(TLFD!B21:B101)</f>
        <v>776231.90599999973</v>
      </c>
      <c r="C9" s="79">
        <f>SUM(TLFD!C21:C101)</f>
        <v>173196.10349999994</v>
      </c>
      <c r="D9" s="79">
        <f>SUM(TLFD!D21:D101)</f>
        <v>34484.741099999999</v>
      </c>
      <c r="E9" s="79">
        <f>SUM(B9:D9)</f>
        <v>983912.75059999968</v>
      </c>
      <c r="G9" s="65" t="s">
        <v>227</v>
      </c>
      <c r="H9" s="79">
        <f>SUM(TLFD!H21:H101)</f>
        <v>750853</v>
      </c>
      <c r="I9" s="79">
        <f>SUM(TLFD!I21:I101)</f>
        <v>121635</v>
      </c>
      <c r="J9" s="79">
        <f>SUM(TLFD!J21:J101)</f>
        <v>29572</v>
      </c>
      <c r="K9" s="79">
        <f>SUM(H9:J9)</f>
        <v>902060</v>
      </c>
      <c r="M9" s="43" t="s">
        <v>258</v>
      </c>
      <c r="N9" s="63"/>
      <c r="O9" s="64"/>
      <c r="P9" s="64"/>
      <c r="Q9" s="63"/>
      <c r="T9" s="94">
        <f>WorkLocationCoefficients!B17</f>
        <v>7</v>
      </c>
      <c r="U9" s="94" t="str">
        <f>WorkLocationCoefficients!C17</f>
        <v>Beta00007</v>
      </c>
      <c r="V9" s="95">
        <f>WorkLocationCoefficients!E17</f>
        <v>-0.11176778012499999</v>
      </c>
      <c r="W9" s="95">
        <f si="0" t="shared"/>
        <v>4.7742490049980879E-2</v>
      </c>
      <c r="Z9" s="97"/>
      <c r="AA9" s="98" t="s">
        <v>284</v>
      </c>
      <c r="AB9" s="97"/>
      <c r="AC9" s="97"/>
      <c r="AD9" s="97"/>
      <c r="AE9" s="97"/>
    </row>
    <row ht="15.75" r="10" spans="1:31" thickBot="1" x14ac:dyDescent="0.3">
      <c r="A10" s="67" t="s">
        <v>4</v>
      </c>
      <c r="B10" s="80">
        <f>SUM(B7:B9)</f>
        <v>1384549.7395999995</v>
      </c>
      <c r="C10" s="80">
        <f ref="C10:E10" si="1" t="shared">SUM(C7:C9)</f>
        <v>337043.07179999992</v>
      </c>
      <c r="D10" s="80">
        <f si="1" t="shared"/>
        <v>61677.527699999991</v>
      </c>
      <c r="E10" s="80">
        <f si="1" t="shared"/>
        <v>1783270.3390999995</v>
      </c>
      <c r="F10" s="43"/>
      <c r="G10" s="67" t="s">
        <v>4</v>
      </c>
      <c r="H10" s="80">
        <f>SUM(H7:H9)</f>
        <v>1411760</v>
      </c>
      <c r="I10" s="80">
        <f ref="I10:K10" si="2" t="shared">SUM(I7:I9)</f>
        <v>332809</v>
      </c>
      <c r="J10" s="80">
        <f si="2" t="shared"/>
        <v>90788</v>
      </c>
      <c r="K10" s="80">
        <f si="2" t="shared"/>
        <v>1835357</v>
      </c>
      <c r="L10" s="43"/>
      <c r="M10" s="43" t="s">
        <v>259</v>
      </c>
      <c r="N10" s="43"/>
      <c r="O10" s="43"/>
      <c r="P10" s="43"/>
      <c r="Q10" s="43"/>
      <c r="T10" s="94">
        <f>WorkLocationCoefficients!B18</f>
        <v>8</v>
      </c>
      <c r="U10" s="94" t="str">
        <f>WorkLocationCoefficients!C18</f>
        <v>Beta00008</v>
      </c>
      <c r="V10" s="95">
        <f>WorkLocationCoefficients!E18</f>
        <v>-0.16334177843100001</v>
      </c>
      <c r="W10" s="95">
        <f si="0" t="shared"/>
        <v>-5.7934590798777913E-2</v>
      </c>
      <c r="Z10" s="97">
        <v>1</v>
      </c>
      <c r="AA10" s="41" t="s">
        <v>289</v>
      </c>
      <c r="AB10" s="97"/>
      <c r="AC10" s="97"/>
      <c r="AD10" s="97"/>
      <c r="AE10" s="97"/>
    </row>
    <row r="11" spans="1:31" x14ac:dyDescent="0.25">
      <c r="T11">
        <f>WorkLocationCoefficients!B19</f>
        <v>9</v>
      </c>
      <c r="U11" t="str">
        <f>WorkLocationCoefficients!C19</f>
        <v>Beta00009</v>
      </c>
      <c r="V11" s="53">
        <f>WorkLocationCoefficients!E19</f>
        <v>-1.5661461968899999</v>
      </c>
      <c r="W11" s="58">
        <f si="0" t="shared"/>
        <v>-1.5661461968899999</v>
      </c>
      <c r="Z11" s="97">
        <v>2</v>
      </c>
      <c r="AA11" s="97" t="s">
        <v>285</v>
      </c>
      <c r="AB11" s="97"/>
      <c r="AC11" s="97"/>
      <c r="AD11" s="97"/>
      <c r="AE11" s="97"/>
    </row>
    <row ht="15.75" r="12" spans="1:31" thickBot="1" x14ac:dyDescent="0.3">
      <c r="A12" s="60" t="s">
        <v>255</v>
      </c>
      <c r="M12" s="11" t="s">
        <v>236</v>
      </c>
      <c r="O12" t="s">
        <v>298</v>
      </c>
      <c r="P12">
        <v>1</v>
      </c>
      <c r="T12">
        <f>WorkLocationCoefficients!B20</f>
        <v>10</v>
      </c>
      <c r="U12" t="str">
        <f>WorkLocationCoefficients!C20</f>
        <v>Beta00010</v>
      </c>
      <c r="V12" s="53">
        <f>WorkLocationCoefficients!E20</f>
        <v>-0.66779675448800002</v>
      </c>
      <c r="W12" s="58">
        <f si="0" t="shared"/>
        <v>-0.66779675448800002</v>
      </c>
      <c r="Z12" s="97">
        <v>3</v>
      </c>
      <c r="AA12" s="97" t="s">
        <v>286</v>
      </c>
      <c r="AB12" s="97"/>
      <c r="AC12" s="97"/>
      <c r="AD12" s="97"/>
      <c r="AE12" s="97"/>
    </row>
    <row r="13" spans="1:31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237</v>
      </c>
      <c r="N13" s="5" t="s">
        <v>234</v>
      </c>
      <c r="O13" s="5" t="s">
        <v>232</v>
      </c>
      <c r="P13" s="5" t="s">
        <v>233</v>
      </c>
      <c r="Q13" s="5" t="s">
        <v>235</v>
      </c>
      <c r="R13" s="72" t="s">
        <v>299</v>
      </c>
      <c r="T13">
        <f>WorkLocationCoefficients!B21</f>
        <v>11</v>
      </c>
      <c r="U13" t="str">
        <f>WorkLocationCoefficients!C21</f>
        <v>Beta00011</v>
      </c>
      <c r="V13" s="53">
        <f>WorkLocationCoefficients!E21</f>
        <v>1.5169080773200001</v>
      </c>
      <c r="W13" s="58">
        <f si="0" t="shared"/>
        <v>1.5169080773200001</v>
      </c>
      <c r="Z13" s="97">
        <v>4</v>
      </c>
      <c r="AA13" s="97" t="s">
        <v>287</v>
      </c>
      <c r="AB13" s="97"/>
      <c r="AC13" s="97"/>
      <c r="AD13" s="97"/>
      <c r="AE13" s="97"/>
    </row>
    <row r="14" spans="1:31" x14ac:dyDescent="0.25">
      <c r="A14" s="48" t="s">
        <v>225</v>
      </c>
      <c r="B14" s="76">
        <f>B7/B$10</f>
        <v>6.1110797705573476E-2</v>
      </c>
      <c r="C14" s="68">
        <f ref="C14:E14" si="3" t="shared">C7/C$10</f>
        <v>8.1834952288730015E-2</v>
      </c>
      <c r="D14" s="68">
        <f si="3" t="shared"/>
        <v>4.4353362594331099E-2</v>
      </c>
      <c r="E14" s="68">
        <f si="3" t="shared"/>
        <v>6.4448135529469611E-2</v>
      </c>
      <c r="G14" s="48" t="s">
        <v>225</v>
      </c>
      <c r="H14" s="76">
        <f>H7/H$10</f>
        <v>0.14566215220717402</v>
      </c>
      <c r="I14" s="68">
        <f ref="I14:K14" si="4" t="shared">I7/I$10</f>
        <v>0.23369109609415611</v>
      </c>
      <c r="J14" s="68">
        <f si="4" t="shared"/>
        <v>0.25185046481913909</v>
      </c>
      <c r="K14" s="68">
        <f si="4" t="shared"/>
        <v>0.16687734320897787</v>
      </c>
      <c r="M14">
        <v>6</v>
      </c>
      <c r="N14" s="55">
        <f>V8</f>
        <v>1.1024115210600001</v>
      </c>
      <c r="O14" s="9">
        <f>B14/H14</f>
        <v>0.41953792923954686</v>
      </c>
      <c r="P14" s="103">
        <f>LN(O14)-LN(O$14)</f>
        <v>0</v>
      </c>
      <c r="Q14" s="54">
        <f>N14+P14</f>
        <v>1.1024115210600001</v>
      </c>
      <c r="T14">
        <f>WorkLocationCoefficients!B22</f>
        <v>12</v>
      </c>
      <c r="U14" t="str">
        <f>WorkLocationCoefficients!C22</f>
        <v>Beta00012</v>
      </c>
      <c r="V14" s="53">
        <f>WorkLocationCoefficients!E22</f>
        <v>9.6281119029700005E-2</v>
      </c>
      <c r="W14" s="58">
        <f si="0" t="shared"/>
        <v>9.6281119029700005E-2</v>
      </c>
      <c r="Z14" s="97">
        <v>5</v>
      </c>
      <c r="AA14" s="97" t="s">
        <v>291</v>
      </c>
      <c r="AB14" s="97"/>
      <c r="AC14" s="97"/>
      <c r="AD14" s="97"/>
      <c r="AE14" s="97"/>
    </row>
    <row r="15" spans="1:31" x14ac:dyDescent="0.25">
      <c r="A15" s="48" t="s">
        <v>226</v>
      </c>
      <c r="B15" s="76">
        <f ref="B15:E15" si="5" t="shared">B8/B$10</f>
        <v>0.37825069014949247</v>
      </c>
      <c r="C15" s="68">
        <f si="5" t="shared"/>
        <v>0.40429569987084368</v>
      </c>
      <c r="D15" s="68">
        <f si="5" t="shared"/>
        <v>0.3965330933652193</v>
      </c>
      <c r="E15" s="68">
        <f si="5" t="shared"/>
        <v>0.38380559862024349</v>
      </c>
      <c r="G15" s="48" t="s">
        <v>226</v>
      </c>
      <c r="H15" s="76">
        <f ref="H15:K15" si="6" t="shared">H8/H$10</f>
        <v>0.32248186660622202</v>
      </c>
      <c r="I15" s="68">
        <f si="6" t="shared"/>
        <v>0.40082900402332872</v>
      </c>
      <c r="J15" s="68">
        <f si="6" t="shared"/>
        <v>0.42242366832621053</v>
      </c>
      <c r="K15" s="68">
        <f si="6" t="shared"/>
        <v>0.34163244534986925</v>
      </c>
      <c r="M15">
        <v>7</v>
      </c>
      <c r="N15" s="55">
        <f ref="N15:N16" si="7" t="shared">V9</f>
        <v>-0.11176778012499999</v>
      </c>
      <c r="O15" s="9">
        <f>B15/H15</f>
        <v>1.1729363084199986</v>
      </c>
      <c r="P15" s="103">
        <f>R15*(LN(O15))</f>
        <v>0.15951027017498087</v>
      </c>
      <c r="Q15" s="54">
        <f>N15+P15</f>
        <v>4.7742490049980879E-2</v>
      </c>
      <c r="R15">
        <v>1</v>
      </c>
      <c r="T15">
        <f>WorkLocationCoefficients!B23</f>
        <v>13</v>
      </c>
      <c r="U15" t="str">
        <f>WorkLocationCoefficients!C23</f>
        <v>Beta00013</v>
      </c>
      <c r="V15" s="53">
        <f>WorkLocationCoefficients!E23</f>
        <v>8.7280108952199995E-2</v>
      </c>
      <c r="W15" s="58">
        <f si="0" t="shared"/>
        <v>8.7280108952199995E-2</v>
      </c>
      <c r="Z15" s="97">
        <v>6</v>
      </c>
      <c r="AA15" s="97" t="s">
        <v>293</v>
      </c>
      <c r="AB15" s="97"/>
      <c r="AC15" s="97"/>
      <c r="AD15" s="97"/>
      <c r="AE15" s="97"/>
    </row>
    <row r="16" spans="1:31" x14ac:dyDescent="0.25">
      <c r="A16" s="65" t="s">
        <v>227</v>
      </c>
      <c r="B16" s="76">
        <f ref="B16:E16" si="8" t="shared">B9/B$10</f>
        <v>0.5606385121449341</v>
      </c>
      <c r="C16" s="68">
        <f si="8" t="shared"/>
        <v>0.51386934784042626</v>
      </c>
      <c r="D16" s="68">
        <f si="8" t="shared"/>
        <v>0.55911354404044966</v>
      </c>
      <c r="E16" s="68">
        <f si="8" t="shared"/>
        <v>0.55174626585028697</v>
      </c>
      <c r="G16" s="65" t="s">
        <v>227</v>
      </c>
      <c r="H16" s="76">
        <f ref="H16:K16" si="9" t="shared">H9/H$10</f>
        <v>0.53185598118660393</v>
      </c>
      <c r="I16" s="68">
        <f si="9" t="shared"/>
        <v>0.36547989988251517</v>
      </c>
      <c r="J16" s="68">
        <f si="9" t="shared"/>
        <v>0.32572586685465038</v>
      </c>
      <c r="K16" s="68">
        <f si="9" t="shared"/>
        <v>0.49149021144115285</v>
      </c>
      <c r="L16" s="43"/>
      <c r="M16" s="6">
        <v>8</v>
      </c>
      <c r="N16" s="56">
        <f si="7" t="shared"/>
        <v>-0.16334177843100001</v>
      </c>
      <c r="O16" s="14">
        <f>B16/H16</f>
        <v>1.054117151966806</v>
      </c>
      <c r="P16" s="104">
        <f>R16*(LN(O16))</f>
        <v>0.10540718763222209</v>
      </c>
      <c r="Q16" s="57">
        <f>N16+P16</f>
        <v>-5.7934590798777913E-2</v>
      </c>
      <c r="R16">
        <v>2</v>
      </c>
      <c r="T16">
        <f>WorkLocationCoefficients!B24</f>
        <v>14</v>
      </c>
      <c r="U16" t="str">
        <f>WorkLocationCoefficients!C24</f>
        <v>Beta00014</v>
      </c>
      <c r="V16" s="53">
        <f>WorkLocationCoefficients!E24</f>
        <v>-0.65321648326299997</v>
      </c>
      <c r="W16" s="58">
        <f si="0" t="shared"/>
        <v>-0.65321648326299997</v>
      </c>
      <c r="Z16" s="97">
        <v>7</v>
      </c>
      <c r="AA16" s="97" t="s">
        <v>294</v>
      </c>
      <c r="AB16" s="97"/>
      <c r="AC16" s="97"/>
      <c r="AD16" s="97"/>
      <c r="AE16" s="97"/>
    </row>
    <row ht="15.75" r="17" spans="1:31" thickBot="1" x14ac:dyDescent="0.3">
      <c r="A17" s="67" t="s">
        <v>4</v>
      </c>
      <c r="B17" s="69">
        <f ref="B17" si="10" t="shared">B10/B$10</f>
        <v>1</v>
      </c>
      <c r="C17" s="69">
        <f ref="C17" si="11" t="shared">SUM(C14:C16)</f>
        <v>1</v>
      </c>
      <c r="D17" s="69">
        <f ref="D17" si="12" t="shared">SUM(D14:D16)</f>
        <v>1</v>
      </c>
      <c r="E17" s="69">
        <f ref="E17" si="13" t="shared">SUM(E14:E16)</f>
        <v>1</v>
      </c>
      <c r="F17" s="43"/>
      <c r="G17" s="67" t="s">
        <v>4</v>
      </c>
      <c r="H17" s="69">
        <f>SUM(H14:H16)</f>
        <v>1</v>
      </c>
      <c r="I17" s="69">
        <f ref="I17" si="14" t="shared">SUM(I14:I16)</f>
        <v>1</v>
      </c>
      <c r="J17" s="69">
        <f ref="J17" si="15" t="shared">SUM(J14:J16)</f>
        <v>1</v>
      </c>
      <c r="K17" s="69">
        <f ref="K17" si="16" t="shared">SUM(K14:K16)</f>
        <v>1</v>
      </c>
      <c r="L17" s="43"/>
      <c r="M17" s="43"/>
      <c r="N17" s="63"/>
      <c r="O17" s="64"/>
      <c r="P17" s="64"/>
      <c r="Q17" s="63"/>
      <c r="T17">
        <f>WorkLocationCoefficients!B25</f>
        <v>15</v>
      </c>
      <c r="U17" t="str">
        <f>WorkLocationCoefficients!C25</f>
        <v>Beta00015</v>
      </c>
      <c r="V17" s="53">
        <f>WorkLocationCoefficients!E25</f>
        <v>-2.0836558474400002</v>
      </c>
      <c r="W17" s="58">
        <f si="0" t="shared"/>
        <v>-2.0836558474400002</v>
      </c>
      <c r="Z17" s="97">
        <v>8</v>
      </c>
      <c r="AA17" s="97" t="s">
        <v>288</v>
      </c>
      <c r="AB17" s="97"/>
      <c r="AC17" s="97"/>
      <c r="AD17" s="97"/>
      <c r="AE17" s="97"/>
    </row>
    <row r="18" spans="1:31" x14ac:dyDescent="0.25">
      <c r="A18" s="61"/>
      <c r="B18" s="62"/>
      <c r="C18" s="62"/>
      <c r="D18" s="62"/>
      <c r="E18" s="62"/>
      <c r="F18" s="43"/>
      <c r="G18" s="61"/>
      <c r="H18" s="62"/>
      <c r="I18" s="62"/>
      <c r="J18" s="62"/>
      <c r="K18" s="62"/>
      <c r="L18" s="43"/>
      <c r="M18" s="43"/>
      <c r="N18" s="63"/>
      <c r="O18" s="64"/>
      <c r="P18" s="64"/>
      <c r="Q18" s="63"/>
      <c r="T18">
        <f>WorkLocationCoefficients!B26</f>
        <v>16</v>
      </c>
      <c r="U18" t="str">
        <f>WorkLocationCoefficients!C26</f>
        <v>Beta00016</v>
      </c>
      <c r="V18" s="53">
        <f>WorkLocationCoefficients!E26</f>
        <v>0.12841955786000001</v>
      </c>
      <c r="W18" s="58">
        <f si="0" t="shared"/>
        <v>0.12841955786000001</v>
      </c>
    </row>
    <row r="19" spans="1:31" x14ac:dyDescent="0.25">
      <c r="A19" s="61"/>
      <c r="B19" s="62"/>
      <c r="C19" s="62"/>
      <c r="D19" s="62"/>
      <c r="E19" s="62"/>
      <c r="F19" s="43"/>
      <c r="G19" s="61"/>
      <c r="H19" s="62"/>
      <c r="I19" s="62"/>
      <c r="J19" s="62"/>
      <c r="K19" s="62"/>
      <c r="L19" s="43"/>
      <c r="M19" s="43"/>
      <c r="N19" s="63"/>
      <c r="O19" s="64"/>
      <c r="P19" s="64"/>
      <c r="Q19" s="63"/>
      <c r="R19" s="7"/>
      <c r="T19">
        <f>WorkLocationCoefficients!B27</f>
        <v>17</v>
      </c>
      <c r="U19" t="str">
        <f>WorkLocationCoefficients!C27</f>
        <v>Beta00017</v>
      </c>
      <c r="V19" s="53">
        <f>WorkLocationCoefficients!E27</f>
        <v>5.0032634056299999E-2</v>
      </c>
      <c r="W19" s="58">
        <f si="0" t="shared"/>
        <v>5.0032634056299999E-2</v>
      </c>
    </row>
    <row r="20" spans="1:31" x14ac:dyDescent="0.25">
      <c r="A20" s="43"/>
      <c r="B20" s="62"/>
      <c r="C20" s="62"/>
      <c r="D20" s="62"/>
      <c r="E20" s="62"/>
      <c r="F20" s="43"/>
      <c r="G20" s="43"/>
      <c r="H20" s="62"/>
      <c r="I20" s="62"/>
      <c r="J20" s="62"/>
      <c r="K20" s="62"/>
      <c r="L20" s="43"/>
      <c r="M20" s="43"/>
      <c r="N20" s="43"/>
      <c r="O20" s="43"/>
      <c r="P20" s="64"/>
      <c r="Q20" s="43"/>
      <c r="T20">
        <f>WorkLocationCoefficients!B28</f>
        <v>18</v>
      </c>
      <c r="U20" t="str">
        <f>WorkLocationCoefficients!C28</f>
        <v>Beta00018</v>
      </c>
      <c r="V20" s="53">
        <f>WorkLocationCoefficients!E28</f>
        <v>3.4162126485399999E-2</v>
      </c>
      <c r="W20" s="58">
        <f si="0" t="shared"/>
        <v>3.4162126485399999E-2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53">
        <f>WorkLocationCoefficients!E29</f>
        <v>2.06192780063E-2</v>
      </c>
      <c r="W21" s="58">
        <f si="0" t="shared"/>
        <v>2.06192780063E-2</v>
      </c>
    </row>
    <row r="22" spans="1:31" x14ac:dyDescent="0.25">
      <c r="N22" s="50"/>
      <c r="Q22" s="51"/>
      <c r="T22">
        <f>WorkLocationCoefficients!B30</f>
        <v>20</v>
      </c>
      <c r="U22" t="str">
        <f>WorkLocationCoefficients!C30</f>
        <v>Beta00020</v>
      </c>
      <c r="V22" s="53">
        <f>WorkLocationCoefficients!E30</f>
        <v>0.70980117649899999</v>
      </c>
      <c r="W22" s="58">
        <f si="0" t="shared"/>
        <v>0.70980117649899999</v>
      </c>
    </row>
    <row r="23" spans="1:31" x14ac:dyDescent="0.25">
      <c r="A23" s="60" t="s">
        <v>254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f>WorkLocationCoefficients!B31</f>
        <v>21</v>
      </c>
      <c r="U23" t="str">
        <f>WorkLocationCoefficients!C31</f>
        <v>Beta00021</v>
      </c>
      <c r="V23" s="53">
        <f>WorkLocationCoefficients!E31</f>
        <v>-0.21233099600700001</v>
      </c>
      <c r="W23" s="58">
        <f si="0" t="shared"/>
        <v>-0.21233099600700001</v>
      </c>
    </row>
    <row ht="15.75" r="24" spans="1:31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f>WorkLocationCoefficients!B32</f>
        <v>22</v>
      </c>
      <c r="U24" t="str">
        <f>WorkLocationCoefficients!C32</f>
        <v>Beta00022</v>
      </c>
      <c r="V24" s="53">
        <f>WorkLocationCoefficients!E32</f>
        <v>-0.100909331694</v>
      </c>
      <c r="W24" s="58">
        <f si="0" t="shared"/>
        <v>-0.100909331694</v>
      </c>
    </row>
    <row r="25" spans="1:31" x14ac:dyDescent="0.25">
      <c r="A25" s="5"/>
      <c r="B25" s="5" t="s">
        <v>256</v>
      </c>
      <c r="C25" s="70"/>
      <c r="D25" s="70"/>
      <c r="E25" s="70"/>
      <c r="G25" s="5"/>
      <c r="H25" s="5" t="s">
        <v>256</v>
      </c>
      <c r="I25" s="70"/>
      <c r="J25" s="70"/>
      <c r="K25" s="70"/>
      <c r="M25" s="72"/>
      <c r="N25" s="72"/>
      <c r="O25" s="72"/>
      <c r="P25" s="72"/>
      <c r="Q25" s="72"/>
      <c r="T25">
        <f>WorkLocationCoefficients!B33</f>
        <v>23</v>
      </c>
      <c r="U25" t="str">
        <f>WorkLocationCoefficients!C33</f>
        <v>Beta00023</v>
      </c>
      <c r="V25" s="53">
        <f>WorkLocationCoefficients!E33</f>
        <v>4.2307356465000001E-2</v>
      </c>
      <c r="W25" s="58">
        <f si="0" t="shared"/>
        <v>4.2307356465000001E-2</v>
      </c>
    </row>
    <row r="26" spans="1:31" x14ac:dyDescent="0.25">
      <c r="A26" s="66" t="s">
        <v>228</v>
      </c>
      <c r="B26" s="89">
        <f>WorkAtHome!E14</f>
        <v>4404.1235999999999</v>
      </c>
      <c r="C26" s="73"/>
      <c r="D26" s="73"/>
      <c r="E26" s="73"/>
      <c r="G26" s="66" t="s">
        <v>228</v>
      </c>
      <c r="H26" s="89">
        <f>WorkAtHome!L14</f>
        <v>72348</v>
      </c>
      <c r="I26" s="73"/>
      <c r="J26" s="73"/>
      <c r="K26" s="73"/>
      <c r="L26" s="43"/>
      <c r="M26" s="43"/>
      <c r="N26" s="63"/>
      <c r="O26" s="64"/>
      <c r="P26" s="64"/>
      <c r="Q26" s="63"/>
      <c r="T26">
        <f>WorkLocationCoefficients!B34</f>
        <v>24</v>
      </c>
      <c r="U26" t="str">
        <f>WorkLocationCoefficients!C34</f>
        <v>Beta00024</v>
      </c>
      <c r="V26" s="53">
        <f>WorkLocationCoefficients!E34</f>
        <v>3.0386300234600001E-2</v>
      </c>
      <c r="W26" s="58">
        <f si="0" t="shared"/>
        <v>3.0386300234600001E-2</v>
      </c>
    </row>
    <row ht="15.75" r="27" spans="1:31" thickBot="1" x14ac:dyDescent="0.3">
      <c r="A27" s="67" t="s">
        <v>4</v>
      </c>
      <c r="B27" s="80">
        <f>WorkAtHome!E25</f>
        <v>1817236.162</v>
      </c>
      <c r="G27" s="67" t="s">
        <v>4</v>
      </c>
      <c r="H27" s="80">
        <f>WorkAtHome!L25</f>
        <v>1835357</v>
      </c>
      <c r="I27" s="7"/>
      <c r="J27" s="7"/>
      <c r="K27" s="7"/>
      <c r="M27" s="43"/>
      <c r="N27" s="43"/>
      <c r="O27" s="43"/>
      <c r="P27" s="43"/>
      <c r="Q27" s="43"/>
      <c r="T27">
        <f>WorkLocationCoefficients!B35</f>
        <v>25</v>
      </c>
      <c r="U27" t="str">
        <f>WorkLocationCoefficients!C35</f>
        <v>Beta00025</v>
      </c>
      <c r="V27" s="53">
        <f>WorkLocationCoefficients!E35</f>
        <v>0.21754461703899999</v>
      </c>
      <c r="W27" s="58">
        <f si="0" t="shared"/>
        <v>0.21754461703899999</v>
      </c>
    </row>
    <row r="28" spans="1:31" x14ac:dyDescent="0.25">
      <c r="T28">
        <f>WorkLocationCoefficients!B36</f>
        <v>26</v>
      </c>
      <c r="U28" t="str">
        <f>WorkLocationCoefficients!C36</f>
        <v>Beta00026</v>
      </c>
      <c r="V28" s="53">
        <f>WorkLocationCoefficients!E36</f>
        <v>0</v>
      </c>
      <c r="W28" s="58">
        <f si="0" t="shared"/>
        <v>0</v>
      </c>
    </row>
    <row ht="15.75" r="29" spans="1:31" thickBot="1" x14ac:dyDescent="0.3">
      <c r="A29" t="s">
        <v>255</v>
      </c>
      <c r="T29">
        <f>WorkLocationCoefficients!B37</f>
        <v>27</v>
      </c>
      <c r="U29" t="str">
        <f>WorkLocationCoefficients!C37</f>
        <v>Beta00027</v>
      </c>
      <c r="V29" s="53">
        <f>WorkLocationCoefficients!E37</f>
        <v>-9.1127176217099995E-2</v>
      </c>
      <c r="W29" s="58">
        <f si="0" t="shared"/>
        <v>-9.1127176217099995E-2</v>
      </c>
    </row>
    <row r="30" spans="1:31" x14ac:dyDescent="0.25">
      <c r="A30" s="5"/>
      <c r="B30" s="5" t="s">
        <v>256</v>
      </c>
      <c r="C30" s="70"/>
      <c r="D30" s="70"/>
      <c r="E30" s="70"/>
      <c r="G30" s="5"/>
      <c r="H30" s="5" t="s">
        <v>256</v>
      </c>
      <c r="I30" s="70"/>
      <c r="J30" s="70"/>
      <c r="K30" s="70"/>
      <c r="M30" s="5" t="s">
        <v>237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f>WorkLocationCoefficients!B38</f>
        <v>28</v>
      </c>
      <c r="U30" t="str">
        <f>WorkLocationCoefficients!C38</f>
        <v>Beta00028</v>
      </c>
      <c r="V30" s="53">
        <f>WorkLocationCoefficients!E38</f>
        <v>4.6096337213499997E-2</v>
      </c>
      <c r="W30" s="58">
        <f si="0" t="shared"/>
        <v>4.6096337213499997E-2</v>
      </c>
    </row>
    <row r="31" spans="1:31" x14ac:dyDescent="0.25">
      <c r="A31" s="66" t="s">
        <v>228</v>
      </c>
      <c r="B31" s="75">
        <f>B26/B27</f>
        <v>2.4235284835807708E-3</v>
      </c>
      <c r="C31" s="73"/>
      <c r="D31" s="73"/>
      <c r="E31" s="73"/>
      <c r="G31" s="66" t="s">
        <v>228</v>
      </c>
      <c r="H31" s="75">
        <f>H26/H27</f>
        <v>3.9419034008097605E-2</v>
      </c>
      <c r="I31" s="73"/>
      <c r="J31" s="73"/>
      <c r="K31" s="73"/>
      <c r="M31" s="6">
        <v>41</v>
      </c>
      <c r="N31" s="56">
        <f>V39</f>
        <v>2.5</v>
      </c>
      <c r="O31" s="14">
        <f>B31/H31</f>
        <v>6.1481173868515412E-2</v>
      </c>
      <c r="P31" s="14">
        <f>LN(O31)</f>
        <v>-2.7890242669918179</v>
      </c>
      <c r="Q31" s="57">
        <f ref="Q31" si="17" t="shared">N31+P31</f>
        <v>-0.28902426699181794</v>
      </c>
      <c r="T31">
        <f>WorkLocationCoefficients!B39</f>
        <v>29</v>
      </c>
      <c r="U31" t="str">
        <f>WorkLocationCoefficients!C39</f>
        <v>Beta00029</v>
      </c>
      <c r="V31" s="53">
        <f>WorkLocationCoefficients!E39</f>
        <v>0</v>
      </c>
      <c r="W31" s="58">
        <f si="0" t="shared"/>
        <v>0</v>
      </c>
    </row>
    <row ht="15.75" r="32" spans="1:31" thickBot="1" x14ac:dyDescent="0.3">
      <c r="A32" s="67" t="s">
        <v>4</v>
      </c>
      <c r="B32" s="74">
        <f>B27/B27</f>
        <v>1</v>
      </c>
      <c r="G32" s="67" t="s">
        <v>4</v>
      </c>
      <c r="H32" s="74">
        <f>H27/H27</f>
        <v>1</v>
      </c>
      <c r="T32">
        <f>WorkLocationCoefficients!B40</f>
        <v>30</v>
      </c>
      <c r="U32" t="str">
        <f>WorkLocationCoefficients!C40</f>
        <v>Beta00030</v>
      </c>
      <c r="V32" s="53">
        <f>WorkLocationCoefficients!E40</f>
        <v>-6.3121901013000001E-3</v>
      </c>
      <c r="W32" s="58">
        <f si="0" t="shared"/>
        <v>-6.3121901013000001E-3</v>
      </c>
    </row>
    <row r="33" spans="20:23" x14ac:dyDescent="0.25">
      <c r="T33">
        <f>WorkLocationCoefficients!B41</f>
        <v>31</v>
      </c>
      <c r="U33" t="str">
        <f>WorkLocationCoefficients!C41</f>
        <v>Beta00031</v>
      </c>
      <c r="V33" s="53">
        <f>WorkLocationCoefficients!E41</f>
        <v>-0.13401376001099999</v>
      </c>
      <c r="W33" s="58">
        <f si="0" t="shared"/>
        <v>-0.13401376001099999</v>
      </c>
    </row>
    <row r="34" spans="20:23" x14ac:dyDescent="0.25">
      <c r="T34">
        <f>WorkLocationCoefficients!B42</f>
        <v>32</v>
      </c>
      <c r="U34" t="str">
        <f>WorkLocationCoefficients!C42</f>
        <v>Beta00032</v>
      </c>
      <c r="V34" s="53">
        <f>WorkLocationCoefficients!E42</f>
        <v>0.15253604736900001</v>
      </c>
      <c r="W34" s="58">
        <f si="0" t="shared"/>
        <v>0.15253604736900001</v>
      </c>
    </row>
    <row r="35" spans="20:23" x14ac:dyDescent="0.25">
      <c r="T35">
        <f>WorkLocationCoefficients!B43</f>
        <v>33</v>
      </c>
      <c r="U35" t="str">
        <f>WorkLocationCoefficients!C43</f>
        <v>Beta00033</v>
      </c>
      <c r="V35" s="53">
        <f>WorkLocationCoefficients!E43</f>
        <v>-0.25509812605400001</v>
      </c>
      <c r="W35" s="58">
        <f si="0" t="shared"/>
        <v>-0.25509812605400001</v>
      </c>
    </row>
    <row r="36" spans="20:23" x14ac:dyDescent="0.25">
      <c r="T36">
        <f>WorkLocationCoefficients!B44</f>
        <v>34</v>
      </c>
      <c r="U36" t="str">
        <f>WorkLocationCoefficients!C44</f>
        <v>Beta00034</v>
      </c>
      <c r="V36" s="53">
        <f>WorkLocationCoefficients!E44</f>
        <v>0.16041234343999999</v>
      </c>
      <c r="W36" s="58">
        <f si="0" t="shared"/>
        <v>0.16041234343999999</v>
      </c>
    </row>
    <row r="37" spans="20:23" x14ac:dyDescent="0.25">
      <c r="T37">
        <f>WorkLocationCoefficients!B45</f>
        <v>35</v>
      </c>
      <c r="U37" t="str">
        <f>WorkLocationCoefficients!C45</f>
        <v>Beta00035</v>
      </c>
      <c r="V37" s="53">
        <f>WorkLocationCoefficients!E45</f>
        <v>0.15648588405700001</v>
      </c>
      <c r="W37" s="58">
        <f si="0" t="shared"/>
        <v>0.15648588405700001</v>
      </c>
    </row>
    <row r="38" spans="20:23" x14ac:dyDescent="0.25">
      <c r="T38">
        <f>WorkLocationCoefficients!B46</f>
        <v>36</v>
      </c>
      <c r="U38" t="str">
        <f>WorkLocationCoefficients!C46</f>
        <v>Beta00036</v>
      </c>
      <c r="V38" s="53">
        <f>WorkLocationCoefficients!E46</f>
        <v>-0.21178599557</v>
      </c>
      <c r="W38" s="58">
        <f si="0" t="shared"/>
        <v>-0.21178599557</v>
      </c>
    </row>
    <row r="39" spans="20:23" x14ac:dyDescent="0.25">
      <c r="T39" s="94">
        <f>WorkLocationCoefficients!B47</f>
        <v>41</v>
      </c>
      <c r="U39" s="94" t="str">
        <f>WorkLocationCoefficients!C47</f>
        <v>Beta00041</v>
      </c>
      <c r="V39" s="95">
        <f>WorkLocationCoefficients!E47</f>
        <v>2.5</v>
      </c>
      <c r="W39" s="95">
        <f si="0" t="shared"/>
        <v>-0.28902426699181794</v>
      </c>
    </row>
    <row r="40" spans="20:23" x14ac:dyDescent="0.25">
      <c r="T40">
        <f>WorkLocationCoefficients!B48</f>
        <v>42</v>
      </c>
      <c r="U40" t="str">
        <f>WorkLocationCoefficients!C48</f>
        <v>Beta00042</v>
      </c>
      <c r="V40" s="53">
        <f>WorkLocationCoefficients!E48</f>
        <v>1.73714658904</v>
      </c>
      <c r="W40" s="58">
        <f si="0" t="shared"/>
        <v>1.73714658904</v>
      </c>
    </row>
    <row r="41" spans="20:23" x14ac:dyDescent="0.25">
      <c r="T41">
        <f>WorkLocationCoefficients!B49</f>
        <v>43</v>
      </c>
      <c r="U41" t="str">
        <f>WorkLocationCoefficients!C49</f>
        <v>Beta00043</v>
      </c>
      <c r="V41" s="53">
        <f>WorkLocationCoefficients!E49</f>
        <v>2.4212998718800001</v>
      </c>
      <c r="W41" s="58">
        <f si="0" t="shared"/>
        <v>2.4212998718800001</v>
      </c>
    </row>
    <row r="42" spans="20:23" x14ac:dyDescent="0.25">
      <c r="T42">
        <f>WorkLocationCoefficients!B50</f>
        <v>44</v>
      </c>
      <c r="U42" t="str">
        <f>WorkLocationCoefficients!C50</f>
        <v>Beta00044</v>
      </c>
      <c r="V42" s="53">
        <f>WorkLocationCoefficients!E50</f>
        <v>-0.66840803487400002</v>
      </c>
      <c r="W42" s="58">
        <f si="0" t="shared"/>
        <v>-0.66840803487400002</v>
      </c>
    </row>
    <row r="43" spans="20:23" x14ac:dyDescent="0.25">
      <c r="T43">
        <f>WorkLocationCoefficients!B51</f>
        <v>46</v>
      </c>
      <c r="U43" t="str">
        <f>WorkLocationCoefficients!C51</f>
        <v>Distover20</v>
      </c>
      <c r="V43" s="53">
        <f>WorkLocationCoefficients!E51</f>
        <v>0</v>
      </c>
      <c r="W43" s="58">
        <f si="0" t="shared"/>
        <v>0</v>
      </c>
    </row>
    <row r="44" spans="20:23" x14ac:dyDescent="0.25">
      <c r="T44">
        <f>WorkLocationCoefficients!B52</f>
        <v>47</v>
      </c>
      <c r="U44" t="str">
        <f>WorkLocationCoefficients!C52</f>
        <v>Distover30</v>
      </c>
      <c r="V44" s="53">
        <f>WorkLocationCoefficients!E52</f>
        <v>0</v>
      </c>
      <c r="W44" s="58">
        <f si="0" t="shared"/>
        <v>0</v>
      </c>
    </row>
    <row r="45" spans="20:23" x14ac:dyDescent="0.25">
      <c r="T45">
        <f>WorkLocationCoefficients!B53</f>
        <v>48</v>
      </c>
      <c r="U45" t="str">
        <f>WorkLocationCoefficients!C53</f>
        <v>Distover40</v>
      </c>
      <c r="V45" s="53">
        <f>WorkLocationCoefficients!E53</f>
        <v>0</v>
      </c>
      <c r="W45" s="58">
        <f si="0" t="shared"/>
        <v>0</v>
      </c>
    </row>
    <row r="46" spans="20:23" x14ac:dyDescent="0.25">
      <c r="T46">
        <f>WorkLocationCoefficients!B54</f>
        <v>49</v>
      </c>
      <c r="U46" t="str">
        <f>WorkLocationCoefficients!C54</f>
        <v>Beta00049</v>
      </c>
      <c r="V46" s="53">
        <f>WorkLocationCoefficients!E54</f>
        <v>-4</v>
      </c>
      <c r="W46" s="58">
        <f si="0" t="shared"/>
        <v>-4</v>
      </c>
    </row>
    <row r="47" spans="20:23" x14ac:dyDescent="0.25">
      <c r="T47">
        <f>WorkLocationCoefficients!B55</f>
        <v>50</v>
      </c>
      <c r="U47" t="str">
        <f>WorkLocationCoefficients!C55</f>
        <v>LSM_050</v>
      </c>
      <c r="V47" s="53">
        <f>WorkLocationCoefficients!E55</f>
        <v>0.75</v>
      </c>
      <c r="W47" s="58">
        <f si="0" t="shared"/>
        <v>0.75</v>
      </c>
    </row>
    <row r="48" spans="20:23" x14ac:dyDescent="0.25">
      <c r="T48">
        <f>WorkLocationCoefficients!B56</f>
        <v>51</v>
      </c>
      <c r="U48" t="str">
        <f>WorkLocationCoefficients!C56</f>
        <v>Gamma51</v>
      </c>
      <c r="V48" s="53">
        <f>WorkLocationCoefficients!E56</f>
        <v>-0.49700583154299999</v>
      </c>
      <c r="W48" s="58">
        <f si="0" t="shared"/>
        <v>-0.49700583154299999</v>
      </c>
    </row>
    <row r="49" spans="20:23" x14ac:dyDescent="0.25">
      <c r="T49">
        <f>WorkLocationCoefficients!B57</f>
        <v>52</v>
      </c>
      <c r="U49" t="str">
        <f>WorkLocationCoefficients!C57</f>
        <v>Gamma52</v>
      </c>
      <c r="V49" s="53">
        <f>WorkLocationCoefficients!E57</f>
        <v>0</v>
      </c>
      <c r="W49" s="58">
        <f si="0" t="shared"/>
        <v>0</v>
      </c>
    </row>
    <row r="50" spans="20:23" x14ac:dyDescent="0.25">
      <c r="T50">
        <f>WorkLocationCoefficients!B58</f>
        <v>53</v>
      </c>
      <c r="U50" t="str">
        <f>WorkLocationCoefficients!C58</f>
        <v>Gamma53</v>
      </c>
      <c r="V50" s="53">
        <f>WorkLocationCoefficients!E58</f>
        <v>-0.605690877287</v>
      </c>
      <c r="W50" s="58">
        <f si="0" t="shared"/>
        <v>-0.605690877287</v>
      </c>
    </row>
    <row r="51" spans="20:23" x14ac:dyDescent="0.25">
      <c r="T51">
        <f>WorkLocationCoefficients!B59</f>
        <v>54</v>
      </c>
      <c r="U51" t="str">
        <f>WorkLocationCoefficients!C59</f>
        <v>Gamma54</v>
      </c>
      <c r="V51" s="53">
        <f>WorkLocationCoefficients!E59</f>
        <v>-30</v>
      </c>
      <c r="W51" s="58">
        <f si="0" t="shared"/>
        <v>-30</v>
      </c>
    </row>
    <row r="52" spans="20:23" x14ac:dyDescent="0.25">
      <c r="T52">
        <f>WorkLocationCoefficients!B60</f>
        <v>55</v>
      </c>
      <c r="U52" t="str">
        <f>WorkLocationCoefficients!C60</f>
        <v>Gamma55</v>
      </c>
      <c r="V52" s="53">
        <f>WorkLocationCoefficients!E60</f>
        <v>-0.51316052694199998</v>
      </c>
      <c r="W52" s="58">
        <f si="0" t="shared"/>
        <v>-0.51316052694199998</v>
      </c>
    </row>
    <row r="53" spans="20:23" x14ac:dyDescent="0.25">
      <c r="T53">
        <f>WorkLocationCoefficients!B61</f>
        <v>56</v>
      </c>
      <c r="U53" t="str">
        <f>WorkLocationCoefficients!C61</f>
        <v>Gamma56</v>
      </c>
      <c r="V53" s="53">
        <f>WorkLocationCoefficients!E61</f>
        <v>-0.64943027957999999</v>
      </c>
      <c r="W53" s="58">
        <f si="0" t="shared"/>
        <v>-0.64943027957999999</v>
      </c>
    </row>
    <row r="54" spans="20:23" x14ac:dyDescent="0.25">
      <c r="T54">
        <f>WorkLocationCoefficients!B62</f>
        <v>57</v>
      </c>
      <c r="U54" t="str">
        <f>WorkLocationCoefficients!C62</f>
        <v>Gamma57</v>
      </c>
      <c r="V54" s="53">
        <f>WorkLocationCoefficients!E62</f>
        <v>-0.29326002292699999</v>
      </c>
      <c r="W54" s="58">
        <f si="0" t="shared"/>
        <v>-0.29326002292699999</v>
      </c>
    </row>
    <row r="55" spans="20:23" x14ac:dyDescent="0.25">
      <c r="T55">
        <f>WorkLocationCoefficients!B63</f>
        <v>58</v>
      </c>
      <c r="U55" t="str">
        <f>WorkLocationCoefficients!C63</f>
        <v>Gamma58</v>
      </c>
      <c r="V55" s="53">
        <f>WorkLocationCoefficients!E63</f>
        <v>-1.5090651052799999</v>
      </c>
      <c r="W55" s="58">
        <f si="0" t="shared"/>
        <v>-1.5090651052799999</v>
      </c>
    </row>
    <row r="56" spans="20:23" x14ac:dyDescent="0.25">
      <c r="T56">
        <f>WorkLocationCoefficients!B64</f>
        <v>59</v>
      </c>
      <c r="U56" t="str">
        <f>WorkLocationCoefficients!C64</f>
        <v>Gamma59</v>
      </c>
      <c r="V56" s="53">
        <f>WorkLocationCoefficients!E64</f>
        <v>-1.36938286579</v>
      </c>
      <c r="W56" s="58">
        <f si="0" t="shared"/>
        <v>-1.36938286579</v>
      </c>
    </row>
    <row r="57" spans="20:23" x14ac:dyDescent="0.25">
      <c r="T57">
        <f>WorkLocationCoefficients!B65</f>
        <v>60</v>
      </c>
      <c r="U57" t="str">
        <f>WorkLocationCoefficients!C65</f>
        <v>Gamma60</v>
      </c>
      <c r="V57" s="53">
        <f>WorkLocationCoefficients!E65</f>
        <v>-0.93751237680199995</v>
      </c>
      <c r="W57" s="58">
        <f si="0" t="shared"/>
        <v>-0.93751237680199995</v>
      </c>
    </row>
    <row r="58" spans="20:23" x14ac:dyDescent="0.25">
      <c r="T58">
        <f>WorkLocationCoefficients!B66</f>
        <v>61</v>
      </c>
      <c r="U58" t="str">
        <f>WorkLocationCoefficients!C66</f>
        <v>Gamma61</v>
      </c>
      <c r="V58" s="53">
        <f>WorkLocationCoefficients!E66</f>
        <v>-0.92340114333900003</v>
      </c>
      <c r="W58" s="58">
        <f si="0" t="shared"/>
        <v>-0.92340114333900003</v>
      </c>
    </row>
    <row r="59" spans="20:23" x14ac:dyDescent="0.25">
      <c r="T59">
        <f>WorkLocationCoefficients!B67</f>
        <v>62</v>
      </c>
      <c r="U59" t="str">
        <f>WorkLocationCoefficients!C67</f>
        <v>Gamma62</v>
      </c>
      <c r="V59" s="53">
        <f>WorkLocationCoefficients!E67</f>
        <v>-30</v>
      </c>
      <c r="W59" s="58">
        <f si="0" t="shared"/>
        <v>-30</v>
      </c>
    </row>
    <row r="60" spans="20:23" x14ac:dyDescent="0.25">
      <c r="T60">
        <f>WorkLocationCoefficients!B68</f>
        <v>63</v>
      </c>
      <c r="U60" t="str">
        <f>WorkLocationCoefficients!C68</f>
        <v>Gamma63</v>
      </c>
      <c r="V60" s="53">
        <f>WorkLocationCoefficients!E68</f>
        <v>-3</v>
      </c>
      <c r="W60" s="58">
        <f si="0" t="shared"/>
        <v>-3</v>
      </c>
    </row>
    <row r="61" spans="20:23" x14ac:dyDescent="0.25">
      <c r="T61">
        <f>WorkLocationCoefficients!B69</f>
        <v>64</v>
      </c>
      <c r="U61" t="str">
        <f>WorkLocationCoefficients!C69</f>
        <v>Gamma64</v>
      </c>
      <c r="V61" s="53">
        <f>WorkLocationCoefficients!E69</f>
        <v>-2.1492277890199998</v>
      </c>
      <c r="W61" s="58">
        <f si="0" t="shared"/>
        <v>-2.1492277890199998</v>
      </c>
    </row>
    <row r="62" spans="20:23" x14ac:dyDescent="0.25">
      <c r="T62">
        <f>WorkLocationCoefficients!B70</f>
        <v>65</v>
      </c>
      <c r="U62" t="str">
        <f>WorkLocationCoefficients!C70</f>
        <v>Gamma65</v>
      </c>
      <c r="V62" s="53">
        <f>WorkLocationCoefficients!E70</f>
        <v>-19.9689285352</v>
      </c>
      <c r="W62" s="58">
        <f si="0" t="shared"/>
        <v>-19.9689285352</v>
      </c>
    </row>
    <row r="63" spans="20:23" x14ac:dyDescent="0.25">
      <c r="T63">
        <f>WorkLocationCoefficients!B71</f>
        <v>66</v>
      </c>
      <c r="U63" t="str">
        <f>WorkLocationCoefficients!C71</f>
        <v>Gamma66</v>
      </c>
      <c r="V63" s="53">
        <f>WorkLocationCoefficients!E71</f>
        <v>-0.46116498409599999</v>
      </c>
      <c r="W63" s="58">
        <f si="0" t="shared"/>
        <v>-0.46116498409599999</v>
      </c>
    </row>
    <row r="64" spans="20:23" x14ac:dyDescent="0.25">
      <c r="T64">
        <f>WorkLocationCoefficients!B72</f>
        <v>67</v>
      </c>
      <c r="U64" t="str">
        <f>WorkLocationCoefficients!C72</f>
        <v>Gamma67</v>
      </c>
      <c r="V64" s="53">
        <f>WorkLocationCoefficients!E72</f>
        <v>-0.79765455241399996</v>
      </c>
      <c r="W64" s="58">
        <f si="0" t="shared"/>
        <v>-0.79765455241399996</v>
      </c>
    </row>
    <row r="65" spans="20:23" x14ac:dyDescent="0.25">
      <c r="T65">
        <f>WorkLocationCoefficients!B73</f>
        <v>68</v>
      </c>
      <c r="U65" t="str">
        <f>WorkLocationCoefficients!C73</f>
        <v>Gamma68</v>
      </c>
      <c r="V65" s="53">
        <f>WorkLocationCoefficients!E73</f>
        <v>-14.701499999999999</v>
      </c>
      <c r="W65" s="58">
        <f si="0" t="shared"/>
        <v>-14.701499999999999</v>
      </c>
    </row>
    <row r="66" spans="20:23" x14ac:dyDescent="0.25">
      <c r="T66">
        <f>WorkLocationCoefficients!B74</f>
        <v>69</v>
      </c>
      <c r="U66" t="str">
        <f>WorkLocationCoefficients!C74</f>
        <v>Gamma69</v>
      </c>
      <c r="V66" s="53">
        <f>WorkLocationCoefficients!E74</f>
        <v>-1.5107843774800001</v>
      </c>
      <c r="W66" s="58">
        <f si="0" t="shared"/>
        <v>-1.5107843774800001</v>
      </c>
    </row>
    <row r="67" spans="20:23" x14ac:dyDescent="0.25">
      <c r="T67">
        <f>WorkLocationCoefficients!B75</f>
        <v>70</v>
      </c>
      <c r="U67" t="str">
        <f>WorkLocationCoefficients!C75</f>
        <v>Gamma70</v>
      </c>
      <c r="V67" s="53">
        <f>WorkLocationCoefficients!E75</f>
        <v>-0.96563188399400002</v>
      </c>
      <c r="W67" s="58">
        <f si="0" t="shared"/>
        <v>-0.96563188399400002</v>
      </c>
    </row>
    <row r="68" spans="20:23" x14ac:dyDescent="0.25">
      <c r="T68">
        <f>WorkLocationCoefficients!B76</f>
        <v>71</v>
      </c>
      <c r="U68" t="str">
        <f>WorkLocationCoefficients!C76</f>
        <v>Gamma71</v>
      </c>
      <c r="V68" s="53">
        <f>WorkLocationCoefficients!E76</f>
        <v>-26.857069753499999</v>
      </c>
      <c r="W68" s="58">
        <f ref="W68:W80" si="18" t="shared">_xlfn.IFNA(VLOOKUP(T68,$M$13:$Q$31,5,FALSE),V68)</f>
        <v>-26.857069753499999</v>
      </c>
    </row>
    <row r="69" spans="20:23" x14ac:dyDescent="0.25">
      <c r="T69">
        <f>WorkLocationCoefficients!B77</f>
        <v>72</v>
      </c>
      <c r="U69" t="str">
        <f>WorkLocationCoefficients!C77</f>
        <v>Gamma72</v>
      </c>
      <c r="V69" s="53">
        <f>WorkLocationCoefficients!E77</f>
        <v>-2.0562930258900001</v>
      </c>
      <c r="W69" s="58">
        <f si="18" t="shared"/>
        <v>-2.0562930258900001</v>
      </c>
    </row>
    <row r="70" spans="20:23" x14ac:dyDescent="0.25">
      <c r="T70">
        <f>WorkLocationCoefficients!B78</f>
        <v>73</v>
      </c>
      <c r="U70" t="str">
        <f>WorkLocationCoefficients!C78</f>
        <v>Gamma73</v>
      </c>
      <c r="V70" s="53">
        <f>WorkLocationCoefficients!E78</f>
        <v>-0.61032158496099997</v>
      </c>
      <c r="W70" s="58">
        <f si="18" t="shared"/>
        <v>-0.61032158496099997</v>
      </c>
    </row>
    <row r="71" spans="20:23" x14ac:dyDescent="0.25">
      <c r="T71">
        <f>WorkLocationCoefficients!B79</f>
        <v>74</v>
      </c>
      <c r="U71" t="str">
        <f>WorkLocationCoefficients!C79</f>
        <v>Gamma74</v>
      </c>
      <c r="V71" s="53">
        <f>WorkLocationCoefficients!E79</f>
        <v>-0.83667988805899995</v>
      </c>
      <c r="W71" s="58">
        <f si="18" t="shared"/>
        <v>-0.83667988805899995</v>
      </c>
    </row>
    <row r="72" spans="20:23" x14ac:dyDescent="0.25">
      <c r="T72">
        <f>WorkLocationCoefficients!B80</f>
        <v>75</v>
      </c>
      <c r="U72" t="str">
        <f>WorkLocationCoefficients!C80</f>
        <v>Gamma75</v>
      </c>
      <c r="V72" s="53">
        <f>WorkLocationCoefficients!E80</f>
        <v>-4.8688475256299997</v>
      </c>
      <c r="W72" s="58">
        <f si="18" t="shared"/>
        <v>-4.8688475256299997</v>
      </c>
    </row>
    <row r="73" spans="20:23" x14ac:dyDescent="0.25">
      <c r="T73">
        <f>WorkLocationCoefficients!B81</f>
        <v>76</v>
      </c>
      <c r="U73" t="str">
        <f>WorkLocationCoefficients!C81</f>
        <v>Gamma76</v>
      </c>
      <c r="V73" s="53">
        <f>WorkLocationCoefficients!E81</f>
        <v>-0.88437463824600004</v>
      </c>
      <c r="W73" s="58">
        <f si="18" t="shared"/>
        <v>-0.88437463824600004</v>
      </c>
    </row>
    <row r="74" spans="20:23" x14ac:dyDescent="0.25">
      <c r="T74">
        <f>WorkLocationCoefficients!B82</f>
        <v>77</v>
      </c>
      <c r="U74" t="str">
        <f>WorkLocationCoefficients!C82</f>
        <v>Gamma77</v>
      </c>
      <c r="V74" s="53">
        <f>WorkLocationCoefficients!E82</f>
        <v>-11.698399999999999</v>
      </c>
      <c r="W74" s="58">
        <f si="18" t="shared"/>
        <v>-11.698399999999999</v>
      </c>
    </row>
    <row r="75" spans="20:23" x14ac:dyDescent="0.25">
      <c r="T75">
        <f>WorkLocationCoefficients!B83</f>
        <v>78</v>
      </c>
      <c r="U75" t="str">
        <f>WorkLocationCoefficients!C83</f>
        <v>Gamma78</v>
      </c>
      <c r="V75" s="53">
        <f>WorkLocationCoefficients!E83</f>
        <v>-30.3398858485</v>
      </c>
      <c r="W75" s="58">
        <f si="18" t="shared"/>
        <v>-30.3398858485</v>
      </c>
    </row>
    <row r="76" spans="20:23" x14ac:dyDescent="0.25">
      <c r="T76">
        <f>WorkLocationCoefficients!B84</f>
        <v>79</v>
      </c>
      <c r="U76" t="str">
        <f>WorkLocationCoefficients!C84</f>
        <v>Gamma79</v>
      </c>
      <c r="V76" s="53">
        <f>WorkLocationCoefficients!E84</f>
        <v>1.40262934456</v>
      </c>
      <c r="W76" s="58">
        <f si="18" t="shared"/>
        <v>1.40262934456</v>
      </c>
    </row>
    <row r="77" spans="20:23" x14ac:dyDescent="0.25">
      <c r="T77">
        <f>WorkLocationCoefficients!B85</f>
        <v>80</v>
      </c>
      <c r="U77" t="str">
        <f>WorkLocationCoefficients!C85</f>
        <v>Gamma80</v>
      </c>
      <c r="V77" s="53">
        <f>WorkLocationCoefficients!E85</f>
        <v>0</v>
      </c>
      <c r="W77" s="58">
        <f si="18" t="shared"/>
        <v>0</v>
      </c>
    </row>
    <row r="78" spans="20:23" x14ac:dyDescent="0.25">
      <c r="T78">
        <f>WorkLocationCoefficients!B86</f>
        <v>89</v>
      </c>
      <c r="U78" t="str">
        <f>WorkLocationCoefficients!C86</f>
        <v>Gamma89</v>
      </c>
      <c r="V78" s="53">
        <f>WorkLocationCoefficients!E86</f>
        <v>0</v>
      </c>
      <c r="W78" s="58">
        <f si="18" t="shared"/>
        <v>0</v>
      </c>
    </row>
    <row r="79" spans="20:23" x14ac:dyDescent="0.25">
      <c r="T79">
        <f>WorkLocationCoefficients!B87</f>
        <v>90</v>
      </c>
      <c r="U79" t="str">
        <f>WorkLocationCoefficients!C87</f>
        <v>Gamma90</v>
      </c>
      <c r="V79" s="53">
        <f>WorkLocationCoefficients!E87</f>
        <v>-80</v>
      </c>
      <c r="W79" s="58">
        <f si="18" t="shared"/>
        <v>-80</v>
      </c>
    </row>
    <row r="80" spans="20:23" x14ac:dyDescent="0.25">
      <c r="T80">
        <f>WorkLocationCoefficients!B88</f>
        <v>98</v>
      </c>
      <c r="U80" t="str">
        <f>WorkLocationCoefficients!C88</f>
        <v>Nest</v>
      </c>
      <c r="V80" s="53">
        <f>WorkLocationCoefficients!E88</f>
        <v>0.247098934499</v>
      </c>
      <c r="W80" s="58">
        <f si="18" t="shared"/>
        <v>0.247098934499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2017-10-26T15:42:00Z</dcterms:modified>
</cp:coreProperties>
</file>