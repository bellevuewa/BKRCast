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72DB81E4-1C0B-4D4D-BABD-1892602FA334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R32" i="6" s="1"/>
  <c r="P31" i="6"/>
  <c r="O31" i="6"/>
  <c r="N31" i="6"/>
  <c r="M31" i="6" s="1"/>
  <c r="P30" i="6"/>
  <c r="O30" i="6"/>
  <c r="N30" i="6"/>
  <c r="R30" i="6" s="1"/>
  <c r="P29" i="6"/>
  <c r="O29" i="6"/>
  <c r="N29" i="6"/>
  <c r="R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M4" i="6" s="1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M30" i="6" l="1"/>
  <c r="M32" i="6"/>
  <c r="D26" i="6"/>
  <c r="R31" i="6"/>
  <c r="D23" i="6"/>
  <c r="D24" i="6"/>
  <c r="D25" i="6"/>
  <c r="Q53" i="6"/>
  <c r="M29" i="6"/>
  <c r="M42" i="6"/>
  <c r="M39" i="6"/>
  <c r="Q95" i="6"/>
  <c r="Q99" i="6"/>
  <c r="Q22" i="6"/>
  <c r="Q93" i="6"/>
  <c r="Q16" i="6"/>
  <c r="Q63" i="6"/>
  <c r="Q9" i="6"/>
  <c r="Q54" i="6"/>
  <c r="Q66" i="6"/>
  <c r="Q55" i="6"/>
  <c r="Q74" i="6"/>
  <c r="Q19" i="6"/>
  <c r="Q75" i="6"/>
  <c r="Q60" i="6"/>
  <c r="Q77" i="6"/>
  <c r="Q17" i="6"/>
  <c r="Q78" i="6"/>
  <c r="Q23" i="6"/>
  <c r="Q79" i="6"/>
  <c r="Q28" i="6"/>
  <c r="Q12" i="6"/>
  <c r="Q21" i="6"/>
  <c r="Q26" i="6"/>
  <c r="Q80" i="6"/>
  <c r="Q46" i="6"/>
  <c r="Q56" i="6"/>
  <c r="Q20" i="6"/>
  <c r="Q27" i="6"/>
  <c r="Q84" i="6"/>
  <c r="Q18" i="6"/>
  <c r="Q85" i="6"/>
  <c r="Q61" i="6"/>
  <c r="Q15" i="6"/>
  <c r="Q86" i="6"/>
  <c r="Q44" i="6"/>
  <c r="Q87" i="6"/>
  <c r="Q59" i="6"/>
  <c r="Q45" i="6"/>
  <c r="Q88" i="6"/>
  <c r="Q11" i="6"/>
  <c r="Q13" i="6"/>
  <c r="Q14" i="6"/>
  <c r="Q47" i="6"/>
  <c r="Q89" i="6"/>
  <c r="Q48" i="6"/>
  <c r="Q91" i="6"/>
  <c r="Q50" i="6"/>
  <c r="Q8" i="6"/>
  <c r="Q62" i="6"/>
  <c r="Q104" i="6"/>
  <c r="Q49" i="6"/>
  <c r="Q81" i="6"/>
  <c r="Q90" i="6"/>
  <c r="Q25" i="6"/>
  <c r="Q64" i="6"/>
  <c r="Q92" i="6"/>
  <c r="Q82" i="6"/>
  <c r="Q65" i="6"/>
  <c r="Q94" i="6"/>
  <c r="Q33" i="6"/>
  <c r="Q67" i="6"/>
  <c r="Q96" i="6"/>
  <c r="Q34" i="6"/>
  <c r="Q68" i="6"/>
  <c r="Q97" i="6"/>
  <c r="Q57" i="6"/>
  <c r="Q83" i="6"/>
  <c r="Q3" i="6"/>
  <c r="Q35" i="6"/>
  <c r="Q69" i="6"/>
  <c r="Q98" i="6"/>
  <c r="Q51" i="6"/>
  <c r="Q4" i="6"/>
  <c r="Q36" i="6"/>
  <c r="Q70" i="6"/>
  <c r="Q101" i="6"/>
  <c r="Q5" i="6"/>
  <c r="Q37" i="6"/>
  <c r="Q71" i="6"/>
  <c r="Q102" i="6"/>
  <c r="Q6" i="6"/>
  <c r="Q38" i="6"/>
  <c r="Q72" i="6"/>
  <c r="Q103" i="6"/>
  <c r="Q58" i="6"/>
  <c r="Q7" i="6"/>
  <c r="Q43" i="6"/>
  <c r="Q73" i="6"/>
  <c r="M40" i="6"/>
  <c r="M82" i="6"/>
  <c r="M25" i="6"/>
  <c r="M54" i="6"/>
  <c r="Q24" i="6"/>
  <c r="Q52" i="6"/>
  <c r="Q76" i="6"/>
  <c r="Q100" i="6"/>
  <c r="Q10" i="6"/>
  <c r="D5" i="6" l="1"/>
  <c r="G7" i="6"/>
  <c r="D7" i="6"/>
  <c r="G6" i="6"/>
  <c r="D6" i="6"/>
  <c r="G5" i="6"/>
  <c r="G4" i="6"/>
  <c r="D4" i="6"/>
  <c r="G8" i="6" l="1"/>
  <c r="G16" i="6" s="1"/>
  <c r="D8" i="6"/>
  <c r="H15" i="1"/>
  <c r="J13" i="1"/>
  <c r="G13" i="6" l="1"/>
  <c r="G14" i="6"/>
  <c r="G15" i="6"/>
  <c r="G12" i="6"/>
  <c r="D13" i="6"/>
  <c r="D16" i="6"/>
  <c r="D12" i="6"/>
  <c r="D15" i="6"/>
  <c r="D14" i="6"/>
  <c r="S15" i="1"/>
  <c r="U13" i="1"/>
  <c r="I15" i="6" l="1"/>
  <c r="J15" i="6" s="1"/>
  <c r="I13" i="6"/>
  <c r="J13" i="6" s="1"/>
  <c r="I14" i="6"/>
  <c r="J14" i="6" s="1"/>
  <c r="I12" i="6"/>
  <c r="J12" i="6" s="1"/>
  <c r="K12" i="6" s="1"/>
  <c r="D33" i="6" s="1"/>
  <c r="D43" i="6" s="1"/>
  <c r="D26" i="1"/>
  <c r="E26" i="1"/>
  <c r="F26" i="1"/>
  <c r="G26" i="1"/>
  <c r="H26" i="1"/>
  <c r="B26" i="1"/>
  <c r="C26" i="1"/>
  <c r="S28" i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Q39" i="6" l="1"/>
  <c r="Q29" i="6"/>
  <c r="K13" i="6"/>
  <c r="D34" i="6" s="1"/>
  <c r="D44" i="6" s="1"/>
  <c r="Q30" i="6" s="1"/>
  <c r="K15" i="6"/>
  <c r="D36" i="6" s="1"/>
  <c r="D46" i="6" s="1"/>
  <c r="Q32" i="6" s="1"/>
  <c r="Q42" i="6"/>
  <c r="K14" i="6"/>
  <c r="D35" i="6" s="1"/>
  <c r="D45" i="6" s="1"/>
  <c r="Q31" i="6" s="1"/>
  <c r="Q40" i="6"/>
  <c r="Q41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O21" i="1"/>
  <c r="P21" i="1"/>
  <c r="Q21" i="1"/>
  <c r="R21" i="1"/>
  <c r="O22" i="1"/>
  <c r="P22" i="1"/>
  <c r="Q22" i="1"/>
  <c r="R22" i="1"/>
  <c r="O23" i="1"/>
  <c r="P23" i="1"/>
  <c r="Q23" i="1"/>
  <c r="R23" i="1"/>
  <c r="O24" i="1"/>
  <c r="P24" i="1"/>
  <c r="Q24" i="1"/>
  <c r="R24" i="1"/>
  <c r="O25" i="1"/>
  <c r="P25" i="1"/>
  <c r="Q25" i="1"/>
  <c r="R25" i="1"/>
  <c r="Q20" i="1"/>
  <c r="R20" i="1"/>
  <c r="E23" i="1"/>
  <c r="F23" i="1"/>
  <c r="G23" i="1"/>
  <c r="E24" i="1"/>
  <c r="F24" i="1"/>
  <c r="G24" i="1"/>
  <c r="E25" i="1"/>
  <c r="F25" i="1"/>
  <c r="G25" i="1"/>
  <c r="U23" i="1" l="1"/>
  <c r="U24" i="1"/>
  <c r="U25" i="1"/>
  <c r="M23" i="1"/>
  <c r="N23" i="1"/>
  <c r="M24" i="1"/>
  <c r="N24" i="1"/>
  <c r="M25" i="1"/>
  <c r="N25" i="1"/>
  <c r="B23" i="1"/>
  <c r="C23" i="1"/>
  <c r="D23" i="1"/>
  <c r="B24" i="1"/>
  <c r="C24" i="1"/>
  <c r="D24" i="1"/>
  <c r="B25" i="1"/>
  <c r="C25" i="1"/>
  <c r="D25" i="1"/>
  <c r="U7" i="1"/>
  <c r="M15" i="1"/>
  <c r="C15" i="1"/>
  <c r="D15" i="1"/>
  <c r="E15" i="1"/>
  <c r="I15" i="1"/>
  <c r="B15" i="1"/>
  <c r="J8" i="1"/>
  <c r="J9" i="1"/>
  <c r="J14" i="1"/>
  <c r="J7" i="1"/>
  <c r="H20" i="1" l="1"/>
  <c r="J23" i="1"/>
  <c r="J24" i="1"/>
  <c r="J25" i="1"/>
  <c r="F20" i="1"/>
  <c r="G20" i="1"/>
  <c r="J15" i="1"/>
  <c r="N15" i="1"/>
  <c r="N28" i="1" s="1"/>
  <c r="O15" i="1"/>
  <c r="O28" i="1" s="1"/>
  <c r="P15" i="1"/>
  <c r="P28" i="1" s="1"/>
  <c r="T15" i="1"/>
  <c r="M28" i="1"/>
  <c r="U8" i="1"/>
  <c r="H21" i="1" s="1"/>
  <c r="U9" i="1"/>
  <c r="H22" i="1" s="1"/>
  <c r="U14" i="1"/>
  <c r="D20" i="1"/>
  <c r="N22" i="1"/>
  <c r="M22" i="1"/>
  <c r="N21" i="1"/>
  <c r="M21" i="1"/>
  <c r="P20" i="1"/>
  <c r="O20" i="1"/>
  <c r="N20" i="1"/>
  <c r="M20" i="1"/>
  <c r="I28" i="1"/>
  <c r="J27" i="1"/>
  <c r="F102" i="4"/>
  <c r="G101" i="4" s="1"/>
  <c r="B102" i="4"/>
  <c r="C102" i="4" s="1"/>
  <c r="F102" i="3"/>
  <c r="G101" i="3" s="1"/>
  <c r="B102" i="3"/>
  <c r="C13" i="3" s="1"/>
  <c r="H28" i="1" l="1"/>
  <c r="U22" i="1"/>
  <c r="F22" i="1"/>
  <c r="G22" i="1"/>
  <c r="E22" i="1"/>
  <c r="C21" i="1"/>
  <c r="E21" i="1"/>
  <c r="F21" i="1"/>
  <c r="F28" i="1" s="1"/>
  <c r="G21" i="1"/>
  <c r="G28" i="1" s="1"/>
  <c r="C11" i="4"/>
  <c r="C25" i="4"/>
  <c r="C49" i="4"/>
  <c r="C81" i="4"/>
  <c r="C41" i="4"/>
  <c r="C17" i="4"/>
  <c r="C97" i="4"/>
  <c r="C19" i="4"/>
  <c r="C73" i="4"/>
  <c r="C33" i="4"/>
  <c r="C65" i="4"/>
  <c r="C15" i="4"/>
  <c r="C27" i="4"/>
  <c r="C57" i="4"/>
  <c r="C89" i="4"/>
  <c r="B22" i="1"/>
  <c r="B21" i="1"/>
  <c r="U21" i="1"/>
  <c r="G30" i="4"/>
  <c r="C20" i="1"/>
  <c r="G46" i="4"/>
  <c r="G62" i="4"/>
  <c r="C35" i="4"/>
  <c r="C43" i="4"/>
  <c r="C51" i="4"/>
  <c r="C59" i="4"/>
  <c r="C67" i="4"/>
  <c r="C75" i="4"/>
  <c r="C83" i="4"/>
  <c r="C91" i="4"/>
  <c r="C101" i="4"/>
  <c r="U15" i="1"/>
  <c r="U28" i="1" s="1"/>
  <c r="C31" i="4"/>
  <c r="C47" i="4"/>
  <c r="C63" i="4"/>
  <c r="C79" i="4"/>
  <c r="C87" i="4"/>
  <c r="C95" i="4"/>
  <c r="G94" i="4"/>
  <c r="C23" i="4"/>
  <c r="C39" i="4"/>
  <c r="C55" i="4"/>
  <c r="C71" i="4"/>
  <c r="C13" i="4"/>
  <c r="C21" i="4"/>
  <c r="C29" i="4"/>
  <c r="C37" i="4"/>
  <c r="C45" i="4"/>
  <c r="C53" i="4"/>
  <c r="C61" i="4"/>
  <c r="C69" i="4"/>
  <c r="C77" i="4"/>
  <c r="C85" i="4"/>
  <c r="C93" i="4"/>
  <c r="G14" i="4"/>
  <c r="G78" i="4"/>
  <c r="D21" i="1"/>
  <c r="D22" i="1"/>
  <c r="C22" i="1"/>
  <c r="B20" i="1"/>
  <c r="U20" i="1"/>
  <c r="E20" i="1"/>
  <c r="C99" i="4"/>
  <c r="G22" i="4"/>
  <c r="G38" i="4"/>
  <c r="G54" i="4"/>
  <c r="G70" i="4"/>
  <c r="G86" i="4"/>
  <c r="G102" i="4"/>
  <c r="G18" i="4"/>
  <c r="G34" i="4"/>
  <c r="G50" i="4"/>
  <c r="G66" i="4"/>
  <c r="G82" i="4"/>
  <c r="G98" i="4"/>
  <c r="G26" i="4"/>
  <c r="G42" i="4"/>
  <c r="G58" i="4"/>
  <c r="G74" i="4"/>
  <c r="G90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02" i="3"/>
  <c r="C98" i="3"/>
  <c r="C92" i="3"/>
  <c r="C82" i="3"/>
  <c r="C28" i="3"/>
  <c r="C11" i="3"/>
  <c r="C100" i="3"/>
  <c r="C96" i="3"/>
  <c r="C94" i="3"/>
  <c r="C90" i="3"/>
  <c r="C88" i="3"/>
  <c r="C86" i="3"/>
  <c r="C84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S35" i="1" l="1"/>
  <c r="S37" i="1"/>
  <c r="M39" i="1"/>
  <c r="S34" i="1"/>
  <c r="N39" i="1"/>
  <c r="P39" i="1"/>
  <c r="S36" i="1"/>
  <c r="S38" i="1"/>
  <c r="S39" i="1"/>
  <c r="S33" i="1"/>
  <c r="O39" i="1"/>
  <c r="R39" i="1"/>
  <c r="Q39" i="1"/>
  <c r="P41" i="1"/>
  <c r="U39" i="1"/>
  <c r="S41" i="1"/>
  <c r="R41" i="1"/>
  <c r="Q41" i="1"/>
  <c r="R38" i="1"/>
  <c r="Q38" i="1"/>
  <c r="Q33" i="1"/>
  <c r="R33" i="1"/>
  <c r="P36" i="1"/>
  <c r="O34" i="1"/>
  <c r="O37" i="1"/>
  <c r="R34" i="1"/>
  <c r="Q36" i="1"/>
  <c r="O36" i="1"/>
  <c r="P37" i="1"/>
  <c r="R35" i="1"/>
  <c r="Q37" i="1"/>
  <c r="Q34" i="1"/>
  <c r="P35" i="1"/>
  <c r="O35" i="1"/>
  <c r="Q35" i="1"/>
  <c r="P38" i="1"/>
  <c r="R37" i="1"/>
  <c r="O38" i="1"/>
  <c r="P34" i="1"/>
  <c r="R36" i="1"/>
  <c r="P33" i="1"/>
  <c r="U41" i="1"/>
  <c r="U36" i="1"/>
  <c r="U37" i="1"/>
  <c r="U38" i="1"/>
  <c r="M36" i="1"/>
  <c r="N36" i="1"/>
  <c r="M37" i="1"/>
  <c r="N37" i="1"/>
  <c r="M38" i="1"/>
  <c r="N38" i="1"/>
  <c r="U35" i="1"/>
  <c r="M41" i="1"/>
  <c r="O41" i="1"/>
  <c r="U33" i="1"/>
  <c r="J22" i="1"/>
  <c r="B28" i="1"/>
  <c r="T41" i="1"/>
  <c r="N34" i="1"/>
  <c r="N41" i="1"/>
  <c r="M34" i="1"/>
  <c r="C28" i="1"/>
  <c r="J21" i="1"/>
  <c r="E28" i="1"/>
  <c r="U34" i="1"/>
  <c r="N33" i="1"/>
  <c r="M33" i="1"/>
  <c r="N35" i="1"/>
  <c r="M35" i="1"/>
  <c r="O33" i="1"/>
  <c r="D28" i="1"/>
  <c r="J20" i="1"/>
  <c r="J28" i="1" l="1"/>
  <c r="G39" i="1" l="1"/>
  <c r="AC39" i="1" s="1"/>
  <c r="F39" i="1"/>
  <c r="AB39" i="1" s="1"/>
  <c r="C39" i="1"/>
  <c r="Y39" i="1" s="1"/>
  <c r="B39" i="1"/>
  <c r="X39" i="1" s="1"/>
  <c r="E39" i="1"/>
  <c r="AA39" i="1" s="1"/>
  <c r="D39" i="1"/>
  <c r="Z39" i="1" s="1"/>
  <c r="H39" i="1"/>
  <c r="AD39" i="1" s="1"/>
  <c r="H36" i="1"/>
  <c r="AD36" i="1" s="1"/>
  <c r="H38" i="1"/>
  <c r="AD38" i="1" s="1"/>
  <c r="H37" i="1"/>
  <c r="AD37" i="1" s="1"/>
  <c r="H33" i="1"/>
  <c r="AD33" i="1" s="1"/>
  <c r="H35" i="1"/>
  <c r="AD35" i="1" s="1"/>
  <c r="H34" i="1"/>
  <c r="AD34" i="1" s="1"/>
  <c r="J39" i="1"/>
  <c r="AF39" i="1" s="1"/>
  <c r="H41" i="1"/>
  <c r="AD41" i="1" s="1"/>
  <c r="F41" i="1"/>
  <c r="AB41" i="1" s="1"/>
  <c r="G41" i="1"/>
  <c r="AC41" i="1" s="1"/>
  <c r="E37" i="1"/>
  <c r="AA37" i="1" s="1"/>
  <c r="G36" i="1"/>
  <c r="AC36" i="1" s="1"/>
  <c r="F36" i="1"/>
  <c r="AB36" i="1" s="1"/>
  <c r="G37" i="1"/>
  <c r="AC37" i="1" s="1"/>
  <c r="F38" i="1"/>
  <c r="AB38" i="1" s="1"/>
  <c r="F37" i="1"/>
  <c r="AB37" i="1" s="1"/>
  <c r="E36" i="1"/>
  <c r="AA36" i="1" s="1"/>
  <c r="E38" i="1"/>
  <c r="AA38" i="1" s="1"/>
  <c r="G38" i="1"/>
  <c r="AC38" i="1" s="1"/>
  <c r="G33" i="1"/>
  <c r="AC33" i="1" s="1"/>
  <c r="F33" i="1"/>
  <c r="AB33" i="1" s="1"/>
  <c r="F34" i="1"/>
  <c r="AB34" i="1" s="1"/>
  <c r="E35" i="1"/>
  <c r="AA35" i="1" s="1"/>
  <c r="E34" i="1"/>
  <c r="AA34" i="1" s="1"/>
  <c r="F35" i="1"/>
  <c r="AB35" i="1" s="1"/>
  <c r="G35" i="1"/>
  <c r="AC35" i="1" s="1"/>
  <c r="G34" i="1"/>
  <c r="AC34" i="1" s="1"/>
  <c r="J33" i="1"/>
  <c r="AF33" i="1" s="1"/>
  <c r="J37" i="1"/>
  <c r="AF37" i="1" s="1"/>
  <c r="C37" i="1"/>
  <c r="Y37" i="1" s="1"/>
  <c r="D38" i="1"/>
  <c r="Z38" i="1" s="1"/>
  <c r="C36" i="1"/>
  <c r="Y36" i="1" s="1"/>
  <c r="D37" i="1"/>
  <c r="Z37" i="1" s="1"/>
  <c r="C38" i="1"/>
  <c r="Y38" i="1" s="1"/>
  <c r="B38" i="1"/>
  <c r="X38" i="1" s="1"/>
  <c r="B36" i="1"/>
  <c r="X36" i="1" s="1"/>
  <c r="D36" i="1"/>
  <c r="Z36" i="1" s="1"/>
  <c r="B37" i="1"/>
  <c r="X37" i="1" s="1"/>
  <c r="J38" i="1"/>
  <c r="AF38" i="1" s="1"/>
  <c r="J36" i="1"/>
  <c r="AF36" i="1" s="1"/>
  <c r="J41" i="1"/>
  <c r="AF41" i="1" s="1"/>
  <c r="C33" i="1"/>
  <c r="Y33" i="1" s="1"/>
  <c r="C41" i="1"/>
  <c r="Y41" i="1" s="1"/>
  <c r="B34" i="1"/>
  <c r="X34" i="1" s="1"/>
  <c r="E41" i="1"/>
  <c r="AA41" i="1" s="1"/>
  <c r="E33" i="1"/>
  <c r="AA33" i="1" s="1"/>
  <c r="D41" i="1"/>
  <c r="Z41" i="1" s="1"/>
  <c r="D34" i="1"/>
  <c r="Z34" i="1" s="1"/>
  <c r="I41" i="1"/>
  <c r="AE41" i="1" s="1"/>
  <c r="J35" i="1"/>
  <c r="AF35" i="1" s="1"/>
  <c r="D33" i="1"/>
  <c r="Z33" i="1" s="1"/>
  <c r="J34" i="1"/>
  <c r="AF34" i="1" s="1"/>
  <c r="B35" i="1"/>
  <c r="X35" i="1" s="1"/>
  <c r="D35" i="1"/>
  <c r="Z35" i="1" s="1"/>
  <c r="B33" i="1"/>
  <c r="X33" i="1" s="1"/>
  <c r="C34" i="1"/>
  <c r="Y34" i="1" s="1"/>
  <c r="C35" i="1"/>
  <c r="Y35" i="1" s="1"/>
  <c r="B41" i="1"/>
  <c r="X41" i="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<sst xmlns="http://schemas.openxmlformats.org/spreadsheetml/2006/main" count="716" uniqueCount="284">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</sst>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47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2" fillId="0" borderId="0" xfId="8" applyNumberFormat="1" applyFont="1" applyAlignment="1"/>
    <xf numFmtId="169" fontId="0" fillId="0" borderId="0" xfId="8" applyNumberFormat="1" applyFont="1"/>
    <xf numFmtId="169" fontId="0" fillId="0" borderId="3" xfId="8" applyNumberFormat="1" applyFont="1" applyBorder="1"/>
    <xf numFmtId="169" fontId="0" fillId="0" borderId="1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3.8755046744568762E-2</c:v>
                </c:pt>
                <c:pt idx="1">
                  <c:v>4.7319613156775193E-2</c:v>
                </c:pt>
                <c:pt idx="2">
                  <c:v>6.7350451629088218E-2</c:v>
                </c:pt>
                <c:pt idx="3">
                  <c:v>9.5204809711818078E-2</c:v>
                </c:pt>
                <c:pt idx="4">
                  <c:v>0.16049894832170436</c:v>
                </c:pt>
                <c:pt idx="5">
                  <c:v>0.11092912312784585</c:v>
                </c:pt>
                <c:pt idx="6">
                  <c:v>0.10765072686455886</c:v>
                </c:pt>
                <c:pt idx="7">
                  <c:v>6.8595338035008585E-2</c:v>
                </c:pt>
                <c:pt idx="8">
                  <c:v>4.5375216224302718E-2</c:v>
                </c:pt>
                <c:pt idx="9">
                  <c:v>3.409020896489167E-2</c:v>
                </c:pt>
                <c:pt idx="10">
                  <c:v>5.1541533497477386E-2</c:v>
                </c:pt>
                <c:pt idx="11">
                  <c:v>2.6277771107153999E-2</c:v>
                </c:pt>
                <c:pt idx="12">
                  <c:v>1.6907124854801097E-2</c:v>
                </c:pt>
                <c:pt idx="13">
                  <c:v>1.0007861999173461E-2</c:v>
                </c:pt>
                <c:pt idx="14">
                  <c:v>5.4578271032031415E-3</c:v>
                </c:pt>
                <c:pt idx="15">
                  <c:v>5.7213199533632676E-3</c:v>
                </c:pt>
                <c:pt idx="16">
                  <c:v>1.7416816575165434E-2</c:v>
                </c:pt>
                <c:pt idx="17">
                  <c:v>5.8040273911587146E-3</c:v>
                </c:pt>
                <c:pt idx="18">
                  <c:v>6.2324309495723406E-3</c:v>
                </c:pt>
                <c:pt idx="19">
                  <c:v>1.4989345407802451E-2</c:v>
                </c:pt>
                <c:pt idx="20">
                  <c:v>8.3344128407837389E-3</c:v>
                </c:pt>
                <c:pt idx="21">
                  <c:v>8.2880946122788676E-3</c:v>
                </c:pt>
                <c:pt idx="22">
                  <c:v>9.5838014270265455E-3</c:v>
                </c:pt>
                <c:pt idx="23">
                  <c:v>6.8513866121212574E-3</c:v>
                </c:pt>
                <c:pt idx="24">
                  <c:v>9.6917500738261E-4</c:v>
                </c:pt>
                <c:pt idx="25">
                  <c:v>1.2605003054838532E-3</c:v>
                </c:pt>
                <c:pt idx="26">
                  <c:v>1.3925528838732537E-3</c:v>
                </c:pt>
                <c:pt idx="27">
                  <c:v>2.8958952096455053E-3</c:v>
                </c:pt>
                <c:pt idx="28">
                  <c:v>4.072046016673765E-4</c:v>
                </c:pt>
                <c:pt idx="29">
                  <c:v>9.9660279169667444E-4</c:v>
                </c:pt>
                <c:pt idx="30">
                  <c:v>1.9647754928502734E-3</c:v>
                </c:pt>
                <c:pt idx="31">
                  <c:v>2.1582511894621208E-3</c:v>
                </c:pt>
                <c:pt idx="32">
                  <c:v>0</c:v>
                </c:pt>
                <c:pt idx="33">
                  <c:v>1.1417960904779013E-3</c:v>
                </c:pt>
                <c:pt idx="34">
                  <c:v>1.0296894351528817E-3</c:v>
                </c:pt>
                <c:pt idx="35">
                  <c:v>2.0991574152676726E-3</c:v>
                </c:pt>
                <c:pt idx="36">
                  <c:v>2.1340429364317842E-4</c:v>
                </c:pt>
                <c:pt idx="37">
                  <c:v>0</c:v>
                </c:pt>
                <c:pt idx="38">
                  <c:v>6.4355146547428424E-6</c:v>
                </c:pt>
                <c:pt idx="39">
                  <c:v>1.1277880360040526E-4</c:v>
                </c:pt>
                <c:pt idx="40">
                  <c:v>8.940441849293353E-3</c:v>
                </c:pt>
                <c:pt idx="41">
                  <c:v>1.7078415448780657E-3</c:v>
                </c:pt>
                <c:pt idx="42">
                  <c:v>0</c:v>
                </c:pt>
                <c:pt idx="43">
                  <c:v>0</c:v>
                </c:pt>
                <c:pt idx="44">
                  <c:v>1.084998115276876E-4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2.9963967861624017E-4</c:v>
                </c:pt>
                <c:pt idx="49">
                  <c:v>0</c:v>
                </c:pt>
                <c:pt idx="50">
                  <c:v>6.3653594354661554E-4</c:v>
                </c:pt>
                <c:pt idx="51">
                  <c:v>1.3270221945341931E-4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1.0754951942507831E-3</c:v>
                </c:pt>
                <c:pt idx="57">
                  <c:v>4.2579695945347185E-4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0.13920597111023642</c:v>
                </c:pt>
                <c:pt idx="1">
                  <c:v>9.6428614906403823E-2</c:v>
                </c:pt>
                <c:pt idx="2">
                  <c:v>6.1162489026678188E-2</c:v>
                </c:pt>
                <c:pt idx="3">
                  <c:v>3.8167546561376886E-2</c:v>
                </c:pt>
                <c:pt idx="4">
                  <c:v>0.15526320416938885</c:v>
                </c:pt>
                <c:pt idx="5">
                  <c:v>9.0459398371146485E-2</c:v>
                </c:pt>
                <c:pt idx="6">
                  <c:v>7.7629573119182782E-2</c:v>
                </c:pt>
                <c:pt idx="7">
                  <c:v>5.7065331336831268E-2</c:v>
                </c:pt>
                <c:pt idx="8">
                  <c:v>4.3041121720346333E-2</c:v>
                </c:pt>
                <c:pt idx="9">
                  <c:v>3.0391198077081752E-2</c:v>
                </c:pt>
                <c:pt idx="10">
                  <c:v>1.7900886387399853E-2</c:v>
                </c:pt>
                <c:pt idx="11">
                  <c:v>2.2763640396973865E-2</c:v>
                </c:pt>
                <c:pt idx="12">
                  <c:v>1.6550948000319223E-2</c:v>
                </c:pt>
                <c:pt idx="13">
                  <c:v>2.1647709365569538E-2</c:v>
                </c:pt>
                <c:pt idx="14">
                  <c:v>1.4239279960719227E-2</c:v>
                </c:pt>
                <c:pt idx="15">
                  <c:v>1.9505121785273229E-2</c:v>
                </c:pt>
                <c:pt idx="16">
                  <c:v>1.2135919046981372E-2</c:v>
                </c:pt>
                <c:pt idx="17">
                  <c:v>1.1738241806699103E-2</c:v>
                </c:pt>
                <c:pt idx="18">
                  <c:v>9.9554574438010367E-3</c:v>
                </c:pt>
                <c:pt idx="19">
                  <c:v>7.5423411286188293E-3</c:v>
                </c:pt>
                <c:pt idx="20">
                  <c:v>7.3380919337799767E-3</c:v>
                </c:pt>
                <c:pt idx="21">
                  <c:v>6.2072818219569238E-3</c:v>
                </c:pt>
                <c:pt idx="22">
                  <c:v>4.9817866529238072E-3</c:v>
                </c:pt>
                <c:pt idx="23">
                  <c:v>4.6328045849209987E-3</c:v>
                </c:pt>
                <c:pt idx="24">
                  <c:v>4.4826611370593255E-3</c:v>
                </c:pt>
                <c:pt idx="25">
                  <c:v>4.1174473449633641E-3</c:v>
                </c:pt>
                <c:pt idx="26">
                  <c:v>5.2983052727403075E-3</c:v>
                </c:pt>
                <c:pt idx="27">
                  <c:v>2.7742721762548813E-3</c:v>
                </c:pt>
                <c:pt idx="28">
                  <c:v>2.4672220621593873E-3</c:v>
                </c:pt>
                <c:pt idx="29">
                  <c:v>2.3089627522511372E-3</c:v>
                </c:pt>
                <c:pt idx="30">
                  <c:v>2.225098844436509E-3</c:v>
                </c:pt>
                <c:pt idx="31">
                  <c:v>1.4879080418724376E-3</c:v>
                </c:pt>
                <c:pt idx="32">
                  <c:v>1.2755429849870079E-3</c:v>
                </c:pt>
                <c:pt idx="33">
                  <c:v>8.8462896307688564E-4</c:v>
                </c:pt>
                <c:pt idx="34">
                  <c:v>9.6443493986822547E-4</c:v>
                </c:pt>
                <c:pt idx="35">
                  <c:v>6.4926896372615459E-4</c:v>
                </c:pt>
                <c:pt idx="36">
                  <c:v>1.0144827558221166E-3</c:v>
                </c:pt>
                <c:pt idx="37">
                  <c:v>6.1815815921427637E-4</c:v>
                </c:pt>
                <c:pt idx="38">
                  <c:v>7.1149057274991104E-4</c:v>
                </c:pt>
                <c:pt idx="39">
                  <c:v>4.6395678032931463E-4</c:v>
                </c:pt>
                <c:pt idx="40">
                  <c:v>4.0308781497998763E-4</c:v>
                </c:pt>
                <c:pt idx="41">
                  <c:v>2.975816083744875E-4</c:v>
                </c:pt>
                <c:pt idx="42">
                  <c:v>3.0705011409549391E-4</c:v>
                </c:pt>
                <c:pt idx="43">
                  <c:v>1.420275858150963E-4</c:v>
                </c:pt>
                <c:pt idx="44">
                  <c:v>1.8666482707126945E-4</c:v>
                </c:pt>
                <c:pt idx="45">
                  <c:v>1.6637517195482711E-4</c:v>
                </c:pt>
                <c:pt idx="46">
                  <c:v>1.8260689604798096E-4</c:v>
                </c:pt>
                <c:pt idx="47">
                  <c:v>9.8742988233352678E-5</c:v>
                </c:pt>
                <c:pt idx="48">
                  <c:v>7.5748045768051371E-5</c:v>
                </c:pt>
                <c:pt idx="49">
                  <c:v>9.6037700884493701E-5</c:v>
                </c:pt>
                <c:pt idx="50">
                  <c:v>7.8453333116910347E-5</c:v>
                </c:pt>
                <c:pt idx="51">
                  <c:v>4.7342528605032103E-5</c:v>
                </c:pt>
                <c:pt idx="52">
                  <c:v>3.381609186073722E-5</c:v>
                </c:pt>
                <c:pt idx="53">
                  <c:v>1.8937011442012843E-5</c:v>
                </c:pt>
                <c:pt idx="54">
                  <c:v>4.193195390731415E-5</c:v>
                </c:pt>
                <c:pt idx="55">
                  <c:v>3.381609186073722E-5</c:v>
                </c:pt>
                <c:pt idx="56">
                  <c:v>2.0289655116442331E-5</c:v>
                </c:pt>
                <c:pt idx="57">
                  <c:v>1.4879080418724376E-5</c:v>
                </c:pt>
                <c:pt idx="58">
                  <c:v>1.6231724093153866E-5</c:v>
                </c:pt>
                <c:pt idx="59">
                  <c:v>8.115862046576933E-6</c:v>
                </c:pt>
                <c:pt idx="60">
                  <c:v>4.0579310232884665E-6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863968"/>
        <c:axId val="167858088"/>
      </c:lineChart>
      <c:catAx>
        <c:axId val="167863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7858088"/>
        <c:crosses val="autoZero"/>
        <c:auto val="1"/>
        <c:lblAlgn val="ctr"/>
        <c:lblOffset val="100"/>
        <c:tickLblSkip val="10"/>
        <c:noMultiLvlLbl val="0"/>
      </c:catAx>
      <c:valAx>
        <c:axId val="167858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786396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1.0918124355268601E-2</c:v>
                </c:pt>
                <c:pt idx="2">
                  <c:v>5.2331263610442182E-3</c:v>
                </c:pt>
                <c:pt idx="3">
                  <c:v>1.5230464781545921E-2</c:v>
                </c:pt>
                <c:pt idx="4">
                  <c:v>1.3756056836940882E-2</c:v>
                </c:pt>
                <c:pt idx="5">
                  <c:v>2.2880334734942696E-2</c:v>
                </c:pt>
                <c:pt idx="6">
                  <c:v>9.5698903495742785E-3</c:v>
                </c:pt>
                <c:pt idx="7">
                  <c:v>1.1874297940868349E-2</c:v>
                </c:pt>
                <c:pt idx="8">
                  <c:v>9.449870015308403E-3</c:v>
                </c:pt>
                <c:pt idx="9">
                  <c:v>1.1214920625859976E-2</c:v>
                </c:pt>
                <c:pt idx="10">
                  <c:v>4.6392786578889622E-3</c:v>
                </c:pt>
                <c:pt idx="11">
                  <c:v>1.5533483125569196E-2</c:v>
                </c:pt>
                <c:pt idx="12">
                  <c:v>2.057942260079635E-2</c:v>
                </c:pt>
                <c:pt idx="13">
                  <c:v>3.8207052501085359E-2</c:v>
                </c:pt>
                <c:pt idx="14">
                  <c:v>2.005893215642084E-2</c:v>
                </c:pt>
                <c:pt idx="15">
                  <c:v>9.8758877028045922E-3</c:v>
                </c:pt>
                <c:pt idx="16">
                  <c:v>3.3434388960093438E-2</c:v>
                </c:pt>
                <c:pt idx="17">
                  <c:v>2.0219203270254119E-2</c:v>
                </c:pt>
                <c:pt idx="18">
                  <c:v>6.6022605924371189E-2</c:v>
                </c:pt>
                <c:pt idx="19">
                  <c:v>4.0348095772412926E-2</c:v>
                </c:pt>
                <c:pt idx="20">
                  <c:v>5.5747879728632724E-2</c:v>
                </c:pt>
                <c:pt idx="21">
                  <c:v>5.2828766155027108E-2</c:v>
                </c:pt>
                <c:pt idx="22">
                  <c:v>4.9713740558932955E-2</c:v>
                </c:pt>
                <c:pt idx="23">
                  <c:v>4.0651236096487332E-2</c:v>
                </c:pt>
                <c:pt idx="24">
                  <c:v>5.3139235766893368E-2</c:v>
                </c:pt>
                <c:pt idx="25">
                  <c:v>1.39689931508723E-2</c:v>
                </c:pt>
                <c:pt idx="26">
                  <c:v>6.4111979636627958E-2</c:v>
                </c:pt>
                <c:pt idx="27">
                  <c:v>1.2382993155194097E-2</c:v>
                </c:pt>
                <c:pt idx="28">
                  <c:v>1.7870296938334071E-2</c:v>
                </c:pt>
                <c:pt idx="29">
                  <c:v>2.2096077082183724E-2</c:v>
                </c:pt>
                <c:pt idx="30">
                  <c:v>1.1135333302652517E-2</c:v>
                </c:pt>
                <c:pt idx="31">
                  <c:v>1.6438683240831746E-2</c:v>
                </c:pt>
                <c:pt idx="32">
                  <c:v>7.7722078283893967E-3</c:v>
                </c:pt>
                <c:pt idx="33">
                  <c:v>1.7186911279690881E-2</c:v>
                </c:pt>
                <c:pt idx="34">
                  <c:v>1.1928531655090823E-2</c:v>
                </c:pt>
                <c:pt idx="35">
                  <c:v>1.3705323105243966E-2</c:v>
                </c:pt>
                <c:pt idx="36">
                  <c:v>1.8019506415587168E-3</c:v>
                </c:pt>
                <c:pt idx="37">
                  <c:v>1.6374277594824706E-2</c:v>
                </c:pt>
                <c:pt idx="38">
                  <c:v>1.273426406602594E-2</c:v>
                </c:pt>
                <c:pt idx="39">
                  <c:v>7.8437474453430089E-3</c:v>
                </c:pt>
                <c:pt idx="40">
                  <c:v>1.1894242542721537E-2</c:v>
                </c:pt>
                <c:pt idx="41">
                  <c:v>1.5503390840557704E-2</c:v>
                </c:pt>
                <c:pt idx="42">
                  <c:v>7.3797717872564519E-4</c:v>
                </c:pt>
                <c:pt idx="43">
                  <c:v>7.6711968081230792E-4</c:v>
                </c:pt>
                <c:pt idx="44">
                  <c:v>3.5426306106533011E-3</c:v>
                </c:pt>
                <c:pt idx="45">
                  <c:v>4.4810773090839043E-2</c:v>
                </c:pt>
                <c:pt idx="46">
                  <c:v>4.5724122415824195E-3</c:v>
                </c:pt>
                <c:pt idx="47">
                  <c:v>0</c:v>
                </c:pt>
                <c:pt idx="48">
                  <c:v>8.1480794806820301E-4</c:v>
                </c:pt>
                <c:pt idx="49">
                  <c:v>2.9994314904010637E-4</c:v>
                </c:pt>
                <c:pt idx="50">
                  <c:v>2.4759773912534982E-3</c:v>
                </c:pt>
                <c:pt idx="51">
                  <c:v>3.9236869121385745E-4</c:v>
                </c:pt>
                <c:pt idx="52">
                  <c:v>0</c:v>
                </c:pt>
                <c:pt idx="53">
                  <c:v>0</c:v>
                </c:pt>
                <c:pt idx="54">
                  <c:v>4.5776561982482591E-4</c:v>
                </c:pt>
                <c:pt idx="55">
                  <c:v>0</c:v>
                </c:pt>
                <c:pt idx="56">
                  <c:v>3.2618309724358348E-4</c:v>
                </c:pt>
                <c:pt idx="57">
                  <c:v>2.7375309800309459E-3</c:v>
                </c:pt>
                <c:pt idx="58">
                  <c:v>3.0828731132457772E-3</c:v>
                </c:pt>
                <c:pt idx="59">
                  <c:v>1.003907654521945E-3</c:v>
                </c:pt>
                <c:pt idx="60">
                  <c:v>2.7819176129609789E-3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1.8137599030425014E-2</c:v>
                </c:pt>
                <c:pt idx="1">
                  <c:v>2.931178842488702E-2</c:v>
                </c:pt>
                <c:pt idx="2">
                  <c:v>3.6077712084383325E-2</c:v>
                </c:pt>
                <c:pt idx="3">
                  <c:v>3.5758488177217961E-2</c:v>
                </c:pt>
                <c:pt idx="4">
                  <c:v>3.1724904740069226E-2</c:v>
                </c:pt>
                <c:pt idx="5">
                  <c:v>2.8267547508227454E-2</c:v>
                </c:pt>
                <c:pt idx="6">
                  <c:v>2.5853078549370818E-2</c:v>
                </c:pt>
                <c:pt idx="7">
                  <c:v>2.3699669819679071E-2</c:v>
                </c:pt>
                <c:pt idx="8">
                  <c:v>2.1152641780728343E-2</c:v>
                </c:pt>
                <c:pt idx="9">
                  <c:v>1.9395557647644439E-2</c:v>
                </c:pt>
                <c:pt idx="10">
                  <c:v>1.7697989836235429E-2</c:v>
                </c:pt>
                <c:pt idx="11">
                  <c:v>1.5633855589056032E-2</c:v>
                </c:pt>
                <c:pt idx="12">
                  <c:v>1.4063436283043395E-2</c:v>
                </c:pt>
                <c:pt idx="13">
                  <c:v>1.1662493760931052E-2</c:v>
                </c:pt>
                <c:pt idx="14">
                  <c:v>1.1231000428788045E-2</c:v>
                </c:pt>
                <c:pt idx="15">
                  <c:v>9.6321756056123899E-3</c:v>
                </c:pt>
                <c:pt idx="16">
                  <c:v>9.6443493986822539E-3</c:v>
                </c:pt>
                <c:pt idx="17">
                  <c:v>8.6582721600231578E-3</c:v>
                </c:pt>
                <c:pt idx="18">
                  <c:v>0.10401288798892996</c:v>
                </c:pt>
                <c:pt idx="19">
                  <c:v>3.4673667950325511E-2</c:v>
                </c:pt>
                <c:pt idx="20">
                  <c:v>3.9115749777151952E-2</c:v>
                </c:pt>
                <c:pt idx="21">
                  <c:v>4.3701211833467923E-2</c:v>
                </c:pt>
                <c:pt idx="22">
                  <c:v>4.3007305628485593E-2</c:v>
                </c:pt>
                <c:pt idx="23">
                  <c:v>3.2552722668820075E-2</c:v>
                </c:pt>
                <c:pt idx="24">
                  <c:v>2.7714316245385794E-2</c:v>
                </c:pt>
                <c:pt idx="25">
                  <c:v>3.1558529568114405E-2</c:v>
                </c:pt>
                <c:pt idx="26">
                  <c:v>2.1846547985710674E-2</c:v>
                </c:pt>
                <c:pt idx="27">
                  <c:v>1.8801747074569893E-2</c:v>
                </c:pt>
                <c:pt idx="28">
                  <c:v>1.9241356268759478E-2</c:v>
                </c:pt>
                <c:pt idx="29">
                  <c:v>1.7301665239627589E-2</c:v>
                </c:pt>
                <c:pt idx="30">
                  <c:v>2.5029318551643261E-2</c:v>
                </c:pt>
                <c:pt idx="31">
                  <c:v>1.5456659267705768E-2</c:v>
                </c:pt>
                <c:pt idx="32">
                  <c:v>1.5340331911704832E-2</c:v>
                </c:pt>
                <c:pt idx="33">
                  <c:v>1.780484868651536E-2</c:v>
                </c:pt>
                <c:pt idx="34">
                  <c:v>1.1923553990095943E-2</c:v>
                </c:pt>
                <c:pt idx="35">
                  <c:v>9.9892735356617735E-3</c:v>
                </c:pt>
                <c:pt idx="36">
                  <c:v>9.1425185954689143E-3</c:v>
                </c:pt>
                <c:pt idx="37">
                  <c:v>8.716435838023626E-3</c:v>
                </c:pt>
                <c:pt idx="38">
                  <c:v>1.1488002726929647E-2</c:v>
                </c:pt>
                <c:pt idx="39">
                  <c:v>7.3570289452219891E-3</c:v>
                </c:pt>
                <c:pt idx="40">
                  <c:v>7.2312330835000464E-3</c:v>
                </c:pt>
                <c:pt idx="41">
                  <c:v>6.519742510750136E-3</c:v>
                </c:pt>
                <c:pt idx="42">
                  <c:v>5.4727963067417113E-3</c:v>
                </c:pt>
                <c:pt idx="43">
                  <c:v>4.7951218258525377E-3</c:v>
                </c:pt>
                <c:pt idx="44">
                  <c:v>4.6990841249680438E-3</c:v>
                </c:pt>
                <c:pt idx="45">
                  <c:v>3.8929084950080684E-3</c:v>
                </c:pt>
                <c:pt idx="46">
                  <c:v>3.9077875754267933E-3</c:v>
                </c:pt>
                <c:pt idx="47">
                  <c:v>3.9848882648692739E-3</c:v>
                </c:pt>
                <c:pt idx="48">
                  <c:v>2.8391990726274966E-3</c:v>
                </c:pt>
                <c:pt idx="49">
                  <c:v>3.0894381523969522E-3</c:v>
                </c:pt>
                <c:pt idx="50">
                  <c:v>2.2318620628086565E-3</c:v>
                </c:pt>
                <c:pt idx="51">
                  <c:v>1.8206583857820918E-3</c:v>
                </c:pt>
                <c:pt idx="52">
                  <c:v>2.1209452815054383E-3</c:v>
                </c:pt>
                <c:pt idx="53">
                  <c:v>1.7489682710373289E-3</c:v>
                </c:pt>
                <c:pt idx="54">
                  <c:v>1.5366032141518992E-3</c:v>
                </c:pt>
                <c:pt idx="55">
                  <c:v>1.3215328699176104E-3</c:v>
                </c:pt>
                <c:pt idx="56">
                  <c:v>1.4310970075463992E-3</c:v>
                </c:pt>
                <c:pt idx="57">
                  <c:v>1.0307144799152704E-3</c:v>
                </c:pt>
                <c:pt idx="58">
                  <c:v>7.7641746912252647E-4</c:v>
                </c:pt>
                <c:pt idx="59">
                  <c:v>7.466593082850778E-4</c:v>
                </c:pt>
                <c:pt idx="60">
                  <c:v>7.0337471070333417E-4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859656"/>
        <c:axId val="124049672"/>
      </c:lineChart>
      <c:catAx>
        <c:axId val="167859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049672"/>
        <c:crosses val="autoZero"/>
        <c:auto val="1"/>
        <c:lblAlgn val="ctr"/>
        <c:lblOffset val="100"/>
        <c:tickLblSkip val="10"/>
        <c:noMultiLvlLbl val="0"/>
      </c:catAx>
      <c:valAx>
        <c:axId val="124049672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785965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topLeftCell="E1" workbookViewId="0">
      <selection activeCell="T10" sqref="T10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6" max="6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27663.8319596798</v>
      </c>
      <c r="C11" s="11">
        <f>B11/B$102</f>
        <v>3.8755046744568762E-2</v>
      </c>
      <c r="E11" s="20">
        <v>0</v>
      </c>
      <c r="F11" s="110" t="n">
        <v>103018.0</v>
      </c>
      <c r="G11" s="11">
        <f>F11/F$102</f>
        <v>0.13920597111023642</v>
      </c>
      <c r="K11" s="8" t="n">
        <v>7.366351838634833</v>
      </c>
      <c r="L11" s="8" t="n">
        <v>6.9556216507958535</v>
      </c>
    </row>
    <row r="12" spans="1:12" x14ac:dyDescent="0.45">
      <c r="A12">
        <v>1</v>
      </c>
      <c r="B12" s="8" t="n">
        <v>33777.3254511565</v>
      </c>
      <c r="C12" s="11">
        <f>B12/B$102</f>
        <v>4.7319613156775193E-2</v>
      </c>
      <c r="E12" s="21">
        <v>1</v>
      </c>
      <c r="F12" s="111" t="n">
        <v>71939.0</v>
      </c>
      <c r="G12" s="11">
        <f>F12/F$102</f>
        <v>9.6428614906403823E-2</v>
      </c>
      <c r="K12" s="8"/>
      <c r="L12" s="380"/>
    </row>
    <row r="13" spans="1:12" x14ac:dyDescent="0.45">
      <c r="A13">
        <v>2</v>
      </c>
      <c r="B13" s="8" t="n">
        <v>48075.5858341662</v>
      </c>
      <c r="C13" s="11">
        <f t="shared" ref="C13:C76" si="0">B13/B$102</f>
        <v>6.7350451629088218E-2</v>
      </c>
      <c r="E13" s="22">
        <v>2</v>
      </c>
      <c r="F13" s="112" t="n">
        <v>45435.0</v>
      </c>
      <c r="G13" s="11">
        <f t="shared" ref="G13:G76" si="1">F13/F$102</f>
        <v>6.1162489026678188E-2</v>
      </c>
    </row>
    <row r="14" spans="1:12" x14ac:dyDescent="0.45">
      <c r="A14">
        <v>3</v>
      </c>
      <c r="B14" s="8" t="n">
        <v>67958.3713310867</v>
      </c>
      <c r="C14" s="11">
        <f t="shared" si="0"/>
        <v>9.5204809711818078E-2</v>
      </c>
      <c r="E14" s="23">
        <v>3</v>
      </c>
      <c r="F14" s="113" t="n">
        <v>28080.0</v>
      </c>
      <c r="G14" s="11">
        <f t="shared" si="1"/>
        <v>3.8167546561376886E-2</v>
      </c>
    </row>
    <row r="15" spans="1:12" x14ac:dyDescent="0.45">
      <c r="A15">
        <v>4</v>
      </c>
      <c r="B15" s="8" t="n">
        <v>114566.1354852887</v>
      </c>
      <c r="C15" s="11">
        <f t="shared" si="0"/>
        <v>0.16049894832170436</v>
      </c>
      <c r="E15" s="24">
        <v>4</v>
      </c>
      <c r="F15" s="114" t="n">
        <v>114651.0</v>
      </c>
      <c r="G15" s="11">
        <f t="shared" si="1"/>
        <v>0.15526320416938885</v>
      </c>
    </row>
    <row r="16" spans="1:12" x14ac:dyDescent="0.45">
      <c r="A16">
        <v>5</v>
      </c>
      <c r="B16" s="8" t="n">
        <v>79182.5808357054</v>
      </c>
      <c r="C16" s="11">
        <f t="shared" si="0"/>
        <v>0.11092912312784585</v>
      </c>
      <c r="E16" s="25">
        <v>5</v>
      </c>
      <c r="F16" s="115" t="n">
        <v>67633.0</v>
      </c>
      <c r="G16" s="11">
        <f t="shared" si="1"/>
        <v>9.0459398371146485E-2</v>
      </c>
    </row>
    <row r="17" spans="1:7" x14ac:dyDescent="0.45">
      <c r="A17">
        <v>6</v>
      </c>
      <c r="B17" s="8" t="n">
        <v>76842.4210128425</v>
      </c>
      <c r="C17" s="11">
        <f t="shared" si="0"/>
        <v>0.10765072686455886</v>
      </c>
      <c r="E17" s="26">
        <v>6</v>
      </c>
      <c r="F17" s="116" t="n">
        <v>58562.0</v>
      </c>
      <c r="G17" s="11">
        <f t="shared" si="1"/>
        <v>7.7629573119182782E-2</v>
      </c>
    </row>
    <row r="18" spans="1:7" x14ac:dyDescent="0.45">
      <c r="A18">
        <v>7</v>
      </c>
      <c r="B18" s="8" t="n">
        <v>48964.2011561719</v>
      </c>
      <c r="C18" s="11">
        <f t="shared" si="0"/>
        <v>6.8595338035008585E-2</v>
      </c>
      <c r="E18" s="27">
        <v>7</v>
      </c>
      <c r="F18" s="117" t="n">
        <v>30606.0</v>
      </c>
      <c r="G18" s="11">
        <f t="shared" si="1"/>
        <v>5.7065331336831268E-2</v>
      </c>
    </row>
    <row r="19" spans="1:7" x14ac:dyDescent="0.45">
      <c r="A19">
        <v>8</v>
      </c>
      <c r="B19" s="8" t="n">
        <v>32389.3908588605</v>
      </c>
      <c r="C19" s="11">
        <f t="shared" si="0"/>
        <v>4.5375216224302718E-2</v>
      </c>
      <c r="E19" s="28">
        <v>8</v>
      </c>
      <c r="F19" s="118" t="n">
        <v>43642.0</v>
      </c>
      <c r="G19" s="11">
        <f t="shared" si="1"/>
        <v>4.3041121720346333E-2</v>
      </c>
    </row>
    <row r="20" spans="1:7" x14ac:dyDescent="0.45">
      <c r="A20">
        <v>9</v>
      </c>
      <c r="B20" s="8" t="n">
        <v>24334.0130252145</v>
      </c>
      <c r="C20" s="11">
        <f t="shared" si="0"/>
        <v>3.409020896489167E-2</v>
      </c>
      <c r="E20" s="29">
        <v>9</v>
      </c>
      <c r="F20" s="119" t="n">
        <v>20002.0</v>
      </c>
      <c r="G20" s="11">
        <f t="shared" si="1"/>
        <v>3.0391198077081752E-2</v>
      </c>
    </row>
    <row r="21" spans="1:7" x14ac:dyDescent="0.45">
      <c r="A21">
        <v>10</v>
      </c>
      <c r="B21" s="8" t="n">
        <v>36790.9844365816</v>
      </c>
      <c r="C21" s="11">
        <f t="shared" si="0"/>
        <v>5.1541533497477386E-2</v>
      </c>
      <c r="E21" s="30">
        <v>10</v>
      </c>
      <c r="F21" s="120" t="n">
        <v>12227.0</v>
      </c>
      <c r="G21" s="11">
        <f t="shared" si="1"/>
        <v>1.7900886387399853E-2</v>
      </c>
    </row>
    <row r="22" spans="1:7" x14ac:dyDescent="0.45">
      <c r="A22">
        <v>11</v>
      </c>
      <c r="B22" s="8" t="n">
        <v>18757.3982035027</v>
      </c>
      <c r="C22" s="11">
        <f t="shared" si="0"/>
        <v>2.6277771107153999E-2</v>
      </c>
      <c r="E22" s="31">
        <v>11</v>
      </c>
      <c r="F22" s="121" t="n">
        <v>16681.0</v>
      </c>
      <c r="G22" s="11">
        <f t="shared" si="1"/>
        <v>2.2763640396973865E-2</v>
      </c>
    </row>
    <row r="23" spans="1:7" x14ac:dyDescent="0.45">
      <c r="A23">
        <v>12</v>
      </c>
      <c r="B23" s="8" t="n">
        <v>12068.5149468976</v>
      </c>
      <c r="C23" s="11">
        <f t="shared" si="0"/>
        <v>1.6907124854801097E-2</v>
      </c>
      <c r="E23" s="32">
        <v>12</v>
      </c>
      <c r="F23" s="122" t="n">
        <v>12756.0</v>
      </c>
      <c r="G23" s="11">
        <f t="shared" si="1"/>
        <v>1.6550948000319223E-2</v>
      </c>
    </row>
    <row r="24" spans="1:7" x14ac:dyDescent="0.45">
      <c r="A24">
        <v>13</v>
      </c>
      <c r="B24" s="8" t="n">
        <v>7143.7357422256</v>
      </c>
      <c r="C24" s="11">
        <f t="shared" si="0"/>
        <v>1.0007861999173461E-2</v>
      </c>
      <c r="E24" s="33">
        <v>13</v>
      </c>
      <c r="F24" s="123" t="n">
        <v>16269.0</v>
      </c>
      <c r="G24" s="11">
        <f t="shared" si="1"/>
        <v>2.1647709365569538E-2</v>
      </c>
    </row>
    <row r="25" spans="1:7" x14ac:dyDescent="0.45">
      <c r="A25">
        <v>14</v>
      </c>
      <c r="B25" s="8" t="n">
        <v>3895.864526835</v>
      </c>
      <c r="C25" s="11">
        <f t="shared" si="0"/>
        <v>5.4578271032031415E-3</v>
      </c>
      <c r="E25" s="34">
        <v>14</v>
      </c>
      <c r="F25" s="124" t="n">
        <v>9390.0</v>
      </c>
      <c r="G25" s="11">
        <f t="shared" si="1"/>
        <v>1.4239279960719227E-2</v>
      </c>
    </row>
    <row r="26" spans="1:7" x14ac:dyDescent="0.45">
      <c r="A26">
        <v>15</v>
      </c>
      <c r="B26" s="8" t="n">
        <v>4083.9489840013002</v>
      </c>
      <c r="C26" s="11">
        <f t="shared" si="0"/>
        <v>5.7213199533632676E-3</v>
      </c>
      <c r="E26" s="35">
        <v>15</v>
      </c>
      <c r="F26" s="125" t="n">
        <v>16567.0</v>
      </c>
      <c r="G26" s="11">
        <f t="shared" si="1"/>
        <v>1.9505121785273229E-2</v>
      </c>
    </row>
    <row r="27" spans="1:7" x14ac:dyDescent="0.45">
      <c r="A27">
        <v>16</v>
      </c>
      <c r="B27" s="8" t="n">
        <v>12432.3392043248</v>
      </c>
      <c r="C27" s="11">
        <f t="shared" si="0"/>
        <v>1.7416816575165434E-2</v>
      </c>
      <c r="E27" s="36">
        <v>16</v>
      </c>
      <c r="F27" s="126" t="n">
        <v>8751.0</v>
      </c>
      <c r="G27" s="11">
        <f t="shared" si="1"/>
        <v>1.2135919046981372E-2</v>
      </c>
    </row>
    <row r="28" spans="1:7" x14ac:dyDescent="0.45">
      <c r="A28">
        <v>17</v>
      </c>
      <c r="B28" s="8" t="n">
        <v>4142.9865766036</v>
      </c>
      <c r="C28" s="11">
        <f t="shared" si="0"/>
        <v>5.8040273911587146E-3</v>
      </c>
      <c r="E28" s="37">
        <v>17</v>
      </c>
      <c r="F28" s="127" t="n">
        <v>8998.0</v>
      </c>
      <c r="G28" s="11">
        <f t="shared" si="1"/>
        <v>1.1738241806699103E-2</v>
      </c>
    </row>
    <row r="29" spans="1:7" x14ac:dyDescent="0.45">
      <c r="A29">
        <v>18</v>
      </c>
      <c r="B29" s="8" t="n">
        <v>4448.78633809</v>
      </c>
      <c r="C29" s="11">
        <f t="shared" si="0"/>
        <v>6.2324309495723406E-3</v>
      </c>
      <c r="E29" s="38">
        <v>18</v>
      </c>
      <c r="F29" s="128" t="n">
        <v>7183.0</v>
      </c>
      <c r="G29" s="11">
        <f t="shared" si="1"/>
        <v>9.9554574438010367E-3</v>
      </c>
    </row>
    <row r="30" spans="1:7" x14ac:dyDescent="0.45">
      <c r="A30">
        <v>19</v>
      </c>
      <c r="B30" s="8" t="n">
        <v>10699.580245124</v>
      </c>
      <c r="C30" s="11">
        <f t="shared" si="0"/>
        <v>1.4989345407802451E-2</v>
      </c>
      <c r="E30" s="39">
        <v>19</v>
      </c>
      <c r="F30" s="129" t="n">
        <v>5331.0</v>
      </c>
      <c r="G30" s="11">
        <f t="shared" si="1"/>
        <v>7.5423411286188293E-3</v>
      </c>
    </row>
    <row r="31" spans="1:7" x14ac:dyDescent="0.45">
      <c r="A31">
        <v>20</v>
      </c>
      <c r="B31" s="8" t="n">
        <v>5949.2070240465</v>
      </c>
      <c r="C31" s="11">
        <f t="shared" si="0"/>
        <v>8.3344128407837389E-3</v>
      </c>
      <c r="E31" s="40">
        <v>20</v>
      </c>
      <c r="F31" s="130" t="n">
        <v>4956.0</v>
      </c>
      <c r="G31" s="11">
        <f t="shared" si="1"/>
        <v>7.3380919337799767E-3</v>
      </c>
    </row>
    <row r="32" spans="1:7" x14ac:dyDescent="0.45">
      <c r="A32">
        <v>21</v>
      </c>
      <c r="B32" s="8" t="n">
        <v>5916.144499352</v>
      </c>
      <c r="C32" s="11">
        <f t="shared" si="0"/>
        <v>8.2880946122788676E-3</v>
      </c>
      <c r="E32" s="41">
        <v>21</v>
      </c>
      <c r="F32" s="131" t="n">
        <v>5353.0</v>
      </c>
      <c r="G32" s="11">
        <f t="shared" si="1"/>
        <v>6.2072818219569238E-3</v>
      </c>
    </row>
    <row r="33" spans="1:7" x14ac:dyDescent="0.45">
      <c r="A33">
        <v>22</v>
      </c>
      <c r="B33" s="8" t="n">
        <v>6841.0360580808</v>
      </c>
      <c r="C33" s="11">
        <f t="shared" si="0"/>
        <v>9.5838014270265455E-3</v>
      </c>
      <c r="E33" s="42">
        <v>22</v>
      </c>
      <c r="F33" s="132" t="n">
        <v>3657.0</v>
      </c>
      <c r="G33" s="11">
        <f t="shared" si="1"/>
        <v>4.9817866529238072E-3</v>
      </c>
    </row>
    <row r="34" spans="1:7" x14ac:dyDescent="0.45">
      <c r="A34">
        <v>23</v>
      </c>
      <c r="B34" s="8" t="n">
        <v>4890.604549589</v>
      </c>
      <c r="C34" s="11">
        <f t="shared" si="0"/>
        <v>6.8513866121212574E-3</v>
      </c>
      <c r="E34" s="43">
        <v>23</v>
      </c>
      <c r="F34" s="133" t="n">
        <v>3154.0</v>
      </c>
      <c r="G34" s="11">
        <f t="shared" si="1"/>
        <v>4.6328045849209987E-3</v>
      </c>
    </row>
    <row r="35" spans="1:7" x14ac:dyDescent="0.45">
      <c r="A35">
        <v>24</v>
      </c>
      <c r="B35" s="8" t="n">
        <v>691.809113803</v>
      </c>
      <c r="C35" s="11">
        <f t="shared" si="0"/>
        <v>9.6917500738261E-4</v>
      </c>
      <c r="E35" s="44">
        <v>24</v>
      </c>
      <c r="F35" s="134" t="n">
        <v>3823.0</v>
      </c>
      <c r="G35" s="11">
        <f t="shared" si="1"/>
        <v>4.4826611370593255E-3</v>
      </c>
    </row>
    <row r="36" spans="1:7" x14ac:dyDescent="0.45">
      <c r="A36">
        <v>25</v>
      </c>
      <c r="B36" s="8" t="n">
        <v>899.760716736</v>
      </c>
      <c r="C36" s="11">
        <f t="shared" si="0"/>
        <v>1.2605003054838532E-3</v>
      </c>
      <c r="E36" s="45">
        <v>25</v>
      </c>
      <c r="F36" s="135" t="n">
        <v>4187.0</v>
      </c>
      <c r="G36" s="11">
        <f t="shared" si="1"/>
        <v>4.1174473449633641E-3</v>
      </c>
    </row>
    <row r="37" spans="1:7" x14ac:dyDescent="0.45">
      <c r="A37">
        <v>26</v>
      </c>
      <c r="B37" s="8" t="n">
        <v>994.02148134</v>
      </c>
      <c r="C37" s="11">
        <f t="shared" si="0"/>
        <v>1.3925528838732537E-3</v>
      </c>
      <c r="E37" s="46">
        <v>26</v>
      </c>
      <c r="F37" s="136" t="n">
        <v>2687.0</v>
      </c>
      <c r="G37" s="11">
        <f t="shared" si="1"/>
        <v>5.2983052727403075E-3</v>
      </c>
    </row>
    <row r="38" spans="1:7" x14ac:dyDescent="0.45">
      <c r="A38">
        <v>27</v>
      </c>
      <c r="B38" s="8" t="n">
        <v>2067.125837326</v>
      </c>
      <c r="C38" s="11">
        <f t="shared" si="0"/>
        <v>2.8958952096455053E-3</v>
      </c>
      <c r="E38" s="47">
        <v>27</v>
      </c>
      <c r="F38" s="137" t="n">
        <v>1983.0</v>
      </c>
      <c r="G38" s="11">
        <f t="shared" si="1"/>
        <v>2.7742721762548813E-3</v>
      </c>
    </row>
    <row r="39" spans="1:7" x14ac:dyDescent="0.45">
      <c r="A39">
        <v>28</v>
      </c>
      <c r="B39" s="8" t="n">
        <v>290.667683824</v>
      </c>
      <c r="C39" s="11">
        <f t="shared" si="0"/>
        <v>4.072046016673765E-4</v>
      </c>
      <c r="E39" s="48">
        <v>28</v>
      </c>
      <c r="F39" s="138" t="n">
        <v>1710.0</v>
      </c>
      <c r="G39" s="11">
        <f t="shared" si="1"/>
        <v>2.4672220621593873E-3</v>
      </c>
    </row>
    <row r="40" spans="1:7" x14ac:dyDescent="0.45">
      <c r="A40">
        <v>29</v>
      </c>
      <c r="B40" s="8" t="n">
        <v>711.387405665</v>
      </c>
      <c r="C40" s="11">
        <f t="shared" si="0"/>
        <v>9.9660279169667444E-4</v>
      </c>
      <c r="E40" s="49">
        <v>29</v>
      </c>
      <c r="F40" s="139" t="n">
        <v>1952.0</v>
      </c>
      <c r="G40" s="11">
        <f t="shared" si="1"/>
        <v>2.3089627522511372E-3</v>
      </c>
    </row>
    <row r="41" spans="1:7" x14ac:dyDescent="0.45">
      <c r="A41">
        <v>30</v>
      </c>
      <c r="B41" s="8" t="n">
        <v>1402.4810608782</v>
      </c>
      <c r="C41" s="11">
        <f t="shared" si="0"/>
        <v>1.9647754928502734E-3</v>
      </c>
      <c r="E41" s="50">
        <v>30</v>
      </c>
      <c r="F41" s="140" t="n">
        <v>1230.0</v>
      </c>
      <c r="G41" s="11">
        <f t="shared" si="1"/>
        <v>2.225098844436509E-3</v>
      </c>
    </row>
    <row r="42" spans="1:7" x14ac:dyDescent="0.45">
      <c r="A42">
        <v>31</v>
      </c>
      <c r="B42" s="8" t="n">
        <v>1540.58640738</v>
      </c>
      <c r="C42" s="11">
        <f t="shared" si="0"/>
        <v>2.1582511894621208E-3</v>
      </c>
      <c r="E42" s="51">
        <v>31</v>
      </c>
      <c r="F42" s="141" t="n">
        <v>1142.0</v>
      </c>
      <c r="G42" s="11">
        <f t="shared" si="1"/>
        <v>1.4879080418724376E-3</v>
      </c>
    </row>
    <row r="43" spans="1:7" x14ac:dyDescent="0.45">
      <c r="A43">
        <v>32</v>
      </c>
      <c r="B43" s="8" t="n">
        <v>0.0</v>
      </c>
      <c r="C43" s="11">
        <f t="shared" si="0"/>
        <v>0</v>
      </c>
      <c r="E43" s="52">
        <v>32</v>
      </c>
      <c r="F43" s="142" t="n">
        <v>897.0</v>
      </c>
      <c r="G43" s="11">
        <f t="shared" si="1"/>
        <v>1.2755429849870079E-3</v>
      </c>
    </row>
    <row r="44" spans="1:7" x14ac:dyDescent="0.45">
      <c r="A44">
        <v>33</v>
      </c>
      <c r="B44" s="8" t="n">
        <v>815.028179101</v>
      </c>
      <c r="C44" s="11">
        <f t="shared" si="0"/>
        <v>1.1417960904779013E-3</v>
      </c>
      <c r="E44" s="53">
        <v>33</v>
      </c>
      <c r="F44" s="143" t="n">
        <v>860.0</v>
      </c>
      <c r="G44" s="11">
        <f t="shared" si="1"/>
        <v>8.8462896307688564E-4</v>
      </c>
    </row>
    <row r="45" spans="1:7" x14ac:dyDescent="0.45">
      <c r="A45">
        <v>34</v>
      </c>
      <c r="B45" s="8" t="n">
        <v>735.005061211</v>
      </c>
      <c r="C45" s="11">
        <f t="shared" si="0"/>
        <v>1.0296894351528817E-3</v>
      </c>
      <c r="E45" s="54">
        <v>34</v>
      </c>
      <c r="F45" s="144" t="n">
        <v>528.0</v>
      </c>
      <c r="G45" s="11">
        <f t="shared" si="1"/>
        <v>9.6443493986822547E-4</v>
      </c>
    </row>
    <row r="46" spans="1:7" x14ac:dyDescent="0.45">
      <c r="A46">
        <v>35</v>
      </c>
      <c r="B46" s="8" t="n">
        <v>1498.404540075</v>
      </c>
      <c r="C46" s="11">
        <f t="shared" si="0"/>
        <v>2.0991574152676726E-3</v>
      </c>
      <c r="E46" s="55">
        <v>35</v>
      </c>
      <c r="F46" s="145" t="n">
        <v>524.0</v>
      </c>
      <c r="G46" s="11">
        <f t="shared" si="1"/>
        <v>6.4926896372615459E-4</v>
      </c>
    </row>
    <row r="47" spans="1:7" x14ac:dyDescent="0.45">
      <c r="A47">
        <v>36</v>
      </c>
      <c r="B47" s="8" t="n">
        <v>152.330625679</v>
      </c>
      <c r="C47" s="11">
        <f t="shared" si="0"/>
        <v>2.1340429364317842E-4</v>
      </c>
      <c r="E47" s="56">
        <v>36</v>
      </c>
      <c r="F47" s="146" t="n">
        <v>701.0</v>
      </c>
      <c r="G47" s="11">
        <f t="shared" si="1"/>
        <v>1.0144827558221166E-3</v>
      </c>
    </row>
    <row r="48" spans="1:7" x14ac:dyDescent="0.45">
      <c r="A48">
        <v>37</v>
      </c>
      <c r="B48" s="8" t="n">
        <v>0.0</v>
      </c>
      <c r="C48" s="11">
        <f t="shared" si="0"/>
        <v>0</v>
      </c>
      <c r="E48" s="57">
        <v>37</v>
      </c>
      <c r="F48" s="147" t="n">
        <v>435.0</v>
      </c>
      <c r="G48" s="11">
        <f t="shared" si="1"/>
        <v>6.1815815921427637E-4</v>
      </c>
    </row>
    <row r="49" spans="1:7" x14ac:dyDescent="0.45">
      <c r="A49">
        <v>38</v>
      </c>
      <c r="B49" s="8" t="n">
        <v>4.59375</v>
      </c>
      <c r="C49" s="11">
        <f t="shared" si="0"/>
        <v>6.4355146547428424E-6</v>
      </c>
      <c r="E49" s="58">
        <v>38</v>
      </c>
      <c r="F49" s="148" t="n">
        <v>463.0</v>
      </c>
      <c r="G49" s="11">
        <f t="shared" si="1"/>
        <v>7.1149057274991104E-4</v>
      </c>
    </row>
    <row r="50" spans="1:7" x14ac:dyDescent="0.45">
      <c r="A50">
        <v>39</v>
      </c>
      <c r="B50" s="8" t="n">
        <v>80.5029056468</v>
      </c>
      <c r="C50" s="11">
        <f t="shared" si="0"/>
        <v>1.1277880360040526E-4</v>
      </c>
      <c r="E50" s="59">
        <v>39</v>
      </c>
      <c r="F50" s="149" t="n">
        <v>339.0</v>
      </c>
      <c r="G50" s="11">
        <f t="shared" si="1"/>
        <v>4.6395678032931463E-4</v>
      </c>
    </row>
    <row r="51" spans="1:7" x14ac:dyDescent="0.45">
      <c r="A51">
        <v>40</v>
      </c>
      <c r="B51" s="8" t="n">
        <v>6381.798029925</v>
      </c>
      <c r="C51" s="11">
        <f t="shared" si="0"/>
        <v>8.940441849293353E-3</v>
      </c>
      <c r="E51" s="60">
        <v>40</v>
      </c>
      <c r="F51" s="150" t="n">
        <v>232.0</v>
      </c>
      <c r="G51" s="11">
        <f t="shared" si="1"/>
        <v>4.0308781497998763E-4</v>
      </c>
    </row>
    <row r="52" spans="1:7" x14ac:dyDescent="0.45">
      <c r="A52">
        <v>41</v>
      </c>
      <c r="B52" s="8" t="n">
        <v>1219.07842926</v>
      </c>
      <c r="C52" s="11">
        <f t="shared" si="0"/>
        <v>1.7078415448780657E-3</v>
      </c>
      <c r="E52" s="61">
        <v>41</v>
      </c>
      <c r="F52" s="151" t="n">
        <v>253.0</v>
      </c>
      <c r="G52" s="11">
        <f t="shared" si="1"/>
        <v>2.975816083744875E-4</v>
      </c>
    </row>
    <row r="53" spans="1:7" x14ac:dyDescent="0.45">
      <c r="A53">
        <v>42</v>
      </c>
      <c r="B53" s="8" t="n">
        <v>0.0</v>
      </c>
      <c r="C53" s="11">
        <f t="shared" si="0"/>
        <v>0</v>
      </c>
      <c r="E53" s="62">
        <v>42</v>
      </c>
      <c r="F53" s="152" t="n">
        <v>203.0</v>
      </c>
      <c r="G53" s="11">
        <f t="shared" si="1"/>
        <v>3.0705011409549391E-4</v>
      </c>
    </row>
    <row r="54" spans="1:7" x14ac:dyDescent="0.45">
      <c r="A54">
        <v>43</v>
      </c>
      <c r="B54" s="8" t="n">
        <v>0.0</v>
      </c>
      <c r="C54" s="11">
        <f t="shared" si="0"/>
        <v>0</v>
      </c>
      <c r="E54" s="63">
        <v>43</v>
      </c>
      <c r="F54" s="153" t="n">
        <v>144.0</v>
      </c>
      <c r="G54" s="11">
        <f t="shared" si="1"/>
        <v>1.420275858150963E-4</v>
      </c>
    </row>
    <row r="55" spans="1:7" x14ac:dyDescent="0.45">
      <c r="A55">
        <v>44</v>
      </c>
      <c r="B55" s="8" t="n">
        <v>77.4485081528</v>
      </c>
      <c r="C55" s="11">
        <f t="shared" si="0"/>
        <v>1.084998115276876E-4</v>
      </c>
      <c r="E55" s="64">
        <v>44</v>
      </c>
      <c r="F55" s="154" t="n">
        <v>120.0</v>
      </c>
      <c r="G55" s="11">
        <f t="shared" si="1"/>
        <v>1.8666482707126945E-4</v>
      </c>
    </row>
    <row r="56" spans="1:7" x14ac:dyDescent="0.45">
      <c r="A56">
        <v>45</v>
      </c>
      <c r="B56" s="8" t="n">
        <v>0.0</v>
      </c>
      <c r="C56" s="11">
        <f t="shared" si="0"/>
        <v>0</v>
      </c>
      <c r="E56" s="65">
        <v>45</v>
      </c>
      <c r="F56" s="155" t="n">
        <v>184.0</v>
      </c>
      <c r="G56" s="11">
        <f t="shared" si="1"/>
        <v>1.6637517195482711E-4</v>
      </c>
    </row>
    <row r="57" spans="1:7" x14ac:dyDescent="0.45">
      <c r="A57">
        <v>46</v>
      </c>
      <c r="B57" s="8" t="n">
        <v>0.0</v>
      </c>
      <c r="C57" s="11">
        <f t="shared" si="0"/>
        <v>0</v>
      </c>
      <c r="E57" s="66">
        <v>46</v>
      </c>
      <c r="F57" s="156" t="n">
        <v>87.0</v>
      </c>
      <c r="G57" s="11">
        <f t="shared" si="1"/>
        <v>1.8260689604798096E-4</v>
      </c>
    </row>
    <row r="58" spans="1:7" x14ac:dyDescent="0.45">
      <c r="A58">
        <v>47</v>
      </c>
      <c r="B58" s="8" t="n">
        <v>0.0</v>
      </c>
      <c r="C58" s="11">
        <f t="shared" si="0"/>
        <v>0</v>
      </c>
      <c r="E58" s="67">
        <v>47</v>
      </c>
      <c r="F58" s="157" t="n">
        <v>108.0</v>
      </c>
      <c r="G58" s="11">
        <f t="shared" si="1"/>
        <v>9.8742988233352678E-5</v>
      </c>
    </row>
    <row r="59" spans="1:7" x14ac:dyDescent="0.45">
      <c r="A59">
        <v>48</v>
      </c>
      <c r="B59" s="8" t="n">
        <v>213.886510635</v>
      </c>
      <c r="C59" s="11">
        <f t="shared" si="0"/>
        <v>2.9963967861624017E-4</v>
      </c>
      <c r="E59" s="68">
        <v>48</v>
      </c>
      <c r="F59" s="158" t="n">
        <v>55.0</v>
      </c>
      <c r="G59" s="11">
        <f t="shared" si="1"/>
        <v>7.5748045768051371E-5</v>
      </c>
    </row>
    <row r="60" spans="1:7" x14ac:dyDescent="0.45">
      <c r="A60">
        <v>49</v>
      </c>
      <c r="B60" s="8" t="n">
        <v>0.0</v>
      </c>
      <c r="C60" s="11">
        <f t="shared" si="0"/>
        <v>0</v>
      </c>
      <c r="E60" s="69">
        <v>49</v>
      </c>
      <c r="F60" s="159" t="n">
        <v>45.0</v>
      </c>
      <c r="G60" s="11">
        <f t="shared" si="1"/>
        <v>9.6037700884493701E-5</v>
      </c>
    </row>
    <row r="61" spans="1:7" x14ac:dyDescent="0.45">
      <c r="A61">
        <v>50</v>
      </c>
      <c r="B61" s="8" t="n">
        <v>454.367233631</v>
      </c>
      <c r="C61" s="11">
        <f t="shared" si="0"/>
        <v>6.3653594354661554E-4</v>
      </c>
      <c r="E61" s="70">
        <v>50</v>
      </c>
      <c r="F61" s="160" t="n">
        <v>63.0</v>
      </c>
      <c r="G61" s="11">
        <f t="shared" si="1"/>
        <v>7.8453333116910347E-5</v>
      </c>
    </row>
    <row r="62" spans="1:7" x14ac:dyDescent="0.45">
      <c r="A62">
        <v>51</v>
      </c>
      <c r="B62" s="8" t="n">
        <v>94.7244864348</v>
      </c>
      <c r="C62" s="11">
        <f t="shared" si="0"/>
        <v>1.3270221945341931E-4</v>
      </c>
      <c r="E62" s="71">
        <v>51</v>
      </c>
      <c r="F62" s="161" t="n">
        <v>54.0</v>
      </c>
      <c r="G62" s="11">
        <f t="shared" si="1"/>
        <v>4.7342528605032103E-5</v>
      </c>
    </row>
    <row r="63" spans="1:7" x14ac:dyDescent="0.45">
      <c r="A63">
        <v>52</v>
      </c>
      <c r="B63" s="8" t="n">
        <v>0.0</v>
      </c>
      <c r="C63" s="11">
        <f t="shared" si="0"/>
        <v>0</v>
      </c>
      <c r="E63" s="72">
        <v>52</v>
      </c>
      <c r="F63" s="162" t="n">
        <v>25.0</v>
      </c>
      <c r="G63" s="11">
        <f t="shared" si="1"/>
        <v>3.381609186073722E-5</v>
      </c>
    </row>
    <row r="64" spans="1:7" x14ac:dyDescent="0.45">
      <c r="A64">
        <v>53</v>
      </c>
      <c r="B64" s="8" t="n">
        <v>0.0</v>
      </c>
      <c r="C64" s="11">
        <f t="shared" si="0"/>
        <v>0</v>
      </c>
      <c r="E64" s="73">
        <v>53</v>
      </c>
      <c r="F64" s="163" t="n">
        <v>22.0</v>
      </c>
      <c r="G64" s="11">
        <f t="shared" si="1"/>
        <v>1.8937011442012843E-5</v>
      </c>
    </row>
    <row r="65" spans="1:7" x14ac:dyDescent="0.45">
      <c r="A65">
        <v>54</v>
      </c>
      <c r="B65" s="8" t="n">
        <v>0.0</v>
      </c>
      <c r="C65" s="11">
        <f t="shared" si="0"/>
        <v>0</v>
      </c>
      <c r="E65" s="74">
        <v>54</v>
      </c>
      <c r="F65" s="164" t="n">
        <v>24.0</v>
      </c>
      <c r="G65" s="11">
        <f t="shared" si="1"/>
        <v>4.193195390731415E-5</v>
      </c>
    </row>
    <row r="66" spans="1:7" x14ac:dyDescent="0.45">
      <c r="A66">
        <v>55</v>
      </c>
      <c r="B66" s="8" t="n">
        <v>0.0</v>
      </c>
      <c r="C66" s="11">
        <f t="shared" si="0"/>
        <v>0</v>
      </c>
      <c r="E66" s="75">
        <v>55</v>
      </c>
      <c r="F66" s="165" t="n">
        <v>22.0</v>
      </c>
      <c r="G66" s="11">
        <f t="shared" si="1"/>
        <v>3.381609186073722E-5</v>
      </c>
    </row>
    <row r="67" spans="1:7" x14ac:dyDescent="0.45">
      <c r="A67">
        <v>56</v>
      </c>
      <c r="B67" s="8" t="n">
        <v>767.701778901</v>
      </c>
      <c r="C67" s="11">
        <f t="shared" si="0"/>
        <v>1.0754951942507831E-3</v>
      </c>
      <c r="E67" s="76">
        <v>56</v>
      </c>
      <c r="F67" s="166" t="n">
        <v>13.0</v>
      </c>
      <c r="G67" s="11">
        <f t="shared" si="1"/>
        <v>2.0289655116442331E-5</v>
      </c>
    </row>
    <row r="68" spans="1:7" x14ac:dyDescent="0.45">
      <c r="A68">
        <v>57</v>
      </c>
      <c r="B68" s="8" t="n">
        <v>303.939138892</v>
      </c>
      <c r="C68" s="11">
        <f t="shared" si="0"/>
        <v>4.2579695945347185E-4</v>
      </c>
      <c r="E68" s="77">
        <v>57</v>
      </c>
      <c r="F68" s="167" t="n">
        <v>3.0</v>
      </c>
      <c r="G68" s="11">
        <f t="shared" si="1"/>
        <v>1.4879080418724376E-5</v>
      </c>
    </row>
    <row r="69" spans="1:7" x14ac:dyDescent="0.45">
      <c r="A69">
        <v>58</v>
      </c>
      <c r="B69" s="8" t="n">
        <v>0.0</v>
      </c>
      <c r="C69" s="11">
        <f t="shared" si="0"/>
        <v>0</v>
      </c>
      <c r="E69" s="78">
        <v>58</v>
      </c>
      <c r="F69" s="168" t="n">
        <v>15.0</v>
      </c>
      <c r="G69" s="11">
        <f t="shared" si="1"/>
        <v>1.6231724093153866E-5</v>
      </c>
    </row>
    <row r="70" spans="1:7" x14ac:dyDescent="0.45">
      <c r="A70">
        <v>59</v>
      </c>
      <c r="B70" s="8" t="n">
        <v>0.0</v>
      </c>
      <c r="C70" s="11">
        <f t="shared" si="0"/>
        <v>0</v>
      </c>
      <c r="E70" s="79">
        <v>59</v>
      </c>
      <c r="F70" s="169" t="n">
        <v>12.0</v>
      </c>
      <c r="G70" s="11">
        <f t="shared" si="1"/>
        <v>8.115862046576933E-6</v>
      </c>
    </row>
    <row r="71" spans="1:7" x14ac:dyDescent="0.45">
      <c r="A71">
        <v>60</v>
      </c>
      <c r="B71" s="8" t="n">
        <v>0.0</v>
      </c>
      <c r="C71" s="11">
        <f t="shared" si="0"/>
        <v>0</v>
      </c>
      <c r="E71" s="80">
        <v>60</v>
      </c>
      <c r="F71" s="170" t="n">
        <v>4.0</v>
      </c>
      <c r="G71" s="11">
        <f t="shared" si="1"/>
        <v>4.0579310232884665E-6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81">
        <v>61</v>
      </c>
      <c r="F72" s="171" t="n">
        <v>4.0</v>
      </c>
      <c r="G72" s="11">
        <f t="shared" si="1"/>
        <v>6.7632183721474439E-6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82">
        <v>62</v>
      </c>
      <c r="F73" s="172" t="n">
        <v>2.0</v>
      </c>
      <c r="G73" s="11">
        <f t="shared" si="1"/>
        <v>4.0579310232884665E-6</v>
      </c>
    </row>
    <row r="74" spans="1:7" x14ac:dyDescent="0.45">
      <c r="A74">
        <v>63</v>
      </c>
      <c r="B74" s="8" t="n">
        <v>0.0</v>
      </c>
      <c r="C74" s="11">
        <f t="shared" si="0"/>
        <v>0</v>
      </c>
      <c r="E74" s="83">
        <v>63</v>
      </c>
      <c r="F74" s="173" t="n">
        <v>3.0</v>
      </c>
      <c r="G74" s="11">
        <f t="shared" si="1"/>
        <v>2.7052873488589774E-6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84">
        <v>64</v>
      </c>
      <c r="F75" s="174" t="n">
        <v>1.0</v>
      </c>
      <c r="G75" s="11">
        <f t="shared" si="1"/>
        <v>2.7052873488589774E-6</v>
      </c>
    </row>
    <row r="76" spans="1:7" x14ac:dyDescent="0.45">
      <c r="A76">
        <v>65</v>
      </c>
      <c r="B76" s="8" t="n">
        <v>0.0</v>
      </c>
      <c r="C76" s="11">
        <f t="shared" si="0"/>
        <v>0</v>
      </c>
      <c r="E76" s="85">
        <v>65</v>
      </c>
      <c r="F76" s="175" t="n">
        <v>0.0</v>
      </c>
      <c r="G76" s="11">
        <f t="shared" si="1"/>
        <v>2.7052873488589774E-6</v>
      </c>
    </row>
    <row r="77" spans="1:7" x14ac:dyDescent="0.45">
      <c r="A77">
        <v>66</v>
      </c>
      <c r="B77" s="8" t="n">
        <v>0.0</v>
      </c>
      <c r="C77" s="11">
        <f t="shared" ref="C77:C102" si="2">B77/B$102</f>
        <v>0</v>
      </c>
      <c r="E77" s="86">
        <v>66</v>
      </c>
      <c r="F77" s="176" t="n">
        <v>2.0</v>
      </c>
      <c r="G77" s="11">
        <f t="shared" ref="G77:G102" si="3">F77/F$102</f>
        <v>4.0579310232884665E-6</v>
      </c>
    </row>
    <row r="78" spans="1:7" x14ac:dyDescent="0.45">
      <c r="A78">
        <v>67</v>
      </c>
      <c r="B78" s="8" t="n">
        <v>0.0</v>
      </c>
      <c r="C78" s="11">
        <f t="shared" si="2"/>
        <v>0</v>
      </c>
      <c r="E78" s="87">
        <v>67</v>
      </c>
      <c r="F78" s="177" t="n">
        <v>1.0</v>
      </c>
      <c r="G78" s="11">
        <f t="shared" si="3"/>
        <v>0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88">
        <v>68</v>
      </c>
      <c r="F79" s="178" t="n">
        <v>2.0</v>
      </c>
      <c r="G79" s="11">
        <f t="shared" si="3"/>
        <v>1.3526436744294887E-6</v>
      </c>
    </row>
    <row r="80" spans="1:7" x14ac:dyDescent="0.45">
      <c r="A80">
        <v>69</v>
      </c>
      <c r="B80" s="8" t="n">
        <v>376.597523036</v>
      </c>
      <c r="C80" s="11">
        <f t="shared" si="2"/>
        <v>5.2758615040827928E-4</v>
      </c>
      <c r="E80" s="89">
        <v>69</v>
      </c>
      <c r="F80" s="179" t="n">
        <v>0.0</v>
      </c>
      <c r="G80" s="11">
        <f t="shared" si="3"/>
        <v>0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90">
        <v>70</v>
      </c>
      <c r="F81" s="180" t="n">
        <v>1.0</v>
      </c>
      <c r="G81" s="11">
        <f t="shared" si="3"/>
        <v>0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91">
        <v>71</v>
      </c>
      <c r="F82" s="181" t="n">
        <v>0.0</v>
      </c>
      <c r="G82" s="11">
        <f t="shared" si="3"/>
        <v>0</v>
      </c>
    </row>
    <row r="83" spans="1:7" x14ac:dyDescent="0.45">
      <c r="A83">
        <v>72</v>
      </c>
      <c r="B83" s="8" t="n">
        <v>0.0</v>
      </c>
      <c r="C83" s="11">
        <f t="shared" si="2"/>
        <v>0</v>
      </c>
      <c r="E83" s="92">
        <v>72</v>
      </c>
      <c r="F83" s="182" t="n">
        <v>0.0</v>
      </c>
      <c r="G83" s="11">
        <f t="shared" si="3"/>
        <v>1.3526436744294887E-6</v>
      </c>
    </row>
    <row r="84" spans="1:7" x14ac:dyDescent="0.45">
      <c r="A84">
        <v>73</v>
      </c>
      <c r="B84" s="8" t="n">
        <v>224.140299381</v>
      </c>
      <c r="C84" s="11">
        <f t="shared" si="2"/>
        <v>3.1400450207017656E-4</v>
      </c>
      <c r="E84" s="93">
        <v>73</v>
      </c>
      <c r="F84" s="183" t="n">
        <v>0.0</v>
      </c>
      <c r="G84" s="11">
        <f t="shared" si="3"/>
        <v>0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94">
        <v>74</v>
      </c>
      <c r="F85" s="184" t="n">
        <v>3.0</v>
      </c>
      <c r="G85" s="11">
        <f t="shared" si="3"/>
        <v>2.7052873488589774E-6</v>
      </c>
    </row>
    <row r="86" spans="1:7" x14ac:dyDescent="0.45">
      <c r="A86">
        <v>75</v>
      </c>
      <c r="B86" s="8" t="n">
        <v>0.0</v>
      </c>
      <c r="C86" s="11">
        <f t="shared" si="2"/>
        <v>0</v>
      </c>
      <c r="E86" s="95">
        <v>75</v>
      </c>
      <c r="F86" s="185" t="n">
        <v>0.0</v>
      </c>
      <c r="G86" s="11">
        <f t="shared" si="3"/>
        <v>0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96">
        <v>76</v>
      </c>
      <c r="F87" s="186" t="n">
        <v>1.0</v>
      </c>
      <c r="G87" s="11">
        <f t="shared" si="3"/>
        <v>0</v>
      </c>
    </row>
    <row r="88" spans="1:7" x14ac:dyDescent="0.45">
      <c r="A88">
        <v>77</v>
      </c>
      <c r="B88" s="8" t="n">
        <v>0.0</v>
      </c>
      <c r="C88" s="11">
        <f t="shared" si="2"/>
        <v>0</v>
      </c>
      <c r="E88" s="97">
        <v>77</v>
      </c>
      <c r="F88" s="187" t="n">
        <v>0.0</v>
      </c>
      <c r="G88" s="11">
        <f t="shared" si="3"/>
        <v>0</v>
      </c>
    </row>
    <row r="89" spans="1:7" x14ac:dyDescent="0.45">
      <c r="A89">
        <v>78</v>
      </c>
      <c r="B89" s="8" t="n">
        <v>0.0</v>
      </c>
      <c r="C89" s="11">
        <f t="shared" si="2"/>
        <v>0</v>
      </c>
      <c r="E89" s="98">
        <v>78</v>
      </c>
      <c r="F89" s="188" t="n">
        <v>0.0</v>
      </c>
      <c r="G89" s="11">
        <f t="shared" si="3"/>
        <v>0</v>
      </c>
    </row>
    <row r="90" spans="1:7" x14ac:dyDescent="0.45">
      <c r="A90">
        <v>79</v>
      </c>
      <c r="B90" s="8" t="n">
        <v>0.0</v>
      </c>
      <c r="C90" s="11">
        <f t="shared" si="2"/>
        <v>0</v>
      </c>
      <c r="E90" s="99">
        <v>79</v>
      </c>
      <c r="F90" s="189" t="n">
        <v>0.0</v>
      </c>
      <c r="G90" s="11">
        <f t="shared" si="3"/>
        <v>0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00">
        <v>80</v>
      </c>
      <c r="F91" s="190" t="n">
        <v>0.0</v>
      </c>
      <c r="G91" s="11">
        <f t="shared" si="3"/>
        <v>0</v>
      </c>
    </row>
    <row r="92" spans="1:7" x14ac:dyDescent="0.45">
      <c r="A92">
        <v>81</v>
      </c>
      <c r="B92" s="8" t="n">
        <v>0.0</v>
      </c>
      <c r="C92" s="11">
        <f t="shared" si="2"/>
        <v>0</v>
      </c>
      <c r="E92" s="101">
        <v>81</v>
      </c>
      <c r="F92" s="191" t="n">
        <v>0.0</v>
      </c>
      <c r="G92" s="11">
        <f t="shared" si="3"/>
        <v>0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102">
        <v>82</v>
      </c>
      <c r="F93" s="192" t="n">
        <v>2.0</v>
      </c>
      <c r="G93" s="11">
        <f t="shared" si="3"/>
        <v>0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103">
        <v>83</v>
      </c>
      <c r="F94" s="193" t="n">
        <v>0.0</v>
      </c>
      <c r="G94" s="11">
        <f t="shared" si="3"/>
        <v>0</v>
      </c>
    </row>
    <row r="95" spans="1:7" x14ac:dyDescent="0.45">
      <c r="A95">
        <v>84</v>
      </c>
      <c r="B95" s="8" t="n">
        <v>0.0</v>
      </c>
      <c r="C95" s="11">
        <f t="shared" si="2"/>
        <v>0</v>
      </c>
      <c r="E95" s="104">
        <v>84</v>
      </c>
      <c r="F95" s="194" t="n">
        <v>0.0</v>
      </c>
      <c r="G95" s="11">
        <f t="shared" si="3"/>
        <v>0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05">
        <v>85</v>
      </c>
      <c r="F96" s="195" t="n">
        <v>1.0</v>
      </c>
      <c r="G96" s="11">
        <f t="shared" si="3"/>
        <v>0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06">
        <v>86</v>
      </c>
      <c r="F97" s="196" t="n">
        <v>0.0</v>
      </c>
      <c r="G97" s="11">
        <f t="shared" si="3"/>
        <v>0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07">
        <v>87</v>
      </c>
      <c r="F98" s="197" t="n">
        <v>0.0</v>
      </c>
      <c r="G98" s="11">
        <f t="shared" si="3"/>
        <v>0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08">
        <v>88</v>
      </c>
      <c r="F99" s="198" t="n">
        <v>0.0</v>
      </c>
      <c r="G99" s="11">
        <f t="shared" si="3"/>
        <v>0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09">
        <v>89</v>
      </c>
      <c r="F100" s="199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45">
      <c r="B102" s="8">
        <f>SUM(B11:B101)</f>
        <v>713812.37499234045</v>
      </c>
      <c r="C102" s="11">
        <f t="shared" si="2"/>
        <v>1</v>
      </c>
      <c r="F102" s="8">
        <f>SUM(F11:F101)</f>
        <v>739293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M30" sqref="M30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245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13305.0</v>
      </c>
      <c r="G11" s="11">
        <f>F11/F$102</f>
        <v>1.8137599030425014E-2</v>
      </c>
      <c r="K11" s="8" t="n">
        <v>24.113646099456428</v>
      </c>
      <c r="L11" s="8" t="n">
        <v>19.94008370451968</v>
      </c>
    </row>
    <row r="12" spans="1:12" x14ac:dyDescent="0.45">
      <c r="A12">
        <v>1</v>
      </c>
      <c r="B12" s="8" t="n">
        <v>7793.492276496</v>
      </c>
      <c r="C12" s="11">
        <f>B12/B$102</f>
        <v>1.0918124355268601E-2</v>
      </c>
      <c r="E12" s="201">
        <v>1</v>
      </c>
      <c r="F12" s="291" t="n">
        <v>21819.0</v>
      </c>
      <c r="G12" s="11">
        <f>F12/F$102</f>
        <v>2.931178842488702E-2</v>
      </c>
      <c r="K12" s="8"/>
      <c r="L12" s="381"/>
    </row>
    <row r="13" spans="1:12" x14ac:dyDescent="0.45">
      <c r="A13">
        <v>2</v>
      </c>
      <c r="B13" s="8" t="n">
        <v>3735.470356412</v>
      </c>
      <c r="C13" s="11">
        <f t="shared" ref="C13:C76" si="0">B13/B$102</f>
        <v>5.2331263610442182E-3</v>
      </c>
      <c r="E13" s="202">
        <v>2</v>
      </c>
      <c r="F13" s="292" t="n">
        <v>26595.0</v>
      </c>
      <c r="G13" s="11">
        <f t="shared" ref="G13:G76" si="1">F13/F$102</f>
        <v>3.6077712084383325E-2</v>
      </c>
    </row>
    <row r="14" spans="1:12" x14ac:dyDescent="0.45">
      <c r="A14">
        <v>3</v>
      </c>
      <c r="B14" s="8" t="n">
        <v>10871.694237952499</v>
      </c>
      <c r="C14" s="11">
        <f t="shared" si="0"/>
        <v>1.5230464781545921E-2</v>
      </c>
      <c r="E14" s="203">
        <v>3</v>
      </c>
      <c r="F14" s="293" t="n">
        <v>26479.0</v>
      </c>
      <c r="G14" s="11">
        <f t="shared" si="1"/>
        <v>3.5758488177217961E-2</v>
      </c>
    </row>
    <row r="15" spans="1:12" x14ac:dyDescent="0.45">
      <c r="A15">
        <v>4</v>
      </c>
      <c r="B15" s="8" t="n">
        <v>9819.2436013064</v>
      </c>
      <c r="C15" s="11">
        <f t="shared" si="0"/>
        <v>1.3756056836940882E-2</v>
      </c>
      <c r="E15" s="204">
        <v>4</v>
      </c>
      <c r="F15" s="294" t="n">
        <v>23568.0</v>
      </c>
      <c r="G15" s="11">
        <f t="shared" si="1"/>
        <v>3.1724904740069226E-2</v>
      </c>
    </row>
    <row r="16" spans="1:12" x14ac:dyDescent="0.45">
      <c r="A16">
        <v>5</v>
      </c>
      <c r="B16" s="8" t="n">
        <v>16332.2660777692</v>
      </c>
      <c r="C16" s="11">
        <f t="shared" si="0"/>
        <v>2.2880334734942696E-2</v>
      </c>
      <c r="E16" s="205">
        <v>5</v>
      </c>
      <c r="F16" s="295" t="n">
        <v>21473.0</v>
      </c>
      <c r="G16" s="11">
        <f t="shared" si="1"/>
        <v>2.8267547508227454E-2</v>
      </c>
    </row>
    <row r="17" spans="1:7" x14ac:dyDescent="0.45">
      <c r="A17">
        <v>6</v>
      </c>
      <c r="B17" s="8" t="n">
        <v>6831.1061588459</v>
      </c>
      <c r="C17" s="11">
        <f t="shared" si="0"/>
        <v>9.5698903495742785E-3</v>
      </c>
      <c r="E17" s="206">
        <v>6</v>
      </c>
      <c r="F17" s="296" t="n">
        <v>19129.0</v>
      </c>
      <c r="G17" s="11">
        <f t="shared" si="1"/>
        <v>2.5853078549370818E-2</v>
      </c>
    </row>
    <row r="18" spans="1:7" x14ac:dyDescent="0.45">
      <c r="A18">
        <v>7</v>
      </c>
      <c r="B18" s="8" t="n">
        <v>8476.0208145379</v>
      </c>
      <c r="C18" s="11">
        <f t="shared" si="0"/>
        <v>1.1874297940868349E-2</v>
      </c>
      <c r="E18" s="207">
        <v>7</v>
      </c>
      <c r="F18" s="297" t="n">
        <v>17693.0</v>
      </c>
      <c r="G18" s="11">
        <f t="shared" si="1"/>
        <v>2.3699669819679071E-2</v>
      </c>
    </row>
    <row r="19" spans="1:7" x14ac:dyDescent="0.45">
      <c r="A19">
        <v>8</v>
      </c>
      <c r="B19" s="8" t="n">
        <v>6745.4341589962</v>
      </c>
      <c r="C19" s="11">
        <f t="shared" si="0"/>
        <v>9.449870015308403E-3</v>
      </c>
      <c r="E19" s="208">
        <v>8</v>
      </c>
      <c r="F19" s="298" t="n">
        <v>15508.0</v>
      </c>
      <c r="G19" s="11">
        <f t="shared" si="1"/>
        <v>2.1152641780728343E-2</v>
      </c>
    </row>
    <row r="20" spans="1:7" x14ac:dyDescent="0.45">
      <c r="A20">
        <v>9</v>
      </c>
      <c r="B20" s="8" t="n">
        <v>8005.3491272957</v>
      </c>
      <c r="C20" s="11">
        <f t="shared" si="0"/>
        <v>1.1214920625859976E-2</v>
      </c>
      <c r="E20" s="209">
        <v>9</v>
      </c>
      <c r="F20" s="299" t="n">
        <v>14388.0</v>
      </c>
      <c r="G20" s="11">
        <f t="shared" si="1"/>
        <v>1.9395557647644439E-2</v>
      </c>
    </row>
    <row r="21" spans="1:7" x14ac:dyDescent="0.45">
      <c r="A21">
        <v>10</v>
      </c>
      <c r="B21" s="8" t="n">
        <v>3311.574517039</v>
      </c>
      <c r="C21" s="11">
        <f t="shared" si="0"/>
        <v>4.6392786578889622E-3</v>
      </c>
      <c r="E21" s="210">
        <v>10</v>
      </c>
      <c r="F21" s="300" t="n">
        <v>13114.0</v>
      </c>
      <c r="G21" s="11">
        <f t="shared" si="1"/>
        <v>1.7697989836235429E-2</v>
      </c>
    </row>
    <row r="22" spans="1:7" x14ac:dyDescent="0.45">
      <c r="A22">
        <v>11</v>
      </c>
      <c r="B22" s="8" t="n">
        <v>11087.992481766</v>
      </c>
      <c r="C22" s="11">
        <f t="shared" si="0"/>
        <v>1.5533483125569196E-2</v>
      </c>
      <c r="E22" s="211">
        <v>11</v>
      </c>
      <c r="F22" s="301" t="n">
        <v>11433.0</v>
      </c>
      <c r="G22" s="11">
        <f t="shared" si="1"/>
        <v>1.5633855589056032E-2</v>
      </c>
    </row>
    <row r="23" spans="1:7" x14ac:dyDescent="0.45">
      <c r="A23">
        <v>12</v>
      </c>
      <c r="B23" s="8" t="n">
        <v>14689.8465226455</v>
      </c>
      <c r="C23" s="11">
        <f t="shared" si="0"/>
        <v>2.057942260079635E-2</v>
      </c>
      <c r="E23" s="212">
        <v>12</v>
      </c>
      <c r="F23" s="302" t="n">
        <v>10426.0</v>
      </c>
      <c r="G23" s="11">
        <f t="shared" si="1"/>
        <v>1.4063436283043395E-2</v>
      </c>
    </row>
    <row r="24" spans="1:7" x14ac:dyDescent="0.45">
      <c r="A24">
        <v>13</v>
      </c>
      <c r="B24" s="8" t="n">
        <v>27272.6668872568</v>
      </c>
      <c r="C24" s="11">
        <f t="shared" si="0"/>
        <v>3.8207052501085359E-2</v>
      </c>
      <c r="E24" s="213">
        <v>13</v>
      </c>
      <c r="F24" s="303" t="n">
        <v>8831.0</v>
      </c>
      <c r="G24" s="11">
        <f t="shared" si="1"/>
        <v>1.1662493760931052E-2</v>
      </c>
    </row>
    <row r="25" spans="1:7" x14ac:dyDescent="0.45">
      <c r="A25">
        <v>14</v>
      </c>
      <c r="B25" s="8" t="n">
        <v>14318.314002385</v>
      </c>
      <c r="C25" s="11">
        <f t="shared" si="0"/>
        <v>2.005893215642084E-2</v>
      </c>
      <c r="E25" s="214">
        <v>14</v>
      </c>
      <c r="F25" s="304" t="n">
        <v>8083.0</v>
      </c>
      <c r="G25" s="11">
        <f t="shared" si="1"/>
        <v>1.1231000428788045E-2</v>
      </c>
    </row>
    <row r="26" spans="1:7" x14ac:dyDescent="0.45">
      <c r="A26">
        <v>15</v>
      </c>
      <c r="B26" s="8" t="n">
        <v>7049.5308562966</v>
      </c>
      <c r="C26" s="11">
        <f t="shared" si="0"/>
        <v>9.8758877028045922E-3</v>
      </c>
      <c r="E26" s="215">
        <v>15</v>
      </c>
      <c r="F26" s="305" t="n">
        <v>7222.0</v>
      </c>
      <c r="G26" s="11">
        <f t="shared" si="1"/>
        <v>9.6321756056123899E-3</v>
      </c>
    </row>
    <row r="27" spans="1:7" x14ac:dyDescent="0.45">
      <c r="A27">
        <v>16</v>
      </c>
      <c r="B27" s="8" t="n">
        <v>23865.880590022</v>
      </c>
      <c r="C27" s="11">
        <f t="shared" si="0"/>
        <v>3.3434388960093438E-2</v>
      </c>
      <c r="E27" s="216">
        <v>16</v>
      </c>
      <c r="F27" s="306" t="n">
        <v>7142.0</v>
      </c>
      <c r="G27" s="11">
        <f t="shared" si="1"/>
        <v>9.6443493986822539E-3</v>
      </c>
    </row>
    <row r="28" spans="1:7" x14ac:dyDescent="0.45">
      <c r="A28">
        <v>17</v>
      </c>
      <c r="B28" s="8" t="n">
        <v>14432.717506793</v>
      </c>
      <c r="C28" s="11">
        <f t="shared" si="0"/>
        <v>2.0219203270254119E-2</v>
      </c>
      <c r="E28" s="217">
        <v>17</v>
      </c>
      <c r="F28" s="307" t="n">
        <v>6201.0</v>
      </c>
      <c r="G28" s="11">
        <f t="shared" si="1"/>
        <v>8.6582721600231578E-3</v>
      </c>
    </row>
    <row r="29" spans="1:7" x14ac:dyDescent="0.45">
      <c r="A29">
        <v>18</v>
      </c>
      <c r="B29" s="8" t="n">
        <v>47127.7531380588</v>
      </c>
      <c r="C29" s="11">
        <f t="shared" si="0"/>
        <v>6.6022605924371189E-2</v>
      </c>
      <c r="E29" s="218">
        <v>18</v>
      </c>
      <c r="F29" s="308" t="n">
        <v>76683.0</v>
      </c>
      <c r="G29" s="11">
        <f t="shared" si="1"/>
        <v>0.10401288798892996</v>
      </c>
    </row>
    <row r="30" spans="1:7" x14ac:dyDescent="0.45">
      <c r="A30">
        <v>19</v>
      </c>
      <c r="B30" s="8" t="n">
        <v>28800.9700697245</v>
      </c>
      <c r="C30" s="11">
        <f t="shared" si="0"/>
        <v>4.0348095772412926E-2</v>
      </c>
      <c r="E30" s="219">
        <v>19</v>
      </c>
      <c r="F30" s="309" t="n">
        <v>25893.0</v>
      </c>
      <c r="G30" s="11">
        <f t="shared" si="1"/>
        <v>3.4673667950325511E-2</v>
      </c>
    </row>
    <row r="31" spans="1:7" x14ac:dyDescent="0.45">
      <c r="A31">
        <v>20</v>
      </c>
      <c r="B31" s="8" t="n">
        <v>39793.5264298827</v>
      </c>
      <c r="C31" s="11">
        <f t="shared" si="0"/>
        <v>5.5747879728632724E-2</v>
      </c>
      <c r="E31" s="220">
        <v>20</v>
      </c>
      <c r="F31" s="310" t="n">
        <v>29949.0</v>
      </c>
      <c r="G31" s="11">
        <f t="shared" si="1"/>
        <v>3.9115749777151952E-2</v>
      </c>
    </row>
    <row r="32" spans="1:7" x14ac:dyDescent="0.45">
      <c r="A32">
        <v>21</v>
      </c>
      <c r="B32" s="8" t="n">
        <v>37709.8270370349</v>
      </c>
      <c r="C32" s="11">
        <f t="shared" si="0"/>
        <v>5.2828766155027108E-2</v>
      </c>
      <c r="E32" s="221">
        <v>21</v>
      </c>
      <c r="F32" s="311" t="n">
        <v>32522.0</v>
      </c>
      <c r="G32" s="11">
        <f t="shared" si="1"/>
        <v>4.3701211833467923E-2</v>
      </c>
    </row>
    <row r="33" spans="1:7" x14ac:dyDescent="0.45">
      <c r="A33">
        <v>22</v>
      </c>
      <c r="B33" s="8" t="n">
        <v>35486.283218125</v>
      </c>
      <c r="C33" s="11">
        <f t="shared" si="0"/>
        <v>4.9713740558932955E-2</v>
      </c>
      <c r="E33" s="222">
        <v>22</v>
      </c>
      <c r="F33" s="312" t="n">
        <v>31803.0</v>
      </c>
      <c r="G33" s="11">
        <f t="shared" si="1"/>
        <v>4.3007305628485593E-2</v>
      </c>
    </row>
    <row r="34" spans="1:7" x14ac:dyDescent="0.45">
      <c r="A34">
        <v>23</v>
      </c>
      <c r="B34" s="8" t="n">
        <v>29017.355384408</v>
      </c>
      <c r="C34" s="11">
        <f t="shared" si="0"/>
        <v>4.0651236096487332E-2</v>
      </c>
      <c r="E34" s="223">
        <v>23</v>
      </c>
      <c r="F34" s="313" t="n">
        <v>23172.0</v>
      </c>
      <c r="G34" s="11">
        <f t="shared" si="1"/>
        <v>3.2552722668820075E-2</v>
      </c>
    </row>
    <row r="35" spans="1:7" x14ac:dyDescent="0.45">
      <c r="A35">
        <v>24</v>
      </c>
      <c r="B35" s="8" t="n">
        <v>37931.4440880441</v>
      </c>
      <c r="C35" s="11">
        <f t="shared" si="0"/>
        <v>5.3139235766893368E-2</v>
      </c>
      <c r="E35" s="224">
        <v>24</v>
      </c>
      <c r="F35" s="314" t="n">
        <v>23705.0</v>
      </c>
      <c r="G35" s="11">
        <f t="shared" si="1"/>
        <v>2.7714316245385794E-2</v>
      </c>
    </row>
    <row r="36" spans="1:7" x14ac:dyDescent="0.45">
      <c r="A36">
        <v>25</v>
      </c>
      <c r="B36" s="8" t="n">
        <v>9971.2401772759</v>
      </c>
      <c r="C36" s="11">
        <f t="shared" si="0"/>
        <v>1.39689931508723E-2</v>
      </c>
      <c r="E36" s="225">
        <v>25</v>
      </c>
      <c r="F36" s="315" t="n">
        <v>20515.0</v>
      </c>
      <c r="G36" s="11">
        <f t="shared" si="1"/>
        <v>3.1558529568114405E-2</v>
      </c>
    </row>
    <row r="37" spans="1:7" x14ac:dyDescent="0.45">
      <c r="A37">
        <v>26</v>
      </c>
      <c r="B37" s="8" t="n">
        <v>45763.924449882</v>
      </c>
      <c r="C37" s="11">
        <f t="shared" si="0"/>
        <v>6.4111979636627958E-2</v>
      </c>
      <c r="E37" s="226">
        <v>26</v>
      </c>
      <c r="F37" s="316" t="n">
        <v>17764.0</v>
      </c>
      <c r="G37" s="11">
        <f t="shared" si="1"/>
        <v>2.1846547985710674E-2</v>
      </c>
    </row>
    <row r="38" spans="1:7" x14ac:dyDescent="0.45">
      <c r="A38">
        <v>27</v>
      </c>
      <c r="B38" s="8" t="n">
        <v>8839.133753623</v>
      </c>
      <c r="C38" s="11">
        <f t="shared" si="0"/>
        <v>1.2382993155194097E-2</v>
      </c>
      <c r="E38" s="227">
        <v>27</v>
      </c>
      <c r="F38" s="317" t="n">
        <v>12760.0</v>
      </c>
      <c r="G38" s="11">
        <f t="shared" si="1"/>
        <v>1.8801747074569893E-2</v>
      </c>
    </row>
    <row r="39" spans="1:7" x14ac:dyDescent="0.45">
      <c r="A39">
        <v>28</v>
      </c>
      <c r="B39" s="8" t="n">
        <v>12756.0390993706</v>
      </c>
      <c r="C39" s="11">
        <f t="shared" si="0"/>
        <v>1.7870296938334071E-2</v>
      </c>
      <c r="E39" s="228">
        <v>28</v>
      </c>
      <c r="F39" s="318" t="n">
        <v>14003.0</v>
      </c>
      <c r="G39" s="11">
        <f t="shared" si="1"/>
        <v>1.9241356268759478E-2</v>
      </c>
    </row>
    <row r="40" spans="1:7" x14ac:dyDescent="0.45">
      <c r="A40">
        <v>29</v>
      </c>
      <c r="B40" s="8" t="n">
        <v>15772.4532600474</v>
      </c>
      <c r="C40" s="11">
        <f t="shared" si="0"/>
        <v>2.2096077082183724E-2</v>
      </c>
      <c r="E40" s="229">
        <v>29</v>
      </c>
      <c r="F40" s="319" t="n">
        <v>15829.0</v>
      </c>
      <c r="G40" s="11">
        <f t="shared" si="1"/>
        <v>1.7301665239627589E-2</v>
      </c>
    </row>
    <row r="41" spans="1:7" x14ac:dyDescent="0.45">
      <c r="A41">
        <v>30</v>
      </c>
      <c r="B41" s="8" t="n">
        <v>7948.5387110977</v>
      </c>
      <c r="C41" s="11">
        <f t="shared" si="0"/>
        <v>1.1135333302652517E-2</v>
      </c>
      <c r="E41" s="230">
        <v>30</v>
      </c>
      <c r="F41" s="320" t="n">
        <v>15722.0</v>
      </c>
      <c r="G41" s="11">
        <f t="shared" si="1"/>
        <v>2.5029318551643261E-2</v>
      </c>
    </row>
    <row r="42" spans="1:7" x14ac:dyDescent="0.45">
      <c r="A42">
        <v>31</v>
      </c>
      <c r="B42" s="8" t="n">
        <v>11734.1355258849</v>
      </c>
      <c r="C42" s="11">
        <f t="shared" si="0"/>
        <v>1.6438683240831746E-2</v>
      </c>
      <c r="E42" s="231">
        <v>31</v>
      </c>
      <c r="F42" s="321" t="n">
        <v>10741.0</v>
      </c>
      <c r="G42" s="11">
        <f t="shared" si="1"/>
        <v>1.5456659267705768E-2</v>
      </c>
    </row>
    <row r="43" spans="1:7" x14ac:dyDescent="0.45">
      <c r="A43">
        <v>32</v>
      </c>
      <c r="B43" s="8" t="n">
        <v>5547.8981289166995</v>
      </c>
      <c r="C43" s="11">
        <f t="shared" si="0"/>
        <v>7.7722078283893967E-3</v>
      </c>
      <c r="E43" s="232">
        <v>32</v>
      </c>
      <c r="F43" s="322" t="n">
        <v>11721.0</v>
      </c>
      <c r="G43" s="11">
        <f t="shared" si="1"/>
        <v>1.5340331911704832E-2</v>
      </c>
    </row>
    <row r="44" spans="1:7" x14ac:dyDescent="0.45">
      <c r="A44">
        <v>33</v>
      </c>
      <c r="B44" s="8" t="n">
        <v>12268.2299593388</v>
      </c>
      <c r="C44" s="11">
        <f t="shared" si="0"/>
        <v>1.7186911279690881E-2</v>
      </c>
      <c r="E44" s="233">
        <v>33</v>
      </c>
      <c r="F44" s="323" t="n">
        <v>12574.0</v>
      </c>
      <c r="G44" s="11">
        <f t="shared" si="1"/>
        <v>1.780484868651536E-2</v>
      </c>
    </row>
    <row r="45" spans="1:7" x14ac:dyDescent="0.45">
      <c r="A45">
        <v>34</v>
      </c>
      <c r="B45" s="8" t="n">
        <v>8514.7335108917</v>
      </c>
      <c r="C45" s="11">
        <f t="shared" si="0"/>
        <v>1.1928531655090823E-2</v>
      </c>
      <c r="E45" s="234">
        <v>34</v>
      </c>
      <c r="F45" s="324" t="n">
        <v>8410.0</v>
      </c>
      <c r="G45" s="11">
        <f t="shared" si="1"/>
        <v>1.1923553990095943E-2</v>
      </c>
    </row>
    <row r="46" spans="1:7" x14ac:dyDescent="0.45">
      <c r="A46">
        <v>35</v>
      </c>
      <c r="B46" s="8" t="n">
        <v>9783.0292357916</v>
      </c>
      <c r="C46" s="11">
        <f t="shared" si="0"/>
        <v>1.3705323105243966E-2</v>
      </c>
      <c r="E46" s="235">
        <v>35</v>
      </c>
      <c r="F46" s="325" t="n">
        <v>7731.0</v>
      </c>
      <c r="G46" s="11">
        <f t="shared" si="1"/>
        <v>9.9892735356617735E-3</v>
      </c>
    </row>
    <row r="47" spans="1:7" x14ac:dyDescent="0.45">
      <c r="A47">
        <v>36</v>
      </c>
      <c r="B47" s="8" t="n">
        <v>1286.25466707</v>
      </c>
      <c r="C47" s="11">
        <f t="shared" si="0"/>
        <v>1.8019506415587168E-3</v>
      </c>
      <c r="E47" s="236">
        <v>36</v>
      </c>
      <c r="F47" s="326" t="n">
        <v>6883.0</v>
      </c>
      <c r="G47" s="11">
        <f t="shared" si="1"/>
        <v>9.1425185954689143E-3</v>
      </c>
    </row>
    <row r="48" spans="1:7" x14ac:dyDescent="0.45">
      <c r="A48">
        <v>37</v>
      </c>
      <c r="B48" s="8" t="n">
        <v>11688.1619787457</v>
      </c>
      <c r="C48" s="11">
        <f t="shared" si="0"/>
        <v>1.6374277594824706E-2</v>
      </c>
      <c r="E48" s="237">
        <v>37</v>
      </c>
      <c r="F48" s="327" t="n">
        <v>7152.0</v>
      </c>
      <c r="G48" s="11">
        <f t="shared" si="1"/>
        <v>8.716435838023626E-3</v>
      </c>
    </row>
    <row r="49" spans="1:7" x14ac:dyDescent="0.45">
      <c r="A49">
        <v>38</v>
      </c>
      <c r="B49" s="8" t="n">
        <v>9089.8752767496</v>
      </c>
      <c r="C49" s="11">
        <f t="shared" si="0"/>
        <v>1.273426406602594E-2</v>
      </c>
      <c r="E49" s="238">
        <v>38</v>
      </c>
      <c r="F49" s="328" t="n">
        <v>5700.0</v>
      </c>
      <c r="G49" s="11">
        <f t="shared" si="1"/>
        <v>1.1488002726929647E-2</v>
      </c>
    </row>
    <row r="50" spans="1:7" x14ac:dyDescent="0.45">
      <c r="A50">
        <v>39</v>
      </c>
      <c r="B50" s="8" t="n">
        <v>5598.9639928004</v>
      </c>
      <c r="C50" s="11">
        <f t="shared" si="0"/>
        <v>7.8437474453430089E-3</v>
      </c>
      <c r="E50" s="239">
        <v>39</v>
      </c>
      <c r="F50" s="329" t="n">
        <v>8937.0</v>
      </c>
      <c r="G50" s="11">
        <f t="shared" si="1"/>
        <v>7.3570289452219891E-3</v>
      </c>
    </row>
    <row r="51" spans="1:7" x14ac:dyDescent="0.45">
      <c r="A51">
        <v>40</v>
      </c>
      <c r="B51" s="8" t="n">
        <v>8490.257518155</v>
      </c>
      <c r="C51" s="11">
        <f t="shared" si="0"/>
        <v>1.1894242542721537E-2</v>
      </c>
      <c r="E51" s="240">
        <v>40</v>
      </c>
      <c r="F51" s="330" t="n">
        <v>4753.0</v>
      </c>
      <c r="G51" s="11">
        <f t="shared" si="1"/>
        <v>7.2312330835000464E-3</v>
      </c>
    </row>
    <row r="52" spans="1:7" x14ac:dyDescent="0.45">
      <c r="A52">
        <v>41</v>
      </c>
      <c r="B52" s="8" t="n">
        <v>11066.512236333</v>
      </c>
      <c r="C52" s="11">
        <f t="shared" si="0"/>
        <v>1.5503390840557704E-2</v>
      </c>
      <c r="E52" s="241">
        <v>41</v>
      </c>
      <c r="F52" s="331" t="n">
        <v>4358.0</v>
      </c>
      <c r="G52" s="11">
        <f t="shared" si="1"/>
        <v>6.519742510750136E-3</v>
      </c>
    </row>
    <row r="53" spans="1:7" x14ac:dyDescent="0.45">
      <c r="A53">
        <v>42</v>
      </c>
      <c r="B53" s="8" t="n">
        <v>526.7772426363</v>
      </c>
      <c r="C53" s="11">
        <f t="shared" si="0"/>
        <v>7.3797717872564519E-4</v>
      </c>
      <c r="E53" s="242">
        <v>42</v>
      </c>
      <c r="F53" s="332" t="n">
        <v>3754.0</v>
      </c>
      <c r="G53" s="11">
        <f t="shared" si="1"/>
        <v>5.4727963067417113E-3</v>
      </c>
    </row>
    <row r="54" spans="1:7" x14ac:dyDescent="0.45">
      <c r="A54">
        <v>43</v>
      </c>
      <c r="B54" s="8" t="n">
        <v>547.579521264</v>
      </c>
      <c r="C54" s="11">
        <f t="shared" si="0"/>
        <v>7.6711968081230792E-4</v>
      </c>
      <c r="E54" s="243">
        <v>43</v>
      </c>
      <c r="F54" s="333" t="n">
        <v>3735.0</v>
      </c>
      <c r="G54" s="11">
        <f t="shared" si="1"/>
        <v>4.7951218258525377E-3</v>
      </c>
    </row>
    <row r="55" spans="1:7" x14ac:dyDescent="0.45">
      <c r="A55">
        <v>44</v>
      </c>
      <c r="B55" s="8" t="n">
        <v>2528.773569911</v>
      </c>
      <c r="C55" s="11">
        <f t="shared" si="0"/>
        <v>3.5426306106533011E-3</v>
      </c>
      <c r="E55" s="244">
        <v>44</v>
      </c>
      <c r="F55" s="334" t="n">
        <v>2812.0</v>
      </c>
      <c r="G55" s="11">
        <f t="shared" si="1"/>
        <v>4.6990841249680438E-3</v>
      </c>
    </row>
    <row r="56" spans="1:7" x14ac:dyDescent="0.45">
      <c r="A56">
        <v>45</v>
      </c>
      <c r="B56" s="8" t="n">
        <v>31986.4843652147</v>
      </c>
      <c r="C56" s="11">
        <f t="shared" si="0"/>
        <v>4.4810773090839043E-2</v>
      </c>
      <c r="E56" s="245">
        <v>45</v>
      </c>
      <c r="F56" s="335" t="n">
        <v>2684.0</v>
      </c>
      <c r="G56" s="11">
        <f t="shared" si="1"/>
        <v>3.8929084950080684E-3</v>
      </c>
    </row>
    <row r="57" spans="1:7" x14ac:dyDescent="0.45">
      <c r="A57">
        <v>46</v>
      </c>
      <c r="B57" s="8" t="n">
        <v>3263.844441608</v>
      </c>
      <c r="C57" s="11">
        <f t="shared" si="0"/>
        <v>4.5724122415824195E-3</v>
      </c>
      <c r="E57" s="246">
        <v>46</v>
      </c>
      <c r="F57" s="336" t="n">
        <v>2383.0</v>
      </c>
      <c r="G57" s="11">
        <f t="shared" si="1"/>
        <v>3.9077875754267933E-3</v>
      </c>
    </row>
    <row r="58" spans="1:7" x14ac:dyDescent="0.45">
      <c r="A58">
        <v>47</v>
      </c>
      <c r="B58" s="8" t="n">
        <v>0.0</v>
      </c>
      <c r="C58" s="11">
        <f t="shared" si="0"/>
        <v>0</v>
      </c>
      <c r="E58" s="247">
        <v>47</v>
      </c>
      <c r="F58" s="337" t="n">
        <v>2892.0</v>
      </c>
      <c r="G58" s="11">
        <f t="shared" si="1"/>
        <v>3.9848882648692739E-3</v>
      </c>
    </row>
    <row r="59" spans="1:7" x14ac:dyDescent="0.45">
      <c r="A59">
        <v>48</v>
      </c>
      <c r="B59" s="8" t="n">
        <v>581.6199965732</v>
      </c>
      <c r="C59" s="11">
        <f t="shared" si="0"/>
        <v>8.1480794806820301E-4</v>
      </c>
      <c r="E59" s="248">
        <v>48</v>
      </c>
      <c r="F59" s="338" t="n">
        <v>2132.0</v>
      </c>
      <c r="G59" s="11">
        <f t="shared" si="1"/>
        <v>2.8391990726274966E-3</v>
      </c>
    </row>
    <row r="60" spans="1:7" x14ac:dyDescent="0.45">
      <c r="A60">
        <v>49</v>
      </c>
      <c r="B60" s="8" t="n">
        <v>214.103131579</v>
      </c>
      <c r="C60" s="11">
        <f t="shared" si="0"/>
        <v>2.9994314904010637E-4</v>
      </c>
      <c r="E60" s="249">
        <v>49</v>
      </c>
      <c r="F60" s="339" t="n">
        <v>2593.0</v>
      </c>
      <c r="G60" s="11">
        <f t="shared" si="1"/>
        <v>3.0894381523969522E-3</v>
      </c>
    </row>
    <row r="61" spans="1:7" x14ac:dyDescent="0.45">
      <c r="A61">
        <v>50</v>
      </c>
      <c r="B61" s="8" t="n">
        <v>1767.383302078</v>
      </c>
      <c r="C61" s="11">
        <f t="shared" si="0"/>
        <v>2.4759773912534982E-3</v>
      </c>
      <c r="E61" s="250">
        <v>50</v>
      </c>
      <c r="F61" s="340" t="n">
        <v>2189.0</v>
      </c>
      <c r="G61" s="11">
        <f t="shared" si="1"/>
        <v>2.2318620628086565E-3</v>
      </c>
    </row>
    <row r="62" spans="1:7" x14ac:dyDescent="0.45">
      <c r="A62">
        <v>51</v>
      </c>
      <c r="B62" s="8" t="n">
        <v>280.077627348</v>
      </c>
      <c r="C62" s="11">
        <f t="shared" si="0"/>
        <v>3.9236869121385745E-4</v>
      </c>
      <c r="E62" s="251">
        <v>51</v>
      </c>
      <c r="F62" s="341" t="n">
        <v>1432.0</v>
      </c>
      <c r="G62" s="11">
        <f t="shared" si="1"/>
        <v>1.8206583857820918E-3</v>
      </c>
    </row>
    <row r="63" spans="1:7" x14ac:dyDescent="0.45">
      <c r="A63">
        <v>52</v>
      </c>
      <c r="B63" s="8" t="n">
        <v>0.0</v>
      </c>
      <c r="C63" s="11">
        <f t="shared" si="0"/>
        <v>0</v>
      </c>
      <c r="E63" s="252">
        <v>52</v>
      </c>
      <c r="F63" s="342" t="n">
        <v>1696.0</v>
      </c>
      <c r="G63" s="11">
        <f t="shared" si="1"/>
        <v>2.1209452815054383E-3</v>
      </c>
    </row>
    <row r="64" spans="1:7" x14ac:dyDescent="0.45">
      <c r="A64">
        <v>53</v>
      </c>
      <c r="B64" s="8" t="n">
        <v>0.0</v>
      </c>
      <c r="C64" s="11">
        <f t="shared" si="0"/>
        <v>0</v>
      </c>
      <c r="E64" s="253">
        <v>53</v>
      </c>
      <c r="F64" s="343" t="n">
        <v>1115.0</v>
      </c>
      <c r="G64" s="11">
        <f t="shared" si="1"/>
        <v>1.7489682710373289E-3</v>
      </c>
    </row>
    <row r="65" spans="1:7" x14ac:dyDescent="0.45">
      <c r="A65">
        <v>54</v>
      </c>
      <c r="B65" s="8" t="n">
        <v>326.758764277</v>
      </c>
      <c r="C65" s="11">
        <f t="shared" si="0"/>
        <v>4.5776561982482591E-4</v>
      </c>
      <c r="E65" s="254">
        <v>54</v>
      </c>
      <c r="F65" s="344" t="n">
        <v>965.0</v>
      </c>
      <c r="G65" s="11">
        <f t="shared" si="1"/>
        <v>1.5366032141518992E-3</v>
      </c>
    </row>
    <row r="66" spans="1:7" x14ac:dyDescent="0.45">
      <c r="A66">
        <v>55</v>
      </c>
      <c r="B66" s="8" t="n">
        <v>0.0</v>
      </c>
      <c r="C66" s="11">
        <f t="shared" si="0"/>
        <v>0</v>
      </c>
      <c r="E66" s="255">
        <v>55</v>
      </c>
      <c r="F66" s="345" t="n">
        <v>793.0</v>
      </c>
      <c r="G66" s="11">
        <f t="shared" si="1"/>
        <v>1.3215328699176104E-3</v>
      </c>
    </row>
    <row r="67" spans="1:7" x14ac:dyDescent="0.45">
      <c r="A67">
        <v>56</v>
      </c>
      <c r="B67" s="8" t="n">
        <v>232.8335313258</v>
      </c>
      <c r="C67" s="11">
        <f t="shared" si="0"/>
        <v>3.2618309724358348E-4</v>
      </c>
      <c r="E67" s="256">
        <v>56</v>
      </c>
      <c r="F67" s="346" t="n">
        <v>834.0</v>
      </c>
      <c r="G67" s="11">
        <f t="shared" si="1"/>
        <v>1.4310970075463992E-3</v>
      </c>
    </row>
    <row r="68" spans="1:7" x14ac:dyDescent="0.45">
      <c r="A68">
        <v>57</v>
      </c>
      <c r="B68" s="8" t="n">
        <v>1954.083490471</v>
      </c>
      <c r="C68" s="11">
        <f t="shared" si="0"/>
        <v>2.7375309800309459E-3</v>
      </c>
      <c r="E68" s="257">
        <v>57</v>
      </c>
      <c r="F68" s="347" t="n">
        <v>714.0</v>
      </c>
      <c r="G68" s="11">
        <f t="shared" si="1"/>
        <v>1.0307144799152704E-3</v>
      </c>
    </row>
    <row r="69" spans="1:7" x14ac:dyDescent="0.45">
      <c r="A69">
        <v>58</v>
      </c>
      <c r="B69" s="8" t="n">
        <v>2200.592978766</v>
      </c>
      <c r="C69" s="11">
        <f t="shared" si="0"/>
        <v>3.0828731132457772E-3</v>
      </c>
      <c r="E69" s="258">
        <v>58</v>
      </c>
      <c r="F69" s="348" t="n">
        <v>917.0</v>
      </c>
      <c r="G69" s="11">
        <f t="shared" si="1"/>
        <v>7.7641746912252647E-4</v>
      </c>
    </row>
    <row r="70" spans="1:7" x14ac:dyDescent="0.45">
      <c r="A70">
        <v>59</v>
      </c>
      <c r="B70" s="8" t="n">
        <v>716.6017071473</v>
      </c>
      <c r="C70" s="11">
        <f t="shared" si="0"/>
        <v>1.003907654521945E-3</v>
      </c>
      <c r="E70" s="259">
        <v>59</v>
      </c>
      <c r="F70" s="349" t="n">
        <v>536.0</v>
      </c>
      <c r="G70" s="11">
        <f t="shared" si="1"/>
        <v>7.466593082850778E-4</v>
      </c>
    </row>
    <row r="71" spans="1:7" x14ac:dyDescent="0.45">
      <c r="A71">
        <v>60</v>
      </c>
      <c r="B71" s="8" t="n">
        <v>1985.7672183407</v>
      </c>
      <c r="C71" s="11">
        <f t="shared" si="0"/>
        <v>2.7819176129609789E-3</v>
      </c>
      <c r="E71" s="260">
        <v>60</v>
      </c>
      <c r="F71" s="350" t="n">
        <v>638.0</v>
      </c>
      <c r="G71" s="11">
        <f t="shared" si="1"/>
        <v>7.0337471070333417E-4</v>
      </c>
    </row>
    <row r="72" spans="1:7" x14ac:dyDescent="0.45">
      <c r="A72">
        <v>61</v>
      </c>
      <c r="B72" s="8" t="n">
        <v>711.387405665</v>
      </c>
      <c r="C72" s="11">
        <f t="shared" si="0"/>
        <v>9.9660279169667379E-4</v>
      </c>
      <c r="E72" s="261">
        <v>61</v>
      </c>
      <c r="F72" s="351" t="n">
        <v>451.0</v>
      </c>
      <c r="G72" s="11">
        <f t="shared" si="1"/>
        <v>5.0724137791105831E-4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262">
        <v>62</v>
      </c>
      <c r="F73" s="352" t="n">
        <v>376.0</v>
      </c>
      <c r="G73" s="11">
        <f t="shared" si="1"/>
        <v>5.0724137791105831E-4</v>
      </c>
    </row>
    <row r="74" spans="1:7" x14ac:dyDescent="0.45">
      <c r="A74">
        <v>63</v>
      </c>
      <c r="B74" s="8" t="n">
        <v>110.470897351</v>
      </c>
      <c r="C74" s="11">
        <f t="shared" si="0"/>
        <v>1.5476181307754063E-4</v>
      </c>
      <c r="E74" s="263">
        <v>63</v>
      </c>
      <c r="F74" s="353" t="n">
        <v>288.0</v>
      </c>
      <c r="G74" s="11">
        <f t="shared" si="1"/>
        <v>4.0038252763112864E-4</v>
      </c>
    </row>
    <row r="75" spans="1:7" x14ac:dyDescent="0.45">
      <c r="A75">
        <v>64</v>
      </c>
      <c r="B75" s="8" t="n">
        <v>111.109208251</v>
      </c>
      <c r="C75" s="11">
        <f t="shared" si="0"/>
        <v>1.5565604091998572E-4</v>
      </c>
      <c r="E75" s="264">
        <v>64</v>
      </c>
      <c r="F75" s="354" t="n">
        <v>317.0</v>
      </c>
      <c r="G75" s="11">
        <f t="shared" si="1"/>
        <v>4.1931953907314151E-4</v>
      </c>
    </row>
    <row r="76" spans="1:7" x14ac:dyDescent="0.45">
      <c r="A76">
        <v>65</v>
      </c>
      <c r="B76" s="8" t="n">
        <v>77.4485081528</v>
      </c>
      <c r="C76" s="11">
        <f t="shared" si="0"/>
        <v>1.0849981152768753E-4</v>
      </c>
      <c r="E76" s="265">
        <v>65</v>
      </c>
      <c r="F76" s="355" t="n">
        <v>270.0</v>
      </c>
      <c r="G76" s="11">
        <f t="shared" si="1"/>
        <v>3.354556312585132E-4</v>
      </c>
    </row>
    <row r="77" spans="1:7" x14ac:dyDescent="0.45">
      <c r="A77">
        <v>66</v>
      </c>
      <c r="B77" s="8" t="n">
        <v>4.59375</v>
      </c>
      <c r="C77" s="11">
        <f t="shared" ref="C77:C102" si="2">B77/B$102</f>
        <v>6.4355146547428382E-6</v>
      </c>
      <c r="E77" s="266">
        <v>66</v>
      </c>
      <c r="F77" s="356" t="n">
        <v>207.0</v>
      </c>
      <c r="G77" s="11">
        <f t="shared" ref="G77:G102" si="3">F77/F$102</f>
        <v>3.219291945142183E-4</v>
      </c>
    </row>
    <row r="78" spans="1:7" x14ac:dyDescent="0.45">
      <c r="A78">
        <v>67</v>
      </c>
      <c r="B78" s="8" t="n">
        <v>5478.798556153</v>
      </c>
      <c r="C78" s="11">
        <f t="shared" si="2"/>
        <v>7.6754042772259126E-3</v>
      </c>
      <c r="E78" s="267">
        <v>67</v>
      </c>
      <c r="F78" s="357" t="n">
        <v>227.0</v>
      </c>
      <c r="G78" s="11">
        <f t="shared" si="3"/>
        <v>2.9217103367676958E-4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268">
        <v>68</v>
      </c>
      <c r="F79" s="358" t="n">
        <v>173.0</v>
      </c>
      <c r="G79" s="11">
        <f t="shared" si="3"/>
        <v>3.9091402191012223E-4</v>
      </c>
    </row>
    <row r="80" spans="1:7" x14ac:dyDescent="0.45">
      <c r="A80">
        <v>69</v>
      </c>
      <c r="B80" s="8" t="n">
        <v>1506.324996334</v>
      </c>
      <c r="C80" s="11">
        <f t="shared" si="2"/>
        <v>2.1102534070667556E-3</v>
      </c>
      <c r="E80" s="269">
        <v>69</v>
      </c>
      <c r="F80" s="359" t="n">
        <v>136.0</v>
      </c>
      <c r="G80" s="11">
        <f t="shared" si="3"/>
        <v>1.6502252828039761E-4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270">
        <v>70</v>
      </c>
      <c r="F81" s="360" t="n">
        <v>107.0</v>
      </c>
      <c r="G81" s="11">
        <f t="shared" si="3"/>
        <v>1.433802294895258E-4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271">
        <v>71</v>
      </c>
      <c r="F82" s="361" t="n">
        <v>101.0</v>
      </c>
      <c r="G82" s="11">
        <f t="shared" si="3"/>
        <v>1.690804593036861E-4</v>
      </c>
    </row>
    <row r="83" spans="1:7" x14ac:dyDescent="0.45">
      <c r="A83">
        <v>72</v>
      </c>
      <c r="B83" s="8" t="n">
        <v>618.016967959</v>
      </c>
      <c r="C83" s="11">
        <f t="shared" si="2"/>
        <v>8.6579749750854518E-4</v>
      </c>
      <c r="E83" s="272">
        <v>72</v>
      </c>
      <c r="F83" s="362" t="n">
        <v>92.0</v>
      </c>
      <c r="G83" s="11">
        <f t="shared" si="3"/>
        <v>1.4608551683838479E-4</v>
      </c>
    </row>
    <row r="84" spans="1:7" x14ac:dyDescent="0.45">
      <c r="A84">
        <v>73</v>
      </c>
      <c r="B84" s="8" t="n">
        <v>767.701778901</v>
      </c>
      <c r="C84" s="11">
        <f t="shared" si="2"/>
        <v>1.0754951942507824E-3</v>
      </c>
      <c r="E84" s="273">
        <v>73</v>
      </c>
      <c r="F84" s="363" t="n">
        <v>106.0</v>
      </c>
      <c r="G84" s="11">
        <f t="shared" si="3"/>
        <v>1.5284873521053224E-4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274">
        <v>74</v>
      </c>
      <c r="F85" s="364" t="n">
        <v>67.0</v>
      </c>
      <c r="G85" s="11">
        <f t="shared" si="3"/>
        <v>1.2038528702422449E-4</v>
      </c>
    </row>
    <row r="86" spans="1:7" x14ac:dyDescent="0.45">
      <c r="A86">
        <v>75</v>
      </c>
      <c r="B86" s="8" t="n">
        <v>0.0</v>
      </c>
      <c r="C86" s="11">
        <f t="shared" si="2"/>
        <v>0</v>
      </c>
      <c r="E86" s="275">
        <v>75</v>
      </c>
      <c r="F86" s="365" t="n">
        <v>86.0</v>
      </c>
      <c r="G86" s="11">
        <f t="shared" si="3"/>
        <v>6.7632183721474441E-5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276">
        <v>76</v>
      </c>
      <c r="F87" s="366" t="n">
        <v>50.0</v>
      </c>
      <c r="G87" s="11">
        <f t="shared" si="3"/>
        <v>5.545839065160904E-5</v>
      </c>
    </row>
    <row r="88" spans="1:7" x14ac:dyDescent="0.45">
      <c r="A88">
        <v>77</v>
      </c>
      <c r="B88" s="8" t="n">
        <v>103.884081167</v>
      </c>
      <c r="C88" s="11">
        <f t="shared" si="2"/>
        <v>1.4553415548184445E-4</v>
      </c>
      <c r="E88" s="277">
        <v>77</v>
      </c>
      <c r="F88" s="367" t="n">
        <v>98.0</v>
      </c>
      <c r="G88" s="11">
        <f t="shared" si="3"/>
        <v>6.6279540047044946E-5</v>
      </c>
    </row>
    <row r="89" spans="1:7" x14ac:dyDescent="0.45">
      <c r="A89">
        <v>78</v>
      </c>
      <c r="B89" s="8" t="n">
        <v>552.1879851022</v>
      </c>
      <c r="C89" s="11">
        <f t="shared" si="2"/>
        <v>7.7357580850027268E-4</v>
      </c>
      <c r="E89" s="278">
        <v>78</v>
      </c>
      <c r="F89" s="368" t="n">
        <v>67.0</v>
      </c>
      <c r="G89" s="11">
        <f t="shared" si="3"/>
        <v>5.9516321674897504E-5</v>
      </c>
    </row>
    <row r="90" spans="1:7" x14ac:dyDescent="0.45">
      <c r="A90">
        <v>79</v>
      </c>
      <c r="B90" s="8" t="n">
        <v>3617.977487135</v>
      </c>
      <c r="C90" s="11">
        <f t="shared" si="2"/>
        <v>5.0685272683509029E-3</v>
      </c>
      <c r="E90" s="279">
        <v>79</v>
      </c>
      <c r="F90" s="369" t="n">
        <v>42.0</v>
      </c>
      <c r="G90" s="11">
        <f t="shared" si="3"/>
        <v>6.0868965349326993E-5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280">
        <v>80</v>
      </c>
      <c r="F91" s="370" t="n">
        <v>39.0</v>
      </c>
      <c r="G91" s="11">
        <f t="shared" si="3"/>
        <v>4.3284597581743638E-5</v>
      </c>
    </row>
    <row r="92" spans="1:7" x14ac:dyDescent="0.45">
      <c r="A92">
        <v>81</v>
      </c>
      <c r="B92" s="8" t="n">
        <v>761.4660318990001</v>
      </c>
      <c r="C92" s="11">
        <f t="shared" si="2"/>
        <v>1.0667593594285479E-3</v>
      </c>
      <c r="E92" s="281">
        <v>81</v>
      </c>
      <c r="F92" s="371" t="n">
        <v>22.0</v>
      </c>
      <c r="G92" s="11">
        <f t="shared" si="3"/>
        <v>4.7342528605032103E-5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282">
        <v>82</v>
      </c>
      <c r="F93" s="372" t="n">
        <v>23.0</v>
      </c>
      <c r="G93" s="11">
        <f t="shared" si="3"/>
        <v>4.193195390731415E-5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283">
        <v>83</v>
      </c>
      <c r="F94" s="373" t="n">
        <v>19.0</v>
      </c>
      <c r="G94" s="11">
        <f t="shared" si="3"/>
        <v>2.7052873488589776E-5</v>
      </c>
    </row>
    <row r="95" spans="1:7" x14ac:dyDescent="0.45">
      <c r="A95">
        <v>84</v>
      </c>
      <c r="B95" s="8" t="n">
        <v>470.638625</v>
      </c>
      <c r="C95" s="11">
        <f t="shared" si="2"/>
        <v>6.5933099717562318E-4</v>
      </c>
      <c r="E95" s="284">
        <v>84</v>
      </c>
      <c r="F95" s="374" t="n">
        <v>15.0</v>
      </c>
      <c r="G95" s="11">
        <f t="shared" si="3"/>
        <v>2.5700229814160284E-5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285">
        <v>85</v>
      </c>
      <c r="F96" s="375" t="n">
        <v>15.0</v>
      </c>
      <c r="G96" s="11">
        <f t="shared" si="3"/>
        <v>2.0289655116442331E-5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286">
        <v>86</v>
      </c>
      <c r="F97" s="376" t="n">
        <v>16.0</v>
      </c>
      <c r="G97" s="11">
        <f t="shared" si="3"/>
        <v>1.2173793069865398E-5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287">
        <v>87</v>
      </c>
      <c r="F98" s="377" t="n">
        <v>18.0</v>
      </c>
      <c r="G98" s="11">
        <f t="shared" si="3"/>
        <v>1.7584367767583354E-5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288">
        <v>88</v>
      </c>
      <c r="F99" s="378" t="n">
        <v>13.0</v>
      </c>
      <c r="G99" s="11">
        <f t="shared" si="3"/>
        <v>1.3526436744294888E-5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289">
        <v>89</v>
      </c>
      <c r="F100" s="379" t="n">
        <v>13.0</v>
      </c>
      <c r="G100" s="11">
        <f t="shared" si="3"/>
        <v>1.4879080418724376E-5</v>
      </c>
    </row>
    <row r="101" spans="1:7" ht="14.65" thickBot="1" x14ac:dyDescent="0.5">
      <c r="A101" s="1">
        <v>90</v>
      </c>
      <c r="B101" s="9" t="n">
        <v>3181.9468036631</v>
      </c>
      <c r="C101" s="11">
        <f t="shared" si="2"/>
        <v>4.4576795179506962E-3</v>
      </c>
      <c r="E101" s="382">
        <v>90</v>
      </c>
      <c r="F101" s="382" t="n">
        <v>56.0</v>
      </c>
      <c r="G101" s="11">
        <f t="shared" si="3"/>
        <v>7.5748045768051371E-5</v>
      </c>
    </row>
    <row r="102" spans="1:7" x14ac:dyDescent="0.45">
      <c r="B102" s="8">
        <f>SUM(B11:B101)</f>
        <v>713812.37499234092</v>
      </c>
      <c r="C102" s="11">
        <f t="shared" si="2"/>
        <v>1</v>
      </c>
      <c r="F102" s="8">
        <f>SUM(F11:F101)</f>
        <v>739293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" workbookViewId="0">
      <selection activeCell="AC29" sqref="AC29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73046875" collapsed="true"/>
    <col min="15" max="15" bestFit="true" customWidth="true" width="12.59765625" collapsed="true"/>
    <col min="16" max="16" bestFit="true" customWidth="true" width="10.73046875" collapsed="true"/>
    <col min="17" max="17" bestFit="true" customWidth="true" width="11.59765625" collapsed="true"/>
    <col min="18" max="18" bestFit="true" customWidth="true" width="10.73046875" collapsed="true"/>
    <col min="19" max="19" bestFit="true" customWidth="true" width="11.59765625" collapsed="true"/>
    <col min="20" max="20" bestFit="true" customWidth="true" width="9.265625" collapsed="true"/>
    <col min="21" max="21" bestFit="true" customWidth="true" width="11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37</v>
      </c>
    </row>
    <row r="3" spans="1:21" x14ac:dyDescent="0.45">
      <c r="A3" t="s">
        <v>14</v>
      </c>
    </row>
    <row r="5" spans="1:21" ht="14.65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383" t="s">
        <v>248</v>
      </c>
      <c r="B7" s="12" t="n">
        <v>16958.7523226109</v>
      </c>
      <c r="C7" s="12" t="n">
        <v>1064.6801145748</v>
      </c>
      <c r="D7" s="12" t="n">
        <v>1316.8980800259</v>
      </c>
      <c r="E7" s="12" t="n">
        <v>781.901638796</v>
      </c>
      <c r="F7" s="12" t="n">
        <v>1306.229572005</v>
      </c>
      <c r="G7" s="12" t="n">
        <v>703.3970396990001</v>
      </c>
      <c r="H7" s="12" t="n">
        <v>2801.218170355</v>
      </c>
      <c r="I7" s="12"/>
      <c r="J7" s="12">
        <f>SUM(B7:I7)</f>
        <v>24933.076938066602</v>
      </c>
      <c r="K7" s="12"/>
      <c r="L7" t="str">
        <f>$A$7</f>
        <v>Bellevue</v>
      </c>
      <c r="M7" s="430" t="n">
        <v>13015.0</v>
      </c>
      <c r="N7" s="430" t="n">
        <v>5459.0</v>
      </c>
      <c r="O7" s="430" t="n">
        <v>957.0</v>
      </c>
      <c r="P7" s="430" t="n">
        <v>1499.0</v>
      </c>
      <c r="Q7" s="430" t="n">
        <v>3231.0</v>
      </c>
      <c r="R7" s="430" t="n">
        <v>1088.0</v>
      </c>
      <c r="S7" s="430" t="n">
        <v>4365.0</v>
      </c>
      <c r="T7" s="430"/>
      <c r="U7" s="431">
        <f>SUM(M7:T7)</f>
        <v>28739</v>
      </c>
    </row>
    <row r="8" spans="1:21" x14ac:dyDescent="0.45">
      <c r="A8" t="s">
        <v>249</v>
      </c>
      <c r="B8" s="12" t="n">
        <v>131.494048378</v>
      </c>
      <c r="C8" s="12" t="n">
        <v>354.2747928245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t="shared" ref="J8:J14" si="0">SUM(B8:I8)</f>
        <v>485.76884120250003</v>
      </c>
      <c r="K8" s="12"/>
      <c r="L8" t="str">
        <f>$A$8</f>
        <v>Bellevue Downtown</v>
      </c>
      <c r="M8" s="430" t="n">
        <v>1022.0</v>
      </c>
      <c r="N8" s="430" t="n">
        <v>1821.0</v>
      </c>
      <c r="O8" s="430" t="n">
        <v>88.0</v>
      </c>
      <c r="P8" s="430" t="n">
        <v>41.0</v>
      </c>
      <c r="Q8" s="430" t="n">
        <v>167.0</v>
      </c>
      <c r="R8" s="430" t="n">
        <v>61.0</v>
      </c>
      <c r="S8" s="430" t="n">
        <v>182.0</v>
      </c>
      <c r="T8" s="430"/>
      <c r="U8" s="431">
        <f t="shared" ref="U8:U14" si="1">SUM(M8:T8)</f>
        <v>3361</v>
      </c>
    </row>
    <row r="9" spans="1:21" x14ac:dyDescent="0.45">
      <c r="A9" t="s">
        <v>250</v>
      </c>
      <c r="B9" s="12" t="n">
        <v>0.0</v>
      </c>
      <c r="C9" s="12" t="n">
        <v>191.153539079</v>
      </c>
      <c r="D9" s="12" t="n">
        <v>22512.264472701</v>
      </c>
      <c r="E9" s="12" t="n">
        <v>2951.87033819</v>
      </c>
      <c r="F9" s="12" t="n">
        <v>707.178626424</v>
      </c>
      <c r="G9" s="12" t="n">
        <v>529.272159155</v>
      </c>
      <c r="H9" s="12" t="n">
        <v>3478.001713329</v>
      </c>
      <c r="I9" s="12"/>
      <c r="J9" s="12">
        <f t="shared" si="0"/>
        <v>30369.740848878002</v>
      </c>
      <c r="K9" s="13"/>
      <c r="L9" t="str">
        <f>$A$9</f>
        <v>Kirkland</v>
      </c>
      <c r="M9" s="430" t="n">
        <v>2351.0</v>
      </c>
      <c r="N9" s="430" t="n">
        <v>1684.0</v>
      </c>
      <c r="O9" s="430" t="n">
        <v>10191.0</v>
      </c>
      <c r="P9" s="430" t="n">
        <v>1875.0</v>
      </c>
      <c r="Q9" s="430" t="n">
        <v>4454.0</v>
      </c>
      <c r="R9" s="430" t="n">
        <v>731.0</v>
      </c>
      <c r="S9" s="430" t="n">
        <v>5047.0</v>
      </c>
      <c r="T9" s="430"/>
      <c r="U9" s="431">
        <f t="shared" si="1"/>
        <v>26835</v>
      </c>
    </row>
    <row r="10" spans="1:21" x14ac:dyDescent="0.45">
      <c r="A10" t="s">
        <v>251</v>
      </c>
      <c r="B10" s="12" t="n">
        <v>609.158998074</v>
      </c>
      <c r="C10" s="12" t="n">
        <v>260.124522619</v>
      </c>
      <c r="D10" s="12" t="n">
        <v>5974.811841592</v>
      </c>
      <c r="E10" s="12" t="n">
        <v>13997.361400411999</v>
      </c>
      <c r="F10" s="12" t="n">
        <v>2700.348496165</v>
      </c>
      <c r="G10" s="12" t="n">
        <v>0.0</v>
      </c>
      <c r="H10" s="12" t="n">
        <v>1017.747610799</v>
      </c>
      <c r="I10" s="12"/>
      <c r="J10" s="12">
        <f t="shared" si="0"/>
        <v>24559.552869660998</v>
      </c>
      <c r="K10" s="13"/>
      <c r="L10" t="str">
        <f>$A$10</f>
        <v>Redmond</v>
      </c>
      <c r="M10" s="430" t="n">
        <v>3622.0</v>
      </c>
      <c r="N10" s="430" t="n">
        <v>1379.0</v>
      </c>
      <c r="O10" s="430" t="n">
        <v>2683.0</v>
      </c>
      <c r="P10" s="430" t="n">
        <v>7770.0</v>
      </c>
      <c r="Q10" s="430" t="n">
        <v>2107.0</v>
      </c>
      <c r="R10" s="430" t="n">
        <v>517.0</v>
      </c>
      <c r="S10" s="430" t="n">
        <v>3941.0</v>
      </c>
      <c r="T10" s="430"/>
      <c r="U10" s="431">
        <f t="shared" si="1"/>
        <v>21859</v>
      </c>
    </row>
    <row r="11" spans="1:21" x14ac:dyDescent="0.45">
      <c r="A11" t="s">
        <v>247</v>
      </c>
      <c r="B11" s="12" t="n">
        <v>1692.676880788</v>
      </c>
      <c r="C11" s="12" t="n">
        <v>63.528726944</v>
      </c>
      <c r="D11" s="12" t="n">
        <v>160.016879313</v>
      </c>
      <c r="E11" s="12" t="n">
        <v>9.4775</v>
      </c>
      <c r="F11" s="12" t="n">
        <v>88217.5662422081</v>
      </c>
      <c r="G11" s="12" t="n">
        <v>13915.1218176164</v>
      </c>
      <c r="H11" s="12" t="n">
        <v>6127.6922476265</v>
      </c>
      <c r="I11" s="12"/>
      <c r="J11" s="12">
        <f t="shared" si="0"/>
        <v>110186.08029449599</v>
      </c>
      <c r="K11" s="13"/>
      <c r="L11" t="str">
        <f>$A$11</f>
        <v>Seattle</v>
      </c>
      <c r="M11" s="430" t="n">
        <v>1400.0</v>
      </c>
      <c r="N11" s="430" t="n">
        <v>920.0</v>
      </c>
      <c r="O11" s="430" t="n">
        <v>1060.0</v>
      </c>
      <c r="P11" s="430" t="n">
        <v>352.0</v>
      </c>
      <c r="Q11" s="430" t="n">
        <v>98201.0</v>
      </c>
      <c r="R11" s="430" t="n">
        <v>11509.0</v>
      </c>
      <c r="S11" s="430" t="n">
        <v>11116.0</v>
      </c>
      <c r="T11" s="430"/>
      <c r="U11" s="431">
        <f t="shared" si="1"/>
        <v>123955</v>
      </c>
    </row>
    <row r="12" spans="1:21" x14ac:dyDescent="0.45">
      <c r="A12" t="s">
        <v>252</v>
      </c>
      <c r="B12" s="12" t="n">
        <v>57.5148662035</v>
      </c>
      <c r="C12" s="12" t="n">
        <v>0.0</v>
      </c>
      <c r="D12" s="12" t="n">
        <v>0.0</v>
      </c>
      <c r="E12" s="12" t="n">
        <v>0.0</v>
      </c>
      <c r="F12" s="12" t="n">
        <v>4316.5827853598</v>
      </c>
      <c r="G12" s="12" t="n">
        <v>5541.7068748445</v>
      </c>
      <c r="H12" s="12" t="n">
        <v>771.7855595547001</v>
      </c>
      <c r="I12" s="12"/>
      <c r="J12" s="12">
        <f t="shared" si="0"/>
        <v>10687.5900859625</v>
      </c>
      <c r="K12" s="13"/>
      <c r="L12" t="str">
        <f>$A$12</f>
        <v>Seattle Downtown</v>
      </c>
      <c r="M12" s="430" t="n">
        <v>132.0</v>
      </c>
      <c r="N12" s="430" t="n">
        <v>78.0</v>
      </c>
      <c r="O12" s="430" t="n">
        <v>35.0</v>
      </c>
      <c r="P12" s="430" t="n">
        <v>22.0</v>
      </c>
      <c r="Q12" s="430" t="n">
        <v>3658.0</v>
      </c>
      <c r="R12" s="430" t="n">
        <v>11813.0</v>
      </c>
      <c r="S12" s="430" t="n">
        <v>448.0</v>
      </c>
      <c r="T12" s="430"/>
      <c r="U12" s="431">
        <f t="shared" si="1"/>
        <v>16416</v>
      </c>
    </row>
    <row r="13" spans="1:21" x14ac:dyDescent="0.45">
      <c r="A13" t="s">
        <v>253</v>
      </c>
      <c r="B13" s="12" t="n">
        <v>8122.870363239</v>
      </c>
      <c r="C13" s="12" t="n">
        <v>3138.15946386</v>
      </c>
      <c r="D13" s="12" t="n">
        <v>10022.891088588</v>
      </c>
      <c r="E13" s="12" t="n">
        <v>2645.91822705</v>
      </c>
      <c r="F13" s="12" t="n">
        <v>15413.2145940696</v>
      </c>
      <c r="G13" s="12" t="n">
        <v>10252.1123914386</v>
      </c>
      <c r="H13" s="12" t="n">
        <v>467326.12922187</v>
      </c>
      <c r="I13" s="12"/>
      <c r="J13" s="12">
        <f t="shared" si="0"/>
        <v>516921.29535011516</v>
      </c>
      <c r="K13" s="13"/>
      <c r="L13" t="str">
        <f>$A$13</f>
        <v>Rest</v>
      </c>
      <c r="M13" s="430" t="n">
        <v>7422.0</v>
      </c>
      <c r="N13" s="430" t="n">
        <v>3676.0</v>
      </c>
      <c r="O13" s="430" t="n">
        <v>4537.0</v>
      </c>
      <c r="P13" s="430" t="n">
        <v>3719.0</v>
      </c>
      <c r="Q13" s="430" t="n">
        <v>28348.0</v>
      </c>
      <c r="R13" s="430" t="n">
        <v>5429.0</v>
      </c>
      <c r="S13" s="430" t="n">
        <v>464790.0</v>
      </c>
      <c r="T13" s="430"/>
      <c r="U13" s="431">
        <f t="shared" si="1"/>
        <v>518128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t="shared" si="1"/>
        <v>0</v>
      </c>
    </row>
    <row r="15" spans="1:21" ht="14.65" thickBot="1" x14ac:dyDescent="0.5">
      <c r="A15" s="1" t="s">
        <v>4</v>
      </c>
      <c r="B15" s="16">
        <f t="shared" ref="B15:J15" si="2">SUM(B7:B14)</f>
        <v>27572.467479293398</v>
      </c>
      <c r="C15" s="16">
        <f t="shared" si="2"/>
        <v>5071.9211599012997</v>
      </c>
      <c r="D15" s="16">
        <f t="shared" si="2"/>
        <v>39986.882362219898</v>
      </c>
      <c r="E15" s="16">
        <f t="shared" si="2"/>
        <v>20386.529104448</v>
      </c>
      <c r="F15" s="16">
        <f t="shared" si="2"/>
        <v>112661.12031623151</v>
      </c>
      <c r="G15" s="16">
        <f t="shared" si="2"/>
        <v>30941.610282753503</v>
      </c>
      <c r="H15" s="16">
        <f t="shared" si="2"/>
        <v>481522.57452353416</v>
      </c>
      <c r="I15" s="16">
        <f t="shared" si="2"/>
        <v>0</v>
      </c>
      <c r="J15" s="16">
        <f t="shared" si="2"/>
        <v>718143.1052283817</v>
      </c>
      <c r="K15" s="12"/>
      <c r="L15" s="16" t="s">
        <v>4</v>
      </c>
      <c r="M15" s="433">
        <f t="shared" ref="M15:U15" si="3">SUM(M7:M14)</f>
        <v>28768</v>
      </c>
      <c r="N15" s="433">
        <f t="shared" si="3"/>
        <v>14891</v>
      </c>
      <c r="O15" s="433">
        <f t="shared" si="3"/>
        <v>19950</v>
      </c>
      <c r="P15" s="433">
        <f t="shared" si="3"/>
        <v>15258</v>
      </c>
      <c r="Q15" s="433">
        <f t="shared" si="3"/>
        <v>140105</v>
      </c>
      <c r="R15" s="433">
        <f t="shared" si="3"/>
        <v>30914</v>
      </c>
      <c r="S15" s="433">
        <f t="shared" si="3"/>
        <v>489407</v>
      </c>
      <c r="T15" s="433">
        <f t="shared" si="3"/>
        <v>0</v>
      </c>
      <c r="U15" s="433">
        <f t="shared" si="3"/>
        <v>739293</v>
      </c>
    </row>
    <row r="18" spans="1:32" ht="14.65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>
        <f t="shared" ref="B20:G20" si="4">($U7/$J7)*B7</f>
        <v>19547.430275459119</v>
      </c>
      <c r="C20" s="12">
        <f t="shared" si="4"/>
        <v>1227.1987885317872</v>
      </c>
      <c r="D20" s="12">
        <f t="shared" si="4"/>
        <v>1517.9167022134523</v>
      </c>
      <c r="E20" s="12">
        <f t="shared" si="4"/>
        <v>901.25543883637204</v>
      </c>
      <c r="F20" s="12">
        <f t="shared" si="4"/>
        <v>1505.6196939952431</v>
      </c>
      <c r="G20" s="12">
        <f t="shared" si="4"/>
        <v>810.76746260091147</v>
      </c>
      <c r="H20" s="12">
        <f t="shared" ref="H20" si="5">($U7/$J7)*H7</f>
        <v>3228.8116383631113</v>
      </c>
      <c r="I20" s="12"/>
      <c r="J20" s="12">
        <f>SUM(B20:I20)</f>
        <v>28738.999999999993</v>
      </c>
      <c r="K20" s="12"/>
      <c r="L20" t="str">
        <f>$A$7</f>
        <v>Bellevue</v>
      </c>
      <c r="M20" s="12">
        <f>M7</f>
        <v>12746</v>
      </c>
      <c r="N20" s="12">
        <f t="shared" ref="N20:U20" si="6">N7</f>
        <v>5281</v>
      </c>
      <c r="O20" s="12">
        <f t="shared" si="6"/>
        <v>973</v>
      </c>
      <c r="P20" s="12">
        <f t="shared" si="6"/>
        <v>1432</v>
      </c>
      <c r="Q20" s="12">
        <f t="shared" si="6"/>
        <v>3221</v>
      </c>
      <c r="R20" s="12">
        <f t="shared" si="6"/>
        <v>996</v>
      </c>
      <c r="S20" s="12">
        <f t="shared" si="6"/>
        <v>4090</v>
      </c>
      <c r="T20" s="12"/>
      <c r="U20" s="12">
        <f t="shared" si="6"/>
        <v>28739</v>
      </c>
    </row>
    <row r="21" spans="1:32" x14ac:dyDescent="0.45">
      <c r="A21" t="str">
        <f>$A$8</f>
        <v>Bellevue Downtown</v>
      </c>
      <c r="B21" s="12">
        <f t="shared" ref="B21:G26" si="7">($U8/$J8)*B8</f>
        <v>909.79795143802539</v>
      </c>
      <c r="C21" s="12">
        <f t="shared" si="7"/>
        <v>2451.2020485619746</v>
      </c>
      <c r="D21" s="12">
        <f t="shared" si="7"/>
        <v>0</v>
      </c>
      <c r="E21" s="12">
        <f t="shared" si="7"/>
        <v>0</v>
      </c>
      <c r="F21" s="12">
        <f t="shared" si="7"/>
        <v>0</v>
      </c>
      <c r="G21" s="12">
        <f t="shared" si="7"/>
        <v>0</v>
      </c>
      <c r="H21" s="12">
        <f t="shared" ref="H21" si="8">($U8/$J8)*H8</f>
        <v>0</v>
      </c>
      <c r="I21" s="12"/>
      <c r="J21" s="12">
        <f t="shared" ref="J21:J27" si="9">SUM(B21:I21)</f>
        <v>3361</v>
      </c>
      <c r="K21" s="12"/>
      <c r="L21" t="str">
        <f>$A$8</f>
        <v>Bellevue Downtown</v>
      </c>
      <c r="M21" s="12">
        <f t="shared" ref="M21:U21" si="10">M8</f>
        <v>996</v>
      </c>
      <c r="N21" s="12">
        <f t="shared" si="10"/>
        <v>1810</v>
      </c>
      <c r="O21" s="12">
        <f t="shared" si="10"/>
        <v>74</v>
      </c>
      <c r="P21" s="12">
        <f t="shared" si="10"/>
        <v>59</v>
      </c>
      <c r="Q21" s="12">
        <f t="shared" si="10"/>
        <v>210</v>
      </c>
      <c r="R21" s="12">
        <f t="shared" si="10"/>
        <v>47</v>
      </c>
      <c r="S21" s="12">
        <f t="shared" si="10"/>
        <v>165</v>
      </c>
      <c r="T21" s="12"/>
      <c r="U21" s="12">
        <f t="shared" si="10"/>
        <v>3361</v>
      </c>
    </row>
    <row r="22" spans="1:32" x14ac:dyDescent="0.45">
      <c r="A22" t="str">
        <f>$A$9</f>
        <v>Kirkland</v>
      </c>
      <c r="B22" s="12">
        <f t="shared" si="7"/>
        <v>0</v>
      </c>
      <c r="C22" s="12">
        <f t="shared" si="7"/>
        <v>168.90513642214623</v>
      </c>
      <c r="D22" s="12">
        <f t="shared" si="7"/>
        <v>19892.057035687554</v>
      </c>
      <c r="E22" s="12">
        <f t="shared" si="7"/>
        <v>2608.3014971876246</v>
      </c>
      <c r="F22" s="12">
        <f t="shared" si="7"/>
        <v>624.86994981352109</v>
      </c>
      <c r="G22" s="12">
        <f t="shared" si="7"/>
        <v>467.67005558590904</v>
      </c>
      <c r="H22" s="12">
        <f t="shared" ref="H22" si="11">($U9/$J9)*H9</f>
        <v>3073.1963253032445</v>
      </c>
      <c r="I22" s="12"/>
      <c r="J22" s="12">
        <f t="shared" si="9"/>
        <v>26835</v>
      </c>
      <c r="K22" s="13"/>
      <c r="L22" t="str">
        <f>$A$9</f>
        <v>Kirkland</v>
      </c>
      <c r="M22" s="12">
        <f t="shared" ref="M22:U22" si="12">M9</f>
        <v>2363</v>
      </c>
      <c r="N22" s="12">
        <f t="shared" si="12"/>
        <v>1760</v>
      </c>
      <c r="O22" s="12">
        <f t="shared" si="12"/>
        <v>10445</v>
      </c>
      <c r="P22" s="12">
        <f t="shared" si="12"/>
        <v>2023</v>
      </c>
      <c r="Q22" s="12">
        <f t="shared" si="12"/>
        <v>4661</v>
      </c>
      <c r="R22" s="12">
        <f t="shared" si="12"/>
        <v>717</v>
      </c>
      <c r="S22" s="12">
        <f t="shared" si="12"/>
        <v>4866</v>
      </c>
      <c r="T22" s="12"/>
      <c r="U22" s="12">
        <f t="shared" si="12"/>
        <v>26835</v>
      </c>
    </row>
    <row r="23" spans="1:32" x14ac:dyDescent="0.45">
      <c r="A23" t="str">
        <f>$A$10</f>
        <v>Redmond</v>
      </c>
      <c r="B23" s="12">
        <f t="shared" si="7"/>
        <v>542.17626068219886</v>
      </c>
      <c r="C23" s="12">
        <f t="shared" si="7"/>
        <v>231.52139495800222</v>
      </c>
      <c r="D23" s="12">
        <f t="shared" si="7"/>
        <v>5317.8253178500263</v>
      </c>
      <c r="E23" s="12">
        <f t="shared" si="7"/>
        <v>12458.220411234597</v>
      </c>
      <c r="F23" s="12">
        <f t="shared" si="7"/>
        <v>2403.4198867923242</v>
      </c>
      <c r="G23" s="12">
        <f t="shared" si="7"/>
        <v>0</v>
      </c>
      <c r="H23" s="12">
        <f t="shared" ref="H23" si="13">($U10/$J10)*H10</f>
        <v>905.8367284828513</v>
      </c>
      <c r="I23" s="12"/>
      <c r="J23" s="12">
        <f>SUM(B23:I23)</f>
        <v>21859.000000000004</v>
      </c>
      <c r="K23" s="13"/>
      <c r="L23" t="str">
        <f>$A$10</f>
        <v>Redmond</v>
      </c>
      <c r="M23" s="12">
        <f t="shared" ref="M23:S23" si="14">M10</f>
        <v>3630</v>
      </c>
      <c r="N23" s="12">
        <f t="shared" si="14"/>
        <v>1344</v>
      </c>
      <c r="O23" s="12">
        <f t="shared" si="14"/>
        <v>2865</v>
      </c>
      <c r="P23" s="12">
        <f t="shared" si="14"/>
        <v>7584</v>
      </c>
      <c r="Q23" s="12">
        <f t="shared" si="14"/>
        <v>2146</v>
      </c>
      <c r="R23" s="12">
        <f t="shared" si="14"/>
        <v>486</v>
      </c>
      <c r="S23" s="12">
        <f t="shared" si="14"/>
        <v>3804</v>
      </c>
      <c r="T23" s="12"/>
      <c r="U23" s="12">
        <f t="shared" ref="U23" si="15">U10</f>
        <v>21859</v>
      </c>
    </row>
    <row r="24" spans="1:32" x14ac:dyDescent="0.45">
      <c r="A24" t="str">
        <f>$A$11</f>
        <v>Seattle</v>
      </c>
      <c r="B24" s="12">
        <f t="shared" si="7"/>
        <v>1904.1948147833084</v>
      </c>
      <c r="C24" s="12">
        <f t="shared" si="7"/>
        <v>71.467315356864333</v>
      </c>
      <c r="D24" s="12">
        <f t="shared" si="7"/>
        <v>180.01268601469351</v>
      </c>
      <c r="E24" s="12">
        <f t="shared" si="7"/>
        <v>10.661814172535571</v>
      </c>
      <c r="F24" s="12">
        <f t="shared" si="7"/>
        <v>99241.287051202322</v>
      </c>
      <c r="G24" s="12">
        <f t="shared" si="7"/>
        <v>15653.963915338591</v>
      </c>
      <c r="H24" s="12">
        <f t="shared" ref="H24" si="16">($U11/$J11)*H11</f>
        <v>6893.4124031316878</v>
      </c>
      <c r="I24" s="12"/>
      <c r="J24" s="12">
        <f t="shared" si="9"/>
        <v>123955.00000000001</v>
      </c>
      <c r="K24" s="13"/>
      <c r="L24" t="str">
        <f>$A$11</f>
        <v>Seattle</v>
      </c>
      <c r="M24" s="12">
        <f t="shared" ref="M24:S24" si="17">M11</f>
        <v>1417</v>
      </c>
      <c r="N24" s="12">
        <f t="shared" si="17"/>
        <v>938</v>
      </c>
      <c r="O24" s="12">
        <f t="shared" si="17"/>
        <v>1063</v>
      </c>
      <c r="P24" s="12">
        <f t="shared" si="17"/>
        <v>385</v>
      </c>
      <c r="Q24" s="12">
        <f t="shared" si="17"/>
        <v>97603</v>
      </c>
      <c r="R24" s="12">
        <f t="shared" si="17"/>
        <v>11408</v>
      </c>
      <c r="S24" s="12">
        <f t="shared" si="17"/>
        <v>11141</v>
      </c>
      <c r="T24" s="12"/>
      <c r="U24" s="12">
        <f t="shared" ref="U24" si="18">U11</f>
        <v>123955</v>
      </c>
    </row>
    <row r="25" spans="1:32" x14ac:dyDescent="0.45">
      <c r="A25" t="str">
        <f>$A$12</f>
        <v>Seattle Downtown</v>
      </c>
      <c r="B25" s="12">
        <f t="shared" si="7"/>
        <v>88.34208984462812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6630.2152715922484</v>
      </c>
      <c r="G25" s="12">
        <f t="shared" si="7"/>
        <v>8511.9900113809908</v>
      </c>
      <c r="H25" s="12">
        <f t="shared" ref="H25" si="19">($U12/$J12)*H12</f>
        <v>1185.4526271821321</v>
      </c>
      <c r="I25" s="12"/>
      <c r="J25" s="12">
        <f t="shared" si="9"/>
        <v>16416</v>
      </c>
      <c r="K25" s="13"/>
      <c r="L25" t="str">
        <f>$A$12</f>
        <v>Seattle Downtown</v>
      </c>
      <c r="M25" s="12">
        <f t="shared" ref="M25:S26" si="20">M12</f>
        <v>115</v>
      </c>
      <c r="N25" s="12">
        <f t="shared" si="20"/>
        <v>69</v>
      </c>
      <c r="O25" s="12">
        <f t="shared" si="20"/>
        <v>34</v>
      </c>
      <c r="P25" s="12">
        <f t="shared" si="20"/>
        <v>23</v>
      </c>
      <c r="Q25" s="12">
        <f t="shared" si="20"/>
        <v>3791</v>
      </c>
      <c r="R25" s="12">
        <f t="shared" si="20"/>
        <v>11980</v>
      </c>
      <c r="S25" s="12">
        <f t="shared" si="20"/>
        <v>404</v>
      </c>
      <c r="T25" s="12"/>
      <c r="U25" s="12">
        <f t="shared" ref="U25:U26" si="21">U12</f>
        <v>16416</v>
      </c>
    </row>
    <row r="26" spans="1:32" x14ac:dyDescent="0.45">
      <c r="A26" t="str">
        <f>$A$13</f>
        <v>Rest</v>
      </c>
      <c r="B26" s="12">
        <f t="shared" si="7"/>
        <v>8141.8324480397305</v>
      </c>
      <c r="C26" s="12">
        <f t="shared" si="7"/>
        <v>3145.4852050341087</v>
      </c>
      <c r="D26" s="12">
        <f t="shared" si="7"/>
        <v>10046.288594921525</v>
      </c>
      <c r="E26" s="12">
        <f t="shared" si="7"/>
        <v>2652.0948768737103</v>
      </c>
      <c r="F26" s="12">
        <f t="shared" si="7"/>
        <v>15449.195308904997</v>
      </c>
      <c r="G26" s="12">
        <f t="shared" si="7"/>
        <v>10276.044993568123</v>
      </c>
      <c r="H26" s="12">
        <f t="shared" ref="H26" si="22">($U13/$J13)*H13</f>
        <v>468417.05857265787</v>
      </c>
      <c r="I26" s="12"/>
      <c r="J26" s="12">
        <f t="shared" si="9"/>
        <v>518128.00000000006</v>
      </c>
      <c r="K26" s="13"/>
      <c r="L26" t="str">
        <f>$A$13</f>
        <v>Rest</v>
      </c>
      <c r="M26" s="12">
        <f t="shared" si="20"/>
        <v>7501</v>
      </c>
      <c r="N26" s="12">
        <f t="shared" si="20"/>
        <v>3689</v>
      </c>
      <c r="O26" s="12">
        <f t="shared" si="20"/>
        <v>4496</v>
      </c>
      <c r="P26" s="12">
        <f t="shared" si="20"/>
        <v>3752</v>
      </c>
      <c r="Q26" s="12">
        <f t="shared" si="20"/>
        <v>28473</v>
      </c>
      <c r="R26" s="12">
        <f t="shared" si="20"/>
        <v>5280</v>
      </c>
      <c r="S26" s="12">
        <f t="shared" si="20"/>
        <v>464937</v>
      </c>
      <c r="T26" s="12"/>
      <c r="U26" s="12">
        <f t="shared" si="21"/>
        <v>518128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6">
        <f t="shared" ref="B28:J28" si="23">SUM(B20:B27)</f>
        <v>31133.77384024701</v>
      </c>
      <c r="C28" s="16">
        <f t="shared" si="23"/>
        <v>7295.7798888648831</v>
      </c>
      <c r="D28" s="16">
        <f t="shared" si="23"/>
        <v>36954.100336687254</v>
      </c>
      <c r="E28" s="16">
        <f t="shared" si="23"/>
        <v>18630.534038304839</v>
      </c>
      <c r="F28" s="16">
        <f t="shared" si="23"/>
        <v>125854.60716230064</v>
      </c>
      <c r="G28" s="16">
        <f t="shared" si="23"/>
        <v>35720.436438474528</v>
      </c>
      <c r="H28" s="16">
        <f t="shared" si="23"/>
        <v>483703.76829512091</v>
      </c>
      <c r="I28" s="16">
        <f t="shared" si="23"/>
        <v>0</v>
      </c>
      <c r="J28" s="16">
        <f t="shared" si="23"/>
        <v>739293</v>
      </c>
      <c r="K28" s="12"/>
      <c r="L28" s="16" t="s">
        <v>4</v>
      </c>
      <c r="M28" s="16">
        <f t="shared" ref="M28:U28" si="24">M15</f>
        <v>28768</v>
      </c>
      <c r="N28" s="16">
        <f t="shared" si="24"/>
        <v>14891</v>
      </c>
      <c r="O28" s="16">
        <f t="shared" si="24"/>
        <v>19950</v>
      </c>
      <c r="P28" s="16">
        <f t="shared" si="24"/>
        <v>15258</v>
      </c>
      <c r="Q28" s="16">
        <f t="shared" si="24"/>
        <v>140105</v>
      </c>
      <c r="R28" s="16">
        <f t="shared" si="24"/>
        <v>30914</v>
      </c>
      <c r="S28" s="16">
        <f t="shared" si="24"/>
        <v>489407</v>
      </c>
      <c r="T28" s="16"/>
      <c r="U28" s="16">
        <f t="shared" si="24"/>
        <v>739293</v>
      </c>
    </row>
    <row r="31" spans="1:32" ht="14.65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7">
        <f t="shared" ref="B33:G33" si="25">B20/$J$28</f>
        <v>2.6440707913451256E-2</v>
      </c>
      <c r="C33" s="17">
        <f t="shared" si="25"/>
        <v>1.6599626785750536E-3</v>
      </c>
      <c r="D33" s="17">
        <f t="shared" si="25"/>
        <v>2.0532004255598962E-3</v>
      </c>
      <c r="E33" s="17">
        <f t="shared" si="25"/>
        <v>1.2190774683871915E-3</v>
      </c>
      <c r="F33" s="17">
        <f t="shared" si="25"/>
        <v>2.0365669551791281E-3</v>
      </c>
      <c r="G33" s="17">
        <f t="shared" si="25"/>
        <v>1.0966794797203699E-3</v>
      </c>
      <c r="H33" s="17">
        <f t="shared" ref="H33" si="26">H20/$J$28</f>
        <v>4.3674316385561764E-3</v>
      </c>
      <c r="I33" s="12"/>
      <c r="J33" s="17">
        <f t="shared" ref="J33:J39" si="27">J20/$J$28</f>
        <v>3.8873626559429067E-2</v>
      </c>
      <c r="K33" s="12"/>
      <c r="L33" t="str">
        <f>$A$7</f>
        <v>Bellevue</v>
      </c>
      <c r="M33" s="17">
        <f t="shared" ref="M33:R33" si="28">M20/$U$28</f>
        <v>1.7240796274278263E-2</v>
      </c>
      <c r="N33" s="17">
        <f t="shared" si="28"/>
        <v>7.1433112446621302E-3</v>
      </c>
      <c r="O33" s="17">
        <f t="shared" si="28"/>
        <v>1.3161222952198925E-3</v>
      </c>
      <c r="P33" s="17">
        <f t="shared" si="28"/>
        <v>1.9369857417830278E-3</v>
      </c>
      <c r="Q33" s="17">
        <f t="shared" si="28"/>
        <v>4.3568652753373828E-3</v>
      </c>
      <c r="R33" s="17">
        <f t="shared" si="28"/>
        <v>1.3472330997317708E-3</v>
      </c>
      <c r="S33" s="17">
        <f t="shared" ref="S33" si="29">S20/$U$28</f>
        <v>5.5323126284166088E-3</v>
      </c>
      <c r="T33" s="17"/>
      <c r="U33" s="17">
        <f>U20/$U$28</f>
        <v>3.8873626559429074E-2</v>
      </c>
      <c r="W33" t="str">
        <f>$A$7</f>
        <v>Bellevue</v>
      </c>
      <c r="X33" s="17">
        <f>M33-B33</f>
        <v>-9.1999116391729939E-3</v>
      </c>
      <c r="Y33" s="17">
        <f t="shared" ref="Y33:Y35" si="30">N33-C33</f>
        <v>5.4833485660870764E-3</v>
      </c>
      <c r="Z33" s="17">
        <f t="shared" ref="Z33:Z35" si="31">O33-D33</f>
        <v>-7.3707813034000372E-4</v>
      </c>
      <c r="AA33" s="17">
        <f t="shared" ref="AA33" si="32">P33-E33</f>
        <v>7.1790827339583631E-4</v>
      </c>
      <c r="AB33" s="17">
        <f t="shared" ref="AB33" si="33">Q33-F33</f>
        <v>2.3202983201582547E-3</v>
      </c>
      <c r="AC33" s="17">
        <f t="shared" ref="AC33:AD33" si="34">R33-G33</f>
        <v>2.5055362001140087E-4</v>
      </c>
      <c r="AD33" s="17">
        <f t="shared" si="34"/>
        <v>1.1648809898604324E-3</v>
      </c>
      <c r="AE33" s="17"/>
      <c r="AF33" s="17">
        <f t="shared" ref="AF33:AF39" si="35">U33-J33</f>
        <v>0</v>
      </c>
    </row>
    <row r="34" spans="1:32" x14ac:dyDescent="0.45">
      <c r="A34" t="str">
        <f>$A$8</f>
        <v>Bellevue Downtown</v>
      </c>
      <c r="B34" s="17">
        <f t="shared" ref="B34:G39" si="36">B21/$J$28</f>
        <v>1.2306324440215521E-3</v>
      </c>
      <c r="C34" s="17">
        <f t="shared" si="36"/>
        <v>3.3156029457359596E-3</v>
      </c>
      <c r="D34" s="17">
        <f t="shared" si="36"/>
        <v>0</v>
      </c>
      <c r="E34" s="17">
        <f t="shared" si="36"/>
        <v>0</v>
      </c>
      <c r="F34" s="17">
        <f t="shared" si="36"/>
        <v>0</v>
      </c>
      <c r="G34" s="17">
        <f t="shared" si="36"/>
        <v>0</v>
      </c>
      <c r="H34" s="17">
        <f t="shared" ref="H34" si="37">H21/$J$28</f>
        <v>0</v>
      </c>
      <c r="I34" s="12"/>
      <c r="J34" s="17">
        <f t="shared" si="27"/>
        <v>4.5462353897575119E-3</v>
      </c>
      <c r="K34" s="12"/>
      <c r="L34" t="str">
        <f>$A$8</f>
        <v>Bellevue Downtown</v>
      </c>
      <c r="M34" s="17">
        <f t="shared" ref="M34:R36" si="38">M21/$U$28</f>
        <v>1.3472330997317708E-3</v>
      </c>
      <c r="N34" s="17">
        <f t="shared" si="38"/>
        <v>2.4482850507173744E-3</v>
      </c>
      <c r="O34" s="17">
        <f t="shared" si="38"/>
        <v>1.0009563190778216E-4</v>
      </c>
      <c r="P34" s="17">
        <f t="shared" si="38"/>
        <v>7.9805976791339829E-5</v>
      </c>
      <c r="Q34" s="17">
        <f t="shared" si="38"/>
        <v>2.8405517163019261E-4</v>
      </c>
      <c r="R34" s="17">
        <f t="shared" si="38"/>
        <v>6.3574252698185969E-5</v>
      </c>
      <c r="S34" s="17">
        <f t="shared" ref="S34" si="39">S21/$U$28</f>
        <v>2.2318620628086563E-4</v>
      </c>
      <c r="T34" s="17"/>
      <c r="U34" s="17">
        <f>U21/$U$28</f>
        <v>4.5462353897575119E-3</v>
      </c>
      <c r="W34" t="str">
        <f>$A$8</f>
        <v>Bellevue Downtown</v>
      </c>
      <c r="X34" s="17">
        <f t="shared" ref="X34:X35" si="40">M34-B34</f>
        <v>1.1660065571021867E-4</v>
      </c>
      <c r="Y34" s="17">
        <f t="shared" si="30"/>
        <v>-8.6731789501858511E-4</v>
      </c>
      <c r="Z34" s="17">
        <f t="shared" si="31"/>
        <v>1.0009563190778216E-4</v>
      </c>
      <c r="AA34" s="17">
        <f t="shared" ref="AA34:AA38" si="41">P34-E34</f>
        <v>7.9805976791339829E-5</v>
      </c>
      <c r="AB34" s="17">
        <f t="shared" ref="AB34:AB38" si="42">Q34-F34</f>
        <v>2.8405517163019261E-4</v>
      </c>
      <c r="AC34" s="17">
        <f t="shared" ref="AC34:AD38" si="43">R34-G34</f>
        <v>6.3574252698185969E-5</v>
      </c>
      <c r="AD34" s="17">
        <f t="shared" si="43"/>
        <v>2.2318620628086563E-4</v>
      </c>
      <c r="AE34" s="17"/>
      <c r="AF34" s="17">
        <f t="shared" si="35"/>
        <v>0</v>
      </c>
    </row>
    <row r="35" spans="1:32" x14ac:dyDescent="0.45">
      <c r="A35" t="str">
        <f>$A$9</f>
        <v>Kirkland</v>
      </c>
      <c r="B35" s="17">
        <f t="shared" si="36"/>
        <v>0</v>
      </c>
      <c r="C35" s="17">
        <f t="shared" si="36"/>
        <v>2.2846846436006595E-4</v>
      </c>
      <c r="D35" s="17">
        <f t="shared" si="36"/>
        <v>2.6906865120713375E-2</v>
      </c>
      <c r="E35" s="17">
        <f t="shared" si="36"/>
        <v>3.5281025211758052E-3</v>
      </c>
      <c r="F35" s="17">
        <f t="shared" si="36"/>
        <v>8.4522638495633138E-4</v>
      </c>
      <c r="G35" s="17">
        <f t="shared" si="36"/>
        <v>6.325909424083672E-4</v>
      </c>
      <c r="H35" s="17">
        <f t="shared" ref="H35" si="44">H22/$J$28</f>
        <v>4.1569395697013825E-3</v>
      </c>
      <c r="I35" s="12"/>
      <c r="J35" s="17">
        <f t="shared" si="27"/>
        <v>3.6298193003315327E-2</v>
      </c>
      <c r="K35" s="13"/>
      <c r="L35" t="str">
        <f>$A$9</f>
        <v>Kirkland</v>
      </c>
      <c r="M35" s="17">
        <f t="shared" si="38"/>
        <v>3.196297002676882E-3</v>
      </c>
      <c r="N35" s="17">
        <f t="shared" si="38"/>
        <v>2.3806528669959E-3</v>
      </c>
      <c r="O35" s="17">
        <f t="shared" si="38"/>
        <v>1.412836317941601E-2</v>
      </c>
      <c r="P35" s="17">
        <f t="shared" si="38"/>
        <v>2.7363981533708556E-3</v>
      </c>
      <c r="Q35" s="17">
        <f t="shared" si="38"/>
        <v>6.304672166515847E-3</v>
      </c>
      <c r="R35" s="17">
        <f t="shared" si="38"/>
        <v>9.6984551456594345E-4</v>
      </c>
      <c r="S35" s="17">
        <f t="shared" ref="S35" si="45">S22/$U$28</f>
        <v>6.5819641197738922E-3</v>
      </c>
      <c r="T35" s="17"/>
      <c r="U35" s="17">
        <f>U22/$U$28</f>
        <v>3.6298193003315327E-2</v>
      </c>
      <c r="W35" t="str">
        <f>$A$9</f>
        <v>Kirkland</v>
      </c>
      <c r="X35" s="17">
        <f t="shared" si="40"/>
        <v>3.196297002676882E-3</v>
      </c>
      <c r="Y35" s="17">
        <f t="shared" si="30"/>
        <v>2.1521844026358341E-3</v>
      </c>
      <c r="Z35" s="17">
        <f t="shared" si="31"/>
        <v>-1.2778501941297366E-2</v>
      </c>
      <c r="AA35" s="17">
        <f t="shared" si="41"/>
        <v>-7.9170436780494954E-4</v>
      </c>
      <c r="AB35" s="17">
        <f t="shared" si="42"/>
        <v>5.4594457815595153E-3</v>
      </c>
      <c r="AC35" s="17">
        <f t="shared" si="43"/>
        <v>3.3725457215757625E-4</v>
      </c>
      <c r="AD35" s="17">
        <f t="shared" si="43"/>
        <v>2.4250245500725097E-3</v>
      </c>
      <c r="AE35" s="17"/>
      <c r="AF35" s="17">
        <f t="shared" si="35"/>
        <v>0</v>
      </c>
    </row>
    <row r="36" spans="1:32" x14ac:dyDescent="0.45">
      <c r="A36" t="str">
        <f>$A$10</f>
        <v>Redmond</v>
      </c>
      <c r="B36" s="17">
        <f t="shared" si="36"/>
        <v>7.3337128943760975E-4</v>
      </c>
      <c r="C36" s="17">
        <f t="shared" si="36"/>
        <v>3.13165950385033E-4</v>
      </c>
      <c r="D36" s="17">
        <f t="shared" si="36"/>
        <v>7.1931227779108231E-3</v>
      </c>
      <c r="E36" s="17">
        <f t="shared" si="36"/>
        <v>1.6851533033904822E-2</v>
      </c>
      <c r="F36" s="17">
        <f t="shared" si="36"/>
        <v>3.2509707068676752E-3</v>
      </c>
      <c r="G36" s="17">
        <f t="shared" si="36"/>
        <v>0</v>
      </c>
      <c r="H36" s="17">
        <f t="shared" ref="H36" si="46">H23/$J$28</f>
        <v>1.2252743208482312E-3</v>
      </c>
      <c r="I36" s="12"/>
      <c r="J36" s="17">
        <f t="shared" si="27"/>
        <v>2.9567438079354198E-2</v>
      </c>
      <c r="K36" s="13"/>
      <c r="L36" t="str">
        <f>$A$10</f>
        <v>Redmond</v>
      </c>
      <c r="M36" s="17">
        <f t="shared" si="38"/>
        <v>4.9100965381790439E-3</v>
      </c>
      <c r="N36" s="17">
        <f t="shared" si="38"/>
        <v>1.8179530984332329E-3</v>
      </c>
      <c r="O36" s="17">
        <f t="shared" si="38"/>
        <v>3.8753241272404854E-3</v>
      </c>
      <c r="P36" s="17">
        <f t="shared" si="38"/>
        <v>1.0258449626873242E-2</v>
      </c>
      <c r="Q36" s="17">
        <f t="shared" si="38"/>
        <v>2.9027733253256826E-3</v>
      </c>
      <c r="R36" s="17">
        <f t="shared" si="38"/>
        <v>6.5738482577273156E-4</v>
      </c>
      <c r="S36" s="17">
        <f t="shared" ref="S36" si="47">S23/$U$28</f>
        <v>5.1454565375297747E-3</v>
      </c>
      <c r="T36" s="17"/>
      <c r="U36" s="17">
        <f t="shared" ref="U36" si="48">U23/$U$28</f>
        <v>2.9567438079354195E-2</v>
      </c>
      <c r="W36" t="str">
        <f>$A$10</f>
        <v>Redmond</v>
      </c>
      <c r="X36" s="17">
        <f t="shared" ref="X36:X38" si="49">M36-B36</f>
        <v>4.1767252487414346E-3</v>
      </c>
      <c r="Y36" s="17">
        <f t="shared" ref="Y36:Y38" si="50">N36-C36</f>
        <v>1.5047871480481998E-3</v>
      </c>
      <c r="Z36" s="17">
        <f t="shared" ref="Z36:Z38" si="51">O36-D36</f>
        <v>-3.3177986506703378E-3</v>
      </c>
      <c r="AA36" s="17">
        <f t="shared" si="41"/>
        <v>-6.5930834070315799E-3</v>
      </c>
      <c r="AB36" s="17">
        <f t="shared" si="42"/>
        <v>-3.4819738154199262E-4</v>
      </c>
      <c r="AC36" s="17">
        <f t="shared" si="43"/>
        <v>6.5738482577273156E-4</v>
      </c>
      <c r="AD36" s="17">
        <f t="shared" si="43"/>
        <v>3.9201822166815437E-3</v>
      </c>
      <c r="AE36" s="17"/>
      <c r="AF36" s="17">
        <f t="shared" si="35"/>
        <v>0</v>
      </c>
    </row>
    <row r="37" spans="1:32" x14ac:dyDescent="0.45">
      <c r="A37" t="str">
        <f>$A$11</f>
        <v>Seattle</v>
      </c>
      <c r="B37" s="17">
        <f t="shared" si="36"/>
        <v>2.5756970710980741E-3</v>
      </c>
      <c r="C37" s="17">
        <f t="shared" si="36"/>
        <v>9.6669812045920001E-5</v>
      </c>
      <c r="D37" s="17">
        <f t="shared" si="36"/>
        <v>2.4349302105483686E-4</v>
      </c>
      <c r="E37" s="17">
        <f t="shared" si="36"/>
        <v>1.4421635498422914E-5</v>
      </c>
      <c r="F37" s="17">
        <f t="shared" si="36"/>
        <v>0.13423809917204996</v>
      </c>
      <c r="G37" s="17">
        <f t="shared" si="36"/>
        <v>2.1174235269830217E-2</v>
      </c>
      <c r="H37" s="17">
        <f t="shared" ref="H37" si="52">H24/$J$28</f>
        <v>9.324330682329858E-3</v>
      </c>
      <c r="I37" s="12"/>
      <c r="J37" s="17">
        <f t="shared" si="27"/>
        <v>0.1676669466639073</v>
      </c>
      <c r="K37" s="13"/>
      <c r="L37" t="str">
        <f>$A$11</f>
        <v>Seattle</v>
      </c>
      <c r="M37" s="17">
        <f t="shared" ref="M37:N39" si="53">M24/$U$28</f>
        <v>1.9166960866665854E-3</v>
      </c>
      <c r="N37" s="17">
        <f t="shared" si="53"/>
        <v>1.2687797666148604E-3</v>
      </c>
      <c r="O37" s="17">
        <f t="shared" ref="O37:R37" si="54">O24/$U$28</f>
        <v>1.4378602259185465E-3</v>
      </c>
      <c r="P37" s="17">
        <f t="shared" si="54"/>
        <v>5.2076781465535316E-4</v>
      </c>
      <c r="Q37" s="17">
        <f t="shared" si="54"/>
        <v>0.1320220805553414</v>
      </c>
      <c r="R37" s="17">
        <f t="shared" si="54"/>
        <v>1.5430959037891608E-2</v>
      </c>
      <c r="S37" s="17">
        <f t="shared" ref="S37" si="55">S24/$U$28</f>
        <v>1.5069803176818934E-2</v>
      </c>
      <c r="T37" s="17"/>
      <c r="U37" s="17">
        <f t="shared" ref="U37" si="56">U24/$U$28</f>
        <v>0.16766694666390727</v>
      </c>
      <c r="W37" t="str">
        <f>$A$11</f>
        <v>Seattle</v>
      </c>
      <c r="X37" s="17">
        <f t="shared" si="49"/>
        <v>-6.5900098443148866E-4</v>
      </c>
      <c r="Y37" s="17">
        <f t="shared" si="50"/>
        <v>1.1721099545689403E-3</v>
      </c>
      <c r="Z37" s="17">
        <f t="shared" si="51"/>
        <v>1.1943672048637095E-3</v>
      </c>
      <c r="AA37" s="17">
        <f t="shared" si="41"/>
        <v>5.0634617915693025E-4</v>
      </c>
      <c r="AB37" s="17">
        <f t="shared" si="42"/>
        <v>-2.2160186167085594E-3</v>
      </c>
      <c r="AC37" s="17">
        <f t="shared" si="43"/>
        <v>-5.7432762319386092E-3</v>
      </c>
      <c r="AD37" s="17">
        <f t="shared" si="43"/>
        <v>5.7454724944890762E-3</v>
      </c>
      <c r="AE37" s="17"/>
      <c r="AF37" s="17">
        <f t="shared" si="35"/>
        <v>0</v>
      </c>
    </row>
    <row r="38" spans="1:32" x14ac:dyDescent="0.45">
      <c r="A38" t="str">
        <f>$A$12</f>
        <v>Seattle Downtown</v>
      </c>
      <c r="B38" s="17">
        <f t="shared" si="36"/>
        <v>1.194953690142178E-4</v>
      </c>
      <c r="C38" s="17">
        <f t="shared" si="36"/>
        <v>0</v>
      </c>
      <c r="D38" s="17">
        <f t="shared" si="36"/>
        <v>0</v>
      </c>
      <c r="E38" s="17">
        <f t="shared" si="36"/>
        <v>0</v>
      </c>
      <c r="F38" s="17">
        <f t="shared" si="36"/>
        <v>8.9683187472250486E-3</v>
      </c>
      <c r="G38" s="17">
        <f t="shared" si="36"/>
        <v>1.1513689445701488E-2</v>
      </c>
      <c r="H38" s="17">
        <f t="shared" ref="H38" si="57">H25/$J$28</f>
        <v>1.60349499749373E-3</v>
      </c>
      <c r="I38" s="12"/>
      <c r="J38" s="17">
        <f t="shared" si="27"/>
        <v>2.2204998559434488E-2</v>
      </c>
      <c r="K38" s="13"/>
      <c r="L38" t="str">
        <f>$A$12</f>
        <v>Seattle Downtown</v>
      </c>
      <c r="M38" s="17">
        <f t="shared" si="53"/>
        <v>1.555540225593912E-4</v>
      </c>
      <c r="N38" s="17">
        <f t="shared" si="53"/>
        <v>9.3332413535634725E-5</v>
      </c>
      <c r="O38" s="17">
        <f t="shared" ref="O38:R39" si="58">O25/$U$28</f>
        <v>4.5989884930602615E-5</v>
      </c>
      <c r="P38" s="17">
        <f t="shared" si="58"/>
        <v>3.1110804511878237E-5</v>
      </c>
      <c r="Q38" s="17">
        <f t="shared" si="58"/>
        <v>5.1278721697621916E-3</v>
      </c>
      <c r="R38" s="17">
        <f t="shared" si="58"/>
        <v>1.6204671219665276E-2</v>
      </c>
      <c r="S38" s="17">
        <f t="shared" ref="S38" si="59">S25/$U$28</f>
        <v>5.464680444695134E-4</v>
      </c>
      <c r="T38" s="17"/>
      <c r="U38" s="17">
        <f t="shared" ref="U38:U39" si="60">U25/$U$28</f>
        <v>2.2204998559434488E-2</v>
      </c>
      <c r="W38" t="str">
        <f>$A$12</f>
        <v>Seattle Downtown</v>
      </c>
      <c r="X38" s="17">
        <f t="shared" si="49"/>
        <v>3.6058653545173396E-5</v>
      </c>
      <c r="Y38" s="17">
        <f t="shared" si="50"/>
        <v>9.3332413535634725E-5</v>
      </c>
      <c r="Z38" s="17">
        <f t="shared" si="51"/>
        <v>4.5989884930602615E-5</v>
      </c>
      <c r="AA38" s="17">
        <f t="shared" si="41"/>
        <v>3.1110804511878237E-5</v>
      </c>
      <c r="AB38" s="17">
        <f t="shared" si="42"/>
        <v>-3.840446577462857E-3</v>
      </c>
      <c r="AC38" s="17">
        <f t="shared" si="43"/>
        <v>4.6909817739637875E-3</v>
      </c>
      <c r="AD38" s="17">
        <f t="shared" si="43"/>
        <v>-1.0570269530242166E-3</v>
      </c>
      <c r="AE38" s="17"/>
      <c r="AF38" s="17">
        <f t="shared" si="35"/>
        <v>0</v>
      </c>
    </row>
    <row r="39" spans="1:32" x14ac:dyDescent="0.45">
      <c r="A39" t="str">
        <f>$A$13</f>
        <v>Rest</v>
      </c>
      <c r="B39" s="17">
        <f t="shared" si="36"/>
        <v>1.10129981591057E-2</v>
      </c>
      <c r="C39" s="17">
        <f t="shared" si="36"/>
        <v>4.2547206656009303E-3</v>
      </c>
      <c r="D39" s="17">
        <f t="shared" si="36"/>
        <v>1.3589048719413717E-2</v>
      </c>
      <c r="E39" s="17">
        <f t="shared" si="36"/>
        <v>3.587339359190078E-3</v>
      </c>
      <c r="F39" s="17">
        <f t="shared" si="36"/>
        <v>2.0897256309616075E-2</v>
      </c>
      <c r="G39" s="17">
        <f t="shared" si="36"/>
        <v>1.3899827258702736E-2</v>
      </c>
      <c r="H39" s="17">
        <f t="shared" ref="H39" si="61">H26/$J$28</f>
        <v>0.63360137127317295</v>
      </c>
      <c r="I39" s="12"/>
      <c r="J39" s="17">
        <f t="shared" si="27"/>
        <v>0.70084256174480219</v>
      </c>
      <c r="K39" s="13"/>
      <c r="L39" t="str">
        <f>$A$13</f>
        <v>Rest</v>
      </c>
      <c r="M39" s="17">
        <f t="shared" si="53"/>
        <v>1.0146180201895595E-2</v>
      </c>
      <c r="N39" s="17">
        <f t="shared" si="53"/>
        <v>4.9899025149703841E-3</v>
      </c>
      <c r="O39" s="17">
        <f t="shared" si="58"/>
        <v>6.0814859602349811E-3</v>
      </c>
      <c r="P39" s="17">
        <f t="shared" si="58"/>
        <v>5.0751190664594416E-3</v>
      </c>
      <c r="Q39" s="17">
        <f t="shared" si="58"/>
        <v>3.851382334203083E-2</v>
      </c>
      <c r="R39" s="17">
        <f t="shared" si="58"/>
        <v>7.1419586009877E-3</v>
      </c>
      <c r="S39" s="17">
        <f t="shared" ref="S39" si="62">S26/$U$28</f>
        <v>0.62889409205822322</v>
      </c>
      <c r="T39" s="17"/>
      <c r="U39" s="17">
        <f t="shared" si="60"/>
        <v>0.70084256174480208</v>
      </c>
      <c r="W39" t="str">
        <f>$A$13</f>
        <v>Rest</v>
      </c>
      <c r="X39" s="17">
        <f t="shared" ref="X39" si="63">M39-B39</f>
        <v>-8.6681795721010521E-4</v>
      </c>
      <c r="Y39" s="17">
        <f t="shared" ref="Y39" si="64">N39-C39</f>
        <v>7.3518184936945379E-4</v>
      </c>
      <c r="Z39" s="17">
        <f t="shared" ref="Z39" si="65">O39-D39</f>
        <v>-7.5075627591787361E-3</v>
      </c>
      <c r="AA39" s="17">
        <f t="shared" ref="AA39" si="66">P39-E39</f>
        <v>1.4877797072693636E-3</v>
      </c>
      <c r="AB39" s="17">
        <f t="shared" ref="AB39" si="67">Q39-F39</f>
        <v>1.7616567032414755E-2</v>
      </c>
      <c r="AC39" s="17">
        <f t="shared" ref="AC39:AD39" si="68">R39-G39</f>
        <v>-6.7578686577150363E-3</v>
      </c>
      <c r="AD39" s="17">
        <f t="shared" si="68"/>
        <v>-4.7072792149497333E-3</v>
      </c>
      <c r="AE39" s="17"/>
      <c r="AF39" s="17">
        <f t="shared" si="35"/>
        <v>0</v>
      </c>
    </row>
    <row r="40" spans="1:32" x14ac:dyDescent="0.4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4.65" thickBot="1" x14ac:dyDescent="0.5">
      <c r="A41" s="1" t="s">
        <v>4</v>
      </c>
      <c r="B41" s="19">
        <f t="shared" ref="B41:H41" si="69">B28/$J$28</f>
        <v>4.211290224612841E-2</v>
      </c>
      <c r="C41" s="19">
        <f t="shared" si="69"/>
        <v>9.8685905167029617E-3</v>
      </c>
      <c r="D41" s="19">
        <f t="shared" si="69"/>
        <v>4.998573006465265E-2</v>
      </c>
      <c r="E41" s="19">
        <f t="shared" si="69"/>
        <v>2.5200474018156317E-2</v>
      </c>
      <c r="F41" s="19">
        <f t="shared" si="69"/>
        <v>0.17023643827589419</v>
      </c>
      <c r="G41" s="19">
        <f t="shared" si="69"/>
        <v>4.8317022396363186E-2</v>
      </c>
      <c r="H41" s="19">
        <f t="shared" si="69"/>
        <v>0.65427884248210233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3.8912853225987531E-2</v>
      </c>
      <c r="N41" s="19">
        <f>N28/$U$28</f>
        <v>2.0142216955929517E-2</v>
      </c>
      <c r="O41" s="19">
        <f>O28/$U$28</f>
        <v>2.6985241304868301E-2</v>
      </c>
      <c r="P41" s="19">
        <f>P28/$U$28</f>
        <v>2.0638637184445138E-2</v>
      </c>
      <c r="Q41" s="19">
        <f t="shared" ref="Q41:S41" si="70">Q28/$U$28</f>
        <v>0.18951214200594352</v>
      </c>
      <c r="R41" s="19">
        <f t="shared" si="70"/>
        <v>4.1815626551313212E-2</v>
      </c>
      <c r="S41" s="19">
        <f t="shared" si="70"/>
        <v>0.66199328277151281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F41" si="71">M41-B41</f>
        <v>-3.2000490201408785E-3</v>
      </c>
      <c r="Y41" s="19">
        <f t="shared" si="71"/>
        <v>1.0273626439226555E-2</v>
      </c>
      <c r="Z41" s="19">
        <f t="shared" si="71"/>
        <v>-2.300048875978435E-2</v>
      </c>
      <c r="AA41" s="19">
        <f t="shared" si="71"/>
        <v>-4.5618368337111796E-3</v>
      </c>
      <c r="AB41" s="19">
        <f t="shared" si="71"/>
        <v>1.9275703730049332E-2</v>
      </c>
      <c r="AC41" s="19">
        <f t="shared" si="71"/>
        <v>-6.5013958450499745E-3</v>
      </c>
      <c r="AD41" s="19">
        <f t="shared" si="71"/>
        <v>7.7144402894104847E-3</v>
      </c>
      <c r="AE41" s="19">
        <f t="shared" si="71"/>
        <v>0</v>
      </c>
      <c r="AF41" s="19">
        <f t="shared" si="71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G13" sqref="G13"/>
    </sheetView>
  </sheetViews>
  <sheetFormatPr defaultRowHeight="14.25" x14ac:dyDescent="0.45"/>
  <sheetData>
    <row r="1" spans="1:3" x14ac:dyDescent="0.45">
      <c r="A1" s="10" t="s">
        <v>20</v>
      </c>
    </row>
    <row r="2" spans="1:3" x14ac:dyDescent="0.45">
      <c r="A2">
        <v>1</v>
      </c>
      <c r="B2" t="s">
        <v>246</v>
      </c>
    </row>
    <row r="3" spans="1:3" x14ac:dyDescent="0.45">
      <c r="B3" t="s">
        <v>21</v>
      </c>
      <c r="C3" t="s">
        <v>22</v>
      </c>
    </row>
    <row r="4" spans="1:3" x14ac:dyDescent="0.45">
      <c r="B4" t="s">
        <v>23</v>
      </c>
      <c r="C4" t="s">
        <v>24</v>
      </c>
    </row>
    <row r="5" spans="1:3" x14ac:dyDescent="0.45">
      <c r="B5" t="s">
        <v>25</v>
      </c>
      <c r="C5" t="s">
        <v>26</v>
      </c>
    </row>
    <row r="6" spans="1:3" x14ac:dyDescent="0.45">
      <c r="B6" t="s">
        <v>27</v>
      </c>
      <c r="C6" t="s">
        <v>28</v>
      </c>
    </row>
    <row r="8" spans="1:3" x14ac:dyDescent="0.45">
      <c r="A8">
        <v>2</v>
      </c>
      <c r="B8" t="s">
        <v>29</v>
      </c>
    </row>
    <row r="10" spans="1:3" x14ac:dyDescent="0.45">
      <c r="A10">
        <v>3</v>
      </c>
      <c r="B10" t="s">
        <v>30</v>
      </c>
    </row>
    <row r="12" spans="1:3" x14ac:dyDescent="0.45">
      <c r="A12">
        <v>4</v>
      </c>
      <c r="B12" t="s">
        <v>31</v>
      </c>
    </row>
    <row r="14" spans="1:3" x14ac:dyDescent="0.45">
      <c r="A14">
        <v>5</v>
      </c>
      <c r="B14" t="s">
        <v>32</v>
      </c>
    </row>
    <row r="15" spans="1:3" x14ac:dyDescent="0.45">
      <c r="B15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17" workbookViewId="0">
      <selection activeCell="B39" sqref="B3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386" t="s">
        <v>42</v>
      </c>
    </row>
    <row r="2" spans="1:4" x14ac:dyDescent="0.45">
      <c r="A2" t="s">
        <v>259</v>
      </c>
      <c r="B2" t="s">
        <v>260</v>
      </c>
      <c r="C2" t="s">
        <v>91</v>
      </c>
      <c r="D2" t="s">
        <v>261</v>
      </c>
    </row>
    <row r="3" spans="1:4" x14ac:dyDescent="0.45">
      <c r="A3">
        <v>1</v>
      </c>
      <c r="B3" t="s">
        <v>45</v>
      </c>
      <c r="C3" t="s">
        <v>262</v>
      </c>
      <c r="D3" t="s">
        <v>46</v>
      </c>
    </row>
    <row r="4" spans="1:4" x14ac:dyDescent="0.45">
      <c r="A4">
        <v>2</v>
      </c>
      <c r="B4" t="s">
        <v>48</v>
      </c>
      <c r="C4" t="s">
        <v>262</v>
      </c>
      <c r="D4" t="s">
        <v>49</v>
      </c>
    </row>
    <row r="5" spans="1:4" x14ac:dyDescent="0.45">
      <c r="A5">
        <v>3</v>
      </c>
      <c r="B5" t="s">
        <v>51</v>
      </c>
      <c r="C5" t="s">
        <v>262</v>
      </c>
      <c r="D5" t="s">
        <v>52</v>
      </c>
    </row>
    <row r="6" spans="1:4" x14ac:dyDescent="0.45">
      <c r="A6">
        <v>4</v>
      </c>
      <c r="B6" t="s">
        <v>54</v>
      </c>
      <c r="C6" t="s">
        <v>262</v>
      </c>
      <c r="D6" t="s">
        <v>55</v>
      </c>
    </row>
    <row r="7" spans="1:4" x14ac:dyDescent="0.45">
      <c r="A7">
        <v>5</v>
      </c>
      <c r="B7" t="s">
        <v>57</v>
      </c>
      <c r="C7" t="s">
        <v>262</v>
      </c>
      <c r="D7" t="s">
        <v>58</v>
      </c>
    </row>
    <row r="8" spans="1:4" x14ac:dyDescent="0.45">
      <c r="A8">
        <v>6</v>
      </c>
      <c r="B8" t="s">
        <v>59</v>
      </c>
      <c r="C8" t="s">
        <v>262</v>
      </c>
      <c r="D8" t="s">
        <v>60</v>
      </c>
    </row>
    <row r="9" spans="1:4" x14ac:dyDescent="0.45">
      <c r="A9">
        <v>7</v>
      </c>
      <c r="B9" t="s">
        <v>61</v>
      </c>
      <c r="C9" t="s">
        <v>262</v>
      </c>
      <c r="D9" t="s">
        <v>62</v>
      </c>
    </row>
    <row r="10" spans="1:4" x14ac:dyDescent="0.45">
      <c r="A10">
        <v>8</v>
      </c>
      <c r="B10" t="s">
        <v>64</v>
      </c>
      <c r="C10" t="s">
        <v>262</v>
      </c>
      <c r="D10" t="s">
        <v>65</v>
      </c>
    </row>
    <row r="11" spans="1:4" x14ac:dyDescent="0.45">
      <c r="A11">
        <v>9</v>
      </c>
      <c r="B11" t="s">
        <v>66</v>
      </c>
      <c r="C11" t="s">
        <v>262</v>
      </c>
      <c r="D11" t="s">
        <v>67</v>
      </c>
    </row>
    <row r="12" spans="1:4" x14ac:dyDescent="0.45">
      <c r="A12">
        <v>10</v>
      </c>
      <c r="B12" t="s">
        <v>68</v>
      </c>
      <c r="C12" t="s">
        <v>262</v>
      </c>
      <c r="D12" t="s">
        <v>69</v>
      </c>
    </row>
    <row r="13" spans="1:4" x14ac:dyDescent="0.45">
      <c r="A13">
        <v>11</v>
      </c>
      <c r="B13" t="s">
        <v>70</v>
      </c>
      <c r="C13" t="s">
        <v>262</v>
      </c>
      <c r="D13" t="s">
        <v>71</v>
      </c>
    </row>
    <row r="14" spans="1:4" x14ac:dyDescent="0.45">
      <c r="A14">
        <v>12</v>
      </c>
      <c r="B14" t="s">
        <v>72</v>
      </c>
      <c r="C14" t="s">
        <v>262</v>
      </c>
      <c r="D14" t="s">
        <v>73</v>
      </c>
    </row>
    <row r="15" spans="1:4" x14ac:dyDescent="0.45">
      <c r="A15">
        <v>13</v>
      </c>
      <c r="B15" t="s">
        <v>74</v>
      </c>
      <c r="C15" t="s">
        <v>262</v>
      </c>
      <c r="D15" t="s">
        <v>75</v>
      </c>
    </row>
    <row r="16" spans="1:4" x14ac:dyDescent="0.45">
      <c r="A16">
        <v>14</v>
      </c>
      <c r="B16" t="s">
        <v>76</v>
      </c>
      <c r="C16" t="s">
        <v>262</v>
      </c>
      <c r="D16" t="s">
        <v>77</v>
      </c>
    </row>
    <row r="17" spans="1:4" x14ac:dyDescent="0.45">
      <c r="A17">
        <v>15</v>
      </c>
      <c r="B17" t="s">
        <v>78</v>
      </c>
      <c r="C17" t="s">
        <v>262</v>
      </c>
      <c r="D17" t="s">
        <v>79</v>
      </c>
    </row>
    <row r="18" spans="1:4" x14ac:dyDescent="0.45">
      <c r="A18">
        <v>16</v>
      </c>
      <c r="B18" t="s">
        <v>80</v>
      </c>
      <c r="C18" t="s">
        <v>262</v>
      </c>
      <c r="D18" t="s">
        <v>81</v>
      </c>
    </row>
    <row r="19" spans="1:4" x14ac:dyDescent="0.45">
      <c r="A19">
        <v>17</v>
      </c>
      <c r="B19" t="s">
        <v>83</v>
      </c>
      <c r="C19" t="s">
        <v>262</v>
      </c>
      <c r="D19" t="s">
        <v>84</v>
      </c>
    </row>
    <row r="20" spans="1:4" x14ac:dyDescent="0.45">
      <c r="A20">
        <v>18</v>
      </c>
      <c r="B20" t="s">
        <v>86</v>
      </c>
      <c r="C20" t="s">
        <v>262</v>
      </c>
      <c r="D20" t="s">
        <v>87</v>
      </c>
    </row>
    <row r="21" spans="1:4" x14ac:dyDescent="0.45">
      <c r="A21">
        <v>19</v>
      </c>
      <c r="B21" t="s">
        <v>89</v>
      </c>
      <c r="C21" t="s">
        <v>262</v>
      </c>
      <c r="D21" t="s">
        <v>90</v>
      </c>
    </row>
    <row r="22" spans="1:4" x14ac:dyDescent="0.45">
      <c r="A22">
        <v>20</v>
      </c>
      <c r="B22" t="s">
        <v>92</v>
      </c>
      <c r="C22" t="s">
        <v>88</v>
      </c>
      <c r="D22" t="s">
        <v>93</v>
      </c>
    </row>
    <row r="23" spans="1:4" x14ac:dyDescent="0.45">
      <c r="A23">
        <v>21</v>
      </c>
      <c r="B23" t="s">
        <v>94</v>
      </c>
      <c r="C23" t="s">
        <v>88</v>
      </c>
      <c r="D23" t="s">
        <v>95</v>
      </c>
    </row>
    <row r="24" spans="1:4" x14ac:dyDescent="0.45">
      <c r="A24">
        <v>22</v>
      </c>
      <c r="B24" t="s">
        <v>96</v>
      </c>
      <c r="C24" t="s">
        <v>88</v>
      </c>
      <c r="D24" t="s">
        <v>97</v>
      </c>
    </row>
    <row r="25" spans="1:4" x14ac:dyDescent="0.45">
      <c r="A25">
        <v>23</v>
      </c>
      <c r="B25" t="s">
        <v>98</v>
      </c>
      <c r="C25" t="s">
        <v>88</v>
      </c>
      <c r="D25" t="s">
        <v>99</v>
      </c>
    </row>
    <row r="26" spans="1:4" x14ac:dyDescent="0.45">
      <c r="A26">
        <v>24</v>
      </c>
      <c r="B26" t="s">
        <v>100</v>
      </c>
      <c r="C26" t="s">
        <v>88</v>
      </c>
      <c r="D26" t="s">
        <v>101</v>
      </c>
    </row>
    <row r="27" spans="1:4" x14ac:dyDescent="0.45">
      <c r="A27">
        <v>25</v>
      </c>
      <c r="B27" t="s">
        <v>103</v>
      </c>
      <c r="C27" t="s">
        <v>88</v>
      </c>
      <c r="D27" t="s">
        <v>104</v>
      </c>
    </row>
    <row r="28" spans="1:4" x14ac:dyDescent="0.45">
      <c r="A28">
        <v>26</v>
      </c>
      <c r="B28" t="s">
        <v>105</v>
      </c>
      <c r="C28" t="s">
        <v>102</v>
      </c>
      <c r="D28" t="s">
        <v>93</v>
      </c>
    </row>
    <row r="29" spans="1:4" x14ac:dyDescent="0.45">
      <c r="A29">
        <v>27</v>
      </c>
      <c r="B29" t="s">
        <v>106</v>
      </c>
      <c r="C29" t="s">
        <v>102</v>
      </c>
      <c r="D29" t="s">
        <v>95</v>
      </c>
    </row>
    <row r="30" spans="1:4" x14ac:dyDescent="0.45">
      <c r="A30">
        <v>28</v>
      </c>
      <c r="B30" t="s">
        <v>108</v>
      </c>
      <c r="C30" t="s">
        <v>102</v>
      </c>
      <c r="D30" t="s">
        <v>97</v>
      </c>
    </row>
    <row r="31" spans="1:4" x14ac:dyDescent="0.45">
      <c r="A31">
        <v>29</v>
      </c>
      <c r="B31" t="s">
        <v>109</v>
      </c>
      <c r="C31" t="s">
        <v>102</v>
      </c>
      <c r="D31" t="s">
        <v>99</v>
      </c>
    </row>
    <row r="32" spans="1:4" x14ac:dyDescent="0.45">
      <c r="A32">
        <v>30</v>
      </c>
      <c r="B32" t="s">
        <v>110</v>
      </c>
      <c r="C32" t="s">
        <v>102</v>
      </c>
      <c r="D32" t="s">
        <v>111</v>
      </c>
    </row>
    <row r="33" spans="1:4" x14ac:dyDescent="0.45">
      <c r="A33">
        <v>31</v>
      </c>
      <c r="B33" t="s">
        <v>112</v>
      </c>
      <c r="C33" t="s">
        <v>102</v>
      </c>
      <c r="D33" t="s">
        <v>113</v>
      </c>
    </row>
    <row r="34" spans="1:4" x14ac:dyDescent="0.45">
      <c r="A34">
        <v>32</v>
      </c>
      <c r="B34" t="s">
        <v>114</v>
      </c>
      <c r="C34" t="s">
        <v>102</v>
      </c>
      <c r="D34" t="s">
        <v>115</v>
      </c>
    </row>
    <row r="35" spans="1:4" x14ac:dyDescent="0.45">
      <c r="A35">
        <v>33</v>
      </c>
      <c r="B35" t="s">
        <v>116</v>
      </c>
      <c r="C35" t="s">
        <v>102</v>
      </c>
      <c r="D35" t="s">
        <v>117</v>
      </c>
    </row>
    <row r="36" spans="1:4" x14ac:dyDescent="0.45">
      <c r="A36">
        <v>34</v>
      </c>
      <c r="B36" t="s">
        <v>118</v>
      </c>
      <c r="C36" t="s">
        <v>102</v>
      </c>
      <c r="D36" t="s">
        <v>119</v>
      </c>
    </row>
    <row r="37" spans="1:4" x14ac:dyDescent="0.45">
      <c r="A37">
        <v>35</v>
      </c>
      <c r="B37" t="s">
        <v>121</v>
      </c>
      <c r="C37" t="s">
        <v>102</v>
      </c>
      <c r="D37" t="s">
        <v>122</v>
      </c>
    </row>
    <row r="38" spans="1:4" x14ac:dyDescent="0.45">
      <c r="A38">
        <v>36</v>
      </c>
      <c r="B38" t="s">
        <v>123</v>
      </c>
      <c r="C38" t="s">
        <v>120</v>
      </c>
      <c r="D38" t="s">
        <v>93</v>
      </c>
    </row>
    <row r="39" spans="1:4" x14ac:dyDescent="0.45">
      <c r="A39">
        <v>37</v>
      </c>
      <c r="B39" t="s">
        <v>124</v>
      </c>
      <c r="C39" t="s">
        <v>120</v>
      </c>
      <c r="D39" t="s">
        <v>95</v>
      </c>
    </row>
    <row r="40" spans="1:4" x14ac:dyDescent="0.45">
      <c r="A40">
        <v>38</v>
      </c>
      <c r="B40" t="s">
        <v>126</v>
      </c>
      <c r="C40" t="s">
        <v>120</v>
      </c>
      <c r="D40" t="s">
        <v>97</v>
      </c>
    </row>
    <row r="41" spans="1:4" x14ac:dyDescent="0.45">
      <c r="A41">
        <v>39</v>
      </c>
      <c r="B41" t="s">
        <v>127</v>
      </c>
      <c r="C41" t="s">
        <v>120</v>
      </c>
      <c r="D41" t="s">
        <v>99</v>
      </c>
    </row>
    <row r="42" spans="1:4" x14ac:dyDescent="0.45">
      <c r="A42">
        <v>40</v>
      </c>
      <c r="B42" t="s">
        <v>128</v>
      </c>
      <c r="C42" t="s">
        <v>120</v>
      </c>
      <c r="D42" t="s">
        <v>111</v>
      </c>
    </row>
    <row r="43" spans="1:4" x14ac:dyDescent="0.45">
      <c r="A43">
        <v>41</v>
      </c>
      <c r="B43" t="s">
        <v>129</v>
      </c>
      <c r="C43" t="s">
        <v>120</v>
      </c>
      <c r="D43" t="s">
        <v>113</v>
      </c>
    </row>
    <row r="44" spans="1:4" x14ac:dyDescent="0.45">
      <c r="A44">
        <v>42</v>
      </c>
      <c r="B44" t="s">
        <v>131</v>
      </c>
      <c r="C44" t="s">
        <v>120</v>
      </c>
      <c r="D44" t="s">
        <v>132</v>
      </c>
    </row>
    <row r="45" spans="1:4" x14ac:dyDescent="0.45">
      <c r="A45">
        <v>43</v>
      </c>
      <c r="B45" t="s">
        <v>133</v>
      </c>
      <c r="C45" t="s">
        <v>130</v>
      </c>
      <c r="D45" t="s">
        <v>93</v>
      </c>
    </row>
    <row r="46" spans="1:4" x14ac:dyDescent="0.45">
      <c r="A46">
        <v>44</v>
      </c>
      <c r="B46" t="s">
        <v>134</v>
      </c>
      <c r="C46" t="s">
        <v>130</v>
      </c>
      <c r="D46" t="s">
        <v>135</v>
      </c>
    </row>
    <row r="47" spans="1:4" x14ac:dyDescent="0.45">
      <c r="A47">
        <v>45</v>
      </c>
      <c r="B47" t="s">
        <v>136</v>
      </c>
      <c r="C47" t="s">
        <v>130</v>
      </c>
      <c r="D47" t="s">
        <v>137</v>
      </c>
    </row>
    <row r="48" spans="1:4" x14ac:dyDescent="0.45">
      <c r="A48">
        <v>46</v>
      </c>
      <c r="B48" t="s">
        <v>138</v>
      </c>
      <c r="C48" t="s">
        <v>130</v>
      </c>
      <c r="D48" t="s">
        <v>139</v>
      </c>
    </row>
    <row r="49" spans="1:4" x14ac:dyDescent="0.45">
      <c r="A49">
        <v>47</v>
      </c>
      <c r="B49" t="s">
        <v>140</v>
      </c>
      <c r="C49" t="s">
        <v>130</v>
      </c>
      <c r="D49" t="s">
        <v>141</v>
      </c>
    </row>
    <row r="50" spans="1:4" x14ac:dyDescent="0.45">
      <c r="A50">
        <v>48</v>
      </c>
      <c r="B50" t="s">
        <v>143</v>
      </c>
      <c r="C50" t="s">
        <v>130</v>
      </c>
      <c r="D50" t="s">
        <v>144</v>
      </c>
    </row>
    <row r="51" spans="1:4" x14ac:dyDescent="0.45">
      <c r="A51">
        <v>49</v>
      </c>
      <c r="B51" t="s">
        <v>145</v>
      </c>
      <c r="C51" t="s">
        <v>142</v>
      </c>
      <c r="D51" t="s">
        <v>93</v>
      </c>
    </row>
    <row r="52" spans="1:4" x14ac:dyDescent="0.45">
      <c r="A52">
        <v>50</v>
      </c>
      <c r="B52" t="s">
        <v>146</v>
      </c>
      <c r="C52" t="s">
        <v>142</v>
      </c>
      <c r="D52" t="s">
        <v>95</v>
      </c>
    </row>
    <row r="53" spans="1:4" x14ac:dyDescent="0.45">
      <c r="A53">
        <v>51</v>
      </c>
      <c r="B53" t="s">
        <v>147</v>
      </c>
      <c r="C53" t="s">
        <v>142</v>
      </c>
      <c r="D53" t="s">
        <v>97</v>
      </c>
    </row>
    <row r="54" spans="1:4" x14ac:dyDescent="0.45">
      <c r="A54">
        <v>52</v>
      </c>
      <c r="B54" t="s">
        <v>148</v>
      </c>
      <c r="C54" t="s">
        <v>142</v>
      </c>
      <c r="D54" t="s">
        <v>99</v>
      </c>
    </row>
    <row r="55" spans="1:4" x14ac:dyDescent="0.45">
      <c r="A55">
        <v>53</v>
      </c>
      <c r="B55" t="s">
        <v>149</v>
      </c>
      <c r="C55" t="s">
        <v>142</v>
      </c>
      <c r="D55" t="s">
        <v>111</v>
      </c>
    </row>
    <row r="56" spans="1:4" x14ac:dyDescent="0.45">
      <c r="A56">
        <v>54</v>
      </c>
      <c r="B56" t="s">
        <v>150</v>
      </c>
      <c r="C56" t="s">
        <v>142</v>
      </c>
      <c r="D56" t="s">
        <v>151</v>
      </c>
    </row>
    <row r="57" spans="1:4" x14ac:dyDescent="0.45">
      <c r="A57">
        <v>55</v>
      </c>
      <c r="B57" t="s">
        <v>152</v>
      </c>
      <c r="C57" t="s">
        <v>142</v>
      </c>
      <c r="D57" t="s">
        <v>115</v>
      </c>
    </row>
    <row r="58" spans="1:4" x14ac:dyDescent="0.45">
      <c r="A58">
        <v>56</v>
      </c>
      <c r="B58" t="s">
        <v>153</v>
      </c>
      <c r="C58" t="s">
        <v>142</v>
      </c>
      <c r="D58" t="s">
        <v>119</v>
      </c>
    </row>
    <row r="59" spans="1:4" x14ac:dyDescent="0.45">
      <c r="A59">
        <v>57</v>
      </c>
      <c r="B59" t="s">
        <v>154</v>
      </c>
      <c r="C59" t="s">
        <v>142</v>
      </c>
      <c r="D59" t="s">
        <v>122</v>
      </c>
    </row>
    <row r="60" spans="1:4" x14ac:dyDescent="0.45">
      <c r="A60">
        <v>118</v>
      </c>
      <c r="B60" t="s">
        <v>263</v>
      </c>
    </row>
    <row r="61" spans="1:4" x14ac:dyDescent="0.45">
      <c r="A61">
        <v>70</v>
      </c>
      <c r="B61" t="s">
        <v>155</v>
      </c>
      <c r="C61" t="s">
        <v>88</v>
      </c>
    </row>
    <row r="62" spans="1:4" x14ac:dyDescent="0.45">
      <c r="A62">
        <v>71</v>
      </c>
      <c r="B62" t="s">
        <v>156</v>
      </c>
      <c r="C62" t="s">
        <v>88</v>
      </c>
      <c r="D62" t="s">
        <v>157</v>
      </c>
    </row>
    <row r="63" spans="1:4" x14ac:dyDescent="0.45">
      <c r="A63">
        <v>72</v>
      </c>
      <c r="B63" t="s">
        <v>158</v>
      </c>
      <c r="C63" t="s">
        <v>88</v>
      </c>
      <c r="D63" t="s">
        <v>159</v>
      </c>
    </row>
    <row r="64" spans="1:4" x14ac:dyDescent="0.45">
      <c r="A64">
        <v>73</v>
      </c>
      <c r="B64" t="s">
        <v>160</v>
      </c>
      <c r="C64" t="s">
        <v>88</v>
      </c>
      <c r="D64" t="s">
        <v>161</v>
      </c>
    </row>
    <row r="65" spans="1:4" x14ac:dyDescent="0.45">
      <c r="A65">
        <v>74</v>
      </c>
      <c r="B65" t="s">
        <v>162</v>
      </c>
      <c r="C65" t="s">
        <v>88</v>
      </c>
      <c r="D65" t="s">
        <v>163</v>
      </c>
    </row>
    <row r="66" spans="1:4" x14ac:dyDescent="0.45">
      <c r="A66">
        <v>75</v>
      </c>
      <c r="B66" t="s">
        <v>164</v>
      </c>
      <c r="C66" t="s">
        <v>88</v>
      </c>
      <c r="D66" t="s">
        <v>165</v>
      </c>
    </row>
    <row r="67" spans="1:4" x14ac:dyDescent="0.45">
      <c r="A67">
        <v>76</v>
      </c>
      <c r="B67" t="s">
        <v>166</v>
      </c>
      <c r="C67" t="s">
        <v>88</v>
      </c>
      <c r="D67" t="s">
        <v>167</v>
      </c>
    </row>
    <row r="68" spans="1:4" x14ac:dyDescent="0.45">
      <c r="A68">
        <v>77</v>
      </c>
      <c r="B68" t="s">
        <v>168</v>
      </c>
      <c r="C68" t="s">
        <v>88</v>
      </c>
      <c r="D68" t="s">
        <v>169</v>
      </c>
    </row>
    <row r="69" spans="1:4" x14ac:dyDescent="0.45">
      <c r="A69">
        <v>78</v>
      </c>
      <c r="B69" t="s">
        <v>170</v>
      </c>
      <c r="C69" t="s">
        <v>88</v>
      </c>
      <c r="D69" t="s">
        <v>171</v>
      </c>
    </row>
    <row r="70" spans="1:4" x14ac:dyDescent="0.45">
      <c r="A70">
        <v>79</v>
      </c>
      <c r="B70" t="s">
        <v>172</v>
      </c>
      <c r="C70" t="s">
        <v>88</v>
      </c>
      <c r="D70" t="s">
        <v>173</v>
      </c>
    </row>
    <row r="71" spans="1:4" x14ac:dyDescent="0.45">
      <c r="A71">
        <v>80</v>
      </c>
      <c r="B71" t="s">
        <v>174</v>
      </c>
      <c r="C71" t="s">
        <v>88</v>
      </c>
      <c r="D71" t="s">
        <v>175</v>
      </c>
    </row>
    <row r="72" spans="1:4" x14ac:dyDescent="0.45">
      <c r="A72">
        <v>81</v>
      </c>
      <c r="B72" t="s">
        <v>176</v>
      </c>
      <c r="C72" t="s">
        <v>88</v>
      </c>
      <c r="D72" t="s">
        <v>177</v>
      </c>
    </row>
    <row r="73" spans="1:4" x14ac:dyDescent="0.45">
      <c r="A73">
        <v>82</v>
      </c>
      <c r="B73" t="s">
        <v>178</v>
      </c>
      <c r="C73" t="s">
        <v>88</v>
      </c>
      <c r="D73" t="s">
        <v>177</v>
      </c>
    </row>
    <row r="74" spans="1:4" x14ac:dyDescent="0.45">
      <c r="A74">
        <v>83</v>
      </c>
      <c r="B74" t="s">
        <v>179</v>
      </c>
      <c r="C74" t="s">
        <v>88</v>
      </c>
      <c r="D74" t="s">
        <v>180</v>
      </c>
    </row>
    <row r="75" spans="1:4" x14ac:dyDescent="0.45">
      <c r="A75">
        <v>84</v>
      </c>
      <c r="B75" t="s">
        <v>181</v>
      </c>
      <c r="C75" t="s">
        <v>88</v>
      </c>
      <c r="D75" t="s">
        <v>182</v>
      </c>
    </row>
    <row r="76" spans="1:4" x14ac:dyDescent="0.45">
      <c r="A76">
        <v>85</v>
      </c>
      <c r="B76" t="s">
        <v>183</v>
      </c>
      <c r="C76" t="s">
        <v>88</v>
      </c>
      <c r="D76" t="s">
        <v>184</v>
      </c>
    </row>
    <row r="77" spans="1:4" x14ac:dyDescent="0.45">
      <c r="A77">
        <v>86</v>
      </c>
      <c r="B77" t="s">
        <v>185</v>
      </c>
      <c r="C77" t="s">
        <v>88</v>
      </c>
      <c r="D77" t="s">
        <v>186</v>
      </c>
    </row>
    <row r="78" spans="1:4" x14ac:dyDescent="0.45">
      <c r="A78">
        <v>87</v>
      </c>
      <c r="B78" t="s">
        <v>187</v>
      </c>
      <c r="C78" t="s">
        <v>88</v>
      </c>
      <c r="D78" t="s">
        <v>188</v>
      </c>
    </row>
    <row r="79" spans="1:4" x14ac:dyDescent="0.45">
      <c r="A79">
        <v>88</v>
      </c>
      <c r="B79" t="s">
        <v>189</v>
      </c>
      <c r="C79" t="s">
        <v>88</v>
      </c>
      <c r="D79" t="s">
        <v>190</v>
      </c>
    </row>
    <row r="80" spans="1:4" x14ac:dyDescent="0.45">
      <c r="A80">
        <v>89</v>
      </c>
      <c r="B80" t="s">
        <v>191</v>
      </c>
      <c r="C80" t="s">
        <v>102</v>
      </c>
      <c r="D80" t="s">
        <v>192</v>
      </c>
    </row>
    <row r="81" spans="1:4" x14ac:dyDescent="0.45">
      <c r="A81">
        <v>90</v>
      </c>
      <c r="B81" t="s">
        <v>193</v>
      </c>
      <c r="C81" t="s">
        <v>102</v>
      </c>
      <c r="D81" t="s">
        <v>194</v>
      </c>
    </row>
    <row r="82" spans="1:4" x14ac:dyDescent="0.45">
      <c r="A82">
        <v>91</v>
      </c>
      <c r="B82" t="s">
        <v>195</v>
      </c>
      <c r="C82" t="s">
        <v>102</v>
      </c>
      <c r="D82" t="s">
        <v>196</v>
      </c>
    </row>
    <row r="83" spans="1:4" x14ac:dyDescent="0.45">
      <c r="A83">
        <v>92</v>
      </c>
      <c r="B83" t="s">
        <v>197</v>
      </c>
      <c r="C83" t="s">
        <v>102</v>
      </c>
      <c r="D83" t="s">
        <v>198</v>
      </c>
    </row>
    <row r="84" spans="1:4" x14ac:dyDescent="0.45">
      <c r="A84">
        <v>93</v>
      </c>
      <c r="B84" t="s">
        <v>199</v>
      </c>
      <c r="C84" t="s">
        <v>102</v>
      </c>
      <c r="D84" t="s">
        <v>200</v>
      </c>
    </row>
    <row r="85" spans="1:4" x14ac:dyDescent="0.45">
      <c r="A85">
        <v>94</v>
      </c>
      <c r="B85" t="s">
        <v>201</v>
      </c>
      <c r="C85" t="s">
        <v>102</v>
      </c>
      <c r="D85" t="s">
        <v>202</v>
      </c>
    </row>
    <row r="86" spans="1:4" x14ac:dyDescent="0.45">
      <c r="A86">
        <v>95</v>
      </c>
      <c r="B86" t="s">
        <v>203</v>
      </c>
      <c r="C86" t="s">
        <v>102</v>
      </c>
      <c r="D86" t="s">
        <v>204</v>
      </c>
    </row>
    <row r="87" spans="1:4" x14ac:dyDescent="0.45">
      <c r="A87">
        <v>96</v>
      </c>
      <c r="B87" t="s">
        <v>205</v>
      </c>
      <c r="C87" t="s">
        <v>102</v>
      </c>
      <c r="D87" t="s">
        <v>206</v>
      </c>
    </row>
    <row r="88" spans="1:4" x14ac:dyDescent="0.45">
      <c r="A88">
        <v>97</v>
      </c>
      <c r="B88" t="s">
        <v>207</v>
      </c>
      <c r="C88" t="s">
        <v>102</v>
      </c>
      <c r="D88" t="s">
        <v>208</v>
      </c>
    </row>
    <row r="89" spans="1:4" x14ac:dyDescent="0.45">
      <c r="A89">
        <v>98</v>
      </c>
      <c r="B89" t="s">
        <v>209</v>
      </c>
      <c r="C89" t="s">
        <v>120</v>
      </c>
      <c r="D89" t="s">
        <v>194</v>
      </c>
    </row>
    <row r="90" spans="1:4" x14ac:dyDescent="0.45">
      <c r="A90">
        <v>99</v>
      </c>
      <c r="B90" t="s">
        <v>210</v>
      </c>
      <c r="C90" t="s">
        <v>120</v>
      </c>
      <c r="D90" t="s">
        <v>196</v>
      </c>
    </row>
    <row r="91" spans="1:4" x14ac:dyDescent="0.45">
      <c r="A91">
        <v>100</v>
      </c>
      <c r="B91" t="s">
        <v>211</v>
      </c>
      <c r="C91" t="s">
        <v>120</v>
      </c>
      <c r="D91" t="s">
        <v>198</v>
      </c>
    </row>
    <row r="92" spans="1:4" x14ac:dyDescent="0.45">
      <c r="A92">
        <v>101</v>
      </c>
      <c r="B92" t="s">
        <v>212</v>
      </c>
      <c r="C92" t="s">
        <v>120</v>
      </c>
      <c r="D92" t="s">
        <v>200</v>
      </c>
    </row>
    <row r="93" spans="1:4" x14ac:dyDescent="0.45">
      <c r="A93">
        <v>102</v>
      </c>
      <c r="B93" t="s">
        <v>213</v>
      </c>
      <c r="C93" t="s">
        <v>130</v>
      </c>
      <c r="D93" t="s">
        <v>194</v>
      </c>
    </row>
    <row r="94" spans="1:4" x14ac:dyDescent="0.45">
      <c r="A94">
        <v>103</v>
      </c>
      <c r="B94" t="s">
        <v>214</v>
      </c>
      <c r="C94" t="s">
        <v>130</v>
      </c>
      <c r="D94" t="s">
        <v>196</v>
      </c>
    </row>
    <row r="95" spans="1:4" x14ac:dyDescent="0.45">
      <c r="A95">
        <v>104</v>
      </c>
      <c r="B95" t="s">
        <v>215</v>
      </c>
      <c r="C95" t="s">
        <v>130</v>
      </c>
      <c r="D95" t="s">
        <v>198</v>
      </c>
    </row>
    <row r="96" spans="1:4" x14ac:dyDescent="0.45">
      <c r="A96">
        <v>105</v>
      </c>
      <c r="B96" t="s">
        <v>216</v>
      </c>
      <c r="C96" t="s">
        <v>130</v>
      </c>
      <c r="D96" t="s">
        <v>200</v>
      </c>
    </row>
    <row r="97" spans="1:4" x14ac:dyDescent="0.45">
      <c r="A97">
        <v>106</v>
      </c>
      <c r="B97" t="s">
        <v>217</v>
      </c>
      <c r="C97" t="s">
        <v>142</v>
      </c>
      <c r="D97" t="s">
        <v>194</v>
      </c>
    </row>
    <row r="98" spans="1:4" x14ac:dyDescent="0.45">
      <c r="A98">
        <v>107</v>
      </c>
      <c r="B98" t="s">
        <v>218</v>
      </c>
      <c r="C98" t="s">
        <v>142</v>
      </c>
      <c r="D98" t="s">
        <v>219</v>
      </c>
    </row>
    <row r="99" spans="1:4" x14ac:dyDescent="0.45">
      <c r="A99">
        <v>108</v>
      </c>
      <c r="B99" t="s">
        <v>220</v>
      </c>
      <c r="C99" t="s">
        <v>142</v>
      </c>
      <c r="D99" t="s">
        <v>196</v>
      </c>
    </row>
    <row r="100" spans="1:4" x14ac:dyDescent="0.45">
      <c r="A100">
        <v>109</v>
      </c>
      <c r="B100" t="s">
        <v>221</v>
      </c>
      <c r="C100" t="s">
        <v>142</v>
      </c>
      <c r="D100" t="s">
        <v>198</v>
      </c>
    </row>
    <row r="101" spans="1:4" x14ac:dyDescent="0.45">
      <c r="A101">
        <v>110</v>
      </c>
      <c r="B101" t="s">
        <v>222</v>
      </c>
      <c r="C101" t="s">
        <v>142</v>
      </c>
      <c r="D101" t="s">
        <v>200</v>
      </c>
    </row>
    <row r="102" spans="1:4" x14ac:dyDescent="0.45">
      <c r="A102">
        <v>111</v>
      </c>
      <c r="B102" t="s">
        <v>223</v>
      </c>
      <c r="C102" t="s">
        <v>142</v>
      </c>
      <c r="D102" t="s">
        <v>206</v>
      </c>
    </row>
    <row r="103" spans="1:4" x14ac:dyDescent="0.45">
      <c r="A103">
        <v>112</v>
      </c>
      <c r="B103" t="s">
        <v>224</v>
      </c>
      <c r="C103" t="s">
        <v>142</v>
      </c>
      <c r="D103" t="s">
        <v>225</v>
      </c>
    </row>
    <row r="104" spans="1:4" x14ac:dyDescent="0.4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18" sqref="P18"/>
    </sheetView>
  </sheetViews>
  <sheetFormatPr defaultRowHeight="14.25" x14ac:dyDescent="0.45"/>
  <sheetData>
    <row r="1" spans="1:11" x14ac:dyDescent="0.4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4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4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4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4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45">
      <c r="A8" t="s">
        <v>232</v>
      </c>
      <c r="B8" t="s">
        <v>233</v>
      </c>
      <c r="C8" t="s">
        <v>234</v>
      </c>
      <c r="D8" t="s">
        <v>265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45">
      <c r="A10" t="s">
        <v>240</v>
      </c>
    </row>
    <row r="11" spans="1:11" x14ac:dyDescent="0.4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4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4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4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4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4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4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4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4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4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4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4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4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4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4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4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4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4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4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4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4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4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4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4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4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4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4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4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4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4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4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4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4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4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4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4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4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4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4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4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4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4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4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4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Q28" sqref="Q28"/>
    </sheetView>
  </sheetViews>
  <sheetFormatPr defaultColWidth="9.1328125" defaultRowHeight="14.25" x14ac:dyDescent="0.45"/>
  <cols>
    <col min="1" max="2" style="385" width="9.1328125" collapsed="true"/>
    <col min="3" max="3" bestFit="true" customWidth="true" style="385" width="12.73046875" collapsed="true"/>
    <col min="4" max="4" customWidth="true" style="384" width="18.86328125" collapsed="true"/>
    <col min="5" max="5" customWidth="true" style="385" width="6.73046875" collapsed="true"/>
    <col min="6" max="6" customWidth="true" style="385" width="12.73046875" collapsed="true"/>
    <col min="7" max="8" customWidth="true" style="384" width="18.86328125" collapsed="true"/>
    <col min="9" max="9" customWidth="true" style="384" width="6.59765625" collapsed="true"/>
    <col min="10" max="10" customWidth="true" style="384" width="10.1328125" collapsed="true"/>
    <col min="11" max="11" customWidth="true" style="384" width="9.86328125" collapsed="true"/>
    <col min="12" max="14" style="385" width="9.1328125" collapsed="true"/>
    <col min="15" max="15" customWidth="true" style="385" width="13.0" collapsed="true"/>
    <col min="16" max="16" customWidth="true" style="387" width="19.59765625" collapsed="true"/>
    <col min="17" max="17" customWidth="true" style="423" width="19.59765625" collapsed="true"/>
    <col min="18" max="16384" style="385" width="9.1328125" collapsed="true"/>
  </cols>
  <sheetData>
    <row r="1" spans="3:23" x14ac:dyDescent="0.4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r="2" spans="3:23" ht="14.65" thickBot="1" x14ac:dyDescent="0.5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4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45">
      <c r="C4" s="391" t="s">
        <v>47</v>
      </c>
      <c r="D4" s="392">
        <f>TLFD!B11</f>
        <v>27663.831959679799</v>
      </c>
      <c r="F4" s="391" t="s">
        <v>47</v>
      </c>
      <c r="G4" s="392">
        <f>TLFD!F11</f>
        <v>102914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45">
      <c r="C5" s="394" t="s">
        <v>50</v>
      </c>
      <c r="D5" s="395">
        <f>TLFD!B12+TLFD!B13+(TLFD!B14/2)</f>
        <v>115832.09695086606</v>
      </c>
      <c r="F5" s="394" t="s">
        <v>50</v>
      </c>
      <c r="G5" s="395">
        <f>TLFD!F12+TLFD!F13+(TLFD!F14/2)</f>
        <v>130614.5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t="shared" ref="Q5:Q68" si="0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45">
      <c r="C6" s="394" t="s">
        <v>53</v>
      </c>
      <c r="D6" s="395">
        <f>(TLFD!B14/2)+SUM(TLFD!B15:B20)</f>
        <v>410257.92803962692</v>
      </c>
      <c r="F6" s="394" t="s">
        <v>53</v>
      </c>
      <c r="G6" s="395">
        <f>(TLFD!F14/2)+SUM(TLFD!F15:F20)</f>
        <v>349636.5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t="shared" si="0"/>
        <v>0.27120783067900001</v>
      </c>
      <c r="T6">
        <v>4</v>
      </c>
      <c r="U6" s="410" t="s">
        <v>275</v>
      </c>
      <c r="V6" s="410"/>
      <c r="W6" s="410"/>
    </row>
    <row r="7" spans="3:23" x14ac:dyDescent="0.45">
      <c r="C7" s="397" t="s">
        <v>56</v>
      </c>
      <c r="D7" s="398">
        <f>SUM(TLFD!B21:B101)</f>
        <v>160058.51804216809</v>
      </c>
      <c r="F7" s="397" t="s">
        <v>56</v>
      </c>
      <c r="G7" s="398">
        <f>SUM(TLFD!F21:F101)</f>
        <v>156128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t="shared" si="0"/>
        <v>-0.34490013167299999</v>
      </c>
      <c r="T7" s="410">
        <v>5</v>
      </c>
      <c r="U7" s="410" t="s">
        <v>276</v>
      </c>
      <c r="V7" s="410"/>
      <c r="W7" s="410"/>
    </row>
    <row r="8" spans="3:23" ht="14.65" thickBot="1" x14ac:dyDescent="0.5">
      <c r="C8" s="400" t="s">
        <v>4</v>
      </c>
      <c r="D8" s="401">
        <f>SUM(D4:D7)</f>
        <v>713812.37499234092</v>
      </c>
      <c r="E8" s="402"/>
      <c r="F8" s="400" t="s">
        <v>4</v>
      </c>
      <c r="G8" s="401">
        <f>SUM(G4:G7)</f>
        <v>739293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t="shared" si="0"/>
        <v>-8.2865473150899996E-2</v>
      </c>
      <c r="T8" s="410"/>
      <c r="U8" s="410"/>
      <c r="V8" s="410"/>
      <c r="W8" s="410"/>
    </row>
    <row r="9" spans="3:23" x14ac:dyDescent="0.4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t="shared" si="0"/>
        <v>-3.9895313632499998</v>
      </c>
      <c r="T9" s="410"/>
      <c r="U9" s="463" t="s">
        <v>277</v>
      </c>
      <c r="V9" s="410"/>
      <c r="W9" s="410"/>
    </row>
    <row r="10" spans="3:23" ht="14.65" thickBot="1" x14ac:dyDescent="0.5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t="shared" si="0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4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t="shared" si="0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45">
      <c r="C12" s="391" t="s">
        <v>47</v>
      </c>
      <c r="D12" s="405">
        <f>D4/D$8</f>
        <v>3.8755046744568734E-2</v>
      </c>
      <c r="F12" s="391" t="s">
        <v>47</v>
      </c>
      <c r="G12" s="405">
        <f>G4/G$8</f>
        <v>0.13920597111023642</v>
      </c>
      <c r="H12" s="405"/>
      <c r="I12" s="441">
        <f>D12/G12</f>
        <v>0.27840074987788299</v>
      </c>
      <c r="J12" s="442">
        <f>LN(I12)</f>
        <v>-1.2786936569986214</v>
      </c>
      <c r="K12" s="442">
        <f>K8*J12</f>
        <v>-1.2786936569986214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t="shared" si="0"/>
        <v>0.517563261484</v>
      </c>
      <c r="T12" s="410">
        <v>3</v>
      </c>
      <c r="U12" s="410" t="s">
        <v>279</v>
      </c>
      <c r="V12" s="410"/>
      <c r="W12" s="410"/>
    </row>
    <row r="13" spans="3:23" x14ac:dyDescent="0.45">
      <c r="C13" s="394" t="s">
        <v>50</v>
      </c>
      <c r="D13" s="406">
        <f t="shared" ref="D13:D16" si="1">D5/D$8</f>
        <v>0.16227246964177236</v>
      </c>
      <c r="F13" s="394" t="s">
        <v>50</v>
      </c>
      <c r="G13" s="406">
        <f t="shared" ref="G13:G16" si="2">G5/G$8</f>
        <v>0.17667487721377045</v>
      </c>
      <c r="H13" s="406"/>
      <c r="I13" s="441">
        <f t="shared" ref="I13:I15" si="3">D13/G13</f>
        <v>0.91848072686321058</v>
      </c>
      <c r="J13" s="442">
        <f t="shared" ref="J13:J15" si="4">LN(I13)</f>
        <v>-8.5034357820695405E-2</v>
      </c>
      <c r="K13" s="442">
        <f>K8*(J13-J12)</f>
        <v>1.193659299177926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t="shared" si="0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45">
      <c r="C14" s="394" t="s">
        <v>53</v>
      </c>
      <c r="D14" s="406">
        <f t="shared" si="1"/>
        <v>0.57474196639422082</v>
      </c>
      <c r="F14" s="394" t="s">
        <v>53</v>
      </c>
      <c r="G14" s="406">
        <f t="shared" si="2"/>
        <v>0.47293360007466595</v>
      </c>
      <c r="H14" s="406"/>
      <c r="I14" s="441">
        <f t="shared" si="3"/>
        <v>1.215269894766372</v>
      </c>
      <c r="J14" s="442">
        <f t="shared" si="4"/>
        <v>0.19496618773423297</v>
      </c>
      <c r="K14" s="442">
        <f>K8*(J14-J13-J12)</f>
        <v>1.5586942025535497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t="shared" si="0"/>
        <v>-0.80534348065299999</v>
      </c>
      <c r="T14" s="410">
        <v>5</v>
      </c>
      <c r="U14" s="383" t="s">
        <v>281</v>
      </c>
      <c r="V14" s="410"/>
      <c r="W14" s="410"/>
    </row>
    <row r="15" spans="3:23" ht="14.65" thickBot="1" x14ac:dyDescent="0.5">
      <c r="C15" s="397" t="s">
        <v>56</v>
      </c>
      <c r="D15" s="406">
        <f t="shared" si="1"/>
        <v>0.22423051721943807</v>
      </c>
      <c r="F15" s="397" t="s">
        <v>56</v>
      </c>
      <c r="G15" s="406">
        <f t="shared" si="2"/>
        <v>0.21118555160132721</v>
      </c>
      <c r="H15" s="406"/>
      <c r="I15" s="443">
        <f t="shared" si="3"/>
        <v>1.0617701614490036</v>
      </c>
      <c r="J15" s="444">
        <f t="shared" si="4"/>
        <v>5.9937478916291101E-2</v>
      </c>
      <c r="K15" s="444">
        <f>K8*(J15-J14-J13-J12)</f>
        <v>1.2286993060013749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t="shared" si="0"/>
        <v>-0.51977799879300002</v>
      </c>
      <c r="T15" s="410">
        <v>6</v>
      </c>
      <c r="U15" s="410" t="s">
        <v>282</v>
      </c>
      <c r="V15" s="410"/>
      <c r="W15" s="410"/>
    </row>
    <row r="16" spans="3:23" ht="14.65" thickBot="1" x14ac:dyDescent="0.5">
      <c r="C16" s="400" t="s">
        <v>4</v>
      </c>
      <c r="D16" s="408">
        <f t="shared" si="1"/>
        <v>1</v>
      </c>
      <c r="E16" s="402"/>
      <c r="F16" s="400" t="s">
        <v>4</v>
      </c>
      <c r="G16" s="408">
        <f t="shared" si="2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t="shared" si="0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4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t="shared" si="0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4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t="shared" si="0"/>
        <v>-0.493022087256</v>
      </c>
    </row>
    <row r="19" spans="2:23" x14ac:dyDescent="0.4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t="shared" si="0"/>
        <v>0</v>
      </c>
    </row>
    <row r="20" spans="2:23" x14ac:dyDescent="0.4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t="shared" si="0"/>
        <v>0</v>
      </c>
    </row>
    <row r="21" spans="2:23" ht="14.65" thickBot="1" x14ac:dyDescent="0.5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t="shared" si="0"/>
        <v>0</v>
      </c>
    </row>
    <row r="22" spans="2:23" x14ac:dyDescent="0.4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t="shared" si="0"/>
        <v>0.63771148688699997</v>
      </c>
    </row>
    <row r="23" spans="2:23" x14ac:dyDescent="0.4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t="shared" si="0"/>
        <v>-12.0946718381</v>
      </c>
    </row>
    <row r="24" spans="2:23" x14ac:dyDescent="0.45">
      <c r="B24" s="448">
        <v>28</v>
      </c>
      <c r="C24" s="394" t="s">
        <v>50</v>
      </c>
      <c r="D24" s="465">
        <f t="shared" ref="D24:D26" si="5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t="shared" si="0"/>
        <v>-4.03623745316</v>
      </c>
    </row>
    <row r="25" spans="2:23" x14ac:dyDescent="0.45">
      <c r="B25" s="448">
        <v>29</v>
      </c>
      <c r="C25" s="394" t="s">
        <v>53</v>
      </c>
      <c r="D25" s="465">
        <f t="shared" si="5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t="shared" si="0"/>
        <v>-2.16371815818</v>
      </c>
    </row>
    <row r="26" spans="2:23" ht="14.65" thickBot="1" x14ac:dyDescent="0.5">
      <c r="B26" s="449">
        <v>30</v>
      </c>
      <c r="C26" s="414" t="s">
        <v>56</v>
      </c>
      <c r="D26" s="466">
        <f t="shared" si="5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t="shared" si="0"/>
        <v>0.10429329553199999</v>
      </c>
    </row>
    <row r="27" spans="2:23" x14ac:dyDescent="0.4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t="shared" si="0"/>
        <v>0</v>
      </c>
    </row>
    <row r="28" spans="2:23" x14ac:dyDescent="0.4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t="shared" si="0"/>
        <v>0.417326479157</v>
      </c>
    </row>
    <row r="29" spans="2:23" x14ac:dyDescent="0.4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t="shared" si="0"/>
        <v>-16.117184707098623</v>
      </c>
      <c r="R29" s="385" t="str">
        <f>VLOOKUP(N29,Coeff_Descr!$A$2:$E$104,4,FALSE)</f>
        <v>distanceFromOrigin4</v>
      </c>
    </row>
    <row r="30" spans="2:23" x14ac:dyDescent="0.4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t="shared" si="0"/>
        <v>-3.9943839356220741</v>
      </c>
      <c r="R30" s="385" t="str">
        <f>VLOOKUP(N30,Coeff_Descr!$A$2:$E$104,4,FALSE)</f>
        <v>distanceFromOrigin8</v>
      </c>
    </row>
    <row r="31" spans="2:23" ht="14.65" thickBot="1" x14ac:dyDescent="0.5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t="shared" si="0"/>
        <v>-1.0569366681464503</v>
      </c>
      <c r="R31" s="385" t="str">
        <f>VLOOKUP(N31,Coeff_Descr!$A$2:$E$104,4,FALSE)</f>
        <v>distanceFromOrigin9</v>
      </c>
    </row>
    <row r="32" spans="2:23" x14ac:dyDescent="0.4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t="shared" si="0"/>
        <v>0.31823761410137485</v>
      </c>
      <c r="R32" s="385" t="str">
        <f>VLOOKUP(N32,Coeff_Descr!$A$2:$E$104,4,FALSE)</f>
        <v>distanceFromOrigin3</v>
      </c>
    </row>
    <row r="33" spans="2:17" x14ac:dyDescent="0.45">
      <c r="B33" s="448">
        <f>B23</f>
        <v>27</v>
      </c>
      <c r="C33" s="391" t="s">
        <v>47</v>
      </c>
      <c r="D33" s="467">
        <f>K12</f>
        <v>-1.2786936569986214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t="shared" si="0"/>
        <v>5.7553461640599997E-2</v>
      </c>
    </row>
    <row r="34" spans="2:17" x14ac:dyDescent="0.45">
      <c r="B34" s="448">
        <f t="shared" ref="B34:B36" si="6">B24</f>
        <v>28</v>
      </c>
      <c r="C34" s="394" t="s">
        <v>50</v>
      </c>
      <c r="D34" s="468">
        <f t="shared" ref="D34:D36" si="7">K13</f>
        <v>1.193659299177926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t="shared" si="0"/>
        <v>0.237798002151</v>
      </c>
    </row>
    <row r="35" spans="2:17" x14ac:dyDescent="0.45">
      <c r="B35" s="448">
        <f t="shared" si="6"/>
        <v>29</v>
      </c>
      <c r="C35" s="394" t="s">
        <v>53</v>
      </c>
      <c r="D35" s="468">
        <f t="shared" si="7"/>
        <v>1.5586942025535497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t="shared" si="0"/>
        <v>0</v>
      </c>
    </row>
    <row r="36" spans="2:17" ht="14.65" thickBot="1" x14ac:dyDescent="0.5">
      <c r="B36" s="450">
        <f t="shared" si="6"/>
        <v>30</v>
      </c>
      <c r="C36" s="414" t="s">
        <v>56</v>
      </c>
      <c r="D36" s="415">
        <f t="shared" si="7"/>
        <v>1.2286993060013749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t="shared" si="0"/>
        <v>0</v>
      </c>
    </row>
    <row r="37" spans="2:17" ht="14.65" thickTop="1" x14ac:dyDescent="0.4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t="shared" si="0"/>
        <v>0</v>
      </c>
    </row>
    <row r="38" spans="2:17" x14ac:dyDescent="0.4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t="shared" si="0"/>
        <v>0.61259135262599995</v>
      </c>
    </row>
    <row r="39" spans="2:17" x14ac:dyDescent="0.4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t="shared" si="0"/>
        <v>-20.810228388700001</v>
      </c>
    </row>
    <row r="40" spans="2:17" x14ac:dyDescent="0.4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t="shared" si="0"/>
        <v>-7.1836373472300004</v>
      </c>
    </row>
    <row r="41" spans="2:17" ht="14.65" thickBot="1" x14ac:dyDescent="0.5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t="shared" si="0"/>
        <v>-3.6600975390500001</v>
      </c>
    </row>
    <row r="42" spans="2:17" x14ac:dyDescent="0.4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t="shared" si="0"/>
        <v>-1.3605457273599999</v>
      </c>
    </row>
    <row r="43" spans="2:17" x14ac:dyDescent="0.45">
      <c r="B43" s="448">
        <f>B33</f>
        <v>27</v>
      </c>
      <c r="C43" s="391" t="s">
        <v>47</v>
      </c>
      <c r="D43" s="469">
        <f>D23+D33</f>
        <v>-16.117184707098623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t="shared" si="0"/>
        <v>-0.22141031751900001</v>
      </c>
    </row>
    <row r="44" spans="2:17" x14ac:dyDescent="0.45">
      <c r="B44" s="448">
        <f t="shared" ref="B44:B46" si="8">B34</f>
        <v>28</v>
      </c>
      <c r="C44" s="394" t="s">
        <v>50</v>
      </c>
      <c r="D44" s="469">
        <f t="shared" ref="D44:D46" si="9">D24+D34</f>
        <v>-3.9943839356220741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t="shared" si="0"/>
        <v>0.64228876129599999</v>
      </c>
    </row>
    <row r="45" spans="2:17" x14ac:dyDescent="0.45">
      <c r="B45" s="448">
        <f t="shared" si="8"/>
        <v>29</v>
      </c>
      <c r="C45" s="394" t="s">
        <v>53</v>
      </c>
      <c r="D45" s="469">
        <f t="shared" si="9"/>
        <v>-1.0569366681464503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t="shared" si="0"/>
        <v>0.74588429254199995</v>
      </c>
    </row>
    <row r="46" spans="2:17" ht="14.65" thickBot="1" x14ac:dyDescent="0.5">
      <c r="B46" s="450">
        <f t="shared" si="8"/>
        <v>30</v>
      </c>
      <c r="C46" s="414" t="s">
        <v>56</v>
      </c>
      <c r="D46" s="470">
        <f t="shared" si="9"/>
        <v>0.31823761410137485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t="shared" si="0"/>
        <v>-32.156094092099998</v>
      </c>
    </row>
    <row r="47" spans="2:17" ht="14.65" thickTop="1" x14ac:dyDescent="0.4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t="shared" si="0"/>
        <v>-7.5551873767200002</v>
      </c>
    </row>
    <row r="48" spans="2:17" x14ac:dyDescent="0.4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t="shared" si="0"/>
        <v>-3.4784098231399998</v>
      </c>
    </row>
    <row r="49" spans="13:17" x14ac:dyDescent="0.4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t="shared" si="0"/>
        <v>-0.79171784712299997</v>
      </c>
    </row>
    <row r="50" spans="13:17" x14ac:dyDescent="0.4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t="shared" si="0"/>
        <v>0.65760260093900003</v>
      </c>
    </row>
    <row r="51" spans="13:17" x14ac:dyDescent="0.4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t="shared" si="0"/>
        <v>0.201576719663</v>
      </c>
    </row>
    <row r="52" spans="13:17" x14ac:dyDescent="0.4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t="shared" si="0"/>
        <v>-28.552058518999999</v>
      </c>
    </row>
    <row r="53" spans="13:17" x14ac:dyDescent="0.4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t="shared" si="0"/>
        <v>-7.25833529236</v>
      </c>
    </row>
    <row r="54" spans="13:17" x14ac:dyDescent="0.4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t="shared" si="0"/>
        <v>-2.64524710889</v>
      </c>
    </row>
    <row r="55" spans="13:17" x14ac:dyDescent="0.4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t="shared" si="0"/>
        <v>-0.76461618005800003</v>
      </c>
    </row>
    <row r="56" spans="13:17" x14ac:dyDescent="0.4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t="shared" si="0"/>
        <v>0.20818008309700001</v>
      </c>
    </row>
    <row r="57" spans="13:17" x14ac:dyDescent="0.4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t="shared" si="0"/>
        <v>0.42522231451499998</v>
      </c>
    </row>
    <row r="58" spans="13:17" x14ac:dyDescent="0.4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t="shared" si="0"/>
        <v>-0.743588483327</v>
      </c>
    </row>
    <row r="59" spans="13:17" x14ac:dyDescent="0.4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t="shared" si="0"/>
        <v>6.2100000000000002E-2</v>
      </c>
    </row>
    <row r="60" spans="13:17" x14ac:dyDescent="0.4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t="shared" si="0"/>
        <v>-3</v>
      </c>
    </row>
    <row r="61" spans="13:17" x14ac:dyDescent="0.4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t="shared" si="0"/>
        <v>0.29394695214400002</v>
      </c>
    </row>
    <row r="62" spans="13:17" x14ac:dyDescent="0.4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t="shared" si="0"/>
        <v>0</v>
      </c>
    </row>
    <row r="63" spans="13:17" x14ac:dyDescent="0.4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t="shared" si="0"/>
        <v>-6.2798471793299999</v>
      </c>
    </row>
    <row r="64" spans="13:17" x14ac:dyDescent="0.4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t="shared" si="0"/>
        <v>3.2962256518299999</v>
      </c>
    </row>
    <row r="65" spans="13:17" x14ac:dyDescent="0.4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t="shared" si="0"/>
        <v>-5.4150639062700003</v>
      </c>
    </row>
    <row r="66" spans="13:17" x14ac:dyDescent="0.4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t="shared" si="0"/>
        <v>-5.94820877094</v>
      </c>
    </row>
    <row r="67" spans="13:17" x14ac:dyDescent="0.4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t="shared" si="0"/>
        <v>-4.8479831726300002</v>
      </c>
    </row>
    <row r="68" spans="13:17" x14ac:dyDescent="0.4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t="shared" si="0"/>
        <v>-5.4883496585599998</v>
      </c>
    </row>
    <row r="69" spans="13:17" x14ac:dyDescent="0.4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t="shared" ref="Q69:Q104" si="10">_xlfn.IFNA(VLOOKUP(N69,$B$43:$D$46,3,FALSE),P69)</f>
        <v>-6.9308352438999998</v>
      </c>
    </row>
    <row r="70" spans="13:17" x14ac:dyDescent="0.4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t="shared" si="10"/>
        <v>-22.404820174200001</v>
      </c>
    </row>
    <row r="71" spans="13:17" x14ac:dyDescent="0.4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t="shared" si="10"/>
        <v>-2.8929233973800002</v>
      </c>
    </row>
    <row r="72" spans="13:17" x14ac:dyDescent="0.4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t="shared" si="10"/>
        <v>-2.5610724948299999</v>
      </c>
    </row>
    <row r="73" spans="13:17" x14ac:dyDescent="0.4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t="shared" si="10"/>
        <v>-6.7871010869299999</v>
      </c>
    </row>
    <row r="74" spans="13:17" x14ac:dyDescent="0.4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t="shared" si="10"/>
        <v>-7.1983706387300002</v>
      </c>
    </row>
    <row r="75" spans="13:17" x14ac:dyDescent="0.4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t="shared" si="10"/>
        <v>-6.5584328775399996</v>
      </c>
    </row>
    <row r="76" spans="13:17" x14ac:dyDescent="0.4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t="shared" si="10"/>
        <v>-7.3832576457999997</v>
      </c>
    </row>
    <row r="77" spans="13:17" x14ac:dyDescent="0.4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t="shared" si="10"/>
        <v>-8.5452246906399996</v>
      </c>
    </row>
    <row r="78" spans="13:17" x14ac:dyDescent="0.4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t="shared" si="10"/>
        <v>-24.633851965200002</v>
      </c>
    </row>
    <row r="79" spans="13:17" x14ac:dyDescent="0.4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t="shared" si="10"/>
        <v>0</v>
      </c>
    </row>
    <row r="80" spans="13:17" x14ac:dyDescent="0.4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t="shared" si="10"/>
        <v>-0.55009338373399996</v>
      </c>
    </row>
    <row r="81" spans="13:17" x14ac:dyDescent="0.4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t="shared" si="10"/>
        <v>-9.9117567037699992</v>
      </c>
    </row>
    <row r="82" spans="13:17" x14ac:dyDescent="0.4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t="shared" si="10"/>
        <v>-9.3194311560499994</v>
      </c>
    </row>
    <row r="83" spans="13:17" x14ac:dyDescent="0.4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t="shared" si="10"/>
        <v>-0.20086270196799999</v>
      </c>
    </row>
    <row r="84" spans="13:17" x14ac:dyDescent="0.4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t="shared" si="10"/>
        <v>-2.1843835309699999</v>
      </c>
    </row>
    <row r="85" spans="13:17" x14ac:dyDescent="0.4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t="shared" si="10"/>
        <v>0</v>
      </c>
    </row>
    <row r="86" spans="13:17" x14ac:dyDescent="0.4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t="shared" si="10"/>
        <v>-9.9476357147400005</v>
      </c>
    </row>
    <row r="87" spans="13:17" x14ac:dyDescent="0.4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t="shared" si="10"/>
        <v>-12.800107987600001</v>
      </c>
    </row>
    <row r="88" spans="13:17" x14ac:dyDescent="0.4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t="shared" si="10"/>
        <v>-30</v>
      </c>
    </row>
    <row r="89" spans="13:17" x14ac:dyDescent="0.4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t="shared" si="10"/>
        <v>-21.699928591700001</v>
      </c>
    </row>
    <row r="90" spans="13:17" x14ac:dyDescent="0.4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t="shared" si="10"/>
        <v>-17.700475093400001</v>
      </c>
    </row>
    <row r="91" spans="13:17" x14ac:dyDescent="0.4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t="shared" si="10"/>
        <v>-0.7</v>
      </c>
    </row>
    <row r="92" spans="13:17" x14ac:dyDescent="0.4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t="shared" si="10"/>
        <v>-17.8758745875</v>
      </c>
    </row>
    <row r="93" spans="13:17" x14ac:dyDescent="0.4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t="shared" si="10"/>
        <v>0</v>
      </c>
    </row>
    <row r="94" spans="13:17" x14ac:dyDescent="0.4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t="shared" si="10"/>
        <v>5</v>
      </c>
    </row>
    <row r="95" spans="13:17" x14ac:dyDescent="0.4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t="shared" si="10"/>
        <v>-30</v>
      </c>
    </row>
    <row r="96" spans="13:17" x14ac:dyDescent="0.4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t="shared" si="10"/>
        <v>-24.158093970700001</v>
      </c>
    </row>
    <row r="97" spans="13:17" x14ac:dyDescent="0.4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t="shared" si="10"/>
        <v>-9.5803170794600003</v>
      </c>
    </row>
    <row r="98" spans="13:17" x14ac:dyDescent="0.4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t="shared" si="10"/>
        <v>0</v>
      </c>
    </row>
    <row r="99" spans="13:17" x14ac:dyDescent="0.4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t="shared" si="10"/>
        <v>-15.671349338700001</v>
      </c>
    </row>
    <row r="100" spans="13:17" x14ac:dyDescent="0.4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t="shared" si="10"/>
        <v>-18.208541213899998</v>
      </c>
    </row>
    <row r="101" spans="13:17" x14ac:dyDescent="0.4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t="shared" si="10"/>
        <v>-11.2471450075</v>
      </c>
    </row>
    <row r="102" spans="13:17" x14ac:dyDescent="0.4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t="shared" si="10"/>
        <v>-10.0807778908</v>
      </c>
    </row>
    <row r="103" spans="13:17" x14ac:dyDescent="0.4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t="shared" si="10"/>
        <v>-5.6623999999999999</v>
      </c>
    </row>
    <row r="104" spans="13:17" x14ac:dyDescent="0.4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2022-01-21T23:37:20Z</dcterms:modified>
</cp:coreProperties>
</file>