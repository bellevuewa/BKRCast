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KR0V1-1-newcap-newpop-S93-newdensity-shortwalkdist-coeff8-newadjfacs-nohomejobs-BSq_attractiveness\daysim_summaries\bkrcast_all\output\"/>
    </mc:Choice>
  </mc:AlternateContent>
  <xr:revisionPtr revIDLastSave="0" documentId="13_ncr:1_{969D66C0-069F-4712-9DB4-C5AEC519914C}" xr6:coauthVersionLast="41" xr6:coauthVersionMax="41" xr10:uidLastSave="{00000000-0000-0000-0000-000000000000}"/>
  <bookViews>
    <workbookView xWindow="12405" yWindow="2640" windowWidth="21600" windowHeight="11265" firstSheet="3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County_Flow!$M$7:$P$14</definedName>
    <definedName name="out_1">TLFD!$B$11:$B$101</definedName>
    <definedName name="out_10">County_Flow!$M$7:$S$13</definedName>
    <definedName name="out_2">TLFD!$F$11:$F$101</definedName>
    <definedName name="out_3">TDFD!$B$11:$B$101</definedName>
    <definedName name="out_4">TDFD!$F$11:$F$101</definedName>
    <definedName name="out_5">TLFD!$K$11:$K$11</definedName>
    <definedName name="out_6">TLFD!$L$11:$L$11</definedName>
    <definedName name="out_7">TDFD!$K$11:$K$11</definedName>
    <definedName name="out_8">TDFD!$L$11:$L$11</definedName>
    <definedName name="out_9">County_Flow!$B$7:$H$13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04" i="6" l="1"/>
  <c r="O104" i="6"/>
  <c r="N104" i="6"/>
  <c r="M104" i="6" s="1"/>
  <c r="P103" i="6"/>
  <c r="O103" i="6"/>
  <c r="N103" i="6"/>
  <c r="M103" i="6" s="1"/>
  <c r="P102" i="6"/>
  <c r="O102" i="6"/>
  <c r="N102" i="6"/>
  <c r="M102" i="6" s="1"/>
  <c r="P101" i="6"/>
  <c r="O101" i="6"/>
  <c r="N101" i="6"/>
  <c r="M101" i="6" s="1"/>
  <c r="P100" i="6"/>
  <c r="O100" i="6"/>
  <c r="N100" i="6"/>
  <c r="M100" i="6" s="1"/>
  <c r="P99" i="6"/>
  <c r="O99" i="6"/>
  <c r="N99" i="6"/>
  <c r="M99" i="6" s="1"/>
  <c r="P98" i="6"/>
  <c r="O98" i="6"/>
  <c r="N98" i="6"/>
  <c r="M98" i="6" s="1"/>
  <c r="P97" i="6"/>
  <c r="O97" i="6"/>
  <c r="N97" i="6"/>
  <c r="M97" i="6" s="1"/>
  <c r="P96" i="6"/>
  <c r="O96" i="6"/>
  <c r="N96" i="6"/>
  <c r="M96" i="6" s="1"/>
  <c r="P95" i="6"/>
  <c r="O95" i="6"/>
  <c r="N95" i="6"/>
  <c r="M95" i="6" s="1"/>
  <c r="P94" i="6"/>
  <c r="O94" i="6"/>
  <c r="N94" i="6"/>
  <c r="M94" i="6" s="1"/>
  <c r="P93" i="6"/>
  <c r="O93" i="6"/>
  <c r="N93" i="6"/>
  <c r="M93" i="6" s="1"/>
  <c r="P92" i="6"/>
  <c r="O92" i="6"/>
  <c r="N92" i="6"/>
  <c r="M92" i="6" s="1"/>
  <c r="P91" i="6"/>
  <c r="O91" i="6"/>
  <c r="N91" i="6"/>
  <c r="M91" i="6" s="1"/>
  <c r="P90" i="6"/>
  <c r="O90" i="6"/>
  <c r="N90" i="6"/>
  <c r="M90" i="6" s="1"/>
  <c r="P89" i="6"/>
  <c r="O89" i="6"/>
  <c r="N89" i="6"/>
  <c r="M89" i="6" s="1"/>
  <c r="P88" i="6"/>
  <c r="O88" i="6"/>
  <c r="N88" i="6"/>
  <c r="M88" i="6" s="1"/>
  <c r="P87" i="6"/>
  <c r="O87" i="6"/>
  <c r="N87" i="6"/>
  <c r="M87" i="6" s="1"/>
  <c r="P86" i="6"/>
  <c r="O86" i="6"/>
  <c r="N86" i="6"/>
  <c r="M86" i="6" s="1"/>
  <c r="P85" i="6"/>
  <c r="O85" i="6"/>
  <c r="N85" i="6"/>
  <c r="M85" i="6" s="1"/>
  <c r="P84" i="6"/>
  <c r="O84" i="6"/>
  <c r="N84" i="6"/>
  <c r="M84" i="6" s="1"/>
  <c r="P83" i="6"/>
  <c r="O83" i="6"/>
  <c r="N83" i="6"/>
  <c r="M83" i="6" s="1"/>
  <c r="P82" i="6"/>
  <c r="O82" i="6"/>
  <c r="N82" i="6"/>
  <c r="P81" i="6"/>
  <c r="O81" i="6"/>
  <c r="N81" i="6"/>
  <c r="M81" i="6" s="1"/>
  <c r="P80" i="6"/>
  <c r="O80" i="6"/>
  <c r="N80" i="6"/>
  <c r="M80" i="6" s="1"/>
  <c r="P79" i="6"/>
  <c r="O79" i="6"/>
  <c r="N79" i="6"/>
  <c r="M79" i="6" s="1"/>
  <c r="P78" i="6"/>
  <c r="O78" i="6"/>
  <c r="N78" i="6"/>
  <c r="M78" i="6" s="1"/>
  <c r="P77" i="6"/>
  <c r="O77" i="6"/>
  <c r="N77" i="6"/>
  <c r="M77" i="6" s="1"/>
  <c r="P76" i="6"/>
  <c r="O76" i="6"/>
  <c r="N76" i="6"/>
  <c r="M76" i="6" s="1"/>
  <c r="P75" i="6"/>
  <c r="O75" i="6"/>
  <c r="N75" i="6"/>
  <c r="M75" i="6" s="1"/>
  <c r="P74" i="6"/>
  <c r="O74" i="6"/>
  <c r="N74" i="6"/>
  <c r="M74" i="6" s="1"/>
  <c r="P73" i="6"/>
  <c r="O73" i="6"/>
  <c r="N73" i="6"/>
  <c r="M73" i="6" s="1"/>
  <c r="P72" i="6"/>
  <c r="O72" i="6"/>
  <c r="N72" i="6"/>
  <c r="M72" i="6" s="1"/>
  <c r="P71" i="6"/>
  <c r="O71" i="6"/>
  <c r="N71" i="6"/>
  <c r="M71" i="6" s="1"/>
  <c r="P70" i="6"/>
  <c r="O70" i="6"/>
  <c r="N70" i="6"/>
  <c r="M70" i="6" s="1"/>
  <c r="P69" i="6"/>
  <c r="O69" i="6"/>
  <c r="N69" i="6"/>
  <c r="M69" i="6" s="1"/>
  <c r="P68" i="6"/>
  <c r="O68" i="6"/>
  <c r="N68" i="6"/>
  <c r="M68" i="6" s="1"/>
  <c r="P67" i="6"/>
  <c r="O67" i="6"/>
  <c r="N67" i="6"/>
  <c r="M67" i="6" s="1"/>
  <c r="P66" i="6"/>
  <c r="O66" i="6"/>
  <c r="N66" i="6"/>
  <c r="M66" i="6" s="1"/>
  <c r="P65" i="6"/>
  <c r="O65" i="6"/>
  <c r="N65" i="6"/>
  <c r="M65" i="6" s="1"/>
  <c r="P64" i="6"/>
  <c r="O64" i="6"/>
  <c r="N64" i="6"/>
  <c r="M64" i="6" s="1"/>
  <c r="P63" i="6"/>
  <c r="O63" i="6"/>
  <c r="N63" i="6"/>
  <c r="M63" i="6" s="1"/>
  <c r="P62" i="6"/>
  <c r="O62" i="6"/>
  <c r="N62" i="6"/>
  <c r="M62" i="6" s="1"/>
  <c r="P61" i="6"/>
  <c r="O61" i="6"/>
  <c r="N61" i="6"/>
  <c r="M61" i="6" s="1"/>
  <c r="P60" i="6"/>
  <c r="O60" i="6"/>
  <c r="N60" i="6"/>
  <c r="M60" i="6" s="1"/>
  <c r="P59" i="6"/>
  <c r="O59" i="6"/>
  <c r="N59" i="6"/>
  <c r="M59" i="6" s="1"/>
  <c r="P58" i="6"/>
  <c r="O58" i="6"/>
  <c r="N58" i="6"/>
  <c r="M58" i="6" s="1"/>
  <c r="P57" i="6"/>
  <c r="O57" i="6"/>
  <c r="N57" i="6"/>
  <c r="M57" i="6" s="1"/>
  <c r="P56" i="6"/>
  <c r="O56" i="6"/>
  <c r="N56" i="6"/>
  <c r="M56" i="6" s="1"/>
  <c r="P55" i="6"/>
  <c r="O55" i="6"/>
  <c r="N55" i="6"/>
  <c r="M55" i="6" s="1"/>
  <c r="P54" i="6"/>
  <c r="O54" i="6"/>
  <c r="N54" i="6"/>
  <c r="P53" i="6"/>
  <c r="O53" i="6"/>
  <c r="N53" i="6"/>
  <c r="M53" i="6" s="1"/>
  <c r="P52" i="6"/>
  <c r="O52" i="6"/>
  <c r="N52" i="6"/>
  <c r="M52" i="6" s="1"/>
  <c r="P51" i="6"/>
  <c r="O51" i="6"/>
  <c r="N51" i="6"/>
  <c r="M51" i="6" s="1"/>
  <c r="P50" i="6"/>
  <c r="O50" i="6"/>
  <c r="N50" i="6"/>
  <c r="M50" i="6" s="1"/>
  <c r="P49" i="6"/>
  <c r="O49" i="6"/>
  <c r="N49" i="6"/>
  <c r="M49" i="6" s="1"/>
  <c r="P48" i="6"/>
  <c r="O48" i="6"/>
  <c r="N48" i="6"/>
  <c r="M48" i="6" s="1"/>
  <c r="P47" i="6"/>
  <c r="O47" i="6"/>
  <c r="N47" i="6"/>
  <c r="M47" i="6" s="1"/>
  <c r="P46" i="6"/>
  <c r="O46" i="6"/>
  <c r="N46" i="6"/>
  <c r="M46" i="6" s="1"/>
  <c r="P45" i="6"/>
  <c r="O45" i="6"/>
  <c r="N45" i="6"/>
  <c r="M45" i="6" s="1"/>
  <c r="P44" i="6"/>
  <c r="O44" i="6"/>
  <c r="N44" i="6"/>
  <c r="M44" i="6" s="1"/>
  <c r="P43" i="6"/>
  <c r="O43" i="6"/>
  <c r="N43" i="6"/>
  <c r="M43" i="6" s="1"/>
  <c r="P42" i="6"/>
  <c r="O42" i="6"/>
  <c r="N42" i="6"/>
  <c r="P41" i="6"/>
  <c r="O41" i="6"/>
  <c r="N41" i="6"/>
  <c r="M41" i="6" s="1"/>
  <c r="P40" i="6"/>
  <c r="O40" i="6"/>
  <c r="N40" i="6"/>
  <c r="P39" i="6"/>
  <c r="O39" i="6"/>
  <c r="N39" i="6"/>
  <c r="P38" i="6"/>
  <c r="O38" i="6"/>
  <c r="N38" i="6"/>
  <c r="M38" i="6" s="1"/>
  <c r="P37" i="6"/>
  <c r="O37" i="6"/>
  <c r="N37" i="6"/>
  <c r="M37" i="6" s="1"/>
  <c r="P36" i="6"/>
  <c r="O36" i="6"/>
  <c r="N36" i="6"/>
  <c r="M36" i="6" s="1"/>
  <c r="P35" i="6"/>
  <c r="O35" i="6"/>
  <c r="N35" i="6"/>
  <c r="M35" i="6" s="1"/>
  <c r="P34" i="6"/>
  <c r="O34" i="6"/>
  <c r="N34" i="6"/>
  <c r="M34" i="6" s="1"/>
  <c r="P33" i="6"/>
  <c r="O33" i="6"/>
  <c r="N33" i="6"/>
  <c r="M33" i="6" s="1"/>
  <c r="P32" i="6"/>
  <c r="O32" i="6"/>
  <c r="N32" i="6"/>
  <c r="R32" i="6" s="1"/>
  <c r="P31" i="6"/>
  <c r="O31" i="6"/>
  <c r="N31" i="6"/>
  <c r="M31" i="6" s="1"/>
  <c r="P30" i="6"/>
  <c r="O30" i="6"/>
  <c r="N30" i="6"/>
  <c r="R30" i="6" s="1"/>
  <c r="P29" i="6"/>
  <c r="O29" i="6"/>
  <c r="N29" i="6"/>
  <c r="R29" i="6" s="1"/>
  <c r="P28" i="6"/>
  <c r="O28" i="6"/>
  <c r="N28" i="6"/>
  <c r="M28" i="6" s="1"/>
  <c r="P27" i="6"/>
  <c r="O27" i="6"/>
  <c r="N27" i="6"/>
  <c r="M27" i="6" s="1"/>
  <c r="P26" i="6"/>
  <c r="O26" i="6"/>
  <c r="N26" i="6"/>
  <c r="M26" i="6" s="1"/>
  <c r="P25" i="6"/>
  <c r="O25" i="6"/>
  <c r="N25" i="6"/>
  <c r="P24" i="6"/>
  <c r="O24" i="6"/>
  <c r="N24" i="6"/>
  <c r="M24" i="6" s="1"/>
  <c r="P23" i="6"/>
  <c r="O23" i="6"/>
  <c r="N23" i="6"/>
  <c r="M23" i="6" s="1"/>
  <c r="P22" i="6"/>
  <c r="O22" i="6"/>
  <c r="N22" i="6"/>
  <c r="M22" i="6" s="1"/>
  <c r="P21" i="6"/>
  <c r="O21" i="6"/>
  <c r="N21" i="6"/>
  <c r="M21" i="6" s="1"/>
  <c r="P20" i="6"/>
  <c r="O20" i="6"/>
  <c r="N20" i="6"/>
  <c r="M20" i="6" s="1"/>
  <c r="P19" i="6"/>
  <c r="O19" i="6"/>
  <c r="N19" i="6"/>
  <c r="M19" i="6" s="1"/>
  <c r="P18" i="6"/>
  <c r="O18" i="6"/>
  <c r="N18" i="6"/>
  <c r="M18" i="6" s="1"/>
  <c r="P17" i="6"/>
  <c r="O17" i="6"/>
  <c r="N17" i="6"/>
  <c r="M17" i="6" s="1"/>
  <c r="P16" i="6"/>
  <c r="O16" i="6"/>
  <c r="N16" i="6"/>
  <c r="M16" i="6" s="1"/>
  <c r="P15" i="6"/>
  <c r="O15" i="6"/>
  <c r="N15" i="6"/>
  <c r="M15" i="6" s="1"/>
  <c r="P14" i="6"/>
  <c r="O14" i="6"/>
  <c r="N14" i="6"/>
  <c r="M14" i="6" s="1"/>
  <c r="P13" i="6"/>
  <c r="O13" i="6"/>
  <c r="N13" i="6"/>
  <c r="M13" i="6" s="1"/>
  <c r="P12" i="6"/>
  <c r="O12" i="6"/>
  <c r="N12" i="6"/>
  <c r="M12" i="6" s="1"/>
  <c r="P11" i="6"/>
  <c r="O11" i="6"/>
  <c r="N11" i="6"/>
  <c r="M11" i="6" s="1"/>
  <c r="P10" i="6"/>
  <c r="O10" i="6"/>
  <c r="N10" i="6"/>
  <c r="M10" i="6" s="1"/>
  <c r="P9" i="6"/>
  <c r="O9" i="6"/>
  <c r="N9" i="6"/>
  <c r="M9" i="6" s="1"/>
  <c r="P8" i="6"/>
  <c r="O8" i="6"/>
  <c r="N8" i="6"/>
  <c r="M8" i="6" s="1"/>
  <c r="P7" i="6"/>
  <c r="O7" i="6"/>
  <c r="N7" i="6"/>
  <c r="M7" i="6" s="1"/>
  <c r="P6" i="6"/>
  <c r="O6" i="6"/>
  <c r="N6" i="6"/>
  <c r="M6" i="6" s="1"/>
  <c r="P5" i="6"/>
  <c r="O5" i="6"/>
  <c r="N5" i="6"/>
  <c r="M5" i="6" s="1"/>
  <c r="P4" i="6"/>
  <c r="O4" i="6"/>
  <c r="N4" i="6"/>
  <c r="M4" i="6" s="1"/>
  <c r="P3" i="6"/>
  <c r="O3" i="6"/>
  <c r="N3" i="6"/>
  <c r="M3" i="6" s="1"/>
  <c r="B36" i="6"/>
  <c r="B46" i="6" s="1"/>
  <c r="B35" i="6"/>
  <c r="B45" i="6" s="1"/>
  <c r="B34" i="6"/>
  <c r="B44" i="6" s="1"/>
  <c r="B33" i="6"/>
  <c r="B43" i="6" s="1"/>
  <c r="M30" i="6" l="1"/>
  <c r="M32" i="6"/>
  <c r="D26" i="6"/>
  <c r="R31" i="6"/>
  <c r="D23" i="6"/>
  <c r="D24" i="6"/>
  <c r="D25" i="6"/>
  <c r="Q53" i="6"/>
  <c r="M29" i="6"/>
  <c r="M42" i="6"/>
  <c r="M39" i="6"/>
  <c r="Q95" i="6"/>
  <c r="Q99" i="6"/>
  <c r="Q22" i="6"/>
  <c r="Q93" i="6"/>
  <c r="Q16" i="6"/>
  <c r="Q63" i="6"/>
  <c r="Q9" i="6"/>
  <c r="Q54" i="6"/>
  <c r="Q66" i="6"/>
  <c r="Q55" i="6"/>
  <c r="Q74" i="6"/>
  <c r="Q19" i="6"/>
  <c r="Q75" i="6"/>
  <c r="Q60" i="6"/>
  <c r="Q77" i="6"/>
  <c r="Q17" i="6"/>
  <c r="Q78" i="6"/>
  <c r="Q23" i="6"/>
  <c r="Q79" i="6"/>
  <c r="Q28" i="6"/>
  <c r="Q12" i="6"/>
  <c r="Q21" i="6"/>
  <c r="Q26" i="6"/>
  <c r="Q80" i="6"/>
  <c r="Q46" i="6"/>
  <c r="Q56" i="6"/>
  <c r="Q20" i="6"/>
  <c r="Q27" i="6"/>
  <c r="Q84" i="6"/>
  <c r="Q18" i="6"/>
  <c r="Q85" i="6"/>
  <c r="Q61" i="6"/>
  <c r="Q15" i="6"/>
  <c r="Q86" i="6"/>
  <c r="Q44" i="6"/>
  <c r="Q87" i="6"/>
  <c r="Q59" i="6"/>
  <c r="Q45" i="6"/>
  <c r="Q88" i="6"/>
  <c r="Q11" i="6"/>
  <c r="Q13" i="6"/>
  <c r="Q14" i="6"/>
  <c r="Q47" i="6"/>
  <c r="Q89" i="6"/>
  <c r="Q48" i="6"/>
  <c r="Q91" i="6"/>
  <c r="Q50" i="6"/>
  <c r="Q8" i="6"/>
  <c r="Q62" i="6"/>
  <c r="Q104" i="6"/>
  <c r="Q49" i="6"/>
  <c r="Q81" i="6"/>
  <c r="Q90" i="6"/>
  <c r="Q25" i="6"/>
  <c r="Q64" i="6"/>
  <c r="Q92" i="6"/>
  <c r="Q82" i="6"/>
  <c r="Q65" i="6"/>
  <c r="Q94" i="6"/>
  <c r="Q33" i="6"/>
  <c r="Q67" i="6"/>
  <c r="Q96" i="6"/>
  <c r="Q34" i="6"/>
  <c r="Q68" i="6"/>
  <c r="Q97" i="6"/>
  <c r="Q57" i="6"/>
  <c r="Q83" i="6"/>
  <c r="Q3" i="6"/>
  <c r="Q35" i="6"/>
  <c r="Q69" i="6"/>
  <c r="Q98" i="6"/>
  <c r="Q51" i="6"/>
  <c r="Q4" i="6"/>
  <c r="Q36" i="6"/>
  <c r="Q70" i="6"/>
  <c r="Q101" i="6"/>
  <c r="Q5" i="6"/>
  <c r="Q37" i="6"/>
  <c r="Q71" i="6"/>
  <c r="Q102" i="6"/>
  <c r="Q6" i="6"/>
  <c r="Q38" i="6"/>
  <c r="Q72" i="6"/>
  <c r="Q103" i="6"/>
  <c r="Q58" i="6"/>
  <c r="Q7" i="6"/>
  <c r="Q43" i="6"/>
  <c r="Q73" i="6"/>
  <c r="M40" i="6"/>
  <c r="M82" i="6"/>
  <c r="M25" i="6"/>
  <c r="M54" i="6"/>
  <c r="Q24" i="6"/>
  <c r="Q52" i="6"/>
  <c r="Q76" i="6"/>
  <c r="Q100" i="6"/>
  <c r="Q10" i="6"/>
  <c r="D5" i="6" l="1"/>
  <c r="G7" i="6"/>
  <c r="D7" i="6"/>
  <c r="G6" i="6"/>
  <c r="D6" i="6"/>
  <c r="G5" i="6"/>
  <c r="G4" i="6"/>
  <c r="D4" i="6"/>
  <c r="G8" i="6" l="1"/>
  <c r="G16" i="6" s="1"/>
  <c r="D8" i="6"/>
  <c r="H15" i="1"/>
  <c r="J13" i="1"/>
  <c r="G13" i="6" l="1"/>
  <c r="G14" i="6"/>
  <c r="G15" i="6"/>
  <c r="G12" i="6"/>
  <c r="D13" i="6"/>
  <c r="D16" i="6"/>
  <c r="D12" i="6"/>
  <c r="D15" i="6"/>
  <c r="D14" i="6"/>
  <c r="S15" i="1"/>
  <c r="U13" i="1"/>
  <c r="I15" i="6" l="1"/>
  <c r="J15" i="6" s="1"/>
  <c r="I13" i="6"/>
  <c r="J13" i="6" s="1"/>
  <c r="I14" i="6"/>
  <c r="J14" i="6" s="1"/>
  <c r="I12" i="6"/>
  <c r="J12" i="6" s="1"/>
  <c r="K12" i="6" s="1"/>
  <c r="D33" i="6" s="1"/>
  <c r="D43" i="6" s="1"/>
  <c r="D26" i="1"/>
  <c r="E26" i="1"/>
  <c r="F26" i="1"/>
  <c r="G26" i="1"/>
  <c r="H26" i="1"/>
  <c r="B26" i="1"/>
  <c r="C26" i="1"/>
  <c r="S28" i="1"/>
  <c r="U26" i="1"/>
  <c r="N26" i="1"/>
  <c r="O26" i="1"/>
  <c r="P26" i="1"/>
  <c r="Q26" i="1"/>
  <c r="R26" i="1"/>
  <c r="S26" i="1"/>
  <c r="M26" i="1"/>
  <c r="S21" i="1"/>
  <c r="S22" i="1"/>
  <c r="S23" i="1"/>
  <c r="S24" i="1"/>
  <c r="S25" i="1"/>
  <c r="S20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Q39" i="6" l="1"/>
  <c r="Q29" i="6"/>
  <c r="K13" i="6"/>
  <c r="D34" i="6" s="1"/>
  <c r="D44" i="6" s="1"/>
  <c r="Q30" i="6" s="1"/>
  <c r="K15" i="6"/>
  <c r="D36" i="6" s="1"/>
  <c r="D46" i="6" s="1"/>
  <c r="Q32" i="6" s="1"/>
  <c r="Q42" i="6"/>
  <c r="K14" i="6"/>
  <c r="D35" i="6" s="1"/>
  <c r="D45" i="6" s="1"/>
  <c r="Q31" i="6" s="1"/>
  <c r="Q40" i="6"/>
  <c r="Q41" i="6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O21" i="1"/>
  <c r="P21" i="1"/>
  <c r="Q21" i="1"/>
  <c r="R21" i="1"/>
  <c r="O22" i="1"/>
  <c r="P22" i="1"/>
  <c r="Q22" i="1"/>
  <c r="R22" i="1"/>
  <c r="O23" i="1"/>
  <c r="P23" i="1"/>
  <c r="Q23" i="1"/>
  <c r="R23" i="1"/>
  <c r="O24" i="1"/>
  <c r="P24" i="1"/>
  <c r="Q24" i="1"/>
  <c r="R24" i="1"/>
  <c r="O25" i="1"/>
  <c r="P25" i="1"/>
  <c r="Q25" i="1"/>
  <c r="R25" i="1"/>
  <c r="Q20" i="1"/>
  <c r="R20" i="1"/>
  <c r="E23" i="1"/>
  <c r="F23" i="1"/>
  <c r="G23" i="1"/>
  <c r="E24" i="1"/>
  <c r="F24" i="1"/>
  <c r="G24" i="1"/>
  <c r="E25" i="1"/>
  <c r="F25" i="1"/>
  <c r="G25" i="1"/>
  <c r="U23" i="1" l="1"/>
  <c r="U24" i="1"/>
  <c r="U25" i="1"/>
  <c r="M23" i="1"/>
  <c r="N23" i="1"/>
  <c r="M24" i="1"/>
  <c r="N24" i="1"/>
  <c r="M25" i="1"/>
  <c r="N25" i="1"/>
  <c r="B23" i="1"/>
  <c r="C23" i="1"/>
  <c r="D23" i="1"/>
  <c r="B24" i="1"/>
  <c r="C24" i="1"/>
  <c r="D24" i="1"/>
  <c r="B25" i="1"/>
  <c r="C25" i="1"/>
  <c r="D25" i="1"/>
  <c r="U7" i="1"/>
  <c r="H20" i="1" s="1"/>
  <c r="M15" i="1"/>
  <c r="C15" i="1"/>
  <c r="D15" i="1"/>
  <c r="E15" i="1"/>
  <c r="I15" i="1"/>
  <c r="B15" i="1"/>
  <c r="J8" i="1"/>
  <c r="J9" i="1"/>
  <c r="J14" i="1"/>
  <c r="J7" i="1"/>
  <c r="J23" i="1" l="1"/>
  <c r="J24" i="1"/>
  <c r="J25" i="1"/>
  <c r="F20" i="1"/>
  <c r="G20" i="1"/>
  <c r="J15" i="1"/>
  <c r="N15" i="1"/>
  <c r="N28" i="1" s="1"/>
  <c r="O15" i="1"/>
  <c r="O28" i="1" s="1"/>
  <c r="P15" i="1"/>
  <c r="T15" i="1"/>
  <c r="M28" i="1"/>
  <c r="U8" i="1"/>
  <c r="H21" i="1" s="1"/>
  <c r="U9" i="1"/>
  <c r="H22" i="1" s="1"/>
  <c r="U14" i="1"/>
  <c r="D20" i="1"/>
  <c r="P28" i="1"/>
  <c r="N22" i="1"/>
  <c r="M22" i="1"/>
  <c r="N21" i="1"/>
  <c r="M21" i="1"/>
  <c r="P20" i="1"/>
  <c r="O20" i="1"/>
  <c r="N20" i="1"/>
  <c r="M20" i="1"/>
  <c r="I28" i="1"/>
  <c r="J27" i="1"/>
  <c r="F102" i="4"/>
  <c r="G101" i="4" s="1"/>
  <c r="B102" i="4"/>
  <c r="C102" i="4" s="1"/>
  <c r="F102" i="3"/>
  <c r="G101" i="3" s="1"/>
  <c r="B102" i="3"/>
  <c r="C13" i="3" s="1"/>
  <c r="H28" i="1" l="1"/>
  <c r="U22" i="1"/>
  <c r="F22" i="1"/>
  <c r="G22" i="1"/>
  <c r="E22" i="1"/>
  <c r="C21" i="1"/>
  <c r="E21" i="1"/>
  <c r="F21" i="1"/>
  <c r="F28" i="1" s="1"/>
  <c r="G21" i="1"/>
  <c r="G28" i="1" s="1"/>
  <c r="C11" i="4"/>
  <c r="C25" i="4"/>
  <c r="C49" i="4"/>
  <c r="C81" i="4"/>
  <c r="C41" i="4"/>
  <c r="C17" i="4"/>
  <c r="C97" i="4"/>
  <c r="C19" i="4"/>
  <c r="C73" i="4"/>
  <c r="C33" i="4"/>
  <c r="C65" i="4"/>
  <c r="C15" i="4"/>
  <c r="C27" i="4"/>
  <c r="C57" i="4"/>
  <c r="C89" i="4"/>
  <c r="B22" i="1"/>
  <c r="B21" i="1"/>
  <c r="U21" i="1"/>
  <c r="G30" i="4"/>
  <c r="C20" i="1"/>
  <c r="G46" i="4"/>
  <c r="G62" i="4"/>
  <c r="C35" i="4"/>
  <c r="C43" i="4"/>
  <c r="C51" i="4"/>
  <c r="C59" i="4"/>
  <c r="C67" i="4"/>
  <c r="C75" i="4"/>
  <c r="C83" i="4"/>
  <c r="C91" i="4"/>
  <c r="C101" i="4"/>
  <c r="U15" i="1"/>
  <c r="U28" i="1" s="1"/>
  <c r="C31" i="4"/>
  <c r="C47" i="4"/>
  <c r="C63" i="4"/>
  <c r="C79" i="4"/>
  <c r="C87" i="4"/>
  <c r="C95" i="4"/>
  <c r="G94" i="4"/>
  <c r="C23" i="4"/>
  <c r="C39" i="4"/>
  <c r="C55" i="4"/>
  <c r="C71" i="4"/>
  <c r="C13" i="4"/>
  <c r="C21" i="4"/>
  <c r="C29" i="4"/>
  <c r="C37" i="4"/>
  <c r="C45" i="4"/>
  <c r="C53" i="4"/>
  <c r="C61" i="4"/>
  <c r="C69" i="4"/>
  <c r="C77" i="4"/>
  <c r="C85" i="4"/>
  <c r="C93" i="4"/>
  <c r="G14" i="4"/>
  <c r="G78" i="4"/>
  <c r="D21" i="1"/>
  <c r="D22" i="1"/>
  <c r="C22" i="1"/>
  <c r="B20" i="1"/>
  <c r="U20" i="1"/>
  <c r="E20" i="1"/>
  <c r="C99" i="4"/>
  <c r="G22" i="4"/>
  <c r="G38" i="4"/>
  <c r="G54" i="4"/>
  <c r="G70" i="4"/>
  <c r="G86" i="4"/>
  <c r="G102" i="4"/>
  <c r="G18" i="4"/>
  <c r="G34" i="4"/>
  <c r="G50" i="4"/>
  <c r="G66" i="4"/>
  <c r="G82" i="4"/>
  <c r="G98" i="4"/>
  <c r="G26" i="4"/>
  <c r="G42" i="4"/>
  <c r="G58" i="4"/>
  <c r="G74" i="4"/>
  <c r="G90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2" i="4"/>
  <c r="G96" i="4"/>
  <c r="G100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02" i="3"/>
  <c r="C98" i="3"/>
  <c r="C92" i="3"/>
  <c r="C82" i="3"/>
  <c r="C28" i="3"/>
  <c r="C11" i="3"/>
  <c r="C100" i="3"/>
  <c r="C96" i="3"/>
  <c r="C94" i="3"/>
  <c r="C90" i="3"/>
  <c r="C88" i="3"/>
  <c r="C86" i="3"/>
  <c r="C84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S35" i="1" l="1"/>
  <c r="S37" i="1"/>
  <c r="M39" i="1"/>
  <c r="S34" i="1"/>
  <c r="N39" i="1"/>
  <c r="P39" i="1"/>
  <c r="S36" i="1"/>
  <c r="S38" i="1"/>
  <c r="S39" i="1"/>
  <c r="S33" i="1"/>
  <c r="O39" i="1"/>
  <c r="R39" i="1"/>
  <c r="Q39" i="1"/>
  <c r="P41" i="1"/>
  <c r="U39" i="1"/>
  <c r="S41" i="1"/>
  <c r="R41" i="1"/>
  <c r="Q41" i="1"/>
  <c r="R38" i="1"/>
  <c r="Q38" i="1"/>
  <c r="Q33" i="1"/>
  <c r="R33" i="1"/>
  <c r="P36" i="1"/>
  <c r="O34" i="1"/>
  <c r="O37" i="1"/>
  <c r="R34" i="1"/>
  <c r="Q36" i="1"/>
  <c r="O36" i="1"/>
  <c r="P37" i="1"/>
  <c r="R35" i="1"/>
  <c r="Q37" i="1"/>
  <c r="Q34" i="1"/>
  <c r="P35" i="1"/>
  <c r="O35" i="1"/>
  <c r="Q35" i="1"/>
  <c r="P38" i="1"/>
  <c r="R37" i="1"/>
  <c r="O38" i="1"/>
  <c r="P34" i="1"/>
  <c r="R36" i="1"/>
  <c r="P33" i="1"/>
  <c r="U41" i="1"/>
  <c r="U36" i="1"/>
  <c r="U37" i="1"/>
  <c r="U38" i="1"/>
  <c r="M36" i="1"/>
  <c r="N36" i="1"/>
  <c r="M37" i="1"/>
  <c r="N37" i="1"/>
  <c r="M38" i="1"/>
  <c r="N38" i="1"/>
  <c r="U35" i="1"/>
  <c r="M41" i="1"/>
  <c r="O41" i="1"/>
  <c r="U33" i="1"/>
  <c r="J22" i="1"/>
  <c r="B28" i="1"/>
  <c r="T41" i="1"/>
  <c r="N34" i="1"/>
  <c r="N41" i="1"/>
  <c r="M34" i="1"/>
  <c r="C28" i="1"/>
  <c r="J21" i="1"/>
  <c r="E28" i="1"/>
  <c r="U34" i="1"/>
  <c r="N33" i="1"/>
  <c r="M33" i="1"/>
  <c r="N35" i="1"/>
  <c r="M35" i="1"/>
  <c r="O33" i="1"/>
  <c r="D28" i="1"/>
  <c r="J20" i="1"/>
  <c r="J28" i="1" l="1"/>
  <c r="G39" i="1" l="1"/>
  <c r="AC39" i="1" s="1"/>
  <c r="F39" i="1"/>
  <c r="AB39" i="1" s="1"/>
  <c r="C39" i="1"/>
  <c r="Y39" i="1" s="1"/>
  <c r="B39" i="1"/>
  <c r="X39" i="1" s="1"/>
  <c r="E39" i="1"/>
  <c r="AA39" i="1" s="1"/>
  <c r="D39" i="1"/>
  <c r="Z39" i="1" s="1"/>
  <c r="H39" i="1"/>
  <c r="AD39" i="1" s="1"/>
  <c r="H36" i="1"/>
  <c r="AD36" i="1" s="1"/>
  <c r="H38" i="1"/>
  <c r="AD38" i="1" s="1"/>
  <c r="H37" i="1"/>
  <c r="AD37" i="1" s="1"/>
  <c r="H33" i="1"/>
  <c r="AD33" i="1" s="1"/>
  <c r="H35" i="1"/>
  <c r="AD35" i="1" s="1"/>
  <c r="H34" i="1"/>
  <c r="AD34" i="1" s="1"/>
  <c r="J39" i="1"/>
  <c r="AF39" i="1" s="1"/>
  <c r="H41" i="1"/>
  <c r="AD41" i="1" s="1"/>
  <c r="F41" i="1"/>
  <c r="AB41" i="1" s="1"/>
  <c r="G41" i="1"/>
  <c r="AC41" i="1" s="1"/>
  <c r="E37" i="1"/>
  <c r="AA37" i="1" s="1"/>
  <c r="G36" i="1"/>
  <c r="AC36" i="1" s="1"/>
  <c r="F36" i="1"/>
  <c r="AB36" i="1" s="1"/>
  <c r="G37" i="1"/>
  <c r="AC37" i="1" s="1"/>
  <c r="F38" i="1"/>
  <c r="AB38" i="1" s="1"/>
  <c r="F37" i="1"/>
  <c r="AB37" i="1" s="1"/>
  <c r="E36" i="1"/>
  <c r="AA36" i="1" s="1"/>
  <c r="E38" i="1"/>
  <c r="AA38" i="1" s="1"/>
  <c r="G38" i="1"/>
  <c r="AC38" i="1" s="1"/>
  <c r="G33" i="1"/>
  <c r="AC33" i="1" s="1"/>
  <c r="F33" i="1"/>
  <c r="AB33" i="1" s="1"/>
  <c r="F34" i="1"/>
  <c r="AB34" i="1" s="1"/>
  <c r="E35" i="1"/>
  <c r="AA35" i="1" s="1"/>
  <c r="E34" i="1"/>
  <c r="AA34" i="1" s="1"/>
  <c r="F35" i="1"/>
  <c r="AB35" i="1" s="1"/>
  <c r="G35" i="1"/>
  <c r="AC35" i="1" s="1"/>
  <c r="G34" i="1"/>
  <c r="AC34" i="1" s="1"/>
  <c r="J33" i="1"/>
  <c r="AF33" i="1" s="1"/>
  <c r="J37" i="1"/>
  <c r="AF37" i="1" s="1"/>
  <c r="C37" i="1"/>
  <c r="Y37" i="1" s="1"/>
  <c r="D38" i="1"/>
  <c r="Z38" i="1" s="1"/>
  <c r="C36" i="1"/>
  <c r="Y36" i="1" s="1"/>
  <c r="D37" i="1"/>
  <c r="Z37" i="1" s="1"/>
  <c r="C38" i="1"/>
  <c r="Y38" i="1" s="1"/>
  <c r="B38" i="1"/>
  <c r="X38" i="1" s="1"/>
  <c r="B36" i="1"/>
  <c r="X36" i="1" s="1"/>
  <c r="D36" i="1"/>
  <c r="Z36" i="1" s="1"/>
  <c r="B37" i="1"/>
  <c r="X37" i="1" s="1"/>
  <c r="J38" i="1"/>
  <c r="AF38" i="1" s="1"/>
  <c r="J36" i="1"/>
  <c r="AF36" i="1" s="1"/>
  <c r="J41" i="1"/>
  <c r="AF41" i="1" s="1"/>
  <c r="C33" i="1"/>
  <c r="Y33" i="1" s="1"/>
  <c r="C41" i="1"/>
  <c r="Y41" i="1" s="1"/>
  <c r="B34" i="1"/>
  <c r="X34" i="1" s="1"/>
  <c r="E41" i="1"/>
  <c r="AA41" i="1" s="1"/>
  <c r="E33" i="1"/>
  <c r="AA33" i="1" s="1"/>
  <c r="D41" i="1"/>
  <c r="Z41" i="1" s="1"/>
  <c r="D34" i="1"/>
  <c r="Z34" i="1" s="1"/>
  <c r="I41" i="1"/>
  <c r="AE41" i="1" s="1"/>
  <c r="J35" i="1"/>
  <c r="AF35" i="1" s="1"/>
  <c r="D33" i="1"/>
  <c r="Z33" i="1" s="1"/>
  <c r="J34" i="1"/>
  <c r="AF34" i="1" s="1"/>
  <c r="B35" i="1"/>
  <c r="X35" i="1" s="1"/>
  <c r="D35" i="1"/>
  <c r="Z35" i="1" s="1"/>
  <c r="B33" i="1"/>
  <c r="X33" i="1" s="1"/>
  <c r="C34" i="1"/>
  <c r="Y34" i="1" s="1"/>
  <c r="C35" i="1"/>
  <c r="Y35" i="1" s="1"/>
  <c r="B41" i="1"/>
  <c r="X41" i="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<sst xmlns="http://schemas.openxmlformats.org/spreadsheetml/2006/main" count="716" uniqueCount="284">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</sst>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47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0" fontId="4" fillId="0" borderId="0" xfId="0" applyFont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6" fontId="6" fillId="0" borderId="2" xfId="0" applyNumberFormat="1" applyFont="1" applyBorder="1" applyAlignment="1">
      <alignment horizontal="right"/>
    </xf>
    <xf numFmtId="0" fontId="0" fillId="0" borderId="0" xfId="0" applyFont="1" applyFill="1"/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2" fillId="0" borderId="0" xfId="8" applyNumberFormat="1" applyFont="1" applyAlignment="1"/>
    <xf numFmtId="169" fontId="0" fillId="0" borderId="0" xfId="8" applyNumberFormat="1" applyFont="1"/>
    <xf numFmtId="169" fontId="0" fillId="0" borderId="3" xfId="8" applyNumberFormat="1" applyFont="1" applyBorder="1"/>
    <xf numFmtId="169" fontId="0" fillId="0" borderId="1" xfId="8" applyNumberFormat="1" applyFont="1" applyBorder="1"/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70" fontId="0" fillId="5" borderId="0" xfId="0" applyNumberFormat="1" applyFont="1" applyFill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1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1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2" fontId="0" fillId="0" borderId="0" xfId="0" applyNumberFormat="1" applyFont="1" applyAlignment="1">
      <alignment horizontal="right"/>
    </xf>
    <xf numFmtId="0" fontId="1" fillId="0" borderId="2" xfId="0" applyFont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1" xfId="0" applyFont="1" applyBorder="1" applyAlignment="1">
      <alignment horizontal="left"/>
    </xf>
    <xf numFmtId="0" fontId="0" fillId="0" borderId="5" xfId="0" applyFont="1" applyBorder="1" applyAlignment="1">
      <alignment horizontal="left"/>
    </xf>
    <xf numFmtId="0" fontId="0" fillId="0" borderId="1" xfId="0" applyFont="1" applyBorder="1"/>
    <xf numFmtId="0" fontId="5" fillId="6" borderId="6" xfId="0" applyFont="1" applyFill="1" applyBorder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0" xfId="0" applyFont="1" applyFill="1" applyBorder="1"/>
    <xf numFmtId="0" fontId="7" fillId="6" borderId="10" xfId="0" applyFont="1" applyFill="1" applyBorder="1"/>
    <xf numFmtId="0" fontId="7" fillId="6" borderId="11" xfId="0" applyFont="1" applyFill="1" applyBorder="1"/>
    <xf numFmtId="0" fontId="7" fillId="6" borderId="3" xfId="0" applyFont="1" applyFill="1" applyBorder="1"/>
    <xf numFmtId="0" fontId="7" fillId="6" borderId="12" xfId="0" applyFont="1" applyFill="1" applyBorder="1"/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8" fillId="0" borderId="0" xfId="0" applyFont="1"/>
    <xf numFmtId="166" fontId="0" fillId="0" borderId="0" xfId="0" applyNumberFormat="1" applyFont="1" applyFill="1"/>
    <xf numFmtId="166" fontId="7" fillId="7" borderId="0" xfId="0" applyNumberFormat="1" applyFont="1" applyFill="1" applyAlignment="1">
      <alignment horizontal="right"/>
    </xf>
    <xf numFmtId="166" fontId="7" fillId="7" borderId="1" xfId="0" applyNumberFormat="1" applyFont="1" applyFill="1" applyBorder="1" applyAlignment="1">
      <alignment horizontal="right"/>
    </xf>
    <xf numFmtId="166" fontId="7" fillId="0" borderId="7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66" fontId="7" fillId="3" borderId="0" xfId="0" applyNumberFormat="1" applyFont="1" applyFill="1" applyAlignment="1">
      <alignment horizontal="right"/>
    </xf>
    <xf numFmtId="166" fontId="7" fillId="3" borderId="1" xfId="0" applyNumberFormat="1" applyFont="1" applyFill="1" applyBorder="1" applyAlignment="1">
      <alignment horizontal="right"/>
    </xf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3.8755046744568762E-2</c:v>
                </c:pt>
                <c:pt idx="1">
                  <c:v>4.7319613156775193E-2</c:v>
                </c:pt>
                <c:pt idx="2">
                  <c:v>6.7350451629088218E-2</c:v>
                </c:pt>
                <c:pt idx="3">
                  <c:v>9.5204809711818078E-2</c:v>
                </c:pt>
                <c:pt idx="4">
                  <c:v>0.16049894832170436</c:v>
                </c:pt>
                <c:pt idx="5">
                  <c:v>0.11092912312784585</c:v>
                </c:pt>
                <c:pt idx="6">
                  <c:v>0.10765072686455886</c:v>
                </c:pt>
                <c:pt idx="7">
                  <c:v>6.8595338035008585E-2</c:v>
                </c:pt>
                <c:pt idx="8">
                  <c:v>4.5375216224302718E-2</c:v>
                </c:pt>
                <c:pt idx="9">
                  <c:v>3.409020896489167E-2</c:v>
                </c:pt>
                <c:pt idx="10">
                  <c:v>5.1541533497477386E-2</c:v>
                </c:pt>
                <c:pt idx="11">
                  <c:v>2.6277771107153999E-2</c:v>
                </c:pt>
                <c:pt idx="12">
                  <c:v>1.6907124854801097E-2</c:v>
                </c:pt>
                <c:pt idx="13">
                  <c:v>1.0007861999173461E-2</c:v>
                </c:pt>
                <c:pt idx="14">
                  <c:v>5.4578271032031415E-3</c:v>
                </c:pt>
                <c:pt idx="15">
                  <c:v>5.7213199533632676E-3</c:v>
                </c:pt>
                <c:pt idx="16">
                  <c:v>1.7416816575165434E-2</c:v>
                </c:pt>
                <c:pt idx="17">
                  <c:v>5.8040273911587146E-3</c:v>
                </c:pt>
                <c:pt idx="18">
                  <c:v>6.2324309495723406E-3</c:v>
                </c:pt>
                <c:pt idx="19">
                  <c:v>1.4989345407802451E-2</c:v>
                </c:pt>
                <c:pt idx="20">
                  <c:v>8.3344128407837389E-3</c:v>
                </c:pt>
                <c:pt idx="21">
                  <c:v>8.2880946122788676E-3</c:v>
                </c:pt>
                <c:pt idx="22">
                  <c:v>9.5838014270265455E-3</c:v>
                </c:pt>
                <c:pt idx="23">
                  <c:v>6.8513866121212574E-3</c:v>
                </c:pt>
                <c:pt idx="24">
                  <c:v>9.6917500738261E-4</c:v>
                </c:pt>
                <c:pt idx="25">
                  <c:v>1.2605003054838532E-3</c:v>
                </c:pt>
                <c:pt idx="26">
                  <c:v>1.3925528838732537E-3</c:v>
                </c:pt>
                <c:pt idx="27">
                  <c:v>2.8958952096455053E-3</c:v>
                </c:pt>
                <c:pt idx="28">
                  <c:v>4.072046016673765E-4</c:v>
                </c:pt>
                <c:pt idx="29">
                  <c:v>9.9660279169667444E-4</c:v>
                </c:pt>
                <c:pt idx="30">
                  <c:v>1.9647754928502734E-3</c:v>
                </c:pt>
                <c:pt idx="31">
                  <c:v>2.1582511894621208E-3</c:v>
                </c:pt>
                <c:pt idx="32">
                  <c:v>0</c:v>
                </c:pt>
                <c:pt idx="33">
                  <c:v>1.1417960904779013E-3</c:v>
                </c:pt>
                <c:pt idx="34">
                  <c:v>1.0296894351528817E-3</c:v>
                </c:pt>
                <c:pt idx="35">
                  <c:v>2.0991574152676726E-3</c:v>
                </c:pt>
                <c:pt idx="36">
                  <c:v>2.1340429364317842E-4</c:v>
                </c:pt>
                <c:pt idx="37">
                  <c:v>0</c:v>
                </c:pt>
                <c:pt idx="38">
                  <c:v>6.4355146547428424E-6</c:v>
                </c:pt>
                <c:pt idx="39">
                  <c:v>1.1277880360040526E-4</c:v>
                </c:pt>
                <c:pt idx="40">
                  <c:v>8.940441849293353E-3</c:v>
                </c:pt>
                <c:pt idx="41">
                  <c:v>1.7078415448780657E-3</c:v>
                </c:pt>
                <c:pt idx="42">
                  <c:v>0</c:v>
                </c:pt>
                <c:pt idx="43">
                  <c:v>0</c:v>
                </c:pt>
                <c:pt idx="44">
                  <c:v>1.084998115276876E-4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2.9963967861624017E-4</c:v>
                </c:pt>
                <c:pt idx="49">
                  <c:v>0</c:v>
                </c:pt>
                <c:pt idx="50">
                  <c:v>6.3653594354661554E-4</c:v>
                </c:pt>
                <c:pt idx="51">
                  <c:v>1.3270221945341931E-4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1.0754951942507831E-3</c:v>
                </c:pt>
                <c:pt idx="57">
                  <c:v>4.2579695945347185E-4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0.13235968021554531</c:v>
                </c:pt>
                <c:pt idx="1">
                  <c:v>9.853027241306965E-2</c:v>
                </c:pt>
                <c:pt idx="2">
                  <c:v>6.1798125020704274E-2</c:v>
                </c:pt>
                <c:pt idx="3">
                  <c:v>3.9340886253464519E-2</c:v>
                </c:pt>
                <c:pt idx="4">
                  <c:v>0.15417646669095969</c:v>
                </c:pt>
                <c:pt idx="5">
                  <c:v>8.6629454180055437E-2</c:v>
                </c:pt>
                <c:pt idx="6">
                  <c:v>8.4339561179757286E-2</c:v>
                </c:pt>
                <c:pt idx="7">
                  <c:v>3.9491337330639018E-2</c:v>
                </c:pt>
                <c:pt idx="8">
                  <c:v>6.0455107607027304E-2</c:v>
                </c:pt>
                <c:pt idx="9">
                  <c:v>3.0531906670641887E-2</c:v>
                </c:pt>
                <c:pt idx="10">
                  <c:v>1.6550998774306821E-2</c:v>
                </c:pt>
                <c:pt idx="11">
                  <c:v>1.9292245006128465E-2</c:v>
                </c:pt>
                <c:pt idx="12">
                  <c:v>1.9586245734919006E-2</c:v>
                </c:pt>
                <c:pt idx="13">
                  <c:v>2.4624286392597255E-2</c:v>
                </c:pt>
                <c:pt idx="14">
                  <c:v>1.3027130884155431E-2</c:v>
                </c:pt>
                <c:pt idx="15">
                  <c:v>1.9725654531199965E-2</c:v>
                </c:pt>
                <c:pt idx="16">
                  <c:v>1.3354258455626595E-2</c:v>
                </c:pt>
                <c:pt idx="17">
                  <c:v>1.1446704431267322E-2</c:v>
                </c:pt>
                <c:pt idx="18">
                  <c:v>9.1637128565276449E-3</c:v>
                </c:pt>
                <c:pt idx="19">
                  <c:v>7.1540177339031149E-3</c:v>
                </c:pt>
                <c:pt idx="20">
                  <c:v>6.6543545234703681E-3</c:v>
                </c:pt>
                <c:pt idx="21">
                  <c:v>7.8759068473183824E-3</c:v>
                </c:pt>
                <c:pt idx="22">
                  <c:v>4.9745475425403869E-3</c:v>
                </c:pt>
                <c:pt idx="23">
                  <c:v>4.904153001844061E-3</c:v>
                </c:pt>
                <c:pt idx="24">
                  <c:v>4.3975883658528506E-3</c:v>
                </c:pt>
                <c:pt idx="25">
                  <c:v>3.5542341626086283E-3</c:v>
                </c:pt>
                <c:pt idx="26">
                  <c:v>2.8916973089961463E-3</c:v>
                </c:pt>
                <c:pt idx="27">
                  <c:v>5.6564083877165671E-3</c:v>
                </c:pt>
                <c:pt idx="28">
                  <c:v>2.3602875409944679E-3</c:v>
                </c:pt>
                <c:pt idx="29">
                  <c:v>2.3492452601009263E-3</c:v>
                </c:pt>
                <c:pt idx="30">
                  <c:v>2.0165965481829928E-3</c:v>
                </c:pt>
                <c:pt idx="31">
                  <c:v>1.4134119543732953E-3</c:v>
                </c:pt>
                <c:pt idx="32">
                  <c:v>1.2519185963052529E-3</c:v>
                </c:pt>
                <c:pt idx="33">
                  <c:v>1.3457779839003545E-3</c:v>
                </c:pt>
                <c:pt idx="34">
                  <c:v>8.392133479091441E-4</c:v>
                </c:pt>
                <c:pt idx="35">
                  <c:v>6.6667770894756023E-4</c:v>
                </c:pt>
                <c:pt idx="36">
                  <c:v>9.4687558662117245E-4</c:v>
                </c:pt>
                <c:pt idx="37">
                  <c:v>7.0946654741003306E-4</c:v>
                </c:pt>
                <c:pt idx="38">
                  <c:v>6.9290312606972099E-4</c:v>
                </c:pt>
                <c:pt idx="39">
                  <c:v>5.0242378065613229E-4</c:v>
                </c:pt>
                <c:pt idx="40">
                  <c:v>4.0442353772595269E-4</c:v>
                </c:pt>
                <c:pt idx="41">
                  <c:v>3.0918386501915834E-4</c:v>
                </c:pt>
                <c:pt idx="42">
                  <c:v>2.4154989454621746E-4</c:v>
                </c:pt>
                <c:pt idx="43">
                  <c:v>1.6149335806804252E-4</c:v>
                </c:pt>
                <c:pt idx="44">
                  <c:v>2.2360618809421273E-4</c:v>
                </c:pt>
                <c:pt idx="45">
                  <c:v>2.0014134119543733E-4</c:v>
                </c:pt>
                <c:pt idx="46">
                  <c:v>1.7529620918496926E-4</c:v>
                </c:pt>
                <c:pt idx="47">
                  <c:v>1.4216936650434514E-4</c:v>
                </c:pt>
                <c:pt idx="48">
                  <c:v>9.2479102483408973E-5</c:v>
                </c:pt>
                <c:pt idx="49">
                  <c:v>7.4535396031404248E-5</c:v>
                </c:pt>
                <c:pt idx="50">
                  <c:v>6.6253685361248213E-5</c:v>
                </c:pt>
                <c:pt idx="51">
                  <c:v>6.4873400249555545E-5</c:v>
                </c:pt>
                <c:pt idx="52">
                  <c:v>5.2450834244321506E-5</c:v>
                </c:pt>
                <c:pt idx="53">
                  <c:v>2.346484689877541E-5</c:v>
                </c:pt>
                <c:pt idx="54">
                  <c:v>3.8647983127394792E-5</c:v>
                </c:pt>
                <c:pt idx="55">
                  <c:v>3.3126842680624107E-5</c:v>
                </c:pt>
                <c:pt idx="56">
                  <c:v>2.346484689877541E-5</c:v>
                </c:pt>
                <c:pt idx="57">
                  <c:v>1.7943706452004725E-5</c:v>
                </c:pt>
                <c:pt idx="58">
                  <c:v>2.7605702233853424E-5</c:v>
                </c:pt>
                <c:pt idx="59">
                  <c:v>8.2817106701560266E-6</c:v>
                </c:pt>
                <c:pt idx="60">
                  <c:v>1.7943706452004725E-5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863968"/>
        <c:axId val="167858088"/>
      </c:lineChart>
      <c:catAx>
        <c:axId val="167863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7858088"/>
        <c:crosses val="autoZero"/>
        <c:auto val="1"/>
        <c:lblAlgn val="ctr"/>
        <c:lblOffset val="100"/>
        <c:tickLblSkip val="10"/>
        <c:noMultiLvlLbl val="0"/>
      </c:catAx>
      <c:valAx>
        <c:axId val="167858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786396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1.0918124355268601E-2</c:v>
                </c:pt>
                <c:pt idx="2">
                  <c:v>5.2331263610442182E-3</c:v>
                </c:pt>
                <c:pt idx="3">
                  <c:v>1.5230464781545921E-2</c:v>
                </c:pt>
                <c:pt idx="4">
                  <c:v>1.3756056836940882E-2</c:v>
                </c:pt>
                <c:pt idx="5">
                  <c:v>2.2880334734942696E-2</c:v>
                </c:pt>
                <c:pt idx="6">
                  <c:v>9.5698903495742785E-3</c:v>
                </c:pt>
                <c:pt idx="7">
                  <c:v>1.1874297940868349E-2</c:v>
                </c:pt>
                <c:pt idx="8">
                  <c:v>9.449870015308403E-3</c:v>
                </c:pt>
                <c:pt idx="9">
                  <c:v>1.1214920625859976E-2</c:v>
                </c:pt>
                <c:pt idx="10">
                  <c:v>4.6392786578889622E-3</c:v>
                </c:pt>
                <c:pt idx="11">
                  <c:v>1.5533483125569196E-2</c:v>
                </c:pt>
                <c:pt idx="12">
                  <c:v>2.057942260079635E-2</c:v>
                </c:pt>
                <c:pt idx="13">
                  <c:v>3.8207052501085359E-2</c:v>
                </c:pt>
                <c:pt idx="14">
                  <c:v>2.005893215642084E-2</c:v>
                </c:pt>
                <c:pt idx="15">
                  <c:v>9.8758877028045922E-3</c:v>
                </c:pt>
                <c:pt idx="16">
                  <c:v>3.3434388960093438E-2</c:v>
                </c:pt>
                <c:pt idx="17">
                  <c:v>2.0219203270254119E-2</c:v>
                </c:pt>
                <c:pt idx="18">
                  <c:v>6.6022605924371189E-2</c:v>
                </c:pt>
                <c:pt idx="19">
                  <c:v>4.0348095772412926E-2</c:v>
                </c:pt>
                <c:pt idx="20">
                  <c:v>5.5747879728632724E-2</c:v>
                </c:pt>
                <c:pt idx="21">
                  <c:v>5.2828766155027108E-2</c:v>
                </c:pt>
                <c:pt idx="22">
                  <c:v>4.9713740558932955E-2</c:v>
                </c:pt>
                <c:pt idx="23">
                  <c:v>4.0651236096487332E-2</c:v>
                </c:pt>
                <c:pt idx="24">
                  <c:v>5.3139235766893368E-2</c:v>
                </c:pt>
                <c:pt idx="25">
                  <c:v>1.39689931508723E-2</c:v>
                </c:pt>
                <c:pt idx="26">
                  <c:v>6.4111979636627958E-2</c:v>
                </c:pt>
                <c:pt idx="27">
                  <c:v>1.2382993155194097E-2</c:v>
                </c:pt>
                <c:pt idx="28">
                  <c:v>1.7870296938334071E-2</c:v>
                </c:pt>
                <c:pt idx="29">
                  <c:v>2.2096077082183724E-2</c:v>
                </c:pt>
                <c:pt idx="30">
                  <c:v>1.1135333302652517E-2</c:v>
                </c:pt>
                <c:pt idx="31">
                  <c:v>1.6438683240831746E-2</c:v>
                </c:pt>
                <c:pt idx="32">
                  <c:v>7.7722078283893967E-3</c:v>
                </c:pt>
                <c:pt idx="33">
                  <c:v>1.7186911279690881E-2</c:v>
                </c:pt>
                <c:pt idx="34">
                  <c:v>1.1928531655090823E-2</c:v>
                </c:pt>
                <c:pt idx="35">
                  <c:v>1.3705323105243966E-2</c:v>
                </c:pt>
                <c:pt idx="36">
                  <c:v>1.8019506415587168E-3</c:v>
                </c:pt>
                <c:pt idx="37">
                  <c:v>1.6374277594824706E-2</c:v>
                </c:pt>
                <c:pt idx="38">
                  <c:v>1.273426406602594E-2</c:v>
                </c:pt>
                <c:pt idx="39">
                  <c:v>7.8437474453430089E-3</c:v>
                </c:pt>
                <c:pt idx="40">
                  <c:v>1.1894242542721537E-2</c:v>
                </c:pt>
                <c:pt idx="41">
                  <c:v>1.5503390840557704E-2</c:v>
                </c:pt>
                <c:pt idx="42">
                  <c:v>7.3797717872564519E-4</c:v>
                </c:pt>
                <c:pt idx="43">
                  <c:v>7.6711968081230792E-4</c:v>
                </c:pt>
                <c:pt idx="44">
                  <c:v>3.5426306106533011E-3</c:v>
                </c:pt>
                <c:pt idx="45">
                  <c:v>4.4810773090839043E-2</c:v>
                </c:pt>
                <c:pt idx="46">
                  <c:v>4.5724122415824195E-3</c:v>
                </c:pt>
                <c:pt idx="47">
                  <c:v>0</c:v>
                </c:pt>
                <c:pt idx="48">
                  <c:v>8.1480794806820301E-4</c:v>
                </c:pt>
                <c:pt idx="49">
                  <c:v>2.9994314904010637E-4</c:v>
                </c:pt>
                <c:pt idx="50">
                  <c:v>2.4759773912534982E-3</c:v>
                </c:pt>
                <c:pt idx="51">
                  <c:v>3.9236869121385745E-4</c:v>
                </c:pt>
                <c:pt idx="52">
                  <c:v>0</c:v>
                </c:pt>
                <c:pt idx="53">
                  <c:v>0</c:v>
                </c:pt>
                <c:pt idx="54">
                  <c:v>4.5776561982482591E-4</c:v>
                </c:pt>
                <c:pt idx="55">
                  <c:v>0</c:v>
                </c:pt>
                <c:pt idx="56">
                  <c:v>3.2618309724358348E-4</c:v>
                </c:pt>
                <c:pt idx="57">
                  <c:v>2.7375309800309459E-3</c:v>
                </c:pt>
                <c:pt idx="58">
                  <c:v>3.0828731132457772E-3</c:v>
                </c:pt>
                <c:pt idx="59">
                  <c:v>1.003907654521945E-3</c:v>
                </c:pt>
                <c:pt idx="60">
                  <c:v>2.7819176129609789E-3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1.3896710504521815E-2</c:v>
                </c:pt>
                <c:pt idx="1">
                  <c:v>2.8268239087465907E-2</c:v>
                </c:pt>
                <c:pt idx="2">
                  <c:v>3.4029549143671116E-2</c:v>
                </c:pt>
                <c:pt idx="3">
                  <c:v>3.5019213568754759E-2</c:v>
                </c:pt>
                <c:pt idx="4">
                  <c:v>3.2534700367707954E-2</c:v>
                </c:pt>
                <c:pt idx="5">
                  <c:v>2.9199931537858461E-2</c:v>
                </c:pt>
                <c:pt idx="6">
                  <c:v>2.6726460617705193E-2</c:v>
                </c:pt>
                <c:pt idx="7">
                  <c:v>2.4509722728326765E-2</c:v>
                </c:pt>
                <c:pt idx="8">
                  <c:v>2.1877519020328841E-2</c:v>
                </c:pt>
                <c:pt idx="9">
                  <c:v>1.9735316526981812E-2</c:v>
                </c:pt>
                <c:pt idx="10">
                  <c:v>1.760001545919325E-2</c:v>
                </c:pt>
                <c:pt idx="11">
                  <c:v>1.6011307295634988E-2</c:v>
                </c:pt>
                <c:pt idx="12">
                  <c:v>1.4011274168792305E-2</c:v>
                </c:pt>
                <c:pt idx="13">
                  <c:v>1.215341040845397E-2</c:v>
                </c:pt>
                <c:pt idx="14">
                  <c:v>1.0662702487825885E-2</c:v>
                </c:pt>
                <c:pt idx="15">
                  <c:v>1.0146475856052826E-2</c:v>
                </c:pt>
                <c:pt idx="16">
                  <c:v>9.3748964786166226E-3</c:v>
                </c:pt>
                <c:pt idx="17">
                  <c:v>8.734444186791224E-3</c:v>
                </c:pt>
                <c:pt idx="18">
                  <c:v>0.10389268007199567</c:v>
                </c:pt>
                <c:pt idx="19">
                  <c:v>3.4287662459557645E-2</c:v>
                </c:pt>
                <c:pt idx="20">
                  <c:v>3.8991674120206272E-2</c:v>
                </c:pt>
                <c:pt idx="21">
                  <c:v>4.6565298528063959E-2</c:v>
                </c:pt>
                <c:pt idx="22">
                  <c:v>4.418154614017071E-2</c:v>
                </c:pt>
                <c:pt idx="23">
                  <c:v>3.1292443767184548E-2</c:v>
                </c:pt>
                <c:pt idx="24">
                  <c:v>2.8864522255717142E-2</c:v>
                </c:pt>
                <c:pt idx="25">
                  <c:v>3.1453937125252594E-2</c:v>
                </c:pt>
                <c:pt idx="26">
                  <c:v>2.2146674617108911E-2</c:v>
                </c:pt>
                <c:pt idx="27">
                  <c:v>1.8566215037378122E-2</c:v>
                </c:pt>
                <c:pt idx="28">
                  <c:v>1.780705822594715E-2</c:v>
                </c:pt>
                <c:pt idx="29">
                  <c:v>1.7805677940835461E-2</c:v>
                </c:pt>
                <c:pt idx="30">
                  <c:v>2.6805136869071676E-2</c:v>
                </c:pt>
                <c:pt idx="31">
                  <c:v>1.5427446693388986E-2</c:v>
                </c:pt>
                <c:pt idx="32">
                  <c:v>1.8417144245315313E-2</c:v>
                </c:pt>
                <c:pt idx="33">
                  <c:v>1.2526087388610992E-2</c:v>
                </c:pt>
                <c:pt idx="34">
                  <c:v>1.651925221673789E-2</c:v>
                </c:pt>
                <c:pt idx="35">
                  <c:v>9.9863627830964769E-3</c:v>
                </c:pt>
                <c:pt idx="36">
                  <c:v>8.6571482205364345E-3</c:v>
                </c:pt>
                <c:pt idx="37">
                  <c:v>1.0018109340665408E-2</c:v>
                </c:pt>
                <c:pt idx="38">
                  <c:v>1.1177548834487251E-2</c:v>
                </c:pt>
                <c:pt idx="39">
                  <c:v>7.4590607435871953E-3</c:v>
                </c:pt>
                <c:pt idx="40">
                  <c:v>6.6088051147845097E-3</c:v>
                </c:pt>
                <c:pt idx="41">
                  <c:v>5.852408873576926E-3</c:v>
                </c:pt>
                <c:pt idx="42">
                  <c:v>4.2264330120029593E-3</c:v>
                </c:pt>
                <c:pt idx="43">
                  <c:v>5.1429423261668931E-3</c:v>
                </c:pt>
                <c:pt idx="44">
                  <c:v>4.7481807842227894E-3</c:v>
                </c:pt>
                <c:pt idx="45">
                  <c:v>4.160179326641711E-3</c:v>
                </c:pt>
                <c:pt idx="46">
                  <c:v>3.7115866653415928E-3</c:v>
                </c:pt>
                <c:pt idx="47">
                  <c:v>3.0173032541601793E-3</c:v>
                </c:pt>
                <c:pt idx="48">
                  <c:v>2.670851691125319E-3</c:v>
                </c:pt>
                <c:pt idx="49">
                  <c:v>3.6273892735283401E-3</c:v>
                </c:pt>
                <c:pt idx="50">
                  <c:v>1.9254977308112765E-3</c:v>
                </c:pt>
                <c:pt idx="51">
                  <c:v>2.2678084385110587E-3</c:v>
                </c:pt>
                <c:pt idx="52">
                  <c:v>1.5942293040050353E-3</c:v>
                </c:pt>
                <c:pt idx="53">
                  <c:v>1.4037499585914466E-3</c:v>
                </c:pt>
                <c:pt idx="54">
                  <c:v>1.4769050695111583E-3</c:v>
                </c:pt>
                <c:pt idx="55">
                  <c:v>1.1704817747153853E-3</c:v>
                </c:pt>
                <c:pt idx="56">
                  <c:v>1.3816653968043639E-3</c:v>
                </c:pt>
                <c:pt idx="57">
                  <c:v>1.1704817747153853E-3</c:v>
                </c:pt>
                <c:pt idx="58">
                  <c:v>8.1436821589867599E-4</c:v>
                </c:pt>
                <c:pt idx="59">
                  <c:v>6.6253685361248216E-4</c:v>
                </c:pt>
                <c:pt idx="60">
                  <c:v>5.4797318934199043E-4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859656"/>
        <c:axId val="124049672"/>
      </c:lineChart>
      <c:catAx>
        <c:axId val="1678596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049672"/>
        <c:crosses val="autoZero"/>
        <c:auto val="1"/>
        <c:lblAlgn val="ctr"/>
        <c:lblOffset val="100"/>
        <c:tickLblSkip val="10"/>
        <c:noMultiLvlLbl val="0"/>
      </c:catAx>
      <c:valAx>
        <c:axId val="124049672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785965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topLeftCell="E1" workbookViewId="0">
      <selection activeCell="T10" sqref="T10"/>
    </sheetView>
  </sheetViews>
  <sheetFormatPr defaultRowHeight="15" x14ac:dyDescent="0.25"/>
  <cols>
    <col min="1" max="1" width="13.5703125" customWidth="1" collapsed="1"/>
    <col min="2" max="2" width="9.5703125" bestFit="1" customWidth="1" collapsed="1"/>
    <col min="6" max="6" width="9.5703125" bestFit="1" customWidth="1" collapsed="1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r="9" spans="1:12" ht="15.75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>
        <v>27663.831959679799</v>
      </c>
      <c r="C11" s="11">
        <f>B11/B$102</f>
        <v>3.8755046744568762E-2</v>
      </c>
      <c r="E11" s="20">
        <v>0</v>
      </c>
      <c r="F11" s="110">
        <v>95893</v>
      </c>
      <c r="G11" s="11">
        <f>F11/F$102</f>
        <v>0.13235968021554531</v>
      </c>
      <c r="K11" s="8">
        <v>7.3663518386348326</v>
      </c>
      <c r="L11" s="8">
        <v>7.0243854834502466</v>
      </c>
    </row>
    <row r="12" spans="1:12" x14ac:dyDescent="0.25">
      <c r="A12">
        <v>1</v>
      </c>
      <c r="B12" s="8">
        <v>33777.325451156503</v>
      </c>
      <c r="C12" s="11">
        <f>B12/B$102</f>
        <v>4.7319613156775193E-2</v>
      </c>
      <c r="E12" s="21">
        <v>1</v>
      </c>
      <c r="F12" s="111">
        <v>71384</v>
      </c>
      <c r="G12" s="11">
        <f>F12/F$102</f>
        <v>9.853027241306965E-2</v>
      </c>
      <c r="K12" s="8"/>
      <c r="L12" s="380"/>
    </row>
    <row r="13" spans="1:12" x14ac:dyDescent="0.25">
      <c r="A13">
        <v>2</v>
      </c>
      <c r="B13" s="8">
        <v>48075.585834166202</v>
      </c>
      <c r="C13" s="11">
        <f t="shared" ref="C13:C76" si="0">B13/B$102</f>
        <v>6.7350451629088218E-2</v>
      </c>
      <c r="E13" s="22">
        <v>2</v>
      </c>
      <c r="F13" s="112">
        <v>44772</v>
      </c>
      <c r="G13" s="11">
        <f t="shared" ref="G13:G76" si="1">F13/F$102</f>
        <v>6.1798125020704274E-2</v>
      </c>
    </row>
    <row r="14" spans="1:12" x14ac:dyDescent="0.25">
      <c r="A14">
        <v>3</v>
      </c>
      <c r="B14" s="8">
        <v>67958.371331086702</v>
      </c>
      <c r="C14" s="11">
        <f t="shared" si="0"/>
        <v>9.5204809711818078E-2</v>
      </c>
      <c r="E14" s="23">
        <v>3</v>
      </c>
      <c r="F14" s="113">
        <v>28502</v>
      </c>
      <c r="G14" s="11">
        <f t="shared" si="1"/>
        <v>3.9340886253464519E-2</v>
      </c>
    </row>
    <row r="15" spans="1:12" x14ac:dyDescent="0.25">
      <c r="A15">
        <v>4</v>
      </c>
      <c r="B15" s="8">
        <v>114566.1354852887</v>
      </c>
      <c r="C15" s="11">
        <f t="shared" si="0"/>
        <v>0.16049894832170436</v>
      </c>
      <c r="E15" s="24">
        <v>4</v>
      </c>
      <c r="F15" s="114">
        <v>111699</v>
      </c>
      <c r="G15" s="11">
        <f t="shared" si="1"/>
        <v>0.15417646669095969</v>
      </c>
    </row>
    <row r="16" spans="1:12" x14ac:dyDescent="0.25">
      <c r="A16">
        <v>5</v>
      </c>
      <c r="B16" s="8">
        <v>79182.580835705405</v>
      </c>
      <c r="C16" s="11">
        <f t="shared" si="0"/>
        <v>0.11092912312784585</v>
      </c>
      <c r="E16" s="25">
        <v>5</v>
      </c>
      <c r="F16" s="115">
        <v>62762</v>
      </c>
      <c r="G16" s="11">
        <f t="shared" si="1"/>
        <v>8.6629454180055437E-2</v>
      </c>
    </row>
    <row r="17" spans="1:7" x14ac:dyDescent="0.25">
      <c r="A17">
        <v>6</v>
      </c>
      <c r="B17" s="8">
        <v>76842.421012842504</v>
      </c>
      <c r="C17" s="11">
        <f t="shared" si="0"/>
        <v>0.10765072686455886</v>
      </c>
      <c r="E17" s="26">
        <v>6</v>
      </c>
      <c r="F17" s="116">
        <v>61103</v>
      </c>
      <c r="G17" s="11">
        <f t="shared" si="1"/>
        <v>8.4339561179757286E-2</v>
      </c>
    </row>
    <row r="18" spans="1:7" x14ac:dyDescent="0.25">
      <c r="A18">
        <v>7</v>
      </c>
      <c r="B18" s="8">
        <v>48964.201156171897</v>
      </c>
      <c r="C18" s="11">
        <f t="shared" si="0"/>
        <v>6.8595338035008585E-2</v>
      </c>
      <c r="E18" s="27">
        <v>7</v>
      </c>
      <c r="F18" s="117">
        <v>28611</v>
      </c>
      <c r="G18" s="11">
        <f t="shared" si="1"/>
        <v>3.9491337330639018E-2</v>
      </c>
    </row>
    <row r="19" spans="1:7" x14ac:dyDescent="0.25">
      <c r="A19">
        <v>8</v>
      </c>
      <c r="B19" s="8">
        <v>32389.390858860501</v>
      </c>
      <c r="C19" s="11">
        <f t="shared" si="0"/>
        <v>4.5375216224302718E-2</v>
      </c>
      <c r="E19" s="28">
        <v>8</v>
      </c>
      <c r="F19" s="118">
        <v>43799</v>
      </c>
      <c r="G19" s="11">
        <f t="shared" si="1"/>
        <v>6.0455107607027304E-2</v>
      </c>
    </row>
    <row r="20" spans="1:7" x14ac:dyDescent="0.25">
      <c r="A20">
        <v>9</v>
      </c>
      <c r="B20" s="8">
        <v>24334.013025214499</v>
      </c>
      <c r="C20" s="11">
        <f t="shared" si="0"/>
        <v>3.409020896489167E-2</v>
      </c>
      <c r="E20" s="29">
        <v>9</v>
      </c>
      <c r="F20" s="119">
        <v>22120</v>
      </c>
      <c r="G20" s="11">
        <f t="shared" si="1"/>
        <v>3.0531906670641887E-2</v>
      </c>
    </row>
    <row r="21" spans="1:7" x14ac:dyDescent="0.25">
      <c r="A21">
        <v>10</v>
      </c>
      <c r="B21" s="8">
        <v>36790.984436581602</v>
      </c>
      <c r="C21" s="11">
        <f t="shared" si="0"/>
        <v>5.1541533497477386E-2</v>
      </c>
      <c r="E21" s="30">
        <v>10</v>
      </c>
      <c r="F21" s="120">
        <v>11991</v>
      </c>
      <c r="G21" s="11">
        <f t="shared" si="1"/>
        <v>1.6550998774306821E-2</v>
      </c>
    </row>
    <row r="22" spans="1:7" x14ac:dyDescent="0.25">
      <c r="A22">
        <v>11</v>
      </c>
      <c r="B22" s="8">
        <v>18757.3982035027</v>
      </c>
      <c r="C22" s="11">
        <f t="shared" si="0"/>
        <v>2.6277771107153999E-2</v>
      </c>
      <c r="E22" s="31">
        <v>11</v>
      </c>
      <c r="F22" s="121">
        <v>13977</v>
      </c>
      <c r="G22" s="11">
        <f t="shared" si="1"/>
        <v>1.9292245006128465E-2</v>
      </c>
    </row>
    <row r="23" spans="1:7" x14ac:dyDescent="0.25">
      <c r="A23">
        <v>12</v>
      </c>
      <c r="B23" s="8">
        <v>12068.5149468976</v>
      </c>
      <c r="C23" s="11">
        <f t="shared" si="0"/>
        <v>1.6907124854801097E-2</v>
      </c>
      <c r="E23" s="32">
        <v>12</v>
      </c>
      <c r="F23" s="122">
        <v>14190</v>
      </c>
      <c r="G23" s="11">
        <f t="shared" si="1"/>
        <v>1.9586245734919006E-2</v>
      </c>
    </row>
    <row r="24" spans="1:7" x14ac:dyDescent="0.25">
      <c r="A24">
        <v>13</v>
      </c>
      <c r="B24" s="8">
        <v>7143.7357422256</v>
      </c>
      <c r="C24" s="11">
        <f t="shared" si="0"/>
        <v>1.0007861999173461E-2</v>
      </c>
      <c r="E24" s="33">
        <v>13</v>
      </c>
      <c r="F24" s="123">
        <v>17840</v>
      </c>
      <c r="G24" s="11">
        <f t="shared" si="1"/>
        <v>2.4624286392597255E-2</v>
      </c>
    </row>
    <row r="25" spans="1:7" x14ac:dyDescent="0.25">
      <c r="A25">
        <v>14</v>
      </c>
      <c r="B25" s="8">
        <v>3895.8645268350001</v>
      </c>
      <c r="C25" s="11">
        <f t="shared" si="0"/>
        <v>5.4578271032031415E-3</v>
      </c>
      <c r="E25" s="34">
        <v>14</v>
      </c>
      <c r="F25" s="124">
        <v>9438</v>
      </c>
      <c r="G25" s="11">
        <f t="shared" si="1"/>
        <v>1.3027130884155431E-2</v>
      </c>
    </row>
    <row r="26" spans="1:7" x14ac:dyDescent="0.25">
      <c r="A26">
        <v>15</v>
      </c>
      <c r="B26" s="8">
        <v>4083.9489840013002</v>
      </c>
      <c r="C26" s="11">
        <f t="shared" si="0"/>
        <v>5.7213199533632676E-3</v>
      </c>
      <c r="E26" s="35">
        <v>15</v>
      </c>
      <c r="F26" s="125">
        <v>14291</v>
      </c>
      <c r="G26" s="11">
        <f t="shared" si="1"/>
        <v>1.9725654531199965E-2</v>
      </c>
    </row>
    <row r="27" spans="1:7" x14ac:dyDescent="0.25">
      <c r="A27">
        <v>16</v>
      </c>
      <c r="B27" s="8">
        <v>12432.3392043248</v>
      </c>
      <c r="C27" s="11">
        <f t="shared" si="0"/>
        <v>1.7416816575165434E-2</v>
      </c>
      <c r="E27" s="36">
        <v>16</v>
      </c>
      <c r="F27" s="126">
        <v>9675</v>
      </c>
      <c r="G27" s="11">
        <f t="shared" si="1"/>
        <v>1.3354258455626595E-2</v>
      </c>
    </row>
    <row r="28" spans="1:7" x14ac:dyDescent="0.25">
      <c r="A28">
        <v>17</v>
      </c>
      <c r="B28" s="8">
        <v>4142.9865766036</v>
      </c>
      <c r="C28" s="11">
        <f t="shared" si="0"/>
        <v>5.8040273911587146E-3</v>
      </c>
      <c r="E28" s="37">
        <v>17</v>
      </c>
      <c r="F28" s="127">
        <v>8293</v>
      </c>
      <c r="G28" s="11">
        <f t="shared" si="1"/>
        <v>1.1446704431267322E-2</v>
      </c>
    </row>
    <row r="29" spans="1:7" x14ac:dyDescent="0.25">
      <c r="A29">
        <v>18</v>
      </c>
      <c r="B29" s="8">
        <v>4448.7863380899998</v>
      </c>
      <c r="C29" s="11">
        <f t="shared" si="0"/>
        <v>6.2324309495723406E-3</v>
      </c>
      <c r="E29" s="38">
        <v>18</v>
      </c>
      <c r="F29" s="128">
        <v>6639</v>
      </c>
      <c r="G29" s="11">
        <f t="shared" si="1"/>
        <v>9.1637128565276449E-3</v>
      </c>
    </row>
    <row r="30" spans="1:7" x14ac:dyDescent="0.25">
      <c r="A30">
        <v>19</v>
      </c>
      <c r="B30" s="8">
        <v>10699.580245124</v>
      </c>
      <c r="C30" s="11">
        <f t="shared" si="0"/>
        <v>1.4989345407802451E-2</v>
      </c>
      <c r="E30" s="39">
        <v>19</v>
      </c>
      <c r="F30" s="129">
        <v>5183</v>
      </c>
      <c r="G30" s="11">
        <f t="shared" si="1"/>
        <v>7.1540177339031149E-3</v>
      </c>
    </row>
    <row r="31" spans="1:7" x14ac:dyDescent="0.25">
      <c r="A31">
        <v>20</v>
      </c>
      <c r="B31" s="8">
        <v>5949.2070240465</v>
      </c>
      <c r="C31" s="11">
        <f t="shared" si="0"/>
        <v>8.3344128407837389E-3</v>
      </c>
      <c r="E31" s="40">
        <v>20</v>
      </c>
      <c r="F31" s="130">
        <v>4821</v>
      </c>
      <c r="G31" s="11">
        <f t="shared" si="1"/>
        <v>6.6543545234703681E-3</v>
      </c>
    </row>
    <row r="32" spans="1:7" x14ac:dyDescent="0.25">
      <c r="A32">
        <v>21</v>
      </c>
      <c r="B32" s="8">
        <v>5916.1444993519999</v>
      </c>
      <c r="C32" s="11">
        <f t="shared" si="0"/>
        <v>8.2880946122788676E-3</v>
      </c>
      <c r="E32" s="41">
        <v>21</v>
      </c>
      <c r="F32" s="131">
        <v>5706</v>
      </c>
      <c r="G32" s="11">
        <f t="shared" si="1"/>
        <v>7.8759068473183824E-3</v>
      </c>
    </row>
    <row r="33" spans="1:7" x14ac:dyDescent="0.25">
      <c r="A33">
        <v>22</v>
      </c>
      <c r="B33" s="8">
        <v>6841.0360580808001</v>
      </c>
      <c r="C33" s="11">
        <f t="shared" si="0"/>
        <v>9.5838014270265455E-3</v>
      </c>
      <c r="E33" s="42">
        <v>22</v>
      </c>
      <c r="F33" s="132">
        <v>3604</v>
      </c>
      <c r="G33" s="11">
        <f t="shared" si="1"/>
        <v>4.9745475425403869E-3</v>
      </c>
    </row>
    <row r="34" spans="1:7" x14ac:dyDescent="0.25">
      <c r="A34">
        <v>23</v>
      </c>
      <c r="B34" s="8">
        <v>4890.6045495890003</v>
      </c>
      <c r="C34" s="11">
        <f t="shared" si="0"/>
        <v>6.8513866121212574E-3</v>
      </c>
      <c r="E34" s="43">
        <v>23</v>
      </c>
      <c r="F34" s="133">
        <v>3553</v>
      </c>
      <c r="G34" s="11">
        <f t="shared" si="1"/>
        <v>4.904153001844061E-3</v>
      </c>
    </row>
    <row r="35" spans="1:7" x14ac:dyDescent="0.25">
      <c r="A35">
        <v>24</v>
      </c>
      <c r="B35" s="8">
        <v>691.80911380299995</v>
      </c>
      <c r="C35" s="11">
        <f t="shared" si="0"/>
        <v>9.6917500738261E-4</v>
      </c>
      <c r="E35" s="44">
        <v>24</v>
      </c>
      <c r="F35" s="134">
        <v>3186</v>
      </c>
      <c r="G35" s="11">
        <f t="shared" si="1"/>
        <v>4.3975883658528506E-3</v>
      </c>
    </row>
    <row r="36" spans="1:7" x14ac:dyDescent="0.25">
      <c r="A36">
        <v>25</v>
      </c>
      <c r="B36" s="8">
        <v>899.76071673599995</v>
      </c>
      <c r="C36" s="11">
        <f t="shared" si="0"/>
        <v>1.2605003054838532E-3</v>
      </c>
      <c r="E36" s="45">
        <v>25</v>
      </c>
      <c r="F36" s="135">
        <v>2575</v>
      </c>
      <c r="G36" s="11">
        <f t="shared" si="1"/>
        <v>3.5542341626086283E-3</v>
      </c>
    </row>
    <row r="37" spans="1:7" x14ac:dyDescent="0.25">
      <c r="A37">
        <v>26</v>
      </c>
      <c r="B37" s="8">
        <v>994.02148134000004</v>
      </c>
      <c r="C37" s="11">
        <f t="shared" si="0"/>
        <v>1.3925528838732537E-3</v>
      </c>
      <c r="E37" s="46">
        <v>26</v>
      </c>
      <c r="F37" s="136">
        <v>2095</v>
      </c>
      <c r="G37" s="11">
        <f t="shared" si="1"/>
        <v>2.8916973089961463E-3</v>
      </c>
    </row>
    <row r="38" spans="1:7" x14ac:dyDescent="0.25">
      <c r="A38">
        <v>27</v>
      </c>
      <c r="B38" s="8">
        <v>2067.1258373259998</v>
      </c>
      <c r="C38" s="11">
        <f t="shared" si="0"/>
        <v>2.8958952096455053E-3</v>
      </c>
      <c r="E38" s="47">
        <v>27</v>
      </c>
      <c r="F38" s="137">
        <v>4098</v>
      </c>
      <c r="G38" s="11">
        <f t="shared" si="1"/>
        <v>5.6564083877165671E-3</v>
      </c>
    </row>
    <row r="39" spans="1:7" x14ac:dyDescent="0.25">
      <c r="A39">
        <v>28</v>
      </c>
      <c r="B39" s="8">
        <v>290.66768382399999</v>
      </c>
      <c r="C39" s="11">
        <f t="shared" si="0"/>
        <v>4.072046016673765E-4</v>
      </c>
      <c r="E39" s="48">
        <v>28</v>
      </c>
      <c r="F39" s="138">
        <v>1710</v>
      </c>
      <c r="G39" s="11">
        <f t="shared" si="1"/>
        <v>2.3602875409944679E-3</v>
      </c>
    </row>
    <row r="40" spans="1:7" x14ac:dyDescent="0.25">
      <c r="A40">
        <v>29</v>
      </c>
      <c r="B40" s="8">
        <v>711.38740566499996</v>
      </c>
      <c r="C40" s="11">
        <f t="shared" si="0"/>
        <v>9.9660279169667444E-4</v>
      </c>
      <c r="E40" s="49">
        <v>29</v>
      </c>
      <c r="F40" s="139">
        <v>1702</v>
      </c>
      <c r="G40" s="11">
        <f t="shared" si="1"/>
        <v>2.3492452601009263E-3</v>
      </c>
    </row>
    <row r="41" spans="1:7" x14ac:dyDescent="0.25">
      <c r="A41">
        <v>30</v>
      </c>
      <c r="B41" s="8">
        <v>1402.4810608782</v>
      </c>
      <c r="C41" s="11">
        <f t="shared" si="0"/>
        <v>1.9647754928502734E-3</v>
      </c>
      <c r="E41" s="50">
        <v>30</v>
      </c>
      <c r="F41" s="140">
        <v>1461</v>
      </c>
      <c r="G41" s="11">
        <f t="shared" si="1"/>
        <v>2.0165965481829928E-3</v>
      </c>
    </row>
    <row r="42" spans="1:7" x14ac:dyDescent="0.25">
      <c r="A42">
        <v>31</v>
      </c>
      <c r="B42" s="8">
        <v>1540.5864073800001</v>
      </c>
      <c r="C42" s="11">
        <f t="shared" si="0"/>
        <v>2.1582511894621208E-3</v>
      </c>
      <c r="E42" s="51">
        <v>31</v>
      </c>
      <c r="F42" s="141">
        <v>1024</v>
      </c>
      <c r="G42" s="11">
        <f t="shared" si="1"/>
        <v>1.4134119543732953E-3</v>
      </c>
    </row>
    <row r="43" spans="1:7" x14ac:dyDescent="0.25">
      <c r="A43">
        <v>32</v>
      </c>
      <c r="B43" s="8">
        <v>0</v>
      </c>
      <c r="C43" s="11">
        <f t="shared" si="0"/>
        <v>0</v>
      </c>
      <c r="E43" s="52">
        <v>32</v>
      </c>
      <c r="F43" s="142">
        <v>907</v>
      </c>
      <c r="G43" s="11">
        <f t="shared" si="1"/>
        <v>1.2519185963052529E-3</v>
      </c>
    </row>
    <row r="44" spans="1:7" x14ac:dyDescent="0.25">
      <c r="A44">
        <v>33</v>
      </c>
      <c r="B44" s="8">
        <v>815.02817910099998</v>
      </c>
      <c r="C44" s="11">
        <f t="shared" si="0"/>
        <v>1.1417960904779013E-3</v>
      </c>
      <c r="E44" s="53">
        <v>33</v>
      </c>
      <c r="F44" s="143">
        <v>975</v>
      </c>
      <c r="G44" s="11">
        <f t="shared" si="1"/>
        <v>1.3457779839003545E-3</v>
      </c>
    </row>
    <row r="45" spans="1:7" x14ac:dyDescent="0.25">
      <c r="A45">
        <v>34</v>
      </c>
      <c r="B45" s="8">
        <v>735.005061211</v>
      </c>
      <c r="C45" s="11">
        <f t="shared" si="0"/>
        <v>1.0296894351528817E-3</v>
      </c>
      <c r="E45" s="54">
        <v>34</v>
      </c>
      <c r="F45" s="144">
        <v>608</v>
      </c>
      <c r="G45" s="11">
        <f t="shared" si="1"/>
        <v>8.392133479091441E-4</v>
      </c>
    </row>
    <row r="46" spans="1:7" x14ac:dyDescent="0.25">
      <c r="A46">
        <v>35</v>
      </c>
      <c r="B46" s="8">
        <v>1498.4045400750001</v>
      </c>
      <c r="C46" s="11">
        <f t="shared" si="0"/>
        <v>2.0991574152676726E-3</v>
      </c>
      <c r="E46" s="55">
        <v>35</v>
      </c>
      <c r="F46" s="145">
        <v>483</v>
      </c>
      <c r="G46" s="11">
        <f t="shared" si="1"/>
        <v>6.6667770894756023E-4</v>
      </c>
    </row>
    <row r="47" spans="1:7" x14ac:dyDescent="0.25">
      <c r="A47">
        <v>36</v>
      </c>
      <c r="B47" s="8">
        <v>152.33062567900001</v>
      </c>
      <c r="C47" s="11">
        <f t="shared" si="0"/>
        <v>2.1340429364317842E-4</v>
      </c>
      <c r="E47" s="56">
        <v>36</v>
      </c>
      <c r="F47" s="146">
        <v>686</v>
      </c>
      <c r="G47" s="11">
        <f t="shared" si="1"/>
        <v>9.4687558662117245E-4</v>
      </c>
    </row>
    <row r="48" spans="1:7" x14ac:dyDescent="0.25">
      <c r="A48">
        <v>37</v>
      </c>
      <c r="B48" s="8">
        <v>0</v>
      </c>
      <c r="C48" s="11">
        <f t="shared" si="0"/>
        <v>0</v>
      </c>
      <c r="E48" s="57">
        <v>37</v>
      </c>
      <c r="F48" s="147">
        <v>514</v>
      </c>
      <c r="G48" s="11">
        <f t="shared" si="1"/>
        <v>7.0946654741003306E-4</v>
      </c>
    </row>
    <row r="49" spans="1:7" x14ac:dyDescent="0.25">
      <c r="A49">
        <v>38</v>
      </c>
      <c r="B49" s="8">
        <v>4.59375</v>
      </c>
      <c r="C49" s="11">
        <f t="shared" si="0"/>
        <v>6.4355146547428424E-6</v>
      </c>
      <c r="E49" s="58">
        <v>38</v>
      </c>
      <c r="F49" s="148">
        <v>502</v>
      </c>
      <c r="G49" s="11">
        <f t="shared" si="1"/>
        <v>6.9290312606972099E-4</v>
      </c>
    </row>
    <row r="50" spans="1:7" x14ac:dyDescent="0.25">
      <c r="A50">
        <v>39</v>
      </c>
      <c r="B50" s="8">
        <v>80.502905646800002</v>
      </c>
      <c r="C50" s="11">
        <f t="shared" si="0"/>
        <v>1.1277880360040526E-4</v>
      </c>
      <c r="E50" s="59">
        <v>39</v>
      </c>
      <c r="F50" s="149">
        <v>364</v>
      </c>
      <c r="G50" s="11">
        <f t="shared" si="1"/>
        <v>5.0242378065613229E-4</v>
      </c>
    </row>
    <row r="51" spans="1:7" x14ac:dyDescent="0.25">
      <c r="A51">
        <v>40</v>
      </c>
      <c r="B51" s="8">
        <v>6381.7980299250003</v>
      </c>
      <c r="C51" s="11">
        <f t="shared" si="0"/>
        <v>8.940441849293353E-3</v>
      </c>
      <c r="E51" s="60">
        <v>40</v>
      </c>
      <c r="F51" s="150">
        <v>293</v>
      </c>
      <c r="G51" s="11">
        <f t="shared" si="1"/>
        <v>4.0442353772595269E-4</v>
      </c>
    </row>
    <row r="52" spans="1:7" x14ac:dyDescent="0.25">
      <c r="A52">
        <v>41</v>
      </c>
      <c r="B52" s="8">
        <v>1219.0784292599999</v>
      </c>
      <c r="C52" s="11">
        <f t="shared" si="0"/>
        <v>1.7078415448780657E-3</v>
      </c>
      <c r="E52" s="61">
        <v>41</v>
      </c>
      <c r="F52" s="151">
        <v>224</v>
      </c>
      <c r="G52" s="11">
        <f t="shared" si="1"/>
        <v>3.0918386501915834E-4</v>
      </c>
    </row>
    <row r="53" spans="1:7" x14ac:dyDescent="0.25">
      <c r="A53">
        <v>42</v>
      </c>
      <c r="B53" s="8">
        <v>0</v>
      </c>
      <c r="C53" s="11">
        <f t="shared" si="0"/>
        <v>0</v>
      </c>
      <c r="E53" s="62">
        <v>42</v>
      </c>
      <c r="F53" s="152">
        <v>175</v>
      </c>
      <c r="G53" s="11">
        <f t="shared" si="1"/>
        <v>2.4154989454621746E-4</v>
      </c>
    </row>
    <row r="54" spans="1:7" x14ac:dyDescent="0.25">
      <c r="A54">
        <v>43</v>
      </c>
      <c r="B54" s="8">
        <v>0</v>
      </c>
      <c r="C54" s="11">
        <f t="shared" si="0"/>
        <v>0</v>
      </c>
      <c r="E54" s="63">
        <v>43</v>
      </c>
      <c r="F54" s="153">
        <v>117</v>
      </c>
      <c r="G54" s="11">
        <f t="shared" si="1"/>
        <v>1.6149335806804252E-4</v>
      </c>
    </row>
    <row r="55" spans="1:7" x14ac:dyDescent="0.25">
      <c r="A55">
        <v>44</v>
      </c>
      <c r="B55" s="8">
        <v>77.448508152800002</v>
      </c>
      <c r="C55" s="11">
        <f t="shared" si="0"/>
        <v>1.084998115276876E-4</v>
      </c>
      <c r="E55" s="64">
        <v>44</v>
      </c>
      <c r="F55" s="154">
        <v>162</v>
      </c>
      <c r="G55" s="11">
        <f t="shared" si="1"/>
        <v>2.2360618809421273E-4</v>
      </c>
    </row>
    <row r="56" spans="1:7" x14ac:dyDescent="0.25">
      <c r="A56">
        <v>45</v>
      </c>
      <c r="B56" s="8">
        <v>0</v>
      </c>
      <c r="C56" s="11">
        <f t="shared" si="0"/>
        <v>0</v>
      </c>
      <c r="E56" s="65">
        <v>45</v>
      </c>
      <c r="F56" s="155">
        <v>145</v>
      </c>
      <c r="G56" s="11">
        <f t="shared" si="1"/>
        <v>2.0014134119543733E-4</v>
      </c>
    </row>
    <row r="57" spans="1:7" x14ac:dyDescent="0.25">
      <c r="A57">
        <v>46</v>
      </c>
      <c r="B57" s="8">
        <v>0</v>
      </c>
      <c r="C57" s="11">
        <f t="shared" si="0"/>
        <v>0</v>
      </c>
      <c r="E57" s="66">
        <v>46</v>
      </c>
      <c r="F57" s="156">
        <v>127</v>
      </c>
      <c r="G57" s="11">
        <f t="shared" si="1"/>
        <v>1.7529620918496926E-4</v>
      </c>
    </row>
    <row r="58" spans="1:7" x14ac:dyDescent="0.25">
      <c r="A58">
        <v>47</v>
      </c>
      <c r="B58" s="8">
        <v>0</v>
      </c>
      <c r="C58" s="11">
        <f t="shared" si="0"/>
        <v>0</v>
      </c>
      <c r="E58" s="67">
        <v>47</v>
      </c>
      <c r="F58" s="157">
        <v>103</v>
      </c>
      <c r="G58" s="11">
        <f t="shared" si="1"/>
        <v>1.4216936650434514E-4</v>
      </c>
    </row>
    <row r="59" spans="1:7" x14ac:dyDescent="0.25">
      <c r="A59">
        <v>48</v>
      </c>
      <c r="B59" s="8">
        <v>213.88651063500001</v>
      </c>
      <c r="C59" s="11">
        <f t="shared" si="0"/>
        <v>2.9963967861624017E-4</v>
      </c>
      <c r="E59" s="68">
        <v>48</v>
      </c>
      <c r="F59" s="158">
        <v>67</v>
      </c>
      <c r="G59" s="11">
        <f t="shared" si="1"/>
        <v>9.2479102483408973E-5</v>
      </c>
    </row>
    <row r="60" spans="1:7" x14ac:dyDescent="0.25">
      <c r="A60">
        <v>49</v>
      </c>
      <c r="B60" s="8">
        <v>0</v>
      </c>
      <c r="C60" s="11">
        <f t="shared" si="0"/>
        <v>0</v>
      </c>
      <c r="E60" s="69">
        <v>49</v>
      </c>
      <c r="F60" s="159">
        <v>54</v>
      </c>
      <c r="G60" s="11">
        <f t="shared" si="1"/>
        <v>7.4535396031404248E-5</v>
      </c>
    </row>
    <row r="61" spans="1:7" x14ac:dyDescent="0.25">
      <c r="A61">
        <v>50</v>
      </c>
      <c r="B61" s="8">
        <v>454.36723363099998</v>
      </c>
      <c r="C61" s="11">
        <f t="shared" si="0"/>
        <v>6.3653594354661554E-4</v>
      </c>
      <c r="E61" s="70">
        <v>50</v>
      </c>
      <c r="F61" s="160">
        <v>48</v>
      </c>
      <c r="G61" s="11">
        <f t="shared" si="1"/>
        <v>6.6253685361248213E-5</v>
      </c>
    </row>
    <row r="62" spans="1:7" x14ac:dyDescent="0.25">
      <c r="A62">
        <v>51</v>
      </c>
      <c r="B62" s="8">
        <v>94.724486434799999</v>
      </c>
      <c r="C62" s="11">
        <f t="shared" si="0"/>
        <v>1.3270221945341931E-4</v>
      </c>
      <c r="E62" s="71">
        <v>51</v>
      </c>
      <c r="F62" s="161">
        <v>47</v>
      </c>
      <c r="G62" s="11">
        <f t="shared" si="1"/>
        <v>6.4873400249555545E-5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72">
        <v>52</v>
      </c>
      <c r="F63" s="162">
        <v>38</v>
      </c>
      <c r="G63" s="11">
        <f t="shared" si="1"/>
        <v>5.2450834244321506E-5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73">
        <v>53</v>
      </c>
      <c r="F64" s="163">
        <v>17</v>
      </c>
      <c r="G64" s="11">
        <f t="shared" si="1"/>
        <v>2.346484689877541E-5</v>
      </c>
    </row>
    <row r="65" spans="1:7" x14ac:dyDescent="0.25">
      <c r="A65">
        <v>54</v>
      </c>
      <c r="B65" s="8">
        <v>0</v>
      </c>
      <c r="C65" s="11">
        <f t="shared" si="0"/>
        <v>0</v>
      </c>
      <c r="E65" s="74">
        <v>54</v>
      </c>
      <c r="F65" s="164">
        <v>28</v>
      </c>
      <c r="G65" s="11">
        <f t="shared" si="1"/>
        <v>3.8647983127394792E-5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75">
        <v>55</v>
      </c>
      <c r="F66" s="165">
        <v>24</v>
      </c>
      <c r="G66" s="11">
        <f t="shared" si="1"/>
        <v>3.3126842680624107E-5</v>
      </c>
    </row>
    <row r="67" spans="1:7" x14ac:dyDescent="0.25">
      <c r="A67">
        <v>56</v>
      </c>
      <c r="B67" s="8">
        <v>767.70177890100001</v>
      </c>
      <c r="C67" s="11">
        <f t="shared" si="0"/>
        <v>1.0754951942507831E-3</v>
      </c>
      <c r="E67" s="76">
        <v>56</v>
      </c>
      <c r="F67" s="166">
        <v>17</v>
      </c>
      <c r="G67" s="11">
        <f t="shared" si="1"/>
        <v>2.346484689877541E-5</v>
      </c>
    </row>
    <row r="68" spans="1:7" x14ac:dyDescent="0.25">
      <c r="A68">
        <v>57</v>
      </c>
      <c r="B68" s="8">
        <v>303.93913889200002</v>
      </c>
      <c r="C68" s="11">
        <f t="shared" si="0"/>
        <v>4.2579695945347185E-4</v>
      </c>
      <c r="E68" s="77">
        <v>57</v>
      </c>
      <c r="F68" s="167">
        <v>13</v>
      </c>
      <c r="G68" s="11">
        <f t="shared" si="1"/>
        <v>1.7943706452004725E-5</v>
      </c>
    </row>
    <row r="69" spans="1:7" x14ac:dyDescent="0.25">
      <c r="A69">
        <v>58</v>
      </c>
      <c r="B69" s="8">
        <v>0</v>
      </c>
      <c r="C69" s="11">
        <f t="shared" si="0"/>
        <v>0</v>
      </c>
      <c r="E69" s="78">
        <v>58</v>
      </c>
      <c r="F69" s="168">
        <v>20</v>
      </c>
      <c r="G69" s="11">
        <f t="shared" si="1"/>
        <v>2.7605702233853424E-5</v>
      </c>
    </row>
    <row r="70" spans="1:7" x14ac:dyDescent="0.25">
      <c r="A70">
        <v>59</v>
      </c>
      <c r="B70" s="8">
        <v>0</v>
      </c>
      <c r="C70" s="11">
        <f t="shared" si="0"/>
        <v>0</v>
      </c>
      <c r="E70" s="79">
        <v>59</v>
      </c>
      <c r="F70" s="169">
        <v>6</v>
      </c>
      <c r="G70" s="11">
        <f t="shared" si="1"/>
        <v>8.2817106701560266E-6</v>
      </c>
    </row>
    <row r="71" spans="1:7" x14ac:dyDescent="0.25">
      <c r="A71">
        <v>60</v>
      </c>
      <c r="B71" s="8">
        <v>0</v>
      </c>
      <c r="C71" s="11">
        <f t="shared" si="0"/>
        <v>0</v>
      </c>
      <c r="E71" s="80">
        <v>60</v>
      </c>
      <c r="F71" s="170">
        <v>13</v>
      </c>
      <c r="G71" s="11">
        <f t="shared" si="1"/>
        <v>1.7943706452004725E-5</v>
      </c>
    </row>
    <row r="72" spans="1:7" x14ac:dyDescent="0.25">
      <c r="A72">
        <v>61</v>
      </c>
      <c r="B72" s="8">
        <v>0</v>
      </c>
      <c r="C72" s="11">
        <f t="shared" si="0"/>
        <v>0</v>
      </c>
      <c r="E72" s="81">
        <v>61</v>
      </c>
      <c r="F72" s="171">
        <v>4</v>
      </c>
      <c r="G72" s="11">
        <f t="shared" si="1"/>
        <v>5.5211404467706847E-6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82">
        <v>62</v>
      </c>
      <c r="F73" s="172">
        <v>1</v>
      </c>
      <c r="G73" s="11">
        <f t="shared" si="1"/>
        <v>1.3802851116926712E-6</v>
      </c>
    </row>
    <row r="74" spans="1:7" x14ac:dyDescent="0.25">
      <c r="A74">
        <v>63</v>
      </c>
      <c r="B74" s="8">
        <v>0</v>
      </c>
      <c r="C74" s="11">
        <f t="shared" si="0"/>
        <v>0</v>
      </c>
      <c r="E74" s="83">
        <v>63</v>
      </c>
      <c r="F74" s="173">
        <v>2</v>
      </c>
      <c r="G74" s="11">
        <f t="shared" si="1"/>
        <v>2.7605702233853424E-6</v>
      </c>
    </row>
    <row r="75" spans="1:7" x14ac:dyDescent="0.25">
      <c r="A75">
        <v>64</v>
      </c>
      <c r="B75" s="8">
        <v>0</v>
      </c>
      <c r="C75" s="11">
        <f t="shared" si="0"/>
        <v>0</v>
      </c>
      <c r="E75" s="84">
        <v>64</v>
      </c>
      <c r="F75" s="174">
        <v>2</v>
      </c>
      <c r="G75" s="11">
        <f t="shared" si="1"/>
        <v>2.7605702233853424E-6</v>
      </c>
    </row>
    <row r="76" spans="1:7" x14ac:dyDescent="0.25">
      <c r="A76">
        <v>65</v>
      </c>
      <c r="B76" s="8">
        <v>0</v>
      </c>
      <c r="C76" s="11">
        <f t="shared" si="0"/>
        <v>0</v>
      </c>
      <c r="E76" s="85">
        <v>65</v>
      </c>
      <c r="F76" s="175">
        <v>0</v>
      </c>
      <c r="G76" s="11">
        <f t="shared" si="1"/>
        <v>0</v>
      </c>
    </row>
    <row r="77" spans="1:7" x14ac:dyDescent="0.25">
      <c r="A77">
        <v>66</v>
      </c>
      <c r="B77" s="8">
        <v>0</v>
      </c>
      <c r="C77" s="11">
        <f t="shared" ref="C77:C102" si="2">B77/B$102</f>
        <v>0</v>
      </c>
      <c r="E77" s="86">
        <v>66</v>
      </c>
      <c r="F77" s="176">
        <v>1</v>
      </c>
      <c r="G77" s="11">
        <f t="shared" ref="G77:G102" si="3">F77/F$102</f>
        <v>1.3802851116926712E-6</v>
      </c>
    </row>
    <row r="78" spans="1:7" x14ac:dyDescent="0.25">
      <c r="A78">
        <v>67</v>
      </c>
      <c r="B78" s="8">
        <v>0</v>
      </c>
      <c r="C78" s="11">
        <f t="shared" si="2"/>
        <v>0</v>
      </c>
      <c r="E78" s="87">
        <v>67</v>
      </c>
      <c r="F78" s="177">
        <v>0</v>
      </c>
      <c r="G78" s="11">
        <f t="shared" si="3"/>
        <v>0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88">
        <v>68</v>
      </c>
      <c r="F79" s="178">
        <v>0</v>
      </c>
      <c r="G79" s="11">
        <f t="shared" si="3"/>
        <v>0</v>
      </c>
    </row>
    <row r="80" spans="1:7" x14ac:dyDescent="0.25">
      <c r="A80">
        <v>69</v>
      </c>
      <c r="B80" s="8">
        <v>376.59752303599998</v>
      </c>
      <c r="C80" s="11">
        <f t="shared" si="2"/>
        <v>5.2758615040827928E-4</v>
      </c>
      <c r="E80" s="89">
        <v>69</v>
      </c>
      <c r="F80" s="179">
        <v>0</v>
      </c>
      <c r="G80" s="11">
        <f t="shared" si="3"/>
        <v>0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90">
        <v>70</v>
      </c>
      <c r="F81" s="180">
        <v>1</v>
      </c>
      <c r="G81" s="11">
        <f t="shared" si="3"/>
        <v>1.3802851116926712E-6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91">
        <v>71</v>
      </c>
      <c r="F82" s="181">
        <v>1</v>
      </c>
      <c r="G82" s="11">
        <f t="shared" si="3"/>
        <v>1.3802851116926712E-6</v>
      </c>
    </row>
    <row r="83" spans="1:7" x14ac:dyDescent="0.25">
      <c r="A83">
        <v>72</v>
      </c>
      <c r="B83" s="8">
        <v>0</v>
      </c>
      <c r="C83" s="11">
        <f t="shared" si="2"/>
        <v>0</v>
      </c>
      <c r="E83" s="92">
        <v>72</v>
      </c>
      <c r="F83" s="182">
        <v>0</v>
      </c>
      <c r="G83" s="11">
        <f t="shared" si="3"/>
        <v>0</v>
      </c>
    </row>
    <row r="84" spans="1:7" x14ac:dyDescent="0.25">
      <c r="A84">
        <v>73</v>
      </c>
      <c r="B84" s="8">
        <v>224.14029938100001</v>
      </c>
      <c r="C84" s="11">
        <f t="shared" si="2"/>
        <v>3.1400450207017656E-4</v>
      </c>
      <c r="E84" s="93">
        <v>73</v>
      </c>
      <c r="F84" s="183">
        <v>0</v>
      </c>
      <c r="G84" s="11">
        <f t="shared" si="3"/>
        <v>0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94">
        <v>74</v>
      </c>
      <c r="F85" s="184">
        <v>1</v>
      </c>
      <c r="G85" s="11">
        <f t="shared" si="3"/>
        <v>1.3802851116926712E-6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95">
        <v>75</v>
      </c>
      <c r="F86" s="185">
        <v>0</v>
      </c>
      <c r="G86" s="11">
        <f t="shared" si="3"/>
        <v>0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96">
        <v>76</v>
      </c>
      <c r="F87" s="186">
        <v>0</v>
      </c>
      <c r="G87" s="11">
        <f t="shared" si="3"/>
        <v>0</v>
      </c>
    </row>
    <row r="88" spans="1:7" x14ac:dyDescent="0.25">
      <c r="A88">
        <v>77</v>
      </c>
      <c r="B88" s="8">
        <v>0</v>
      </c>
      <c r="C88" s="11">
        <f t="shared" si="2"/>
        <v>0</v>
      </c>
      <c r="E88" s="97">
        <v>77</v>
      </c>
      <c r="F88" s="187">
        <v>0</v>
      </c>
      <c r="G88" s="11">
        <f t="shared" si="3"/>
        <v>0</v>
      </c>
    </row>
    <row r="89" spans="1:7" x14ac:dyDescent="0.25">
      <c r="A89">
        <v>78</v>
      </c>
      <c r="B89" s="8">
        <v>0</v>
      </c>
      <c r="C89" s="11">
        <f t="shared" si="2"/>
        <v>0</v>
      </c>
      <c r="E89" s="98">
        <v>78</v>
      </c>
      <c r="F89" s="188">
        <v>0</v>
      </c>
      <c r="G89" s="11">
        <f t="shared" si="3"/>
        <v>0</v>
      </c>
    </row>
    <row r="90" spans="1:7" x14ac:dyDescent="0.25">
      <c r="A90">
        <v>79</v>
      </c>
      <c r="B90" s="8">
        <v>0</v>
      </c>
      <c r="C90" s="11">
        <f t="shared" si="2"/>
        <v>0</v>
      </c>
      <c r="E90" s="99">
        <v>79</v>
      </c>
      <c r="F90" s="189">
        <v>0</v>
      </c>
      <c r="G90" s="11">
        <f t="shared" si="3"/>
        <v>0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100">
        <v>80</v>
      </c>
      <c r="F91" s="190">
        <v>0</v>
      </c>
      <c r="G91" s="11">
        <f t="shared" si="3"/>
        <v>0</v>
      </c>
    </row>
    <row r="92" spans="1:7" x14ac:dyDescent="0.25">
      <c r="A92">
        <v>81</v>
      </c>
      <c r="B92" s="8">
        <v>0</v>
      </c>
      <c r="C92" s="11">
        <f t="shared" si="2"/>
        <v>0</v>
      </c>
      <c r="E92" s="101">
        <v>81</v>
      </c>
      <c r="F92" s="191">
        <v>0</v>
      </c>
      <c r="G92" s="11">
        <f t="shared" si="3"/>
        <v>0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102">
        <v>82</v>
      </c>
      <c r="F93" s="192">
        <v>0</v>
      </c>
      <c r="G93" s="11">
        <f t="shared" si="3"/>
        <v>0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103">
        <v>83</v>
      </c>
      <c r="F94" s="193">
        <v>0</v>
      </c>
      <c r="G94" s="11">
        <f t="shared" si="3"/>
        <v>0</v>
      </c>
    </row>
    <row r="95" spans="1:7" x14ac:dyDescent="0.25">
      <c r="A95">
        <v>84</v>
      </c>
      <c r="B95" s="8">
        <v>0</v>
      </c>
      <c r="C95" s="11">
        <f t="shared" si="2"/>
        <v>0</v>
      </c>
      <c r="E95" s="104">
        <v>84</v>
      </c>
      <c r="F95" s="194">
        <v>0</v>
      </c>
      <c r="G95" s="11">
        <f t="shared" si="3"/>
        <v>0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105">
        <v>85</v>
      </c>
      <c r="F96" s="195">
        <v>0</v>
      </c>
      <c r="G96" s="11">
        <f t="shared" si="3"/>
        <v>0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106">
        <v>86</v>
      </c>
      <c r="F97" s="196">
        <v>0</v>
      </c>
      <c r="G97" s="11">
        <f t="shared" si="3"/>
        <v>0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107">
        <v>87</v>
      </c>
      <c r="F98" s="197">
        <v>0</v>
      </c>
      <c r="G98" s="11">
        <f t="shared" si="3"/>
        <v>0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108">
        <v>88</v>
      </c>
      <c r="F99" s="198">
        <v>0</v>
      </c>
      <c r="G99" s="11">
        <f t="shared" si="3"/>
        <v>0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109">
        <v>89</v>
      </c>
      <c r="F100" s="199">
        <v>0</v>
      </c>
      <c r="G100" s="11">
        <f t="shared" si="3"/>
        <v>0</v>
      </c>
    </row>
    <row r="101" spans="1:7" ht="15.75" thickBot="1" x14ac:dyDescent="0.3">
      <c r="A101" s="1">
        <v>90</v>
      </c>
      <c r="B101" s="9">
        <v>0</v>
      </c>
      <c r="C101" s="11">
        <f t="shared" si="2"/>
        <v>0</v>
      </c>
      <c r="E101" s="382">
        <v>90</v>
      </c>
      <c r="F101" s="382">
        <v>1</v>
      </c>
      <c r="G101" s="11">
        <f t="shared" si="3"/>
        <v>1.3802851116926712E-6</v>
      </c>
    </row>
    <row r="102" spans="1:7" x14ac:dyDescent="0.25">
      <c r="B102" s="8">
        <f>SUM(B11:B101)</f>
        <v>713812.37499234045</v>
      </c>
      <c r="C102" s="11">
        <f t="shared" si="2"/>
        <v>1</v>
      </c>
      <c r="F102" s="8">
        <f>SUM(F11:F101)</f>
        <v>724488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M30" sqref="M30"/>
    </sheetView>
  </sheetViews>
  <sheetFormatPr defaultRowHeight="15" x14ac:dyDescent="0.25"/>
  <cols>
    <col min="2" max="2" width="9.5703125" bestFit="1" customWidth="1" collapsed="1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r="9" spans="1:12" ht="15.75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>
        <v>0</v>
      </c>
      <c r="C11" s="11">
        <f>B11/B$102</f>
        <v>0</v>
      </c>
      <c r="E11" s="200">
        <v>0</v>
      </c>
      <c r="F11" s="290">
        <v>10068</v>
      </c>
      <c r="G11" s="11">
        <f>F11/F$102</f>
        <v>1.3896710504521815E-2</v>
      </c>
      <c r="K11" s="8">
        <v>24.113646099456428</v>
      </c>
      <c r="L11" s="8">
        <v>20.027577982884598</v>
      </c>
    </row>
    <row r="12" spans="1:12" x14ac:dyDescent="0.25">
      <c r="A12">
        <v>1</v>
      </c>
      <c r="B12" s="8">
        <v>7793.4922764960002</v>
      </c>
      <c r="C12" s="11">
        <f>B12/B$102</f>
        <v>1.0918124355268601E-2</v>
      </c>
      <c r="E12" s="201">
        <v>1</v>
      </c>
      <c r="F12" s="291">
        <v>20480</v>
      </c>
      <c r="G12" s="11">
        <f>F12/F$102</f>
        <v>2.8268239087465907E-2</v>
      </c>
      <c r="K12" s="8"/>
      <c r="L12" s="381"/>
    </row>
    <row r="13" spans="1:12" x14ac:dyDescent="0.25">
      <c r="A13">
        <v>2</v>
      </c>
      <c r="B13" s="8">
        <v>3735.470356412</v>
      </c>
      <c r="C13" s="11">
        <f t="shared" ref="C13:C76" si="0">B13/B$102</f>
        <v>5.2331263610442182E-3</v>
      </c>
      <c r="E13" s="202">
        <v>2</v>
      </c>
      <c r="F13" s="292">
        <v>24654</v>
      </c>
      <c r="G13" s="11">
        <f t="shared" ref="G13:G76" si="1">F13/F$102</f>
        <v>3.4029549143671116E-2</v>
      </c>
    </row>
    <row r="14" spans="1:12" x14ac:dyDescent="0.25">
      <c r="A14">
        <v>3</v>
      </c>
      <c r="B14" s="8">
        <v>10871.694237952499</v>
      </c>
      <c r="C14" s="11">
        <f t="shared" si="0"/>
        <v>1.5230464781545921E-2</v>
      </c>
      <c r="E14" s="203">
        <v>3</v>
      </c>
      <c r="F14" s="293">
        <v>25371</v>
      </c>
      <c r="G14" s="11">
        <f t="shared" si="1"/>
        <v>3.5019213568754759E-2</v>
      </c>
    </row>
    <row r="15" spans="1:12" x14ac:dyDescent="0.25">
      <c r="A15">
        <v>4</v>
      </c>
      <c r="B15" s="8">
        <v>9819.2436013063998</v>
      </c>
      <c r="C15" s="11">
        <f t="shared" si="0"/>
        <v>1.3756056836940882E-2</v>
      </c>
      <c r="E15" s="204">
        <v>4</v>
      </c>
      <c r="F15" s="294">
        <v>23571</v>
      </c>
      <c r="G15" s="11">
        <f t="shared" si="1"/>
        <v>3.2534700367707954E-2</v>
      </c>
    </row>
    <row r="16" spans="1:12" x14ac:dyDescent="0.25">
      <c r="A16">
        <v>5</v>
      </c>
      <c r="B16" s="8">
        <v>16332.2660777692</v>
      </c>
      <c r="C16" s="11">
        <f t="shared" si="0"/>
        <v>2.2880334734942696E-2</v>
      </c>
      <c r="E16" s="205">
        <v>5</v>
      </c>
      <c r="F16" s="295">
        <v>21155</v>
      </c>
      <c r="G16" s="11">
        <f t="shared" si="1"/>
        <v>2.9199931537858461E-2</v>
      </c>
    </row>
    <row r="17" spans="1:7" x14ac:dyDescent="0.25">
      <c r="A17">
        <v>6</v>
      </c>
      <c r="B17" s="8">
        <v>6831.1061588458997</v>
      </c>
      <c r="C17" s="11">
        <f t="shared" si="0"/>
        <v>9.5698903495742785E-3</v>
      </c>
      <c r="E17" s="206">
        <v>6</v>
      </c>
      <c r="F17" s="296">
        <v>19363</v>
      </c>
      <c r="G17" s="11">
        <f t="shared" si="1"/>
        <v>2.6726460617705193E-2</v>
      </c>
    </row>
    <row r="18" spans="1:7" x14ac:dyDescent="0.25">
      <c r="A18">
        <v>7</v>
      </c>
      <c r="B18" s="8">
        <v>8476.0208145379002</v>
      </c>
      <c r="C18" s="11">
        <f t="shared" si="0"/>
        <v>1.1874297940868349E-2</v>
      </c>
      <c r="E18" s="207">
        <v>7</v>
      </c>
      <c r="F18" s="297">
        <v>17757</v>
      </c>
      <c r="G18" s="11">
        <f t="shared" si="1"/>
        <v>2.4509722728326765E-2</v>
      </c>
    </row>
    <row r="19" spans="1:7" x14ac:dyDescent="0.25">
      <c r="A19">
        <v>8</v>
      </c>
      <c r="B19" s="8">
        <v>6745.4341589961996</v>
      </c>
      <c r="C19" s="11">
        <f t="shared" si="0"/>
        <v>9.449870015308403E-3</v>
      </c>
      <c r="E19" s="208">
        <v>8</v>
      </c>
      <c r="F19" s="298">
        <v>15850</v>
      </c>
      <c r="G19" s="11">
        <f t="shared" si="1"/>
        <v>2.1877519020328841E-2</v>
      </c>
    </row>
    <row r="20" spans="1:7" x14ac:dyDescent="0.25">
      <c r="A20">
        <v>9</v>
      </c>
      <c r="B20" s="8">
        <v>8005.3491272956999</v>
      </c>
      <c r="C20" s="11">
        <f t="shared" si="0"/>
        <v>1.1214920625859976E-2</v>
      </c>
      <c r="E20" s="209">
        <v>9</v>
      </c>
      <c r="F20" s="299">
        <v>14298</v>
      </c>
      <c r="G20" s="11">
        <f t="shared" si="1"/>
        <v>1.9735316526981812E-2</v>
      </c>
    </row>
    <row r="21" spans="1:7" x14ac:dyDescent="0.25">
      <c r="A21">
        <v>10</v>
      </c>
      <c r="B21" s="8">
        <v>3311.5745170390001</v>
      </c>
      <c r="C21" s="11">
        <f t="shared" si="0"/>
        <v>4.6392786578889622E-3</v>
      </c>
      <c r="E21" s="210">
        <v>10</v>
      </c>
      <c r="F21" s="300">
        <v>12751</v>
      </c>
      <c r="G21" s="11">
        <f t="shared" si="1"/>
        <v>1.760001545919325E-2</v>
      </c>
    </row>
    <row r="22" spans="1:7" x14ac:dyDescent="0.25">
      <c r="A22">
        <v>11</v>
      </c>
      <c r="B22" s="8">
        <v>11087.992481765999</v>
      </c>
      <c r="C22" s="11">
        <f t="shared" si="0"/>
        <v>1.5533483125569196E-2</v>
      </c>
      <c r="E22" s="211">
        <v>11</v>
      </c>
      <c r="F22" s="301">
        <v>11600</v>
      </c>
      <c r="G22" s="11">
        <f t="shared" si="1"/>
        <v>1.6011307295634988E-2</v>
      </c>
    </row>
    <row r="23" spans="1:7" x14ac:dyDescent="0.25">
      <c r="A23">
        <v>12</v>
      </c>
      <c r="B23" s="8">
        <v>14689.846522645499</v>
      </c>
      <c r="C23" s="11">
        <f t="shared" si="0"/>
        <v>2.057942260079635E-2</v>
      </c>
      <c r="E23" s="212">
        <v>12</v>
      </c>
      <c r="F23" s="302">
        <v>10151</v>
      </c>
      <c r="G23" s="11">
        <f t="shared" si="1"/>
        <v>1.4011274168792305E-2</v>
      </c>
    </row>
    <row r="24" spans="1:7" x14ac:dyDescent="0.25">
      <c r="A24">
        <v>13</v>
      </c>
      <c r="B24" s="8">
        <v>27272.666887256801</v>
      </c>
      <c r="C24" s="11">
        <f t="shared" si="0"/>
        <v>3.8207052501085359E-2</v>
      </c>
      <c r="E24" s="213">
        <v>13</v>
      </c>
      <c r="F24" s="303">
        <v>8805</v>
      </c>
      <c r="G24" s="11">
        <f t="shared" si="1"/>
        <v>1.215341040845397E-2</v>
      </c>
    </row>
    <row r="25" spans="1:7" x14ac:dyDescent="0.25">
      <c r="A25">
        <v>14</v>
      </c>
      <c r="B25" s="8">
        <v>14318.314002384999</v>
      </c>
      <c r="C25" s="11">
        <f t="shared" si="0"/>
        <v>2.005893215642084E-2</v>
      </c>
      <c r="E25" s="214">
        <v>14</v>
      </c>
      <c r="F25" s="304">
        <v>7725</v>
      </c>
      <c r="G25" s="11">
        <f t="shared" si="1"/>
        <v>1.0662702487825885E-2</v>
      </c>
    </row>
    <row r="26" spans="1:7" x14ac:dyDescent="0.25">
      <c r="A26">
        <v>15</v>
      </c>
      <c r="B26" s="8">
        <v>7049.5308562966002</v>
      </c>
      <c r="C26" s="11">
        <f t="shared" si="0"/>
        <v>9.8758877028045922E-3</v>
      </c>
      <c r="E26" s="215">
        <v>15</v>
      </c>
      <c r="F26" s="305">
        <v>7351</v>
      </c>
      <c r="G26" s="11">
        <f t="shared" si="1"/>
        <v>1.0146475856052826E-2</v>
      </c>
    </row>
    <row r="27" spans="1:7" x14ac:dyDescent="0.25">
      <c r="A27">
        <v>16</v>
      </c>
      <c r="B27" s="8">
        <v>23865.880590022</v>
      </c>
      <c r="C27" s="11">
        <f t="shared" si="0"/>
        <v>3.3434388960093438E-2</v>
      </c>
      <c r="E27" s="216">
        <v>16</v>
      </c>
      <c r="F27" s="306">
        <v>6792</v>
      </c>
      <c r="G27" s="11">
        <f t="shared" si="1"/>
        <v>9.3748964786166226E-3</v>
      </c>
    </row>
    <row r="28" spans="1:7" x14ac:dyDescent="0.25">
      <c r="A28">
        <v>17</v>
      </c>
      <c r="B28" s="8">
        <v>14432.717506793</v>
      </c>
      <c r="C28" s="11">
        <f t="shared" si="0"/>
        <v>2.0219203270254119E-2</v>
      </c>
      <c r="E28" s="217">
        <v>17</v>
      </c>
      <c r="F28" s="307">
        <v>6328</v>
      </c>
      <c r="G28" s="11">
        <f t="shared" si="1"/>
        <v>8.734444186791224E-3</v>
      </c>
    </row>
    <row r="29" spans="1:7" x14ac:dyDescent="0.25">
      <c r="A29">
        <v>18</v>
      </c>
      <c r="B29" s="8">
        <v>47127.753138058797</v>
      </c>
      <c r="C29" s="11">
        <f t="shared" si="0"/>
        <v>6.6022605924371189E-2</v>
      </c>
      <c r="E29" s="218">
        <v>18</v>
      </c>
      <c r="F29" s="308">
        <v>75269</v>
      </c>
      <c r="G29" s="11">
        <f t="shared" si="1"/>
        <v>0.10389268007199567</v>
      </c>
    </row>
    <row r="30" spans="1:7" x14ac:dyDescent="0.25">
      <c r="A30">
        <v>19</v>
      </c>
      <c r="B30" s="8">
        <v>28800.970069724499</v>
      </c>
      <c r="C30" s="11">
        <f t="shared" si="0"/>
        <v>4.0348095772412926E-2</v>
      </c>
      <c r="E30" s="219">
        <v>19</v>
      </c>
      <c r="F30" s="309">
        <v>24841</v>
      </c>
      <c r="G30" s="11">
        <f t="shared" si="1"/>
        <v>3.4287662459557645E-2</v>
      </c>
    </row>
    <row r="31" spans="1:7" x14ac:dyDescent="0.25">
      <c r="A31">
        <v>20</v>
      </c>
      <c r="B31" s="8">
        <v>39793.526429882702</v>
      </c>
      <c r="C31" s="11">
        <f t="shared" si="0"/>
        <v>5.5747879728632724E-2</v>
      </c>
      <c r="E31" s="220">
        <v>20</v>
      </c>
      <c r="F31" s="310">
        <v>28249</v>
      </c>
      <c r="G31" s="11">
        <f t="shared" si="1"/>
        <v>3.8991674120206272E-2</v>
      </c>
    </row>
    <row r="32" spans="1:7" x14ac:dyDescent="0.25">
      <c r="A32">
        <v>21</v>
      </c>
      <c r="B32" s="8">
        <v>37709.827037034898</v>
      </c>
      <c r="C32" s="11">
        <f t="shared" si="0"/>
        <v>5.2828766155027108E-2</v>
      </c>
      <c r="E32" s="221">
        <v>21</v>
      </c>
      <c r="F32" s="311">
        <v>33736</v>
      </c>
      <c r="G32" s="11">
        <f t="shared" si="1"/>
        <v>4.6565298528063959E-2</v>
      </c>
    </row>
    <row r="33" spans="1:7" x14ac:dyDescent="0.25">
      <c r="A33">
        <v>22</v>
      </c>
      <c r="B33" s="8">
        <v>35486.283218124998</v>
      </c>
      <c r="C33" s="11">
        <f t="shared" si="0"/>
        <v>4.9713740558932955E-2</v>
      </c>
      <c r="E33" s="222">
        <v>22</v>
      </c>
      <c r="F33" s="312">
        <v>32009</v>
      </c>
      <c r="G33" s="11">
        <f t="shared" si="1"/>
        <v>4.418154614017071E-2</v>
      </c>
    </row>
    <row r="34" spans="1:7" x14ac:dyDescent="0.25">
      <c r="A34">
        <v>23</v>
      </c>
      <c r="B34" s="8">
        <v>29017.355384408002</v>
      </c>
      <c r="C34" s="11">
        <f t="shared" si="0"/>
        <v>4.0651236096487332E-2</v>
      </c>
      <c r="E34" s="223">
        <v>23</v>
      </c>
      <c r="F34" s="313">
        <v>22671</v>
      </c>
      <c r="G34" s="11">
        <f t="shared" si="1"/>
        <v>3.1292443767184548E-2</v>
      </c>
    </row>
    <row r="35" spans="1:7" x14ac:dyDescent="0.25">
      <c r="A35">
        <v>24</v>
      </c>
      <c r="B35" s="8">
        <v>37931.444088044103</v>
      </c>
      <c r="C35" s="11">
        <f t="shared" si="0"/>
        <v>5.3139235766893368E-2</v>
      </c>
      <c r="E35" s="224">
        <v>24</v>
      </c>
      <c r="F35" s="314">
        <v>20912</v>
      </c>
      <c r="G35" s="11">
        <f t="shared" si="1"/>
        <v>2.8864522255717142E-2</v>
      </c>
    </row>
    <row r="36" spans="1:7" x14ac:dyDescent="0.25">
      <c r="A36">
        <v>25</v>
      </c>
      <c r="B36" s="8">
        <v>9971.2401772759004</v>
      </c>
      <c r="C36" s="11">
        <f t="shared" si="0"/>
        <v>1.39689931508723E-2</v>
      </c>
      <c r="E36" s="225">
        <v>25</v>
      </c>
      <c r="F36" s="315">
        <v>22788</v>
      </c>
      <c r="G36" s="11">
        <f t="shared" si="1"/>
        <v>3.1453937125252594E-2</v>
      </c>
    </row>
    <row r="37" spans="1:7" x14ac:dyDescent="0.25">
      <c r="A37">
        <v>26</v>
      </c>
      <c r="B37" s="8">
        <v>45763.924449881997</v>
      </c>
      <c r="C37" s="11">
        <f t="shared" si="0"/>
        <v>6.4111979636627958E-2</v>
      </c>
      <c r="E37" s="226">
        <v>26</v>
      </c>
      <c r="F37" s="316">
        <v>16045</v>
      </c>
      <c r="G37" s="11">
        <f t="shared" si="1"/>
        <v>2.2146674617108911E-2</v>
      </c>
    </row>
    <row r="38" spans="1:7" x14ac:dyDescent="0.25">
      <c r="A38">
        <v>27</v>
      </c>
      <c r="B38" s="8">
        <v>8839.1337536230003</v>
      </c>
      <c r="C38" s="11">
        <f t="shared" si="0"/>
        <v>1.2382993155194097E-2</v>
      </c>
      <c r="E38" s="227">
        <v>27</v>
      </c>
      <c r="F38" s="317">
        <v>13451</v>
      </c>
      <c r="G38" s="11">
        <f t="shared" si="1"/>
        <v>1.8566215037378122E-2</v>
      </c>
    </row>
    <row r="39" spans="1:7" x14ac:dyDescent="0.25">
      <c r="A39">
        <v>28</v>
      </c>
      <c r="B39" s="8">
        <v>12756.039099370601</v>
      </c>
      <c r="C39" s="11">
        <f t="shared" si="0"/>
        <v>1.7870296938334071E-2</v>
      </c>
      <c r="E39" s="228">
        <v>28</v>
      </c>
      <c r="F39" s="318">
        <v>12901</v>
      </c>
      <c r="G39" s="11">
        <f t="shared" si="1"/>
        <v>1.780705822594715E-2</v>
      </c>
    </row>
    <row r="40" spans="1:7" x14ac:dyDescent="0.25">
      <c r="A40">
        <v>29</v>
      </c>
      <c r="B40" s="8">
        <v>15772.453260047399</v>
      </c>
      <c r="C40" s="11">
        <f t="shared" si="0"/>
        <v>2.2096077082183724E-2</v>
      </c>
      <c r="E40" s="229">
        <v>29</v>
      </c>
      <c r="F40" s="319">
        <v>12900</v>
      </c>
      <c r="G40" s="11">
        <f t="shared" si="1"/>
        <v>1.7805677940835461E-2</v>
      </c>
    </row>
    <row r="41" spans="1:7" x14ac:dyDescent="0.25">
      <c r="A41">
        <v>30</v>
      </c>
      <c r="B41" s="8">
        <v>7948.5387110976999</v>
      </c>
      <c r="C41" s="11">
        <f t="shared" si="0"/>
        <v>1.1135333302652517E-2</v>
      </c>
      <c r="E41" s="230">
        <v>30</v>
      </c>
      <c r="F41" s="320">
        <v>19420</v>
      </c>
      <c r="G41" s="11">
        <f t="shared" si="1"/>
        <v>2.6805136869071676E-2</v>
      </c>
    </row>
    <row r="42" spans="1:7" x14ac:dyDescent="0.25">
      <c r="A42">
        <v>31</v>
      </c>
      <c r="B42" s="8">
        <v>11734.1355258849</v>
      </c>
      <c r="C42" s="11">
        <f t="shared" si="0"/>
        <v>1.6438683240831746E-2</v>
      </c>
      <c r="E42" s="231">
        <v>31</v>
      </c>
      <c r="F42" s="321">
        <v>11177</v>
      </c>
      <c r="G42" s="11">
        <f t="shared" si="1"/>
        <v>1.5427446693388986E-2</v>
      </c>
    </row>
    <row r="43" spans="1:7" x14ac:dyDescent="0.25">
      <c r="A43">
        <v>32</v>
      </c>
      <c r="B43" s="8">
        <v>5547.8981289166995</v>
      </c>
      <c r="C43" s="11">
        <f t="shared" si="0"/>
        <v>7.7722078283893967E-3</v>
      </c>
      <c r="E43" s="232">
        <v>32</v>
      </c>
      <c r="F43" s="322">
        <v>13343</v>
      </c>
      <c r="G43" s="11">
        <f t="shared" si="1"/>
        <v>1.8417144245315313E-2</v>
      </c>
    </row>
    <row r="44" spans="1:7" x14ac:dyDescent="0.25">
      <c r="A44">
        <v>33</v>
      </c>
      <c r="B44" s="8">
        <v>12268.2299593388</v>
      </c>
      <c r="C44" s="11">
        <f t="shared" si="0"/>
        <v>1.7186911279690881E-2</v>
      </c>
      <c r="E44" s="233">
        <v>33</v>
      </c>
      <c r="F44" s="323">
        <v>9075</v>
      </c>
      <c r="G44" s="11">
        <f t="shared" si="1"/>
        <v>1.2526087388610992E-2</v>
      </c>
    </row>
    <row r="45" spans="1:7" x14ac:dyDescent="0.25">
      <c r="A45">
        <v>34</v>
      </c>
      <c r="B45" s="8">
        <v>8514.7335108916996</v>
      </c>
      <c r="C45" s="11">
        <f t="shared" si="0"/>
        <v>1.1928531655090823E-2</v>
      </c>
      <c r="E45" s="234">
        <v>34</v>
      </c>
      <c r="F45" s="324">
        <v>11968</v>
      </c>
      <c r="G45" s="11">
        <f t="shared" si="1"/>
        <v>1.651925221673789E-2</v>
      </c>
    </row>
    <row r="46" spans="1:7" x14ac:dyDescent="0.25">
      <c r="A46">
        <v>35</v>
      </c>
      <c r="B46" s="8">
        <v>9783.0292357916005</v>
      </c>
      <c r="C46" s="11">
        <f t="shared" si="0"/>
        <v>1.3705323105243966E-2</v>
      </c>
      <c r="E46" s="235">
        <v>35</v>
      </c>
      <c r="F46" s="325">
        <v>7235</v>
      </c>
      <c r="G46" s="11">
        <f t="shared" si="1"/>
        <v>9.9863627830964769E-3</v>
      </c>
    </row>
    <row r="47" spans="1:7" x14ac:dyDescent="0.25">
      <c r="A47">
        <v>36</v>
      </c>
      <c r="B47" s="8">
        <v>1286.2546670700001</v>
      </c>
      <c r="C47" s="11">
        <f t="shared" si="0"/>
        <v>1.8019506415587168E-3</v>
      </c>
      <c r="E47" s="236">
        <v>36</v>
      </c>
      <c r="F47" s="326">
        <v>6272</v>
      </c>
      <c r="G47" s="11">
        <f t="shared" si="1"/>
        <v>8.6571482205364345E-3</v>
      </c>
    </row>
    <row r="48" spans="1:7" x14ac:dyDescent="0.25">
      <c r="A48">
        <v>37</v>
      </c>
      <c r="B48" s="8">
        <v>11688.1619787457</v>
      </c>
      <c r="C48" s="11">
        <f t="shared" si="0"/>
        <v>1.6374277594824706E-2</v>
      </c>
      <c r="E48" s="237">
        <v>37</v>
      </c>
      <c r="F48" s="327">
        <v>7258</v>
      </c>
      <c r="G48" s="11">
        <f t="shared" si="1"/>
        <v>1.0018109340665408E-2</v>
      </c>
    </row>
    <row r="49" spans="1:7" x14ac:dyDescent="0.25">
      <c r="A49">
        <v>38</v>
      </c>
      <c r="B49" s="8">
        <v>9089.8752767496007</v>
      </c>
      <c r="C49" s="11">
        <f t="shared" si="0"/>
        <v>1.273426406602594E-2</v>
      </c>
      <c r="E49" s="238">
        <v>38</v>
      </c>
      <c r="F49" s="328">
        <v>8098</v>
      </c>
      <c r="G49" s="11">
        <f t="shared" si="1"/>
        <v>1.1177548834487251E-2</v>
      </c>
    </row>
    <row r="50" spans="1:7" x14ac:dyDescent="0.25">
      <c r="A50">
        <v>39</v>
      </c>
      <c r="B50" s="8">
        <v>5598.9639928003999</v>
      </c>
      <c r="C50" s="11">
        <f t="shared" si="0"/>
        <v>7.8437474453430089E-3</v>
      </c>
      <c r="E50" s="239">
        <v>39</v>
      </c>
      <c r="F50" s="329">
        <v>5404</v>
      </c>
      <c r="G50" s="11">
        <f t="shared" si="1"/>
        <v>7.4590607435871953E-3</v>
      </c>
    </row>
    <row r="51" spans="1:7" x14ac:dyDescent="0.25">
      <c r="A51">
        <v>40</v>
      </c>
      <c r="B51" s="8">
        <v>8490.2575181550001</v>
      </c>
      <c r="C51" s="11">
        <f t="shared" si="0"/>
        <v>1.1894242542721537E-2</v>
      </c>
      <c r="E51" s="240">
        <v>40</v>
      </c>
      <c r="F51" s="330">
        <v>4788</v>
      </c>
      <c r="G51" s="11">
        <f t="shared" si="1"/>
        <v>6.6088051147845097E-3</v>
      </c>
    </row>
    <row r="52" spans="1:7" x14ac:dyDescent="0.25">
      <c r="A52">
        <v>41</v>
      </c>
      <c r="B52" s="8">
        <v>11066.512236332999</v>
      </c>
      <c r="C52" s="11">
        <f t="shared" si="0"/>
        <v>1.5503390840557704E-2</v>
      </c>
      <c r="E52" s="241">
        <v>41</v>
      </c>
      <c r="F52" s="331">
        <v>4240</v>
      </c>
      <c r="G52" s="11">
        <f t="shared" si="1"/>
        <v>5.852408873576926E-3</v>
      </c>
    </row>
    <row r="53" spans="1:7" x14ac:dyDescent="0.25">
      <c r="A53">
        <v>42</v>
      </c>
      <c r="B53" s="8">
        <v>526.7772426363</v>
      </c>
      <c r="C53" s="11">
        <f t="shared" si="0"/>
        <v>7.3797717872564519E-4</v>
      </c>
      <c r="E53" s="242">
        <v>42</v>
      </c>
      <c r="F53" s="332">
        <v>3062</v>
      </c>
      <c r="G53" s="11">
        <f t="shared" si="1"/>
        <v>4.2264330120029593E-3</v>
      </c>
    </row>
    <row r="54" spans="1:7" x14ac:dyDescent="0.25">
      <c r="A54">
        <v>43</v>
      </c>
      <c r="B54" s="8">
        <v>547.57952126400005</v>
      </c>
      <c r="C54" s="11">
        <f t="shared" si="0"/>
        <v>7.6711968081230792E-4</v>
      </c>
      <c r="E54" s="243">
        <v>43</v>
      </c>
      <c r="F54" s="333">
        <v>3726</v>
      </c>
      <c r="G54" s="11">
        <f t="shared" si="1"/>
        <v>5.1429423261668931E-3</v>
      </c>
    </row>
    <row r="55" spans="1:7" x14ac:dyDescent="0.25">
      <c r="A55">
        <v>44</v>
      </c>
      <c r="B55" s="8">
        <v>2528.7735699109999</v>
      </c>
      <c r="C55" s="11">
        <f t="shared" si="0"/>
        <v>3.5426306106533011E-3</v>
      </c>
      <c r="E55" s="244">
        <v>44</v>
      </c>
      <c r="F55" s="334">
        <v>3440</v>
      </c>
      <c r="G55" s="11">
        <f t="shared" si="1"/>
        <v>4.7481807842227894E-3</v>
      </c>
    </row>
    <row r="56" spans="1:7" x14ac:dyDescent="0.25">
      <c r="A56">
        <v>45</v>
      </c>
      <c r="B56" s="8">
        <v>31986.484365214699</v>
      </c>
      <c r="C56" s="11">
        <f t="shared" si="0"/>
        <v>4.4810773090839043E-2</v>
      </c>
      <c r="E56" s="245">
        <v>45</v>
      </c>
      <c r="F56" s="335">
        <v>3014</v>
      </c>
      <c r="G56" s="11">
        <f t="shared" si="1"/>
        <v>4.160179326641711E-3</v>
      </c>
    </row>
    <row r="57" spans="1:7" x14ac:dyDescent="0.25">
      <c r="A57">
        <v>46</v>
      </c>
      <c r="B57" s="8">
        <v>3263.8444416080001</v>
      </c>
      <c r="C57" s="11">
        <f t="shared" si="0"/>
        <v>4.5724122415824195E-3</v>
      </c>
      <c r="E57" s="246">
        <v>46</v>
      </c>
      <c r="F57" s="336">
        <v>2689</v>
      </c>
      <c r="G57" s="11">
        <f t="shared" si="1"/>
        <v>3.7115866653415928E-3</v>
      </c>
    </row>
    <row r="58" spans="1:7" x14ac:dyDescent="0.25">
      <c r="A58">
        <v>47</v>
      </c>
      <c r="B58" s="8">
        <v>0</v>
      </c>
      <c r="C58" s="11">
        <f t="shared" si="0"/>
        <v>0</v>
      </c>
      <c r="E58" s="247">
        <v>47</v>
      </c>
      <c r="F58" s="337">
        <v>2186</v>
      </c>
      <c r="G58" s="11">
        <f t="shared" si="1"/>
        <v>3.0173032541601793E-3</v>
      </c>
    </row>
    <row r="59" spans="1:7" x14ac:dyDescent="0.25">
      <c r="A59">
        <v>48</v>
      </c>
      <c r="B59" s="8">
        <v>581.61999657319996</v>
      </c>
      <c r="C59" s="11">
        <f t="shared" si="0"/>
        <v>8.1480794806820301E-4</v>
      </c>
      <c r="E59" s="248">
        <v>48</v>
      </c>
      <c r="F59" s="338">
        <v>1935</v>
      </c>
      <c r="G59" s="11">
        <f t="shared" si="1"/>
        <v>2.670851691125319E-3</v>
      </c>
    </row>
    <row r="60" spans="1:7" x14ac:dyDescent="0.25">
      <c r="A60">
        <v>49</v>
      </c>
      <c r="B60" s="8">
        <v>214.10313157900001</v>
      </c>
      <c r="C60" s="11">
        <f t="shared" si="0"/>
        <v>2.9994314904010637E-4</v>
      </c>
      <c r="E60" s="249">
        <v>49</v>
      </c>
      <c r="F60" s="339">
        <v>2628</v>
      </c>
      <c r="G60" s="11">
        <f t="shared" si="1"/>
        <v>3.6273892735283401E-3</v>
      </c>
    </row>
    <row r="61" spans="1:7" x14ac:dyDescent="0.25">
      <c r="A61">
        <v>50</v>
      </c>
      <c r="B61" s="8">
        <v>1767.383302078</v>
      </c>
      <c r="C61" s="11">
        <f t="shared" si="0"/>
        <v>2.4759773912534982E-3</v>
      </c>
      <c r="E61" s="250">
        <v>50</v>
      </c>
      <c r="F61" s="340">
        <v>1395</v>
      </c>
      <c r="G61" s="11">
        <f t="shared" si="1"/>
        <v>1.9254977308112765E-3</v>
      </c>
    </row>
    <row r="62" spans="1:7" x14ac:dyDescent="0.25">
      <c r="A62">
        <v>51</v>
      </c>
      <c r="B62" s="8">
        <v>280.07762734800002</v>
      </c>
      <c r="C62" s="11">
        <f t="shared" si="0"/>
        <v>3.9236869121385745E-4</v>
      </c>
      <c r="E62" s="251">
        <v>51</v>
      </c>
      <c r="F62" s="341">
        <v>1643</v>
      </c>
      <c r="G62" s="11">
        <f t="shared" si="1"/>
        <v>2.2678084385110587E-3</v>
      </c>
    </row>
    <row r="63" spans="1:7" x14ac:dyDescent="0.25">
      <c r="A63">
        <v>52</v>
      </c>
      <c r="B63" s="8">
        <v>0</v>
      </c>
      <c r="C63" s="11">
        <f t="shared" si="0"/>
        <v>0</v>
      </c>
      <c r="E63" s="252">
        <v>52</v>
      </c>
      <c r="F63" s="342">
        <v>1155</v>
      </c>
      <c r="G63" s="11">
        <f t="shared" si="1"/>
        <v>1.5942293040050353E-3</v>
      </c>
    </row>
    <row r="64" spans="1:7" x14ac:dyDescent="0.25">
      <c r="A64">
        <v>53</v>
      </c>
      <c r="B64" s="8">
        <v>0</v>
      </c>
      <c r="C64" s="11">
        <f t="shared" si="0"/>
        <v>0</v>
      </c>
      <c r="E64" s="253">
        <v>53</v>
      </c>
      <c r="F64" s="343">
        <v>1017</v>
      </c>
      <c r="G64" s="11">
        <f t="shared" si="1"/>
        <v>1.4037499585914466E-3</v>
      </c>
    </row>
    <row r="65" spans="1:7" x14ac:dyDescent="0.25">
      <c r="A65">
        <v>54</v>
      </c>
      <c r="B65" s="8">
        <v>326.75876427700001</v>
      </c>
      <c r="C65" s="11">
        <f t="shared" si="0"/>
        <v>4.5776561982482591E-4</v>
      </c>
      <c r="E65" s="254">
        <v>54</v>
      </c>
      <c r="F65" s="344">
        <v>1070</v>
      </c>
      <c r="G65" s="11">
        <f t="shared" si="1"/>
        <v>1.4769050695111583E-3</v>
      </c>
    </row>
    <row r="66" spans="1:7" x14ac:dyDescent="0.25">
      <c r="A66">
        <v>55</v>
      </c>
      <c r="B66" s="8">
        <v>0</v>
      </c>
      <c r="C66" s="11">
        <f t="shared" si="0"/>
        <v>0</v>
      </c>
      <c r="E66" s="255">
        <v>55</v>
      </c>
      <c r="F66" s="345">
        <v>848</v>
      </c>
      <c r="G66" s="11">
        <f t="shared" si="1"/>
        <v>1.1704817747153853E-3</v>
      </c>
    </row>
    <row r="67" spans="1:7" x14ac:dyDescent="0.25">
      <c r="A67">
        <v>56</v>
      </c>
      <c r="B67" s="8">
        <v>232.83353132580001</v>
      </c>
      <c r="C67" s="11">
        <f t="shared" si="0"/>
        <v>3.2618309724358348E-4</v>
      </c>
      <c r="E67" s="256">
        <v>56</v>
      </c>
      <c r="F67" s="346">
        <v>1001</v>
      </c>
      <c r="G67" s="11">
        <f t="shared" si="1"/>
        <v>1.3816653968043639E-3</v>
      </c>
    </row>
    <row r="68" spans="1:7" x14ac:dyDescent="0.25">
      <c r="A68">
        <v>57</v>
      </c>
      <c r="B68" s="8">
        <v>1954.083490471</v>
      </c>
      <c r="C68" s="11">
        <f t="shared" si="0"/>
        <v>2.7375309800309459E-3</v>
      </c>
      <c r="E68" s="257">
        <v>57</v>
      </c>
      <c r="F68" s="347">
        <v>848</v>
      </c>
      <c r="G68" s="11">
        <f t="shared" si="1"/>
        <v>1.1704817747153853E-3</v>
      </c>
    </row>
    <row r="69" spans="1:7" x14ac:dyDescent="0.25">
      <c r="A69">
        <v>58</v>
      </c>
      <c r="B69" s="8">
        <v>2200.5929787660002</v>
      </c>
      <c r="C69" s="11">
        <f t="shared" si="0"/>
        <v>3.0828731132457772E-3</v>
      </c>
      <c r="E69" s="258">
        <v>58</v>
      </c>
      <c r="F69" s="348">
        <v>590</v>
      </c>
      <c r="G69" s="11">
        <f t="shared" si="1"/>
        <v>8.1436821589867599E-4</v>
      </c>
    </row>
    <row r="70" spans="1:7" x14ac:dyDescent="0.25">
      <c r="A70">
        <v>59</v>
      </c>
      <c r="B70" s="8">
        <v>716.60170714729998</v>
      </c>
      <c r="C70" s="11">
        <f t="shared" si="0"/>
        <v>1.003907654521945E-3</v>
      </c>
      <c r="E70" s="259">
        <v>59</v>
      </c>
      <c r="F70" s="349">
        <v>480</v>
      </c>
      <c r="G70" s="11">
        <f t="shared" si="1"/>
        <v>6.6253685361248216E-4</v>
      </c>
    </row>
    <row r="71" spans="1:7" x14ac:dyDescent="0.25">
      <c r="A71">
        <v>60</v>
      </c>
      <c r="B71" s="8">
        <v>1985.7672183407001</v>
      </c>
      <c r="C71" s="11">
        <f t="shared" si="0"/>
        <v>2.7819176129609789E-3</v>
      </c>
      <c r="E71" s="260">
        <v>60</v>
      </c>
      <c r="F71" s="350">
        <v>397</v>
      </c>
      <c r="G71" s="11">
        <f t="shared" si="1"/>
        <v>5.4797318934199043E-4</v>
      </c>
    </row>
    <row r="72" spans="1:7" x14ac:dyDescent="0.25">
      <c r="A72">
        <v>61</v>
      </c>
      <c r="B72" s="8">
        <v>711.38740566499996</v>
      </c>
      <c r="C72" s="11">
        <f t="shared" si="0"/>
        <v>9.9660279169667379E-4</v>
      </c>
      <c r="E72" s="261">
        <v>61</v>
      </c>
      <c r="F72" s="351">
        <v>432</v>
      </c>
      <c r="G72" s="11">
        <f t="shared" si="1"/>
        <v>5.9628316825123399E-4</v>
      </c>
    </row>
    <row r="73" spans="1:7" x14ac:dyDescent="0.25">
      <c r="A73">
        <v>62</v>
      </c>
      <c r="B73" s="8">
        <v>0</v>
      </c>
      <c r="C73" s="11">
        <f t="shared" si="0"/>
        <v>0</v>
      </c>
      <c r="E73" s="262">
        <v>62</v>
      </c>
      <c r="F73" s="352">
        <v>352</v>
      </c>
      <c r="G73" s="11">
        <f t="shared" si="1"/>
        <v>4.8586035931582028E-4</v>
      </c>
    </row>
    <row r="74" spans="1:7" x14ac:dyDescent="0.25">
      <c r="A74">
        <v>63</v>
      </c>
      <c r="B74" s="8">
        <v>110.470897351</v>
      </c>
      <c r="C74" s="11">
        <f t="shared" si="0"/>
        <v>1.5476181307754063E-4</v>
      </c>
      <c r="E74" s="263">
        <v>63</v>
      </c>
      <c r="F74" s="353">
        <v>293</v>
      </c>
      <c r="G74" s="11">
        <f t="shared" si="1"/>
        <v>4.0442353772595269E-4</v>
      </c>
    </row>
    <row r="75" spans="1:7" x14ac:dyDescent="0.25">
      <c r="A75">
        <v>64</v>
      </c>
      <c r="B75" s="8">
        <v>111.109208251</v>
      </c>
      <c r="C75" s="11">
        <f t="shared" si="0"/>
        <v>1.5565604091998572E-4</v>
      </c>
      <c r="E75" s="264">
        <v>64</v>
      </c>
      <c r="F75" s="354">
        <v>283</v>
      </c>
      <c r="G75" s="11">
        <f t="shared" si="1"/>
        <v>3.9062068660902598E-4</v>
      </c>
    </row>
    <row r="76" spans="1:7" x14ac:dyDescent="0.25">
      <c r="A76">
        <v>65</v>
      </c>
      <c r="B76" s="8">
        <v>77.448508152800002</v>
      </c>
      <c r="C76" s="11">
        <f t="shared" si="0"/>
        <v>1.0849981152768753E-4</v>
      </c>
      <c r="E76" s="265">
        <v>65</v>
      </c>
      <c r="F76" s="355">
        <v>232</v>
      </c>
      <c r="G76" s="11">
        <f t="shared" si="1"/>
        <v>3.2022614591269974E-4</v>
      </c>
    </row>
    <row r="77" spans="1:7" x14ac:dyDescent="0.25">
      <c r="A77">
        <v>66</v>
      </c>
      <c r="B77" s="8">
        <v>4.59375</v>
      </c>
      <c r="C77" s="11">
        <f t="shared" ref="C77:C102" si="2">B77/B$102</f>
        <v>6.4355146547428382E-6</v>
      </c>
      <c r="E77" s="266">
        <v>66</v>
      </c>
      <c r="F77" s="356">
        <v>195</v>
      </c>
      <c r="G77" s="11">
        <f t="shared" ref="G77:G102" si="3">F77/F$102</f>
        <v>2.6915559678007087E-4</v>
      </c>
    </row>
    <row r="78" spans="1:7" x14ac:dyDescent="0.25">
      <c r="A78">
        <v>67</v>
      </c>
      <c r="B78" s="8">
        <v>5478.7985561530004</v>
      </c>
      <c r="C78" s="11">
        <f t="shared" si="2"/>
        <v>7.6754042772259126E-3</v>
      </c>
      <c r="E78" s="267">
        <v>67</v>
      </c>
      <c r="F78" s="357">
        <v>199</v>
      </c>
      <c r="G78" s="11">
        <f t="shared" si="3"/>
        <v>2.746767372268416E-4</v>
      </c>
    </row>
    <row r="79" spans="1:7" x14ac:dyDescent="0.25">
      <c r="A79">
        <v>68</v>
      </c>
      <c r="B79" s="8">
        <v>0</v>
      </c>
      <c r="C79" s="11">
        <f t="shared" si="2"/>
        <v>0</v>
      </c>
      <c r="E79" s="268">
        <v>68</v>
      </c>
      <c r="F79" s="358">
        <v>137</v>
      </c>
      <c r="G79" s="11">
        <f t="shared" si="3"/>
        <v>1.8909906030189596E-4</v>
      </c>
    </row>
    <row r="80" spans="1:7" x14ac:dyDescent="0.25">
      <c r="A80">
        <v>69</v>
      </c>
      <c r="B80" s="8">
        <v>1506.3249963339999</v>
      </c>
      <c r="C80" s="11">
        <f t="shared" si="2"/>
        <v>2.1102534070667556E-3</v>
      </c>
      <c r="E80" s="269">
        <v>69</v>
      </c>
      <c r="F80" s="359">
        <v>118</v>
      </c>
      <c r="G80" s="11">
        <f t="shared" si="3"/>
        <v>1.628736431797352E-4</v>
      </c>
    </row>
    <row r="81" spans="1:7" x14ac:dyDescent="0.25">
      <c r="A81">
        <v>70</v>
      </c>
      <c r="B81" s="8">
        <v>0</v>
      </c>
      <c r="C81" s="11">
        <f t="shared" si="2"/>
        <v>0</v>
      </c>
      <c r="E81" s="270">
        <v>70</v>
      </c>
      <c r="F81" s="360">
        <v>201</v>
      </c>
      <c r="G81" s="11">
        <f t="shared" si="3"/>
        <v>2.7743730745022691E-4</v>
      </c>
    </row>
    <row r="82" spans="1:7" x14ac:dyDescent="0.25">
      <c r="A82">
        <v>71</v>
      </c>
      <c r="B82" s="8">
        <v>0</v>
      </c>
      <c r="C82" s="11">
        <f t="shared" si="2"/>
        <v>0</v>
      </c>
      <c r="E82" s="271">
        <v>71</v>
      </c>
      <c r="F82" s="361">
        <v>95</v>
      </c>
      <c r="G82" s="11">
        <f t="shared" si="3"/>
        <v>1.3112708561080377E-4</v>
      </c>
    </row>
    <row r="83" spans="1:7" x14ac:dyDescent="0.25">
      <c r="A83">
        <v>72</v>
      </c>
      <c r="B83" s="8">
        <v>618.016967959</v>
      </c>
      <c r="C83" s="11">
        <f t="shared" si="2"/>
        <v>8.6579749750854518E-4</v>
      </c>
      <c r="E83" s="272">
        <v>72</v>
      </c>
      <c r="F83" s="362">
        <v>87</v>
      </c>
      <c r="G83" s="11">
        <f t="shared" si="3"/>
        <v>1.200848047172624E-4</v>
      </c>
    </row>
    <row r="84" spans="1:7" x14ac:dyDescent="0.25">
      <c r="A84">
        <v>73</v>
      </c>
      <c r="B84" s="8">
        <v>767.70177890100001</v>
      </c>
      <c r="C84" s="11">
        <f t="shared" si="2"/>
        <v>1.0754951942507824E-3</v>
      </c>
      <c r="E84" s="273">
        <v>73</v>
      </c>
      <c r="F84" s="363">
        <v>84</v>
      </c>
      <c r="G84" s="11">
        <f t="shared" si="3"/>
        <v>1.1594394938218438E-4</v>
      </c>
    </row>
    <row r="85" spans="1:7" x14ac:dyDescent="0.25">
      <c r="A85">
        <v>74</v>
      </c>
      <c r="B85" s="8">
        <v>0</v>
      </c>
      <c r="C85" s="11">
        <f t="shared" si="2"/>
        <v>0</v>
      </c>
      <c r="E85" s="274">
        <v>74</v>
      </c>
      <c r="F85" s="364">
        <v>87</v>
      </c>
      <c r="G85" s="11">
        <f t="shared" si="3"/>
        <v>1.200848047172624E-4</v>
      </c>
    </row>
    <row r="86" spans="1:7" x14ac:dyDescent="0.25">
      <c r="A86">
        <v>75</v>
      </c>
      <c r="B86" s="8">
        <v>0</v>
      </c>
      <c r="C86" s="11">
        <f t="shared" si="2"/>
        <v>0</v>
      </c>
      <c r="E86" s="275">
        <v>75</v>
      </c>
      <c r="F86" s="365">
        <v>66</v>
      </c>
      <c r="G86" s="11">
        <f t="shared" si="3"/>
        <v>9.1098817371716305E-5</v>
      </c>
    </row>
    <row r="87" spans="1:7" x14ac:dyDescent="0.25">
      <c r="A87">
        <v>76</v>
      </c>
      <c r="B87" s="8">
        <v>0</v>
      </c>
      <c r="C87" s="11">
        <f t="shared" si="2"/>
        <v>0</v>
      </c>
      <c r="E87" s="276">
        <v>76</v>
      </c>
      <c r="F87" s="366">
        <v>47</v>
      </c>
      <c r="G87" s="11">
        <f t="shared" si="3"/>
        <v>6.4873400249555545E-5</v>
      </c>
    </row>
    <row r="88" spans="1:7" x14ac:dyDescent="0.25">
      <c r="A88">
        <v>77</v>
      </c>
      <c r="B88" s="8">
        <v>103.88408116700001</v>
      </c>
      <c r="C88" s="11">
        <f t="shared" si="2"/>
        <v>1.4553415548184445E-4</v>
      </c>
      <c r="E88" s="277">
        <v>77</v>
      </c>
      <c r="F88" s="367">
        <v>47</v>
      </c>
      <c r="G88" s="11">
        <f t="shared" si="3"/>
        <v>6.4873400249555545E-5</v>
      </c>
    </row>
    <row r="89" spans="1:7" x14ac:dyDescent="0.25">
      <c r="A89">
        <v>78</v>
      </c>
      <c r="B89" s="8">
        <v>552.18798510219995</v>
      </c>
      <c r="C89" s="11">
        <f t="shared" si="2"/>
        <v>7.7357580850027268E-4</v>
      </c>
      <c r="E89" s="278">
        <v>78</v>
      </c>
      <c r="F89" s="368">
        <v>31</v>
      </c>
      <c r="G89" s="11">
        <f t="shared" si="3"/>
        <v>4.278883846247281E-5</v>
      </c>
    </row>
    <row r="90" spans="1:7" x14ac:dyDescent="0.25">
      <c r="A90">
        <v>79</v>
      </c>
      <c r="B90" s="8">
        <v>3617.977487135</v>
      </c>
      <c r="C90" s="11">
        <f t="shared" si="2"/>
        <v>5.0685272683509029E-3</v>
      </c>
      <c r="E90" s="279">
        <v>79</v>
      </c>
      <c r="F90" s="369">
        <v>39</v>
      </c>
      <c r="G90" s="11">
        <f t="shared" si="3"/>
        <v>5.3831119356014181E-5</v>
      </c>
    </row>
    <row r="91" spans="1:7" x14ac:dyDescent="0.25">
      <c r="A91">
        <v>80</v>
      </c>
      <c r="B91" s="8">
        <v>0</v>
      </c>
      <c r="C91" s="11">
        <f t="shared" si="2"/>
        <v>0</v>
      </c>
      <c r="E91" s="280">
        <v>80</v>
      </c>
      <c r="F91" s="370">
        <v>28</v>
      </c>
      <c r="G91" s="11">
        <f t="shared" si="3"/>
        <v>3.8647983127394792E-5</v>
      </c>
    </row>
    <row r="92" spans="1:7" x14ac:dyDescent="0.25">
      <c r="A92">
        <v>81</v>
      </c>
      <c r="B92" s="8">
        <v>761.46603189900009</v>
      </c>
      <c r="C92" s="11">
        <f t="shared" si="2"/>
        <v>1.0667593594285479E-3</v>
      </c>
      <c r="E92" s="281">
        <v>81</v>
      </c>
      <c r="F92" s="371">
        <v>23</v>
      </c>
      <c r="G92" s="11">
        <f t="shared" si="3"/>
        <v>3.1746557568931439E-5</v>
      </c>
    </row>
    <row r="93" spans="1:7" x14ac:dyDescent="0.25">
      <c r="A93">
        <v>82</v>
      </c>
      <c r="B93" s="8">
        <v>0</v>
      </c>
      <c r="C93" s="11">
        <f t="shared" si="2"/>
        <v>0</v>
      </c>
      <c r="E93" s="282">
        <v>82</v>
      </c>
      <c r="F93" s="372">
        <v>22</v>
      </c>
      <c r="G93" s="11">
        <f t="shared" si="3"/>
        <v>3.0366272457238767E-5</v>
      </c>
    </row>
    <row r="94" spans="1:7" x14ac:dyDescent="0.25">
      <c r="A94">
        <v>83</v>
      </c>
      <c r="B94" s="8">
        <v>0</v>
      </c>
      <c r="C94" s="11">
        <f t="shared" si="2"/>
        <v>0</v>
      </c>
      <c r="E94" s="283">
        <v>83</v>
      </c>
      <c r="F94" s="373">
        <v>9</v>
      </c>
      <c r="G94" s="11">
        <f t="shared" si="3"/>
        <v>1.2422566005234041E-5</v>
      </c>
    </row>
    <row r="95" spans="1:7" x14ac:dyDescent="0.25">
      <c r="A95">
        <v>84</v>
      </c>
      <c r="B95" s="8">
        <v>470.63862499999999</v>
      </c>
      <c r="C95" s="11">
        <f t="shared" si="2"/>
        <v>6.5933099717562318E-4</v>
      </c>
      <c r="E95" s="284">
        <v>84</v>
      </c>
      <c r="F95" s="374">
        <v>23</v>
      </c>
      <c r="G95" s="11">
        <f t="shared" si="3"/>
        <v>3.1746557568931439E-5</v>
      </c>
    </row>
    <row r="96" spans="1:7" x14ac:dyDescent="0.25">
      <c r="A96">
        <v>85</v>
      </c>
      <c r="B96" s="8">
        <v>0</v>
      </c>
      <c r="C96" s="11">
        <f t="shared" si="2"/>
        <v>0</v>
      </c>
      <c r="E96" s="285">
        <v>85</v>
      </c>
      <c r="F96" s="375">
        <v>15</v>
      </c>
      <c r="G96" s="11">
        <f t="shared" si="3"/>
        <v>2.0704276675390067E-5</v>
      </c>
    </row>
    <row r="97" spans="1:7" x14ac:dyDescent="0.25">
      <c r="A97">
        <v>86</v>
      </c>
      <c r="B97" s="8">
        <v>0</v>
      </c>
      <c r="C97" s="11">
        <f t="shared" si="2"/>
        <v>0</v>
      </c>
      <c r="E97" s="286">
        <v>86</v>
      </c>
      <c r="F97" s="376">
        <v>15</v>
      </c>
      <c r="G97" s="11">
        <f t="shared" si="3"/>
        <v>2.0704276675390067E-5</v>
      </c>
    </row>
    <row r="98" spans="1:7" x14ac:dyDescent="0.25">
      <c r="A98">
        <v>87</v>
      </c>
      <c r="B98" s="8">
        <v>0</v>
      </c>
      <c r="C98" s="11">
        <f t="shared" si="2"/>
        <v>0</v>
      </c>
      <c r="E98" s="287">
        <v>87</v>
      </c>
      <c r="F98" s="377">
        <v>16</v>
      </c>
      <c r="G98" s="11">
        <f t="shared" si="3"/>
        <v>2.2084561787082739E-5</v>
      </c>
    </row>
    <row r="99" spans="1:7" x14ac:dyDescent="0.25">
      <c r="A99">
        <v>88</v>
      </c>
      <c r="B99" s="8">
        <v>0</v>
      </c>
      <c r="C99" s="11">
        <f t="shared" si="2"/>
        <v>0</v>
      </c>
      <c r="E99" s="288">
        <v>88</v>
      </c>
      <c r="F99" s="378">
        <v>8</v>
      </c>
      <c r="G99" s="11">
        <f t="shared" si="3"/>
        <v>1.1042280893541369E-5</v>
      </c>
    </row>
    <row r="100" spans="1:7" x14ac:dyDescent="0.25">
      <c r="A100">
        <v>89</v>
      </c>
      <c r="B100" s="8">
        <v>0</v>
      </c>
      <c r="C100" s="11">
        <f t="shared" si="2"/>
        <v>0</v>
      </c>
      <c r="E100" s="289">
        <v>89</v>
      </c>
      <c r="F100" s="379">
        <v>13</v>
      </c>
      <c r="G100" s="11">
        <f t="shared" si="3"/>
        <v>1.7943706452004725E-5</v>
      </c>
    </row>
    <row r="101" spans="1:7" ht="15.75" thickBot="1" x14ac:dyDescent="0.3">
      <c r="A101" s="1">
        <v>90</v>
      </c>
      <c r="B101" s="9">
        <v>3181.9468036631001</v>
      </c>
      <c r="C101" s="11">
        <f t="shared" si="2"/>
        <v>4.4576795179506962E-3</v>
      </c>
      <c r="E101" s="382">
        <v>90</v>
      </c>
      <c r="F101" s="382">
        <v>47</v>
      </c>
      <c r="G101" s="11">
        <f t="shared" si="3"/>
        <v>6.4873400249555545E-5</v>
      </c>
    </row>
    <row r="102" spans="1:7" x14ac:dyDescent="0.25">
      <c r="B102" s="8">
        <f>SUM(B11:B101)</f>
        <v>713812.37499234092</v>
      </c>
      <c r="C102" s="11">
        <f t="shared" si="2"/>
        <v>1</v>
      </c>
      <c r="F102" s="8">
        <f>SUM(F11:F101)</f>
        <v>724488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F1" workbookViewId="0">
      <selection activeCell="AC29" sqref="AC29"/>
    </sheetView>
  </sheetViews>
  <sheetFormatPr defaultRowHeight="15" x14ac:dyDescent="0.25"/>
  <cols>
    <col min="4" max="4" width="12.28515625" bestFit="1" customWidth="1" collapsed="1"/>
    <col min="13" max="14" width="10.7109375" bestFit="1" customWidth="1" collapsed="1"/>
    <col min="15" max="15" width="12.5703125" bestFit="1" customWidth="1" collapsed="1"/>
    <col min="16" max="16" width="10.7109375" bestFit="1" customWidth="1" collapsed="1"/>
    <col min="17" max="17" width="11.5703125" bestFit="1" customWidth="1" collapsed="1"/>
    <col min="18" max="18" width="10.7109375" bestFit="1" customWidth="1" collapsed="1"/>
    <col min="19" max="19" width="11.5703125" bestFit="1" customWidth="1" collapsed="1"/>
    <col min="20" max="20" width="9.28515625" bestFit="1" customWidth="1" collapsed="1"/>
    <col min="21" max="21" width="11.5703125" bestFit="1" customWidth="1" collapsed="1"/>
    <col min="26" max="26" width="12.28515625" bestFit="1" customWidth="1" collapsed="1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r="5" spans="1:21" ht="15.75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383" t="s">
        <v>248</v>
      </c>
      <c r="B7" s="12">
        <v>16958.752322610901</v>
      </c>
      <c r="C7" s="12">
        <v>1064.6801145748</v>
      </c>
      <c r="D7" s="12">
        <v>1316.8980800259001</v>
      </c>
      <c r="E7" s="12">
        <v>781.90163879600004</v>
      </c>
      <c r="F7" s="12">
        <v>1306.2295720049999</v>
      </c>
      <c r="G7" s="12">
        <v>703.39703969900006</v>
      </c>
      <c r="H7" s="12">
        <v>2801.218170355</v>
      </c>
      <c r="I7" s="12"/>
      <c r="J7" s="12">
        <f>SUM(B7:I7)</f>
        <v>24933.076938066602</v>
      </c>
      <c r="K7" s="12"/>
      <c r="L7" t="str">
        <f>$A$7</f>
        <v>Bellevue</v>
      </c>
      <c r="M7" s="430">
        <v>12534</v>
      </c>
      <c r="N7" s="430">
        <v>4525</v>
      </c>
      <c r="O7" s="430">
        <v>1330</v>
      </c>
      <c r="P7" s="430">
        <v>2954</v>
      </c>
      <c r="Q7" s="430">
        <v>3241</v>
      </c>
      <c r="R7" s="430">
        <v>998</v>
      </c>
      <c r="S7" s="430">
        <v>3729</v>
      </c>
      <c r="T7" s="430"/>
      <c r="U7" s="431">
        <f>SUM(M7:T7)</f>
        <v>29311</v>
      </c>
    </row>
    <row r="8" spans="1:21" x14ac:dyDescent="0.25">
      <c r="A8" t="s">
        <v>249</v>
      </c>
      <c r="B8" s="12">
        <v>131.494048378</v>
      </c>
      <c r="C8" s="12">
        <v>354.27479282450003</v>
      </c>
      <c r="D8" s="12">
        <v>0</v>
      </c>
      <c r="E8" s="12">
        <v>0</v>
      </c>
      <c r="F8" s="12">
        <v>0</v>
      </c>
      <c r="G8" s="12">
        <v>0</v>
      </c>
      <c r="H8" s="12">
        <v>0</v>
      </c>
      <c r="I8" s="12"/>
      <c r="J8" s="12">
        <f t="shared" ref="J8:J14" si="0">SUM(B8:I8)</f>
        <v>485.76884120250003</v>
      </c>
      <c r="K8" s="12"/>
      <c r="L8" t="str">
        <f>$A$8</f>
        <v>Bellevue Downtown</v>
      </c>
      <c r="M8" s="430">
        <v>939</v>
      </c>
      <c r="N8" s="430">
        <v>1345</v>
      </c>
      <c r="O8" s="430">
        <v>120</v>
      </c>
      <c r="P8" s="430">
        <v>111</v>
      </c>
      <c r="Q8" s="430">
        <v>192</v>
      </c>
      <c r="R8" s="430">
        <v>54</v>
      </c>
      <c r="S8" s="430">
        <v>192</v>
      </c>
      <c r="T8" s="430"/>
      <c r="U8" s="431">
        <f t="shared" ref="U8:U14" si="1">SUM(M8:T8)</f>
        <v>2953</v>
      </c>
    </row>
    <row r="9" spans="1:21" x14ac:dyDescent="0.25">
      <c r="A9" t="s">
        <v>250</v>
      </c>
      <c r="B9" s="12">
        <v>0</v>
      </c>
      <c r="C9" s="12">
        <v>191.15353907900001</v>
      </c>
      <c r="D9" s="12">
        <v>22512.264472701001</v>
      </c>
      <c r="E9" s="12">
        <v>2951.87033819</v>
      </c>
      <c r="F9" s="12">
        <v>707.17862642399996</v>
      </c>
      <c r="G9" s="12">
        <v>529.27215915500005</v>
      </c>
      <c r="H9" s="12">
        <v>3478.0017133289998</v>
      </c>
      <c r="I9" s="12"/>
      <c r="J9" s="12">
        <f t="shared" si="0"/>
        <v>30369.740848878002</v>
      </c>
      <c r="K9" s="13"/>
      <c r="L9" t="str">
        <f>$A$9</f>
        <v>Kirkland</v>
      </c>
      <c r="M9" s="430">
        <v>1909</v>
      </c>
      <c r="N9" s="430">
        <v>1155</v>
      </c>
      <c r="O9" s="430">
        <v>11114</v>
      </c>
      <c r="P9" s="430">
        <v>2599</v>
      </c>
      <c r="Q9" s="430">
        <v>4041</v>
      </c>
      <c r="R9" s="430">
        <v>518</v>
      </c>
      <c r="S9" s="430">
        <v>3905</v>
      </c>
      <c r="T9" s="430"/>
      <c r="U9" s="431">
        <f t="shared" si="1"/>
        <v>25241</v>
      </c>
    </row>
    <row r="10" spans="1:21" x14ac:dyDescent="0.25">
      <c r="A10" t="s">
        <v>251</v>
      </c>
      <c r="B10" s="12">
        <v>609.15899807400001</v>
      </c>
      <c r="C10" s="12">
        <v>260.124522619</v>
      </c>
      <c r="D10" s="12">
        <v>5974.8118415919998</v>
      </c>
      <c r="E10" s="12">
        <v>13997.361400411999</v>
      </c>
      <c r="F10" s="12">
        <v>2700.3484961650001</v>
      </c>
      <c r="G10" s="12">
        <v>0</v>
      </c>
      <c r="H10" s="12">
        <v>1017.747610799</v>
      </c>
      <c r="I10" s="12"/>
      <c r="J10" s="12">
        <f t="shared" si="0"/>
        <v>24559.552869660998</v>
      </c>
      <c r="K10" s="13"/>
      <c r="L10" t="str">
        <f>$A$10</f>
        <v>Redmond</v>
      </c>
      <c r="M10" s="430">
        <v>2781</v>
      </c>
      <c r="N10" s="430">
        <v>806</v>
      </c>
      <c r="O10" s="430">
        <v>3001</v>
      </c>
      <c r="P10" s="430">
        <v>9095</v>
      </c>
      <c r="Q10" s="430">
        <v>1698</v>
      </c>
      <c r="R10" s="430">
        <v>299</v>
      </c>
      <c r="S10" s="430">
        <v>2932</v>
      </c>
      <c r="T10" s="430"/>
      <c r="U10" s="431">
        <f t="shared" si="1"/>
        <v>20612</v>
      </c>
    </row>
    <row r="11" spans="1:21" x14ac:dyDescent="0.25">
      <c r="A11" t="s">
        <v>247</v>
      </c>
      <c r="B11" s="12">
        <v>1692.6768807880001</v>
      </c>
      <c r="C11" s="12">
        <v>63.528726943999999</v>
      </c>
      <c r="D11" s="12">
        <v>160.016879313</v>
      </c>
      <c r="E11" s="12">
        <v>9.4774999999999991</v>
      </c>
      <c r="F11" s="12">
        <v>88217.566242208093</v>
      </c>
      <c r="G11" s="12">
        <v>13915.1218176164</v>
      </c>
      <c r="H11" s="12">
        <v>6127.6922476264999</v>
      </c>
      <c r="I11" s="12"/>
      <c r="J11" s="12">
        <f t="shared" si="0"/>
        <v>110186.08029449599</v>
      </c>
      <c r="K11" s="13"/>
      <c r="L11" t="str">
        <f>$A$11</f>
        <v>Seattle</v>
      </c>
      <c r="M11" s="430">
        <v>1439</v>
      </c>
      <c r="N11" s="430">
        <v>824</v>
      </c>
      <c r="O11" s="430">
        <v>1357</v>
      </c>
      <c r="P11" s="430">
        <v>723</v>
      </c>
      <c r="Q11" s="430">
        <v>95368</v>
      </c>
      <c r="R11" s="430">
        <v>10138</v>
      </c>
      <c r="S11" s="430">
        <v>10519</v>
      </c>
      <c r="T11" s="430"/>
      <c r="U11" s="431">
        <f t="shared" si="1"/>
        <v>120368</v>
      </c>
    </row>
    <row r="12" spans="1:21" x14ac:dyDescent="0.25">
      <c r="A12" t="s">
        <v>252</v>
      </c>
      <c r="B12" s="12">
        <v>57.514866203499999</v>
      </c>
      <c r="C12" s="12">
        <v>0</v>
      </c>
      <c r="D12" s="12">
        <v>0</v>
      </c>
      <c r="E12" s="12">
        <v>0</v>
      </c>
      <c r="F12" s="12">
        <v>4316.5827853598003</v>
      </c>
      <c r="G12" s="12">
        <v>5541.7068748444999</v>
      </c>
      <c r="H12" s="12">
        <v>771.78555955470006</v>
      </c>
      <c r="I12" s="12"/>
      <c r="J12" s="12">
        <f t="shared" si="0"/>
        <v>10687.5900859625</v>
      </c>
      <c r="K12" s="13"/>
      <c r="L12" t="str">
        <f>$A$12</f>
        <v>Seattle Downtown</v>
      </c>
      <c r="M12" s="430">
        <v>130</v>
      </c>
      <c r="N12" s="430">
        <v>74</v>
      </c>
      <c r="O12" s="430">
        <v>67</v>
      </c>
      <c r="P12" s="430">
        <v>44</v>
      </c>
      <c r="Q12" s="430">
        <v>3823</v>
      </c>
      <c r="R12" s="430">
        <v>10655</v>
      </c>
      <c r="S12" s="430">
        <v>408</v>
      </c>
      <c r="T12" s="430"/>
      <c r="U12" s="431">
        <f t="shared" si="1"/>
        <v>15201</v>
      </c>
    </row>
    <row r="13" spans="1:21" x14ac:dyDescent="0.25">
      <c r="A13" t="s">
        <v>253</v>
      </c>
      <c r="B13" s="12">
        <v>8122.8703632389997</v>
      </c>
      <c r="C13" s="12">
        <v>3138.15946386</v>
      </c>
      <c r="D13" s="12">
        <v>10022.891088588</v>
      </c>
      <c r="E13" s="12">
        <v>2645.91822705</v>
      </c>
      <c r="F13" s="12">
        <v>15413.214594069599</v>
      </c>
      <c r="G13" s="12">
        <v>10252.112391438601</v>
      </c>
      <c r="H13" s="12">
        <v>467326.12922186998</v>
      </c>
      <c r="I13" s="12"/>
      <c r="J13" s="12">
        <f t="shared" si="0"/>
        <v>516921.29535011516</v>
      </c>
      <c r="K13" s="13"/>
      <c r="L13" t="str">
        <f>$A$13</f>
        <v>Rest</v>
      </c>
      <c r="M13" s="430">
        <v>7244</v>
      </c>
      <c r="N13" s="430">
        <v>3213</v>
      </c>
      <c r="O13" s="430">
        <v>5863</v>
      </c>
      <c r="P13" s="430">
        <v>5715</v>
      </c>
      <c r="Q13" s="430">
        <v>28309</v>
      </c>
      <c r="R13" s="430">
        <v>5082</v>
      </c>
      <c r="S13" s="430">
        <v>455203</v>
      </c>
      <c r="T13" s="430"/>
      <c r="U13" s="431">
        <f t="shared" si="1"/>
        <v>510629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t="shared" si="1"/>
        <v>0</v>
      </c>
    </row>
    <row r="15" spans="1:21" ht="15.75" thickBot="1" x14ac:dyDescent="0.3">
      <c r="A15" s="1" t="s">
        <v>4</v>
      </c>
      <c r="B15" s="16">
        <f t="shared" ref="B15:J15" si="2">SUM(B7:B14)</f>
        <v>27572.467479293398</v>
      </c>
      <c r="C15" s="16">
        <f t="shared" si="2"/>
        <v>5071.9211599012997</v>
      </c>
      <c r="D15" s="16">
        <f t="shared" si="2"/>
        <v>39986.882362219898</v>
      </c>
      <c r="E15" s="16">
        <f t="shared" si="2"/>
        <v>20386.529104448</v>
      </c>
      <c r="F15" s="16">
        <f t="shared" si="2"/>
        <v>112661.12031623151</v>
      </c>
      <c r="G15" s="16">
        <f t="shared" si="2"/>
        <v>30941.610282753503</v>
      </c>
      <c r="H15" s="16">
        <f t="shared" si="2"/>
        <v>481522.57452353416</v>
      </c>
      <c r="I15" s="16">
        <f t="shared" si="2"/>
        <v>0</v>
      </c>
      <c r="J15" s="16">
        <f t="shared" si="2"/>
        <v>718143.1052283817</v>
      </c>
      <c r="K15" s="12"/>
      <c r="L15" s="16" t="s">
        <v>4</v>
      </c>
      <c r="M15" s="433">
        <f t="shared" ref="M15:U15" si="3">SUM(M7:M14)</f>
        <v>26976</v>
      </c>
      <c r="N15" s="433">
        <f t="shared" si="3"/>
        <v>11942</v>
      </c>
      <c r="O15" s="433">
        <f t="shared" si="3"/>
        <v>22852</v>
      </c>
      <c r="P15" s="433">
        <f t="shared" si="3"/>
        <v>21241</v>
      </c>
      <c r="Q15" s="433">
        <f t="shared" si="3"/>
        <v>136672</v>
      </c>
      <c r="R15" s="433">
        <f t="shared" si="3"/>
        <v>27744</v>
      </c>
      <c r="S15" s="433">
        <f t="shared" si="3"/>
        <v>476888</v>
      </c>
      <c r="T15" s="433">
        <f t="shared" si="3"/>
        <v>0</v>
      </c>
      <c r="U15" s="433">
        <f t="shared" si="3"/>
        <v>724315</v>
      </c>
    </row>
    <row r="18" spans="1:32" ht="15.75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t="shared" ref="B20:G20" si="4">($U7/$J7)*B7</f>
        <v>19936.48800598428</v>
      </c>
      <c r="C20" s="12">
        <f t="shared" si="4"/>
        <v>1251.6240540956614</v>
      </c>
      <c r="D20" s="12">
        <f t="shared" si="4"/>
        <v>1548.1282041330076</v>
      </c>
      <c r="E20" s="12">
        <f t="shared" si="4"/>
        <v>919.19336677451906</v>
      </c>
      <c r="F20" s="12">
        <f t="shared" si="4"/>
        <v>1535.5864452727851</v>
      </c>
      <c r="G20" s="12">
        <f t="shared" si="4"/>
        <v>826.90438415725373</v>
      </c>
      <c r="H20" s="12">
        <f t="shared" ref="H20" si="5">($U7/$J7)*H7</f>
        <v>3293.0755395824895</v>
      </c>
      <c r="I20" s="12"/>
      <c r="J20" s="12">
        <f>SUM(B20:I20)</f>
        <v>29310.999999999993</v>
      </c>
      <c r="K20" s="12"/>
      <c r="L20" t="str">
        <f>$A$7</f>
        <v>Bellevue</v>
      </c>
      <c r="M20" s="12">
        <f>M7</f>
        <v>12534</v>
      </c>
      <c r="N20" s="12">
        <f t="shared" ref="N20:U20" si="6">N7</f>
        <v>4525</v>
      </c>
      <c r="O20" s="12">
        <f t="shared" si="6"/>
        <v>1330</v>
      </c>
      <c r="P20" s="12">
        <f t="shared" si="6"/>
        <v>2954</v>
      </c>
      <c r="Q20" s="12">
        <f t="shared" si="6"/>
        <v>3241</v>
      </c>
      <c r="R20" s="12">
        <f t="shared" si="6"/>
        <v>998</v>
      </c>
      <c r="S20" s="12">
        <f t="shared" si="6"/>
        <v>3729</v>
      </c>
      <c r="T20" s="12"/>
      <c r="U20" s="12">
        <f t="shared" si="6"/>
        <v>29311</v>
      </c>
    </row>
    <row r="21" spans="1:32" x14ac:dyDescent="0.25">
      <c r="A21" t="str">
        <f>$A$8</f>
        <v>Bellevue Downtown</v>
      </c>
      <c r="B21" s="12">
        <f t="shared" ref="B21:G26" si="7">($U8/$J8)*B8</f>
        <v>799.35535572641743</v>
      </c>
      <c r="C21" s="12">
        <f t="shared" si="7"/>
        <v>2153.6446442735823</v>
      </c>
      <c r="D21" s="12">
        <f t="shared" si="7"/>
        <v>0</v>
      </c>
      <c r="E21" s="12">
        <f t="shared" si="7"/>
        <v>0</v>
      </c>
      <c r="F21" s="12">
        <f t="shared" si="7"/>
        <v>0</v>
      </c>
      <c r="G21" s="12">
        <f t="shared" si="7"/>
        <v>0</v>
      </c>
      <c r="H21" s="12">
        <f t="shared" ref="H21" si="8">($U8/$J8)*H8</f>
        <v>0</v>
      </c>
      <c r="I21" s="12"/>
      <c r="J21" s="12">
        <f t="shared" ref="J21:J27" si="9">SUM(B21:I21)</f>
        <v>2953</v>
      </c>
      <c r="K21" s="12"/>
      <c r="L21" t="str">
        <f>$A$8</f>
        <v>Bellevue Downtown</v>
      </c>
      <c r="M21" s="12">
        <f t="shared" ref="M21:U21" si="10">M8</f>
        <v>939</v>
      </c>
      <c r="N21" s="12">
        <f t="shared" si="10"/>
        <v>1345</v>
      </c>
      <c r="O21" s="12">
        <f t="shared" si="10"/>
        <v>120</v>
      </c>
      <c r="P21" s="12">
        <f t="shared" si="10"/>
        <v>111</v>
      </c>
      <c r="Q21" s="12">
        <f t="shared" si="10"/>
        <v>192</v>
      </c>
      <c r="R21" s="12">
        <f t="shared" si="10"/>
        <v>54</v>
      </c>
      <c r="S21" s="12">
        <f t="shared" si="10"/>
        <v>192</v>
      </c>
      <c r="T21" s="12"/>
      <c r="U21" s="12">
        <f t="shared" si="10"/>
        <v>2953</v>
      </c>
    </row>
    <row r="22" spans="1:32" x14ac:dyDescent="0.25">
      <c r="A22" t="str">
        <f>$A$9</f>
        <v>Kirkland</v>
      </c>
      <c r="B22" s="12">
        <f t="shared" si="7"/>
        <v>0</v>
      </c>
      <c r="C22" s="12">
        <f t="shared" si="7"/>
        <v>158.87216502446032</v>
      </c>
      <c r="D22" s="12">
        <f t="shared" si="7"/>
        <v>18710.46810649486</v>
      </c>
      <c r="E22" s="12">
        <f t="shared" si="7"/>
        <v>2453.3682910569341</v>
      </c>
      <c r="F22" s="12">
        <f t="shared" si="7"/>
        <v>587.75265150896541</v>
      </c>
      <c r="G22" s="12">
        <f t="shared" si="7"/>
        <v>439.89043685649074</v>
      </c>
      <c r="H22" s="12">
        <f t="shared" ref="H22" si="11">($U9/$J9)*H9</f>
        <v>2890.6483490582891</v>
      </c>
      <c r="I22" s="12"/>
      <c r="J22" s="12">
        <f t="shared" si="9"/>
        <v>25241</v>
      </c>
      <c r="K22" s="13"/>
      <c r="L22" t="str">
        <f>$A$9</f>
        <v>Kirkland</v>
      </c>
      <c r="M22" s="12">
        <f t="shared" ref="M22:U22" si="12">M9</f>
        <v>1909</v>
      </c>
      <c r="N22" s="12">
        <f t="shared" si="12"/>
        <v>1155</v>
      </c>
      <c r="O22" s="12">
        <f t="shared" si="12"/>
        <v>11114</v>
      </c>
      <c r="P22" s="12">
        <f t="shared" si="12"/>
        <v>2599</v>
      </c>
      <c r="Q22" s="12">
        <f t="shared" si="12"/>
        <v>4041</v>
      </c>
      <c r="R22" s="12">
        <f t="shared" si="12"/>
        <v>518</v>
      </c>
      <c r="S22" s="12">
        <f t="shared" si="12"/>
        <v>3905</v>
      </c>
      <c r="T22" s="12"/>
      <c r="U22" s="12">
        <f t="shared" si="12"/>
        <v>25241</v>
      </c>
    </row>
    <row r="23" spans="1:32" x14ac:dyDescent="0.25">
      <c r="A23" t="str">
        <f>$A$10</f>
        <v>Redmond</v>
      </c>
      <c r="B23" s="12">
        <f t="shared" si="7"/>
        <v>511.2464927572845</v>
      </c>
      <c r="C23" s="12">
        <f t="shared" si="7"/>
        <v>218.3136919746714</v>
      </c>
      <c r="D23" s="12">
        <f t="shared" si="7"/>
        <v>5014.456994900258</v>
      </c>
      <c r="E23" s="12">
        <f t="shared" si="7"/>
        <v>11747.5108246657</v>
      </c>
      <c r="F23" s="12">
        <f t="shared" si="7"/>
        <v>2266.3109340117749</v>
      </c>
      <c r="G23" s="12">
        <f t="shared" si="7"/>
        <v>0</v>
      </c>
      <c r="H23" s="12">
        <f t="shared" ref="H23" si="13">($U10/$J10)*H10</f>
        <v>854.16106169031195</v>
      </c>
      <c r="I23" s="12"/>
      <c r="J23" s="12">
        <f>SUM(B23:I23)</f>
        <v>20612</v>
      </c>
      <c r="K23" s="13"/>
      <c r="L23" t="str">
        <f>$A$10</f>
        <v>Redmond</v>
      </c>
      <c r="M23" s="12">
        <f t="shared" ref="M23:S23" si="14">M10</f>
        <v>2781</v>
      </c>
      <c r="N23" s="12">
        <f t="shared" si="14"/>
        <v>806</v>
      </c>
      <c r="O23" s="12">
        <f t="shared" si="14"/>
        <v>3001</v>
      </c>
      <c r="P23" s="12">
        <f t="shared" si="14"/>
        <v>9095</v>
      </c>
      <c r="Q23" s="12">
        <f t="shared" si="14"/>
        <v>1698</v>
      </c>
      <c r="R23" s="12">
        <f t="shared" si="14"/>
        <v>299</v>
      </c>
      <c r="S23" s="12">
        <f t="shared" si="14"/>
        <v>2932</v>
      </c>
      <c r="T23" s="12"/>
      <c r="U23" s="12">
        <f t="shared" ref="U23" si="15">U10</f>
        <v>20612</v>
      </c>
    </row>
    <row r="24" spans="1:32" x14ac:dyDescent="0.25">
      <c r="A24" t="str">
        <f>$A$11</f>
        <v>Seattle</v>
      </c>
      <c r="B24" s="12">
        <f t="shared" si="7"/>
        <v>1849.0913756269395</v>
      </c>
      <c r="C24" s="12">
        <f t="shared" si="7"/>
        <v>69.399199829575622</v>
      </c>
      <c r="D24" s="12">
        <f t="shared" si="7"/>
        <v>174.80349312425179</v>
      </c>
      <c r="E24" s="12">
        <f t="shared" si="7"/>
        <v>10.353283436083755</v>
      </c>
      <c r="F24" s="12">
        <f t="shared" si="7"/>
        <v>96369.450524618791</v>
      </c>
      <c r="G24" s="12">
        <f t="shared" si="7"/>
        <v>15200.970743910901</v>
      </c>
      <c r="H24" s="12">
        <f t="shared" ref="H24" si="16">($U11/$J11)*H11</f>
        <v>6693.9313794534719</v>
      </c>
      <c r="I24" s="12"/>
      <c r="J24" s="12">
        <f t="shared" si="9"/>
        <v>120368.00000000001</v>
      </c>
      <c r="K24" s="13"/>
      <c r="L24" t="str">
        <f>$A$11</f>
        <v>Seattle</v>
      </c>
      <c r="M24" s="12">
        <f t="shared" ref="M24:S24" si="17">M11</f>
        <v>1439</v>
      </c>
      <c r="N24" s="12">
        <f t="shared" si="17"/>
        <v>824</v>
      </c>
      <c r="O24" s="12">
        <f t="shared" si="17"/>
        <v>1357</v>
      </c>
      <c r="P24" s="12">
        <f t="shared" si="17"/>
        <v>723</v>
      </c>
      <c r="Q24" s="12">
        <f t="shared" si="17"/>
        <v>95368</v>
      </c>
      <c r="R24" s="12">
        <f t="shared" si="17"/>
        <v>10138</v>
      </c>
      <c r="S24" s="12">
        <f t="shared" si="17"/>
        <v>10519</v>
      </c>
      <c r="T24" s="12"/>
      <c r="U24" s="12">
        <f t="shared" ref="U24" si="18">U11</f>
        <v>120368</v>
      </c>
    </row>
    <row r="25" spans="1:32" x14ac:dyDescent="0.25">
      <c r="A25" t="str">
        <f>$A$12</f>
        <v>Seattle Downtown</v>
      </c>
      <c r="B25" s="12">
        <f t="shared" si="7"/>
        <v>81.803612800206636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6139.4921018197965</v>
      </c>
      <c r="G25" s="12">
        <f t="shared" si="7"/>
        <v>7881.9907506702275</v>
      </c>
      <c r="H25" s="12">
        <f t="shared" ref="H25" si="19">($U12/$J12)*H12</f>
        <v>1097.7135347097706</v>
      </c>
      <c r="I25" s="12"/>
      <c r="J25" s="12">
        <f t="shared" si="9"/>
        <v>15201.000000000002</v>
      </c>
      <c r="K25" s="13"/>
      <c r="L25" t="str">
        <f>$A$12</f>
        <v>Seattle Downtown</v>
      </c>
      <c r="M25" s="12">
        <f t="shared" ref="M25:S26" si="20">M12</f>
        <v>130</v>
      </c>
      <c r="N25" s="12">
        <f t="shared" si="20"/>
        <v>74</v>
      </c>
      <c r="O25" s="12">
        <f t="shared" si="20"/>
        <v>67</v>
      </c>
      <c r="P25" s="12">
        <f t="shared" si="20"/>
        <v>44</v>
      </c>
      <c r="Q25" s="12">
        <f t="shared" si="20"/>
        <v>3823</v>
      </c>
      <c r="R25" s="12">
        <f t="shared" si="20"/>
        <v>10655</v>
      </c>
      <c r="S25" s="12">
        <f t="shared" si="20"/>
        <v>408</v>
      </c>
      <c r="T25" s="12"/>
      <c r="U25" s="12">
        <f t="shared" ref="U25:U26" si="21">U12</f>
        <v>15201</v>
      </c>
    </row>
    <row r="26" spans="1:32" x14ac:dyDescent="0.25">
      <c r="A26" t="str">
        <f>$A$13</f>
        <v>Rest</v>
      </c>
      <c r="B26" s="12">
        <f t="shared" si="7"/>
        <v>8023.9936098996377</v>
      </c>
      <c r="C26" s="12">
        <f t="shared" si="7"/>
        <v>3099.959787468274</v>
      </c>
      <c r="D26" s="12">
        <f t="shared" si="7"/>
        <v>9900.8860724303322</v>
      </c>
      <c r="E26" s="12">
        <f t="shared" si="7"/>
        <v>2613.7104246115741</v>
      </c>
      <c r="F26" s="12">
        <f t="shared" si="7"/>
        <v>15225.595125897171</v>
      </c>
      <c r="G26" s="12">
        <f t="shared" si="7"/>
        <v>10127.317147540176</v>
      </c>
      <c r="H26" s="12">
        <f t="shared" ref="H26" si="22">($U13/$J13)*H13</f>
        <v>461637.53783215286</v>
      </c>
      <c r="I26" s="12"/>
      <c r="J26" s="12">
        <f t="shared" si="9"/>
        <v>510629</v>
      </c>
      <c r="K26" s="13"/>
      <c r="L26" t="str">
        <f>$A$13</f>
        <v>Rest</v>
      </c>
      <c r="M26" s="12">
        <f t="shared" si="20"/>
        <v>7244</v>
      </c>
      <c r="N26" s="12">
        <f t="shared" si="20"/>
        <v>3213</v>
      </c>
      <c r="O26" s="12">
        <f t="shared" si="20"/>
        <v>5863</v>
      </c>
      <c r="P26" s="12">
        <f t="shared" si="20"/>
        <v>5715</v>
      </c>
      <c r="Q26" s="12">
        <f t="shared" si="20"/>
        <v>28309</v>
      </c>
      <c r="R26" s="12">
        <f t="shared" si="20"/>
        <v>5082</v>
      </c>
      <c r="S26" s="12">
        <f t="shared" si="20"/>
        <v>455203</v>
      </c>
      <c r="T26" s="12"/>
      <c r="U26" s="12">
        <f t="shared" si="21"/>
        <v>510629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6">
        <f t="shared" ref="B28:J28" si="23">SUM(B20:B27)</f>
        <v>31201.978452794763</v>
      </c>
      <c r="C28" s="16">
        <f t="shared" si="23"/>
        <v>6951.8135426662247</v>
      </c>
      <c r="D28" s="16">
        <f t="shared" si="23"/>
        <v>35348.742871082708</v>
      </c>
      <c r="E28" s="16">
        <f t="shared" si="23"/>
        <v>17744.13619054481</v>
      </c>
      <c r="F28" s="16">
        <f t="shared" si="23"/>
        <v>122124.18778312928</v>
      </c>
      <c r="G28" s="16">
        <f t="shared" si="23"/>
        <v>34477.07346313505</v>
      </c>
      <c r="H28" s="16">
        <f t="shared" si="23"/>
        <v>476467.06769664719</v>
      </c>
      <c r="I28" s="16">
        <f t="shared" si="23"/>
        <v>0</v>
      </c>
      <c r="J28" s="16">
        <f t="shared" si="23"/>
        <v>724315</v>
      </c>
      <c r="K28" s="12"/>
      <c r="L28" s="16" t="s">
        <v>4</v>
      </c>
      <c r="M28" s="16">
        <f t="shared" ref="M28:U28" si="24">M15</f>
        <v>26976</v>
      </c>
      <c r="N28" s="16">
        <f t="shared" si="24"/>
        <v>11942</v>
      </c>
      <c r="O28" s="16">
        <f t="shared" si="24"/>
        <v>22852</v>
      </c>
      <c r="P28" s="16">
        <f t="shared" si="24"/>
        <v>21241</v>
      </c>
      <c r="Q28" s="16">
        <f t="shared" si="24"/>
        <v>136672</v>
      </c>
      <c r="R28" s="16">
        <f t="shared" si="24"/>
        <v>27744</v>
      </c>
      <c r="S28" s="16">
        <f t="shared" si="24"/>
        <v>476888</v>
      </c>
      <c r="T28" s="16"/>
      <c r="U28" s="16">
        <f t="shared" si="24"/>
        <v>724315</v>
      </c>
    </row>
    <row r="31" spans="1:32" ht="15.75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7">
        <f t="shared" ref="B33:G33" si="25">B20/$J$28</f>
        <v>2.7524610157161289E-2</v>
      </c>
      <c r="C33" s="17">
        <f t="shared" si="25"/>
        <v>1.7280106778068403E-3</v>
      </c>
      <c r="D33" s="17">
        <f t="shared" si="25"/>
        <v>2.1373686919820899E-3</v>
      </c>
      <c r="E33" s="17">
        <f t="shared" si="25"/>
        <v>1.2690519549843908E-3</v>
      </c>
      <c r="F33" s="17">
        <f t="shared" si="25"/>
        <v>2.1200533542350842E-3</v>
      </c>
      <c r="G33" s="17">
        <f t="shared" si="25"/>
        <v>1.1416364208352082E-3</v>
      </c>
      <c r="H33" s="17">
        <f t="shared" ref="H33" si="26">H20/$J$28</f>
        <v>4.5464687871747643E-3</v>
      </c>
      <c r="I33" s="12"/>
      <c r="J33" s="17">
        <f t="shared" ref="J33:J39" si="27">J20/$J$28</f>
        <v>4.0467200044179662E-2</v>
      </c>
      <c r="K33" s="12"/>
      <c r="L33" t="str">
        <f>$A$7</f>
        <v>Bellevue</v>
      </c>
      <c r="M33" s="17">
        <f t="shared" ref="M33:R33" si="28">M20/$U$28</f>
        <v>1.7304625749846408E-2</v>
      </c>
      <c r="N33" s="17">
        <f t="shared" si="28"/>
        <v>6.2472819146365873E-3</v>
      </c>
      <c r="O33" s="17">
        <f t="shared" si="28"/>
        <v>1.8362176677274391E-3</v>
      </c>
      <c r="P33" s="17">
        <f t="shared" si="28"/>
        <v>4.0783360830577856E-3</v>
      </c>
      <c r="Q33" s="17">
        <f t="shared" si="28"/>
        <v>4.4745725271463383E-3</v>
      </c>
      <c r="R33" s="17">
        <f t="shared" si="28"/>
        <v>1.3778535581894617E-3</v>
      </c>
      <c r="S33" s="17">
        <f t="shared" ref="S33" si="29">S20/$U$28</f>
        <v>5.1483125435756545E-3</v>
      </c>
      <c r="T33" s="17"/>
      <c r="U33" s="17">
        <f>U20/$U$28</f>
        <v>4.0467200044179676E-2</v>
      </c>
      <c r="W33" t="str">
        <f>$A$7</f>
        <v>Bellevue</v>
      </c>
      <c r="X33" s="17">
        <f>M33-B33</f>
        <v>-1.0219984407314881E-2</v>
      </c>
      <c r="Y33" s="17">
        <f t="shared" ref="Y33:Y35" si="30">N33-C33</f>
        <v>4.5192712368297468E-3</v>
      </c>
      <c r="Z33" s="17">
        <f t="shared" ref="Z33:Z35" si="31">O33-D33</f>
        <v>-3.0115102425465074E-4</v>
      </c>
      <c r="AA33" s="17">
        <f t="shared" ref="AA33" si="32">P33-E33</f>
        <v>2.8092841280733948E-3</v>
      </c>
      <c r="AB33" s="17">
        <f t="shared" ref="AB33" si="33">Q33-F33</f>
        <v>2.3545191729112541E-3</v>
      </c>
      <c r="AC33" s="17">
        <f t="shared" ref="AC33:AD33" si="34">R33-G33</f>
        <v>2.3621713735425356E-4</v>
      </c>
      <c r="AD33" s="17">
        <f t="shared" si="34"/>
        <v>6.0184375640089018E-4</v>
      </c>
      <c r="AE33" s="17"/>
      <c r="AF33" s="17">
        <f t="shared" ref="AF33:AF39" si="35">U33-J33</f>
        <v>0</v>
      </c>
    </row>
    <row r="34" spans="1:32" x14ac:dyDescent="0.25">
      <c r="A34" t="str">
        <f>$A$8</f>
        <v>Bellevue Downtown</v>
      </c>
      <c r="B34" s="17">
        <f t="shared" ref="B34:G39" si="36">B21/$J$28</f>
        <v>1.1036018247950372E-3</v>
      </c>
      <c r="C34" s="17">
        <f t="shared" si="36"/>
        <v>2.9733536434749831E-3</v>
      </c>
      <c r="D34" s="17">
        <f t="shared" si="36"/>
        <v>0</v>
      </c>
      <c r="E34" s="17">
        <f t="shared" si="36"/>
        <v>0</v>
      </c>
      <c r="F34" s="17">
        <f t="shared" si="36"/>
        <v>0</v>
      </c>
      <c r="G34" s="17">
        <f t="shared" si="36"/>
        <v>0</v>
      </c>
      <c r="H34" s="17">
        <f t="shared" ref="H34" si="37">H21/$J$28</f>
        <v>0</v>
      </c>
      <c r="I34" s="12"/>
      <c r="J34" s="17">
        <f t="shared" si="27"/>
        <v>4.076955468270021E-3</v>
      </c>
      <c r="K34" s="12"/>
      <c r="L34" t="str">
        <f>$A$8</f>
        <v>Bellevue Downtown</v>
      </c>
      <c r="M34" s="17">
        <f t="shared" ref="M34:R36" si="38">M21/$U$28</f>
        <v>1.2963972857113273E-3</v>
      </c>
      <c r="N34" s="17">
        <f t="shared" si="38"/>
        <v>1.8569268895439139E-3</v>
      </c>
      <c r="O34" s="17">
        <f t="shared" si="38"/>
        <v>1.6567377453179902E-4</v>
      </c>
      <c r="P34" s="17">
        <f t="shared" si="38"/>
        <v>1.5324824144191408E-4</v>
      </c>
      <c r="Q34" s="17">
        <f t="shared" si="38"/>
        <v>2.650780392508784E-4</v>
      </c>
      <c r="R34" s="17">
        <f t="shared" si="38"/>
        <v>7.4553198539309561E-5</v>
      </c>
      <c r="S34" s="17">
        <f t="shared" ref="S34" si="39">S21/$U$28</f>
        <v>2.650780392508784E-4</v>
      </c>
      <c r="T34" s="17"/>
      <c r="U34" s="17">
        <f>U21/$U$28</f>
        <v>4.076955468270021E-3</v>
      </c>
      <c r="W34" t="str">
        <f>$A$8</f>
        <v>Bellevue Downtown</v>
      </c>
      <c r="X34" s="17">
        <f t="shared" ref="X34:X35" si="40">M34-B34</f>
        <v>1.9279546091629011E-4</v>
      </c>
      <c r="Y34" s="17">
        <f t="shared" si="30"/>
        <v>-1.1164267539310693E-3</v>
      </c>
      <c r="Z34" s="17">
        <f t="shared" si="31"/>
        <v>1.6567377453179902E-4</v>
      </c>
      <c r="AA34" s="17">
        <f t="shared" ref="AA34:AA38" si="41">P34-E34</f>
        <v>1.5324824144191408E-4</v>
      </c>
      <c r="AB34" s="17">
        <f t="shared" ref="AB34:AB38" si="42">Q34-F34</f>
        <v>2.650780392508784E-4</v>
      </c>
      <c r="AC34" s="17">
        <f t="shared" ref="AC34:AD38" si="43">R34-G34</f>
        <v>7.4553198539309561E-5</v>
      </c>
      <c r="AD34" s="17">
        <f t="shared" si="43"/>
        <v>2.650780392508784E-4</v>
      </c>
      <c r="AE34" s="17"/>
      <c r="AF34" s="17">
        <f t="shared" si="35"/>
        <v>0</v>
      </c>
    </row>
    <row r="35" spans="1:32" x14ac:dyDescent="0.25">
      <c r="A35" t="str">
        <f>$A$9</f>
        <v>Kirkland</v>
      </c>
      <c r="B35" s="17">
        <f t="shared" si="36"/>
        <v>0</v>
      </c>
      <c r="C35" s="17">
        <f t="shared" si="36"/>
        <v>2.1934126039701001E-4</v>
      </c>
      <c r="D35" s="17">
        <f t="shared" si="36"/>
        <v>2.5831948953832048E-2</v>
      </c>
      <c r="E35" s="17">
        <f t="shared" si="36"/>
        <v>3.3871565424669296E-3</v>
      </c>
      <c r="F35" s="17">
        <f t="shared" si="36"/>
        <v>8.114600022213614E-4</v>
      </c>
      <c r="G35" s="17">
        <f t="shared" si="36"/>
        <v>6.0731924212047345E-4</v>
      </c>
      <c r="H35" s="17">
        <f t="shared" ref="H35" si="44">H22/$J$28</f>
        <v>3.9908718569383337E-3</v>
      </c>
      <c r="I35" s="12"/>
      <c r="J35" s="17">
        <f t="shared" si="27"/>
        <v>3.4848097857976157E-2</v>
      </c>
      <c r="K35" s="13"/>
      <c r="L35" t="str">
        <f>$A$9</f>
        <v>Kirkland</v>
      </c>
      <c r="M35" s="17">
        <f t="shared" si="38"/>
        <v>2.6355936298433692E-3</v>
      </c>
      <c r="N35" s="17">
        <f t="shared" si="38"/>
        <v>1.5946100798685655E-3</v>
      </c>
      <c r="O35" s="17">
        <f t="shared" si="38"/>
        <v>1.5344152751220119E-2</v>
      </c>
      <c r="P35" s="17">
        <f t="shared" si="38"/>
        <v>3.5882178334012134E-3</v>
      </c>
      <c r="Q35" s="17">
        <f t="shared" si="38"/>
        <v>5.5790643573583321E-3</v>
      </c>
      <c r="R35" s="17">
        <f t="shared" si="38"/>
        <v>7.1515846006226576E-4</v>
      </c>
      <c r="S35" s="17">
        <f t="shared" ref="S35" si="45">S22/$U$28</f>
        <v>5.3913007462222931E-3</v>
      </c>
      <c r="T35" s="17"/>
      <c r="U35" s="17">
        <f>U22/$U$28</f>
        <v>3.4848097857976157E-2</v>
      </c>
      <c r="W35" t="str">
        <f>$A$9</f>
        <v>Kirkland</v>
      </c>
      <c r="X35" s="17">
        <f t="shared" si="40"/>
        <v>2.6355936298433692E-3</v>
      </c>
      <c r="Y35" s="17">
        <f t="shared" si="30"/>
        <v>1.3752688194715555E-3</v>
      </c>
      <c r="Z35" s="17">
        <f t="shared" si="31"/>
        <v>-1.048779620261193E-2</v>
      </c>
      <c r="AA35" s="17">
        <f t="shared" si="41"/>
        <v>2.0106129093428382E-4</v>
      </c>
      <c r="AB35" s="17">
        <f t="shared" si="42"/>
        <v>4.767604355136971E-3</v>
      </c>
      <c r="AC35" s="17">
        <f t="shared" si="43"/>
        <v>1.0783921794179231E-4</v>
      </c>
      <c r="AD35" s="17">
        <f t="shared" si="43"/>
        <v>1.4004288892839594E-3</v>
      </c>
      <c r="AE35" s="17"/>
      <c r="AF35" s="17">
        <f t="shared" si="35"/>
        <v>0</v>
      </c>
    </row>
    <row r="36" spans="1:32" x14ac:dyDescent="0.25">
      <c r="A36" t="str">
        <f>$A$10</f>
        <v>Redmond</v>
      </c>
      <c r="B36" s="17">
        <f t="shared" si="36"/>
        <v>7.0583446809369468E-4</v>
      </c>
      <c r="C36" s="17">
        <f t="shared" si="36"/>
        <v>3.0140711151180273E-4</v>
      </c>
      <c r="D36" s="17">
        <f t="shared" si="36"/>
        <v>6.9230334797708978E-3</v>
      </c>
      <c r="E36" s="17">
        <f t="shared" si="36"/>
        <v>1.6218787163962779E-2</v>
      </c>
      <c r="F36" s="17">
        <f t="shared" si="36"/>
        <v>3.1289023891701469E-3</v>
      </c>
      <c r="G36" s="17">
        <f t="shared" si="36"/>
        <v>0</v>
      </c>
      <c r="H36" s="17">
        <f t="shared" ref="H36" si="46">H23/$J$28</f>
        <v>1.1792673929026901E-3</v>
      </c>
      <c r="I36" s="12"/>
      <c r="J36" s="17">
        <f t="shared" si="27"/>
        <v>2.845723200541201E-2</v>
      </c>
      <c r="K36" s="13"/>
      <c r="L36" t="str">
        <f>$A$10</f>
        <v>Redmond</v>
      </c>
      <c r="M36" s="17">
        <f t="shared" si="38"/>
        <v>3.839489724774442E-3</v>
      </c>
      <c r="N36" s="17">
        <f t="shared" si="38"/>
        <v>1.1127755189385834E-3</v>
      </c>
      <c r="O36" s="17">
        <f t="shared" si="38"/>
        <v>4.1432249780827398E-3</v>
      </c>
      <c r="P36" s="17">
        <f t="shared" si="38"/>
        <v>1.25566914947226E-2</v>
      </c>
      <c r="Q36" s="17">
        <f t="shared" si="38"/>
        <v>2.344283909624956E-3</v>
      </c>
      <c r="R36" s="17">
        <f t="shared" si="38"/>
        <v>4.1280382154173254E-4</v>
      </c>
      <c r="S36" s="17">
        <f t="shared" ref="S36" si="47">S23/$U$28</f>
        <v>4.0479625577269562E-3</v>
      </c>
      <c r="T36" s="17"/>
      <c r="U36" s="17">
        <f t="shared" ref="U36" si="48">U23/$U$28</f>
        <v>2.845723200541201E-2</v>
      </c>
      <c r="W36" t="str">
        <f>$A$10</f>
        <v>Redmond</v>
      </c>
      <c r="X36" s="17">
        <f t="shared" ref="X36:X38" si="49">M36-B36</f>
        <v>3.1336552566807474E-3</v>
      </c>
      <c r="Y36" s="17">
        <f t="shared" ref="Y36:Y38" si="50">N36-C36</f>
        <v>8.1136840742678071E-4</v>
      </c>
      <c r="Z36" s="17">
        <f t="shared" ref="Z36:Z38" si="51">O36-D36</f>
        <v>-2.779808501688158E-3</v>
      </c>
      <c r="AA36" s="17">
        <f t="shared" si="41"/>
        <v>-3.6620956692401795E-3</v>
      </c>
      <c r="AB36" s="17">
        <f t="shared" si="42"/>
        <v>-7.8461847954519083E-4</v>
      </c>
      <c r="AC36" s="17">
        <f t="shared" si="43"/>
        <v>4.1280382154173254E-4</v>
      </c>
      <c r="AD36" s="17">
        <f t="shared" si="43"/>
        <v>2.8686951648242663E-3</v>
      </c>
      <c r="AE36" s="17"/>
      <c r="AF36" s="17">
        <f t="shared" si="35"/>
        <v>0</v>
      </c>
    </row>
    <row r="37" spans="1:32" x14ac:dyDescent="0.25">
      <c r="A37" t="str">
        <f>$A$11</f>
        <v>Seattle</v>
      </c>
      <c r="B37" s="17">
        <f t="shared" si="36"/>
        <v>2.5528828971192637E-3</v>
      </c>
      <c r="C37" s="17">
        <f t="shared" si="36"/>
        <v>9.5813561543769802E-5</v>
      </c>
      <c r="D37" s="17">
        <f t="shared" si="36"/>
        <v>2.4133628756031807E-4</v>
      </c>
      <c r="E37" s="17">
        <f t="shared" si="36"/>
        <v>1.4293896213779579E-5</v>
      </c>
      <c r="F37" s="17">
        <f t="shared" si="36"/>
        <v>0.13304908848307545</v>
      </c>
      <c r="G37" s="17">
        <f t="shared" si="36"/>
        <v>2.0986684997426397E-2</v>
      </c>
      <c r="H37" s="17">
        <f t="shared" ref="H37" si="52">H24/$J$28</f>
        <v>9.2417406507575729E-3</v>
      </c>
      <c r="I37" s="12"/>
      <c r="J37" s="17">
        <f t="shared" si="27"/>
        <v>0.16618184077369655</v>
      </c>
      <c r="K37" s="13"/>
      <c r="L37" t="str">
        <f>$A$11</f>
        <v>Seattle</v>
      </c>
      <c r="M37" s="17">
        <f t="shared" ref="M37:N39" si="53">M24/$U$28</f>
        <v>1.9867046795938232E-3</v>
      </c>
      <c r="N37" s="17">
        <f t="shared" si="53"/>
        <v>1.1376265851183532E-3</v>
      </c>
      <c r="O37" s="17">
        <f t="shared" ref="O37:R37" si="54">O24/$U$28</f>
        <v>1.8734942669970938E-3</v>
      </c>
      <c r="P37" s="17">
        <f t="shared" si="54"/>
        <v>9.9818449155408893E-4</v>
      </c>
      <c r="Q37" s="17">
        <f t="shared" si="54"/>
        <v>0.13166647107957175</v>
      </c>
      <c r="R37" s="17">
        <f t="shared" si="54"/>
        <v>1.3996672718361487E-2</v>
      </c>
      <c r="S37" s="17">
        <f t="shared" ref="S37" si="55">S24/$U$28</f>
        <v>1.4522686952499949E-2</v>
      </c>
      <c r="T37" s="17"/>
      <c r="U37" s="17">
        <f t="shared" ref="U37" si="56">U24/$U$28</f>
        <v>0.16618184077369652</v>
      </c>
      <c r="W37" t="str">
        <f>$A$11</f>
        <v>Seattle</v>
      </c>
      <c r="X37" s="17">
        <f t="shared" si="49"/>
        <v>-5.6617821752544045E-4</v>
      </c>
      <c r="Y37" s="17">
        <f t="shared" si="50"/>
        <v>1.0418130235745834E-3</v>
      </c>
      <c r="Z37" s="17">
        <f t="shared" si="51"/>
        <v>1.6321579794367758E-3</v>
      </c>
      <c r="AA37" s="17">
        <f t="shared" si="41"/>
        <v>9.8389059534030945E-4</v>
      </c>
      <c r="AB37" s="17">
        <f t="shared" si="42"/>
        <v>-1.3826174035037053E-3</v>
      </c>
      <c r="AC37" s="17">
        <f t="shared" si="43"/>
        <v>-6.9900122790649104E-3</v>
      </c>
      <c r="AD37" s="17">
        <f t="shared" si="43"/>
        <v>5.2809463017423758E-3</v>
      </c>
      <c r="AE37" s="17"/>
      <c r="AF37" s="17">
        <f t="shared" si="35"/>
        <v>0</v>
      </c>
    </row>
    <row r="38" spans="1:32" x14ac:dyDescent="0.25">
      <c r="A38" t="str">
        <f>$A$12</f>
        <v>Seattle Downtown</v>
      </c>
      <c r="B38" s="17">
        <f t="shared" si="36"/>
        <v>1.1293927752456684E-4</v>
      </c>
      <c r="C38" s="17">
        <f t="shared" si="36"/>
        <v>0</v>
      </c>
      <c r="D38" s="17">
        <f t="shared" si="36"/>
        <v>0</v>
      </c>
      <c r="E38" s="17">
        <f t="shared" si="36"/>
        <v>0</v>
      </c>
      <c r="F38" s="17">
        <f t="shared" si="36"/>
        <v>8.4762735851387824E-3</v>
      </c>
      <c r="G38" s="17">
        <f t="shared" si="36"/>
        <v>1.0881992987402203E-2</v>
      </c>
      <c r="H38" s="17">
        <f t="shared" ref="H38" si="57">H25/$J$28</f>
        <v>1.5155195387500887E-3</v>
      </c>
      <c r="I38" s="12"/>
      <c r="J38" s="17">
        <f t="shared" si="27"/>
        <v>2.0986725388815641E-2</v>
      </c>
      <c r="K38" s="13"/>
      <c r="L38" t="str">
        <f>$A$12</f>
        <v>Seattle Downtown</v>
      </c>
      <c r="M38" s="17">
        <f t="shared" si="53"/>
        <v>1.7947992240944892E-4</v>
      </c>
      <c r="N38" s="17">
        <f t="shared" si="53"/>
        <v>1.0216549429460939E-4</v>
      </c>
      <c r="O38" s="17">
        <f t="shared" ref="O38:R39" si="58">O25/$U$28</f>
        <v>9.2501190780254442E-5</v>
      </c>
      <c r="P38" s="17">
        <f t="shared" si="58"/>
        <v>6.0747050661659634E-5</v>
      </c>
      <c r="Q38" s="17">
        <f t="shared" si="58"/>
        <v>5.2780903336255638E-3</v>
      </c>
      <c r="R38" s="17">
        <f t="shared" si="58"/>
        <v>1.4710450563635987E-2</v>
      </c>
      <c r="S38" s="17">
        <f t="shared" ref="S38" si="59">S25/$U$28</f>
        <v>5.6329083340811664E-4</v>
      </c>
      <c r="T38" s="17"/>
      <c r="U38" s="17">
        <f t="shared" ref="U38:U39" si="60">U25/$U$28</f>
        <v>2.0986725388815641E-2</v>
      </c>
      <c r="W38" t="str">
        <f>$A$12</f>
        <v>Seattle Downtown</v>
      </c>
      <c r="X38" s="17">
        <f t="shared" si="49"/>
        <v>6.6540644884882077E-5</v>
      </c>
      <c r="Y38" s="17">
        <f t="shared" si="50"/>
        <v>1.0216549429460939E-4</v>
      </c>
      <c r="Z38" s="17">
        <f t="shared" si="51"/>
        <v>9.2501190780254442E-5</v>
      </c>
      <c r="AA38" s="17">
        <f t="shared" si="41"/>
        <v>6.0747050661659634E-5</v>
      </c>
      <c r="AB38" s="17">
        <f t="shared" si="42"/>
        <v>-3.1981832515132185E-3</v>
      </c>
      <c r="AC38" s="17">
        <f t="shared" si="43"/>
        <v>3.8284575762337833E-3</v>
      </c>
      <c r="AD38" s="17">
        <f t="shared" si="43"/>
        <v>-9.5222870534197206E-4</v>
      </c>
      <c r="AE38" s="17"/>
      <c r="AF38" s="17">
        <f t="shared" si="35"/>
        <v>0</v>
      </c>
    </row>
    <row r="39" spans="1:32" x14ac:dyDescent="0.25">
      <c r="A39" t="str">
        <f>$A$13</f>
        <v>Rest</v>
      </c>
      <c r="B39" s="17">
        <f t="shared" si="36"/>
        <v>1.1078044234759239E-2</v>
      </c>
      <c r="C39" s="17">
        <f t="shared" si="36"/>
        <v>4.2798503240555202E-3</v>
      </c>
      <c r="D39" s="17">
        <f t="shared" si="36"/>
        <v>1.3669309723573766E-2</v>
      </c>
      <c r="E39" s="17">
        <f t="shared" si="36"/>
        <v>3.6085272631542547E-3</v>
      </c>
      <c r="F39" s="17">
        <f t="shared" si="36"/>
        <v>2.1020681783336215E-2</v>
      </c>
      <c r="G39" s="17">
        <f t="shared" si="36"/>
        <v>1.3981923814279942E-2</v>
      </c>
      <c r="H39" s="17">
        <f t="shared" ref="H39" si="61">H26/$J$28</f>
        <v>0.63734361131849104</v>
      </c>
      <c r="I39" s="12"/>
      <c r="J39" s="17">
        <f t="shared" si="27"/>
        <v>0.70498194846164997</v>
      </c>
      <c r="K39" s="13"/>
      <c r="L39" t="str">
        <f>$A$13</f>
        <v>Rest</v>
      </c>
      <c r="M39" s="17">
        <f t="shared" si="53"/>
        <v>1.0001173522569601E-2</v>
      </c>
      <c r="N39" s="17">
        <f t="shared" si="53"/>
        <v>4.4359153130889189E-3</v>
      </c>
      <c r="O39" s="17">
        <f t="shared" si="58"/>
        <v>8.0945445006661461E-3</v>
      </c>
      <c r="P39" s="17">
        <f t="shared" si="58"/>
        <v>7.8902135120769278E-3</v>
      </c>
      <c r="Q39" s="17">
        <f t="shared" si="58"/>
        <v>3.9083824026839152E-2</v>
      </c>
      <c r="R39" s="17">
        <f t="shared" si="58"/>
        <v>7.016284351421688E-3</v>
      </c>
      <c r="S39" s="17">
        <f t="shared" ref="S39" si="62">S26/$U$28</f>
        <v>0.62845999323498758</v>
      </c>
      <c r="T39" s="17"/>
      <c r="U39" s="17">
        <f t="shared" si="60"/>
        <v>0.70498194846164997</v>
      </c>
      <c r="W39" t="str">
        <f>$A$13</f>
        <v>Rest</v>
      </c>
      <c r="X39" s="17">
        <f t="shared" ref="X39" si="63">M39-B39</f>
        <v>-1.0768707121896377E-3</v>
      </c>
      <c r="Y39" s="17">
        <f t="shared" ref="Y39" si="64">N39-C39</f>
        <v>1.5606498903339861E-4</v>
      </c>
      <c r="Z39" s="17">
        <f t="shared" ref="Z39" si="65">O39-D39</f>
        <v>-5.5747652229076201E-3</v>
      </c>
      <c r="AA39" s="17">
        <f t="shared" ref="AA39" si="66">P39-E39</f>
        <v>4.2816862489226731E-3</v>
      </c>
      <c r="AB39" s="17">
        <f t="shared" ref="AB39" si="67">Q39-F39</f>
        <v>1.8063142243502937E-2</v>
      </c>
      <c r="AC39" s="17">
        <f t="shared" ref="AC39:AD39" si="68">R39-G39</f>
        <v>-6.9656394628582544E-3</v>
      </c>
      <c r="AD39" s="17">
        <f t="shared" si="68"/>
        <v>-8.8836180835034639E-3</v>
      </c>
      <c r="AE39" s="17"/>
      <c r="AF39" s="17">
        <f t="shared" si="35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thickBot="1" x14ac:dyDescent="0.3">
      <c r="A41" s="1" t="s">
        <v>4</v>
      </c>
      <c r="B41" s="19">
        <f t="shared" ref="B41:H41" si="69">B28/$J$28</f>
        <v>4.3077912859453088E-2</v>
      </c>
      <c r="C41" s="19">
        <f t="shared" si="69"/>
        <v>9.5977765787899245E-3</v>
      </c>
      <c r="D41" s="19">
        <f t="shared" si="69"/>
        <v>4.8802997136719116E-2</v>
      </c>
      <c r="E41" s="19">
        <f t="shared" si="69"/>
        <v>2.4497816820782132E-2</v>
      </c>
      <c r="F41" s="19">
        <f t="shared" si="69"/>
        <v>0.16860645959717702</v>
      </c>
      <c r="G41" s="19">
        <f t="shared" si="69"/>
        <v>4.7599557462064228E-2</v>
      </c>
      <c r="H41" s="19">
        <f t="shared" si="69"/>
        <v>0.65781747954501457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3.7243464514748414E-2</v>
      </c>
      <c r="N41" s="19">
        <f>N28/$U$28</f>
        <v>1.6487301795489531E-2</v>
      </c>
      <c r="O41" s="19">
        <f>O28/$U$28</f>
        <v>3.1549809130005595E-2</v>
      </c>
      <c r="P41" s="19">
        <f>P28/$U$28</f>
        <v>2.932563870691619E-2</v>
      </c>
      <c r="Q41" s="19">
        <f t="shared" ref="Q41:S41" si="70">Q28/$U$28</f>
        <v>0.18869138427341695</v>
      </c>
      <c r="R41" s="19">
        <f t="shared" si="70"/>
        <v>3.830377667175193E-2</v>
      </c>
      <c r="S41" s="19">
        <f t="shared" si="70"/>
        <v>0.65839862490767143</v>
      </c>
      <c r="T41" s="19">
        <f>T28/$U$28</f>
        <v>0</v>
      </c>
      <c r="U41" s="19">
        <f>U28/$U$28</f>
        <v>1</v>
      </c>
      <c r="W41" s="16" t="s">
        <v>4</v>
      </c>
      <c r="X41" s="19">
        <f t="shared" ref="X41:AF41" si="71">M41-B41</f>
        <v>-5.8344483447046736E-3</v>
      </c>
      <c r="Y41" s="19">
        <f t="shared" si="71"/>
        <v>6.8895252166996067E-3</v>
      </c>
      <c r="Z41" s="19">
        <f t="shared" si="71"/>
        <v>-1.7253188006713521E-2</v>
      </c>
      <c r="AA41" s="19">
        <f t="shared" si="71"/>
        <v>4.827821886134058E-3</v>
      </c>
      <c r="AB41" s="19">
        <f t="shared" si="71"/>
        <v>2.0084924676239929E-2</v>
      </c>
      <c r="AC41" s="19">
        <f t="shared" si="71"/>
        <v>-9.2957807903122983E-3</v>
      </c>
      <c r="AD41" s="19">
        <f t="shared" si="71"/>
        <v>5.8114536265685413E-4</v>
      </c>
      <c r="AE41" s="19">
        <f t="shared" si="71"/>
        <v>0</v>
      </c>
      <c r="AF41" s="19">
        <f t="shared" si="71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246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17" workbookViewId="0">
      <selection activeCell="B39" sqref="B39"/>
    </sheetView>
  </sheetViews>
  <sheetFormatPr defaultRowHeight="15" x14ac:dyDescent="0.25"/>
  <cols>
    <col min="2" max="2" width="10.7109375" customWidth="1" collapsed="1"/>
    <col min="3" max="3" width="13.7109375" customWidth="1" collapsed="1"/>
  </cols>
  <sheetData>
    <row r="1" spans="1:4" x14ac:dyDescent="0.25">
      <c r="A1" s="386" t="s">
        <v>42</v>
      </c>
    </row>
    <row r="2" spans="1:4" x14ac:dyDescent="0.25">
      <c r="A2" t="s">
        <v>259</v>
      </c>
      <c r="B2" t="s">
        <v>260</v>
      </c>
      <c r="C2" t="s">
        <v>91</v>
      </c>
      <c r="D2" t="s">
        <v>261</v>
      </c>
    </row>
    <row r="3" spans="1:4" x14ac:dyDescent="0.25">
      <c r="A3">
        <v>1</v>
      </c>
      <c r="B3" t="s">
        <v>45</v>
      </c>
      <c r="C3" t="s">
        <v>262</v>
      </c>
      <c r="D3" t="s">
        <v>46</v>
      </c>
    </row>
    <row r="4" spans="1:4" x14ac:dyDescent="0.25">
      <c r="A4">
        <v>2</v>
      </c>
      <c r="B4" t="s">
        <v>48</v>
      </c>
      <c r="C4" t="s">
        <v>262</v>
      </c>
      <c r="D4" t="s">
        <v>49</v>
      </c>
    </row>
    <row r="5" spans="1:4" x14ac:dyDescent="0.25">
      <c r="A5">
        <v>3</v>
      </c>
      <c r="B5" t="s">
        <v>51</v>
      </c>
      <c r="C5" t="s">
        <v>262</v>
      </c>
      <c r="D5" t="s">
        <v>52</v>
      </c>
    </row>
    <row r="6" spans="1:4" x14ac:dyDescent="0.25">
      <c r="A6">
        <v>4</v>
      </c>
      <c r="B6" t="s">
        <v>54</v>
      </c>
      <c r="C6" t="s">
        <v>262</v>
      </c>
      <c r="D6" t="s">
        <v>55</v>
      </c>
    </row>
    <row r="7" spans="1:4" x14ac:dyDescent="0.25">
      <c r="A7">
        <v>5</v>
      </c>
      <c r="B7" t="s">
        <v>57</v>
      </c>
      <c r="C7" t="s">
        <v>262</v>
      </c>
      <c r="D7" t="s">
        <v>58</v>
      </c>
    </row>
    <row r="8" spans="1:4" x14ac:dyDescent="0.25">
      <c r="A8">
        <v>6</v>
      </c>
      <c r="B8" t="s">
        <v>59</v>
      </c>
      <c r="C8" t="s">
        <v>262</v>
      </c>
      <c r="D8" t="s">
        <v>60</v>
      </c>
    </row>
    <row r="9" spans="1:4" x14ac:dyDescent="0.25">
      <c r="A9">
        <v>7</v>
      </c>
      <c r="B9" t="s">
        <v>61</v>
      </c>
      <c r="C9" t="s">
        <v>262</v>
      </c>
      <c r="D9" t="s">
        <v>62</v>
      </c>
    </row>
    <row r="10" spans="1:4" x14ac:dyDescent="0.25">
      <c r="A10">
        <v>8</v>
      </c>
      <c r="B10" t="s">
        <v>64</v>
      </c>
      <c r="C10" t="s">
        <v>262</v>
      </c>
      <c r="D10" t="s">
        <v>65</v>
      </c>
    </row>
    <row r="11" spans="1:4" x14ac:dyDescent="0.25">
      <c r="A11">
        <v>9</v>
      </c>
      <c r="B11" t="s">
        <v>66</v>
      </c>
      <c r="C11" t="s">
        <v>262</v>
      </c>
      <c r="D11" t="s">
        <v>67</v>
      </c>
    </row>
    <row r="12" spans="1:4" x14ac:dyDescent="0.25">
      <c r="A12">
        <v>10</v>
      </c>
      <c r="B12" t="s">
        <v>68</v>
      </c>
      <c r="C12" t="s">
        <v>262</v>
      </c>
      <c r="D12" t="s">
        <v>69</v>
      </c>
    </row>
    <row r="13" spans="1:4" x14ac:dyDescent="0.25">
      <c r="A13">
        <v>11</v>
      </c>
      <c r="B13" t="s">
        <v>70</v>
      </c>
      <c r="C13" t="s">
        <v>262</v>
      </c>
      <c r="D13" t="s">
        <v>71</v>
      </c>
    </row>
    <row r="14" spans="1:4" x14ac:dyDescent="0.25">
      <c r="A14">
        <v>12</v>
      </c>
      <c r="B14" t="s">
        <v>72</v>
      </c>
      <c r="C14" t="s">
        <v>262</v>
      </c>
      <c r="D14" t="s">
        <v>73</v>
      </c>
    </row>
    <row r="15" spans="1:4" x14ac:dyDescent="0.25">
      <c r="A15">
        <v>13</v>
      </c>
      <c r="B15" t="s">
        <v>74</v>
      </c>
      <c r="C15" t="s">
        <v>262</v>
      </c>
      <c r="D15" t="s">
        <v>75</v>
      </c>
    </row>
    <row r="16" spans="1:4" x14ac:dyDescent="0.25">
      <c r="A16">
        <v>14</v>
      </c>
      <c r="B16" t="s">
        <v>76</v>
      </c>
      <c r="C16" t="s">
        <v>262</v>
      </c>
      <c r="D16" t="s">
        <v>77</v>
      </c>
    </row>
    <row r="17" spans="1:4" x14ac:dyDescent="0.25">
      <c r="A17">
        <v>15</v>
      </c>
      <c r="B17" t="s">
        <v>78</v>
      </c>
      <c r="C17" t="s">
        <v>262</v>
      </c>
      <c r="D17" t="s">
        <v>79</v>
      </c>
    </row>
    <row r="18" spans="1:4" x14ac:dyDescent="0.25">
      <c r="A18">
        <v>16</v>
      </c>
      <c r="B18" t="s">
        <v>80</v>
      </c>
      <c r="C18" t="s">
        <v>262</v>
      </c>
      <c r="D18" t="s">
        <v>81</v>
      </c>
    </row>
    <row r="19" spans="1:4" x14ac:dyDescent="0.25">
      <c r="A19">
        <v>17</v>
      </c>
      <c r="B19" t="s">
        <v>83</v>
      </c>
      <c r="C19" t="s">
        <v>262</v>
      </c>
      <c r="D19" t="s">
        <v>84</v>
      </c>
    </row>
    <row r="20" spans="1:4" x14ac:dyDescent="0.25">
      <c r="A20">
        <v>18</v>
      </c>
      <c r="B20" t="s">
        <v>86</v>
      </c>
      <c r="C20" t="s">
        <v>262</v>
      </c>
      <c r="D20" t="s">
        <v>87</v>
      </c>
    </row>
    <row r="21" spans="1:4" x14ac:dyDescent="0.25">
      <c r="A21">
        <v>19</v>
      </c>
      <c r="B21" t="s">
        <v>89</v>
      </c>
      <c r="C21" t="s">
        <v>262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263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2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A8" t="s">
        <v>232</v>
      </c>
      <c r="B8" t="s">
        <v>233</v>
      </c>
      <c r="C8" t="s">
        <v>234</v>
      </c>
      <c r="D8" t="s">
        <v>265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2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2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2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W104"/>
  <sheetViews>
    <sheetView tabSelected="1" workbookViewId="0">
      <selection activeCell="Q28" sqref="Q28"/>
    </sheetView>
  </sheetViews>
  <sheetFormatPr defaultColWidth="9.140625" defaultRowHeight="15" x14ac:dyDescent="0.25"/>
  <cols>
    <col min="1" max="2" width="9.140625" style="385" collapsed="1"/>
    <col min="3" max="3" width="12.7109375" style="385" bestFit="1" customWidth="1" collapsed="1"/>
    <col min="4" max="4" width="18.85546875" style="384" customWidth="1" collapsed="1"/>
    <col min="5" max="5" width="6.7109375" style="385" customWidth="1" collapsed="1"/>
    <col min="6" max="6" width="12.7109375" style="385" customWidth="1" collapsed="1"/>
    <col min="7" max="8" width="18.85546875" style="384" customWidth="1" collapsed="1"/>
    <col min="9" max="9" width="6.5703125" style="384" customWidth="1" collapsed="1"/>
    <col min="10" max="10" width="10.140625" style="384" customWidth="1" collapsed="1"/>
    <col min="11" max="11" width="9.85546875" style="384" customWidth="1" collapsed="1"/>
    <col min="12" max="14" width="9.140625" style="385" collapsed="1"/>
    <col min="15" max="15" width="13" style="385" customWidth="1" collapsed="1"/>
    <col min="16" max="16" width="19.5703125" style="387" customWidth="1" collapsed="1"/>
    <col min="17" max="17" width="19.5703125" style="423" customWidth="1" collapsed="1"/>
    <col min="18" max="16384" width="9.140625" style="385" collapsed="1"/>
  </cols>
  <sheetData>
    <row r="1" spans="3:23" x14ac:dyDescent="0.2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r="2" spans="3:23" ht="15.75" thickBot="1" x14ac:dyDescent="0.3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2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25">
      <c r="C4" s="391" t="s">
        <v>47</v>
      </c>
      <c r="D4" s="392">
        <f>TLFD!B11</f>
        <v>27663.831959679799</v>
      </c>
      <c r="F4" s="391" t="s">
        <v>47</v>
      </c>
      <c r="G4" s="392">
        <f>TLFD!F11</f>
        <v>95893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25">
      <c r="C5" s="394" t="s">
        <v>50</v>
      </c>
      <c r="D5" s="395">
        <f>TLFD!B12+TLFD!B13+(TLFD!B14/2)</f>
        <v>115832.09695086606</v>
      </c>
      <c r="F5" s="394" t="s">
        <v>50</v>
      </c>
      <c r="G5" s="395">
        <f>TLFD!F12+TLFD!F13+(TLFD!F14/2)</f>
        <v>130407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t="shared" ref="Q5:Q68" si="0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25">
      <c r="C6" s="394" t="s">
        <v>53</v>
      </c>
      <c r="D6" s="395">
        <f>(TLFD!B14/2)+SUM(TLFD!B15:B20)</f>
        <v>410257.92803962692</v>
      </c>
      <c r="F6" s="394" t="s">
        <v>53</v>
      </c>
      <c r="G6" s="395">
        <f>(TLFD!F14/2)+SUM(TLFD!F15:F20)</f>
        <v>344345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t="shared" si="0"/>
        <v>0.27120783067900001</v>
      </c>
      <c r="T6">
        <v>4</v>
      </c>
      <c r="U6" s="410" t="s">
        <v>275</v>
      </c>
      <c r="V6" s="410"/>
      <c r="W6" s="410"/>
    </row>
    <row r="7" spans="3:23" x14ac:dyDescent="0.25">
      <c r="C7" s="397" t="s">
        <v>56</v>
      </c>
      <c r="D7" s="398">
        <f>SUM(TLFD!B21:B101)</f>
        <v>160058.51804216809</v>
      </c>
      <c r="F7" s="397" t="s">
        <v>56</v>
      </c>
      <c r="G7" s="398">
        <f>SUM(TLFD!F21:F101)</f>
        <v>153843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t="shared" si="0"/>
        <v>-0.34490013167299999</v>
      </c>
      <c r="T7" s="410">
        <v>5</v>
      </c>
      <c r="U7" s="410" t="s">
        <v>276</v>
      </c>
      <c r="V7" s="410"/>
      <c r="W7" s="410"/>
    </row>
    <row r="8" spans="3:23" ht="15.75" thickBot="1" x14ac:dyDescent="0.3">
      <c r="C8" s="400" t="s">
        <v>4</v>
      </c>
      <c r="D8" s="401">
        <f>SUM(D4:D7)</f>
        <v>713812.37499234092</v>
      </c>
      <c r="E8" s="402"/>
      <c r="F8" s="400" t="s">
        <v>4</v>
      </c>
      <c r="G8" s="401">
        <f>SUM(G4:G7)</f>
        <v>724488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t="shared" si="0"/>
        <v>-8.2865473150899996E-2</v>
      </c>
      <c r="T8" s="410"/>
      <c r="U8" s="410"/>
      <c r="V8" s="410"/>
      <c r="W8" s="410"/>
    </row>
    <row r="9" spans="3:23" x14ac:dyDescent="0.2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t="shared" si="0"/>
        <v>-3.9895313632499998</v>
      </c>
      <c r="T9" s="410"/>
      <c r="U9" s="463" t="s">
        <v>277</v>
      </c>
      <c r="V9" s="410"/>
      <c r="W9" s="410"/>
    </row>
    <row r="10" spans="3:23" ht="15.75" thickBot="1" x14ac:dyDescent="0.3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t="shared" si="0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2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t="shared" si="0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25">
      <c r="C12" s="391" t="s">
        <v>47</v>
      </c>
      <c r="D12" s="405">
        <f>D4/D$8</f>
        <v>3.8755046744568734E-2</v>
      </c>
      <c r="F12" s="391" t="s">
        <v>47</v>
      </c>
      <c r="G12" s="405">
        <f>G4/G$8</f>
        <v>0.13235968021554531</v>
      </c>
      <c r="H12" s="405"/>
      <c r="I12" s="441">
        <f>D12/G12</f>
        <v>0.29280100013430715</v>
      </c>
      <c r="J12" s="442">
        <f>LN(I12)</f>
        <v>-1.2282620811415685</v>
      </c>
      <c r="K12" s="442">
        <f>K8*J12</f>
        <v>-1.2282620811415685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t="shared" si="0"/>
        <v>0.517563261484</v>
      </c>
      <c r="T12" s="410">
        <v>3</v>
      </c>
      <c r="U12" s="410" t="s">
        <v>279</v>
      </c>
      <c r="V12" s="410"/>
      <c r="W12" s="410"/>
    </row>
    <row r="13" spans="3:23" x14ac:dyDescent="0.25">
      <c r="C13" s="394" t="s">
        <v>50</v>
      </c>
      <c r="D13" s="406">
        <f t="shared" ref="D13:D16" si="1">D5/D$8</f>
        <v>0.16227246964177236</v>
      </c>
      <c r="F13" s="394" t="s">
        <v>50</v>
      </c>
      <c r="G13" s="406">
        <f t="shared" ref="G13:G16" si="2">G5/G$8</f>
        <v>0.17999884056050619</v>
      </c>
      <c r="H13" s="406"/>
      <c r="I13" s="441">
        <f t="shared" ref="I13:I15" si="3">D13/G13</f>
        <v>0.90151952721731476</v>
      </c>
      <c r="J13" s="442">
        <f t="shared" ref="J13:J15" si="4">LN(I13)</f>
        <v>-0.1036735757665741</v>
      </c>
      <c r="K13" s="442">
        <f>K8*(J13-J12)</f>
        <v>1.1245885053749944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t="shared" si="0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25">
      <c r="C14" s="394" t="s">
        <v>53</v>
      </c>
      <c r="D14" s="406">
        <f t="shared" si="1"/>
        <v>0.57474196639422082</v>
      </c>
      <c r="F14" s="394" t="s">
        <v>53</v>
      </c>
      <c r="G14" s="406">
        <f t="shared" si="2"/>
        <v>0.47529427678581287</v>
      </c>
      <c r="H14" s="406"/>
      <c r="I14" s="441">
        <f t="shared" si="3"/>
        <v>1.2092339303576827</v>
      </c>
      <c r="J14" s="442">
        <f t="shared" si="4"/>
        <v>0.18998704369958486</v>
      </c>
      <c r="K14" s="442">
        <f>K8*(J14-J13-J12)</f>
        <v>1.5219227006077274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t="shared" si="0"/>
        <v>-0.80534348065299999</v>
      </c>
      <c r="T14" s="410">
        <v>5</v>
      </c>
      <c r="U14" s="383" t="s">
        <v>281</v>
      </c>
      <c r="V14" s="410"/>
      <c r="W14" s="410"/>
    </row>
    <row r="15" spans="3:23" ht="15.75" thickBot="1" x14ac:dyDescent="0.3">
      <c r="C15" s="397" t="s">
        <v>56</v>
      </c>
      <c r="D15" s="406">
        <f t="shared" si="1"/>
        <v>0.22423051721943807</v>
      </c>
      <c r="F15" s="397" t="s">
        <v>56</v>
      </c>
      <c r="G15" s="406">
        <f t="shared" si="2"/>
        <v>0.21234720243813562</v>
      </c>
      <c r="H15" s="406"/>
      <c r="I15" s="443">
        <f t="shared" si="3"/>
        <v>1.0559617204505649</v>
      </c>
      <c r="J15" s="444">
        <f t="shared" si="4"/>
        <v>5.4451935053709384E-2</v>
      </c>
      <c r="K15" s="444">
        <f>K8*(J15-J14-J13-J12)</f>
        <v>1.1964005482622673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t="shared" si="0"/>
        <v>-0.51977799879300002</v>
      </c>
      <c r="T15" s="410">
        <v>6</v>
      </c>
      <c r="U15" s="410" t="s">
        <v>282</v>
      </c>
      <c r="V15" s="410"/>
      <c r="W15" s="410"/>
    </row>
    <row r="16" spans="3:23" ht="15.75" thickBot="1" x14ac:dyDescent="0.3">
      <c r="C16" s="400" t="s">
        <v>4</v>
      </c>
      <c r="D16" s="408">
        <f t="shared" si="1"/>
        <v>1</v>
      </c>
      <c r="E16" s="402"/>
      <c r="F16" s="400" t="s">
        <v>4</v>
      </c>
      <c r="G16" s="408">
        <f t="shared" si="2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t="shared" si="0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2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t="shared" si="0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2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t="shared" si="0"/>
        <v>-0.493022087256</v>
      </c>
    </row>
    <row r="19" spans="2:23" x14ac:dyDescent="0.2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t="shared" si="0"/>
        <v>0</v>
      </c>
    </row>
    <row r="20" spans="2:23" x14ac:dyDescent="0.2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t="shared" si="0"/>
        <v>0</v>
      </c>
    </row>
    <row r="21" spans="2:23" ht="15.75" thickBot="1" x14ac:dyDescent="0.3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t="shared" si="0"/>
        <v>0</v>
      </c>
    </row>
    <row r="22" spans="2:23" x14ac:dyDescent="0.2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t="shared" si="0"/>
        <v>0.63771148688699997</v>
      </c>
    </row>
    <row r="23" spans="2:23" x14ac:dyDescent="0.2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t="shared" si="0"/>
        <v>-12.0946718381</v>
      </c>
    </row>
    <row r="24" spans="2:23" x14ac:dyDescent="0.25">
      <c r="B24" s="448">
        <v>28</v>
      </c>
      <c r="C24" s="394" t="s">
        <v>50</v>
      </c>
      <c r="D24" s="465">
        <f t="shared" ref="D24:D26" si="5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t="shared" si="0"/>
        <v>-4.03623745316</v>
      </c>
    </row>
    <row r="25" spans="2:23" x14ac:dyDescent="0.25">
      <c r="B25" s="448">
        <v>29</v>
      </c>
      <c r="C25" s="394" t="s">
        <v>53</v>
      </c>
      <c r="D25" s="465">
        <f t="shared" si="5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t="shared" si="0"/>
        <v>-2.16371815818</v>
      </c>
    </row>
    <row r="26" spans="2:23" ht="15.75" thickBot="1" x14ac:dyDescent="0.3">
      <c r="B26" s="449">
        <v>30</v>
      </c>
      <c r="C26" s="414" t="s">
        <v>56</v>
      </c>
      <c r="D26" s="466">
        <f t="shared" si="5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t="shared" si="0"/>
        <v>0.10429329553199999</v>
      </c>
    </row>
    <row r="27" spans="2:23" x14ac:dyDescent="0.2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t="shared" si="0"/>
        <v>0</v>
      </c>
    </row>
    <row r="28" spans="2:23" x14ac:dyDescent="0.2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t="shared" si="0"/>
        <v>0.417326479157</v>
      </c>
    </row>
    <row r="29" spans="2:23" x14ac:dyDescent="0.2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t="shared" si="0"/>
        <v>-16.066753131241569</v>
      </c>
      <c r="R29" s="385" t="str">
        <f>VLOOKUP(N29,Coeff_Descr!$A$2:$E$104,4,FALSE)</f>
        <v>distanceFromOrigin4</v>
      </c>
    </row>
    <row r="30" spans="2:23" x14ac:dyDescent="0.2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t="shared" si="0"/>
        <v>-4.0634547294250059</v>
      </c>
      <c r="R30" s="385" t="str">
        <f>VLOOKUP(N30,Coeff_Descr!$A$2:$E$104,4,FALSE)</f>
        <v>distanceFromOrigin8</v>
      </c>
    </row>
    <row r="31" spans="2:23" ht="15.75" thickBot="1" x14ac:dyDescent="0.3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t="shared" si="0"/>
        <v>-1.0937081700922726</v>
      </c>
      <c r="R31" s="385" t="str">
        <f>VLOOKUP(N31,Coeff_Descr!$A$2:$E$104,4,FALSE)</f>
        <v>distanceFromOrigin9</v>
      </c>
    </row>
    <row r="32" spans="2:23" x14ac:dyDescent="0.2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t="shared" si="0"/>
        <v>0.28593885636226724</v>
      </c>
      <c r="R32" s="385" t="str">
        <f>VLOOKUP(N32,Coeff_Descr!$A$2:$E$104,4,FALSE)</f>
        <v>distanceFromOrigin3</v>
      </c>
    </row>
    <row r="33" spans="2:17" x14ac:dyDescent="0.25">
      <c r="B33" s="448">
        <f>B23</f>
        <v>27</v>
      </c>
      <c r="C33" s="391" t="s">
        <v>47</v>
      </c>
      <c r="D33" s="467">
        <f>K12</f>
        <v>-1.2282620811415685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t="shared" si="0"/>
        <v>5.7553461640599997E-2</v>
      </c>
    </row>
    <row r="34" spans="2:17" x14ac:dyDescent="0.25">
      <c r="B34" s="448">
        <f t="shared" ref="B34:B36" si="6">B24</f>
        <v>28</v>
      </c>
      <c r="C34" s="394" t="s">
        <v>50</v>
      </c>
      <c r="D34" s="468">
        <f t="shared" ref="D34:D36" si="7">K13</f>
        <v>1.1245885053749944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t="shared" si="0"/>
        <v>0.237798002151</v>
      </c>
    </row>
    <row r="35" spans="2:17" x14ac:dyDescent="0.25">
      <c r="B35" s="448">
        <f t="shared" si="6"/>
        <v>29</v>
      </c>
      <c r="C35" s="394" t="s">
        <v>53</v>
      </c>
      <c r="D35" s="468">
        <f t="shared" si="7"/>
        <v>1.5219227006077274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t="shared" si="0"/>
        <v>0</v>
      </c>
    </row>
    <row r="36" spans="2:17" ht="15.75" thickBot="1" x14ac:dyDescent="0.3">
      <c r="B36" s="450">
        <f t="shared" si="6"/>
        <v>30</v>
      </c>
      <c r="C36" s="414" t="s">
        <v>56</v>
      </c>
      <c r="D36" s="415">
        <f t="shared" si="7"/>
        <v>1.1964005482622673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t="shared" si="0"/>
        <v>0</v>
      </c>
    </row>
    <row r="37" spans="2:17" ht="15.75" thickTop="1" x14ac:dyDescent="0.2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t="shared" si="0"/>
        <v>0</v>
      </c>
    </row>
    <row r="38" spans="2:17" x14ac:dyDescent="0.2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t="shared" si="0"/>
        <v>0.61259135262599995</v>
      </c>
    </row>
    <row r="39" spans="2:17" x14ac:dyDescent="0.2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t="shared" si="0"/>
        <v>-20.810228388700001</v>
      </c>
    </row>
    <row r="40" spans="2:17" x14ac:dyDescent="0.2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t="shared" si="0"/>
        <v>-7.1836373472300004</v>
      </c>
    </row>
    <row r="41" spans="2:17" ht="15.75" thickBot="1" x14ac:dyDescent="0.3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t="shared" si="0"/>
        <v>-3.6600975390500001</v>
      </c>
    </row>
    <row r="42" spans="2:17" x14ac:dyDescent="0.2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t="shared" si="0"/>
        <v>-1.3605457273599999</v>
      </c>
    </row>
    <row r="43" spans="2:17" x14ac:dyDescent="0.25">
      <c r="B43" s="448">
        <f>B33</f>
        <v>27</v>
      </c>
      <c r="C43" s="391" t="s">
        <v>47</v>
      </c>
      <c r="D43" s="469">
        <f>D23+D33</f>
        <v>-16.066753131241569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t="shared" si="0"/>
        <v>-0.22141031751900001</v>
      </c>
    </row>
    <row r="44" spans="2:17" x14ac:dyDescent="0.25">
      <c r="B44" s="448">
        <f t="shared" ref="B44:B46" si="8">B34</f>
        <v>28</v>
      </c>
      <c r="C44" s="394" t="s">
        <v>50</v>
      </c>
      <c r="D44" s="469">
        <f t="shared" ref="D44:D46" si="9">D24+D34</f>
        <v>-4.0634547294250059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t="shared" si="0"/>
        <v>0.64228876129599999</v>
      </c>
    </row>
    <row r="45" spans="2:17" x14ac:dyDescent="0.25">
      <c r="B45" s="448">
        <f t="shared" si="8"/>
        <v>29</v>
      </c>
      <c r="C45" s="394" t="s">
        <v>53</v>
      </c>
      <c r="D45" s="469">
        <f t="shared" si="9"/>
        <v>-1.0937081700922726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t="shared" si="0"/>
        <v>0.74588429254199995</v>
      </c>
    </row>
    <row r="46" spans="2:17" ht="15.75" thickBot="1" x14ac:dyDescent="0.3">
      <c r="B46" s="450">
        <f t="shared" si="8"/>
        <v>30</v>
      </c>
      <c r="C46" s="414" t="s">
        <v>56</v>
      </c>
      <c r="D46" s="470">
        <f t="shared" si="9"/>
        <v>0.28593885636226724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t="shared" si="0"/>
        <v>-32.156094092099998</v>
      </c>
    </row>
    <row r="47" spans="2:17" ht="15.75" thickTop="1" x14ac:dyDescent="0.2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t="shared" si="0"/>
        <v>-7.5551873767200002</v>
      </c>
    </row>
    <row r="48" spans="2:17" x14ac:dyDescent="0.2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t="shared" si="0"/>
        <v>-3.4784098231399998</v>
      </c>
    </row>
    <row r="49" spans="13:17" x14ac:dyDescent="0.2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t="shared" si="0"/>
        <v>-0.79171784712299997</v>
      </c>
    </row>
    <row r="50" spans="13:17" x14ac:dyDescent="0.2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t="shared" si="0"/>
        <v>0.65760260093900003</v>
      </c>
    </row>
    <row r="51" spans="13:17" x14ac:dyDescent="0.2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t="shared" si="0"/>
        <v>0.201576719663</v>
      </c>
    </row>
    <row r="52" spans="13:17" x14ac:dyDescent="0.2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t="shared" si="0"/>
        <v>-28.552058518999999</v>
      </c>
    </row>
    <row r="53" spans="13:17" x14ac:dyDescent="0.2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t="shared" si="0"/>
        <v>-7.25833529236</v>
      </c>
    </row>
    <row r="54" spans="13:17" x14ac:dyDescent="0.2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t="shared" si="0"/>
        <v>-2.64524710889</v>
      </c>
    </row>
    <row r="55" spans="13:17" x14ac:dyDescent="0.2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t="shared" si="0"/>
        <v>-0.76461618005800003</v>
      </c>
    </row>
    <row r="56" spans="13:17" x14ac:dyDescent="0.2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t="shared" si="0"/>
        <v>0.20818008309700001</v>
      </c>
    </row>
    <row r="57" spans="13:17" x14ac:dyDescent="0.2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t="shared" si="0"/>
        <v>0.42522231451499998</v>
      </c>
    </row>
    <row r="58" spans="13:17" x14ac:dyDescent="0.2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t="shared" si="0"/>
        <v>-0.743588483327</v>
      </c>
    </row>
    <row r="59" spans="13:17" x14ac:dyDescent="0.2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t="shared" si="0"/>
        <v>6.2100000000000002E-2</v>
      </c>
    </row>
    <row r="60" spans="13:17" x14ac:dyDescent="0.2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t="shared" si="0"/>
        <v>-3</v>
      </c>
    </row>
    <row r="61" spans="13:17" x14ac:dyDescent="0.2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t="shared" si="0"/>
        <v>0.29394695214400002</v>
      </c>
    </row>
    <row r="62" spans="13:17" x14ac:dyDescent="0.2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t="shared" si="0"/>
        <v>0</v>
      </c>
    </row>
    <row r="63" spans="13:17" x14ac:dyDescent="0.2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t="shared" si="0"/>
        <v>-6.2798471793299999</v>
      </c>
    </row>
    <row r="64" spans="13:17" x14ac:dyDescent="0.2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t="shared" si="0"/>
        <v>3.2962256518299999</v>
      </c>
    </row>
    <row r="65" spans="13:17" x14ac:dyDescent="0.2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t="shared" si="0"/>
        <v>-5.4150639062700003</v>
      </c>
    </row>
    <row r="66" spans="13:17" x14ac:dyDescent="0.2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t="shared" si="0"/>
        <v>-5.94820877094</v>
      </c>
    </row>
    <row r="67" spans="13:17" x14ac:dyDescent="0.2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t="shared" si="0"/>
        <v>-4.8479831726300002</v>
      </c>
    </row>
    <row r="68" spans="13:17" x14ac:dyDescent="0.2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t="shared" si="0"/>
        <v>-5.4883496585599998</v>
      </c>
    </row>
    <row r="69" spans="13:17" x14ac:dyDescent="0.2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t="shared" ref="Q69:Q104" si="10">_xlfn.IFNA(VLOOKUP(N69,$B$43:$D$46,3,FALSE),P69)</f>
        <v>-6.9308352438999998</v>
      </c>
    </row>
    <row r="70" spans="13:17" x14ac:dyDescent="0.2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t="shared" si="10"/>
        <v>-22.404820174200001</v>
      </c>
    </row>
    <row r="71" spans="13:17" x14ac:dyDescent="0.2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t="shared" si="10"/>
        <v>-2.8929233973800002</v>
      </c>
    </row>
    <row r="72" spans="13:17" x14ac:dyDescent="0.2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t="shared" si="10"/>
        <v>-2.5610724948299999</v>
      </c>
    </row>
    <row r="73" spans="13:17" x14ac:dyDescent="0.2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t="shared" si="10"/>
        <v>-6.7871010869299999</v>
      </c>
    </row>
    <row r="74" spans="13:17" x14ac:dyDescent="0.2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t="shared" si="10"/>
        <v>-7.1983706387300002</v>
      </c>
    </row>
    <row r="75" spans="13:17" x14ac:dyDescent="0.2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t="shared" si="10"/>
        <v>-6.5584328775399996</v>
      </c>
    </row>
    <row r="76" spans="13:17" x14ac:dyDescent="0.2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t="shared" si="10"/>
        <v>-7.3832576457999997</v>
      </c>
    </row>
    <row r="77" spans="13:17" x14ac:dyDescent="0.2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t="shared" si="10"/>
        <v>-8.5452246906399996</v>
      </c>
    </row>
    <row r="78" spans="13:17" x14ac:dyDescent="0.2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t="shared" si="10"/>
        <v>-24.633851965200002</v>
      </c>
    </row>
    <row r="79" spans="13:17" x14ac:dyDescent="0.2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t="shared" si="10"/>
        <v>0</v>
      </c>
    </row>
    <row r="80" spans="13:17" x14ac:dyDescent="0.2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t="shared" si="10"/>
        <v>-0.55009338373399996</v>
      </c>
    </row>
    <row r="81" spans="13:17" x14ac:dyDescent="0.2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t="shared" si="10"/>
        <v>-9.9117567037699992</v>
      </c>
    </row>
    <row r="82" spans="13:17" x14ac:dyDescent="0.2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t="shared" si="10"/>
        <v>-9.3194311560499994</v>
      </c>
    </row>
    <row r="83" spans="13:17" x14ac:dyDescent="0.2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t="shared" si="10"/>
        <v>-0.20086270196799999</v>
      </c>
    </row>
    <row r="84" spans="13:17" x14ac:dyDescent="0.2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t="shared" si="10"/>
        <v>-2.1843835309699999</v>
      </c>
    </row>
    <row r="85" spans="13:17" x14ac:dyDescent="0.2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t="shared" si="10"/>
        <v>0</v>
      </c>
    </row>
    <row r="86" spans="13:17" x14ac:dyDescent="0.2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t="shared" si="10"/>
        <v>-9.9476357147400005</v>
      </c>
    </row>
    <row r="87" spans="13:17" x14ac:dyDescent="0.2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t="shared" si="10"/>
        <v>-12.800107987600001</v>
      </c>
    </row>
    <row r="88" spans="13:17" x14ac:dyDescent="0.2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t="shared" si="10"/>
        <v>-30</v>
      </c>
    </row>
    <row r="89" spans="13:17" x14ac:dyDescent="0.2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t="shared" si="10"/>
        <v>-21.699928591700001</v>
      </c>
    </row>
    <row r="90" spans="13:17" x14ac:dyDescent="0.2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t="shared" si="10"/>
        <v>-17.700475093400001</v>
      </c>
    </row>
    <row r="91" spans="13:17" x14ac:dyDescent="0.2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t="shared" si="10"/>
        <v>-0.7</v>
      </c>
    </row>
    <row r="92" spans="13:17" x14ac:dyDescent="0.2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t="shared" si="10"/>
        <v>-17.8758745875</v>
      </c>
    </row>
    <row r="93" spans="13:17" x14ac:dyDescent="0.2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t="shared" si="10"/>
        <v>0</v>
      </c>
    </row>
    <row r="94" spans="13:17" x14ac:dyDescent="0.2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t="shared" si="10"/>
        <v>5</v>
      </c>
    </row>
    <row r="95" spans="13:17" x14ac:dyDescent="0.2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t="shared" si="10"/>
        <v>-30</v>
      </c>
    </row>
    <row r="96" spans="13:17" x14ac:dyDescent="0.2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t="shared" si="10"/>
        <v>-24.158093970700001</v>
      </c>
    </row>
    <row r="97" spans="13:17" x14ac:dyDescent="0.2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t="shared" si="10"/>
        <v>-9.5803170794600003</v>
      </c>
    </row>
    <row r="98" spans="13:17" x14ac:dyDescent="0.2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t="shared" si="10"/>
        <v>0</v>
      </c>
    </row>
    <row r="99" spans="13:17" x14ac:dyDescent="0.2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t="shared" si="10"/>
        <v>-15.671349338700001</v>
      </c>
    </row>
    <row r="100" spans="13:17" x14ac:dyDescent="0.2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t="shared" si="10"/>
        <v>-18.208541213899998</v>
      </c>
    </row>
    <row r="101" spans="13:17" x14ac:dyDescent="0.2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t="shared" si="10"/>
        <v>-11.2471450075</v>
      </c>
    </row>
    <row r="102" spans="13:17" x14ac:dyDescent="0.2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t="shared" si="10"/>
        <v>-10.0807778908</v>
      </c>
    </row>
    <row r="103" spans="13:17" x14ac:dyDescent="0.2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t="shared" si="10"/>
        <v>-5.6623999999999999</v>
      </c>
    </row>
    <row r="104" spans="13:17" x14ac:dyDescent="0.2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t="shared" si="10"/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Bhargava Sana</dc:creator>
  <cp:lastModifiedBy>Dong, Hu</cp:lastModifiedBy>
  <dcterms:created xsi:type="dcterms:W3CDTF">2011-01-31T15:16:09Z</dcterms:created>
  <dcterms:modified xsi:type="dcterms:W3CDTF">2019-10-07T21:07:34Z</dcterms:modified>
</cp:coreProperties>
</file>