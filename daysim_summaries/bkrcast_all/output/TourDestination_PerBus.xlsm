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all\output\"/>
    </mc:Choice>
  </mc:AlternateContent>
  <bookViews>
    <workbookView activeTab="6" firstSheet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County_Flow!$M$7:$P$14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M93" s="1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M85" s="1"/>
  <c i="6" r="P84"/>
  <c i="6" r="O84"/>
  <c i="6" r="N84"/>
  <c i="6" r="M84" s="1"/>
  <c i="6" r="P83"/>
  <c i="6" r="O83"/>
  <c i="6" r="N83"/>
  <c i="6" r="M83" s="1"/>
  <c i="6" r="P82"/>
  <c i="6" r="O82"/>
  <c i="6" r="N82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M55" s="1"/>
  <c i="6" r="P54"/>
  <c i="6" r="O54"/>
  <c i="6" r="N54"/>
  <c i="6" r="P53"/>
  <c i="6" r="O53"/>
  <c i="6" r="N53"/>
  <c i="6" r="M53" s="1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M47" s="1"/>
  <c i="6" r="P46"/>
  <c i="6" r="O46"/>
  <c i="6" r="N46"/>
  <c i="6" r="M46" s="1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P41"/>
  <c i="6" r="O41"/>
  <c i="6" r="N41"/>
  <c i="6" r="M41" s="1"/>
  <c i="6" r="P40"/>
  <c i="6" r="O40"/>
  <c i="6" r="N40"/>
  <c i="6" r="P39"/>
  <c i="6" r="O39"/>
  <c i="6" r="N39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M35" s="1"/>
  <c i="6" r="P34"/>
  <c i="6" r="O34"/>
  <c i="6" r="N34"/>
  <c i="6" r="M34" s="1"/>
  <c i="6" r="P33"/>
  <c i="6" r="O33"/>
  <c i="6" r="N33"/>
  <c i="6" r="M33" s="1"/>
  <c i="6" r="P32"/>
  <c i="6" r="O32"/>
  <c i="6" r="N32"/>
  <c i="6" r="R32" s="1"/>
  <c i="6" r="P31"/>
  <c i="6" r="O31"/>
  <c i="6" r="N31"/>
  <c i="6" r="M31" s="1"/>
  <c i="6" r="P30"/>
  <c i="6" r="O30"/>
  <c i="6" r="N30"/>
  <c i="6" r="R30" s="1"/>
  <c i="6" r="P29"/>
  <c i="6" r="O29"/>
  <c i="6" r="N29"/>
  <c i="6" r="R29" s="1"/>
  <c i="6" r="P28"/>
  <c i="6" r="O28"/>
  <c i="6" r="N28"/>
  <c i="6" r="M28" s="1"/>
  <c i="6" r="P27"/>
  <c i="6" r="O27"/>
  <c i="6" r="N27"/>
  <c i="6" r="M27" s="1"/>
  <c i="6" r="P26"/>
  <c i="6" r="O26"/>
  <c i="6" r="N26"/>
  <c i="6" r="M26" s="1"/>
  <c i="6" r="P25"/>
  <c i="6" r="O25"/>
  <c i="6" r="N25"/>
  <c i="6" r="P24"/>
  <c i="6" r="O24"/>
  <c i="6" r="N24"/>
  <c i="6" r="M24" s="1"/>
  <c i="6" r="P23"/>
  <c i="6" r="O23"/>
  <c i="6" r="N23"/>
  <c i="6" r="M23" s="1"/>
  <c i="6" r="P22"/>
  <c i="6" r="O22"/>
  <c i="6" r="N22"/>
  <c i="6" r="M22" s="1"/>
  <c i="6" r="P21"/>
  <c i="6" r="O21"/>
  <c i="6" r="N21"/>
  <c i="6" r="M21" s="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M10" s="1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M5" s="1"/>
  <c i="6" r="P4"/>
  <c i="6" r="O4"/>
  <c i="6" r="N4"/>
  <c i="6" r="M4" s="1"/>
  <c i="6" r="P3"/>
  <c i="6" r="O3"/>
  <c i="6" r="N3"/>
  <c i="6" r="M3" s="1"/>
  <c i="6" r="B36"/>
  <c i="6" r="B46" s="1"/>
  <c i="6" r="B35"/>
  <c i="6" r="B45" s="1"/>
  <c i="6" r="B34"/>
  <c i="6" r="B44" s="1"/>
  <c i="6" r="B33"/>
  <c i="6" r="B43" s="1"/>
  <c i="6" l="1" r="M30"/>
  <c i="6" r="M32"/>
  <c i="6" r="D26"/>
  <c i="6" r="R31"/>
  <c i="6" r="D23"/>
  <c i="6" r="D24"/>
  <c i="6" r="D25"/>
  <c i="6" r="Q53"/>
  <c i="6" r="M29"/>
  <c i="6" r="M42"/>
  <c i="6" r="M39"/>
  <c i="6" r="Q95"/>
  <c i="6" r="Q99"/>
  <c i="6" r="Q22"/>
  <c i="6" r="Q93"/>
  <c i="6" r="Q16"/>
  <c i="6" r="Q63"/>
  <c i="6" r="Q9"/>
  <c i="6" r="Q54"/>
  <c i="6" r="Q66"/>
  <c i="6" r="Q55"/>
  <c i="6" r="Q74"/>
  <c i="6" r="Q19"/>
  <c i="6" r="Q75"/>
  <c i="6" r="Q60"/>
  <c i="6" r="Q77"/>
  <c i="6" r="Q17"/>
  <c i="6" r="Q78"/>
  <c i="6" r="Q23"/>
  <c i="6" r="Q79"/>
  <c i="6" r="Q28"/>
  <c i="6" r="Q12"/>
  <c i="6" r="Q21"/>
  <c i="6" r="Q26"/>
  <c i="6" r="Q80"/>
  <c i="6" r="Q46"/>
  <c i="6" r="Q56"/>
  <c i="6" r="Q20"/>
  <c i="6" r="Q27"/>
  <c i="6" r="Q84"/>
  <c i="6" r="Q18"/>
  <c i="6" r="Q85"/>
  <c i="6" r="Q61"/>
  <c i="6" r="Q15"/>
  <c i="6" r="Q86"/>
  <c i="6" r="Q44"/>
  <c i="6" r="Q87"/>
  <c i="6" r="Q59"/>
  <c i="6" r="Q45"/>
  <c i="6" r="Q88"/>
  <c i="6" r="Q11"/>
  <c i="6" r="Q13"/>
  <c i="6" r="Q14"/>
  <c i="6" r="Q47"/>
  <c i="6" r="Q89"/>
  <c i="6" r="Q48"/>
  <c i="6" r="Q91"/>
  <c i="6" r="Q50"/>
  <c i="6" r="Q8"/>
  <c i="6" r="Q62"/>
  <c i="6" r="Q104"/>
  <c i="6" r="Q49"/>
  <c i="6" r="Q81"/>
  <c i="6" r="Q90"/>
  <c i="6" r="Q25"/>
  <c i="6" r="Q64"/>
  <c i="6" r="Q92"/>
  <c i="6" r="Q82"/>
  <c i="6" r="Q65"/>
  <c i="6" r="Q94"/>
  <c i="6" r="Q33"/>
  <c i="6" r="Q67"/>
  <c i="6" r="Q96"/>
  <c i="6" r="Q34"/>
  <c i="6" r="Q68"/>
  <c i="6" r="Q97"/>
  <c i="6" r="Q57"/>
  <c i="6" r="Q83"/>
  <c i="6" r="Q3"/>
  <c i="6" r="Q35"/>
  <c i="6" r="Q69"/>
  <c i="6" r="Q98"/>
  <c i="6" r="Q51"/>
  <c i="6" r="Q4"/>
  <c i="6" r="Q36"/>
  <c i="6" r="Q70"/>
  <c i="6" r="Q101"/>
  <c i="6" r="Q5"/>
  <c i="6" r="Q37"/>
  <c i="6" r="Q71"/>
  <c i="6" r="Q102"/>
  <c i="6" r="Q6"/>
  <c i="6" r="Q38"/>
  <c i="6" r="Q72"/>
  <c i="6" r="Q103"/>
  <c i="6" r="Q58"/>
  <c i="6" r="Q7"/>
  <c i="6" r="Q43"/>
  <c i="6" r="Q73"/>
  <c i="6" r="M40"/>
  <c i="6" r="M82"/>
  <c i="6" r="M25"/>
  <c i="6" r="M54"/>
  <c i="6" r="Q24"/>
  <c i="6" r="Q52"/>
  <c i="6" r="Q76"/>
  <c i="6" r="Q100"/>
  <c i="6" r="Q10"/>
  <c i="6" l="1" r="D5"/>
  <c i="6" r="G7"/>
  <c i="6" r="D7"/>
  <c i="6" r="G6"/>
  <c i="6" r="D6"/>
  <c i="6" r="G5"/>
  <c i="6" r="G4"/>
  <c i="6" r="D4"/>
  <c i="6" l="1" r="G8"/>
  <c i="6" r="G16" s="1"/>
  <c i="6" r="D8"/>
  <c i="1" r="H15"/>
  <c i="1" r="J13"/>
  <c i="6" l="1" r="G13"/>
  <c i="6" r="G14"/>
  <c i="6" r="G15"/>
  <c i="6" r="G12"/>
  <c i="6" r="D13"/>
  <c i="6" r="D16"/>
  <c i="6" r="D12"/>
  <c i="6" r="D15"/>
  <c i="6" r="D14"/>
  <c i="1" r="S15"/>
  <c i="1" r="U13"/>
  <c i="6" l="1" r="I15"/>
  <c i="6" r="J15" s="1"/>
  <c i="6" r="I13"/>
  <c i="6" r="J13" s="1"/>
  <c i="6" r="I14"/>
  <c i="6" r="J14" s="1"/>
  <c i="6" r="I12"/>
  <c i="6" r="J12" s="1"/>
  <c i="6" r="K12" s="1"/>
  <c i="6" r="D33" s="1"/>
  <c i="6" r="D43" s="1"/>
  <c i="1" r="D26"/>
  <c i="1" r="E26"/>
  <c i="1" r="F26"/>
  <c i="1" r="G26"/>
  <c i="1" r="H26"/>
  <c i="1" r="B26"/>
  <c i="1" r="C26"/>
  <c i="1" r="S28"/>
  <c i="1" r="U26"/>
  <c i="1" r="N26"/>
  <c i="1" r="O26"/>
  <c i="1" r="P26"/>
  <c i="1" r="Q26"/>
  <c i="1" r="R26"/>
  <c i="1" r="S26"/>
  <c i="1" r="M26"/>
  <c i="1" r="S21"/>
  <c i="1" r="S22"/>
  <c i="1" r="S23"/>
  <c i="1" r="S24"/>
  <c i="1" r="S25"/>
  <c i="1" r="S20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6" l="1" r="Q39"/>
  <c i="6" r="Q29"/>
  <c i="6" r="K13"/>
  <c i="6" r="D34" s="1"/>
  <c i="6" r="D44" s="1"/>
  <c i="6" r="Q30" s="1"/>
  <c i="6" r="K15"/>
  <c i="6" r="D36" s="1"/>
  <c i="6" r="D46" s="1"/>
  <c i="6" r="Q32" s="1"/>
  <c i="6" r="Q42"/>
  <c i="6" r="K14"/>
  <c i="6" r="D35" s="1"/>
  <c i="6" r="D45" s="1"/>
  <c i="6" r="Q40"/>
  <c i="6" r="Q41"/>
  <c i="6" r="Q3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O21"/>
  <c i="1" r="P21"/>
  <c i="1" r="Q21"/>
  <c i="1" r="R21"/>
  <c i="1" r="O22"/>
  <c i="1" r="P22"/>
  <c i="1" r="Q22"/>
  <c i="1" r="R22"/>
  <c i="1" r="O23"/>
  <c i="1" r="P23"/>
  <c i="1" r="Q23"/>
  <c i="1" r="R23"/>
  <c i="1" r="O24"/>
  <c i="1" r="P24"/>
  <c i="1" r="Q24"/>
  <c i="1" r="R24"/>
  <c i="1" r="O25"/>
  <c i="1" r="P25"/>
  <c i="1" r="Q25"/>
  <c i="1" r="R25"/>
  <c i="1" r="Q20"/>
  <c i="1" r="R20"/>
  <c i="1" r="E23"/>
  <c i="1" r="F23"/>
  <c i="1" r="G23"/>
  <c i="1" r="E24"/>
  <c i="1" r="F24"/>
  <c i="1" r="G24"/>
  <c i="1" r="E25"/>
  <c i="1" r="F25"/>
  <c i="1" r="G25"/>
  <c i="1" l="1" r="U23"/>
  <c i="1" r="U24"/>
  <c i="1" r="U25"/>
  <c i="1" r="M23"/>
  <c i="1" r="N23"/>
  <c i="1" r="M24"/>
  <c i="1" r="N24"/>
  <c i="1" r="M25"/>
  <c i="1" r="N25"/>
  <c i="1" r="B23"/>
  <c i="1" r="C23"/>
  <c i="1" r="D23"/>
  <c i="1" r="B24"/>
  <c i="1" r="C24"/>
  <c i="1" r="D24"/>
  <c i="1" r="B25"/>
  <c i="1" r="C25"/>
  <c i="1" r="D25"/>
  <c i="1" r="U7"/>
  <c i="1" r="H20" s="1"/>
  <c i="1" r="M15"/>
  <c i="1" r="C15"/>
  <c i="1" r="D15"/>
  <c i="1" r="E15"/>
  <c i="1" r="I15"/>
  <c i="1" r="B15"/>
  <c i="1" r="J8"/>
  <c i="1" r="J9"/>
  <c i="1" r="J14"/>
  <c i="1" r="J7"/>
  <c i="1" l="1" r="J23"/>
  <c i="1" r="J24"/>
  <c i="1" r="J25"/>
  <c i="1" r="F20"/>
  <c i="1" r="G20"/>
  <c i="1" r="J15"/>
  <c i="1" r="N15"/>
  <c i="1" r="N28" s="1"/>
  <c i="1" r="O15"/>
  <c i="1" r="O28" s="1"/>
  <c i="1" r="P15"/>
  <c i="1" r="T15"/>
  <c i="1" r="M28"/>
  <c i="1" r="U8"/>
  <c i="1" r="H21" s="1"/>
  <c i="1" r="U9"/>
  <c i="1" r="H22" s="1"/>
  <c i="1" r="U14"/>
  <c i="1" r="D20"/>
  <c i="1" r="P28"/>
  <c i="1" r="N22"/>
  <c i="1" r="M22"/>
  <c i="1" r="N21"/>
  <c i="1" r="M21"/>
  <c i="1" r="P20"/>
  <c i="1" r="O20"/>
  <c i="1" r="N20"/>
  <c i="1" r="M20"/>
  <c i="1" r="I28"/>
  <c i="1" r="J27"/>
  <c i="4" r="F102"/>
  <c i="4" r="G101" s="1"/>
  <c i="4" r="B102"/>
  <c i="4" r="C102" s="1"/>
  <c i="3" r="F102"/>
  <c i="3" r="G101" s="1"/>
  <c i="3" r="B102"/>
  <c i="3" r="C13" s="1"/>
  <c i="1" l="1" r="H28"/>
  <c i="1" r="U22"/>
  <c i="1" r="F22"/>
  <c i="1" r="G22"/>
  <c i="1" r="E22"/>
  <c i="1" r="C21"/>
  <c i="1" r="E21"/>
  <c i="1" r="F21"/>
  <c i="1" r="F28" s="1"/>
  <c i="1" r="G21"/>
  <c i="1" r="G28" s="1"/>
  <c i="4" r="C11"/>
  <c i="4" r="C25"/>
  <c i="4" r="C49"/>
  <c i="4" r="C81"/>
  <c i="4" r="C41"/>
  <c i="4" r="C17"/>
  <c i="4" r="C97"/>
  <c i="4" r="C19"/>
  <c i="4" r="C73"/>
  <c i="4" r="C33"/>
  <c i="4" r="C65"/>
  <c i="4" r="C15"/>
  <c i="4" r="C27"/>
  <c i="4" r="C57"/>
  <c i="4" r="C89"/>
  <c i="1" r="B22"/>
  <c i="1" r="B21"/>
  <c i="1" r="U21"/>
  <c i="4" r="G30"/>
  <c i="1" r="C20"/>
  <c i="4" r="G46"/>
  <c i="4" r="G62"/>
  <c i="4" r="C35"/>
  <c i="4" r="C43"/>
  <c i="4" r="C51"/>
  <c i="4" r="C59"/>
  <c i="4" r="C67"/>
  <c i="4" r="C75"/>
  <c i="4" r="C83"/>
  <c i="4" r="C91"/>
  <c i="4" r="C101"/>
  <c i="1" r="U15"/>
  <c i="1" r="U28" s="1"/>
  <c i="4" r="C31"/>
  <c i="4" r="C47"/>
  <c i="4" r="C63"/>
  <c i="4" r="C79"/>
  <c i="4" r="C87"/>
  <c i="4" r="C95"/>
  <c i="4" r="G94"/>
  <c i="4" r="C23"/>
  <c i="4" r="C39"/>
  <c i="4" r="C55"/>
  <c i="4" r="C71"/>
  <c i="4" r="C13"/>
  <c i="4" r="C21"/>
  <c i="4" r="C29"/>
  <c i="4" r="C37"/>
  <c i="4" r="C45"/>
  <c i="4" r="C53"/>
  <c i="4" r="C61"/>
  <c i="4" r="C69"/>
  <c i="4" r="C77"/>
  <c i="4" r="C85"/>
  <c i="4" r="C93"/>
  <c i="4" r="G14"/>
  <c i="4" r="G78"/>
  <c i="1" r="D21"/>
  <c i="1" r="D22"/>
  <c i="1" r="C22"/>
  <c i="1" r="B20"/>
  <c i="1" r="U20"/>
  <c i="1" r="E20"/>
  <c i="4" r="C99"/>
  <c i="4" r="G22"/>
  <c i="4" r="G38"/>
  <c i="4" r="G54"/>
  <c i="4" r="G70"/>
  <c i="4" r="G86"/>
  <c i="4" r="G102"/>
  <c i="4" r="G18"/>
  <c i="4" r="G34"/>
  <c i="4" r="G50"/>
  <c i="4" r="G66"/>
  <c i="4" r="G82"/>
  <c i="4" r="G98"/>
  <c i="4" r="G26"/>
  <c i="4" r="G42"/>
  <c i="4" r="G58"/>
  <c i="4" r="G74"/>
  <c i="4" r="G90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88"/>
  <c i="4" r="G92"/>
  <c i="4" r="G96"/>
  <c i="4" r="G100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02"/>
  <c i="3" r="C98"/>
  <c i="3" r="C92"/>
  <c i="3" r="C82"/>
  <c i="3" r="C28"/>
  <c i="3" r="C11"/>
  <c i="3" r="C100"/>
  <c i="3" r="C96"/>
  <c i="3" r="C94"/>
  <c i="3" r="C90"/>
  <c i="3" r="C88"/>
  <c i="3" r="C86"/>
  <c i="3" r="C84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S35"/>
  <c i="1" r="S37"/>
  <c i="1" r="M39"/>
  <c i="1" r="S34"/>
  <c i="1" r="N39"/>
  <c i="1" r="P39"/>
  <c i="1" r="S36"/>
  <c i="1" r="S38"/>
  <c i="1" r="S39"/>
  <c i="1" r="S33"/>
  <c i="1" r="O39"/>
  <c i="1" r="R39"/>
  <c i="1" r="Q39"/>
  <c i="1" r="P41"/>
  <c i="1" r="U39"/>
  <c i="1" r="S41"/>
  <c i="1" r="R41"/>
  <c i="1" r="Q41"/>
  <c i="1" r="R38"/>
  <c i="1" r="Q38"/>
  <c i="1" r="Q33"/>
  <c i="1" r="R33"/>
  <c i="1" r="P36"/>
  <c i="1" r="O34"/>
  <c i="1" r="O37"/>
  <c i="1" r="R34"/>
  <c i="1" r="Q36"/>
  <c i="1" r="O36"/>
  <c i="1" r="P37"/>
  <c i="1" r="R35"/>
  <c i="1" r="Q37"/>
  <c i="1" r="Q34"/>
  <c i="1" r="P35"/>
  <c i="1" r="O35"/>
  <c i="1" r="Q35"/>
  <c i="1" r="P38"/>
  <c i="1" r="R37"/>
  <c i="1" r="O38"/>
  <c i="1" r="P34"/>
  <c i="1" r="R36"/>
  <c i="1" r="P33"/>
  <c i="1" r="U41"/>
  <c i="1" r="U36"/>
  <c i="1" r="U37"/>
  <c i="1" r="U38"/>
  <c i="1" r="M36"/>
  <c i="1" r="N36"/>
  <c i="1" r="M37"/>
  <c i="1" r="N37"/>
  <c i="1" r="M38"/>
  <c i="1" r="N38"/>
  <c i="1" r="U35"/>
  <c i="1" r="M41"/>
  <c i="1" r="O41"/>
  <c i="1" r="U33"/>
  <c i="1" r="J22"/>
  <c i="1" r="B28"/>
  <c i="1" r="T41"/>
  <c i="1" r="N34"/>
  <c i="1" r="N41"/>
  <c i="1" r="M34"/>
  <c i="1" r="C28"/>
  <c i="1" r="J21"/>
  <c i="1" r="E28"/>
  <c i="1" r="U34"/>
  <c i="1" r="N33"/>
  <c i="1" r="M33"/>
  <c i="1" r="N35"/>
  <c i="1" r="M35"/>
  <c i="1" r="O33"/>
  <c i="1" r="D28"/>
  <c i="1" r="J20"/>
  <c i="1" l="1" r="J28"/>
  <c i="1" l="1" r="G39"/>
  <c i="1" r="AC39" s="1"/>
  <c i="1" r="F39"/>
  <c i="1" r="AB39" s="1"/>
  <c i="1" r="C39"/>
  <c i="1" r="Y39" s="1"/>
  <c i="1" r="B39"/>
  <c i="1" r="X39" s="1"/>
  <c i="1" r="E39"/>
  <c i="1" r="AA39" s="1"/>
  <c i="1" r="D39"/>
  <c i="1" r="Z39" s="1"/>
  <c i="1" r="H39"/>
  <c i="1" r="AD39" s="1"/>
  <c i="1" r="H36"/>
  <c i="1" r="AD36" s="1"/>
  <c i="1" r="H38"/>
  <c i="1" r="AD38" s="1"/>
  <c i="1" r="H37"/>
  <c i="1" r="AD37" s="1"/>
  <c i="1" r="H33"/>
  <c i="1" r="AD33" s="1"/>
  <c i="1" r="H35"/>
  <c i="1" r="AD35" s="1"/>
  <c i="1" r="H34"/>
  <c i="1" r="AD34" s="1"/>
  <c i="1" r="J39"/>
  <c i="1" r="AF39" s="1"/>
  <c i="1" r="H41"/>
  <c i="1" r="AD41" s="1"/>
  <c i="1" r="F41"/>
  <c i="1" r="AB41" s="1"/>
  <c i="1" r="G41"/>
  <c i="1" r="AC41" s="1"/>
  <c i="1" r="E37"/>
  <c i="1" r="AA37" s="1"/>
  <c i="1" r="G36"/>
  <c i="1" r="AC36" s="1"/>
  <c i="1" r="F36"/>
  <c i="1" r="AB36" s="1"/>
  <c i="1" r="G37"/>
  <c i="1" r="AC37" s="1"/>
  <c i="1" r="F38"/>
  <c i="1" r="AB38" s="1"/>
  <c i="1" r="F37"/>
  <c i="1" r="AB37" s="1"/>
  <c i="1" r="E36"/>
  <c i="1" r="AA36" s="1"/>
  <c i="1" r="E38"/>
  <c i="1" r="AA38" s="1"/>
  <c i="1" r="G38"/>
  <c i="1" r="AC38" s="1"/>
  <c i="1" r="G33"/>
  <c i="1" r="AC33" s="1"/>
  <c i="1" r="F33"/>
  <c i="1" r="AB33" s="1"/>
  <c i="1" r="F34"/>
  <c i="1" r="AB34" s="1"/>
  <c i="1" r="E35"/>
  <c i="1" r="AA35" s="1"/>
  <c i="1" r="E34"/>
  <c i="1" r="AA34" s="1"/>
  <c i="1" r="F35"/>
  <c i="1" r="AB35" s="1"/>
  <c i="1" r="G35"/>
  <c i="1" r="AC35" s="1"/>
  <c i="1" r="G34"/>
  <c i="1" r="AC34" s="1"/>
  <c i="1" r="J33"/>
  <c i="1" r="AF33" s="1"/>
  <c i="1" r="J37"/>
  <c i="1" r="AF37" s="1"/>
  <c i="1" r="C37"/>
  <c i="1" r="Y37" s="1"/>
  <c i="1" r="D38"/>
  <c i="1" r="Z38" s="1"/>
  <c i="1" r="C36"/>
  <c i="1" r="Y36" s="1"/>
  <c i="1" r="D37"/>
  <c i="1" r="Z37" s="1"/>
  <c i="1" r="C38"/>
  <c i="1" r="Y38" s="1"/>
  <c i="1" r="B38"/>
  <c i="1" r="X38" s="1"/>
  <c i="1" r="B36"/>
  <c i="1" r="X36" s="1"/>
  <c i="1" r="D36"/>
  <c i="1" r="Z36" s="1"/>
  <c i="1" r="B37"/>
  <c i="1" r="X37" s="1"/>
  <c i="1" r="J38"/>
  <c i="1" r="AF38" s="1"/>
  <c i="1" r="J36"/>
  <c i="1" r="AF36" s="1"/>
  <c i="1" r="J41"/>
  <c i="1" r="AF41" s="1"/>
  <c i="1" r="C33"/>
  <c i="1" r="Y33" s="1"/>
  <c i="1" r="C41"/>
  <c i="1" r="Y41" s="1"/>
  <c i="1" r="B34"/>
  <c i="1" r="X34" s="1"/>
  <c i="1" r="E41"/>
  <c i="1" r="AA41" s="1"/>
  <c i="1" r="E33"/>
  <c i="1" r="AA33" s="1"/>
  <c i="1" r="D41"/>
  <c i="1" r="Z41" s="1"/>
  <c i="1" r="D34"/>
  <c i="1" r="Z34" s="1"/>
  <c i="1" r="I41"/>
  <c i="1" r="AE41" s="1"/>
  <c i="1" r="J35"/>
  <c i="1" r="AF35" s="1"/>
  <c i="1" r="D33"/>
  <c i="1" r="Z33" s="1"/>
  <c i="1" r="J34"/>
  <c i="1" r="AF34" s="1"/>
  <c i="1" r="B35"/>
  <c i="1" r="X35" s="1"/>
  <c i="1" r="D35"/>
  <c i="1" r="Z35" s="1"/>
  <c i="1" r="B33"/>
  <c i="1" r="X33" s="1"/>
  <c i="1" r="C34"/>
  <c i="1" r="Y34" s="1"/>
  <c i="1" r="C35"/>
  <c i="1" r="Y35" s="1"/>
  <c i="1" r="B41"/>
  <c i="1" r="X41" s="1"/>
</calcChain>
</file>

<file path=xl/sharedStrings.xml><?xml version="1.0" encoding="utf-8"?>
<sst xmlns="http://schemas.openxmlformats.org/spreadsheetml/2006/main" count="716" uniqueCount="284">
  <si>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</si>
  <si>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</si>
  <si>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</si>
  <si>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</si>
  <si>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</si>
  <si>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</si>
  <si>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</si>
  <si>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</si>
  <si>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</si>
  <si>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</si>
  <si>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</si>
  <si>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</si>
  <si>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</si>
  <si>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</si>
  <si>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</si>
  <si>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</si>
  <si>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</si>
  <si>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</si>
  <si>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</si>
  <si>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</si>
  <si>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</si>
  <si>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</si>
  <si>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</si>
  <si>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</si>
  <si>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</si>
  <si>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</si>
  <si>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</si>
  <si>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</si>
  <si>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</si>
  <si>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</si>
  <si>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</si>
  <si>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</si>
  <si>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</si>
  <si>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</si>
  <si>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</si>
  <si>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</si>
  <si>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</si>
  <si>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</si>
  <si>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</si>
  <si>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</si>
  <si>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</si>
  <si>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</si>
  <si>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</si>
  <si>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</si>
  <si>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</si>
  <si>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</si>
  <si>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</si>
  <si>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</si>
  <si>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</si>
  <si>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</si>
  <si>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</si>
  <si>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</si>
  <si>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</si>
  <si>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</si>
  <si>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</si>
  <si>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</si>
  <si>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</si>
  <si>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</si>
  <si>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</si>
  <si>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</si>
  <si>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</si>
  <si>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</si>
  <si>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</si>
  <si>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</si>
  <si>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</si>
  <si>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</si>
  <si>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</si>
  <si>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</si>
  <si>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</si>
  <si>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</si>
  <si>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</si>
  <si>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</si>
  <si>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</si>
  <si>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</si>
  <si>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</si>
  <si>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</si>
  <si>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</si>
  <si>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</si>
  <si>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</si>
  <si>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</si>
  <si>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</si>
  <si>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</si>
  <si>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</si>
  <si>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</si>
  <si>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</si>
  <si>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</si>
  <si>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</si>
  <si>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</si>
  <si>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</si>
  <si>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</si>
  <si>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</si>
  <si>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</si>
  <si>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</si>
  <si>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</si>
  <si>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</si>
  <si>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</si>
  <si>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</si>
  <si>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</si>
  <si>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</si>
  <si>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</si>
  <si>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</si>
  <si>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</si>
  <si>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</si>
  <si>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</si>
  <si>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</si>
  <si>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</si>
  <si>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</si>
  <si>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</si>
  <si>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</si>
  <si>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</si>
  <si>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</si>
  <si>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</si>
  <si>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</si>
  <si>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</si>
  <si>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</si>
  <si>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</si>
  <si>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</si>
  <si>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</si>
  <si>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</si>
  <si>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</si>
  <si>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</si>
  <si>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</si>
  <si>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</si>
  <si>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</si>
  <si>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</si>
  <si>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</si>
  <si>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</si>
  <si>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</si>
  <si>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</si>
  <si>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</si>
  <si>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</si>
  <si>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</si>
  <si>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</si>
  <si>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</si>
  <si>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</si>
  <si>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</si>
  <si>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</si>
  <si>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</si>
  <si>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</si>
  <si>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</si>
  <si>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</si>
  <si>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</si>
  <si>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</si>
  <si>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</si>
  <si>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</si>
  <si>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</si>
  <si>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</si>
  <si>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</si>
  <si>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</si>
  <si>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</si>
  <si>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</si>
  <si>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</si>
  <si>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</si>
  <si>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</si>
  <si>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</si>
  <si>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</si>
  <si>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</si>
  <si>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</si>
  <si>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</si>
  <si>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</si>
  <si>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</si>
  <si>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</si>
  <si>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</si>
  <si>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</si>
  <si>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</si>
  <si>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</si>
  <si>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</si>
  <si>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</si>
  <si>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</si>
  <si>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</si>
  <si>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</si>
  <si>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</si>
  <si>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</si>
  <si>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</si>
  <si>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</si>
  <si>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</si>
  <si>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</si>
  <si>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</si>
  <si>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</si>
  <si>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</si>
  <si>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</si>
  <si>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</si>
  <si>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</si>
  <si>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</si>
  <si>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</si>
  <si>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</si>
  <si>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</si>
  <si>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</si>
  <si>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</si>
  <si>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</si>
  <si>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</si>
  <si>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</si>
  <si>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</si>
  <si>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</si>
  <si>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</si>
  <si>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</si>
  <si>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</si>
  <si>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</si>
  <si>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</si>
  <si>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</si>
  <si>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</si>
  <si>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</si>
  <si>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</si>
  <si>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</si>
  <si>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</si>
  <si>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</si>
  <si>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</si>
  <si>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</si>
  <si>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</si>
  <si>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</si>
  <si>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</si>
  <si>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</si>
  <si>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</si>
  <si>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</si>
  <si>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</si>
  <si>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</si>
  <si>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</si>
  <si>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</si>
  <si>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</si>
  <si>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</si>
  <si>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</si>
  <si>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</si>
  <si>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</si>
  <si>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</si>
  <si>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</si>
  <si>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</si>
  <si>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</si>
  <si>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</si>
  <si>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</si>
  <si>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</si>
  <si>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</si>
  <si>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</si>
  <si>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</si>
  <si>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</si>
  <si>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</si>
  <si>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</si>
  <si>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</si>
  <si>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</si>
  <si>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</si>
  <si>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</si>
  <si>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</si>
  <si>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</si>
  <si>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</si>
  <si>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</si>
  <si>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</si>
  <si>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</si>
  <si>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</si>
  <si>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</si>
  <si>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</si>
  <si>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</si>
  <si>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</si>
  <si>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</si>
  <si>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</si>
  <si>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</si>
  <si>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Damp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</si>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</sst>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47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Alignment="1" applyFont="1" applyNumberFormat="1" borderId="0" fillId="0" fontId="2" numFmtId="169" xfId="8"/>
    <xf applyFont="1" applyNumberFormat="1" borderId="0" fillId="0" fontId="0" numFmtId="169" xfId="8"/>
    <xf applyBorder="1" applyFont="1" applyNumberFormat="1" borderId="3" fillId="0" fontId="0" numFmtId="169" xfId="8"/>
    <xf applyBorder="1" applyFont="1" applyNumberFormat="1" borderId="1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3.8755046744568762E-2</c:v>
                </c:pt>
                <c:pt idx="1">
                  <c:v>4.7319613156775193E-2</c:v>
                </c:pt>
                <c:pt idx="2">
                  <c:v>6.7350451629088218E-2</c:v>
                </c:pt>
                <c:pt idx="3">
                  <c:v>9.5204809711818078E-2</c:v>
                </c:pt>
                <c:pt idx="4">
                  <c:v>0.16049894832170436</c:v>
                </c:pt>
                <c:pt idx="5">
                  <c:v>0.11092912312784585</c:v>
                </c:pt>
                <c:pt idx="6">
                  <c:v>0.10765072686455886</c:v>
                </c:pt>
                <c:pt idx="7">
                  <c:v>6.8595338035008585E-2</c:v>
                </c:pt>
                <c:pt idx="8">
                  <c:v>4.5375216224302718E-2</c:v>
                </c:pt>
                <c:pt idx="9">
                  <c:v>3.409020896489167E-2</c:v>
                </c:pt>
                <c:pt idx="10">
                  <c:v>5.1541533497477386E-2</c:v>
                </c:pt>
                <c:pt idx="11">
                  <c:v>2.6277771107153999E-2</c:v>
                </c:pt>
                <c:pt idx="12">
                  <c:v>1.6907124854801097E-2</c:v>
                </c:pt>
                <c:pt idx="13">
                  <c:v>1.0007861999173461E-2</c:v>
                </c:pt>
                <c:pt idx="14">
                  <c:v>5.4578271032031415E-3</c:v>
                </c:pt>
                <c:pt idx="15">
                  <c:v>5.7213199533632676E-3</c:v>
                </c:pt>
                <c:pt idx="16">
                  <c:v>1.7416816575165434E-2</c:v>
                </c:pt>
                <c:pt idx="17">
                  <c:v>5.8040273911587146E-3</c:v>
                </c:pt>
                <c:pt idx="18">
                  <c:v>6.2324309495723406E-3</c:v>
                </c:pt>
                <c:pt idx="19">
                  <c:v>1.4989345407802451E-2</c:v>
                </c:pt>
                <c:pt idx="20">
                  <c:v>8.3344128407837389E-3</c:v>
                </c:pt>
                <c:pt idx="21">
                  <c:v>8.2880946122788676E-3</c:v>
                </c:pt>
                <c:pt idx="22">
                  <c:v>9.5838014270265455E-3</c:v>
                </c:pt>
                <c:pt idx="23">
                  <c:v>6.8513866121212574E-3</c:v>
                </c:pt>
                <c:pt idx="24">
                  <c:v>9.6917500738261E-4</c:v>
                </c:pt>
                <c:pt idx="25">
                  <c:v>1.2605003054838532E-3</c:v>
                </c:pt>
                <c:pt idx="26">
                  <c:v>1.3925528838732537E-3</c:v>
                </c:pt>
                <c:pt idx="27">
                  <c:v>2.8958952096455053E-3</c:v>
                </c:pt>
                <c:pt idx="28">
                  <c:v>4.072046016673765E-4</c:v>
                </c:pt>
                <c:pt idx="29">
                  <c:v>9.9660279169667444E-4</c:v>
                </c:pt>
                <c:pt idx="30">
                  <c:v>1.9647754928502734E-3</c:v>
                </c:pt>
                <c:pt idx="31">
                  <c:v>2.1582511894621208E-3</c:v>
                </c:pt>
                <c:pt idx="32">
                  <c:v>0</c:v>
                </c:pt>
                <c:pt idx="33">
                  <c:v>1.1417960904779013E-3</c:v>
                </c:pt>
                <c:pt idx="34">
                  <c:v>1.0296894351528817E-3</c:v>
                </c:pt>
                <c:pt idx="35">
                  <c:v>2.0991574152676726E-3</c:v>
                </c:pt>
                <c:pt idx="36">
                  <c:v>2.1340429364317842E-4</c:v>
                </c:pt>
                <c:pt idx="37">
                  <c:v>0</c:v>
                </c:pt>
                <c:pt idx="38">
                  <c:v>6.4355146547428424E-6</c:v>
                </c:pt>
                <c:pt idx="39">
                  <c:v>1.1277880360040526E-4</c:v>
                </c:pt>
                <c:pt idx="40">
                  <c:v>8.940441849293353E-3</c:v>
                </c:pt>
                <c:pt idx="41">
                  <c:v>1.7078415448780657E-3</c:v>
                </c:pt>
                <c:pt idx="42">
                  <c:v>0</c:v>
                </c:pt>
                <c:pt idx="43">
                  <c:v>0</c:v>
                </c:pt>
                <c:pt idx="44">
                  <c:v>1.084998115276876E-4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2.9963967861624017E-4</c:v>
                </c:pt>
                <c:pt idx="49">
                  <c:v>0</c:v>
                </c:pt>
                <c:pt idx="50">
                  <c:v>6.3653594354661554E-4</c:v>
                </c:pt>
                <c:pt idx="51">
                  <c:v>1.3270221945341931E-4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1.0754951942507831E-3</c:v>
                </c:pt>
                <c:pt idx="57">
                  <c:v>4.2579695945347185E-4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8-4CC4-A340-DE4B7A3064B2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0.12547079630539867</c:v>
                </c:pt>
                <c:pt idx="1">
                  <c:v>8.8381546292582755E-2</c:v>
                </c:pt>
                <c:pt idx="2">
                  <c:v>5.6403583630612236E-2</c:v>
                </c:pt>
                <c:pt idx="3">
                  <c:v>3.5322161878541335E-2</c:v>
                </c:pt>
                <c:pt idx="4">
                  <c:v>0.14660046619765454</c:v>
                </c:pt>
                <c:pt idx="5">
                  <c:v>8.7504033242968585E-2</c:v>
                </c:pt>
                <c:pt idx="6">
                  <c:v>7.9212891903057428E-2</c:v>
                </c:pt>
                <c:pt idx="7">
                  <c:v>5.6736797348764696E-2</c:v>
                </c:pt>
                <c:pt idx="8">
                  <c:v>4.6229257069106411E-2</c:v>
                </c:pt>
                <c:pt idx="9">
                  <c:v>2.7950750710906191E-2</c:v>
                </c:pt>
                <c:pt idx="10">
                  <c:v>2.0633618700979135E-2</c:v>
                </c:pt>
                <c:pt idx="11">
                  <c:v>2.125179799709908E-2</c:v>
                </c:pt>
                <c:pt idx="12">
                  <c:v>2.1894101363311512E-2</c:v>
                </c:pt>
                <c:pt idx="13">
                  <c:v>2.6058518963026849E-2</c:v>
                </c:pt>
                <c:pt idx="14">
                  <c:v>1.664259285505354E-2</c:v>
                </c:pt>
                <c:pt idx="15">
                  <c:v>2.0770824349630148E-2</c:v>
                </c:pt>
                <c:pt idx="16">
                  <c:v>1.6354611768324492E-2</c:v>
                </c:pt>
                <c:pt idx="17">
                  <c:v>1.2423896097630111E-2</c:v>
                </c:pt>
                <c:pt idx="18">
                  <c:v>1.3023982341180693E-2</c:v>
                </c:pt>
                <c:pt idx="19">
                  <c:v>9.0646193372514849E-3</c:v>
                </c:pt>
                <c:pt idx="20">
                  <c:v>7.7016093770260448E-3</c:v>
                </c:pt>
                <c:pt idx="21">
                  <c:v>8.6288783212059624E-3</c:v>
                </c:pt>
                <c:pt idx="22">
                  <c:v>6.4079561183165018E-3</c:v>
                </c:pt>
                <c:pt idx="23">
                  <c:v>5.7958078397196784E-3</c:v>
                </c:pt>
                <c:pt idx="24">
                  <c:v>5.6374936297377415E-3</c:v>
                </c:pt>
                <c:pt idx="25">
                  <c:v>4.4584297039675048E-3</c:v>
                </c:pt>
                <c:pt idx="26">
                  <c:v>4.3106697746510304E-3</c:v>
                </c:pt>
                <c:pt idx="27">
                  <c:v>5.3630823324357169E-3</c:v>
                </c:pt>
                <c:pt idx="28">
                  <c:v>3.1512066558309383E-3</c:v>
                </c:pt>
                <c:pt idx="29">
                  <c:v>2.8692565866250126E-3</c:v>
                </c:pt>
                <c:pt idx="30">
                  <c:v>2.7260199204508788E-3</c:v>
                </c:pt>
                <c:pt idx="31">
                  <c:v>2.0098365895802111E-3</c:v>
                </c:pt>
                <c:pt idx="32">
                  <c:v>1.70677795904336E-3</c:v>
                </c:pt>
                <c:pt idx="33">
                  <c:v>1.7007469415202387E-3</c:v>
                </c:pt>
                <c:pt idx="34">
                  <c:v>1.2589749079515951E-3</c:v>
                </c:pt>
                <c:pt idx="35">
                  <c:v>1.186602697674138E-3</c:v>
                </c:pt>
                <c:pt idx="36">
                  <c:v>1.2770679605209592E-3</c:v>
                </c:pt>
                <c:pt idx="37">
                  <c:v>7.55384944770957E-4</c:v>
                </c:pt>
                <c:pt idx="38">
                  <c:v>8.7148203209104426E-4</c:v>
                </c:pt>
                <c:pt idx="39">
                  <c:v>6.4230336621243049E-4</c:v>
                </c:pt>
                <c:pt idx="40">
                  <c:v>6.8602824325506083E-4</c:v>
                </c:pt>
                <c:pt idx="41">
                  <c:v>4.3724877042630245E-4</c:v>
                </c:pt>
                <c:pt idx="42">
                  <c:v>3.1210515682153316E-4</c:v>
                </c:pt>
                <c:pt idx="43">
                  <c:v>2.5179498159031902E-4</c:v>
                </c:pt>
                <c:pt idx="44">
                  <c:v>2.6988803415968325E-4</c:v>
                </c:pt>
                <c:pt idx="45">
                  <c:v>2.0957785892846911E-4</c:v>
                </c:pt>
                <c:pt idx="46">
                  <c:v>3.1662841996387423E-4</c:v>
                </c:pt>
                <c:pt idx="47">
                  <c:v>2.427484553056369E-4</c:v>
                </c:pt>
                <c:pt idx="48">
                  <c:v>1.0705056103540509E-4</c:v>
                </c:pt>
                <c:pt idx="49">
                  <c:v>1.0855831541618544E-4</c:v>
                </c:pt>
                <c:pt idx="50">
                  <c:v>9.8004034750722962E-5</c:v>
                </c:pt>
                <c:pt idx="51">
                  <c:v>1.1760484170086757E-4</c:v>
                </c:pt>
                <c:pt idx="52">
                  <c:v>6.6341192754335544E-5</c:v>
                </c:pt>
                <c:pt idx="53">
                  <c:v>6.3325683992774835E-5</c:v>
                </c:pt>
                <c:pt idx="54">
                  <c:v>6.3325683992774835E-5</c:v>
                </c:pt>
                <c:pt idx="55">
                  <c:v>5.4279157708092719E-5</c:v>
                </c:pt>
                <c:pt idx="56">
                  <c:v>3.9201613900289185E-5</c:v>
                </c:pt>
                <c:pt idx="57">
                  <c:v>2.2616315711705302E-5</c:v>
                </c:pt>
                <c:pt idx="58">
                  <c:v>4.2217122661849894E-5</c:v>
                </c:pt>
                <c:pt idx="59">
                  <c:v>1.0554280665462474E-5</c:v>
                </c:pt>
                <c:pt idx="60">
                  <c:v>2.4124070092485653E-5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8-4CC4-A340-DE4B7A306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863968"/>
        <c:axId val="167858088"/>
      </c:lineChart>
      <c:catAx>
        <c:axId val="167863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7858088"/>
        <c:crosses val="autoZero"/>
        <c:auto val="1"/>
        <c:lblAlgn val="ctr"/>
        <c:lblOffset val="100"/>
        <c:tickLblSkip val="10"/>
        <c:noMultiLvlLbl val="0"/>
      </c:catAx>
      <c:valAx>
        <c:axId val="167858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786396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1.0918124355268601E-2</c:v>
                </c:pt>
                <c:pt idx="2">
                  <c:v>5.2331263610442182E-3</c:v>
                </c:pt>
                <c:pt idx="3">
                  <c:v>1.5230464781545921E-2</c:v>
                </c:pt>
                <c:pt idx="4">
                  <c:v>1.3756056836940882E-2</c:v>
                </c:pt>
                <c:pt idx="5">
                  <c:v>2.2880334734942696E-2</c:v>
                </c:pt>
                <c:pt idx="6">
                  <c:v>9.5698903495742785E-3</c:v>
                </c:pt>
                <c:pt idx="7">
                  <c:v>1.1874297940868349E-2</c:v>
                </c:pt>
                <c:pt idx="8">
                  <c:v>9.449870015308403E-3</c:v>
                </c:pt>
                <c:pt idx="9">
                  <c:v>1.1214920625859976E-2</c:v>
                </c:pt>
                <c:pt idx="10">
                  <c:v>4.6392786578889622E-3</c:v>
                </c:pt>
                <c:pt idx="11">
                  <c:v>1.5533483125569196E-2</c:v>
                </c:pt>
                <c:pt idx="12">
                  <c:v>2.057942260079635E-2</c:v>
                </c:pt>
                <c:pt idx="13">
                  <c:v>3.8207052501085359E-2</c:v>
                </c:pt>
                <c:pt idx="14">
                  <c:v>2.005893215642084E-2</c:v>
                </c:pt>
                <c:pt idx="15">
                  <c:v>9.8758877028045922E-3</c:v>
                </c:pt>
                <c:pt idx="16">
                  <c:v>3.3434388960093438E-2</c:v>
                </c:pt>
                <c:pt idx="17">
                  <c:v>2.0219203270254119E-2</c:v>
                </c:pt>
                <c:pt idx="18">
                  <c:v>6.6022605924371189E-2</c:v>
                </c:pt>
                <c:pt idx="19">
                  <c:v>4.0348095772412926E-2</c:v>
                </c:pt>
                <c:pt idx="20">
                  <c:v>5.5747879728632724E-2</c:v>
                </c:pt>
                <c:pt idx="21">
                  <c:v>5.2828766155027108E-2</c:v>
                </c:pt>
                <c:pt idx="22">
                  <c:v>4.9713740558932955E-2</c:v>
                </c:pt>
                <c:pt idx="23">
                  <c:v>4.0651236096487332E-2</c:v>
                </c:pt>
                <c:pt idx="24">
                  <c:v>5.3139235766893368E-2</c:v>
                </c:pt>
                <c:pt idx="25">
                  <c:v>1.39689931508723E-2</c:v>
                </c:pt>
                <c:pt idx="26">
                  <c:v>6.4111979636627958E-2</c:v>
                </c:pt>
                <c:pt idx="27">
                  <c:v>1.2382993155194097E-2</c:v>
                </c:pt>
                <c:pt idx="28">
                  <c:v>1.7870296938334071E-2</c:v>
                </c:pt>
                <c:pt idx="29">
                  <c:v>2.2096077082183724E-2</c:v>
                </c:pt>
                <c:pt idx="30">
                  <c:v>1.1135333302652517E-2</c:v>
                </c:pt>
                <c:pt idx="31">
                  <c:v>1.6438683240831746E-2</c:v>
                </c:pt>
                <c:pt idx="32">
                  <c:v>7.7722078283893967E-3</c:v>
                </c:pt>
                <c:pt idx="33">
                  <c:v>1.7186911279690881E-2</c:v>
                </c:pt>
                <c:pt idx="34">
                  <c:v>1.1928531655090823E-2</c:v>
                </c:pt>
                <c:pt idx="35">
                  <c:v>1.3705323105243966E-2</c:v>
                </c:pt>
                <c:pt idx="36">
                  <c:v>1.8019506415587168E-3</c:v>
                </c:pt>
                <c:pt idx="37">
                  <c:v>1.6374277594824706E-2</c:v>
                </c:pt>
                <c:pt idx="38">
                  <c:v>1.273426406602594E-2</c:v>
                </c:pt>
                <c:pt idx="39">
                  <c:v>7.8437474453430089E-3</c:v>
                </c:pt>
                <c:pt idx="40">
                  <c:v>1.1894242542721537E-2</c:v>
                </c:pt>
                <c:pt idx="41">
                  <c:v>1.5503390840557704E-2</c:v>
                </c:pt>
                <c:pt idx="42">
                  <c:v>7.3797717872564519E-4</c:v>
                </c:pt>
                <c:pt idx="43">
                  <c:v>7.6711968081230792E-4</c:v>
                </c:pt>
                <c:pt idx="44">
                  <c:v>3.5426306106533011E-3</c:v>
                </c:pt>
                <c:pt idx="45">
                  <c:v>4.4810773090839043E-2</c:v>
                </c:pt>
                <c:pt idx="46">
                  <c:v>4.5724122415824195E-3</c:v>
                </c:pt>
                <c:pt idx="47">
                  <c:v>0</c:v>
                </c:pt>
                <c:pt idx="48">
                  <c:v>8.1480794806820301E-4</c:v>
                </c:pt>
                <c:pt idx="49">
                  <c:v>2.9994314904010637E-4</c:v>
                </c:pt>
                <c:pt idx="50">
                  <c:v>2.4759773912534982E-3</c:v>
                </c:pt>
                <c:pt idx="51">
                  <c:v>3.9236869121385745E-4</c:v>
                </c:pt>
                <c:pt idx="52">
                  <c:v>0</c:v>
                </c:pt>
                <c:pt idx="53">
                  <c:v>0</c:v>
                </c:pt>
                <c:pt idx="54">
                  <c:v>4.5776561982482591E-4</c:v>
                </c:pt>
                <c:pt idx="55">
                  <c:v>0</c:v>
                </c:pt>
                <c:pt idx="56">
                  <c:v>3.2618309724358348E-4</c:v>
                </c:pt>
                <c:pt idx="57">
                  <c:v>2.7375309800309459E-3</c:v>
                </c:pt>
                <c:pt idx="58">
                  <c:v>3.0828731132457772E-3</c:v>
                </c:pt>
                <c:pt idx="59">
                  <c:v>1.003907654521945E-3</c:v>
                </c:pt>
                <c:pt idx="60">
                  <c:v>2.7819176129609789E-3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5-4531-9AF3-405EFA2DFC15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2.3715468655294177E-2</c:v>
                </c:pt>
                <c:pt idx="1">
                  <c:v>2.423262840790184E-2</c:v>
                </c:pt>
                <c:pt idx="2">
                  <c:v>2.8988085724883074E-2</c:v>
                </c:pt>
                <c:pt idx="3">
                  <c:v>2.9206710110096224E-2</c:v>
                </c:pt>
                <c:pt idx="4">
                  <c:v>2.75662733438072E-2</c:v>
                </c:pt>
                <c:pt idx="5">
                  <c:v>2.6580201978776849E-2</c:v>
                </c:pt>
                <c:pt idx="6">
                  <c:v>2.4259767986755887E-2</c:v>
                </c:pt>
                <c:pt idx="7">
                  <c:v>2.2521327185716138E-2</c:v>
                </c:pt>
                <c:pt idx="8">
                  <c:v>2.0270249895211069E-2</c:v>
                </c:pt>
                <c:pt idx="9">
                  <c:v>1.8210657411065107E-2</c:v>
                </c:pt>
                <c:pt idx="10">
                  <c:v>1.6203836330246458E-2</c:v>
                </c:pt>
                <c:pt idx="11">
                  <c:v>1.4702112966989226E-2</c:v>
                </c:pt>
                <c:pt idx="12">
                  <c:v>1.3370765848760173E-2</c:v>
                </c:pt>
                <c:pt idx="13">
                  <c:v>1.1371483539845425E-2</c:v>
                </c:pt>
                <c:pt idx="14">
                  <c:v>1.0201466140359871E-2</c:v>
                </c:pt>
                <c:pt idx="15">
                  <c:v>9.3495849152189711E-3</c:v>
                </c:pt>
                <c:pt idx="16">
                  <c:v>8.7510064260491703E-3</c:v>
                </c:pt>
                <c:pt idx="17">
                  <c:v>7.9202337622391959E-3</c:v>
                </c:pt>
                <c:pt idx="18">
                  <c:v>0.10058380249623815</c:v>
                </c:pt>
                <c:pt idx="19">
                  <c:v>3.2273482520603462E-2</c:v>
                </c:pt>
                <c:pt idx="20">
                  <c:v>4.0817926596485726E-2</c:v>
                </c:pt>
                <c:pt idx="21">
                  <c:v>4.4297823707326781E-2</c:v>
                </c:pt>
                <c:pt idx="22">
                  <c:v>4.3213748307545707E-2</c:v>
                </c:pt>
                <c:pt idx="23">
                  <c:v>3.0847146876385248E-2</c:v>
                </c:pt>
                <c:pt idx="24">
                  <c:v>3.2528293010955341E-2</c:v>
                </c:pt>
                <c:pt idx="25">
                  <c:v>2.8446801902182926E-2</c:v>
                </c:pt>
                <c:pt idx="26">
                  <c:v>2.4108992548677849E-2</c:v>
                </c:pt>
                <c:pt idx="27">
                  <c:v>2.2984207780615707E-2</c:v>
                </c:pt>
                <c:pt idx="28">
                  <c:v>1.8571010708071611E-2</c:v>
                </c:pt>
                <c:pt idx="29">
                  <c:v>2.4683446967755165E-2</c:v>
                </c:pt>
                <c:pt idx="30">
                  <c:v>2.2366028484495763E-2</c:v>
                </c:pt>
                <c:pt idx="31">
                  <c:v>1.6161619207584608E-2</c:v>
                </c:pt>
                <c:pt idx="32">
                  <c:v>1.6607914504295593E-2</c:v>
                </c:pt>
                <c:pt idx="33">
                  <c:v>1.8019172604706004E-2</c:v>
                </c:pt>
                <c:pt idx="34">
                  <c:v>1.3550188620073036E-2</c:v>
                </c:pt>
                <c:pt idx="35">
                  <c:v>1.3146110446023901E-2</c:v>
                </c:pt>
                <c:pt idx="36">
                  <c:v>1.1573522626869993E-2</c:v>
                </c:pt>
                <c:pt idx="37">
                  <c:v>1.3262207533343989E-2</c:v>
                </c:pt>
                <c:pt idx="38">
                  <c:v>1.0741242208679237E-2</c:v>
                </c:pt>
                <c:pt idx="39">
                  <c:v>8.5987232335903545E-3</c:v>
                </c:pt>
                <c:pt idx="40">
                  <c:v>7.7242256927377503E-3</c:v>
                </c:pt>
                <c:pt idx="41">
                  <c:v>6.4878671004978605E-3</c:v>
                </c:pt>
                <c:pt idx="42">
                  <c:v>6.4185103989819643E-3</c:v>
                </c:pt>
                <c:pt idx="43">
                  <c:v>5.9511065409400543E-3</c:v>
                </c:pt>
                <c:pt idx="44">
                  <c:v>4.342332616647418E-3</c:v>
                </c:pt>
                <c:pt idx="45">
                  <c:v>4.3438403710281976E-3</c:v>
                </c:pt>
                <c:pt idx="46">
                  <c:v>4.1598943365729951E-3</c:v>
                </c:pt>
                <c:pt idx="47">
                  <c:v>5.2801558414927972E-3</c:v>
                </c:pt>
                <c:pt idx="48">
                  <c:v>3.1904082697312279E-3</c:v>
                </c:pt>
                <c:pt idx="49">
                  <c:v>2.7064191135007343E-3</c:v>
                </c:pt>
                <c:pt idx="50">
                  <c:v>2.6807872890274682E-3</c:v>
                </c:pt>
                <c:pt idx="51">
                  <c:v>2.8421170077709661E-3</c:v>
                </c:pt>
                <c:pt idx="52">
                  <c:v>2.3144029744978424E-3</c:v>
                </c:pt>
                <c:pt idx="53">
                  <c:v>2.1787050802276105E-3</c:v>
                </c:pt>
                <c:pt idx="54">
                  <c:v>1.7022546959010189E-3</c:v>
                </c:pt>
                <c:pt idx="55">
                  <c:v>1.3976883109833875E-3</c:v>
                </c:pt>
                <c:pt idx="56">
                  <c:v>1.1896182064356988E-3</c:v>
                </c:pt>
                <c:pt idx="57">
                  <c:v>1.3765797496524627E-3</c:v>
                </c:pt>
                <c:pt idx="58">
                  <c:v>8.6997427771026389E-4</c:v>
                </c:pt>
                <c:pt idx="59">
                  <c:v>1.0524125577846867E-3</c:v>
                </c:pt>
                <c:pt idx="60">
                  <c:v>7.9910982181358723E-4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5-4531-9AF3-405EFA2DF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859656"/>
        <c:axId val="124049672"/>
      </c:lineChart>
      <c:catAx>
        <c:axId val="167859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4049672"/>
        <c:crosses val="autoZero"/>
        <c:auto val="1"/>
        <c:lblAlgn val="ctr"/>
        <c:lblOffset val="100"/>
        <c:tickLblSkip val="10"/>
        <c:noMultiLvlLbl val="0"/>
      </c:catAx>
      <c:valAx>
        <c:axId val="124049672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785965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topLeftCell="E1" workbookViewId="0">
      <selection activeCell="T10" sqref="T10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27663.8319596798</v>
      </c>
      <c r="C11" s="11">
        <f>B11/B$102</f>
        <v>3.8755046744568762E-2</v>
      </c>
      <c r="E11" s="20">
        <v>0</v>
      </c>
      <c r="F11" s="110" t="n">
        <v>82160.0</v>
      </c>
      <c r="G11" s="11">
        <f>F11/F$102</f>
        <v>0.12547079630539867</v>
      </c>
      <c r="K11" s="8" t="n">
        <v>7.366351838634833</v>
      </c>
      <c r="L11" s="8" t="n">
        <v>7.723471381366499</v>
      </c>
    </row>
    <row r="12" spans="1:12" x14ac:dyDescent="0.25">
      <c r="A12">
        <v>1</v>
      </c>
      <c r="B12" s="8" t="n">
        <v>33777.3254511565</v>
      </c>
      <c r="C12" s="11">
        <f>B12/B$102</f>
        <v>4.7319613156775193E-2</v>
      </c>
      <c r="E12" s="21">
        <v>1</v>
      </c>
      <c r="F12" s="111" t="n">
        <v>58902.0</v>
      </c>
      <c r="G12" s="11">
        <f>F12/F$102</f>
        <v>8.8381546292582755E-2</v>
      </c>
      <c r="K12" s="8"/>
      <c r="L12" s="380"/>
    </row>
    <row r="13" spans="1:12" x14ac:dyDescent="0.25">
      <c r="A13">
        <v>2</v>
      </c>
      <c r="B13" s="8" t="n">
        <v>48075.5858341662</v>
      </c>
      <c r="C13" s="11">
        <f ref="C13:C76" si="0" t="shared">B13/B$102</f>
        <v>6.7350451629088218E-2</v>
      </c>
      <c r="E13" s="22">
        <v>2</v>
      </c>
      <c r="F13" s="112" t="n">
        <v>37586.0</v>
      </c>
      <c r="G13" s="11">
        <f ref="G13:G76" si="1" t="shared">F13/F$102</f>
        <v>5.6403583630612236E-2</v>
      </c>
    </row>
    <row r="14" spans="1:12" x14ac:dyDescent="0.25">
      <c r="A14">
        <v>3</v>
      </c>
      <c r="B14" s="8" t="n">
        <v>67958.3713310867</v>
      </c>
      <c r="C14" s="11">
        <f si="0" t="shared"/>
        <v>9.5204809711818078E-2</v>
      </c>
      <c r="E14" s="23">
        <v>3</v>
      </c>
      <c r="F14" s="113" t="n">
        <v>23724.0</v>
      </c>
      <c r="G14" s="11">
        <f si="1" t="shared"/>
        <v>3.5322161878541335E-2</v>
      </c>
    </row>
    <row r="15" spans="1:12" x14ac:dyDescent="0.25">
      <c r="A15">
        <v>4</v>
      </c>
      <c r="B15" s="8" t="n">
        <v>114566.1354852887</v>
      </c>
      <c r="C15" s="11">
        <f si="0" t="shared"/>
        <v>0.16049894832170436</v>
      </c>
      <c r="E15" s="24">
        <v>4</v>
      </c>
      <c r="F15" s="114" t="n">
        <v>97490.0</v>
      </c>
      <c r="G15" s="11">
        <f si="1" t="shared"/>
        <v>0.14660046619765454</v>
      </c>
    </row>
    <row r="16" spans="1:12" x14ac:dyDescent="0.25">
      <c r="A16">
        <v>5</v>
      </c>
      <c r="B16" s="8" t="n">
        <v>79182.5808357054</v>
      </c>
      <c r="C16" s="11">
        <f si="0" t="shared"/>
        <v>0.11092912312784585</v>
      </c>
      <c r="E16" s="25">
        <v>5</v>
      </c>
      <c r="F16" s="115" t="n">
        <v>60949.0</v>
      </c>
      <c r="G16" s="11">
        <f si="1" t="shared"/>
        <v>8.7504033242968585E-2</v>
      </c>
    </row>
    <row r="17" spans="1:7" x14ac:dyDescent="0.25">
      <c r="A17">
        <v>6</v>
      </c>
      <c r="B17" s="8" t="n">
        <v>76842.4210128425</v>
      </c>
      <c r="C17" s="11">
        <f si="0" t="shared"/>
        <v>0.10765072686455886</v>
      </c>
      <c r="E17" s="26">
        <v>6</v>
      </c>
      <c r="F17" s="116" t="n">
        <v>49503.0</v>
      </c>
      <c r="G17" s="11">
        <f si="1" t="shared"/>
        <v>7.9212891903057428E-2</v>
      </c>
    </row>
    <row r="18" spans="1:7" x14ac:dyDescent="0.25">
      <c r="A18">
        <v>7</v>
      </c>
      <c r="B18" s="8" t="n">
        <v>48964.2011561719</v>
      </c>
      <c r="C18" s="11">
        <f si="0" t="shared"/>
        <v>6.8595338035008585E-2</v>
      </c>
      <c r="E18" s="27">
        <v>7</v>
      </c>
      <c r="F18" s="117" t="n">
        <v>36834.0</v>
      </c>
      <c r="G18" s="11">
        <f si="1" t="shared"/>
        <v>5.6736797348764696E-2</v>
      </c>
    </row>
    <row r="19" spans="1:7" x14ac:dyDescent="0.25">
      <c r="A19">
        <v>8</v>
      </c>
      <c r="B19" s="8" t="n">
        <v>32389.3908588605</v>
      </c>
      <c r="C19" s="11">
        <f si="0" t="shared"/>
        <v>4.5375216224302718E-2</v>
      </c>
      <c r="E19" s="28">
        <v>8</v>
      </c>
      <c r="F19" s="118" t="n">
        <v>28552.0</v>
      </c>
      <c r="G19" s="11">
        <f si="1" t="shared"/>
        <v>4.6229257069106411E-2</v>
      </c>
    </row>
    <row r="20" spans="1:7" x14ac:dyDescent="0.25">
      <c r="A20">
        <v>9</v>
      </c>
      <c r="B20" s="8" t="n">
        <v>24334.0130252145</v>
      </c>
      <c r="C20" s="11">
        <f si="0" t="shared"/>
        <v>3.409020896489167E-2</v>
      </c>
      <c r="E20" s="29">
        <v>9</v>
      </c>
      <c r="F20" s="119" t="n">
        <v>22905.0</v>
      </c>
      <c r="G20" s="11">
        <f si="1" t="shared"/>
        <v>2.7950750710906191E-2</v>
      </c>
    </row>
    <row r="21" spans="1:7" x14ac:dyDescent="0.25">
      <c r="A21">
        <v>10</v>
      </c>
      <c r="B21" s="8" t="n">
        <v>36790.9844365816</v>
      </c>
      <c r="C21" s="11">
        <f si="0" t="shared"/>
        <v>5.1541533497477386E-2</v>
      </c>
      <c r="E21" s="30">
        <v>10</v>
      </c>
      <c r="F21" s="120" t="n">
        <v>11763.0</v>
      </c>
      <c r="G21" s="11">
        <f si="1" t="shared"/>
        <v>2.0633618700979135E-2</v>
      </c>
    </row>
    <row r="22" spans="1:7" x14ac:dyDescent="0.25">
      <c r="A22">
        <v>11</v>
      </c>
      <c r="B22" s="8" t="n">
        <v>18757.3982035027</v>
      </c>
      <c r="C22" s="11">
        <f si="0" t="shared"/>
        <v>2.6277771107153999E-2</v>
      </c>
      <c r="E22" s="31">
        <v>11</v>
      </c>
      <c r="F22" s="121" t="n">
        <v>15341.0</v>
      </c>
      <c r="G22" s="11">
        <f si="1" t="shared"/>
        <v>2.125179799709908E-2</v>
      </c>
    </row>
    <row r="23" spans="1:7" x14ac:dyDescent="0.25">
      <c r="A23">
        <v>12</v>
      </c>
      <c r="B23" s="8" t="n">
        <v>12068.5149468976</v>
      </c>
      <c r="C23" s="11">
        <f si="0" t="shared"/>
        <v>1.6907124854801097E-2</v>
      </c>
      <c r="E23" s="32">
        <v>12</v>
      </c>
      <c r="F23" s="122" t="n">
        <v>14146.0</v>
      </c>
      <c r="G23" s="11">
        <f si="1" t="shared"/>
        <v>2.1894101363311512E-2</v>
      </c>
    </row>
    <row r="24" spans="1:7" x14ac:dyDescent="0.25">
      <c r="A24">
        <v>13</v>
      </c>
      <c r="B24" s="8" t="n">
        <v>7143.7357422256</v>
      </c>
      <c r="C24" s="11">
        <f si="0" t="shared"/>
        <v>1.0007861999173461E-2</v>
      </c>
      <c r="E24" s="33">
        <v>13</v>
      </c>
      <c r="F24" s="123" t="n">
        <v>16751.0</v>
      </c>
      <c r="G24" s="11">
        <f si="1" t="shared"/>
        <v>2.6058518963026849E-2</v>
      </c>
    </row>
    <row r="25" spans="1:7" x14ac:dyDescent="0.25">
      <c r="A25">
        <v>14</v>
      </c>
      <c r="B25" s="8" t="n">
        <v>3895.864526835</v>
      </c>
      <c r="C25" s="11">
        <f si="0" t="shared"/>
        <v>5.4578271032031415E-3</v>
      </c>
      <c r="E25" s="34">
        <v>14</v>
      </c>
      <c r="F25" s="124" t="n">
        <v>10277.0</v>
      </c>
      <c r="G25" s="11">
        <f si="1" t="shared"/>
        <v>1.664259285505354E-2</v>
      </c>
    </row>
    <row r="26" spans="1:7" x14ac:dyDescent="0.25">
      <c r="A26">
        <v>15</v>
      </c>
      <c r="B26" s="8" t="n">
        <v>4083.9489840013002</v>
      </c>
      <c r="C26" s="11">
        <f si="0" t="shared"/>
        <v>5.7213199533632676E-3</v>
      </c>
      <c r="E26" s="35">
        <v>15</v>
      </c>
      <c r="F26" s="125" t="n">
        <v>15098.0</v>
      </c>
      <c r="G26" s="11">
        <f si="1" t="shared"/>
        <v>2.0770824349630148E-2</v>
      </c>
    </row>
    <row r="27" spans="1:7" x14ac:dyDescent="0.25">
      <c r="A27">
        <v>16</v>
      </c>
      <c r="B27" s="8" t="n">
        <v>12432.3392043248</v>
      </c>
      <c r="C27" s="11">
        <f si="0" t="shared"/>
        <v>1.7416816575165434E-2</v>
      </c>
      <c r="E27" s="36">
        <v>16</v>
      </c>
      <c r="F27" s="126" t="n">
        <v>10821.0</v>
      </c>
      <c r="G27" s="11">
        <f si="1" t="shared"/>
        <v>1.6354611768324492E-2</v>
      </c>
    </row>
    <row r="28" spans="1:7" x14ac:dyDescent="0.25">
      <c r="A28">
        <v>17</v>
      </c>
      <c r="B28" s="8" t="n">
        <v>4142.9865766036</v>
      </c>
      <c r="C28" s="11">
        <f si="0" t="shared"/>
        <v>5.8040273911587146E-3</v>
      </c>
      <c r="E28" s="37">
        <v>17</v>
      </c>
      <c r="F28" s="127" t="n">
        <v>8654.0</v>
      </c>
      <c r="G28" s="11">
        <f si="1" t="shared"/>
        <v>1.2423896097630111E-2</v>
      </c>
    </row>
    <row r="29" spans="1:7" x14ac:dyDescent="0.25">
      <c r="A29">
        <v>18</v>
      </c>
      <c r="B29" s="8" t="n">
        <v>4448.78633809</v>
      </c>
      <c r="C29" s="11">
        <f si="0" t="shared"/>
        <v>6.2324309495723406E-3</v>
      </c>
      <c r="E29" s="38">
        <v>18</v>
      </c>
      <c r="F29" s="128" t="n">
        <v>7877.0</v>
      </c>
      <c r="G29" s="11">
        <f si="1" t="shared"/>
        <v>1.3023982341180693E-2</v>
      </c>
    </row>
    <row r="30" spans="1:7" x14ac:dyDescent="0.25">
      <c r="A30">
        <v>19</v>
      </c>
      <c r="B30" s="8" t="n">
        <v>10699.580245124</v>
      </c>
      <c r="C30" s="11">
        <f si="0" t="shared"/>
        <v>1.4989345407802451E-2</v>
      </c>
      <c r="E30" s="39">
        <v>19</v>
      </c>
      <c r="F30" s="129" t="n">
        <v>6073.0</v>
      </c>
      <c r="G30" s="11">
        <f si="1" t="shared"/>
        <v>9.0646193372514849E-3</v>
      </c>
    </row>
    <row r="31" spans="1:7" x14ac:dyDescent="0.25">
      <c r="A31">
        <v>20</v>
      </c>
      <c r="B31" s="8" t="n">
        <v>5949.2070240465</v>
      </c>
      <c r="C31" s="11">
        <f si="0" t="shared"/>
        <v>8.3344128407837389E-3</v>
      </c>
      <c r="E31" s="40">
        <v>20</v>
      </c>
      <c r="F31" s="130" t="n">
        <v>5489.0</v>
      </c>
      <c r="G31" s="11">
        <f si="1" t="shared"/>
        <v>7.7016093770260448E-3</v>
      </c>
    </row>
    <row r="32" spans="1:7" x14ac:dyDescent="0.25">
      <c r="A32">
        <v>21</v>
      </c>
      <c r="B32" s="8" t="n">
        <v>5916.144499352</v>
      </c>
      <c r="C32" s="11">
        <f si="0" t="shared"/>
        <v>8.2880946122788676E-3</v>
      </c>
      <c r="E32" s="41">
        <v>21</v>
      </c>
      <c r="F32" s="131" t="n">
        <v>5230.0</v>
      </c>
      <c r="G32" s="11">
        <f si="1" t="shared"/>
        <v>8.6288783212059624E-3</v>
      </c>
    </row>
    <row r="33" spans="1:7" x14ac:dyDescent="0.25">
      <c r="A33">
        <v>22</v>
      </c>
      <c r="B33" s="8" t="n">
        <v>6841.0360580808</v>
      </c>
      <c r="C33" s="11">
        <f si="0" t="shared"/>
        <v>9.5838014270265455E-3</v>
      </c>
      <c r="E33" s="42">
        <v>22</v>
      </c>
      <c r="F33" s="132" t="n">
        <v>4392.0</v>
      </c>
      <c r="G33" s="11">
        <f si="1" t="shared"/>
        <v>6.4079561183165018E-3</v>
      </c>
    </row>
    <row r="34" spans="1:7" x14ac:dyDescent="0.25">
      <c r="A34">
        <v>23</v>
      </c>
      <c r="B34" s="8" t="n">
        <v>4890.604549589</v>
      </c>
      <c r="C34" s="11">
        <f si="0" t="shared"/>
        <v>6.8513866121212574E-3</v>
      </c>
      <c r="E34" s="43">
        <v>23</v>
      </c>
      <c r="F34" s="133" t="n">
        <v>3869.0</v>
      </c>
      <c r="G34" s="11">
        <f si="1" t="shared"/>
        <v>5.7958078397196784E-3</v>
      </c>
    </row>
    <row r="35" spans="1:7" x14ac:dyDescent="0.25">
      <c r="A35">
        <v>24</v>
      </c>
      <c r="B35" s="8" t="n">
        <v>691.809113803</v>
      </c>
      <c r="C35" s="11">
        <f si="0" t="shared"/>
        <v>9.6917500738261E-4</v>
      </c>
      <c r="E35" s="44">
        <v>24</v>
      </c>
      <c r="F35" s="134" t="n">
        <v>3817.0</v>
      </c>
      <c r="G35" s="11">
        <f si="1" t="shared"/>
        <v>5.6374936297377415E-3</v>
      </c>
    </row>
    <row r="36" spans="1:7" x14ac:dyDescent="0.25">
      <c r="A36">
        <v>25</v>
      </c>
      <c r="B36" s="8" t="n">
        <v>899.760716736</v>
      </c>
      <c r="C36" s="11">
        <f si="0" t="shared"/>
        <v>1.2605003054838532E-3</v>
      </c>
      <c r="E36" s="45">
        <v>25</v>
      </c>
      <c r="F36" s="135" t="n">
        <v>3319.0</v>
      </c>
      <c r="G36" s="11">
        <f si="1" t="shared"/>
        <v>4.4584297039675048E-3</v>
      </c>
    </row>
    <row r="37" spans="1:7" x14ac:dyDescent="0.25">
      <c r="A37">
        <v>26</v>
      </c>
      <c r="B37" s="8" t="n">
        <v>994.02148134</v>
      </c>
      <c r="C37" s="11">
        <f si="0" t="shared"/>
        <v>1.3925528838732537E-3</v>
      </c>
      <c r="E37" s="46">
        <v>26</v>
      </c>
      <c r="F37" s="136" t="n">
        <v>2851.0</v>
      </c>
      <c r="G37" s="11">
        <f si="1" t="shared"/>
        <v>4.3106697746510304E-3</v>
      </c>
    </row>
    <row r="38" spans="1:7" x14ac:dyDescent="0.25">
      <c r="A38">
        <v>27</v>
      </c>
      <c r="B38" s="8" t="n">
        <v>2067.125837326</v>
      </c>
      <c r="C38" s="11">
        <f si="0" t="shared"/>
        <v>2.8958952096455053E-3</v>
      </c>
      <c r="E38" s="47">
        <v>27</v>
      </c>
      <c r="F38" s="137" t="n">
        <v>3929.0</v>
      </c>
      <c r="G38" s="11">
        <f si="1" t="shared"/>
        <v>5.3630823324357169E-3</v>
      </c>
    </row>
    <row r="39" spans="1:7" x14ac:dyDescent="0.25">
      <c r="A39">
        <v>28</v>
      </c>
      <c r="B39" s="8" t="n">
        <v>290.667683824</v>
      </c>
      <c r="C39" s="11">
        <f si="0" t="shared"/>
        <v>4.072046016673765E-4</v>
      </c>
      <c r="E39" s="48">
        <v>28</v>
      </c>
      <c r="F39" s="138" t="n">
        <v>2222.0</v>
      </c>
      <c r="G39" s="11">
        <f si="1" t="shared"/>
        <v>3.1512066558309383E-3</v>
      </c>
    </row>
    <row r="40" spans="1:7" x14ac:dyDescent="0.25">
      <c r="A40">
        <v>29</v>
      </c>
      <c r="B40" s="8" t="n">
        <v>711.387405665</v>
      </c>
      <c r="C40" s="11">
        <f si="0" t="shared"/>
        <v>9.9660279169667444E-4</v>
      </c>
      <c r="E40" s="49">
        <v>29</v>
      </c>
      <c r="F40" s="139" t="n">
        <v>2004.0</v>
      </c>
      <c r="G40" s="11">
        <f si="1" t="shared"/>
        <v>2.8692565866250126E-3</v>
      </c>
    </row>
    <row r="41" spans="1:7" x14ac:dyDescent="0.25">
      <c r="A41">
        <v>30</v>
      </c>
      <c r="B41" s="8" t="n">
        <v>1402.4810608782</v>
      </c>
      <c r="C41" s="11">
        <f si="0" t="shared"/>
        <v>1.9647754928502734E-3</v>
      </c>
      <c r="E41" s="50">
        <v>30</v>
      </c>
      <c r="F41" s="140" t="n">
        <v>1878.0</v>
      </c>
      <c r="G41" s="11">
        <f si="1" t="shared"/>
        <v>2.7260199204508788E-3</v>
      </c>
    </row>
    <row r="42" spans="1:7" x14ac:dyDescent="0.25">
      <c r="A42">
        <v>31</v>
      </c>
      <c r="B42" s="8" t="n">
        <v>1540.58640738</v>
      </c>
      <c r="C42" s="11">
        <f si="0" t="shared"/>
        <v>2.1582511894621208E-3</v>
      </c>
      <c r="E42" s="51">
        <v>31</v>
      </c>
      <c r="F42" s="141" t="n">
        <v>1416.0</v>
      </c>
      <c r="G42" s="11">
        <f si="1" t="shared"/>
        <v>2.0098365895802111E-3</v>
      </c>
    </row>
    <row r="43" spans="1:7" x14ac:dyDescent="0.25">
      <c r="A43">
        <v>32</v>
      </c>
      <c r="B43" s="8" t="n">
        <v>0.0</v>
      </c>
      <c r="C43" s="11">
        <f si="0" t="shared"/>
        <v>0</v>
      </c>
      <c r="E43" s="52">
        <v>32</v>
      </c>
      <c r="F43" s="142" t="n">
        <v>1236.0</v>
      </c>
      <c r="G43" s="11">
        <f si="1" t="shared"/>
        <v>1.70677795904336E-3</v>
      </c>
    </row>
    <row r="44" spans="1:7" x14ac:dyDescent="0.25">
      <c r="A44">
        <v>33</v>
      </c>
      <c r="B44" s="8" t="n">
        <v>815.028179101</v>
      </c>
      <c r="C44" s="11">
        <f si="0" t="shared"/>
        <v>1.1417960904779013E-3</v>
      </c>
      <c r="E44" s="53">
        <v>33</v>
      </c>
      <c r="F44" s="143" t="n">
        <v>1076.0</v>
      </c>
      <c r="G44" s="11">
        <f si="1" t="shared"/>
        <v>1.7007469415202387E-3</v>
      </c>
    </row>
    <row r="45" spans="1:7" x14ac:dyDescent="0.25">
      <c r="A45">
        <v>34</v>
      </c>
      <c r="B45" s="8" t="n">
        <v>735.005061211</v>
      </c>
      <c r="C45" s="11">
        <f si="0" t="shared"/>
        <v>1.0296894351528817E-3</v>
      </c>
      <c r="E45" s="54">
        <v>34</v>
      </c>
      <c r="F45" s="144" t="n">
        <v>852.0</v>
      </c>
      <c r="G45" s="11">
        <f si="1" t="shared"/>
        <v>1.2589749079515951E-3</v>
      </c>
    </row>
    <row r="46" spans="1:7" x14ac:dyDescent="0.25">
      <c r="A46">
        <v>35</v>
      </c>
      <c r="B46" s="8" t="n">
        <v>1498.404540075</v>
      </c>
      <c r="C46" s="11">
        <f si="0" t="shared"/>
        <v>2.0991574152676726E-3</v>
      </c>
      <c r="E46" s="55">
        <v>35</v>
      </c>
      <c r="F46" s="145" t="n">
        <v>701.0</v>
      </c>
      <c r="G46" s="11">
        <f si="1" t="shared"/>
        <v>1.186602697674138E-3</v>
      </c>
    </row>
    <row r="47" spans="1:7" x14ac:dyDescent="0.25">
      <c r="A47">
        <v>36</v>
      </c>
      <c r="B47" s="8" t="n">
        <v>152.330625679</v>
      </c>
      <c r="C47" s="11">
        <f si="0" t="shared"/>
        <v>2.1340429364317842E-4</v>
      </c>
      <c r="E47" s="56">
        <v>36</v>
      </c>
      <c r="F47" s="146" t="n">
        <v>822.0</v>
      </c>
      <c r="G47" s="11">
        <f si="1" t="shared"/>
        <v>1.2770679605209592E-3</v>
      </c>
    </row>
    <row r="48" spans="1:7" x14ac:dyDescent="0.25">
      <c r="A48">
        <v>37</v>
      </c>
      <c r="B48" s="8" t="n">
        <v>0.0</v>
      </c>
      <c r="C48" s="11">
        <f si="0" t="shared"/>
        <v>0</v>
      </c>
      <c r="E48" s="57">
        <v>37</v>
      </c>
      <c r="F48" s="147" t="n">
        <v>555.0</v>
      </c>
      <c r="G48" s="11">
        <f si="1" t="shared"/>
        <v>7.55384944770957E-4</v>
      </c>
    </row>
    <row r="49" spans="1:7" x14ac:dyDescent="0.25">
      <c r="A49">
        <v>38</v>
      </c>
      <c r="B49" s="8" t="n">
        <v>4.59375</v>
      </c>
      <c r="C49" s="11">
        <f si="0" t="shared"/>
        <v>6.4355146547428424E-6</v>
      </c>
      <c r="E49" s="58">
        <v>38</v>
      </c>
      <c r="F49" s="148" t="n">
        <v>648.0</v>
      </c>
      <c r="G49" s="11">
        <f si="1" t="shared"/>
        <v>8.7148203209104426E-4</v>
      </c>
    </row>
    <row r="50" spans="1:7" x14ac:dyDescent="0.25">
      <c r="A50">
        <v>39</v>
      </c>
      <c r="B50" s="8" t="n">
        <v>80.5029056468</v>
      </c>
      <c r="C50" s="11">
        <f si="0" t="shared"/>
        <v>1.1277880360040526E-4</v>
      </c>
      <c r="E50" s="59">
        <v>39</v>
      </c>
      <c r="F50" s="149" t="n">
        <v>481.0</v>
      </c>
      <c r="G50" s="11">
        <f si="1" t="shared"/>
        <v>6.4230336621243049E-4</v>
      </c>
    </row>
    <row r="51" spans="1:7" x14ac:dyDescent="0.25">
      <c r="A51">
        <v>40</v>
      </c>
      <c r="B51" s="8" t="n">
        <v>6381.798029925</v>
      </c>
      <c r="C51" s="11">
        <f si="0" t="shared"/>
        <v>8.940441849293353E-3</v>
      </c>
      <c r="E51" s="60">
        <v>40</v>
      </c>
      <c r="F51" s="150" t="n">
        <v>448.0</v>
      </c>
      <c r="G51" s="11">
        <f si="1" t="shared"/>
        <v>6.8602824325506083E-4</v>
      </c>
    </row>
    <row r="52" spans="1:7" x14ac:dyDescent="0.25">
      <c r="A52">
        <v>41</v>
      </c>
      <c r="B52" s="8" t="n">
        <v>1219.07842926</v>
      </c>
      <c r="C52" s="11">
        <f si="0" t="shared"/>
        <v>1.7078415448780657E-3</v>
      </c>
      <c r="E52" s="61">
        <v>41</v>
      </c>
      <c r="F52" s="151" t="n">
        <v>366.0</v>
      </c>
      <c r="G52" s="11">
        <f si="1" t="shared"/>
        <v>4.3724877042630245E-4</v>
      </c>
    </row>
    <row r="53" spans="1:7" x14ac:dyDescent="0.25">
      <c r="A53">
        <v>42</v>
      </c>
      <c r="B53" s="8" t="n">
        <v>0.0</v>
      </c>
      <c r="C53" s="11">
        <f si="0" t="shared"/>
        <v>0</v>
      </c>
      <c r="E53" s="62">
        <v>42</v>
      </c>
      <c r="F53" s="152" t="n">
        <v>207.0</v>
      </c>
      <c r="G53" s="11">
        <f si="1" t="shared"/>
        <v>3.1210515682153316E-4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63">
        <v>43</v>
      </c>
      <c r="F54" s="153" t="n">
        <v>208.0</v>
      </c>
      <c r="G54" s="11">
        <f si="1" t="shared"/>
        <v>2.5179498159031902E-4</v>
      </c>
    </row>
    <row r="55" spans="1:7" x14ac:dyDescent="0.25">
      <c r="A55">
        <v>44</v>
      </c>
      <c r="B55" s="8" t="n">
        <v>77.4485081528</v>
      </c>
      <c r="C55" s="11">
        <f si="0" t="shared"/>
        <v>1.084998115276876E-4</v>
      </c>
      <c r="E55" s="64">
        <v>44</v>
      </c>
      <c r="F55" s="154" t="n">
        <v>194.0</v>
      </c>
      <c r="G55" s="11">
        <f si="1" t="shared"/>
        <v>2.6988803415968325E-4</v>
      </c>
    </row>
    <row r="56" spans="1:7" x14ac:dyDescent="0.25">
      <c r="A56">
        <v>45</v>
      </c>
      <c r="B56" s="8" t="n">
        <v>0.0</v>
      </c>
      <c r="C56" s="11">
        <f si="0" t="shared"/>
        <v>0</v>
      </c>
      <c r="E56" s="65">
        <v>45</v>
      </c>
      <c r="F56" s="155" t="n">
        <v>251.0</v>
      </c>
      <c r="G56" s="11">
        <f si="1" t="shared"/>
        <v>2.0957785892846911E-4</v>
      </c>
    </row>
    <row r="57" spans="1:7" x14ac:dyDescent="0.25">
      <c r="A57">
        <v>46</v>
      </c>
      <c r="B57" s="8" t="n">
        <v>0.0</v>
      </c>
      <c r="C57" s="11">
        <f si="0" t="shared"/>
        <v>0</v>
      </c>
      <c r="E57" s="66">
        <v>46</v>
      </c>
      <c r="F57" s="156" t="n">
        <v>168.0</v>
      </c>
      <c r="G57" s="11">
        <f si="1" t="shared"/>
        <v>3.1662841996387423E-4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67">
        <v>47</v>
      </c>
      <c r="F58" s="157" t="n">
        <v>199.0</v>
      </c>
      <c r="G58" s="11">
        <f si="1" t="shared"/>
        <v>2.427484553056369E-4</v>
      </c>
    </row>
    <row r="59" spans="1:7" x14ac:dyDescent="0.25">
      <c r="A59">
        <v>48</v>
      </c>
      <c r="B59" s="8" t="n">
        <v>213.886510635</v>
      </c>
      <c r="C59" s="11">
        <f si="0" t="shared"/>
        <v>2.9963967861624017E-4</v>
      </c>
      <c r="E59" s="68">
        <v>48</v>
      </c>
      <c r="F59" s="158" t="n">
        <v>89.0</v>
      </c>
      <c r="G59" s="11">
        <f si="1" t="shared"/>
        <v>1.0705056103540509E-4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69">
        <v>49</v>
      </c>
      <c r="F60" s="159" t="n">
        <v>110.0</v>
      </c>
      <c r="G60" s="11">
        <f si="1" t="shared"/>
        <v>1.0855831541618544E-4</v>
      </c>
    </row>
    <row r="61" spans="1:7" x14ac:dyDescent="0.25">
      <c r="A61">
        <v>50</v>
      </c>
      <c r="B61" s="8" t="n">
        <v>454.367233631</v>
      </c>
      <c r="C61" s="11">
        <f si="0" t="shared"/>
        <v>6.3653594354661554E-4</v>
      </c>
      <c r="E61" s="70">
        <v>50</v>
      </c>
      <c r="F61" s="160" t="n">
        <v>53.0</v>
      </c>
      <c r="G61" s="11">
        <f si="1" t="shared"/>
        <v>9.8004034750722962E-5</v>
      </c>
    </row>
    <row r="62" spans="1:7" x14ac:dyDescent="0.25">
      <c r="A62">
        <v>51</v>
      </c>
      <c r="B62" s="8" t="n">
        <v>94.7244864348</v>
      </c>
      <c r="C62" s="11">
        <f si="0" t="shared"/>
        <v>1.3270221945341931E-4</v>
      </c>
      <c r="E62" s="71">
        <v>51</v>
      </c>
      <c r="F62" s="161" t="n">
        <v>89.0</v>
      </c>
      <c r="G62" s="11">
        <f si="1" t="shared"/>
        <v>1.1760484170086757E-4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72">
        <v>52</v>
      </c>
      <c r="F63" s="162" t="n">
        <v>33.0</v>
      </c>
      <c r="G63" s="11">
        <f si="1" t="shared"/>
        <v>6.6341192754335544E-5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73">
        <v>53</v>
      </c>
      <c r="F64" s="163" t="n">
        <v>35.0</v>
      </c>
      <c r="G64" s="11">
        <f si="1" t="shared"/>
        <v>6.3325683992774835E-5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74">
        <v>54</v>
      </c>
      <c r="F65" s="164" t="n">
        <v>43.0</v>
      </c>
      <c r="G65" s="11">
        <f si="1" t="shared"/>
        <v>6.3325683992774835E-5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75">
        <v>55</v>
      </c>
      <c r="F66" s="165" t="n">
        <v>26.0</v>
      </c>
      <c r="G66" s="11">
        <f si="1" t="shared"/>
        <v>5.4279157708092719E-5</v>
      </c>
    </row>
    <row r="67" spans="1:7" x14ac:dyDescent="0.25">
      <c r="A67">
        <v>56</v>
      </c>
      <c r="B67" s="8" t="n">
        <v>767.701778901</v>
      </c>
      <c r="C67" s="11">
        <f si="0" t="shared"/>
        <v>1.0754951942507831E-3</v>
      </c>
      <c r="E67" s="76">
        <v>56</v>
      </c>
      <c r="F67" s="166" t="n">
        <v>18.0</v>
      </c>
      <c r="G67" s="11">
        <f si="1" t="shared"/>
        <v>3.9201613900289185E-5</v>
      </c>
    </row>
    <row r="68" spans="1:7" x14ac:dyDescent="0.25">
      <c r="A68">
        <v>57</v>
      </c>
      <c r="B68" s="8" t="n">
        <v>303.939138892</v>
      </c>
      <c r="C68" s="11">
        <f si="0" t="shared"/>
        <v>4.2579695945347185E-4</v>
      </c>
      <c r="E68" s="77">
        <v>57</v>
      </c>
      <c r="F68" s="167" t="n">
        <v>17.0</v>
      </c>
      <c r="G68" s="11">
        <f si="1" t="shared"/>
        <v>2.2616315711705302E-5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78">
        <v>58</v>
      </c>
      <c r="F69" s="168" t="n">
        <v>21.0</v>
      </c>
      <c r="G69" s="11">
        <f si="1" t="shared"/>
        <v>4.2217122661849894E-5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79">
        <v>59</v>
      </c>
      <c r="F70" s="169" t="n">
        <v>11.0</v>
      </c>
      <c r="G70" s="11">
        <f si="1" t="shared"/>
        <v>1.0554280665462474E-5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80">
        <v>60</v>
      </c>
      <c r="F71" s="170" t="n">
        <v>6.0</v>
      </c>
      <c r="G71" s="11">
        <f si="1" t="shared"/>
        <v>2.4124070092485653E-5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81">
        <v>61</v>
      </c>
      <c r="F72" s="171" t="n">
        <v>9.0</v>
      </c>
      <c r="G72" s="11">
        <f si="1" t="shared"/>
        <v>9.0465262846821205E-6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82">
        <v>62</v>
      </c>
      <c r="F73" s="172" t="n">
        <v>11.0</v>
      </c>
      <c r="G73" s="11">
        <f si="1" t="shared"/>
        <v>1.9600806950144592E-5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83">
        <v>63</v>
      </c>
      <c r="F74" s="173" t="n">
        <v>1.0</v>
      </c>
      <c r="G74" s="11">
        <f si="1" t="shared"/>
        <v>4.5232631423410602E-6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84">
        <v>64</v>
      </c>
      <c r="F75" s="174" t="n">
        <v>5.0</v>
      </c>
      <c r="G75" s="11">
        <f si="1" t="shared"/>
        <v>3.0155087615607067E-6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85">
        <v>65</v>
      </c>
      <c r="F76" s="175" t="n">
        <v>1.0</v>
      </c>
      <c r="G76" s="11">
        <f si="1" t="shared"/>
        <v>4.5232631423410602E-6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86">
        <v>66</v>
      </c>
      <c r="F77" s="176" t="n">
        <v>3.0</v>
      </c>
      <c r="G77" s="11">
        <f ref="G77:G102" si="3" t="shared">F77/F$102</f>
        <v>0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87">
        <v>67</v>
      </c>
      <c r="F78" s="177" t="n">
        <v>1.0</v>
      </c>
      <c r="G78" s="11">
        <f si="3" t="shared"/>
        <v>0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88">
        <v>68</v>
      </c>
      <c r="F79" s="178" t="n">
        <v>1.0</v>
      </c>
      <c r="G79" s="11">
        <f si="3" t="shared"/>
        <v>3.0155087615607067E-6</v>
      </c>
    </row>
    <row r="80" spans="1:7" x14ac:dyDescent="0.25">
      <c r="A80">
        <v>69</v>
      </c>
      <c r="B80" s="8" t="n">
        <v>376.597523036</v>
      </c>
      <c r="C80" s="11">
        <f si="2" t="shared"/>
        <v>5.2758615040827928E-4</v>
      </c>
      <c r="E80" s="89">
        <v>69</v>
      </c>
      <c r="F80" s="179" t="n">
        <v>0.0</v>
      </c>
      <c r="G80" s="11">
        <f si="3" t="shared"/>
        <v>0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90">
        <v>70</v>
      </c>
      <c r="F81" s="180" t="n">
        <v>1.0</v>
      </c>
      <c r="G81" s="11">
        <f si="3" t="shared"/>
        <v>1.6585298188583886E-5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91">
        <v>71</v>
      </c>
      <c r="F82" s="181" t="n">
        <v>1.0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92">
        <v>72</v>
      </c>
      <c r="F83" s="182" t="n">
        <v>2.0</v>
      </c>
      <c r="G83" s="11">
        <f si="3" t="shared"/>
        <v>0</v>
      </c>
    </row>
    <row r="84" spans="1:7" x14ac:dyDescent="0.25">
      <c r="A84">
        <v>73</v>
      </c>
      <c r="B84" s="8" t="n">
        <v>224.140299381</v>
      </c>
      <c r="C84" s="11">
        <f si="2" t="shared"/>
        <v>3.1400450207017656E-4</v>
      </c>
      <c r="E84" s="93">
        <v>73</v>
      </c>
      <c r="F84" s="183" t="n">
        <v>0.0</v>
      </c>
      <c r="G84" s="11">
        <f si="3" t="shared"/>
        <v>1.5077543807803533E-6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94">
        <v>74</v>
      </c>
      <c r="F85" s="184" t="n">
        <v>0.0</v>
      </c>
      <c r="G85" s="11">
        <f si="3" t="shared"/>
        <v>1.5077543807803533E-6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95">
        <v>75</v>
      </c>
      <c r="F86" s="185" t="n">
        <v>1.0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96">
        <v>76</v>
      </c>
      <c r="F87" s="186" t="n">
        <v>2.0</v>
      </c>
      <c r="G87" s="11">
        <f si="3" t="shared"/>
        <v>1.5077543807803533E-6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97">
        <v>77</v>
      </c>
      <c r="F88" s="187" t="n">
        <v>0.0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98">
        <v>78</v>
      </c>
      <c r="F89" s="188" t="n">
        <v>0.0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99">
        <v>79</v>
      </c>
      <c r="F90" s="189" t="n">
        <v>1.0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00">
        <v>80</v>
      </c>
      <c r="F91" s="190" t="n">
        <v>0.0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01">
        <v>81</v>
      </c>
      <c r="F92" s="191" t="n">
        <v>0.0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02">
        <v>82</v>
      </c>
      <c r="F93" s="192" t="n">
        <v>0.0</v>
      </c>
      <c r="G93" s="11">
        <f si="3" t="shared"/>
        <v>1.5077543807803533E-6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03">
        <v>83</v>
      </c>
      <c r="F94" s="193" t="n">
        <v>0.0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04">
        <v>84</v>
      </c>
      <c r="F95" s="194" t="n">
        <v>0.0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05">
        <v>85</v>
      </c>
      <c r="F96" s="195" t="n">
        <v>0.0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06">
        <v>86</v>
      </c>
      <c r="F97" s="196" t="n">
        <v>0.0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07">
        <v>87</v>
      </c>
      <c r="F98" s="197" t="n">
        <v>0.0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08">
        <v>88</v>
      </c>
      <c r="F99" s="198" t="n">
        <v>0.0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09">
        <v>89</v>
      </c>
      <c r="F100" s="199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0.0</v>
      </c>
      <c r="G101" s="11">
        <f si="3" t="shared"/>
        <v>0</v>
      </c>
    </row>
    <row r="102" spans="1:7" x14ac:dyDescent="0.25">
      <c r="B102" s="8">
        <f>SUM(B11:B101)</f>
        <v>713812.37499234045</v>
      </c>
      <c r="C102" s="11">
        <f si="2" t="shared"/>
        <v>1</v>
      </c>
      <c r="F102" s="8">
        <f>SUM(F11:F101)</f>
        <v>663238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M30" sqref="M30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200">
        <v>0</v>
      </c>
      <c r="F11" s="290" t="n">
        <v>14479.0</v>
      </c>
      <c r="G11" s="11">
        <f>F11/F$102</f>
        <v>2.3715468655294177E-2</v>
      </c>
      <c r="K11" s="8" t="n">
        <v>24.113646099456428</v>
      </c>
      <c r="L11" s="8" t="n">
        <v>20.96664237931159</v>
      </c>
    </row>
    <row r="12" spans="1:12" x14ac:dyDescent="0.25">
      <c r="A12">
        <v>1</v>
      </c>
      <c r="B12" s="8" t="n">
        <v>7793.492276496</v>
      </c>
      <c r="C12" s="11">
        <f>B12/B$102</f>
        <v>1.0918124355268601E-2</v>
      </c>
      <c r="E12" s="201">
        <v>1</v>
      </c>
      <c r="F12" s="291" t="n">
        <v>16174.0</v>
      </c>
      <c r="G12" s="11">
        <f>F12/F$102</f>
        <v>2.423262840790184E-2</v>
      </c>
      <c r="K12" s="8"/>
      <c r="L12" s="381"/>
    </row>
    <row r="13" spans="1:12" x14ac:dyDescent="0.25">
      <c r="A13">
        <v>2</v>
      </c>
      <c r="B13" s="8" t="n">
        <v>3735.470356412</v>
      </c>
      <c r="C13" s="11">
        <f ref="C13:C76" si="0" t="shared">B13/B$102</f>
        <v>5.2331263610442182E-3</v>
      </c>
      <c r="E13" s="202">
        <v>2</v>
      </c>
      <c r="F13" s="292" t="n">
        <v>18984.0</v>
      </c>
      <c r="G13" s="11">
        <f ref="G13:G76" si="1" t="shared">F13/F$102</f>
        <v>2.8988085724883074E-2</v>
      </c>
    </row>
    <row r="14" spans="1:12" x14ac:dyDescent="0.25">
      <c r="A14">
        <v>3</v>
      </c>
      <c r="B14" s="8" t="n">
        <v>10871.694237952499</v>
      </c>
      <c r="C14" s="11">
        <f si="0" t="shared"/>
        <v>1.5230464781545921E-2</v>
      </c>
      <c r="E14" s="203">
        <v>3</v>
      </c>
      <c r="F14" s="293" t="n">
        <v>19316.0</v>
      </c>
      <c r="G14" s="11">
        <f si="1" t="shared"/>
        <v>2.9206710110096224E-2</v>
      </c>
    </row>
    <row r="15" spans="1:12" x14ac:dyDescent="0.25">
      <c r="A15">
        <v>4</v>
      </c>
      <c r="B15" s="8" t="n">
        <v>9819.2436013064</v>
      </c>
      <c r="C15" s="11">
        <f si="0" t="shared"/>
        <v>1.3756056836940882E-2</v>
      </c>
      <c r="E15" s="204">
        <v>4</v>
      </c>
      <c r="F15" s="294" t="n">
        <v>18489.0</v>
      </c>
      <c r="G15" s="11">
        <f si="1" t="shared"/>
        <v>2.75662733438072E-2</v>
      </c>
    </row>
    <row r="16" spans="1:12" x14ac:dyDescent="0.25">
      <c r="A16">
        <v>5</v>
      </c>
      <c r="B16" s="8" t="n">
        <v>16332.2660777692</v>
      </c>
      <c r="C16" s="11">
        <f si="0" t="shared"/>
        <v>2.2880334734942696E-2</v>
      </c>
      <c r="E16" s="205">
        <v>5</v>
      </c>
      <c r="F16" s="295" t="n">
        <v>17911.0</v>
      </c>
      <c r="G16" s="11">
        <f si="1" t="shared"/>
        <v>2.6580201978776849E-2</v>
      </c>
    </row>
    <row r="17" spans="1:7" x14ac:dyDescent="0.25">
      <c r="A17">
        <v>6</v>
      </c>
      <c r="B17" s="8" t="n">
        <v>6831.1061588459</v>
      </c>
      <c r="C17" s="11">
        <f si="0" t="shared"/>
        <v>9.5698903495742785E-3</v>
      </c>
      <c r="E17" s="206">
        <v>6</v>
      </c>
      <c r="F17" s="296" t="n">
        <v>16124.0</v>
      </c>
      <c r="G17" s="11">
        <f si="1" t="shared"/>
        <v>2.4259767986755887E-2</v>
      </c>
    </row>
    <row r="18" spans="1:7" x14ac:dyDescent="0.25">
      <c r="A18">
        <v>7</v>
      </c>
      <c r="B18" s="8" t="n">
        <v>8476.0208145379</v>
      </c>
      <c r="C18" s="11">
        <f si="0" t="shared"/>
        <v>1.1874297940868349E-2</v>
      </c>
      <c r="E18" s="207">
        <v>7</v>
      </c>
      <c r="F18" s="297" t="n">
        <v>15071.0</v>
      </c>
      <c r="G18" s="11">
        <f si="1" t="shared"/>
        <v>2.2521327185716138E-2</v>
      </c>
    </row>
    <row r="19" spans="1:7" x14ac:dyDescent="0.25">
      <c r="A19">
        <v>8</v>
      </c>
      <c r="B19" s="8" t="n">
        <v>6745.4341589962</v>
      </c>
      <c r="C19" s="11">
        <f si="0" t="shared"/>
        <v>9.449870015308403E-3</v>
      </c>
      <c r="E19" s="208">
        <v>8</v>
      </c>
      <c r="F19" s="298" t="n">
        <v>13591.0</v>
      </c>
      <c r="G19" s="11">
        <f si="1" t="shared"/>
        <v>2.0270249895211069E-2</v>
      </c>
    </row>
    <row r="20" spans="1:7" x14ac:dyDescent="0.25">
      <c r="A20">
        <v>9</v>
      </c>
      <c r="B20" s="8" t="n">
        <v>8005.3491272957</v>
      </c>
      <c r="C20" s="11">
        <f si="0" t="shared"/>
        <v>1.1214920625859976E-2</v>
      </c>
      <c r="E20" s="209">
        <v>9</v>
      </c>
      <c r="F20" s="299" t="n">
        <v>12200.0</v>
      </c>
      <c r="G20" s="11">
        <f si="1" t="shared"/>
        <v>1.8210657411065107E-2</v>
      </c>
    </row>
    <row r="21" spans="1:7" x14ac:dyDescent="0.25">
      <c r="A21">
        <v>10</v>
      </c>
      <c r="B21" s="8" t="n">
        <v>3311.574517039</v>
      </c>
      <c r="C21" s="11">
        <f si="0" t="shared"/>
        <v>4.6392786578889622E-3</v>
      </c>
      <c r="E21" s="210">
        <v>10</v>
      </c>
      <c r="F21" s="300" t="n">
        <v>10832.0</v>
      </c>
      <c r="G21" s="11">
        <f si="1" t="shared"/>
        <v>1.6203836330246458E-2</v>
      </c>
    </row>
    <row r="22" spans="1:7" x14ac:dyDescent="0.25">
      <c r="A22">
        <v>11</v>
      </c>
      <c r="B22" s="8" t="n">
        <v>11087.992481766</v>
      </c>
      <c r="C22" s="11">
        <f si="0" t="shared"/>
        <v>1.5533483125569196E-2</v>
      </c>
      <c r="E22" s="211">
        <v>11</v>
      </c>
      <c r="F22" s="301" t="n">
        <v>9830.0</v>
      </c>
      <c r="G22" s="11">
        <f si="1" t="shared"/>
        <v>1.4702112966989226E-2</v>
      </c>
    </row>
    <row r="23" spans="1:7" x14ac:dyDescent="0.25">
      <c r="A23">
        <v>12</v>
      </c>
      <c r="B23" s="8" t="n">
        <v>14689.8465226455</v>
      </c>
      <c r="C23" s="11">
        <f si="0" t="shared"/>
        <v>2.057942260079635E-2</v>
      </c>
      <c r="E23" s="212">
        <v>12</v>
      </c>
      <c r="F23" s="302" t="n">
        <v>9040.0</v>
      </c>
      <c r="G23" s="11">
        <f si="1" t="shared"/>
        <v>1.3370765848760173E-2</v>
      </c>
    </row>
    <row r="24" spans="1:7" x14ac:dyDescent="0.25">
      <c r="A24">
        <v>13</v>
      </c>
      <c r="B24" s="8" t="n">
        <v>27272.6668872568</v>
      </c>
      <c r="C24" s="11">
        <f si="0" t="shared"/>
        <v>3.8207052501085359E-2</v>
      </c>
      <c r="E24" s="213">
        <v>13</v>
      </c>
      <c r="F24" s="303" t="n">
        <v>7775.0</v>
      </c>
      <c r="G24" s="11">
        <f si="1" t="shared"/>
        <v>1.1371483539845425E-2</v>
      </c>
    </row>
    <row r="25" spans="1:7" x14ac:dyDescent="0.25">
      <c r="A25">
        <v>14</v>
      </c>
      <c r="B25" s="8" t="n">
        <v>14318.314002385</v>
      </c>
      <c r="C25" s="11">
        <f si="0" t="shared"/>
        <v>2.005893215642084E-2</v>
      </c>
      <c r="E25" s="214">
        <v>14</v>
      </c>
      <c r="F25" s="304" t="n">
        <v>6796.0</v>
      </c>
      <c r="G25" s="11">
        <f si="1" t="shared"/>
        <v>1.0201466140359871E-2</v>
      </c>
    </row>
    <row r="26" spans="1:7" x14ac:dyDescent="0.25">
      <c r="A26">
        <v>15</v>
      </c>
      <c r="B26" s="8" t="n">
        <v>7049.5308562966</v>
      </c>
      <c r="C26" s="11">
        <f si="0" t="shared"/>
        <v>9.8758877028045922E-3</v>
      </c>
      <c r="E26" s="215">
        <v>15</v>
      </c>
      <c r="F26" s="305" t="n">
        <v>6234.0</v>
      </c>
      <c r="G26" s="11">
        <f si="1" t="shared"/>
        <v>9.3495849152189711E-3</v>
      </c>
    </row>
    <row r="27" spans="1:7" x14ac:dyDescent="0.25">
      <c r="A27">
        <v>16</v>
      </c>
      <c r="B27" s="8" t="n">
        <v>23865.880590022</v>
      </c>
      <c r="C27" s="11">
        <f si="0" t="shared"/>
        <v>3.3434388960093438E-2</v>
      </c>
      <c r="E27" s="216">
        <v>16</v>
      </c>
      <c r="F27" s="306" t="n">
        <v>5912.0</v>
      </c>
      <c r="G27" s="11">
        <f si="1" t="shared"/>
        <v>8.7510064260491703E-3</v>
      </c>
    </row>
    <row r="28" spans="1:7" x14ac:dyDescent="0.25">
      <c r="A28">
        <v>17</v>
      </c>
      <c r="B28" s="8" t="n">
        <v>14432.717506793</v>
      </c>
      <c r="C28" s="11">
        <f si="0" t="shared"/>
        <v>2.0219203270254119E-2</v>
      </c>
      <c r="E28" s="217">
        <v>17</v>
      </c>
      <c r="F28" s="307" t="n">
        <v>5327.0</v>
      </c>
      <c r="G28" s="11">
        <f si="1" t="shared"/>
        <v>7.9202337622391959E-3</v>
      </c>
    </row>
    <row r="29" spans="1:7" x14ac:dyDescent="0.25">
      <c r="A29">
        <v>18</v>
      </c>
      <c r="B29" s="8" t="n">
        <v>47127.7531380588</v>
      </c>
      <c r="C29" s="11">
        <f si="0" t="shared"/>
        <v>6.6022605924371189E-2</v>
      </c>
      <c r="E29" s="218">
        <v>18</v>
      </c>
      <c r="F29" s="308" t="n">
        <v>66432.0</v>
      </c>
      <c r="G29" s="11">
        <f si="1" t="shared"/>
        <v>0.10058380249623815</v>
      </c>
    </row>
    <row r="30" spans="1:7" x14ac:dyDescent="0.25">
      <c r="A30">
        <v>19</v>
      </c>
      <c r="B30" s="8" t="n">
        <v>28800.9700697245</v>
      </c>
      <c r="C30" s="11">
        <f si="0" t="shared"/>
        <v>4.0348095772412926E-2</v>
      </c>
      <c r="E30" s="219">
        <v>19</v>
      </c>
      <c r="F30" s="309" t="n">
        <v>21793.0</v>
      </c>
      <c r="G30" s="11">
        <f si="1" t="shared"/>
        <v>3.2273482520603462E-2</v>
      </c>
    </row>
    <row r="31" spans="1:7" x14ac:dyDescent="0.25">
      <c r="A31">
        <v>20</v>
      </c>
      <c r="B31" s="8" t="n">
        <v>39793.5264298827</v>
      </c>
      <c r="C31" s="11">
        <f si="0" t="shared"/>
        <v>5.5747879728632724E-2</v>
      </c>
      <c r="E31" s="220">
        <v>20</v>
      </c>
      <c r="F31" s="310" t="n">
        <v>27110.0</v>
      </c>
      <c r="G31" s="11">
        <f si="1" t="shared"/>
        <v>4.0817926596485726E-2</v>
      </c>
    </row>
    <row r="32" spans="1:7" x14ac:dyDescent="0.25">
      <c r="A32">
        <v>21</v>
      </c>
      <c r="B32" s="8" t="n">
        <v>37709.8270370349</v>
      </c>
      <c r="C32" s="11">
        <f si="0" t="shared"/>
        <v>5.2828766155027108E-2</v>
      </c>
      <c r="E32" s="221">
        <v>21</v>
      </c>
      <c r="F32" s="311" t="n">
        <v>29876.0</v>
      </c>
      <c r="G32" s="11">
        <f si="1" t="shared"/>
        <v>4.4297823707326781E-2</v>
      </c>
    </row>
    <row r="33" spans="1:7" x14ac:dyDescent="0.25">
      <c r="A33">
        <v>22</v>
      </c>
      <c r="B33" s="8" t="n">
        <v>35486.283218125</v>
      </c>
      <c r="C33" s="11">
        <f si="0" t="shared"/>
        <v>4.9713740558932955E-2</v>
      </c>
      <c r="E33" s="222">
        <v>22</v>
      </c>
      <c r="F33" s="312" t="n">
        <v>29606.0</v>
      </c>
      <c r="G33" s="11">
        <f si="1" t="shared"/>
        <v>4.3213748307545707E-2</v>
      </c>
    </row>
    <row r="34" spans="1:7" x14ac:dyDescent="0.25">
      <c r="A34">
        <v>23</v>
      </c>
      <c r="B34" s="8" t="n">
        <v>29017.355384408</v>
      </c>
      <c r="C34" s="11">
        <f si="0" t="shared"/>
        <v>4.0651236096487332E-2</v>
      </c>
      <c r="E34" s="223">
        <v>23</v>
      </c>
      <c r="F34" s="313" t="n">
        <v>20665.0</v>
      </c>
      <c r="G34" s="11">
        <f si="1" t="shared"/>
        <v>3.0847146876385248E-2</v>
      </c>
    </row>
    <row r="35" spans="1:7" x14ac:dyDescent="0.25">
      <c r="A35">
        <v>24</v>
      </c>
      <c r="B35" s="8" t="n">
        <v>37931.4440880441</v>
      </c>
      <c r="C35" s="11">
        <f si="0" t="shared"/>
        <v>5.3139235766893368E-2</v>
      </c>
      <c r="E35" s="224">
        <v>24</v>
      </c>
      <c r="F35" s="314" t="n">
        <v>19657.0</v>
      </c>
      <c r="G35" s="11">
        <f si="1" t="shared"/>
        <v>3.2528293010955341E-2</v>
      </c>
    </row>
    <row r="36" spans="1:7" x14ac:dyDescent="0.25">
      <c r="A36">
        <v>25</v>
      </c>
      <c r="B36" s="8" t="n">
        <v>9971.2401772759</v>
      </c>
      <c r="C36" s="11">
        <f si="0" t="shared"/>
        <v>1.39689931508723E-2</v>
      </c>
      <c r="E36" s="225">
        <v>25</v>
      </c>
      <c r="F36" s="315" t="n">
        <v>20917.0</v>
      </c>
      <c r="G36" s="11">
        <f si="1" t="shared"/>
        <v>2.8446801902182926E-2</v>
      </c>
    </row>
    <row r="37" spans="1:7" x14ac:dyDescent="0.25">
      <c r="A37">
        <v>26</v>
      </c>
      <c r="B37" s="8" t="n">
        <v>45763.924449882</v>
      </c>
      <c r="C37" s="11">
        <f si="0" t="shared"/>
        <v>6.4111979636627958E-2</v>
      </c>
      <c r="E37" s="226">
        <v>26</v>
      </c>
      <c r="F37" s="316" t="n">
        <v>16006.0</v>
      </c>
      <c r="G37" s="11">
        <f si="1" t="shared"/>
        <v>2.4108992548677849E-2</v>
      </c>
    </row>
    <row r="38" spans="1:7" x14ac:dyDescent="0.25">
      <c r="A38">
        <v>27</v>
      </c>
      <c r="B38" s="8" t="n">
        <v>8839.133753623</v>
      </c>
      <c r="C38" s="11">
        <f si="0" t="shared"/>
        <v>1.2382993155194097E-2</v>
      </c>
      <c r="E38" s="227">
        <v>27</v>
      </c>
      <c r="F38" s="317" t="n">
        <v>12387.0</v>
      </c>
      <c r="G38" s="11">
        <f si="1" t="shared"/>
        <v>2.2984207780615707E-2</v>
      </c>
    </row>
    <row r="39" spans="1:7" x14ac:dyDescent="0.25">
      <c r="A39">
        <v>28</v>
      </c>
      <c r="B39" s="8" t="n">
        <v>12756.0390993706</v>
      </c>
      <c r="C39" s="11">
        <f si="0" t="shared"/>
        <v>1.7870296938334071E-2</v>
      </c>
      <c r="E39" s="228">
        <v>28</v>
      </c>
      <c r="F39" s="318" t="n">
        <v>15075.0</v>
      </c>
      <c r="G39" s="11">
        <f si="1" t="shared"/>
        <v>1.8571010708071611E-2</v>
      </c>
    </row>
    <row r="40" spans="1:7" x14ac:dyDescent="0.25">
      <c r="A40">
        <v>29</v>
      </c>
      <c r="B40" s="8" t="n">
        <v>15772.4532600474</v>
      </c>
      <c r="C40" s="11">
        <f si="0" t="shared"/>
        <v>2.2096077082183724E-2</v>
      </c>
      <c r="E40" s="229">
        <v>29</v>
      </c>
      <c r="F40" s="319" t="n">
        <v>15909.0</v>
      </c>
      <c r="G40" s="11">
        <f si="1" t="shared"/>
        <v>2.4683446967755165E-2</v>
      </c>
    </row>
    <row r="41" spans="1:7" x14ac:dyDescent="0.25">
      <c r="A41">
        <v>30</v>
      </c>
      <c r="B41" s="8" t="n">
        <v>7948.5387110977</v>
      </c>
      <c r="C41" s="11">
        <f si="0" t="shared"/>
        <v>1.1135333302652517E-2</v>
      </c>
      <c r="E41" s="230">
        <v>30</v>
      </c>
      <c r="F41" s="320" t="n">
        <v>14056.0</v>
      </c>
      <c r="G41" s="11">
        <f si="1" t="shared"/>
        <v>2.2366028484495763E-2</v>
      </c>
    </row>
    <row r="42" spans="1:7" x14ac:dyDescent="0.25">
      <c r="A42">
        <v>31</v>
      </c>
      <c r="B42" s="8" t="n">
        <v>11734.1355258849</v>
      </c>
      <c r="C42" s="11">
        <f si="0" t="shared"/>
        <v>1.6438683240831746E-2</v>
      </c>
      <c r="E42" s="231">
        <v>31</v>
      </c>
      <c r="F42" s="321" t="n">
        <v>10345.0</v>
      </c>
      <c r="G42" s="11">
        <f si="1" t="shared"/>
        <v>1.6161619207584608E-2</v>
      </c>
    </row>
    <row r="43" spans="1:7" x14ac:dyDescent="0.25">
      <c r="A43">
        <v>32</v>
      </c>
      <c r="B43" s="8" t="n">
        <v>5547.8981289166995</v>
      </c>
      <c r="C43" s="11">
        <f si="0" t="shared"/>
        <v>7.7722078283893967E-3</v>
      </c>
      <c r="E43" s="232">
        <v>32</v>
      </c>
      <c r="F43" s="322" t="n">
        <v>12093.0</v>
      </c>
      <c r="G43" s="11">
        <f si="1" t="shared"/>
        <v>1.6607914504295593E-2</v>
      </c>
    </row>
    <row r="44" spans="1:7" x14ac:dyDescent="0.25">
      <c r="A44">
        <v>33</v>
      </c>
      <c r="B44" s="8" t="n">
        <v>12268.2299593388</v>
      </c>
      <c r="C44" s="11">
        <f si="0" t="shared"/>
        <v>1.7186911279690881E-2</v>
      </c>
      <c r="E44" s="233">
        <v>33</v>
      </c>
      <c r="F44" s="323" t="n">
        <v>12004.0</v>
      </c>
      <c r="G44" s="11">
        <f si="1" t="shared"/>
        <v>1.8019172604706004E-2</v>
      </c>
    </row>
    <row r="45" spans="1:7" x14ac:dyDescent="0.25">
      <c r="A45">
        <v>34</v>
      </c>
      <c r="B45" s="8" t="n">
        <v>8514.7335108917</v>
      </c>
      <c r="C45" s="11">
        <f si="0" t="shared"/>
        <v>1.1928531655090823E-2</v>
      </c>
      <c r="E45" s="234">
        <v>34</v>
      </c>
      <c r="F45" s="324" t="n">
        <v>9942.0</v>
      </c>
      <c r="G45" s="11">
        <f si="1" t="shared"/>
        <v>1.3550188620073036E-2</v>
      </c>
    </row>
    <row r="46" spans="1:7" x14ac:dyDescent="0.25">
      <c r="A46">
        <v>35</v>
      </c>
      <c r="B46" s="8" t="n">
        <v>9783.0292357916</v>
      </c>
      <c r="C46" s="11">
        <f si="0" t="shared"/>
        <v>1.3705323105243966E-2</v>
      </c>
      <c r="E46" s="235">
        <v>35</v>
      </c>
      <c r="F46" s="325" t="n">
        <v>8080.0</v>
      </c>
      <c r="G46" s="11">
        <f si="1" t="shared"/>
        <v>1.3146110446023901E-2</v>
      </c>
    </row>
    <row r="47" spans="1:7" x14ac:dyDescent="0.25">
      <c r="A47">
        <v>36</v>
      </c>
      <c r="B47" s="8" t="n">
        <v>1286.25466707</v>
      </c>
      <c r="C47" s="11">
        <f si="0" t="shared"/>
        <v>1.8019506415587168E-3</v>
      </c>
      <c r="E47" s="236">
        <v>36</v>
      </c>
      <c r="F47" s="326" t="n">
        <v>6941.0</v>
      </c>
      <c r="G47" s="11">
        <f si="1" t="shared"/>
        <v>1.1573522626869993E-2</v>
      </c>
    </row>
    <row r="48" spans="1:7" x14ac:dyDescent="0.25">
      <c r="A48">
        <v>37</v>
      </c>
      <c r="B48" s="8" t="n">
        <v>11688.1619787457</v>
      </c>
      <c r="C48" s="11">
        <f si="0" t="shared"/>
        <v>1.6374277594824706E-2</v>
      </c>
      <c r="E48" s="237">
        <v>37</v>
      </c>
      <c r="F48" s="327" t="n">
        <v>10144.0</v>
      </c>
      <c r="G48" s="11">
        <f si="1" t="shared"/>
        <v>1.3262207533343989E-2</v>
      </c>
    </row>
    <row r="49" spans="1:7" x14ac:dyDescent="0.25">
      <c r="A49">
        <v>38</v>
      </c>
      <c r="B49" s="8" t="n">
        <v>9089.8752767496</v>
      </c>
      <c r="C49" s="11">
        <f si="0" t="shared"/>
        <v>1.273426406602594E-2</v>
      </c>
      <c r="E49" s="238">
        <v>38</v>
      </c>
      <c r="F49" s="328" t="n">
        <v>6935.0</v>
      </c>
      <c r="G49" s="11">
        <f si="1" t="shared"/>
        <v>1.0741242208679237E-2</v>
      </c>
    </row>
    <row r="50" spans="1:7" x14ac:dyDescent="0.25">
      <c r="A50">
        <v>39</v>
      </c>
      <c r="B50" s="8" t="n">
        <v>5598.9639928004</v>
      </c>
      <c r="C50" s="11">
        <f si="0" t="shared"/>
        <v>7.8437474453430089E-3</v>
      </c>
      <c r="E50" s="239">
        <v>39</v>
      </c>
      <c r="F50" s="329" t="n">
        <v>5889.0</v>
      </c>
      <c r="G50" s="11">
        <f si="1" t="shared"/>
        <v>8.5987232335903545E-3</v>
      </c>
    </row>
    <row r="51" spans="1:7" x14ac:dyDescent="0.25">
      <c r="A51">
        <v>40</v>
      </c>
      <c r="B51" s="8" t="n">
        <v>8490.257518155</v>
      </c>
      <c r="C51" s="11">
        <f si="0" t="shared"/>
        <v>1.1894242542721537E-2</v>
      </c>
      <c r="E51" s="240">
        <v>40</v>
      </c>
      <c r="F51" s="330" t="n">
        <v>5472.0</v>
      </c>
      <c r="G51" s="11">
        <f si="1" t="shared"/>
        <v>7.7242256927377503E-3</v>
      </c>
    </row>
    <row r="52" spans="1:7" x14ac:dyDescent="0.25">
      <c r="A52">
        <v>41</v>
      </c>
      <c r="B52" s="8" t="n">
        <v>11066.512236333</v>
      </c>
      <c r="C52" s="11">
        <f si="0" t="shared"/>
        <v>1.5503390840557704E-2</v>
      </c>
      <c r="E52" s="241">
        <v>41</v>
      </c>
      <c r="F52" s="331" t="n">
        <v>4007.0</v>
      </c>
      <c r="G52" s="11">
        <f si="1" t="shared"/>
        <v>6.4878671004978605E-3</v>
      </c>
    </row>
    <row r="53" spans="1:7" x14ac:dyDescent="0.25">
      <c r="A53">
        <v>42</v>
      </c>
      <c r="B53" s="8" t="n">
        <v>526.7772426363</v>
      </c>
      <c r="C53" s="11">
        <f si="0" t="shared"/>
        <v>7.3797717872564519E-4</v>
      </c>
      <c r="E53" s="242">
        <v>42</v>
      </c>
      <c r="F53" s="332" t="n">
        <v>3873.0</v>
      </c>
      <c r="G53" s="11">
        <f si="1" t="shared"/>
        <v>6.4185103989819643E-3</v>
      </c>
    </row>
    <row r="54" spans="1:7" x14ac:dyDescent="0.25">
      <c r="A54">
        <v>43</v>
      </c>
      <c r="B54" s="8" t="n">
        <v>547.579521264</v>
      </c>
      <c r="C54" s="11">
        <f si="0" t="shared"/>
        <v>7.6711968081230792E-4</v>
      </c>
      <c r="E54" s="243">
        <v>43</v>
      </c>
      <c r="F54" s="333" t="n">
        <v>4260.0</v>
      </c>
      <c r="G54" s="11">
        <f si="1" t="shared"/>
        <v>5.9511065409400543E-3</v>
      </c>
    </row>
    <row r="55" spans="1:7" x14ac:dyDescent="0.25">
      <c r="A55">
        <v>44</v>
      </c>
      <c r="B55" s="8" t="n">
        <v>2528.773569911</v>
      </c>
      <c r="C55" s="11">
        <f si="0" t="shared"/>
        <v>3.5426306106533011E-3</v>
      </c>
      <c r="E55" s="244">
        <v>44</v>
      </c>
      <c r="F55" s="334" t="n">
        <v>2897.0</v>
      </c>
      <c r="G55" s="11">
        <f si="1" t="shared"/>
        <v>4.342332616647418E-3</v>
      </c>
    </row>
    <row r="56" spans="1:7" x14ac:dyDescent="0.25">
      <c r="A56">
        <v>45</v>
      </c>
      <c r="B56" s="8" t="n">
        <v>31986.4843652147</v>
      </c>
      <c r="C56" s="11">
        <f si="0" t="shared"/>
        <v>4.4810773090839043E-2</v>
      </c>
      <c r="E56" s="245">
        <v>45</v>
      </c>
      <c r="F56" s="335" t="n">
        <v>2938.0</v>
      </c>
      <c r="G56" s="11">
        <f si="1" t="shared"/>
        <v>4.3438403710281976E-3</v>
      </c>
    </row>
    <row r="57" spans="1:7" x14ac:dyDescent="0.25">
      <c r="A57">
        <v>46</v>
      </c>
      <c r="B57" s="8" t="n">
        <v>3263.844441608</v>
      </c>
      <c r="C57" s="11">
        <f si="0" t="shared"/>
        <v>4.5724122415824195E-3</v>
      </c>
      <c r="E57" s="246">
        <v>46</v>
      </c>
      <c r="F57" s="336" t="n">
        <v>2537.0</v>
      </c>
      <c r="G57" s="11">
        <f si="1" t="shared"/>
        <v>4.1598943365729951E-3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247">
        <v>47</v>
      </c>
      <c r="F58" s="337" t="n">
        <v>2699.0</v>
      </c>
      <c r="G58" s="11">
        <f si="1" t="shared"/>
        <v>5.2801558414927972E-3</v>
      </c>
    </row>
    <row r="59" spans="1:7" x14ac:dyDescent="0.25">
      <c r="A59">
        <v>48</v>
      </c>
      <c r="B59" s="8" t="n">
        <v>581.6199965732</v>
      </c>
      <c r="C59" s="11">
        <f si="0" t="shared"/>
        <v>8.1480794806820301E-4</v>
      </c>
      <c r="E59" s="248">
        <v>48</v>
      </c>
      <c r="F59" s="338" t="n">
        <v>2764.0</v>
      </c>
      <c r="G59" s="11">
        <f si="1" t="shared"/>
        <v>3.1904082697312279E-3</v>
      </c>
    </row>
    <row r="60" spans="1:7" x14ac:dyDescent="0.25">
      <c r="A60">
        <v>49</v>
      </c>
      <c r="B60" s="8" t="n">
        <v>214.103131579</v>
      </c>
      <c r="C60" s="11">
        <f si="0" t="shared"/>
        <v>2.9994314904010637E-4</v>
      </c>
      <c r="E60" s="249">
        <v>49</v>
      </c>
      <c r="F60" s="339" t="n">
        <v>1966.0</v>
      </c>
      <c r="G60" s="11">
        <f si="1" t="shared"/>
        <v>2.7064191135007343E-3</v>
      </c>
    </row>
    <row r="61" spans="1:7" x14ac:dyDescent="0.25">
      <c r="A61">
        <v>50</v>
      </c>
      <c r="B61" s="8" t="n">
        <v>1767.383302078</v>
      </c>
      <c r="C61" s="11">
        <f si="0" t="shared"/>
        <v>2.4759773912534982E-3</v>
      </c>
      <c r="E61" s="250">
        <v>50</v>
      </c>
      <c r="F61" s="340" t="n">
        <v>1659.0</v>
      </c>
      <c r="G61" s="11">
        <f si="1" t="shared"/>
        <v>2.6807872890274682E-3</v>
      </c>
    </row>
    <row r="62" spans="1:7" x14ac:dyDescent="0.25">
      <c r="A62">
        <v>51</v>
      </c>
      <c r="B62" s="8" t="n">
        <v>280.077627348</v>
      </c>
      <c r="C62" s="11">
        <f si="0" t="shared"/>
        <v>3.9236869121385745E-4</v>
      </c>
      <c r="E62" s="251">
        <v>51</v>
      </c>
      <c r="F62" s="341" t="n">
        <v>1816.0</v>
      </c>
      <c r="G62" s="11">
        <f si="1" t="shared"/>
        <v>2.8421170077709661E-3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252">
        <v>52</v>
      </c>
      <c r="F63" s="342" t="n">
        <v>1440.0</v>
      </c>
      <c r="G63" s="11">
        <f si="1" t="shared"/>
        <v>2.3144029744978424E-3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253">
        <v>53</v>
      </c>
      <c r="F64" s="343" t="n">
        <v>1233.0</v>
      </c>
      <c r="G64" s="11">
        <f si="1" t="shared"/>
        <v>2.1787050802276105E-3</v>
      </c>
    </row>
    <row r="65" spans="1:7" x14ac:dyDescent="0.25">
      <c r="A65">
        <v>54</v>
      </c>
      <c r="B65" s="8" t="n">
        <v>326.758764277</v>
      </c>
      <c r="C65" s="11">
        <f si="0" t="shared"/>
        <v>4.5776561982482591E-4</v>
      </c>
      <c r="E65" s="254">
        <v>54</v>
      </c>
      <c r="F65" s="344" t="n">
        <v>1157.0</v>
      </c>
      <c r="G65" s="11">
        <f si="1" t="shared"/>
        <v>1.7022546959010189E-3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255">
        <v>55</v>
      </c>
      <c r="F66" s="345" t="n">
        <v>1030.0</v>
      </c>
      <c r="G66" s="11">
        <f si="1" t="shared"/>
        <v>1.3976883109833875E-3</v>
      </c>
    </row>
    <row r="67" spans="1:7" x14ac:dyDescent="0.25">
      <c r="A67">
        <v>56</v>
      </c>
      <c r="B67" s="8" t="n">
        <v>232.8335313258</v>
      </c>
      <c r="C67" s="11">
        <f si="0" t="shared"/>
        <v>3.2618309724358348E-4</v>
      </c>
      <c r="E67" s="256">
        <v>56</v>
      </c>
      <c r="F67" s="346" t="n">
        <v>844.0</v>
      </c>
      <c r="G67" s="11">
        <f si="1" t="shared"/>
        <v>1.1896182064356988E-3</v>
      </c>
    </row>
    <row r="68" spans="1:7" x14ac:dyDescent="0.25">
      <c r="A68">
        <v>57</v>
      </c>
      <c r="B68" s="8" t="n">
        <v>1954.083490471</v>
      </c>
      <c r="C68" s="11">
        <f si="0" t="shared"/>
        <v>2.7375309800309459E-3</v>
      </c>
      <c r="E68" s="257">
        <v>57</v>
      </c>
      <c r="F68" s="347" t="n">
        <v>761.0</v>
      </c>
      <c r="G68" s="11">
        <f si="1" t="shared"/>
        <v>1.3765797496524627E-3</v>
      </c>
    </row>
    <row r="69" spans="1:7" x14ac:dyDescent="0.25">
      <c r="A69">
        <v>58</v>
      </c>
      <c r="B69" s="8" t="n">
        <v>2200.592978766</v>
      </c>
      <c r="C69" s="11">
        <f si="0" t="shared"/>
        <v>3.0828731132457772E-3</v>
      </c>
      <c r="E69" s="258">
        <v>58</v>
      </c>
      <c r="F69" s="348" t="n">
        <v>597.0</v>
      </c>
      <c r="G69" s="11">
        <f si="1" t="shared"/>
        <v>8.6997427771026389E-4</v>
      </c>
    </row>
    <row r="70" spans="1:7" x14ac:dyDescent="0.25">
      <c r="A70">
        <v>59</v>
      </c>
      <c r="B70" s="8" t="n">
        <v>716.6017071473</v>
      </c>
      <c r="C70" s="11">
        <f si="0" t="shared"/>
        <v>1.003907654521945E-3</v>
      </c>
      <c r="E70" s="259">
        <v>59</v>
      </c>
      <c r="F70" s="349" t="n">
        <v>668.0</v>
      </c>
      <c r="G70" s="11">
        <f si="1" t="shared"/>
        <v>1.0524125577846867E-3</v>
      </c>
    </row>
    <row r="71" spans="1:7" x14ac:dyDescent="0.25">
      <c r="A71">
        <v>60</v>
      </c>
      <c r="B71" s="8" t="n">
        <v>1985.7672183407</v>
      </c>
      <c r="C71" s="11">
        <f si="0" t="shared"/>
        <v>2.7819176129609789E-3</v>
      </c>
      <c r="E71" s="260">
        <v>60</v>
      </c>
      <c r="F71" s="350" t="n">
        <v>475.0</v>
      </c>
      <c r="G71" s="11">
        <f si="1" t="shared"/>
        <v>7.9910982181358723E-4</v>
      </c>
    </row>
    <row r="72" spans="1:7" x14ac:dyDescent="0.25">
      <c r="A72">
        <v>61</v>
      </c>
      <c r="B72" s="8" t="n">
        <v>711.387405665</v>
      </c>
      <c r="C72" s="11">
        <f si="0" t="shared"/>
        <v>9.9660279169667379E-4</v>
      </c>
      <c r="E72" s="261">
        <v>61</v>
      </c>
      <c r="F72" s="351" t="n">
        <v>437.0</v>
      </c>
      <c r="G72" s="11">
        <f si="1" t="shared"/>
        <v>6.935670151589626E-4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262">
        <v>62</v>
      </c>
      <c r="F73" s="352" t="n">
        <v>442.0</v>
      </c>
      <c r="G73" s="11">
        <f si="1" t="shared"/>
        <v>6.6491968192413579E-4</v>
      </c>
    </row>
    <row r="74" spans="1:7" x14ac:dyDescent="0.25">
      <c r="A74">
        <v>63</v>
      </c>
      <c r="B74" s="8" t="n">
        <v>110.470897351</v>
      </c>
      <c r="C74" s="11">
        <f si="0" t="shared"/>
        <v>1.5476181307754063E-4</v>
      </c>
      <c r="E74" s="263">
        <v>63</v>
      </c>
      <c r="F74" s="353" t="n">
        <v>370.0</v>
      </c>
      <c r="G74" s="11">
        <f si="1" t="shared"/>
        <v>7.0864455896676613E-4</v>
      </c>
    </row>
    <row r="75" spans="1:7" x14ac:dyDescent="0.25">
      <c r="A75">
        <v>64</v>
      </c>
      <c r="B75" s="8" t="n">
        <v>111.109208251</v>
      </c>
      <c r="C75" s="11">
        <f si="0" t="shared"/>
        <v>1.5565604091998572E-4</v>
      </c>
      <c r="E75" s="264">
        <v>64</v>
      </c>
      <c r="F75" s="354" t="n">
        <v>289.0</v>
      </c>
      <c r="G75" s="11">
        <f si="1" t="shared"/>
        <v>5.2017526136922195E-4</v>
      </c>
    </row>
    <row r="76" spans="1:7" x14ac:dyDescent="0.25">
      <c r="A76">
        <v>65</v>
      </c>
      <c r="B76" s="8" t="n">
        <v>77.4485081528</v>
      </c>
      <c r="C76" s="11">
        <f si="0" t="shared"/>
        <v>1.0849981152768753E-4</v>
      </c>
      <c r="E76" s="265">
        <v>65</v>
      </c>
      <c r="F76" s="355" t="n">
        <v>322.0</v>
      </c>
      <c r="G76" s="11">
        <f si="1" t="shared"/>
        <v>4.3423326166474176E-4</v>
      </c>
    </row>
    <row r="77" spans="1:7" x14ac:dyDescent="0.25">
      <c r="A77">
        <v>66</v>
      </c>
      <c r="B77" s="8" t="n">
        <v>4.59375</v>
      </c>
      <c r="C77" s="11">
        <f ref="C77:C102" si="2" t="shared">B77/B$102</f>
        <v>6.4355146547428382E-6</v>
      </c>
      <c r="E77" s="266">
        <v>66</v>
      </c>
      <c r="F77" s="356" t="n">
        <v>279.0</v>
      </c>
      <c r="G77" s="11">
        <f ref="G77:G102" si="3" t="shared">F77/F$102</f>
        <v>3.9352389338367222E-4</v>
      </c>
    </row>
    <row r="78" spans="1:7" x14ac:dyDescent="0.25">
      <c r="A78">
        <v>67</v>
      </c>
      <c r="B78" s="8" t="n">
        <v>5478.798556153</v>
      </c>
      <c r="C78" s="11">
        <f si="2" t="shared"/>
        <v>7.6754042772259126E-3</v>
      </c>
      <c r="E78" s="267">
        <v>67</v>
      </c>
      <c r="F78" s="357" t="n">
        <v>224.0</v>
      </c>
      <c r="G78" s="11">
        <f si="3" t="shared"/>
        <v>2.7591905168280464E-4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268">
        <v>68</v>
      </c>
      <c r="F79" s="358" t="n">
        <v>149.0</v>
      </c>
      <c r="G79" s="11">
        <f si="3" t="shared"/>
        <v>2.8647333234826716E-4</v>
      </c>
    </row>
    <row r="80" spans="1:7" x14ac:dyDescent="0.25">
      <c r="A80">
        <v>69</v>
      </c>
      <c r="B80" s="8" t="n">
        <v>1506.324996334</v>
      </c>
      <c r="C80" s="11">
        <f si="2" t="shared"/>
        <v>2.1102534070667556E-3</v>
      </c>
      <c r="E80" s="269">
        <v>69</v>
      </c>
      <c r="F80" s="359" t="n">
        <v>161.0</v>
      </c>
      <c r="G80" s="11">
        <f si="3" t="shared"/>
        <v>2.6084150787500111E-4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270">
        <v>70</v>
      </c>
      <c r="F81" s="360" t="n">
        <v>132.0</v>
      </c>
      <c r="G81" s="11">
        <f si="3" t="shared"/>
        <v>2.6988803415968325E-4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271">
        <v>71</v>
      </c>
      <c r="F82" s="361" t="n">
        <v>151.0</v>
      </c>
      <c r="G82" s="11">
        <f si="3" t="shared"/>
        <v>2.3822519216329583E-4</v>
      </c>
    </row>
    <row r="83" spans="1:7" x14ac:dyDescent="0.25">
      <c r="A83">
        <v>72</v>
      </c>
      <c r="B83" s="8" t="n">
        <v>618.016967959</v>
      </c>
      <c r="C83" s="11">
        <f si="2" t="shared"/>
        <v>8.6579749750854518E-4</v>
      </c>
      <c r="E83" s="272">
        <v>72</v>
      </c>
      <c r="F83" s="362" t="n">
        <v>116.0</v>
      </c>
      <c r="G83" s="11">
        <f si="3" t="shared"/>
        <v>1.9299256073988523E-4</v>
      </c>
    </row>
    <row r="84" spans="1:7" x14ac:dyDescent="0.25">
      <c r="A84">
        <v>73</v>
      </c>
      <c r="B84" s="8" t="n">
        <v>767.701778901</v>
      </c>
      <c r="C84" s="11">
        <f si="2" t="shared"/>
        <v>1.0754951942507824E-3</v>
      </c>
      <c r="E84" s="273">
        <v>73</v>
      </c>
      <c r="F84" s="363" t="n">
        <v>91.0</v>
      </c>
      <c r="G84" s="11">
        <f si="3" t="shared"/>
        <v>1.4926768369725497E-4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274">
        <v>74</v>
      </c>
      <c r="F85" s="364" t="n">
        <v>81.0</v>
      </c>
      <c r="G85" s="11">
        <f si="3" t="shared"/>
        <v>1.6736073626661923E-4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275">
        <v>75</v>
      </c>
      <c r="F86" s="365" t="n">
        <v>72.0</v>
      </c>
      <c r="G86" s="11">
        <f si="3" t="shared"/>
        <v>9.3480771608381904E-5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276">
        <v>76</v>
      </c>
      <c r="F87" s="366" t="n">
        <v>68.0</v>
      </c>
      <c r="G87" s="11">
        <f si="3" t="shared"/>
        <v>7.6895473419798021E-5</v>
      </c>
    </row>
    <row r="88" spans="1:7" x14ac:dyDescent="0.25">
      <c r="A88">
        <v>77</v>
      </c>
      <c r="B88" s="8" t="n">
        <v>103.884081167</v>
      </c>
      <c r="C88" s="11">
        <f si="2" t="shared"/>
        <v>1.4553415548184445E-4</v>
      </c>
      <c r="E88" s="277">
        <v>77</v>
      </c>
      <c r="F88" s="367" t="n">
        <v>55.0</v>
      </c>
      <c r="G88" s="11">
        <f si="3" t="shared"/>
        <v>8.5941999704480137E-5</v>
      </c>
    </row>
    <row r="89" spans="1:7" x14ac:dyDescent="0.25">
      <c r="A89">
        <v>78</v>
      </c>
      <c r="B89" s="8" t="n">
        <v>552.1879851022</v>
      </c>
      <c r="C89" s="11">
        <f si="2" t="shared"/>
        <v>7.7357580850027268E-4</v>
      </c>
      <c r="E89" s="278">
        <v>78</v>
      </c>
      <c r="F89" s="368" t="n">
        <v>35.0</v>
      </c>
      <c r="G89" s="11">
        <f si="3" t="shared"/>
        <v>9.8004034750722962E-5</v>
      </c>
    </row>
    <row r="90" spans="1:7" x14ac:dyDescent="0.25">
      <c r="A90">
        <v>79</v>
      </c>
      <c r="B90" s="8" t="n">
        <v>3617.977487135</v>
      </c>
      <c r="C90" s="11">
        <f si="2" t="shared"/>
        <v>5.0685272683509029E-3</v>
      </c>
      <c r="E90" s="279">
        <v>79</v>
      </c>
      <c r="F90" s="369" t="n">
        <v>55.0</v>
      </c>
      <c r="G90" s="11">
        <f si="3" t="shared"/>
        <v>7.3879964658237312E-5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280">
        <v>80</v>
      </c>
      <c r="F91" s="370" t="n">
        <v>35.0</v>
      </c>
      <c r="G91" s="11">
        <f si="3" t="shared"/>
        <v>7.2372210277456964E-5</v>
      </c>
    </row>
    <row r="92" spans="1:7" x14ac:dyDescent="0.25">
      <c r="A92">
        <v>81</v>
      </c>
      <c r="B92" s="8" t="n">
        <v>761.4660318990001</v>
      </c>
      <c r="C92" s="11">
        <f si="2" t="shared"/>
        <v>1.0667593594285479E-3</v>
      </c>
      <c r="E92" s="281">
        <v>81</v>
      </c>
      <c r="F92" s="371" t="n">
        <v>28.0</v>
      </c>
      <c r="G92" s="11">
        <f si="3" t="shared"/>
        <v>5.1263648946532017E-5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282">
        <v>82</v>
      </c>
      <c r="F93" s="372" t="n">
        <v>30.0</v>
      </c>
      <c r="G93" s="11">
        <f si="3" t="shared"/>
        <v>4.070936828106954E-5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283">
        <v>83</v>
      </c>
      <c r="F94" s="373" t="n">
        <v>31.0</v>
      </c>
      <c r="G94" s="11">
        <f si="3" t="shared"/>
        <v>3.3170596377167772E-5</v>
      </c>
    </row>
    <row r="95" spans="1:7" x14ac:dyDescent="0.25">
      <c r="A95">
        <v>84</v>
      </c>
      <c r="B95" s="8" t="n">
        <v>470.638625</v>
      </c>
      <c r="C95" s="11">
        <f si="2" t="shared"/>
        <v>6.5933099717562318E-4</v>
      </c>
      <c r="E95" s="284">
        <v>84</v>
      </c>
      <c r="F95" s="374" t="n">
        <v>18.0</v>
      </c>
      <c r="G95" s="11">
        <f si="3" t="shared"/>
        <v>3.1662841996387417E-5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285">
        <v>85</v>
      </c>
      <c r="F96" s="375" t="n">
        <v>15.0</v>
      </c>
      <c r="G96" s="11">
        <f si="3" t="shared"/>
        <v>3.4678350757948127E-5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286">
        <v>86</v>
      </c>
      <c r="F97" s="376" t="n">
        <v>14.0</v>
      </c>
      <c r="G97" s="11">
        <f si="3" t="shared"/>
        <v>6.0310175231214132E-5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287">
        <v>87</v>
      </c>
      <c r="F98" s="377" t="n">
        <v>9.0</v>
      </c>
      <c r="G98" s="11">
        <f si="3" t="shared"/>
        <v>2.4124070092485653E-5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288">
        <v>88</v>
      </c>
      <c r="F99" s="378" t="n">
        <v>11.0</v>
      </c>
      <c r="G99" s="11">
        <f si="3" t="shared"/>
        <v>3.3170596377167772E-5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289">
        <v>89</v>
      </c>
      <c r="F100" s="379" t="n">
        <v>9.0</v>
      </c>
      <c r="G100" s="11">
        <f si="3" t="shared"/>
        <v>1.0554280665462474E-5</v>
      </c>
    </row>
    <row ht="15.75" r="101" spans="1:7" thickBot="1" x14ac:dyDescent="0.3">
      <c r="A101" s="1">
        <v>90</v>
      </c>
      <c r="B101" s="9" t="n">
        <v>3181.9468036631</v>
      </c>
      <c r="C101" s="11">
        <f si="2" t="shared"/>
        <v>4.4576795179506962E-3</v>
      </c>
      <c r="E101" s="382">
        <v>90</v>
      </c>
      <c r="F101" s="382" t="n">
        <v>56.0</v>
      </c>
      <c r="G101" s="11">
        <f si="3" t="shared"/>
        <v>1.100660697969658E-4</v>
      </c>
    </row>
    <row r="102" spans="1:7" x14ac:dyDescent="0.25">
      <c r="B102" s="8">
        <f>SUM(B11:B101)</f>
        <v>713812.37499234092</v>
      </c>
      <c r="C102" s="11">
        <f si="2" t="shared"/>
        <v>1</v>
      </c>
      <c r="F102" s="8">
        <f>SUM(F11:F101)</f>
        <v>663238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F1" workbookViewId="0">
      <selection activeCell="AC29" sqref="AC29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6" bestFit="true" customWidth="true" width="10.7109375" collapsed="true"/>
    <col min="17" max="17" bestFit="true" customWidth="true" width="11.5703125" collapsed="true"/>
    <col min="18" max="18" bestFit="true" customWidth="true" width="10.7109375" collapsed="true"/>
    <col min="19" max="19" bestFit="true" customWidth="true" width="11.5703125" collapsed="true"/>
    <col min="20" max="20" bestFit="true" customWidth="true" width="9.28515625" collapsed="true"/>
    <col min="21" max="21" bestFit="true" customWidth="true" width="11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37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19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383" t="s">
        <v>248</v>
      </c>
      <c r="B7" s="12" t="n">
        <v>16958.7523226109</v>
      </c>
      <c r="C7" s="12" t="n">
        <v>1064.6801145748</v>
      </c>
      <c r="D7" s="12" t="n">
        <v>1316.8980800259</v>
      </c>
      <c r="E7" s="12" t="n">
        <v>781.901638796</v>
      </c>
      <c r="F7" s="12" t="n">
        <v>1306.229572005</v>
      </c>
      <c r="G7" s="12" t="n">
        <v>703.3970396990001</v>
      </c>
      <c r="H7" s="12" t="n">
        <v>2801.218170355</v>
      </c>
      <c r="I7" s="12"/>
      <c r="J7" s="12">
        <f>SUM(B7:I7)</f>
        <v>24933.076938066602</v>
      </c>
      <c r="K7" s="12"/>
      <c r="L7" t="str">
        <f>$A$7</f>
        <v>Bellevue</v>
      </c>
      <c r="M7" s="430" t="n">
        <v>12247.0</v>
      </c>
      <c r="N7" s="430" t="n">
        <v>2630.0</v>
      </c>
      <c r="O7" s="430" t="n">
        <v>1644.0</v>
      </c>
      <c r="P7" s="430" t="n">
        <v>2593.0</v>
      </c>
      <c r="Q7" s="430" t="n">
        <v>3051.0</v>
      </c>
      <c r="R7" s="430" t="n">
        <v>814.0</v>
      </c>
      <c r="S7" s="430" t="n">
        <v>3349.0</v>
      </c>
      <c r="T7" s="430"/>
      <c r="U7" s="431">
        <f>SUM(M7:T7)</f>
        <v>26250</v>
      </c>
    </row>
    <row r="8" spans="1:21" x14ac:dyDescent="0.25">
      <c r="A8" t="s">
        <v>249</v>
      </c>
      <c r="B8" s="12" t="n">
        <v>131.494048378</v>
      </c>
      <c r="C8" s="12" t="n">
        <v>354.2747928245</v>
      </c>
      <c r="D8" s="12" t="n">
        <v>0.0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ref="J8:J14" si="0" t="shared">SUM(B8:I8)</f>
        <v>485.76884120250003</v>
      </c>
      <c r="K8" s="12"/>
      <c r="L8" t="str">
        <f>$A$8</f>
        <v>Bellevue Downtown</v>
      </c>
      <c r="M8" s="430" t="n">
        <v>680.0</v>
      </c>
      <c r="N8" s="430" t="n">
        <v>759.0</v>
      </c>
      <c r="O8" s="430" t="n">
        <v>100.0</v>
      </c>
      <c r="P8" s="430" t="n">
        <v>56.0</v>
      </c>
      <c r="Q8" s="430" t="n">
        <v>135.0</v>
      </c>
      <c r="R8" s="430" t="n">
        <v>29.0</v>
      </c>
      <c r="S8" s="430" t="n">
        <v>102.0</v>
      </c>
      <c r="T8" s="430"/>
      <c r="U8" s="431">
        <f ref="U8:U14" si="1" t="shared">SUM(M8:T8)</f>
        <v>1856</v>
      </c>
    </row>
    <row r="9" spans="1:21" x14ac:dyDescent="0.25">
      <c r="A9" t="s">
        <v>250</v>
      </c>
      <c r="B9" s="12" t="n">
        <v>0.0</v>
      </c>
      <c r="C9" s="12" t="n">
        <v>191.153539079</v>
      </c>
      <c r="D9" s="12" t="n">
        <v>22512.264472701</v>
      </c>
      <c r="E9" s="12" t="n">
        <v>2951.87033819</v>
      </c>
      <c r="F9" s="12" t="n">
        <v>707.178626424</v>
      </c>
      <c r="G9" s="12" t="n">
        <v>529.272159155</v>
      </c>
      <c r="H9" s="12" t="n">
        <v>3478.001713329</v>
      </c>
      <c r="I9" s="12"/>
      <c r="J9" s="12">
        <f si="0" t="shared"/>
        <v>30369.740848878002</v>
      </c>
      <c r="K9" s="13"/>
      <c r="L9" t="str">
        <f>$A$9</f>
        <v>Kirkland</v>
      </c>
      <c r="M9" s="430" t="n">
        <v>2010.0</v>
      </c>
      <c r="N9" s="430" t="n">
        <v>658.0</v>
      </c>
      <c r="O9" s="430" t="n">
        <v>10884.0</v>
      </c>
      <c r="P9" s="430" t="n">
        <v>2444.0</v>
      </c>
      <c r="Q9" s="430" t="n">
        <v>3330.0</v>
      </c>
      <c r="R9" s="430" t="n">
        <v>496.0</v>
      </c>
      <c r="S9" s="430" t="n">
        <v>3242.0</v>
      </c>
      <c r="T9" s="430"/>
      <c r="U9" s="431">
        <f si="1" t="shared"/>
        <v>23050</v>
      </c>
    </row>
    <row r="10" spans="1:21" x14ac:dyDescent="0.25">
      <c r="A10" t="s">
        <v>251</v>
      </c>
      <c r="B10" s="12" t="n">
        <v>609.158998074</v>
      </c>
      <c r="C10" s="12" t="n">
        <v>260.124522619</v>
      </c>
      <c r="D10" s="12" t="n">
        <v>5974.811841592</v>
      </c>
      <c r="E10" s="12" t="n">
        <v>13997.361400411999</v>
      </c>
      <c r="F10" s="12" t="n">
        <v>2700.348496165</v>
      </c>
      <c r="G10" s="12" t="n">
        <v>0.0</v>
      </c>
      <c r="H10" s="12" t="n">
        <v>1017.747610799</v>
      </c>
      <c r="I10" s="12"/>
      <c r="J10" s="12">
        <f si="0" t="shared"/>
        <v>24559.552869660998</v>
      </c>
      <c r="K10" s="13"/>
      <c r="L10" t="str">
        <f>$A$10</f>
        <v>Redmond</v>
      </c>
      <c r="M10" s="430" t="n">
        <v>2850.0</v>
      </c>
      <c r="N10" s="430" t="n">
        <v>541.0</v>
      </c>
      <c r="O10" s="430" t="n">
        <v>3094.0</v>
      </c>
      <c r="P10" s="430" t="n">
        <v>7297.0</v>
      </c>
      <c r="Q10" s="430" t="n">
        <v>1687.0</v>
      </c>
      <c r="R10" s="430" t="n">
        <v>290.0</v>
      </c>
      <c r="S10" s="430" t="n">
        <v>2569.0</v>
      </c>
      <c r="T10" s="430"/>
      <c r="U10" s="431">
        <f si="1" t="shared"/>
        <v>18316</v>
      </c>
    </row>
    <row r="11" spans="1:21" x14ac:dyDescent="0.25">
      <c r="A11" t="s">
        <v>247</v>
      </c>
      <c r="B11" s="12" t="n">
        <v>1692.676880788</v>
      </c>
      <c r="C11" s="12" t="n">
        <v>63.528726944</v>
      </c>
      <c r="D11" s="12" t="n">
        <v>160.016879313</v>
      </c>
      <c r="E11" s="12" t="n">
        <v>9.4775</v>
      </c>
      <c r="F11" s="12" t="n">
        <v>88217.5662422081</v>
      </c>
      <c r="G11" s="12" t="n">
        <v>13915.1218176164</v>
      </c>
      <c r="H11" s="12" t="n">
        <v>6127.6922476265</v>
      </c>
      <c r="I11" s="12"/>
      <c r="J11" s="12">
        <f si="0" t="shared"/>
        <v>110186.08029449599</v>
      </c>
      <c r="K11" s="13"/>
      <c r="L11" t="str">
        <f>$A$11</f>
        <v>Seattle</v>
      </c>
      <c r="M11" s="430" t="n">
        <v>2209.0</v>
      </c>
      <c r="N11" s="430" t="n">
        <v>637.0</v>
      </c>
      <c r="O11" s="430" t="n">
        <v>2211.0</v>
      </c>
      <c r="P11" s="430" t="n">
        <v>870.0</v>
      </c>
      <c r="Q11" s="430" t="n">
        <v>79972.0</v>
      </c>
      <c r="R11" s="430" t="n">
        <v>9153.0</v>
      </c>
      <c r="S11" s="430" t="n">
        <v>11120.0</v>
      </c>
      <c r="T11" s="430"/>
      <c r="U11" s="431">
        <f si="1" t="shared"/>
        <v>106097</v>
      </c>
    </row>
    <row r="12" spans="1:21" x14ac:dyDescent="0.25">
      <c r="A12" t="s">
        <v>252</v>
      </c>
      <c r="B12" s="12" t="n">
        <v>57.5148662035</v>
      </c>
      <c r="C12" s="12" t="n">
        <v>0.0</v>
      </c>
      <c r="D12" s="12" t="n">
        <v>0.0</v>
      </c>
      <c r="E12" s="12" t="n">
        <v>0.0</v>
      </c>
      <c r="F12" s="12" t="n">
        <v>4316.5827853598</v>
      </c>
      <c r="G12" s="12" t="n">
        <v>5541.7068748445</v>
      </c>
      <c r="H12" s="12" t="n">
        <v>771.7855595547001</v>
      </c>
      <c r="I12" s="12"/>
      <c r="J12" s="12">
        <f si="0" t="shared"/>
        <v>10687.5900859625</v>
      </c>
      <c r="K12" s="13"/>
      <c r="L12" t="str">
        <f>$A$12</f>
        <v>Seattle Downtown</v>
      </c>
      <c r="M12" s="430" t="n">
        <v>185.0</v>
      </c>
      <c r="N12" s="430" t="n">
        <v>48.0</v>
      </c>
      <c r="O12" s="430" t="n">
        <v>79.0</v>
      </c>
      <c r="P12" s="430" t="n">
        <v>51.0</v>
      </c>
      <c r="Q12" s="430" t="n">
        <v>3025.0</v>
      </c>
      <c r="R12" s="430" t="n">
        <v>6785.0</v>
      </c>
      <c r="S12" s="430" t="n">
        <v>421.0</v>
      </c>
      <c r="T12" s="430"/>
      <c r="U12" s="431">
        <f si="1" t="shared"/>
        <v>10630</v>
      </c>
    </row>
    <row r="13" spans="1:21" x14ac:dyDescent="0.25">
      <c r="A13" t="s">
        <v>253</v>
      </c>
      <c r="B13" s="12" t="n">
        <v>8122.870363239</v>
      </c>
      <c r="C13" s="12" t="n">
        <v>3138.15946386</v>
      </c>
      <c r="D13" s="12" t="n">
        <v>10022.891088588</v>
      </c>
      <c r="E13" s="12" t="n">
        <v>2645.91822705</v>
      </c>
      <c r="F13" s="12" t="n">
        <v>15413.2145940696</v>
      </c>
      <c r="G13" s="12" t="n">
        <v>10252.1123914386</v>
      </c>
      <c r="H13" s="12" t="n">
        <v>467326.12922187</v>
      </c>
      <c r="I13" s="12"/>
      <c r="J13" s="12">
        <f si="0" t="shared"/>
        <v>516921.29535011516</v>
      </c>
      <c r="K13" s="13"/>
      <c r="L13" t="str">
        <f>$A$13</f>
        <v>Rest</v>
      </c>
      <c r="M13" s="430" t="n">
        <v>10911.0</v>
      </c>
      <c r="N13" s="430" t="n">
        <v>2458.0</v>
      </c>
      <c r="O13" s="430" t="n">
        <v>8928.0</v>
      </c>
      <c r="P13" s="430" t="n">
        <v>6842.0</v>
      </c>
      <c r="Q13" s="430" t="n">
        <v>30470.0</v>
      </c>
      <c r="R13" s="430" t="n">
        <v>5460.0</v>
      </c>
      <c r="S13" s="430" t="n">
        <v>411040.0</v>
      </c>
      <c r="T13" s="430"/>
      <c r="U13" s="431">
        <f si="1" t="shared"/>
        <v>474165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15" t="s">
        <v>13</v>
      </c>
      <c r="M14" s="432"/>
      <c r="N14" s="432"/>
      <c r="O14" s="432"/>
      <c r="P14" s="432"/>
      <c r="Q14" s="432"/>
      <c r="R14" s="432"/>
      <c r="S14" s="432"/>
      <c r="T14" s="432"/>
      <c r="U14" s="432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27572.467479293398</v>
      </c>
      <c r="C15" s="16">
        <f si="2" t="shared"/>
        <v>5071.9211599012997</v>
      </c>
      <c r="D15" s="16">
        <f si="2" t="shared"/>
        <v>39986.882362219898</v>
      </c>
      <c r="E15" s="16">
        <f si="2" t="shared"/>
        <v>20386.529104448</v>
      </c>
      <c r="F15" s="16">
        <f si="2" t="shared"/>
        <v>112661.12031623151</v>
      </c>
      <c r="G15" s="16">
        <f si="2" t="shared"/>
        <v>30941.610282753503</v>
      </c>
      <c r="H15" s="16">
        <f si="2" t="shared"/>
        <v>481522.57452353416</v>
      </c>
      <c r="I15" s="16">
        <f si="2" t="shared"/>
        <v>0</v>
      </c>
      <c r="J15" s="16">
        <f si="2" t="shared"/>
        <v>718143.1052283817</v>
      </c>
      <c r="K15" s="12"/>
      <c r="L15" s="16" t="s">
        <v>4</v>
      </c>
      <c r="M15" s="433">
        <f ref="M15:U15" si="3" t="shared">SUM(M7:M14)</f>
        <v>31335</v>
      </c>
      <c r="N15" s="433">
        <f si="3" t="shared"/>
        <v>6495</v>
      </c>
      <c r="O15" s="433">
        <f si="3" t="shared"/>
        <v>26397</v>
      </c>
      <c r="P15" s="433">
        <f si="3" t="shared"/>
        <v>17943</v>
      </c>
      <c r="Q15" s="433">
        <f si="3" t="shared"/>
        <v>122817</v>
      </c>
      <c r="R15" s="433">
        <f si="3" t="shared"/>
        <v>23395</v>
      </c>
      <c r="S15" s="433">
        <f si="3" t="shared"/>
        <v>431982</v>
      </c>
      <c r="T15" s="433">
        <f si="3" t="shared"/>
        <v>0</v>
      </c>
      <c r="U15" s="433">
        <f si="3" t="shared"/>
        <v>660364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19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17854.485010988621</v>
      </c>
      <c r="C20" s="12">
        <f si="4" t="shared"/>
        <v>1120.9147221183555</v>
      </c>
      <c r="D20" s="12">
        <f si="4" t="shared"/>
        <v>1386.4544150145493</v>
      </c>
      <c r="E20" s="12">
        <f si="4" t="shared"/>
        <v>823.20036429433071</v>
      </c>
      <c r="F20" s="12">
        <f si="4" t="shared"/>
        <v>1375.2224143976873</v>
      </c>
      <c r="G20" s="12">
        <f si="4" t="shared"/>
        <v>740.54928470976472</v>
      </c>
      <c r="H20" s="12">
        <f ref="H20" si="5" t="shared">($U7/$J7)*H7</f>
        <v>2949.1737884766935</v>
      </c>
      <c r="I20" s="12"/>
      <c r="J20" s="12">
        <f>SUM(B20:I20)</f>
        <v>26250</v>
      </c>
      <c r="K20" s="12"/>
      <c r="L20" t="str">
        <f>$A$7</f>
        <v>Bellevue</v>
      </c>
      <c r="M20" s="12">
        <f>M7</f>
        <v>12620</v>
      </c>
      <c r="N20" s="12">
        <f ref="N20:U20" si="6" t="shared">N7</f>
        <v>2265</v>
      </c>
      <c r="O20" s="12">
        <f si="6" t="shared"/>
        <v>1677</v>
      </c>
      <c r="P20" s="12">
        <f si="6" t="shared"/>
        <v>1960</v>
      </c>
      <c r="Q20" s="12">
        <f si="6" t="shared"/>
        <v>3244</v>
      </c>
      <c r="R20" s="12">
        <f si="6" t="shared"/>
        <v>919</v>
      </c>
      <c r="S20" s="12">
        <f si="6" t="shared"/>
        <v>3565</v>
      </c>
      <c r="T20" s="12"/>
      <c r="U20" s="12">
        <f si="6" t="shared"/>
        <v>26250</v>
      </c>
    </row>
    <row r="21" spans="1:32" x14ac:dyDescent="0.25">
      <c r="A21" t="str">
        <f>$A$8</f>
        <v>Bellevue Downtown</v>
      </c>
      <c r="B21" s="12">
        <f ref="B21:G26" si="7" t="shared">($U8/$J8)*B8</f>
        <v>502.40553343319704</v>
      </c>
      <c r="C21" s="12">
        <f si="7" t="shared"/>
        <v>1353.594466566803</v>
      </c>
      <c r="D21" s="12">
        <f si="7" t="shared"/>
        <v>0</v>
      </c>
      <c r="E21" s="12">
        <f si="7" t="shared"/>
        <v>0</v>
      </c>
      <c r="F21" s="12">
        <f si="7" t="shared"/>
        <v>0</v>
      </c>
      <c r="G21" s="12">
        <f si="7" t="shared"/>
        <v>0</v>
      </c>
      <c r="H21" s="12">
        <f ref="H21" si="8" t="shared">($U8/$J8)*H8</f>
        <v>0</v>
      </c>
      <c r="I21" s="12"/>
      <c r="J21" s="12">
        <f ref="J21:J27" si="9" t="shared">SUM(B21:I21)</f>
        <v>1856</v>
      </c>
      <c r="K21" s="12"/>
      <c r="L21" t="str">
        <f>$A$8</f>
        <v>Bellevue Downtown</v>
      </c>
      <c r="M21" s="12">
        <f ref="M21:U21" si="10" t="shared">M8</f>
        <v>735</v>
      </c>
      <c r="N21" s="12">
        <f si="10" t="shared"/>
        <v>651</v>
      </c>
      <c r="O21" s="12">
        <f si="10" t="shared"/>
        <v>111</v>
      </c>
      <c r="P21" s="12">
        <f si="10" t="shared"/>
        <v>41</v>
      </c>
      <c r="Q21" s="12">
        <f si="10" t="shared"/>
        <v>164</v>
      </c>
      <c r="R21" s="12">
        <f si="10" t="shared"/>
        <v>42</v>
      </c>
      <c r="S21" s="12">
        <f si="10" t="shared"/>
        <v>112</v>
      </c>
      <c r="T21" s="12"/>
      <c r="U21" s="12">
        <f si="10" t="shared"/>
        <v>1856</v>
      </c>
    </row>
    <row r="22" spans="1:32" x14ac:dyDescent="0.25">
      <c r="A22" t="str">
        <f>$A$9</f>
        <v>Kirkland</v>
      </c>
      <c r="B22" s="12">
        <f si="7" t="shared"/>
        <v>0</v>
      </c>
      <c r="C22" s="12">
        <f si="7" t="shared"/>
        <v>145.08155001045165</v>
      </c>
      <c r="D22" s="12">
        <f si="7" t="shared"/>
        <v>17086.339283495363</v>
      </c>
      <c r="E22" s="12">
        <f si="7" t="shared"/>
        <v>2240.4080309362676</v>
      </c>
      <c r="F22" s="12">
        <f si="7" t="shared"/>
        <v>536.73383056462308</v>
      </c>
      <c r="G22" s="12">
        <f si="7" t="shared"/>
        <v>401.70653181498795</v>
      </c>
      <c r="H22" s="12">
        <f ref="H22" si="11" t="shared">($U9/$J9)*H9</f>
        <v>2639.7307731783035</v>
      </c>
      <c r="I22" s="12"/>
      <c r="J22" s="12">
        <f si="9" t="shared"/>
        <v>23049.999999999996</v>
      </c>
      <c r="K22" s="13"/>
      <c r="L22" t="str">
        <f>$A$9</f>
        <v>Kirkland</v>
      </c>
      <c r="M22" s="12">
        <f ref="M22:U22" si="12" t="shared">M9</f>
        <v>2069</v>
      </c>
      <c r="N22" s="12">
        <f si="12" t="shared"/>
        <v>588</v>
      </c>
      <c r="O22" s="12">
        <f si="12" t="shared"/>
        <v>10957</v>
      </c>
      <c r="P22" s="12">
        <f si="12" t="shared"/>
        <v>2006</v>
      </c>
      <c r="Q22" s="12">
        <f si="12" t="shared"/>
        <v>3549</v>
      </c>
      <c r="R22" s="12">
        <f si="12" t="shared"/>
        <v>493</v>
      </c>
      <c r="S22" s="12">
        <f si="12" t="shared"/>
        <v>3388</v>
      </c>
      <c r="T22" s="12"/>
      <c r="U22" s="12">
        <f si="12" t="shared"/>
        <v>23050</v>
      </c>
    </row>
    <row r="23" spans="1:32" x14ac:dyDescent="0.25">
      <c r="A23" t="str">
        <f>$A$10</f>
        <v>Redmond</v>
      </c>
      <c r="B23" s="12">
        <f si="7" t="shared"/>
        <v>454.29801869505258</v>
      </c>
      <c r="C23" s="12">
        <f si="7" t="shared"/>
        <v>193.99541928042311</v>
      </c>
      <c r="D23" s="12">
        <f si="7" t="shared"/>
        <v>4455.8894973119113</v>
      </c>
      <c r="E23" s="12">
        <f si="7" t="shared"/>
        <v>10438.938883396902</v>
      </c>
      <c r="F23" s="12">
        <f si="7" t="shared"/>
        <v>2013.8633353075716</v>
      </c>
      <c r="G23" s="12">
        <f si="7" t="shared"/>
        <v>0</v>
      </c>
      <c r="H23" s="12">
        <f ref="H23" si="13" t="shared">($U10/$J10)*H10</f>
        <v>759.01484600813865</v>
      </c>
      <c r="I23" s="12"/>
      <c r="J23" s="12">
        <f>SUM(B23:I23)</f>
        <v>18316</v>
      </c>
      <c r="K23" s="13"/>
      <c r="L23" t="str">
        <f>$A$10</f>
        <v>Redmond</v>
      </c>
      <c r="M23" s="12">
        <f ref="M23:S23" si="14" t="shared">M10</f>
        <v>2960</v>
      </c>
      <c r="N23" s="12">
        <f si="14" t="shared"/>
        <v>452</v>
      </c>
      <c r="O23" s="12">
        <f si="14" t="shared"/>
        <v>3212</v>
      </c>
      <c r="P23" s="12">
        <f si="14" t="shared"/>
        <v>6895</v>
      </c>
      <c r="Q23" s="12">
        <f si="14" t="shared"/>
        <v>1796</v>
      </c>
      <c r="R23" s="12">
        <f si="14" t="shared"/>
        <v>339</v>
      </c>
      <c r="S23" s="12">
        <f si="14" t="shared"/>
        <v>2662</v>
      </c>
      <c r="T23" s="12"/>
      <c r="U23" s="12">
        <f ref="U23" si="15" t="shared">U10</f>
        <v>18316</v>
      </c>
    </row>
    <row r="24" spans="1:32" x14ac:dyDescent="0.25">
      <c r="A24" t="str">
        <f>$A$11</f>
        <v>Seattle</v>
      </c>
      <c r="B24" s="12">
        <f si="7" t="shared"/>
        <v>1629.8604918241674</v>
      </c>
      <c r="C24" s="12">
        <f si="7" t="shared"/>
        <v>61.171132728951918</v>
      </c>
      <c r="D24" s="12">
        <f si="7" t="shared"/>
        <v>154.07854421444023</v>
      </c>
      <c r="E24" s="12">
        <f si="7" t="shared"/>
        <v>9.1257835364729676</v>
      </c>
      <c r="F24" s="12">
        <f si="7" t="shared"/>
        <v>84943.752428473337</v>
      </c>
      <c r="G24" s="12">
        <f si="7" t="shared"/>
        <v>13398.722193745138</v>
      </c>
      <c r="H24" s="12">
        <f ref="H24" si="16" t="shared">($U11/$J11)*H11</f>
        <v>5900.2894254774938</v>
      </c>
      <c r="I24" s="12"/>
      <c r="J24" s="12">
        <f si="9" t="shared"/>
        <v>106097</v>
      </c>
      <c r="K24" s="13"/>
      <c r="L24" t="str">
        <f>$A$11</f>
        <v>Seattle</v>
      </c>
      <c r="M24" s="12">
        <f ref="M24:S24" si="17" t="shared">M11</f>
        <v>2176</v>
      </c>
      <c r="N24" s="12">
        <f si="17" t="shared"/>
        <v>576</v>
      </c>
      <c r="O24" s="12">
        <f si="17" t="shared"/>
        <v>2124</v>
      </c>
      <c r="P24" s="12">
        <f si="17" t="shared"/>
        <v>755</v>
      </c>
      <c r="Q24" s="12">
        <f si="17" t="shared"/>
        <v>80438</v>
      </c>
      <c r="R24" s="12">
        <f si="17" t="shared"/>
        <v>9083</v>
      </c>
      <c r="S24" s="12">
        <f si="17" t="shared"/>
        <v>10945</v>
      </c>
      <c r="T24" s="12"/>
      <c r="U24" s="12">
        <f ref="U24" si="18" t="shared">U11</f>
        <v>106097</v>
      </c>
    </row>
    <row r="25" spans="1:32" x14ac:dyDescent="0.25">
      <c r="A25" t="str">
        <f>$A$12</f>
        <v>Seattle Downtown</v>
      </c>
      <c r="B25" s="12">
        <f si="7" t="shared"/>
        <v>57.204947310453029</v>
      </c>
      <c r="C25" s="12">
        <f si="7" t="shared"/>
        <v>0</v>
      </c>
      <c r="D25" s="12">
        <f si="7" t="shared"/>
        <v>0</v>
      </c>
      <c r="E25" s="12">
        <f si="7" t="shared"/>
        <v>0</v>
      </c>
      <c r="F25" s="12">
        <f si="7" t="shared"/>
        <v>4293.3228762807994</v>
      </c>
      <c r="G25" s="12">
        <f si="7" t="shared"/>
        <v>5511.8453838316236</v>
      </c>
      <c r="H25" s="12">
        <f ref="H25" si="19" t="shared">($U12/$J12)*H12</f>
        <v>767.62679257712387</v>
      </c>
      <c r="I25" s="12"/>
      <c r="J25" s="12">
        <f si="9" t="shared"/>
        <v>10630</v>
      </c>
      <c r="K25" s="13"/>
      <c r="L25" t="str">
        <f>$A$12</f>
        <v>Seattle Downtown</v>
      </c>
      <c r="M25" s="12">
        <f ref="M25:S26" si="20" t="shared">M12</f>
        <v>183</v>
      </c>
      <c r="N25" s="12">
        <f si="20" t="shared"/>
        <v>39</v>
      </c>
      <c r="O25" s="12">
        <f si="20" t="shared"/>
        <v>52</v>
      </c>
      <c r="P25" s="12">
        <f si="20" t="shared"/>
        <v>47</v>
      </c>
      <c r="Q25" s="12">
        <f si="20" t="shared"/>
        <v>3082</v>
      </c>
      <c r="R25" s="12">
        <f si="20" t="shared"/>
        <v>6783</v>
      </c>
      <c r="S25" s="12">
        <f si="20" t="shared"/>
        <v>444</v>
      </c>
      <c r="T25" s="12"/>
      <c r="U25" s="12">
        <f ref="U25:U26" si="21" t="shared">U12</f>
        <v>10630</v>
      </c>
    </row>
    <row r="26" spans="1:32" x14ac:dyDescent="0.25">
      <c r="A26" t="str">
        <f>$A$13</f>
        <v>Rest</v>
      </c>
      <c r="B26" s="12">
        <f si="7" t="shared"/>
        <v>7451.0004916251555</v>
      </c>
      <c r="C26" s="12">
        <f si="7" t="shared"/>
        <v>2878.5917615820763</v>
      </c>
      <c r="D26" s="12">
        <f si="7" t="shared"/>
        <v>9193.8641254882277</v>
      </c>
      <c r="E26" s="12">
        <f si="7" t="shared"/>
        <v>2427.0654496433754</v>
      </c>
      <c r="F26" s="12">
        <f si="7" t="shared"/>
        <v>14138.335881571615</v>
      </c>
      <c r="G26" s="12">
        <f si="7" t="shared"/>
        <v>9404.1257650141051</v>
      </c>
      <c r="H26" s="12">
        <f ref="H26" si="22" t="shared">($U13/$J13)*H13</f>
        <v>428672.01652507542</v>
      </c>
      <c r="I26" s="12"/>
      <c r="J26" s="12">
        <f si="9" t="shared"/>
        <v>474165</v>
      </c>
      <c r="K26" s="13"/>
      <c r="L26" t="str">
        <f>$A$13</f>
        <v>Rest</v>
      </c>
      <c r="M26" s="12">
        <f si="20" t="shared"/>
        <v>10592</v>
      </c>
      <c r="N26" s="12">
        <f si="20" t="shared"/>
        <v>1924</v>
      </c>
      <c r="O26" s="12">
        <f si="20" t="shared"/>
        <v>8264</v>
      </c>
      <c r="P26" s="12">
        <f si="20" t="shared"/>
        <v>6239</v>
      </c>
      <c r="Q26" s="12">
        <f si="20" t="shared"/>
        <v>30544</v>
      </c>
      <c r="R26" s="12">
        <f si="20" t="shared"/>
        <v>5736</v>
      </c>
      <c r="S26" s="12">
        <f si="20" t="shared"/>
        <v>410866</v>
      </c>
      <c r="T26" s="12"/>
      <c r="U26" s="12">
        <f si="21" t="shared"/>
        <v>474165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si="9" t="shared"/>
        <v>0</v>
      </c>
      <c r="K27" s="12"/>
      <c r="L27" s="15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6">
        <f ref="B28:J28" si="23" t="shared">SUM(B20:B27)</f>
        <v>27949.254493876648</v>
      </c>
      <c r="C28" s="16">
        <f si="23" t="shared"/>
        <v>5753.3490522870616</v>
      </c>
      <c r="D28" s="16">
        <f si="23" t="shared"/>
        <v>32276.625865524493</v>
      </c>
      <c r="E28" s="16">
        <f si="23" t="shared"/>
        <v>15938.738511807347</v>
      </c>
      <c r="F28" s="16">
        <f si="23" t="shared"/>
        <v>107301.23076659563</v>
      </c>
      <c r="G28" s="16">
        <f si="23" t="shared"/>
        <v>29456.949159115618</v>
      </c>
      <c r="H28" s="16">
        <f si="23" t="shared"/>
        <v>441687.85215079319</v>
      </c>
      <c r="I28" s="16">
        <f si="23" t="shared"/>
        <v>0</v>
      </c>
      <c r="J28" s="16">
        <f si="23" t="shared"/>
        <v>660364</v>
      </c>
      <c r="K28" s="12"/>
      <c r="L28" s="16" t="s">
        <v>4</v>
      </c>
      <c r="M28" s="16">
        <f ref="M28:U28" si="24" t="shared">M15</f>
        <v>31335</v>
      </c>
      <c r="N28" s="16">
        <f si="24" t="shared"/>
        <v>6495</v>
      </c>
      <c r="O28" s="16">
        <f si="24" t="shared"/>
        <v>26397</v>
      </c>
      <c r="P28" s="16">
        <f si="24" t="shared"/>
        <v>17943</v>
      </c>
      <c r="Q28" s="16">
        <f si="24" t="shared"/>
        <v>122817</v>
      </c>
      <c r="R28" s="16">
        <f si="24" t="shared"/>
        <v>23395</v>
      </c>
      <c r="S28" s="16">
        <f si="24" t="shared"/>
        <v>431982</v>
      </c>
      <c r="T28" s="16"/>
      <c r="U28" s="16">
        <f si="24" t="shared"/>
        <v>660364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19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19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7">
        <f ref="B33:G33" si="25" t="shared">B20/$J$28</f>
        <v>2.7037338514801869E-2</v>
      </c>
      <c r="C33" s="17">
        <f si="25" t="shared"/>
        <v>1.6974194870077041E-3</v>
      </c>
      <c r="D33" s="17">
        <f si="25" t="shared"/>
        <v>2.0995305846692874E-3</v>
      </c>
      <c r="E33" s="17">
        <f si="25" t="shared"/>
        <v>1.2465857682949567E-3</v>
      </c>
      <c r="F33" s="17">
        <f si="25" t="shared"/>
        <v>2.0825217825285558E-3</v>
      </c>
      <c r="G33" s="17">
        <f si="25" t="shared"/>
        <v>1.1214258874041661E-3</v>
      </c>
      <c r="H33" s="17">
        <f ref="H33" si="26" t="shared">H20/$J$28</f>
        <v>4.4659820772735845E-3</v>
      </c>
      <c r="I33" s="12"/>
      <c r="J33" s="17">
        <f ref="J33:J39" si="27" t="shared">J20/$J$28</f>
        <v>3.9750804101980119E-2</v>
      </c>
      <c r="K33" s="12"/>
      <c r="L33" t="str">
        <f>$A$7</f>
        <v>Bellevue</v>
      </c>
      <c r="M33" s="17">
        <f ref="M33:R33" si="28" t="shared">M20/$U$28</f>
        <v>1.9110672295885301E-2</v>
      </c>
      <c r="N33" s="17">
        <f si="28" t="shared"/>
        <v>3.429926525370856E-3</v>
      </c>
      <c r="O33" s="17">
        <f si="28" t="shared"/>
        <v>2.5395085134865014E-3</v>
      </c>
      <c r="P33" s="17">
        <f si="28" t="shared"/>
        <v>2.9680600396145155E-3</v>
      </c>
      <c r="Q33" s="17">
        <f si="28" t="shared"/>
        <v>4.9124422288313718E-3</v>
      </c>
      <c r="R33" s="17">
        <f si="28" t="shared"/>
        <v>1.3916567226559897E-3</v>
      </c>
      <c r="S33" s="17">
        <f ref="S33" si="29" t="shared">S20/$U$28</f>
        <v>5.3985377761355856E-3</v>
      </c>
      <c r="T33" s="17"/>
      <c r="U33" s="17">
        <f>U20/$U$28</f>
        <v>3.9750804101980119E-2</v>
      </c>
      <c r="W33" t="str">
        <f>$A$7</f>
        <v>Bellevue</v>
      </c>
      <c r="X33" s="17">
        <f>M33-B33</f>
        <v>-7.9266662189165678E-3</v>
      </c>
      <c r="Y33" s="17">
        <f ref="Y33:Y35" si="30" t="shared">N33-C33</f>
        <v>1.7325070383631519E-3</v>
      </c>
      <c r="Z33" s="17">
        <f ref="Z33:Z35" si="31" t="shared">O33-D33</f>
        <v>4.3997792881721393E-4</v>
      </c>
      <c r="AA33" s="17">
        <f ref="AA33" si="32" t="shared">P33-E33</f>
        <v>1.7214742713195588E-3</v>
      </c>
      <c r="AB33" s="17">
        <f ref="AB33" si="33" t="shared">Q33-F33</f>
        <v>2.829920446302816E-3</v>
      </c>
      <c r="AC33" s="17">
        <f ref="AC33:AD33" si="34" t="shared">R33-G33</f>
        <v>2.7023083525182364E-4</v>
      </c>
      <c r="AD33" s="17">
        <f si="34" t="shared"/>
        <v>9.325556988620011E-4</v>
      </c>
      <c r="AE33" s="17"/>
      <c r="AF33" s="17">
        <f ref="AF33:AF39" si="35" t="shared">U33-J33</f>
        <v>0</v>
      </c>
    </row>
    <row r="34" spans="1:32" x14ac:dyDescent="0.25">
      <c r="A34" t="str">
        <f>$A$8</f>
        <v>Bellevue Downtown</v>
      </c>
      <c r="B34" s="17">
        <f ref="B34:G39" si="36" t="shared">B21/$J$28</f>
        <v>7.6080091197157482E-4</v>
      </c>
      <c r="C34" s="17">
        <f si="36" t="shared"/>
        <v>2.0497702275817627E-3</v>
      </c>
      <c r="D34" s="17">
        <f si="36" t="shared"/>
        <v>0</v>
      </c>
      <c r="E34" s="17">
        <f si="36" t="shared"/>
        <v>0</v>
      </c>
      <c r="F34" s="17">
        <f si="36" t="shared"/>
        <v>0</v>
      </c>
      <c r="G34" s="17">
        <f si="36" t="shared"/>
        <v>0</v>
      </c>
      <c r="H34" s="17">
        <f ref="H34" si="37" t="shared">H21/$J$28</f>
        <v>0</v>
      </c>
      <c r="I34" s="12"/>
      <c r="J34" s="17">
        <f si="27" t="shared"/>
        <v>2.8105711395533372E-3</v>
      </c>
      <c r="K34" s="12"/>
      <c r="L34" t="str">
        <f>$A$8</f>
        <v>Bellevue Downtown</v>
      </c>
      <c r="M34" s="17">
        <f ref="M34:R36" si="38" t="shared">M21/$U$28</f>
        <v>1.1130225148554434E-3</v>
      </c>
      <c r="N34" s="17">
        <f si="38" t="shared"/>
        <v>9.85819941729107E-4</v>
      </c>
      <c r="O34" s="17">
        <f si="38" t="shared"/>
        <v>1.6808911448837308E-4</v>
      </c>
      <c r="P34" s="17">
        <f si="38" t="shared"/>
        <v>6.2086970216426095E-5</v>
      </c>
      <c r="Q34" s="17">
        <f si="38" t="shared"/>
        <v>2.4834788086570438E-4</v>
      </c>
      <c r="R34" s="17">
        <f si="38" t="shared"/>
        <v>6.360128656316819E-5</v>
      </c>
      <c r="S34" s="17">
        <f ref="S34" si="39" t="shared">S21/$U$28</f>
        <v>1.6960343083511519E-4</v>
      </c>
      <c r="T34" s="17"/>
      <c r="U34" s="17">
        <f>U21/$U$28</f>
        <v>2.8105711395533372E-3</v>
      </c>
      <c r="W34" t="str">
        <f>$A$8</f>
        <v>Bellevue Downtown</v>
      </c>
      <c r="X34" s="17">
        <f ref="X34:X35" si="40" t="shared">M34-B34</f>
        <v>3.5222160288386859E-4</v>
      </c>
      <c r="Y34" s="17">
        <f si="30" t="shared"/>
        <v>-1.0639502858526557E-3</v>
      </c>
      <c r="Z34" s="17">
        <f si="31" t="shared"/>
        <v>1.6808911448837308E-4</v>
      </c>
      <c r="AA34" s="17">
        <f ref="AA34:AA38" si="41" t="shared">P34-E34</f>
        <v>6.2086970216426095E-5</v>
      </c>
      <c r="AB34" s="17">
        <f ref="AB34:AB38" si="42" t="shared">Q34-F34</f>
        <v>2.4834788086570438E-4</v>
      </c>
      <c r="AC34" s="17">
        <f ref="AC34:AD38" si="43" t="shared">R34-G34</f>
        <v>6.360128656316819E-5</v>
      </c>
      <c r="AD34" s="17">
        <f si="43" t="shared"/>
        <v>1.6960343083511519E-4</v>
      </c>
      <c r="AE34" s="17"/>
      <c r="AF34" s="17">
        <f si="35" t="shared"/>
        <v>0</v>
      </c>
    </row>
    <row r="35" spans="1:32" x14ac:dyDescent="0.25">
      <c r="A35" t="str">
        <f>$A$9</f>
        <v>Kirkland</v>
      </c>
      <c r="B35" s="17">
        <f si="36" t="shared"/>
        <v>0</v>
      </c>
      <c r="C35" s="17">
        <f si="36" t="shared"/>
        <v>2.1969936279150841E-4</v>
      </c>
      <c r="D35" s="17">
        <f si="36" t="shared"/>
        <v>2.5874122882978724E-2</v>
      </c>
      <c r="E35" s="17">
        <f si="36" t="shared"/>
        <v>3.3926865046190698E-3</v>
      </c>
      <c r="F35" s="17">
        <f si="36" t="shared"/>
        <v>8.1278481347351326E-4</v>
      </c>
      <c r="G35" s="17">
        <f si="36" t="shared"/>
        <v>6.0831076772051166E-4</v>
      </c>
      <c r="H35" s="17">
        <f ref="H35" si="44" t="shared">H22/$J$28</f>
        <v>3.997387460822067E-3</v>
      </c>
      <c r="I35" s="12"/>
      <c r="J35" s="17">
        <f si="27" t="shared"/>
        <v>3.4904991792405395E-2</v>
      </c>
      <c r="K35" s="13"/>
      <c r="L35" t="str">
        <f>$A$9</f>
        <v>Kirkland</v>
      </c>
      <c r="M35" s="17">
        <f si="38" t="shared"/>
        <v>3.1331205214094045E-3</v>
      </c>
      <c r="N35" s="17">
        <f si="38" t="shared"/>
        <v>8.9041801188435464E-4</v>
      </c>
      <c r="O35" s="17">
        <f si="38" t="shared"/>
        <v>1.6592364211253187E-2</v>
      </c>
      <c r="P35" s="17">
        <f si="38" t="shared"/>
        <v>3.0377185915646523E-3</v>
      </c>
      <c r="Q35" s="17">
        <f si="38" t="shared"/>
        <v>5.3743087145877123E-3</v>
      </c>
      <c r="R35" s="17">
        <f si="38" t="shared"/>
        <v>7.4655795894385522E-4</v>
      </c>
      <c r="S35" s="17">
        <f ref="S35" si="45" t="shared">S22/$U$28</f>
        <v>5.1305037827622342E-3</v>
      </c>
      <c r="T35" s="17"/>
      <c r="U35" s="17">
        <f>U22/$U$28</f>
        <v>3.4904991792405402E-2</v>
      </c>
      <c r="W35" t="str">
        <f>$A$9</f>
        <v>Kirkland</v>
      </c>
      <c r="X35" s="17">
        <f si="40" t="shared"/>
        <v>3.1331205214094045E-3</v>
      </c>
      <c r="Y35" s="17">
        <f si="30" t="shared"/>
        <v>6.7071864909284626E-4</v>
      </c>
      <c r="Z35" s="17">
        <f si="31" t="shared"/>
        <v>-9.2817586717255374E-3</v>
      </c>
      <c r="AA35" s="17">
        <f si="41" t="shared"/>
        <v>-3.5496791305441753E-4</v>
      </c>
      <c r="AB35" s="17">
        <f si="42" t="shared"/>
        <v>4.5615239011141994E-3</v>
      </c>
      <c r="AC35" s="17">
        <f si="43" t="shared"/>
        <v>1.3824719122334356E-4</v>
      </c>
      <c r="AD35" s="17">
        <f si="43" t="shared"/>
        <v>1.1331163219401672E-3</v>
      </c>
      <c r="AE35" s="17"/>
      <c r="AF35" s="17">
        <f si="35" t="shared"/>
        <v>0</v>
      </c>
    </row>
    <row r="36" spans="1:32" x14ac:dyDescent="0.25">
      <c r="A36" t="str">
        <f>$A$10</f>
        <v>Redmond</v>
      </c>
      <c r="B36" s="17">
        <f si="36" t="shared"/>
        <v>6.8795091600246615E-4</v>
      </c>
      <c r="C36" s="17">
        <f si="36" t="shared"/>
        <v>2.9377043460943221E-4</v>
      </c>
      <c r="D36" s="17">
        <f si="36" t="shared"/>
        <v>6.7476263050558647E-3</v>
      </c>
      <c r="E36" s="17">
        <f si="36" t="shared"/>
        <v>1.5807855793769653E-2</v>
      </c>
      <c r="F36" s="17">
        <f si="36" t="shared"/>
        <v>3.0496261687608223E-3</v>
      </c>
      <c r="G36" s="17">
        <f si="36" t="shared"/>
        <v>0</v>
      </c>
      <c r="H36" s="17">
        <f ref="H36" si="46" t="shared">H23/$J$28</f>
        <v>1.149388588730062E-3</v>
      </c>
      <c r="I36" s="12"/>
      <c r="J36" s="17">
        <f si="27" t="shared"/>
        <v>2.7736218206928301E-2</v>
      </c>
      <c r="K36" s="13"/>
      <c r="L36" t="str">
        <f>$A$10</f>
        <v>Redmond</v>
      </c>
      <c r="M36" s="17">
        <f si="38" t="shared"/>
        <v>4.4823763863566157E-3</v>
      </c>
      <c r="N36" s="17">
        <f si="38" t="shared"/>
        <v>6.844709887274291E-4</v>
      </c>
      <c r="O36" s="17">
        <f si="38" t="shared"/>
        <v>4.8639841057356243E-3</v>
      </c>
      <c r="P36" s="17">
        <f si="38" t="shared"/>
        <v>1.0441211210786778E-2</v>
      </c>
      <c r="Q36" s="17">
        <f si="38" t="shared"/>
        <v>2.7197121587488114E-3</v>
      </c>
      <c r="R36" s="17">
        <f si="38" t="shared"/>
        <v>5.1335324154557188E-4</v>
      </c>
      <c r="S36" s="17">
        <f ref="S36" si="47" t="shared">S23/$U$28</f>
        <v>4.0311101150274694E-3</v>
      </c>
      <c r="T36" s="17"/>
      <c r="U36" s="17">
        <f ref="U36" si="48" t="shared">U23/$U$28</f>
        <v>2.7736218206928301E-2</v>
      </c>
      <c r="W36" t="str">
        <f>$A$10</f>
        <v>Redmond</v>
      </c>
      <c r="X36" s="17">
        <f ref="X36:X38" si="49" t="shared">M36-B36</f>
        <v>3.7944254703541494E-3</v>
      </c>
      <c r="Y36" s="17">
        <f ref="Y36:Y38" si="50" t="shared">N36-C36</f>
        <v>3.9070055411799689E-4</v>
      </c>
      <c r="Z36" s="17">
        <f ref="Z36:Z38" si="51" t="shared">O36-D36</f>
        <v>-1.8836421993202405E-3</v>
      </c>
      <c r="AA36" s="17">
        <f si="41" t="shared"/>
        <v>-5.3666445829828758E-3</v>
      </c>
      <c r="AB36" s="17">
        <f si="42" t="shared"/>
        <v>-3.2991401001201091E-4</v>
      </c>
      <c r="AC36" s="17">
        <f si="43" t="shared"/>
        <v>5.1335324154557188E-4</v>
      </c>
      <c r="AD36" s="17">
        <f si="43" t="shared"/>
        <v>2.8817215262974074E-3</v>
      </c>
      <c r="AE36" s="17"/>
      <c r="AF36" s="17">
        <f si="35" t="shared"/>
        <v>0</v>
      </c>
    </row>
    <row r="37" spans="1:32" x14ac:dyDescent="0.25">
      <c r="A37" t="str">
        <f>$A$11</f>
        <v>Seattle</v>
      </c>
      <c r="B37" s="17">
        <f si="36" t="shared"/>
        <v>2.4681243856784552E-3</v>
      </c>
      <c r="C37" s="17">
        <f si="36" t="shared"/>
        <v>9.2632446240182559E-5</v>
      </c>
      <c r="D37" s="17">
        <f si="36" t="shared"/>
        <v>2.3332365818615222E-4</v>
      </c>
      <c r="E37" s="17">
        <f si="36" t="shared"/>
        <v>1.3819323186110944E-5</v>
      </c>
      <c r="F37" s="17">
        <f si="36" t="shared"/>
        <v>0.1286317128560511</v>
      </c>
      <c r="G37" s="17">
        <f si="36" t="shared"/>
        <v>2.028990404344443E-2</v>
      </c>
      <c r="H37" s="17">
        <f ref="H37" si="52" t="shared">H24/$J$28</f>
        <v>8.934904727510122E-3</v>
      </c>
      <c r="I37" s="12"/>
      <c r="J37" s="17">
        <f si="27" t="shared"/>
        <v>0.16066442144029655</v>
      </c>
      <c r="K37" s="13"/>
      <c r="L37" t="str">
        <f>$A$11</f>
        <v>Seattle</v>
      </c>
      <c r="M37" s="17">
        <f ref="M37:N39" si="53" t="shared">M24/$U$28</f>
        <v>3.2951523705108091E-3</v>
      </c>
      <c r="N37" s="17">
        <f si="53" t="shared"/>
        <v>8.7224621572344954E-4</v>
      </c>
      <c r="O37" s="17">
        <f ref="O37:R37" si="54" t="shared">O24/$U$28</f>
        <v>3.2164079204802199E-3</v>
      </c>
      <c r="P37" s="17">
        <f si="54" t="shared"/>
        <v>1.1433088417902853E-3</v>
      </c>
      <c r="Q37" s="17">
        <f si="54" t="shared"/>
        <v>0.12180857829924102</v>
      </c>
      <c r="R37" s="17">
        <f si="54" t="shared"/>
        <v>1.3754535377458493E-2</v>
      </c>
      <c r="S37" s="17">
        <f ref="S37" si="55" t="shared">S24/$U$28</f>
        <v>1.6574192415092281E-2</v>
      </c>
      <c r="T37" s="17"/>
      <c r="U37" s="17">
        <f ref="U37" si="56" t="shared">U24/$U$28</f>
        <v>0.16066442144029655</v>
      </c>
      <c r="W37" t="str">
        <f>$A$11</f>
        <v>Seattle</v>
      </c>
      <c r="X37" s="17">
        <f si="49" t="shared"/>
        <v>8.2702798483235383E-4</v>
      </c>
      <c r="Y37" s="17">
        <f si="50" t="shared"/>
        <v>7.79613769483267E-4</v>
      </c>
      <c r="Z37" s="17">
        <f si="51" t="shared"/>
        <v>2.9830842622940675E-3</v>
      </c>
      <c r="AA37" s="17">
        <f si="41" t="shared"/>
        <v>1.1294895186041744E-3</v>
      </c>
      <c r="AB37" s="17">
        <f si="42" t="shared"/>
        <v>-6.8231345568100787E-3</v>
      </c>
      <c r="AC37" s="17">
        <f si="43" t="shared"/>
        <v>-6.5353686659859363E-3</v>
      </c>
      <c r="AD37" s="17">
        <f si="43" t="shared"/>
        <v>7.6392876875821594E-3</v>
      </c>
      <c r="AE37" s="17"/>
      <c r="AF37" s="17">
        <f si="35" t="shared"/>
        <v>0</v>
      </c>
    </row>
    <row r="38" spans="1:32" x14ac:dyDescent="0.25">
      <c r="A38" t="str">
        <f>$A$12</f>
        <v>Seattle Downtown</v>
      </c>
      <c r="B38" s="17">
        <f si="36" t="shared"/>
        <v>8.6626386826739538E-5</v>
      </c>
      <c r="C38" s="17">
        <f si="36" t="shared"/>
        <v>0</v>
      </c>
      <c r="D38" s="17">
        <f si="36" t="shared"/>
        <v>0</v>
      </c>
      <c r="E38" s="17">
        <f si="36" t="shared"/>
        <v>0</v>
      </c>
      <c r="F38" s="17">
        <f si="36" t="shared"/>
        <v>6.5014490133938245E-3</v>
      </c>
      <c r="G38" s="17">
        <f si="36" t="shared"/>
        <v>8.3466775654512104E-3</v>
      </c>
      <c r="H38" s="17">
        <f ref="H38" si="57" t="shared">H25/$J$28</f>
        <v>1.1624298001967459E-3</v>
      </c>
      <c r="I38" s="12"/>
      <c r="J38" s="17">
        <f si="27" t="shared"/>
        <v>1.6097182765868519E-2</v>
      </c>
      <c r="K38" s="13"/>
      <c r="L38" t="str">
        <f>$A$12</f>
        <v>Seattle Downtown</v>
      </c>
      <c r="M38" s="17">
        <f si="53" t="shared"/>
        <v>2.7711989145380426E-4</v>
      </c>
      <c r="N38" s="17">
        <f si="53" t="shared"/>
        <v>5.905833752294189E-5</v>
      </c>
      <c r="O38" s="17">
        <f ref="O38:R39" si="58" t="shared">O25/$U$28</f>
        <v>7.8744450030589187E-5</v>
      </c>
      <c r="P38" s="17">
        <f si="58" t="shared"/>
        <v>7.1172868296878695E-5</v>
      </c>
      <c r="Q38" s="17">
        <f si="58" t="shared"/>
        <v>4.6671229806591512E-3</v>
      </c>
      <c r="R38" s="17">
        <f si="58" t="shared"/>
        <v>1.0271607779951663E-2</v>
      </c>
      <c r="S38" s="17">
        <f ref="S38" si="59" t="shared">S25/$U$28</f>
        <v>6.7235645795349233E-4</v>
      </c>
      <c r="T38" s="17"/>
      <c r="U38" s="17">
        <f ref="U38:U39" si="60" t="shared">U25/$U$28</f>
        <v>1.6097182765868519E-2</v>
      </c>
      <c r="W38" t="str">
        <f>$A$12</f>
        <v>Seattle Downtown</v>
      </c>
      <c r="X38" s="17">
        <f si="49" t="shared"/>
        <v>1.9049350462706471E-4</v>
      </c>
      <c r="Y38" s="17">
        <f si="50" t="shared"/>
        <v>5.905833752294189E-5</v>
      </c>
      <c r="Z38" s="17">
        <f si="51" t="shared"/>
        <v>7.8744450030589187E-5</v>
      </c>
      <c r="AA38" s="17">
        <f si="41" t="shared"/>
        <v>7.1172868296878695E-5</v>
      </c>
      <c r="AB38" s="17">
        <f si="42" t="shared"/>
        <v>-1.8343260327346733E-3</v>
      </c>
      <c r="AC38" s="17">
        <f si="43" t="shared"/>
        <v>1.9249302145004522E-3</v>
      </c>
      <c r="AD38" s="17">
        <f si="43" t="shared"/>
        <v>-4.9007334224325353E-4</v>
      </c>
      <c r="AE38" s="17"/>
      <c r="AF38" s="17">
        <f si="35" t="shared"/>
        <v>0</v>
      </c>
    </row>
    <row r="39" spans="1:32" x14ac:dyDescent="0.25">
      <c r="A39" t="str">
        <f>$A$13</f>
        <v>Rest</v>
      </c>
      <c r="B39" s="17">
        <f si="36" t="shared"/>
        <v>1.1283171844051395E-2</v>
      </c>
      <c r="C39" s="17">
        <f si="36" t="shared"/>
        <v>4.3590985601608756E-3</v>
      </c>
      <c r="D39" s="17">
        <f si="36" t="shared"/>
        <v>1.3922418734952584E-2</v>
      </c>
      <c r="E39" s="17">
        <f si="36" t="shared"/>
        <v>3.6753448850079281E-3</v>
      </c>
      <c r="F39" s="17">
        <f si="36" t="shared"/>
        <v>2.1409913141194274E-2</v>
      </c>
      <c r="G39" s="17">
        <f si="36" t="shared"/>
        <v>1.4240821372779414E-2</v>
      </c>
      <c r="H39" s="17">
        <f ref="H39" si="61" t="shared">H26/$J$28</f>
        <v>0.64914504201482126</v>
      </c>
      <c r="I39" s="12"/>
      <c r="J39" s="17">
        <f si="27" t="shared"/>
        <v>0.71803581055296772</v>
      </c>
      <c r="K39" s="13"/>
      <c r="L39" t="str">
        <f>$A$13</f>
        <v>Rest</v>
      </c>
      <c r="M39" s="17">
        <f si="53" t="shared"/>
        <v>1.603963874469232E-2</v>
      </c>
      <c r="N39" s="17">
        <f si="53" t="shared"/>
        <v>2.9135446511318001E-3</v>
      </c>
      <c r="O39" s="17">
        <f si="58" t="shared"/>
        <v>1.2514310289476712E-2</v>
      </c>
      <c r="P39" s="17">
        <f si="58" t="shared"/>
        <v>9.4478196873239613E-3</v>
      </c>
      <c r="Q39" s="17">
        <f si="58" t="shared"/>
        <v>4.62532784948907E-2</v>
      </c>
      <c r="R39" s="17">
        <f si="58" t="shared"/>
        <v>8.686118564912684E-3</v>
      </c>
      <c r="S39" s="17">
        <f ref="S39" si="62" t="shared">S26/$U$28</f>
        <v>0.62218110012053962</v>
      </c>
      <c r="T39" s="17"/>
      <c r="U39" s="17">
        <f si="60" t="shared"/>
        <v>0.71803581055296772</v>
      </c>
      <c r="W39" t="str">
        <f>$A$13</f>
        <v>Rest</v>
      </c>
      <c r="X39" s="17">
        <f ref="X39" si="63" t="shared">M39-B39</f>
        <v>4.7564669006409255E-3</v>
      </c>
      <c r="Y39" s="17">
        <f ref="Y39" si="64" t="shared">N39-C39</f>
        <v>-1.4455539090290756E-3</v>
      </c>
      <c r="Z39" s="17">
        <f ref="Z39" si="65" t="shared">O39-D39</f>
        <v>-1.4081084454758714E-3</v>
      </c>
      <c r="AA39" s="17">
        <f ref="AA39" si="66" t="shared">P39-E39</f>
        <v>5.7724748023160327E-3</v>
      </c>
      <c r="AB39" s="17">
        <f ref="AB39" si="67" t="shared">Q39-F39</f>
        <v>2.4843365353696426E-2</v>
      </c>
      <c r="AC39" s="17">
        <f ref="AC39:AD39" si="68" t="shared">R39-G39</f>
        <v>-5.55470280786673E-3</v>
      </c>
      <c r="AD39" s="17">
        <f si="68" t="shared"/>
        <v>-2.696394189428164E-2</v>
      </c>
      <c r="AE39" s="17"/>
      <c r="AF39" s="17">
        <f si="35" t="shared"/>
        <v>0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8"/>
      <c r="K40" s="12"/>
      <c r="L40" s="15" t="s">
        <v>13</v>
      </c>
      <c r="M40" s="18"/>
      <c r="N40" s="18"/>
      <c r="O40" s="18"/>
      <c r="P40" s="18"/>
      <c r="Q40" s="18"/>
      <c r="R40" s="18"/>
      <c r="S40" s="18"/>
      <c r="T40" s="18"/>
      <c r="U40" s="18"/>
      <c r="W40" s="15" t="s">
        <v>13</v>
      </c>
      <c r="X40" s="18"/>
      <c r="Y40" s="18"/>
      <c r="Z40" s="18"/>
      <c r="AA40" s="18"/>
      <c r="AB40" s="18"/>
      <c r="AC40" s="18"/>
      <c r="AD40" s="18"/>
      <c r="AE40" s="18"/>
      <c r="AF40" s="18"/>
    </row>
    <row ht="15.75" r="41" spans="1:32" thickBot="1" x14ac:dyDescent="0.3">
      <c r="A41" s="1" t="s">
        <v>4</v>
      </c>
      <c r="B41" s="19">
        <f ref="B41:H41" si="69" t="shared">B28/$J$28</f>
        <v>4.2324012959332503E-2</v>
      </c>
      <c r="C41" s="19">
        <f si="69" t="shared"/>
        <v>8.7123905183914656E-3</v>
      </c>
      <c r="D41" s="19">
        <f si="69" t="shared"/>
        <v>4.8877022165842617E-2</v>
      </c>
      <c r="E41" s="19">
        <f si="69" t="shared"/>
        <v>2.4136292274877715E-2</v>
      </c>
      <c r="F41" s="19">
        <f si="69" t="shared"/>
        <v>0.16248800777540209</v>
      </c>
      <c r="G41" s="19">
        <f si="69" t="shared"/>
        <v>4.4607139636799735E-2</v>
      </c>
      <c r="H41" s="19">
        <f si="69" t="shared"/>
        <v>0.66885513466935387</v>
      </c>
      <c r="I41" s="19">
        <f>I28/$J$28</f>
        <v>0</v>
      </c>
      <c r="J41" s="19">
        <f>J28/$J$28</f>
        <v>1</v>
      </c>
      <c r="K41" s="12"/>
      <c r="L41" s="16" t="s">
        <v>4</v>
      </c>
      <c r="M41" s="19">
        <f>M28/$U$28</f>
        <v>4.7451102725163695E-2</v>
      </c>
      <c r="N41" s="19">
        <f>N28/$U$28</f>
        <v>9.8354846720899378E-3</v>
      </c>
      <c r="O41" s="19">
        <f>O28/$U$28</f>
        <v>3.9973408604951209E-2</v>
      </c>
      <c r="P41" s="19">
        <f>P28/$U$28</f>
        <v>2.7171378209593498E-2</v>
      </c>
      <c r="Q41" s="19">
        <f ref="Q41:S41" si="70" t="shared">Q28/$U$28</f>
        <v>0.18598379075782448</v>
      </c>
      <c r="R41" s="19">
        <f si="70" t="shared"/>
        <v>3.5427430932031427E-2</v>
      </c>
      <c r="S41" s="19">
        <f si="70" t="shared"/>
        <v>0.65415740409834577</v>
      </c>
      <c r="T41" s="19">
        <f>T28/$U$28</f>
        <v>0</v>
      </c>
      <c r="U41" s="19">
        <f>U28/$U$28</f>
        <v>1</v>
      </c>
      <c r="W41" s="16" t="s">
        <v>4</v>
      </c>
      <c r="X41" s="19">
        <f ref="X41:AF41" si="71" t="shared">M41-B41</f>
        <v>5.1270897658311915E-3</v>
      </c>
      <c r="Y41" s="19">
        <f si="71" t="shared"/>
        <v>1.1230941536984722E-3</v>
      </c>
      <c r="Z41" s="19">
        <f si="71" t="shared"/>
        <v>-8.9036135608914074E-3</v>
      </c>
      <c r="AA41" s="19">
        <f si="71" t="shared"/>
        <v>3.0350859347157838E-3</v>
      </c>
      <c r="AB41" s="19">
        <f si="71" t="shared"/>
        <v>2.3495782982422386E-2</v>
      </c>
      <c r="AC41" s="19">
        <f si="71" t="shared"/>
        <v>-9.1797087047683079E-3</v>
      </c>
      <c r="AD41" s="19">
        <f si="71" t="shared"/>
        <v>-1.4697730571008094E-2</v>
      </c>
      <c r="AE41" s="19">
        <f si="71" t="shared"/>
        <v>0</v>
      </c>
      <c r="AF41" s="19">
        <f si="71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>
      <selection activeCell="G13" sqref="G13"/>
    </sheetView>
  </sheetViews>
  <sheetFormatPr defaultRowHeight="15" x14ac:dyDescent="0.25"/>
  <sheetData>
    <row r="1" spans="1:3" x14ac:dyDescent="0.25">
      <c r="A1" s="10" t="s">
        <v>20</v>
      </c>
    </row>
    <row r="2" spans="1:3" x14ac:dyDescent="0.25">
      <c r="A2">
        <v>1</v>
      </c>
      <c r="B2" t="s">
        <v>246</v>
      </c>
    </row>
    <row r="3" spans="1:3" x14ac:dyDescent="0.25">
      <c r="B3" t="s">
        <v>21</v>
      </c>
      <c r="C3" t="s">
        <v>22</v>
      </c>
    </row>
    <row r="4" spans="1:3" x14ac:dyDescent="0.25">
      <c r="B4" t="s">
        <v>23</v>
      </c>
      <c r="C4" t="s">
        <v>24</v>
      </c>
    </row>
    <row r="5" spans="1:3" x14ac:dyDescent="0.25">
      <c r="B5" t="s">
        <v>25</v>
      </c>
      <c r="C5" t="s">
        <v>26</v>
      </c>
    </row>
    <row r="6" spans="1:3" x14ac:dyDescent="0.25">
      <c r="B6" t="s">
        <v>27</v>
      </c>
      <c r="C6" t="s">
        <v>28</v>
      </c>
    </row>
    <row r="8" spans="1:3" x14ac:dyDescent="0.25">
      <c r="A8">
        <v>2</v>
      </c>
      <c r="B8" t="s">
        <v>29</v>
      </c>
    </row>
    <row r="10" spans="1:3" x14ac:dyDescent="0.25">
      <c r="A10">
        <v>3</v>
      </c>
      <c r="B10" t="s">
        <v>30</v>
      </c>
    </row>
    <row r="12" spans="1:3" x14ac:dyDescent="0.25">
      <c r="A12">
        <v>4</v>
      </c>
      <c r="B12" t="s">
        <v>31</v>
      </c>
    </row>
    <row r="14" spans="1:3" x14ac:dyDescent="0.25">
      <c r="A14">
        <v>5</v>
      </c>
      <c r="B14" t="s">
        <v>32</v>
      </c>
    </row>
    <row r="15" spans="1:3" x14ac:dyDescent="0.25">
      <c r="B15" t="s">
        <v>33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04"/>
  <sheetViews>
    <sheetView topLeftCell="A17" workbookViewId="0">
      <selection activeCell="B39" sqref="B3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386" t="s">
        <v>42</v>
      </c>
    </row>
    <row r="2" spans="1:4" x14ac:dyDescent="0.25">
      <c r="A2" t="s">
        <v>259</v>
      </c>
      <c r="B2" t="s">
        <v>260</v>
      </c>
      <c r="C2" t="s">
        <v>91</v>
      </c>
      <c r="D2" t="s">
        <v>261</v>
      </c>
    </row>
    <row r="3" spans="1:4" x14ac:dyDescent="0.25">
      <c r="A3">
        <v>1</v>
      </c>
      <c r="B3" t="s">
        <v>45</v>
      </c>
      <c r="C3" t="s">
        <v>262</v>
      </c>
      <c r="D3" t="s">
        <v>46</v>
      </c>
    </row>
    <row r="4" spans="1:4" x14ac:dyDescent="0.25">
      <c r="A4">
        <v>2</v>
      </c>
      <c r="B4" t="s">
        <v>48</v>
      </c>
      <c r="C4" t="s">
        <v>262</v>
      </c>
      <c r="D4" t="s">
        <v>49</v>
      </c>
    </row>
    <row r="5" spans="1:4" x14ac:dyDescent="0.25">
      <c r="A5">
        <v>3</v>
      </c>
      <c r="B5" t="s">
        <v>51</v>
      </c>
      <c r="C5" t="s">
        <v>262</v>
      </c>
      <c r="D5" t="s">
        <v>52</v>
      </c>
    </row>
    <row r="6" spans="1:4" x14ac:dyDescent="0.25">
      <c r="A6">
        <v>4</v>
      </c>
      <c r="B6" t="s">
        <v>54</v>
      </c>
      <c r="C6" t="s">
        <v>262</v>
      </c>
      <c r="D6" t="s">
        <v>55</v>
      </c>
    </row>
    <row r="7" spans="1:4" x14ac:dyDescent="0.25">
      <c r="A7">
        <v>5</v>
      </c>
      <c r="B7" t="s">
        <v>57</v>
      </c>
      <c r="C7" t="s">
        <v>262</v>
      </c>
      <c r="D7" t="s">
        <v>58</v>
      </c>
    </row>
    <row r="8" spans="1:4" x14ac:dyDescent="0.25">
      <c r="A8">
        <v>6</v>
      </c>
      <c r="B8" t="s">
        <v>59</v>
      </c>
      <c r="C8" t="s">
        <v>262</v>
      </c>
      <c r="D8" t="s">
        <v>60</v>
      </c>
    </row>
    <row r="9" spans="1:4" x14ac:dyDescent="0.25">
      <c r="A9">
        <v>7</v>
      </c>
      <c r="B9" t="s">
        <v>61</v>
      </c>
      <c r="C9" t="s">
        <v>262</v>
      </c>
      <c r="D9" t="s">
        <v>62</v>
      </c>
    </row>
    <row r="10" spans="1:4" x14ac:dyDescent="0.25">
      <c r="A10">
        <v>8</v>
      </c>
      <c r="B10" t="s">
        <v>64</v>
      </c>
      <c r="C10" t="s">
        <v>262</v>
      </c>
      <c r="D10" t="s">
        <v>65</v>
      </c>
    </row>
    <row r="11" spans="1:4" x14ac:dyDescent="0.25">
      <c r="A11">
        <v>9</v>
      </c>
      <c r="B11" t="s">
        <v>66</v>
      </c>
      <c r="C11" t="s">
        <v>262</v>
      </c>
      <c r="D11" t="s">
        <v>67</v>
      </c>
    </row>
    <row r="12" spans="1:4" x14ac:dyDescent="0.25">
      <c r="A12">
        <v>10</v>
      </c>
      <c r="B12" t="s">
        <v>68</v>
      </c>
      <c r="C12" t="s">
        <v>262</v>
      </c>
      <c r="D12" t="s">
        <v>69</v>
      </c>
    </row>
    <row r="13" spans="1:4" x14ac:dyDescent="0.25">
      <c r="A13">
        <v>11</v>
      </c>
      <c r="B13" t="s">
        <v>70</v>
      </c>
      <c r="C13" t="s">
        <v>262</v>
      </c>
      <c r="D13" t="s">
        <v>71</v>
      </c>
    </row>
    <row r="14" spans="1:4" x14ac:dyDescent="0.25">
      <c r="A14">
        <v>12</v>
      </c>
      <c r="B14" t="s">
        <v>72</v>
      </c>
      <c r="C14" t="s">
        <v>262</v>
      </c>
      <c r="D14" t="s">
        <v>73</v>
      </c>
    </row>
    <row r="15" spans="1:4" x14ac:dyDescent="0.25">
      <c r="A15">
        <v>13</v>
      </c>
      <c r="B15" t="s">
        <v>74</v>
      </c>
      <c r="C15" t="s">
        <v>262</v>
      </c>
      <c r="D15" t="s">
        <v>75</v>
      </c>
    </row>
    <row r="16" spans="1:4" x14ac:dyDescent="0.25">
      <c r="A16">
        <v>14</v>
      </c>
      <c r="B16" t="s">
        <v>76</v>
      </c>
      <c r="C16" t="s">
        <v>262</v>
      </c>
      <c r="D16" t="s">
        <v>77</v>
      </c>
    </row>
    <row r="17" spans="1:4" x14ac:dyDescent="0.25">
      <c r="A17">
        <v>15</v>
      </c>
      <c r="B17" t="s">
        <v>78</v>
      </c>
      <c r="C17" t="s">
        <v>262</v>
      </c>
      <c r="D17" t="s">
        <v>79</v>
      </c>
    </row>
    <row r="18" spans="1:4" x14ac:dyDescent="0.25">
      <c r="A18">
        <v>16</v>
      </c>
      <c r="B18" t="s">
        <v>80</v>
      </c>
      <c r="C18" t="s">
        <v>262</v>
      </c>
      <c r="D18" t="s">
        <v>81</v>
      </c>
    </row>
    <row r="19" spans="1:4" x14ac:dyDescent="0.25">
      <c r="A19">
        <v>17</v>
      </c>
      <c r="B19" t="s">
        <v>83</v>
      </c>
      <c r="C19" t="s">
        <v>262</v>
      </c>
      <c r="D19" t="s">
        <v>84</v>
      </c>
    </row>
    <row r="20" spans="1:4" x14ac:dyDescent="0.25">
      <c r="A20">
        <v>18</v>
      </c>
      <c r="B20" t="s">
        <v>86</v>
      </c>
      <c r="C20" t="s">
        <v>262</v>
      </c>
      <c r="D20" t="s">
        <v>87</v>
      </c>
    </row>
    <row r="21" spans="1:4" x14ac:dyDescent="0.25">
      <c r="A21">
        <v>19</v>
      </c>
      <c r="B21" t="s">
        <v>89</v>
      </c>
      <c r="C21" t="s">
        <v>262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263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activeCell="P18" sqref="P18"/>
    </sheetView>
  </sheetViews>
  <sheetFormatPr defaultRowHeight="15" x14ac:dyDescent="0.25"/>
  <sheetData>
    <row r="1" spans="1:11" x14ac:dyDescent="0.25">
      <c r="A1" s="452" t="s">
        <v>227</v>
      </c>
      <c r="B1" s="453"/>
      <c r="C1" s="453"/>
      <c r="D1" s="453"/>
      <c r="E1" s="453"/>
      <c r="F1" s="453"/>
      <c r="G1" s="453"/>
      <c r="H1" s="453" t="s">
        <v>228</v>
      </c>
      <c r="I1" s="453"/>
      <c r="J1" s="453"/>
      <c r="K1" s="454"/>
    </row>
    <row r="2" spans="1:11" x14ac:dyDescent="0.25">
      <c r="A2" s="455">
        <v>1</v>
      </c>
      <c r="B2" s="456" t="s">
        <v>264</v>
      </c>
      <c r="C2" s="456"/>
      <c r="D2" s="456"/>
      <c r="E2" s="456"/>
      <c r="F2" s="456"/>
      <c r="G2" s="456"/>
      <c r="H2" s="456"/>
      <c r="I2" s="456"/>
      <c r="J2" s="456"/>
      <c r="K2" s="457"/>
    </row>
    <row r="3" spans="1:11" x14ac:dyDescent="0.25">
      <c r="A3" s="455">
        <v>2</v>
      </c>
      <c r="B3" s="456" t="s">
        <v>229</v>
      </c>
      <c r="C3" s="456"/>
      <c r="D3" s="456"/>
      <c r="E3" s="456"/>
      <c r="F3" s="456"/>
      <c r="G3" s="456"/>
      <c r="H3" s="456"/>
      <c r="I3" s="456"/>
      <c r="J3" s="456"/>
      <c r="K3" s="457"/>
    </row>
    <row r="4" spans="1:11" x14ac:dyDescent="0.25">
      <c r="A4" s="455">
        <v>3</v>
      </c>
      <c r="B4" s="456" t="s">
        <v>230</v>
      </c>
      <c r="C4" s="456"/>
      <c r="D4" s="456"/>
      <c r="E4" s="456"/>
      <c r="F4" s="456"/>
      <c r="G4" s="456"/>
      <c r="H4" s="456"/>
      <c r="I4" s="456"/>
      <c r="J4" s="456"/>
      <c r="K4" s="457"/>
    </row>
    <row r="5" spans="1:11" x14ac:dyDescent="0.25">
      <c r="A5" s="458">
        <v>4</v>
      </c>
      <c r="B5" s="459" t="s">
        <v>231</v>
      </c>
      <c r="C5" s="459"/>
      <c r="D5" s="459"/>
      <c r="E5" s="459"/>
      <c r="F5" s="459"/>
      <c r="G5" s="459"/>
      <c r="H5" s="459"/>
      <c r="I5" s="459"/>
      <c r="J5" s="459"/>
      <c r="K5" s="460"/>
    </row>
    <row r="8" spans="1:11" x14ac:dyDescent="0.25">
      <c r="A8" t="s">
        <v>232</v>
      </c>
      <c r="B8" t="s">
        <v>233</v>
      </c>
      <c r="C8" t="s">
        <v>234</v>
      </c>
      <c r="D8" t="s">
        <v>265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424">
        <v>0.46135416666666668</v>
      </c>
      <c r="G9" t="s">
        <v>239</v>
      </c>
      <c r="H9">
        <v>31</v>
      </c>
      <c r="I9" t="s">
        <v>266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51</v>
      </c>
      <c r="D13" t="s">
        <v>241</v>
      </c>
      <c r="E13" s="425">
        <v>-0.2117</v>
      </c>
      <c r="F13">
        <v>0</v>
      </c>
    </row>
    <row r="14" spans="1:11" x14ac:dyDescent="0.25">
      <c r="B14">
        <v>4</v>
      </c>
      <c r="C14" t="s">
        <v>54</v>
      </c>
      <c r="D14" t="s">
        <v>242</v>
      </c>
      <c r="E14" s="425">
        <v>0.27120783067900001</v>
      </c>
      <c r="F14">
        <v>0.28080475059900001</v>
      </c>
    </row>
    <row r="15" spans="1:11" x14ac:dyDescent="0.2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59</v>
      </c>
      <c r="D16" t="s">
        <v>242</v>
      </c>
      <c r="E16" s="425">
        <v>-8.2865473150899996E-2</v>
      </c>
      <c r="F16">
        <v>0.12955742148800001</v>
      </c>
    </row>
    <row r="17" spans="2:6" x14ac:dyDescent="0.2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64</v>
      </c>
      <c r="D18" t="s">
        <v>241</v>
      </c>
      <c r="E18" s="425">
        <v>6.9400000000000003E-2</v>
      </c>
      <c r="F18">
        <v>0</v>
      </c>
    </row>
    <row r="19" spans="2:6" x14ac:dyDescent="0.25">
      <c r="B19">
        <v>9</v>
      </c>
      <c r="C19" t="s">
        <v>66</v>
      </c>
      <c r="D19" t="s">
        <v>242</v>
      </c>
      <c r="E19" s="425">
        <v>-9.5820044919499997E-2</v>
      </c>
      <c r="F19">
        <v>0.17082561533000001</v>
      </c>
    </row>
    <row r="20" spans="2:6" x14ac:dyDescent="0.2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0.63771148688699997</v>
      </c>
      <c r="F30" s="425">
        <v>6.0015015733300002E-2</v>
      </c>
    </row>
    <row r="31" spans="2:6" x14ac:dyDescent="0.2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98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100</v>
      </c>
      <c r="D34" t="s">
        <v>242</v>
      </c>
      <c r="E34">
        <v>0.10429329553199999</v>
      </c>
      <c r="F34" s="425">
        <v>1.6423300294899999E-2</v>
      </c>
    </row>
    <row r="35" spans="2:6" x14ac:dyDescent="0.25">
      <c r="B35">
        <v>25</v>
      </c>
      <c r="C35" t="s">
        <v>103</v>
      </c>
      <c r="D35" t="s">
        <v>241</v>
      </c>
      <c r="E35">
        <v>0</v>
      </c>
      <c r="F35" s="425">
        <v>0</v>
      </c>
    </row>
    <row r="36" spans="2:6" x14ac:dyDescent="0.25">
      <c r="B36">
        <v>26</v>
      </c>
      <c r="C36" t="s">
        <v>105</v>
      </c>
      <c r="D36" t="s">
        <v>242</v>
      </c>
      <c r="E36">
        <v>0.417326479157</v>
      </c>
      <c r="F36" s="425">
        <v>9.4301876730200004E-2</v>
      </c>
    </row>
    <row r="37" spans="2:6" x14ac:dyDescent="0.2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110</v>
      </c>
      <c r="D40" t="s">
        <v>242</v>
      </c>
      <c r="E40">
        <v>-0.91046169190000004</v>
      </c>
      <c r="F40" s="425">
        <v>9.2244527309799998E-2</v>
      </c>
    </row>
    <row r="41" spans="2:6" x14ac:dyDescent="0.25">
      <c r="B41">
        <v>31</v>
      </c>
      <c r="C41" t="s">
        <v>112</v>
      </c>
      <c r="D41" t="s">
        <v>242</v>
      </c>
      <c r="E41" s="425">
        <v>5.7553461640599997E-2</v>
      </c>
      <c r="F41" s="425">
        <v>1.69631861578E-2</v>
      </c>
    </row>
    <row r="42" spans="2:6" x14ac:dyDescent="0.25">
      <c r="B42">
        <v>32</v>
      </c>
      <c r="C42" t="s">
        <v>114</v>
      </c>
      <c r="D42" t="s">
        <v>242</v>
      </c>
      <c r="E42">
        <v>0.237798002151</v>
      </c>
      <c r="F42" s="425">
        <v>2.05709725741E-2</v>
      </c>
    </row>
    <row r="43" spans="2:6" x14ac:dyDescent="0.25">
      <c r="B43">
        <v>33</v>
      </c>
      <c r="C43" t="s">
        <v>116</v>
      </c>
      <c r="D43" t="s">
        <v>241</v>
      </c>
      <c r="E43">
        <v>0</v>
      </c>
      <c r="F43" s="425">
        <v>0</v>
      </c>
    </row>
    <row r="44" spans="2:6" x14ac:dyDescent="0.25">
      <c r="B44">
        <v>34</v>
      </c>
      <c r="C44" t="s">
        <v>118</v>
      </c>
      <c r="D44" t="s">
        <v>241</v>
      </c>
      <c r="E44">
        <v>0</v>
      </c>
      <c r="F44" s="425">
        <v>0</v>
      </c>
    </row>
    <row r="45" spans="2:6" x14ac:dyDescent="0.25">
      <c r="B45">
        <v>35</v>
      </c>
      <c r="C45" t="s">
        <v>121</v>
      </c>
      <c r="D45" t="s">
        <v>241</v>
      </c>
      <c r="E45">
        <v>0</v>
      </c>
      <c r="F45" s="425">
        <v>0</v>
      </c>
    </row>
    <row r="46" spans="2:6" x14ac:dyDescent="0.25">
      <c r="B46">
        <v>36</v>
      </c>
      <c r="C46" t="s">
        <v>123</v>
      </c>
      <c r="D46" t="s">
        <v>242</v>
      </c>
      <c r="E46" s="425">
        <v>0.61259135262599995</v>
      </c>
      <c r="F46" s="425">
        <v>9.8788050589500007E-2</v>
      </c>
    </row>
    <row r="47" spans="2:6" x14ac:dyDescent="0.2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129</v>
      </c>
      <c r="D51" t="s">
        <v>242</v>
      </c>
      <c r="E51">
        <v>-0.22141031751900001</v>
      </c>
      <c r="F51" s="425">
        <v>1.8224220405400001E-2</v>
      </c>
    </row>
    <row r="52" spans="2:6" x14ac:dyDescent="0.25">
      <c r="B52">
        <v>42</v>
      </c>
      <c r="C52" t="s">
        <v>131</v>
      </c>
      <c r="D52" t="s">
        <v>242</v>
      </c>
      <c r="E52">
        <v>0.64228876129599999</v>
      </c>
      <c r="F52" s="425">
        <v>2.3327425635499999E-2</v>
      </c>
    </row>
    <row r="53" spans="2:6" x14ac:dyDescent="0.25">
      <c r="B53">
        <v>43</v>
      </c>
      <c r="C53" t="s">
        <v>133</v>
      </c>
      <c r="D53" t="s">
        <v>242</v>
      </c>
      <c r="E53">
        <v>0.74588429254199995</v>
      </c>
      <c r="F53" s="425">
        <v>9.8514285453599998E-2</v>
      </c>
    </row>
    <row r="54" spans="2:6" x14ac:dyDescent="0.2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143</v>
      </c>
      <c r="D58" t="s">
        <v>242</v>
      </c>
      <c r="E58">
        <v>0.65760260093900003</v>
      </c>
      <c r="F58" s="425">
        <v>2.9500746847800002E-2</v>
      </c>
    </row>
    <row r="59" spans="2:6" x14ac:dyDescent="0.25">
      <c r="B59">
        <v>49</v>
      </c>
      <c r="C59" t="s">
        <v>145</v>
      </c>
      <c r="D59" t="s">
        <v>242</v>
      </c>
      <c r="E59">
        <v>0.201576719663</v>
      </c>
      <c r="F59" s="425">
        <v>0.11309559824400001</v>
      </c>
    </row>
    <row r="60" spans="2:6" x14ac:dyDescent="0.25">
      <c r="B60">
        <v>50</v>
      </c>
      <c r="C60" t="s">
        <v>146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147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148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149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150</v>
      </c>
      <c r="D64" t="s">
        <v>242</v>
      </c>
      <c r="E64">
        <v>0.20818008309700001</v>
      </c>
      <c r="F64" s="425">
        <v>4.2700310294800002E-2</v>
      </c>
    </row>
    <row r="65" spans="2:6" x14ac:dyDescent="0.25">
      <c r="B65">
        <v>55</v>
      </c>
      <c r="C65" t="s">
        <v>152</v>
      </c>
      <c r="D65" t="s">
        <v>242</v>
      </c>
      <c r="E65">
        <v>0.42522231451499998</v>
      </c>
      <c r="F65" s="425">
        <v>4.5274903018000003E-2</v>
      </c>
    </row>
    <row r="66" spans="2:6" x14ac:dyDescent="0.25">
      <c r="B66">
        <v>56</v>
      </c>
      <c r="C66" t="s">
        <v>153</v>
      </c>
      <c r="D66" t="s">
        <v>242</v>
      </c>
      <c r="E66">
        <v>-0.743588483327</v>
      </c>
      <c r="F66" s="425">
        <v>4.4293261467400001E-2</v>
      </c>
    </row>
    <row r="67" spans="2:6" x14ac:dyDescent="0.25">
      <c r="B67">
        <v>57</v>
      </c>
      <c r="C67" t="s">
        <v>154</v>
      </c>
      <c r="D67" t="s">
        <v>241</v>
      </c>
      <c r="E67" s="425">
        <v>6.2100000000000002E-2</v>
      </c>
      <c r="F67" s="425">
        <v>0</v>
      </c>
    </row>
    <row r="68" spans="2:6" x14ac:dyDescent="0.25">
      <c r="B68">
        <v>118</v>
      </c>
      <c r="C68" t="s">
        <v>263</v>
      </c>
      <c r="D68" t="s">
        <v>241</v>
      </c>
      <c r="E68" s="425">
        <v>-3</v>
      </c>
      <c r="F68" s="425">
        <v>0</v>
      </c>
    </row>
    <row r="69" spans="2:6" x14ac:dyDescent="0.25">
      <c r="B69">
        <v>70</v>
      </c>
      <c r="C69" t="s">
        <v>155</v>
      </c>
      <c r="D69" t="s">
        <v>242</v>
      </c>
      <c r="E69">
        <v>0.29394695214400002</v>
      </c>
      <c r="F69" s="425">
        <v>8.1089668188599993E-3</v>
      </c>
    </row>
    <row r="70" spans="2:6" x14ac:dyDescent="0.2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425">
        <v>-5981.59020986</v>
      </c>
      <c r="D114" s="425">
        <v>-29805.783655800002</v>
      </c>
      <c r="E114" s="425">
        <v>-17292.021287899999</v>
      </c>
    </row>
    <row r="115" spans="1:11" x14ac:dyDescent="0.25">
      <c r="B115">
        <v>17</v>
      </c>
      <c r="C115" t="s">
        <v>267</v>
      </c>
      <c r="D115" t="s">
        <v>239</v>
      </c>
      <c r="E115">
        <v>31</v>
      </c>
      <c r="F115" t="s">
        <v>266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104"/>
  <sheetViews>
    <sheetView tabSelected="1" workbookViewId="0">
      <selection activeCell="Q28" sqref="Q28"/>
    </sheetView>
  </sheetViews>
  <sheetFormatPr defaultRowHeight="15" x14ac:dyDescent="0.25"/>
  <cols>
    <col min="1" max="2" style="385" width="9.140625" collapsed="true"/>
    <col min="3" max="3" bestFit="true" customWidth="true" style="385" width="12.7109375" collapsed="true"/>
    <col min="4" max="4" customWidth="true" style="384" width="18.85546875" collapsed="true"/>
    <col min="5" max="5" customWidth="true" style="385" width="6.7109375" collapsed="true"/>
    <col min="6" max="6" customWidth="true" style="385" width="12.7109375" collapsed="true"/>
    <col min="7" max="8" customWidth="true" style="384" width="18.85546875" collapsed="true"/>
    <col min="9" max="9" customWidth="true" style="384" width="6.5703125" collapsed="true"/>
    <col min="10" max="10" customWidth="true" style="384" width="10.140625" collapsed="true"/>
    <col min="11" max="11" customWidth="true" style="384" width="9.85546875" collapsed="true"/>
    <col min="12" max="14" style="385" width="9.140625" collapsed="true"/>
    <col min="15" max="15" customWidth="true" style="385" width="13.0" collapsed="true"/>
    <col min="16" max="16" customWidth="true" style="387" width="19.5703125" collapsed="true"/>
    <col min="17" max="17" customWidth="true" style="423" width="19.5703125" collapsed="true"/>
    <col min="18" max="16384" style="385" width="9.140625" collapsed="true"/>
  </cols>
  <sheetData>
    <row r="1" spans="3:23" x14ac:dyDescent="0.25">
      <c r="C1" s="10" t="s">
        <v>40</v>
      </c>
      <c r="F1" s="10" t="s">
        <v>41</v>
      </c>
      <c r="N1" s="386" t="s">
        <v>268</v>
      </c>
      <c r="S1" s="386"/>
      <c r="T1" s="386" t="s">
        <v>268</v>
      </c>
      <c r="U1" s="410"/>
      <c r="V1" s="410"/>
      <c r="W1" s="410"/>
    </row>
    <row ht="15.75" r="2" spans="3:23" thickBot="1" x14ac:dyDescent="0.3">
      <c r="C2" s="386" t="s">
        <v>43</v>
      </c>
      <c r="M2" s="10" t="s">
        <v>91</v>
      </c>
      <c r="N2" s="10" t="s">
        <v>259</v>
      </c>
      <c r="O2" s="10" t="s">
        <v>260</v>
      </c>
      <c r="P2" s="461" t="s">
        <v>269</v>
      </c>
      <c r="Q2" s="462" t="s">
        <v>270</v>
      </c>
      <c r="T2" s="410"/>
      <c r="U2" s="386" t="s">
        <v>271</v>
      </c>
      <c r="V2"/>
      <c r="W2" s="410"/>
    </row>
    <row r="3" spans="3:23" x14ac:dyDescent="0.25">
      <c r="C3" s="388" t="s">
        <v>3</v>
      </c>
      <c r="D3" s="389" t="s">
        <v>44</v>
      </c>
      <c r="F3" s="388" t="s">
        <v>3</v>
      </c>
      <c r="G3" s="389" t="s">
        <v>44</v>
      </c>
      <c r="H3" s="434"/>
      <c r="I3" s="434"/>
      <c r="J3" s="434"/>
      <c r="K3" s="434"/>
      <c r="L3" s="390"/>
      <c r="M3" s="385" t="str">
        <f>VLOOKUP(N3,Coeff_Descr!$A:$D,3,FALSE)</f>
        <v>ALL</v>
      </c>
      <c r="N3" s="385">
        <f>OtherTourDestination!B11</f>
        <v>1</v>
      </c>
      <c r="O3" s="385" t="str">
        <f>OtherTourDestination!C11</f>
        <v>Beta00001</v>
      </c>
      <c r="P3" s="387">
        <f>OtherTourDestination!E11</f>
        <v>1</v>
      </c>
      <c r="Q3" s="426">
        <f>_xlfn.IFNA(VLOOKUP(N3,$B$43:$D$46,3,FALSE),P3)</f>
        <v>1</v>
      </c>
      <c r="T3">
        <v>1</v>
      </c>
      <c r="U3" s="383" t="s">
        <v>272</v>
      </c>
      <c r="V3"/>
      <c r="W3" s="410"/>
    </row>
    <row r="4" spans="3:23" x14ac:dyDescent="0.25">
      <c r="C4" s="391" t="s">
        <v>47</v>
      </c>
      <c r="D4" s="392">
        <f>TLFD!B11</f>
        <v>27663.831959679799</v>
      </c>
      <c r="F4" s="391" t="s">
        <v>47</v>
      </c>
      <c r="G4" s="392">
        <f>TLFD!F11</f>
        <v>83217</v>
      </c>
      <c r="H4" s="392"/>
      <c r="I4" s="392"/>
      <c r="J4" s="392"/>
      <c r="K4" s="392"/>
      <c r="L4" s="393"/>
      <c r="M4" s="385" t="str">
        <f>VLOOKUP(N4,Coeff_Descr!$A:$D,3,FALSE)</f>
        <v>ALL</v>
      </c>
      <c r="N4" s="385">
        <f>OtherTourDestination!B12</f>
        <v>2</v>
      </c>
      <c r="O4" s="385" t="str">
        <f>OtherTourDestination!C12</f>
        <v>Beta00002</v>
      </c>
      <c r="P4" s="387">
        <f>OtherTourDestination!E12</f>
        <v>11.7146172749</v>
      </c>
      <c r="Q4" s="426">
        <f>_xlfn.IFNA(VLOOKUP(N4,$B$43:$D$46,3,FALSE),P4)</f>
        <v>11.7146172749</v>
      </c>
      <c r="T4">
        <v>2</v>
      </c>
      <c r="U4" s="383" t="s">
        <v>273</v>
      </c>
      <c r="V4"/>
      <c r="W4" s="410"/>
    </row>
    <row r="5" spans="3:23" x14ac:dyDescent="0.25">
      <c r="C5" s="394" t="s">
        <v>50</v>
      </c>
      <c r="D5" s="395">
        <f>TLFD!B12+TLFD!B13+(TLFD!B14/2)</f>
        <v>115832.09695086606</v>
      </c>
      <c r="F5" s="394" t="s">
        <v>50</v>
      </c>
      <c r="G5" s="395">
        <f>TLFD!F12+TLFD!F13+(TLFD!F14/2)</f>
        <v>107740.5</v>
      </c>
      <c r="H5" s="395"/>
      <c r="I5" s="395"/>
      <c r="J5" s="395"/>
      <c r="K5" s="395"/>
      <c r="L5" s="393"/>
      <c r="M5" s="385" t="str">
        <f>VLOOKUP(N5,Coeff_Descr!$A:$D,3,FALSE)</f>
        <v>ALL</v>
      </c>
      <c r="N5" s="385">
        <f>OtherTourDestination!B13</f>
        <v>3</v>
      </c>
      <c r="O5" s="385" t="str">
        <f>OtherTourDestination!C13</f>
        <v>Beta00003</v>
      </c>
      <c r="P5" s="387">
        <f>OtherTourDestination!E13</f>
        <v>-0.2117</v>
      </c>
      <c r="Q5" s="426">
        <f ref="Q5:Q68" si="0" t="shared">_xlfn.IFNA(VLOOKUP(N5,$B$43:$D$46,3,FALSE),P5)</f>
        <v>-0.2117</v>
      </c>
      <c r="T5">
        <v>3</v>
      </c>
      <c r="U5" s="410" t="s">
        <v>274</v>
      </c>
      <c r="V5" s="410"/>
      <c r="W5" s="410"/>
    </row>
    <row r="6" spans="3:23" x14ac:dyDescent="0.25">
      <c r="C6" s="394" t="s">
        <v>53</v>
      </c>
      <c r="D6" s="395">
        <f>(TLFD!B14/2)+SUM(TLFD!B15:B20)</f>
        <v>410257.92803962692</v>
      </c>
      <c r="F6" s="394" t="s">
        <v>53</v>
      </c>
      <c r="G6" s="395">
        <f>(TLFD!F14/2)+SUM(TLFD!F15:F20)</f>
        <v>306346.5</v>
      </c>
      <c r="H6" s="395"/>
      <c r="I6" s="395"/>
      <c r="J6" s="395"/>
      <c r="K6" s="395"/>
      <c r="L6" s="396"/>
      <c r="M6" s="385" t="str">
        <f>VLOOKUP(N6,Coeff_Descr!$A:$D,3,FALSE)</f>
        <v>ALL</v>
      </c>
      <c r="N6" s="385">
        <f>OtherTourDestination!B14</f>
        <v>4</v>
      </c>
      <c r="O6" s="385" t="str">
        <f>OtherTourDestination!C14</f>
        <v>Beta00004</v>
      </c>
      <c r="P6" s="387">
        <f>OtherTourDestination!E14</f>
        <v>0.27120783067900001</v>
      </c>
      <c r="Q6" s="426">
        <f si="0" t="shared"/>
        <v>0.27120783067900001</v>
      </c>
      <c r="T6">
        <v>4</v>
      </c>
      <c r="U6" s="410" t="s">
        <v>275</v>
      </c>
      <c r="V6" s="410"/>
      <c r="W6" s="410"/>
    </row>
    <row r="7" spans="3:23" x14ac:dyDescent="0.25">
      <c r="C7" s="397" t="s">
        <v>56</v>
      </c>
      <c r="D7" s="398">
        <f>SUM(TLFD!B21:B101)</f>
        <v>160058.51804216809</v>
      </c>
      <c r="F7" s="397" t="s">
        <v>56</v>
      </c>
      <c r="G7" s="398">
        <f>SUM(TLFD!F21:F101)</f>
        <v>165934</v>
      </c>
      <c r="H7" s="435"/>
      <c r="I7" s="435"/>
      <c r="J7" s="435"/>
      <c r="K7" s="435"/>
      <c r="L7" s="399"/>
      <c r="M7" s="385" t="str">
        <f>VLOOKUP(N7,Coeff_Descr!$A:$D,3,FALSE)</f>
        <v>ALL</v>
      </c>
      <c r="N7" s="385">
        <f>OtherTourDestination!B15</f>
        <v>5</v>
      </c>
      <c r="O7" s="385" t="str">
        <f>OtherTourDestination!C15</f>
        <v>Beta00005</v>
      </c>
      <c r="P7" s="387">
        <f>OtherTourDestination!E15</f>
        <v>-0.34490013167299999</v>
      </c>
      <c r="Q7" s="426">
        <f si="0" t="shared"/>
        <v>-0.34490013167299999</v>
      </c>
      <c r="T7" s="410">
        <v>5</v>
      </c>
      <c r="U7" s="410" t="s">
        <v>276</v>
      </c>
      <c r="V7" s="410"/>
      <c r="W7" s="410"/>
    </row>
    <row ht="15.75" r="8" spans="3:23" thickBot="1" x14ac:dyDescent="0.3">
      <c r="C8" s="400" t="s">
        <v>4</v>
      </c>
      <c r="D8" s="401">
        <f>SUM(D4:D7)</f>
        <v>713812.37499234092</v>
      </c>
      <c r="E8" s="402"/>
      <c r="F8" s="400" t="s">
        <v>4</v>
      </c>
      <c r="G8" s="401">
        <f>SUM(G4:G7)</f>
        <v>663238</v>
      </c>
      <c r="H8" s="436"/>
      <c r="I8" s="436"/>
      <c r="J8" s="436" t="s">
        <v>254</v>
      </c>
      <c r="K8" s="438">
        <v>1</v>
      </c>
      <c r="M8" s="385" t="str">
        <f>VLOOKUP(N8,Coeff_Descr!$A:$D,3,FALSE)</f>
        <v>ALL</v>
      </c>
      <c r="N8" s="385">
        <f>OtherTourDestination!B16</f>
        <v>6</v>
      </c>
      <c r="O8" s="385" t="str">
        <f>OtherTourDestination!C16</f>
        <v>Beta00006</v>
      </c>
      <c r="P8" s="387">
        <f>OtherTourDestination!E16</f>
        <v>-8.2865473150899996E-2</v>
      </c>
      <c r="Q8" s="426">
        <f si="0" t="shared"/>
        <v>-8.2865473150899996E-2</v>
      </c>
      <c r="T8" s="410"/>
      <c r="U8" s="410"/>
      <c r="V8" s="410"/>
      <c r="W8" s="410"/>
    </row>
    <row r="9" spans="3:23" x14ac:dyDescent="0.25">
      <c r="M9" s="385" t="str">
        <f>VLOOKUP(N9,Coeff_Descr!$A:$D,3,FALSE)</f>
        <v>ALL</v>
      </c>
      <c r="N9" s="385">
        <f>OtherTourDestination!B17</f>
        <v>7</v>
      </c>
      <c r="O9" s="385" t="str">
        <f>OtherTourDestination!C17</f>
        <v>Beta00007</v>
      </c>
      <c r="P9" s="387">
        <f>OtherTourDestination!E17</f>
        <v>-3.9895313632499998</v>
      </c>
      <c r="Q9" s="426">
        <f si="0" t="shared"/>
        <v>-3.9895313632499998</v>
      </c>
      <c r="T9" s="410"/>
      <c r="U9" s="463" t="s">
        <v>277</v>
      </c>
      <c r="V9" s="410"/>
      <c r="W9" s="410"/>
    </row>
    <row ht="15.75" r="10" spans="3:23" thickBot="1" x14ac:dyDescent="0.3">
      <c r="C10" s="403" t="s">
        <v>63</v>
      </c>
      <c r="I10" s="439" t="s">
        <v>255</v>
      </c>
      <c r="J10" s="440"/>
      <c r="K10" s="440"/>
      <c r="L10" s="390"/>
      <c r="M10" s="385" t="str">
        <f>VLOOKUP(N10,Coeff_Descr!$A:$D,3,FALSE)</f>
        <v>ALL</v>
      </c>
      <c r="N10" s="385">
        <f>OtherTourDestination!B18</f>
        <v>8</v>
      </c>
      <c r="O10" s="385" t="str">
        <f>OtherTourDestination!C18</f>
        <v>Beta00008</v>
      </c>
      <c r="P10" s="387">
        <f>OtherTourDestination!E18</f>
        <v>6.9400000000000003E-2</v>
      </c>
      <c r="Q10" s="426">
        <f si="0" t="shared"/>
        <v>6.9400000000000003E-2</v>
      </c>
      <c r="T10" s="410">
        <v>1</v>
      </c>
      <c r="U10" s="383" t="s">
        <v>272</v>
      </c>
      <c r="V10" s="410"/>
      <c r="W10" s="410"/>
    </row>
    <row r="11" spans="3:23" x14ac:dyDescent="0.25">
      <c r="C11" s="388" t="s">
        <v>3</v>
      </c>
      <c r="D11" s="389" t="s">
        <v>44</v>
      </c>
      <c r="F11" s="388" t="s">
        <v>3</v>
      </c>
      <c r="G11" s="389" t="s">
        <v>44</v>
      </c>
      <c r="H11" s="434"/>
      <c r="I11" s="389" t="s">
        <v>256</v>
      </c>
      <c r="J11" s="389" t="s">
        <v>257</v>
      </c>
      <c r="K11" s="389" t="s">
        <v>258</v>
      </c>
      <c r="L11" s="404"/>
      <c r="M11" s="385" t="str">
        <f>VLOOKUP(N11,Coeff_Descr!$A:$D,3,FALSE)</f>
        <v>ALL</v>
      </c>
      <c r="N11" s="385">
        <f>OtherTourDestination!B19</f>
        <v>9</v>
      </c>
      <c r="O11" s="385" t="str">
        <f>OtherTourDestination!C19</f>
        <v>Beta00009</v>
      </c>
      <c r="P11" s="387">
        <f>OtherTourDestination!E19</f>
        <v>-9.5820044919499997E-2</v>
      </c>
      <c r="Q11" s="426">
        <f si="0" t="shared"/>
        <v>-9.5820044919499997E-2</v>
      </c>
      <c r="T11" s="410">
        <v>2</v>
      </c>
      <c r="U11" s="410" t="s">
        <v>278</v>
      </c>
      <c r="V11" s="410"/>
      <c r="W11" s="410"/>
    </row>
    <row r="12" spans="3:23" x14ac:dyDescent="0.25">
      <c r="C12" s="391" t="s">
        <v>47</v>
      </c>
      <c r="D12" s="405">
        <f>D4/D$8</f>
        <v>3.8755046744568734E-2</v>
      </c>
      <c r="F12" s="391" t="s">
        <v>47</v>
      </c>
      <c r="G12" s="405">
        <f>G4/G$8</f>
        <v>0.12547079630539867</v>
      </c>
      <c r="H12" s="405"/>
      <c r="I12" s="441">
        <f>D12/G12</f>
        <v>0.30887702864528011</v>
      </c>
      <c r="J12" s="442">
        <f>LN(I12)</f>
        <v>-1.1748120468429519</v>
      </c>
      <c r="K12" s="442">
        <f>K8*J12</f>
        <v>-1.1748120468429519</v>
      </c>
      <c r="L12" s="404"/>
      <c r="M12" s="385" t="str">
        <f>VLOOKUP(N12,Coeff_Descr!$A:$D,3,FALSE)</f>
        <v>ALL</v>
      </c>
      <c r="N12" s="385">
        <f>OtherTourDestination!B20</f>
        <v>10</v>
      </c>
      <c r="O12" s="385" t="str">
        <f>OtherTourDestination!C20</f>
        <v>Beta00010</v>
      </c>
      <c r="P12" s="387">
        <f>OtherTourDestination!E20</f>
        <v>0.517563261484</v>
      </c>
      <c r="Q12" s="426">
        <f si="0" t="shared"/>
        <v>0.517563261484</v>
      </c>
      <c r="T12" s="410">
        <v>3</v>
      </c>
      <c r="U12" s="410" t="s">
        <v>279</v>
      </c>
      <c r="V12" s="410"/>
      <c r="W12" s="410"/>
    </row>
    <row r="13" spans="3:23" x14ac:dyDescent="0.25">
      <c r="C13" s="394" t="s">
        <v>50</v>
      </c>
      <c r="D13" s="406">
        <f ref="D13:D16" si="1" t="shared">D5/D$8</f>
        <v>0.16227246964177236</v>
      </c>
      <c r="F13" s="394" t="s">
        <v>50</v>
      </c>
      <c r="G13" s="406">
        <f ref="G13:G16" si="2" t="shared">G5/G$8</f>
        <v>0.16244621086246566</v>
      </c>
      <c r="H13" s="406"/>
      <c r="I13" s="441">
        <f ref="I13:I15" si="3" t="shared">D13/G13</f>
        <v>0.99893046923180995</v>
      </c>
      <c r="J13" s="442">
        <f ref="J13:J15" si="4" t="shared">LN(I13)</f>
        <v>-1.0701031243601884E-3</v>
      </c>
      <c r="K13" s="442">
        <f>K8*(J13-J12)</f>
        <v>1.1737419437185916</v>
      </c>
      <c r="L13" s="404"/>
      <c r="M13" s="385" t="str">
        <f>VLOOKUP(N13,Coeff_Descr!$A:$D,3,FALSE)</f>
        <v>ALL</v>
      </c>
      <c r="N13" s="385">
        <f>OtherTourDestination!B21</f>
        <v>11</v>
      </c>
      <c r="O13" s="385" t="str">
        <f>OtherTourDestination!C21</f>
        <v>Beta00011</v>
      </c>
      <c r="P13" s="387">
        <f>OtherTourDestination!E21</f>
        <v>-0.80352358260699996</v>
      </c>
      <c r="Q13" s="426">
        <f si="0" t="shared"/>
        <v>-0.80352358260699996</v>
      </c>
      <c r="T13" s="410">
        <v>4</v>
      </c>
      <c r="U13" s="410" t="s">
        <v>280</v>
      </c>
      <c r="V13" s="410"/>
      <c r="W13" s="410"/>
    </row>
    <row r="14" spans="3:23" x14ac:dyDescent="0.25">
      <c r="C14" s="394" t="s">
        <v>53</v>
      </c>
      <c r="D14" s="406">
        <f si="1" t="shared"/>
        <v>0.57474196639422082</v>
      </c>
      <c r="F14" s="394" t="s">
        <v>53</v>
      </c>
      <c r="G14" s="406">
        <f si="2" t="shared"/>
        <v>0.46189527741172853</v>
      </c>
      <c r="H14" s="406"/>
      <c r="I14" s="441">
        <f si="3" t="shared"/>
        <v>1.2443122813786682</v>
      </c>
      <c r="J14" s="442">
        <f si="4" t="shared"/>
        <v>0.21858299286137836</v>
      </c>
      <c r="K14" s="442">
        <f>K8*(J14-J13-J12)</f>
        <v>1.3944651428286905</v>
      </c>
      <c r="L14" s="407"/>
      <c r="M14" s="385" t="str">
        <f>VLOOKUP(N14,Coeff_Descr!$A:$D,3,FALSE)</f>
        <v>ALL</v>
      </c>
      <c r="N14" s="385">
        <f>OtherTourDestination!B22</f>
        <v>12</v>
      </c>
      <c r="O14" s="385" t="str">
        <f>OtherTourDestination!C22</f>
        <v>Beta00012</v>
      </c>
      <c r="P14" s="387">
        <f>OtherTourDestination!E22</f>
        <v>-0.80534348065299999</v>
      </c>
      <c r="Q14" s="426">
        <f si="0" t="shared"/>
        <v>-0.80534348065299999</v>
      </c>
      <c r="T14" s="410">
        <v>5</v>
      </c>
      <c r="U14" s="383" t="s">
        <v>281</v>
      </c>
      <c r="V14" s="410"/>
      <c r="W14" s="410"/>
    </row>
    <row ht="15.75" r="15" spans="3:23" thickBot="1" x14ac:dyDescent="0.3">
      <c r="C15" s="397" t="s">
        <v>56</v>
      </c>
      <c r="D15" s="406">
        <f si="1" t="shared"/>
        <v>0.22423051721943807</v>
      </c>
      <c r="F15" s="397" t="s">
        <v>56</v>
      </c>
      <c r="G15" s="406">
        <f si="2" t="shared"/>
        <v>0.25018771542040713</v>
      </c>
      <c r="H15" s="406"/>
      <c r="I15" s="443">
        <f si="3" t="shared"/>
        <v>0.89624910976403682</v>
      </c>
      <c r="J15" s="444">
        <f si="4" t="shared"/>
        <v>-0.10953688035857785</v>
      </c>
      <c r="K15" s="444">
        <f>K8*(J15-J14-J13-J12)</f>
        <v>0.84776227674735583</v>
      </c>
      <c r="M15" s="385" t="str">
        <f>VLOOKUP(N15,Coeff_Descr!$A:$D,3,FALSE)</f>
        <v>ALL</v>
      </c>
      <c r="N15" s="385">
        <f>OtherTourDestination!B23</f>
        <v>13</v>
      </c>
      <c r="O15" s="385" t="str">
        <f>OtherTourDestination!C23</f>
        <v>Beta00013</v>
      </c>
      <c r="P15" s="387">
        <f>OtherTourDestination!E23</f>
        <v>-0.51977799879300002</v>
      </c>
      <c r="Q15" s="426">
        <f si="0" t="shared"/>
        <v>-0.51977799879300002</v>
      </c>
      <c r="T15" s="410">
        <v>6</v>
      </c>
      <c r="U15" s="410" t="s">
        <v>282</v>
      </c>
      <c r="V15" s="410"/>
      <c r="W15" s="410"/>
    </row>
    <row ht="15.75" r="16" spans="3:23" thickBot="1" x14ac:dyDescent="0.3">
      <c r="C16" s="400" t="s">
        <v>4</v>
      </c>
      <c r="D16" s="408">
        <f si="1" t="shared"/>
        <v>1</v>
      </c>
      <c r="E16" s="402"/>
      <c r="F16" s="400" t="s">
        <v>4</v>
      </c>
      <c r="G16" s="408">
        <f si="2" t="shared"/>
        <v>1</v>
      </c>
      <c r="H16" s="437"/>
      <c r="I16" s="441"/>
      <c r="J16" s="441"/>
      <c r="K16" s="441"/>
      <c r="M16" s="385" t="str">
        <f>VLOOKUP(N16,Coeff_Descr!$A:$D,3,FALSE)</f>
        <v>ALL</v>
      </c>
      <c r="N16" s="385">
        <f>OtherTourDestination!B24</f>
        <v>14</v>
      </c>
      <c r="O16" s="385" t="str">
        <f>OtherTourDestination!C24</f>
        <v>Beta00014</v>
      </c>
      <c r="P16" s="387">
        <f>OtherTourDestination!E24</f>
        <v>-0.27562686954600002</v>
      </c>
      <c r="Q16" s="426">
        <f si="0" t="shared"/>
        <v>-0.27562686954600002</v>
      </c>
      <c r="T16" s="410">
        <v>7</v>
      </c>
      <c r="U16" s="410" t="s">
        <v>275</v>
      </c>
      <c r="V16" s="410"/>
      <c r="W16" s="410"/>
    </row>
    <row r="17" spans="2:23" x14ac:dyDescent="0.25">
      <c r="M17" s="385" t="str">
        <f>VLOOKUP(N17,Coeff_Descr!$A:$D,3,FALSE)</f>
        <v>ALL</v>
      </c>
      <c r="N17" s="385">
        <f>OtherTourDestination!B25</f>
        <v>15</v>
      </c>
      <c r="O17" s="385" t="str">
        <f>OtherTourDestination!C25</f>
        <v>Beta00015</v>
      </c>
      <c r="P17" s="387">
        <f>OtherTourDestination!E25</f>
        <v>-0.55245424085299999</v>
      </c>
      <c r="Q17" s="426">
        <f si="0" t="shared"/>
        <v>-0.55245424085299999</v>
      </c>
      <c r="T17" s="410">
        <v>8</v>
      </c>
      <c r="U17" s="410" t="s">
        <v>283</v>
      </c>
      <c r="V17" s="410"/>
      <c r="W17" s="410"/>
    </row>
    <row r="18" spans="2:23" x14ac:dyDescent="0.25">
      <c r="I18" s="445"/>
      <c r="J18" s="445"/>
      <c r="K18" s="442"/>
      <c r="M18" s="385" t="str">
        <f>VLOOKUP(N18,Coeff_Descr!$A:$D,3,FALSE)</f>
        <v>ALL</v>
      </c>
      <c r="N18" s="385">
        <f>OtherTourDestination!B26</f>
        <v>16</v>
      </c>
      <c r="O18" s="385" t="str">
        <f>OtherTourDestination!C26</f>
        <v>Beta00016</v>
      </c>
      <c r="P18" s="387">
        <f>OtherTourDestination!E26</f>
        <v>-0.493022087256</v>
      </c>
      <c r="Q18" s="426">
        <f si="0" t="shared"/>
        <v>-0.493022087256</v>
      </c>
    </row>
    <row r="19" spans="2:23" x14ac:dyDescent="0.25">
      <c r="C19" s="409" t="s">
        <v>82</v>
      </c>
      <c r="I19" s="445"/>
      <c r="J19" s="445"/>
      <c r="K19" s="442"/>
      <c r="M19" s="385" t="str">
        <f>VLOOKUP(N19,Coeff_Descr!$A:$D,3,FALSE)</f>
        <v>ALL</v>
      </c>
      <c r="N19" s="385">
        <f>OtherTourDestination!B27</f>
        <v>17</v>
      </c>
      <c r="O19" s="385" t="str">
        <f>OtherTourDestination!C27</f>
        <v>Beta00017</v>
      </c>
      <c r="P19" s="387">
        <f>OtherTourDestination!E27</f>
        <v>0</v>
      </c>
      <c r="Q19" s="426">
        <f si="0" t="shared"/>
        <v>0</v>
      </c>
    </row>
    <row r="20" spans="2:23" x14ac:dyDescent="0.25">
      <c r="C20" s="409" t="s">
        <v>85</v>
      </c>
      <c r="I20" s="445"/>
      <c r="J20" s="445"/>
      <c r="K20" s="442"/>
      <c r="M20" s="385" t="str">
        <f>VLOOKUP(N20,Coeff_Descr!$A:$D,3,FALSE)</f>
        <v>ALL</v>
      </c>
      <c r="N20" s="385">
        <f>OtherTourDestination!B28</f>
        <v>18</v>
      </c>
      <c r="O20" s="385" t="str">
        <f>OtherTourDestination!C28</f>
        <v>Beta00018</v>
      </c>
      <c r="P20" s="387">
        <f>OtherTourDestination!E28</f>
        <v>0</v>
      </c>
      <c r="Q20" s="426">
        <f si="0" t="shared"/>
        <v>0</v>
      </c>
    </row>
    <row ht="15.75" r="21" spans="2:23" thickBot="1" x14ac:dyDescent="0.3">
      <c r="C21" s="410"/>
      <c r="I21" s="445"/>
      <c r="J21" s="445"/>
      <c r="K21" s="442"/>
      <c r="M21" s="385" t="str">
        <f>VLOOKUP(N21,Coeff_Descr!$A:$D,3,FALSE)</f>
        <v>ALL</v>
      </c>
      <c r="N21" s="385">
        <f>OtherTourDestination!B29</f>
        <v>19</v>
      </c>
      <c r="O21" s="385" t="str">
        <f>OtherTourDestination!C29</f>
        <v>Beta00019</v>
      </c>
      <c r="P21" s="387">
        <f>OtherTourDestination!E29</f>
        <v>0</v>
      </c>
      <c r="Q21" s="426">
        <f si="0" t="shared"/>
        <v>0</v>
      </c>
    </row>
    <row r="22" spans="2:23" x14ac:dyDescent="0.25">
      <c r="B22" s="447" t="s">
        <v>259</v>
      </c>
      <c r="C22" s="411" t="s">
        <v>91</v>
      </c>
      <c r="D22" s="412"/>
      <c r="M22" s="385" t="str">
        <f>VLOOKUP(N22,Coeff_Descr!$A:$D,3,FALSE)</f>
        <v>ESCORT</v>
      </c>
      <c r="N22" s="385">
        <f>OtherTourDestination!B30</f>
        <v>20</v>
      </c>
      <c r="O22" s="385" t="str">
        <f>OtherTourDestination!C30</f>
        <v>Beta00020</v>
      </c>
      <c r="P22" s="387">
        <f>OtherTourDestination!E30</f>
        <v>0.63771148688699997</v>
      </c>
      <c r="Q22" s="426">
        <f si="0" t="shared"/>
        <v>0.63771148688699997</v>
      </c>
    </row>
    <row r="23" spans="2:23" x14ac:dyDescent="0.25">
      <c r="B23" s="448">
        <v>27</v>
      </c>
      <c r="C23" s="391" t="s">
        <v>47</v>
      </c>
      <c r="D23" s="465">
        <f>VLOOKUP($B23,$N:$P,3,FALSE)</f>
        <v>-14.8384910501</v>
      </c>
      <c r="I23" s="446"/>
      <c r="J23" s="446"/>
      <c r="K23" s="446"/>
      <c r="M23" s="385" t="str">
        <f>VLOOKUP(N23,Coeff_Descr!$A:$D,3,FALSE)</f>
        <v>ESCORT</v>
      </c>
      <c r="N23" s="385">
        <f>OtherTourDestination!B31</f>
        <v>21</v>
      </c>
      <c r="O23" s="385" t="str">
        <f>OtherTourDestination!C31</f>
        <v>Beta00021</v>
      </c>
      <c r="P23" s="387">
        <f>OtherTourDestination!E31</f>
        <v>-12.0946718381</v>
      </c>
      <c r="Q23" s="426">
        <f si="0" t="shared"/>
        <v>-12.0946718381</v>
      </c>
    </row>
    <row r="24" spans="2:23" x14ac:dyDescent="0.25">
      <c r="B24" s="448">
        <v>28</v>
      </c>
      <c r="C24" s="394" t="s">
        <v>50</v>
      </c>
      <c r="D24" s="465">
        <f ref="D24:D26" si="5" t="shared">VLOOKUP($B24,$N:$P,3,FALSE)</f>
        <v>-5.1880432348000003</v>
      </c>
      <c r="M24" s="385" t="str">
        <f>VLOOKUP(N24,Coeff_Descr!$A:$D,3,FALSE)</f>
        <v>ESCORT</v>
      </c>
      <c r="N24" s="385">
        <f>OtherTourDestination!B32</f>
        <v>22</v>
      </c>
      <c r="O24" s="385" t="str">
        <f>OtherTourDestination!C32</f>
        <v>Beta00022</v>
      </c>
      <c r="P24" s="387">
        <f>OtherTourDestination!E32</f>
        <v>-4.03623745316</v>
      </c>
      <c r="Q24" s="426">
        <f si="0" t="shared"/>
        <v>-4.03623745316</v>
      </c>
    </row>
    <row r="25" spans="2:23" x14ac:dyDescent="0.25">
      <c r="B25" s="448">
        <v>29</v>
      </c>
      <c r="C25" s="394" t="s">
        <v>53</v>
      </c>
      <c r="D25" s="465">
        <f si="5" t="shared"/>
        <v>-2.6156308707</v>
      </c>
      <c r="M25" s="385" t="str">
        <f>VLOOKUP(N25,Coeff_Descr!$A:$D,3,FALSE)</f>
        <v>ESCORT</v>
      </c>
      <c r="N25" s="385">
        <f>OtherTourDestination!B33</f>
        <v>23</v>
      </c>
      <c r="O25" s="385" t="str">
        <f>OtherTourDestination!C33</f>
        <v>Beta00023</v>
      </c>
      <c r="P25" s="387">
        <f>OtherTourDestination!E33</f>
        <v>-2.16371815818</v>
      </c>
      <c r="Q25" s="426">
        <f si="0" t="shared"/>
        <v>-2.16371815818</v>
      </c>
    </row>
    <row ht="15.75" r="26" spans="2:23" thickBot="1" x14ac:dyDescent="0.3">
      <c r="B26" s="449">
        <v>30</v>
      </c>
      <c r="C26" s="414" t="s">
        <v>56</v>
      </c>
      <c r="D26" s="466">
        <f si="5" t="shared"/>
        <v>-0.91046169190000004</v>
      </c>
      <c r="M26" s="385" t="str">
        <f>VLOOKUP(N26,Coeff_Descr!$A:$D,3,FALSE)</f>
        <v>ESCORT</v>
      </c>
      <c r="N26" s="385">
        <f>OtherTourDestination!B34</f>
        <v>24</v>
      </c>
      <c r="O26" s="385" t="str">
        <f>OtherTourDestination!C34</f>
        <v>Beta00024</v>
      </c>
      <c r="P26" s="387">
        <f>OtherTourDestination!E34</f>
        <v>0.10429329553199999</v>
      </c>
      <c r="Q26" s="426">
        <f si="0" t="shared"/>
        <v>0.10429329553199999</v>
      </c>
    </row>
    <row r="27" spans="2:23" x14ac:dyDescent="0.25">
      <c r="C27" s="410"/>
      <c r="D27" s="416"/>
      <c r="M27" s="385" t="str">
        <f>VLOOKUP(N27,Coeff_Descr!$A:$D,3,FALSE)</f>
        <v>ESCORT</v>
      </c>
      <c r="N27" s="385">
        <f>OtherTourDestination!B35</f>
        <v>25</v>
      </c>
      <c r="O27" s="385" t="str">
        <f>OtherTourDestination!C35</f>
        <v>Beta00025</v>
      </c>
      <c r="P27" s="387">
        <f>OtherTourDestination!E35</f>
        <v>0</v>
      </c>
      <c r="Q27" s="426">
        <f si="0" t="shared"/>
        <v>0</v>
      </c>
    </row>
    <row r="28" spans="2:23" x14ac:dyDescent="0.25">
      <c r="C28" s="410"/>
      <c r="D28" s="416"/>
      <c r="M28" s="385" t="str">
        <f>VLOOKUP(N28,Coeff_Descr!$A:$D,3,FALSE)</f>
        <v>PERSBUS/MED</v>
      </c>
      <c r="N28" s="385">
        <f>OtherTourDestination!B36</f>
        <v>26</v>
      </c>
      <c r="O28" s="385" t="str">
        <f>OtherTourDestination!C36</f>
        <v>Beta00026</v>
      </c>
      <c r="P28" s="387">
        <f>OtherTourDestination!E36</f>
        <v>0.417326479157</v>
      </c>
      <c r="Q28" s="426">
        <f si="0" t="shared"/>
        <v>0.417326479157</v>
      </c>
    </row>
    <row r="29" spans="2:23" x14ac:dyDescent="0.25">
      <c r="C29" s="409" t="s">
        <v>82</v>
      </c>
      <c r="D29" s="417"/>
      <c r="M29" s="385" t="str">
        <f>VLOOKUP(N29,Coeff_Descr!$A:$D,3,FALSE)</f>
        <v>PERSBUS/MED</v>
      </c>
      <c r="N29" s="427">
        <f>OtherTourDestination!B37</f>
        <v>27</v>
      </c>
      <c r="O29" s="427" t="str">
        <f>OtherTourDestination!C37</f>
        <v>Beta00027</v>
      </c>
      <c r="P29" s="428">
        <f>OtherTourDestination!E37</f>
        <v>-14.8384910501</v>
      </c>
      <c r="Q29" s="429">
        <f si="0" t="shared"/>
        <v>-16.013303096942952</v>
      </c>
      <c r="R29" s="385" t="str">
        <f>VLOOKUP(N29,Coeff_Descr!$A$2:$E$104,4,FALSE)</f>
        <v>distanceFromOrigin4</v>
      </c>
    </row>
    <row r="30" spans="2:23" x14ac:dyDescent="0.25">
      <c r="C30" s="409" t="s">
        <v>107</v>
      </c>
      <c r="D30" s="417"/>
      <c r="M30" s="385" t="str">
        <f>VLOOKUP(N30,Coeff_Descr!$A:$D,3,FALSE)</f>
        <v>PERSBUS/MED</v>
      </c>
      <c r="N30" s="427">
        <f>OtherTourDestination!B38</f>
        <v>28</v>
      </c>
      <c r="O30" s="427" t="str">
        <f>OtherTourDestination!C38</f>
        <v>Beta00028</v>
      </c>
      <c r="P30" s="428">
        <f>OtherTourDestination!E38</f>
        <v>-5.1880432348000003</v>
      </c>
      <c r="Q30" s="429">
        <f si="0" t="shared"/>
        <v>-4.0143012910814084</v>
      </c>
      <c r="R30" s="385" t="str">
        <f>VLOOKUP(N30,Coeff_Descr!$A$2:$E$104,4,FALSE)</f>
        <v>distanceFromOrigin8</v>
      </c>
    </row>
    <row ht="15.75" r="31" spans="2:23" thickBot="1" x14ac:dyDescent="0.3">
      <c r="C31" s="410"/>
      <c r="D31" s="416"/>
      <c r="M31" s="385" t="str">
        <f>VLOOKUP(N31,Coeff_Descr!$A:$D,3,FALSE)</f>
        <v>PERSBUS/MED</v>
      </c>
      <c r="N31" s="427">
        <f>OtherTourDestination!B39</f>
        <v>29</v>
      </c>
      <c r="O31" s="427" t="str">
        <f>OtherTourDestination!C39</f>
        <v>Beta00029</v>
      </c>
      <c r="P31" s="428">
        <f>OtherTourDestination!E39</f>
        <v>-2.6156308707</v>
      </c>
      <c r="Q31" s="429">
        <f si="0" t="shared"/>
        <v>-1.2211657278713095</v>
      </c>
      <c r="R31" s="385" t="str">
        <f>VLOOKUP(N31,Coeff_Descr!$A$2:$E$104,4,FALSE)</f>
        <v>distanceFromOrigin9</v>
      </c>
    </row>
    <row r="32" spans="2:23" x14ac:dyDescent="0.25">
      <c r="B32" s="447" t="s">
        <v>259</v>
      </c>
      <c r="C32" s="411" t="s">
        <v>91</v>
      </c>
      <c r="D32" s="412"/>
      <c r="M32" s="385" t="str">
        <f>VLOOKUP(N32,Coeff_Descr!$A:$D,3,FALSE)</f>
        <v>PERSBUS/MED</v>
      </c>
      <c r="N32" s="427">
        <f>OtherTourDestination!B40</f>
        <v>30</v>
      </c>
      <c r="O32" s="427" t="str">
        <f>OtherTourDestination!C40</f>
        <v>Beta00030</v>
      </c>
      <c r="P32" s="428">
        <f>OtherTourDestination!E40</f>
        <v>-0.91046169190000004</v>
      </c>
      <c r="Q32" s="429">
        <f si="0" t="shared"/>
        <v>-6.2699415152644211E-2</v>
      </c>
      <c r="R32" s="385" t="str">
        <f>VLOOKUP(N32,Coeff_Descr!$A$2:$E$104,4,FALSE)</f>
        <v>distanceFromOrigin3</v>
      </c>
    </row>
    <row r="33" spans="2:17" x14ac:dyDescent="0.25">
      <c r="B33" s="448">
        <f>B23</f>
        <v>27</v>
      </c>
      <c r="C33" s="391" t="s">
        <v>47</v>
      </c>
      <c r="D33" s="467">
        <f>K12</f>
        <v>-1.1748120468429519</v>
      </c>
      <c r="M33" s="385" t="str">
        <f>VLOOKUP(N33,Coeff_Descr!$A:$D,3,FALSE)</f>
        <v>PERSBUS/MED</v>
      </c>
      <c r="N33" s="385">
        <f>OtherTourDestination!B41</f>
        <v>31</v>
      </c>
      <c r="O33" s="385" t="str">
        <f>OtherTourDestination!C41</f>
        <v>Beta00031</v>
      </c>
      <c r="P33" s="387">
        <f>OtherTourDestination!E41</f>
        <v>5.7553461640599997E-2</v>
      </c>
      <c r="Q33" s="426">
        <f si="0" t="shared"/>
        <v>5.7553461640599997E-2</v>
      </c>
    </row>
    <row r="34" spans="2:17" x14ac:dyDescent="0.25">
      <c r="B34" s="448">
        <f ref="B34:B36" si="6" t="shared">B24</f>
        <v>28</v>
      </c>
      <c r="C34" s="394" t="s">
        <v>50</v>
      </c>
      <c r="D34" s="468">
        <f ref="D34:D36" si="7" t="shared">K13</f>
        <v>1.1737419437185916</v>
      </c>
      <c r="M34" s="385" t="str">
        <f>VLOOKUP(N34,Coeff_Descr!$A:$D,3,FALSE)</f>
        <v>PERSBUS/MED</v>
      </c>
      <c r="N34" s="385">
        <f>OtherTourDestination!B42</f>
        <v>32</v>
      </c>
      <c r="O34" s="385" t="str">
        <f>OtherTourDestination!C42</f>
        <v>Beta00032</v>
      </c>
      <c r="P34" s="387">
        <f>OtherTourDestination!E42</f>
        <v>0.237798002151</v>
      </c>
      <c r="Q34" s="426">
        <f si="0" t="shared"/>
        <v>0.237798002151</v>
      </c>
    </row>
    <row r="35" spans="2:17" x14ac:dyDescent="0.25">
      <c r="B35" s="448">
        <f si="6" t="shared"/>
        <v>29</v>
      </c>
      <c r="C35" s="394" t="s">
        <v>53</v>
      </c>
      <c r="D35" s="468">
        <f si="7" t="shared"/>
        <v>1.3944651428286905</v>
      </c>
      <c r="G35" s="418"/>
      <c r="H35" s="418"/>
      <c r="I35" s="418"/>
      <c r="J35" s="418"/>
      <c r="K35" s="418"/>
      <c r="M35" s="385" t="str">
        <f>VLOOKUP(N35,Coeff_Descr!$A:$D,3,FALSE)</f>
        <v>PERSBUS/MED</v>
      </c>
      <c r="N35" s="385">
        <f>OtherTourDestination!B43</f>
        <v>33</v>
      </c>
      <c r="O35" s="385" t="str">
        <f>OtherTourDestination!C43</f>
        <v>Beta00033</v>
      </c>
      <c r="P35" s="387">
        <f>OtherTourDestination!E43</f>
        <v>0</v>
      </c>
      <c r="Q35" s="426">
        <f si="0" t="shared"/>
        <v>0</v>
      </c>
    </row>
    <row ht="15.75" r="36" spans="2:17" thickBot="1" x14ac:dyDescent="0.3">
      <c r="B36" s="450">
        <f si="6" t="shared"/>
        <v>30</v>
      </c>
      <c r="C36" s="414" t="s">
        <v>56</v>
      </c>
      <c r="D36" s="415">
        <f si="7" t="shared"/>
        <v>0.84776227674735583</v>
      </c>
      <c r="G36" s="419"/>
      <c r="H36" s="419"/>
      <c r="I36" s="419"/>
      <c r="J36" s="419"/>
      <c r="K36" s="419"/>
      <c r="M36" s="385" t="str">
        <f>VLOOKUP(N36,Coeff_Descr!$A:$D,3,FALSE)</f>
        <v>PERSBUS/MED</v>
      </c>
      <c r="N36" s="385">
        <f>OtherTourDestination!B44</f>
        <v>34</v>
      </c>
      <c r="O36" s="385" t="str">
        <f>OtherTourDestination!C44</f>
        <v>Beta00034</v>
      </c>
      <c r="P36" s="387">
        <f>OtherTourDestination!E44</f>
        <v>0</v>
      </c>
      <c r="Q36" s="426">
        <f si="0" t="shared"/>
        <v>0</v>
      </c>
    </row>
    <row ht="15.75" r="37" spans="2:17" thickTop="1" x14ac:dyDescent="0.25">
      <c r="C37" s="410"/>
      <c r="D37" s="413"/>
      <c r="M37" s="385" t="str">
        <f>VLOOKUP(N37,Coeff_Descr!$A:$D,3,FALSE)</f>
        <v>PERSBUS/MED</v>
      </c>
      <c r="N37" s="385">
        <f>OtherTourDestination!B45</f>
        <v>35</v>
      </c>
      <c r="O37" s="385" t="str">
        <f>OtherTourDestination!C45</f>
        <v>Beta00035</v>
      </c>
      <c r="P37" s="387">
        <f>OtherTourDestination!E45</f>
        <v>0</v>
      </c>
      <c r="Q37" s="426">
        <f si="0" t="shared"/>
        <v>0</v>
      </c>
    </row>
    <row r="38" spans="2:17" x14ac:dyDescent="0.25">
      <c r="C38" s="410"/>
      <c r="D38" s="413"/>
      <c r="M38" s="385" t="str">
        <f>VLOOKUP(N38,Coeff_Descr!$A:$D,3,FALSE)</f>
        <v>SHOP</v>
      </c>
      <c r="N38" s="385">
        <f>OtherTourDestination!B46</f>
        <v>36</v>
      </c>
      <c r="O38" s="385" t="str">
        <f>OtherTourDestination!C46</f>
        <v>Beta00036</v>
      </c>
      <c r="P38" s="387">
        <f>OtherTourDestination!E46</f>
        <v>0.61259135262599995</v>
      </c>
      <c r="Q38" s="426">
        <f si="0" t="shared"/>
        <v>0.61259135262599995</v>
      </c>
    </row>
    <row r="39" spans="2:17" x14ac:dyDescent="0.25">
      <c r="C39" s="409" t="s">
        <v>82</v>
      </c>
      <c r="D39" s="420"/>
      <c r="M39" s="385" t="str">
        <f>VLOOKUP(N39,Coeff_Descr!$A:$D,3,FALSE)</f>
        <v>SHOP</v>
      </c>
      <c r="N39" s="422">
        <f>OtherTourDestination!B47</f>
        <v>37</v>
      </c>
      <c r="O39" s="422" t="str">
        <f>OtherTourDestination!C47</f>
        <v>Beta00037</v>
      </c>
      <c r="P39" s="464">
        <f>OtherTourDestination!E47</f>
        <v>-20.810228388700001</v>
      </c>
      <c r="Q39" s="426">
        <f si="0" t="shared"/>
        <v>-20.810228388700001</v>
      </c>
    </row>
    <row r="40" spans="2:17" x14ac:dyDescent="0.25">
      <c r="C40" s="409" t="s">
        <v>125</v>
      </c>
      <c r="D40" s="420"/>
      <c r="M40" s="385" t="str">
        <f>VLOOKUP(N40,Coeff_Descr!$A:$D,3,FALSE)</f>
        <v>SHOP</v>
      </c>
      <c r="N40" s="422">
        <f>OtherTourDestination!B48</f>
        <v>38</v>
      </c>
      <c r="O40" s="422" t="str">
        <f>OtherTourDestination!C48</f>
        <v>Beta00038</v>
      </c>
      <c r="P40" s="464">
        <f>OtherTourDestination!E48</f>
        <v>-7.1836373472300004</v>
      </c>
      <c r="Q40" s="426">
        <f si="0" t="shared"/>
        <v>-7.1836373472300004</v>
      </c>
    </row>
    <row ht="15.75" r="41" spans="2:17" thickBot="1" x14ac:dyDescent="0.3">
      <c r="B41" s="451"/>
      <c r="C41" s="410"/>
      <c r="D41" s="413"/>
      <c r="M41" s="385" t="str">
        <f>VLOOKUP(N41,Coeff_Descr!$A:$D,3,FALSE)</f>
        <v>SHOP</v>
      </c>
      <c r="N41" s="422">
        <f>OtherTourDestination!B49</f>
        <v>39</v>
      </c>
      <c r="O41" s="422" t="str">
        <f>OtherTourDestination!C49</f>
        <v>Beta00039</v>
      </c>
      <c r="P41" s="464">
        <f>OtherTourDestination!E49</f>
        <v>-3.6600975390500001</v>
      </c>
      <c r="Q41" s="426">
        <f si="0" t="shared"/>
        <v>-3.6600975390500001</v>
      </c>
    </row>
    <row r="42" spans="2:17" x14ac:dyDescent="0.25">
      <c r="B42" s="447" t="s">
        <v>259</v>
      </c>
      <c r="C42" s="411" t="s">
        <v>91</v>
      </c>
      <c r="D42" s="421"/>
      <c r="M42" s="385" t="str">
        <f>VLOOKUP(N42,Coeff_Descr!$A:$D,3,FALSE)</f>
        <v>SHOP</v>
      </c>
      <c r="N42" s="422">
        <f>OtherTourDestination!B50</f>
        <v>40</v>
      </c>
      <c r="O42" s="422" t="str">
        <f>OtherTourDestination!C50</f>
        <v>Beta00040</v>
      </c>
      <c r="P42" s="464">
        <f>OtherTourDestination!E50</f>
        <v>-1.3605457273599999</v>
      </c>
      <c r="Q42" s="426">
        <f si="0" t="shared"/>
        <v>-1.3605457273599999</v>
      </c>
    </row>
    <row r="43" spans="2:17" x14ac:dyDescent="0.25">
      <c r="B43" s="448">
        <f>B33</f>
        <v>27</v>
      </c>
      <c r="C43" s="391" t="s">
        <v>47</v>
      </c>
      <c r="D43" s="469">
        <f>D23+D33</f>
        <v>-16.013303096942952</v>
      </c>
      <c r="M43" s="385" t="str">
        <f>VLOOKUP(N43,Coeff_Descr!$A:$D,3,FALSE)</f>
        <v>SHOP</v>
      </c>
      <c r="N43" s="385">
        <f>OtherTourDestination!B51</f>
        <v>41</v>
      </c>
      <c r="O43" s="385" t="str">
        <f>OtherTourDestination!C51</f>
        <v>Beta00041</v>
      </c>
      <c r="P43" s="387">
        <f>OtherTourDestination!E51</f>
        <v>-0.22141031751900001</v>
      </c>
      <c r="Q43" s="426">
        <f si="0" t="shared"/>
        <v>-0.22141031751900001</v>
      </c>
    </row>
    <row r="44" spans="2:17" x14ac:dyDescent="0.25">
      <c r="B44" s="448">
        <f ref="B44:B46" si="8" t="shared">B34</f>
        <v>28</v>
      </c>
      <c r="C44" s="394" t="s">
        <v>50</v>
      </c>
      <c r="D44" s="469">
        <f ref="D44:D46" si="9" t="shared">D24+D34</f>
        <v>-4.0143012910814084</v>
      </c>
      <c r="M44" s="385" t="str">
        <f>VLOOKUP(N44,Coeff_Descr!$A:$D,3,FALSE)</f>
        <v>SHOP</v>
      </c>
      <c r="N44" s="385">
        <f>OtherTourDestination!B52</f>
        <v>42</v>
      </c>
      <c r="O44" s="385" t="str">
        <f>OtherTourDestination!C52</f>
        <v>Beta00042</v>
      </c>
      <c r="P44" s="387">
        <f>OtherTourDestination!E52</f>
        <v>0.64228876129599999</v>
      </c>
      <c r="Q44" s="426">
        <f si="0" t="shared"/>
        <v>0.64228876129599999</v>
      </c>
    </row>
    <row r="45" spans="2:17" x14ac:dyDescent="0.25">
      <c r="B45" s="448">
        <f si="8" t="shared"/>
        <v>29</v>
      </c>
      <c r="C45" s="394" t="s">
        <v>53</v>
      </c>
      <c r="D45" s="469">
        <f si="9" t="shared"/>
        <v>-1.2211657278713095</v>
      </c>
      <c r="M45" s="385" t="str">
        <f>VLOOKUP(N45,Coeff_Descr!$A:$D,3,FALSE)</f>
        <v>MEAL</v>
      </c>
      <c r="N45" s="385">
        <f>OtherTourDestination!B53</f>
        <v>43</v>
      </c>
      <c r="O45" s="385" t="str">
        <f>OtherTourDestination!C53</f>
        <v>Beta00043</v>
      </c>
      <c r="P45" s="387">
        <f>OtherTourDestination!E53</f>
        <v>0.74588429254199995</v>
      </c>
      <c r="Q45" s="426">
        <f si="0" t="shared"/>
        <v>0.74588429254199995</v>
      </c>
    </row>
    <row ht="15.75" r="46" spans="2:17" thickBot="1" x14ac:dyDescent="0.3">
      <c r="B46" s="450">
        <f si="8" t="shared"/>
        <v>30</v>
      </c>
      <c r="C46" s="414" t="s">
        <v>56</v>
      </c>
      <c r="D46" s="470">
        <f si="9" t="shared"/>
        <v>-6.2699415152644211E-2</v>
      </c>
      <c r="M46" s="385" t="str">
        <f>VLOOKUP(N46,Coeff_Descr!$A:$D,3,FALSE)</f>
        <v>MEAL</v>
      </c>
      <c r="N46" s="385">
        <f>OtherTourDestination!B54</f>
        <v>44</v>
      </c>
      <c r="O46" s="385" t="str">
        <f>OtherTourDestination!C54</f>
        <v>Beta00044</v>
      </c>
      <c r="P46" s="387">
        <f>OtherTourDestination!E54</f>
        <v>-32.156094092099998</v>
      </c>
      <c r="Q46" s="426">
        <f si="0" t="shared"/>
        <v>-32.156094092099998</v>
      </c>
    </row>
    <row ht="15.75" r="47" spans="2:17" thickTop="1" x14ac:dyDescent="0.25">
      <c r="M47" s="385" t="str">
        <f>VLOOKUP(N47,Coeff_Descr!$A:$D,3,FALSE)</f>
        <v>MEAL</v>
      </c>
      <c r="N47" s="385">
        <f>OtherTourDestination!B55</f>
        <v>45</v>
      </c>
      <c r="O47" s="385" t="str">
        <f>OtherTourDestination!C55</f>
        <v>Beta00045</v>
      </c>
      <c r="P47" s="387">
        <f>OtherTourDestination!E55</f>
        <v>-7.5551873767200002</v>
      </c>
      <c r="Q47" s="426">
        <f si="0" t="shared"/>
        <v>-7.5551873767200002</v>
      </c>
    </row>
    <row r="48" spans="2:17" x14ac:dyDescent="0.25">
      <c r="M48" s="385" t="str">
        <f>VLOOKUP(N48,Coeff_Descr!$A:$D,3,FALSE)</f>
        <v>MEAL</v>
      </c>
      <c r="N48" s="385">
        <f>OtherTourDestination!B56</f>
        <v>46</v>
      </c>
      <c r="O48" s="385" t="str">
        <f>OtherTourDestination!C56</f>
        <v>Beta00046</v>
      </c>
      <c r="P48" s="387">
        <f>OtherTourDestination!E56</f>
        <v>-3.4784098231399998</v>
      </c>
      <c r="Q48" s="426">
        <f si="0" t="shared"/>
        <v>-3.4784098231399998</v>
      </c>
    </row>
    <row r="49" spans="13:17" x14ac:dyDescent="0.25">
      <c r="M49" s="385" t="str">
        <f>VLOOKUP(N49,Coeff_Descr!$A:$D,3,FALSE)</f>
        <v>MEAL</v>
      </c>
      <c r="N49" s="385">
        <f>OtherTourDestination!B57</f>
        <v>47</v>
      </c>
      <c r="O49" s="385" t="str">
        <f>OtherTourDestination!C57</f>
        <v>Beta00047</v>
      </c>
      <c r="P49" s="387">
        <f>OtherTourDestination!E57</f>
        <v>-0.79171784712299997</v>
      </c>
      <c r="Q49" s="426">
        <f si="0" t="shared"/>
        <v>-0.79171784712299997</v>
      </c>
    </row>
    <row r="50" spans="13:17" x14ac:dyDescent="0.25">
      <c r="M50" s="385" t="str">
        <f>VLOOKUP(N50,Coeff_Descr!$A:$D,3,FALSE)</f>
        <v>MEAL</v>
      </c>
      <c r="N50" s="385">
        <f>OtherTourDestination!B58</f>
        <v>48</v>
      </c>
      <c r="O50" s="385" t="str">
        <f>OtherTourDestination!C58</f>
        <v>Beta00048</v>
      </c>
      <c r="P50" s="387">
        <f>OtherTourDestination!E58</f>
        <v>0.65760260093900003</v>
      </c>
      <c r="Q50" s="426">
        <f si="0" t="shared"/>
        <v>0.65760260093900003</v>
      </c>
    </row>
    <row r="51" spans="13:17" x14ac:dyDescent="0.25">
      <c r="M51" s="385" t="str">
        <f>VLOOKUP(N51,Coeff_Descr!$A:$D,3,FALSE)</f>
        <v>SOCREC</v>
      </c>
      <c r="N51" s="385">
        <f>OtherTourDestination!B59</f>
        <v>49</v>
      </c>
      <c r="O51" s="385" t="str">
        <f>OtherTourDestination!C59</f>
        <v>Beta00049</v>
      </c>
      <c r="P51" s="387">
        <f>OtherTourDestination!E59</f>
        <v>0.201576719663</v>
      </c>
      <c r="Q51" s="426">
        <f si="0" t="shared"/>
        <v>0.201576719663</v>
      </c>
    </row>
    <row r="52" spans="13:17" x14ac:dyDescent="0.25">
      <c r="M52" s="385" t="str">
        <f>VLOOKUP(N52,Coeff_Descr!$A:$D,3,FALSE)</f>
        <v>SOCREC</v>
      </c>
      <c r="N52" s="422">
        <f>OtherTourDestination!B60</f>
        <v>50</v>
      </c>
      <c r="O52" s="422" t="str">
        <f>OtherTourDestination!C60</f>
        <v>Beta00050</v>
      </c>
      <c r="P52" s="464">
        <f>OtherTourDestination!E60</f>
        <v>-28.552058518999999</v>
      </c>
      <c r="Q52" s="426">
        <f si="0" t="shared"/>
        <v>-28.552058518999999</v>
      </c>
    </row>
    <row r="53" spans="13:17" x14ac:dyDescent="0.25">
      <c r="M53" s="385" t="str">
        <f>VLOOKUP(N53,Coeff_Descr!$A:$D,3,FALSE)</f>
        <v>SOCREC</v>
      </c>
      <c r="N53" s="422">
        <f>OtherTourDestination!B61</f>
        <v>51</v>
      </c>
      <c r="O53" s="422" t="str">
        <f>OtherTourDestination!C61</f>
        <v>Beta00051</v>
      </c>
      <c r="P53" s="464">
        <f>OtherTourDestination!E61</f>
        <v>-7.25833529236</v>
      </c>
      <c r="Q53" s="426">
        <f si="0" t="shared"/>
        <v>-7.25833529236</v>
      </c>
    </row>
    <row r="54" spans="13:17" x14ac:dyDescent="0.25">
      <c r="M54" s="385" t="str">
        <f>VLOOKUP(N54,Coeff_Descr!$A:$D,3,FALSE)</f>
        <v>SOCREC</v>
      </c>
      <c r="N54" s="422">
        <f>OtherTourDestination!B62</f>
        <v>52</v>
      </c>
      <c r="O54" s="422" t="str">
        <f>OtherTourDestination!C62</f>
        <v>Beta00052</v>
      </c>
      <c r="P54" s="464">
        <f>OtherTourDestination!E62</f>
        <v>-2.64524710889</v>
      </c>
      <c r="Q54" s="426">
        <f si="0" t="shared"/>
        <v>-2.64524710889</v>
      </c>
    </row>
    <row r="55" spans="13:17" x14ac:dyDescent="0.25">
      <c r="M55" s="385" t="str">
        <f>VLOOKUP(N55,Coeff_Descr!$A:$D,3,FALSE)</f>
        <v>SOCREC</v>
      </c>
      <c r="N55" s="422">
        <f>OtherTourDestination!B63</f>
        <v>53</v>
      </c>
      <c r="O55" s="422" t="str">
        <f>OtherTourDestination!C63</f>
        <v>Beta00053</v>
      </c>
      <c r="P55" s="464">
        <f>OtherTourDestination!E63</f>
        <v>-0.76461618005800003</v>
      </c>
      <c r="Q55" s="426">
        <f si="0" t="shared"/>
        <v>-0.76461618005800003</v>
      </c>
    </row>
    <row r="56" spans="13:17" x14ac:dyDescent="0.25">
      <c r="M56" s="385" t="str">
        <f>VLOOKUP(N56,Coeff_Descr!$A:$D,3,FALSE)</f>
        <v>SOCREC</v>
      </c>
      <c r="N56" s="385">
        <f>OtherTourDestination!B64</f>
        <v>54</v>
      </c>
      <c r="O56" s="385" t="str">
        <f>OtherTourDestination!C64</f>
        <v>Beta00054</v>
      </c>
      <c r="P56" s="387">
        <f>OtherTourDestination!E64</f>
        <v>0.20818008309700001</v>
      </c>
      <c r="Q56" s="426">
        <f si="0" t="shared"/>
        <v>0.20818008309700001</v>
      </c>
    </row>
    <row r="57" spans="13:17" x14ac:dyDescent="0.25">
      <c r="M57" s="385" t="str">
        <f>VLOOKUP(N57,Coeff_Descr!$A:$D,3,FALSE)</f>
        <v>SOCREC</v>
      </c>
      <c r="N57" s="385">
        <f>OtherTourDestination!B65</f>
        <v>55</v>
      </c>
      <c r="O57" s="385" t="str">
        <f>OtherTourDestination!C65</f>
        <v>Beta00055</v>
      </c>
      <c r="P57" s="387">
        <f>OtherTourDestination!E65</f>
        <v>0.42522231451499998</v>
      </c>
      <c r="Q57" s="426">
        <f si="0" t="shared"/>
        <v>0.42522231451499998</v>
      </c>
    </row>
    <row r="58" spans="13:17" x14ac:dyDescent="0.25">
      <c r="M58" s="385" t="str">
        <f>VLOOKUP(N58,Coeff_Descr!$A:$D,3,FALSE)</f>
        <v>SOCREC</v>
      </c>
      <c r="N58" s="385">
        <f>OtherTourDestination!B66</f>
        <v>56</v>
      </c>
      <c r="O58" s="385" t="str">
        <f>OtherTourDestination!C66</f>
        <v>Beta00056</v>
      </c>
      <c r="P58" s="387">
        <f>OtherTourDestination!E66</f>
        <v>-0.743588483327</v>
      </c>
      <c r="Q58" s="426">
        <f si="0" t="shared"/>
        <v>-0.743588483327</v>
      </c>
    </row>
    <row r="59" spans="13:17" x14ac:dyDescent="0.25">
      <c r="M59" s="385" t="str">
        <f>VLOOKUP(N59,Coeff_Descr!$A:$D,3,FALSE)</f>
        <v>SOCREC</v>
      </c>
      <c r="N59" s="385">
        <f>OtherTourDestination!B67</f>
        <v>57</v>
      </c>
      <c r="O59" s="385" t="str">
        <f>OtherTourDestination!C67</f>
        <v>Beta00057</v>
      </c>
      <c r="P59" s="387">
        <f>OtherTourDestination!E67</f>
        <v>6.2100000000000002E-2</v>
      </c>
      <c r="Q59" s="426">
        <f si="0" t="shared"/>
        <v>6.2100000000000002E-2</v>
      </c>
    </row>
    <row r="60" spans="13:17" x14ac:dyDescent="0.25">
      <c r="M60" s="385">
        <f>VLOOKUP(N60,Coeff_Descr!$A:$D,3,FALSE)</f>
        <v>0</v>
      </c>
      <c r="N60" s="385">
        <f>OtherTourDestination!B68</f>
        <v>118</v>
      </c>
      <c r="O60" s="385" t="str">
        <f>OtherTourDestination!C68</f>
        <v>Beta00118</v>
      </c>
      <c r="P60" s="387">
        <f>OtherTourDestination!E68</f>
        <v>-3</v>
      </c>
      <c r="Q60" s="426">
        <f si="0" t="shared"/>
        <v>-3</v>
      </c>
    </row>
    <row r="61" spans="13:17" x14ac:dyDescent="0.25">
      <c r="M61" s="385" t="str">
        <f>VLOOKUP(N61,Coeff_Descr!$A:$D,3,FALSE)</f>
        <v>ESCORT</v>
      </c>
      <c r="N61" s="385">
        <f>OtherTourDestination!B69</f>
        <v>70</v>
      </c>
      <c r="O61" s="385" t="str">
        <f>OtherTourDestination!C69</f>
        <v>LSM_0070</v>
      </c>
      <c r="P61" s="387">
        <f>OtherTourDestination!E69</f>
        <v>0.29394695214400002</v>
      </c>
      <c r="Q61" s="426">
        <f si="0" t="shared"/>
        <v>0.29394695214400002</v>
      </c>
    </row>
    <row r="62" spans="13:17" x14ac:dyDescent="0.25">
      <c r="M62" s="385" t="str">
        <f>VLOOKUP(N62,Coeff_Descr!$A:$D,3,FALSE)</f>
        <v>ESCORT</v>
      </c>
      <c r="N62" s="385">
        <f>OtherTourDestination!B70</f>
        <v>71</v>
      </c>
      <c r="O62" s="385" t="str">
        <f>OtherTourDestination!C70</f>
        <v>Gamma071</v>
      </c>
      <c r="P62" s="387">
        <f>OtherTourDestination!E70</f>
        <v>0</v>
      </c>
      <c r="Q62" s="426">
        <f si="0" t="shared"/>
        <v>0</v>
      </c>
    </row>
    <row r="63" spans="13:17" x14ac:dyDescent="0.25">
      <c r="M63" s="385" t="str">
        <f>VLOOKUP(N63,Coeff_Descr!$A:$D,3,FALSE)</f>
        <v>ESCORT</v>
      </c>
      <c r="N63" s="385">
        <f>OtherTourDestination!B71</f>
        <v>72</v>
      </c>
      <c r="O63" s="385" t="str">
        <f>OtherTourDestination!C71</f>
        <v>Gamma072</v>
      </c>
      <c r="P63" s="387">
        <f>OtherTourDestination!E71</f>
        <v>-6.2798471793299999</v>
      </c>
      <c r="Q63" s="426">
        <f si="0" t="shared"/>
        <v>-6.2798471793299999</v>
      </c>
    </row>
    <row r="64" spans="13:17" x14ac:dyDescent="0.25">
      <c r="M64" s="385" t="str">
        <f>VLOOKUP(N64,Coeff_Descr!$A:$D,3,FALSE)</f>
        <v>ESCORT</v>
      </c>
      <c r="N64" s="385">
        <f>OtherTourDestination!B72</f>
        <v>73</v>
      </c>
      <c r="O64" s="385" t="str">
        <f>OtherTourDestination!C72</f>
        <v>Gamma073</v>
      </c>
      <c r="P64" s="387">
        <f>OtherTourDestination!E72</f>
        <v>3.2962256518299999</v>
      </c>
      <c r="Q64" s="426">
        <f si="0" t="shared"/>
        <v>3.2962256518299999</v>
      </c>
    </row>
    <row r="65" spans="13:17" x14ac:dyDescent="0.25">
      <c r="M65" s="385" t="str">
        <f>VLOOKUP(N65,Coeff_Descr!$A:$D,3,FALSE)</f>
        <v>ESCORT</v>
      </c>
      <c r="N65" s="385">
        <f>OtherTourDestination!B73</f>
        <v>74</v>
      </c>
      <c r="O65" s="385" t="str">
        <f>OtherTourDestination!C73</f>
        <v>Gamma074</v>
      </c>
      <c r="P65" s="387">
        <f>OtherTourDestination!E73</f>
        <v>-5.4150639062700003</v>
      </c>
      <c r="Q65" s="426">
        <f si="0" t="shared"/>
        <v>-5.4150639062700003</v>
      </c>
    </row>
    <row r="66" spans="13:17" x14ac:dyDescent="0.25">
      <c r="M66" s="385" t="str">
        <f>VLOOKUP(N66,Coeff_Descr!$A:$D,3,FALSE)</f>
        <v>ESCORT</v>
      </c>
      <c r="N66" s="385">
        <f>OtherTourDestination!B74</f>
        <v>75</v>
      </c>
      <c r="O66" s="385" t="str">
        <f>OtherTourDestination!C74</f>
        <v>Gamma075</v>
      </c>
      <c r="P66" s="387">
        <f>OtherTourDestination!E74</f>
        <v>-5.94820877094</v>
      </c>
      <c r="Q66" s="426">
        <f si="0" t="shared"/>
        <v>-5.94820877094</v>
      </c>
    </row>
    <row r="67" spans="13:17" x14ac:dyDescent="0.25">
      <c r="M67" s="385" t="str">
        <f>VLOOKUP(N67,Coeff_Descr!$A:$D,3,FALSE)</f>
        <v>ESCORT</v>
      </c>
      <c r="N67" s="385">
        <f>OtherTourDestination!B75</f>
        <v>76</v>
      </c>
      <c r="O67" s="385" t="str">
        <f>OtherTourDestination!C75</f>
        <v>Gamma076</v>
      </c>
      <c r="P67" s="387">
        <f>OtherTourDestination!E75</f>
        <v>-4.8479831726300002</v>
      </c>
      <c r="Q67" s="426">
        <f si="0" t="shared"/>
        <v>-4.8479831726300002</v>
      </c>
    </row>
    <row r="68" spans="13:17" x14ac:dyDescent="0.25">
      <c r="M68" s="385" t="str">
        <f>VLOOKUP(N68,Coeff_Descr!$A:$D,3,FALSE)</f>
        <v>ESCORT</v>
      </c>
      <c r="N68" s="385">
        <f>OtherTourDestination!B76</f>
        <v>77</v>
      </c>
      <c r="O68" s="385" t="str">
        <f>OtherTourDestination!C76</f>
        <v>Gamma077</v>
      </c>
      <c r="P68" s="387">
        <f>OtherTourDestination!E76</f>
        <v>-5.4883496585599998</v>
      </c>
      <c r="Q68" s="426">
        <f si="0" t="shared"/>
        <v>-5.4883496585599998</v>
      </c>
    </row>
    <row r="69" spans="13:17" x14ac:dyDescent="0.25">
      <c r="M69" s="385" t="str">
        <f>VLOOKUP(N69,Coeff_Descr!$A:$D,3,FALSE)</f>
        <v>ESCORT</v>
      </c>
      <c r="N69" s="385">
        <f>OtherTourDestination!B77</f>
        <v>78</v>
      </c>
      <c r="O69" s="385" t="str">
        <f>OtherTourDestination!C77</f>
        <v>Gamma078</v>
      </c>
      <c r="P69" s="387">
        <f>OtherTourDestination!E77</f>
        <v>-6.9308352438999998</v>
      </c>
      <c r="Q69" s="426">
        <f ref="Q69:Q104" si="10" t="shared">_xlfn.IFNA(VLOOKUP(N69,$B$43:$D$46,3,FALSE),P69)</f>
        <v>-6.9308352438999998</v>
      </c>
    </row>
    <row r="70" spans="13:17" x14ac:dyDescent="0.25">
      <c r="M70" s="385" t="str">
        <f>VLOOKUP(N70,Coeff_Descr!$A:$D,3,FALSE)</f>
        <v>ESCORT</v>
      </c>
      <c r="N70" s="385">
        <f>OtherTourDestination!B78</f>
        <v>79</v>
      </c>
      <c r="O70" s="385" t="str">
        <f>OtherTourDestination!C78</f>
        <v>Gamma079</v>
      </c>
      <c r="P70" s="387">
        <f>OtherTourDestination!E78</f>
        <v>-22.404820174200001</v>
      </c>
      <c r="Q70" s="426">
        <f si="10" t="shared"/>
        <v>-22.404820174200001</v>
      </c>
    </row>
    <row r="71" spans="13:17" x14ac:dyDescent="0.25">
      <c r="M71" s="385" t="str">
        <f>VLOOKUP(N71,Coeff_Descr!$A:$D,3,FALSE)</f>
        <v>ESCORT</v>
      </c>
      <c r="N71" s="385">
        <f>OtherTourDestination!B79</f>
        <v>80</v>
      </c>
      <c r="O71" s="385" t="str">
        <f>OtherTourDestination!C79</f>
        <v>Gamma080</v>
      </c>
      <c r="P71" s="387">
        <f>OtherTourDestination!E79</f>
        <v>-2.8929233973800002</v>
      </c>
      <c r="Q71" s="426">
        <f si="10" t="shared"/>
        <v>-2.8929233973800002</v>
      </c>
    </row>
    <row r="72" spans="13:17" x14ac:dyDescent="0.25">
      <c r="M72" s="385" t="str">
        <f>VLOOKUP(N72,Coeff_Descr!$A:$D,3,FALSE)</f>
        <v>ESCORT</v>
      </c>
      <c r="N72" s="385">
        <f>OtherTourDestination!B80</f>
        <v>81</v>
      </c>
      <c r="O72" s="385" t="str">
        <f>OtherTourDestination!C80</f>
        <v>Gamma081</v>
      </c>
      <c r="P72" s="387">
        <f>OtherTourDestination!E80</f>
        <v>-2.5610724948299999</v>
      </c>
      <c r="Q72" s="426">
        <f si="10" t="shared"/>
        <v>-2.5610724948299999</v>
      </c>
    </row>
    <row r="73" spans="13:17" x14ac:dyDescent="0.25">
      <c r="M73" s="385" t="str">
        <f>VLOOKUP(N73,Coeff_Descr!$A:$D,3,FALSE)</f>
        <v>ESCORT</v>
      </c>
      <c r="N73" s="385">
        <f>OtherTourDestination!B81</f>
        <v>82</v>
      </c>
      <c r="O73" s="385" t="str">
        <f>OtherTourDestination!C81</f>
        <v>Gamma082</v>
      </c>
      <c r="P73" s="387">
        <f>OtherTourDestination!E81</f>
        <v>-6.7871010869299999</v>
      </c>
      <c r="Q73" s="426">
        <f si="10" t="shared"/>
        <v>-6.7871010869299999</v>
      </c>
    </row>
    <row r="74" spans="13:17" x14ac:dyDescent="0.25">
      <c r="M74" s="385" t="str">
        <f>VLOOKUP(N74,Coeff_Descr!$A:$D,3,FALSE)</f>
        <v>ESCORT</v>
      </c>
      <c r="N74" s="385">
        <f>OtherTourDestination!B82</f>
        <v>83</v>
      </c>
      <c r="O74" s="385" t="str">
        <f>OtherTourDestination!C82</f>
        <v>Gamma083</v>
      </c>
      <c r="P74" s="387">
        <f>OtherTourDestination!E82</f>
        <v>-7.1983706387300002</v>
      </c>
      <c r="Q74" s="426">
        <f si="10" t="shared"/>
        <v>-7.1983706387300002</v>
      </c>
    </row>
    <row r="75" spans="13:17" x14ac:dyDescent="0.25">
      <c r="M75" s="385" t="str">
        <f>VLOOKUP(N75,Coeff_Descr!$A:$D,3,FALSE)</f>
        <v>ESCORT</v>
      </c>
      <c r="N75" s="385">
        <f>OtherTourDestination!B83</f>
        <v>84</v>
      </c>
      <c r="O75" s="385" t="str">
        <f>OtherTourDestination!C83</f>
        <v>Gamma084</v>
      </c>
      <c r="P75" s="387">
        <f>OtherTourDestination!E83</f>
        <v>-6.5584328775399996</v>
      </c>
      <c r="Q75" s="426">
        <f si="10" t="shared"/>
        <v>-6.5584328775399996</v>
      </c>
    </row>
    <row r="76" spans="13:17" x14ac:dyDescent="0.25">
      <c r="M76" s="385" t="str">
        <f>VLOOKUP(N76,Coeff_Descr!$A:$D,3,FALSE)</f>
        <v>ESCORT</v>
      </c>
      <c r="N76" s="385">
        <f>OtherTourDestination!B84</f>
        <v>85</v>
      </c>
      <c r="O76" s="385" t="str">
        <f>OtherTourDestination!C84</f>
        <v>Gamma085</v>
      </c>
      <c r="P76" s="387">
        <f>OtherTourDestination!E84</f>
        <v>-7.3832576457999997</v>
      </c>
      <c r="Q76" s="426">
        <f si="10" t="shared"/>
        <v>-7.3832576457999997</v>
      </c>
    </row>
    <row r="77" spans="13:17" x14ac:dyDescent="0.25">
      <c r="M77" s="385" t="str">
        <f>VLOOKUP(N77,Coeff_Descr!$A:$D,3,FALSE)</f>
        <v>ESCORT</v>
      </c>
      <c r="N77" s="385">
        <f>OtherTourDestination!B85</f>
        <v>86</v>
      </c>
      <c r="O77" s="385" t="str">
        <f>OtherTourDestination!C85</f>
        <v>Gamma086</v>
      </c>
      <c r="P77" s="387">
        <f>OtherTourDestination!E85</f>
        <v>-8.5452246906399996</v>
      </c>
      <c r="Q77" s="426">
        <f si="10" t="shared"/>
        <v>-8.5452246906399996</v>
      </c>
    </row>
    <row r="78" spans="13:17" x14ac:dyDescent="0.25">
      <c r="M78" s="385" t="str">
        <f>VLOOKUP(N78,Coeff_Descr!$A:$D,3,FALSE)</f>
        <v>ESCORT</v>
      </c>
      <c r="N78" s="385">
        <f>OtherTourDestination!B86</f>
        <v>87</v>
      </c>
      <c r="O78" s="385" t="str">
        <f>OtherTourDestination!C86</f>
        <v>Gamma087</v>
      </c>
      <c r="P78" s="387">
        <f>OtherTourDestination!E86</f>
        <v>-24.633851965200002</v>
      </c>
      <c r="Q78" s="426">
        <f si="10" t="shared"/>
        <v>-24.633851965200002</v>
      </c>
    </row>
    <row r="79" spans="13:17" x14ac:dyDescent="0.25">
      <c r="M79" s="385" t="str">
        <f>VLOOKUP(N79,Coeff_Descr!$A:$D,3,FALSE)</f>
        <v>ESCORT</v>
      </c>
      <c r="N79" s="385">
        <f>OtherTourDestination!B87</f>
        <v>88</v>
      </c>
      <c r="O79" s="385" t="str">
        <f>OtherTourDestination!C87</f>
        <v>Gamma088</v>
      </c>
      <c r="P79" s="387">
        <f>OtherTourDestination!E87</f>
        <v>0</v>
      </c>
      <c r="Q79" s="426">
        <f si="10" t="shared"/>
        <v>0</v>
      </c>
    </row>
    <row r="80" spans="13:17" x14ac:dyDescent="0.25">
      <c r="M80" s="385" t="str">
        <f>VLOOKUP(N80,Coeff_Descr!$A:$D,3,FALSE)</f>
        <v>PERSBUS/MED</v>
      </c>
      <c r="N80" s="385">
        <f>OtherTourDestination!B88</f>
        <v>89</v>
      </c>
      <c r="O80" s="385" t="str">
        <f>OtherTourDestination!C88</f>
        <v>Gamma089</v>
      </c>
      <c r="P80" s="387">
        <f>OtherTourDestination!E88</f>
        <v>-0.55009338373399996</v>
      </c>
      <c r="Q80" s="426">
        <f si="10" t="shared"/>
        <v>-0.55009338373399996</v>
      </c>
    </row>
    <row r="81" spans="13:17" x14ac:dyDescent="0.25">
      <c r="M81" s="385" t="str">
        <f>VLOOKUP(N81,Coeff_Descr!$A:$D,3,FALSE)</f>
        <v>PERSBUS/MED</v>
      </c>
      <c r="N81" s="385">
        <f>OtherTourDestination!B89</f>
        <v>90</v>
      </c>
      <c r="O81" s="385" t="str">
        <f>OtherTourDestination!C89</f>
        <v>Gamma090</v>
      </c>
      <c r="P81" s="387">
        <f>OtherTourDestination!E89</f>
        <v>-9.9117567037699992</v>
      </c>
      <c r="Q81" s="426">
        <f si="10" t="shared"/>
        <v>-9.9117567037699992</v>
      </c>
    </row>
    <row r="82" spans="13:17" x14ac:dyDescent="0.25">
      <c r="M82" s="385" t="str">
        <f>VLOOKUP(N82,Coeff_Descr!$A:$D,3,FALSE)</f>
        <v>PERSBUS/MED</v>
      </c>
      <c r="N82" s="385">
        <f>OtherTourDestination!B90</f>
        <v>91</v>
      </c>
      <c r="O82" s="385" t="str">
        <f>OtherTourDestination!C90</f>
        <v>Gamma091</v>
      </c>
      <c r="P82" s="387">
        <f>OtherTourDestination!E90</f>
        <v>-9.3194311560499994</v>
      </c>
      <c r="Q82" s="426">
        <f si="10" t="shared"/>
        <v>-9.3194311560499994</v>
      </c>
    </row>
    <row r="83" spans="13:17" x14ac:dyDescent="0.25">
      <c r="M83" s="385" t="str">
        <f>VLOOKUP(N83,Coeff_Descr!$A:$D,3,FALSE)</f>
        <v>PERSBUS/MED</v>
      </c>
      <c r="N83" s="385">
        <f>OtherTourDestination!B91</f>
        <v>92</v>
      </c>
      <c r="O83" s="385" t="str">
        <f>OtherTourDestination!C91</f>
        <v>Gamma092</v>
      </c>
      <c r="P83" s="387">
        <f>OtherTourDestination!E91</f>
        <v>-0.20086270196799999</v>
      </c>
      <c r="Q83" s="426">
        <f si="10" t="shared"/>
        <v>-0.20086270196799999</v>
      </c>
    </row>
    <row r="84" spans="13:17" x14ac:dyDescent="0.25">
      <c r="M84" s="385" t="str">
        <f>VLOOKUP(N84,Coeff_Descr!$A:$D,3,FALSE)</f>
        <v>PERSBUS/MED</v>
      </c>
      <c r="N84" s="385">
        <f>OtherTourDestination!B92</f>
        <v>93</v>
      </c>
      <c r="O84" s="385" t="str">
        <f>OtherTourDestination!C92</f>
        <v>Gamma093</v>
      </c>
      <c r="P84" s="387">
        <f>OtherTourDestination!E92</f>
        <v>-2.1843835309699999</v>
      </c>
      <c r="Q84" s="426">
        <f si="10" t="shared"/>
        <v>-2.1843835309699999</v>
      </c>
    </row>
    <row r="85" spans="13:17" x14ac:dyDescent="0.25">
      <c r="M85" s="385" t="str">
        <f>VLOOKUP(N85,Coeff_Descr!$A:$D,3,FALSE)</f>
        <v>PERSBUS/MED</v>
      </c>
      <c r="N85" s="385">
        <f>OtherTourDestination!B93</f>
        <v>94</v>
      </c>
      <c r="O85" s="385" t="str">
        <f>OtherTourDestination!C93</f>
        <v>Gamma094</v>
      </c>
      <c r="P85" s="387">
        <f>OtherTourDestination!E93</f>
        <v>0</v>
      </c>
      <c r="Q85" s="426">
        <f si="10" t="shared"/>
        <v>0</v>
      </c>
    </row>
    <row r="86" spans="13:17" x14ac:dyDescent="0.25">
      <c r="M86" s="385" t="str">
        <f>VLOOKUP(N86,Coeff_Descr!$A:$D,3,FALSE)</f>
        <v>PERSBUS/MED</v>
      </c>
      <c r="N86" s="385">
        <f>OtherTourDestination!B94</f>
        <v>95</v>
      </c>
      <c r="O86" s="385" t="str">
        <f>OtherTourDestination!C94</f>
        <v>Gamma095</v>
      </c>
      <c r="P86" s="387">
        <f>OtherTourDestination!E94</f>
        <v>-9.9476357147400005</v>
      </c>
      <c r="Q86" s="426">
        <f si="10" t="shared"/>
        <v>-9.9476357147400005</v>
      </c>
    </row>
    <row r="87" spans="13:17" x14ac:dyDescent="0.25">
      <c r="M87" s="385" t="str">
        <f>VLOOKUP(N87,Coeff_Descr!$A:$D,3,FALSE)</f>
        <v>PERSBUS/MED</v>
      </c>
      <c r="N87" s="385">
        <f>OtherTourDestination!B95</f>
        <v>96</v>
      </c>
      <c r="O87" s="385" t="str">
        <f>OtherTourDestination!C95</f>
        <v>Gamma096</v>
      </c>
      <c r="P87" s="387">
        <f>OtherTourDestination!E95</f>
        <v>-12.800107987600001</v>
      </c>
      <c r="Q87" s="426">
        <f si="10" t="shared"/>
        <v>-12.800107987600001</v>
      </c>
    </row>
    <row r="88" spans="13:17" x14ac:dyDescent="0.25">
      <c r="M88" s="385" t="str">
        <f>VLOOKUP(N88,Coeff_Descr!$A:$D,3,FALSE)</f>
        <v>PERSBUS/MED</v>
      </c>
      <c r="N88" s="385">
        <f>OtherTourDestination!B96</f>
        <v>97</v>
      </c>
      <c r="O88" s="385" t="str">
        <f>OtherTourDestination!C96</f>
        <v>Gamma097</v>
      </c>
      <c r="P88" s="387">
        <f>OtherTourDestination!E96</f>
        <v>-30</v>
      </c>
      <c r="Q88" s="426">
        <f si="10" t="shared"/>
        <v>-30</v>
      </c>
    </row>
    <row r="89" spans="13:17" x14ac:dyDescent="0.25">
      <c r="M89" s="385" t="str">
        <f>VLOOKUP(N89,Coeff_Descr!$A:$D,3,FALSE)</f>
        <v>SHOP</v>
      </c>
      <c r="N89" s="385">
        <f>OtherTourDestination!B97</f>
        <v>98</v>
      </c>
      <c r="O89" s="385" t="str">
        <f>OtherTourDestination!C97</f>
        <v>Gamma098</v>
      </c>
      <c r="P89" s="387">
        <f>OtherTourDestination!E97</f>
        <v>-21.699928591700001</v>
      </c>
      <c r="Q89" s="426">
        <f si="10" t="shared"/>
        <v>-21.699928591700001</v>
      </c>
    </row>
    <row r="90" spans="13:17" x14ac:dyDescent="0.25">
      <c r="M90" s="385" t="str">
        <f>VLOOKUP(N90,Coeff_Descr!$A:$D,3,FALSE)</f>
        <v>SHOP</v>
      </c>
      <c r="N90" s="385">
        <f>OtherTourDestination!B98</f>
        <v>99</v>
      </c>
      <c r="O90" s="385" t="str">
        <f>OtherTourDestination!C98</f>
        <v>Gamma099</v>
      </c>
      <c r="P90" s="387">
        <f>OtherTourDestination!E98</f>
        <v>-17.700475093400001</v>
      </c>
      <c r="Q90" s="426">
        <f si="10" t="shared"/>
        <v>-17.700475093400001</v>
      </c>
    </row>
    <row r="91" spans="13:17" x14ac:dyDescent="0.25">
      <c r="M91" s="385" t="str">
        <f>VLOOKUP(N91,Coeff_Descr!$A:$D,3,FALSE)</f>
        <v>SHOP</v>
      </c>
      <c r="N91" s="385">
        <f>OtherTourDestination!B99</f>
        <v>100</v>
      </c>
      <c r="O91" s="385" t="str">
        <f>OtherTourDestination!C99</f>
        <v>Gamma100</v>
      </c>
      <c r="P91" s="387">
        <f>OtherTourDestination!E99</f>
        <v>-0.7</v>
      </c>
      <c r="Q91" s="426">
        <f si="10" t="shared"/>
        <v>-0.7</v>
      </c>
    </row>
    <row r="92" spans="13:17" x14ac:dyDescent="0.25">
      <c r="M92" s="385" t="str">
        <f>VLOOKUP(N92,Coeff_Descr!$A:$D,3,FALSE)</f>
        <v>SHOP</v>
      </c>
      <c r="N92" s="385">
        <f>OtherTourDestination!B100</f>
        <v>101</v>
      </c>
      <c r="O92" s="385" t="str">
        <f>OtherTourDestination!C100</f>
        <v>Gamma101</v>
      </c>
      <c r="P92" s="387">
        <f>OtherTourDestination!E100</f>
        <v>-17.8758745875</v>
      </c>
      <c r="Q92" s="426">
        <f si="10" t="shared"/>
        <v>-17.8758745875</v>
      </c>
    </row>
    <row r="93" spans="13:17" x14ac:dyDescent="0.25">
      <c r="M93" s="385" t="str">
        <f>VLOOKUP(N93,Coeff_Descr!$A:$D,3,FALSE)</f>
        <v>MEAL</v>
      </c>
      <c r="N93" s="385">
        <f>OtherTourDestination!B101</f>
        <v>102</v>
      </c>
      <c r="O93" s="385" t="str">
        <f>OtherTourDestination!C101</f>
        <v>Gamma102</v>
      </c>
      <c r="P93" s="387">
        <f>OtherTourDestination!E101</f>
        <v>0</v>
      </c>
      <c r="Q93" s="426">
        <f si="10" t="shared"/>
        <v>0</v>
      </c>
    </row>
    <row r="94" spans="13:17" x14ac:dyDescent="0.25">
      <c r="M94" s="385" t="str">
        <f>VLOOKUP(N94,Coeff_Descr!$A:$D,3,FALSE)</f>
        <v>MEAL</v>
      </c>
      <c r="N94" s="385">
        <f>OtherTourDestination!B102</f>
        <v>103</v>
      </c>
      <c r="O94" s="385" t="str">
        <f>OtherTourDestination!C102</f>
        <v>Gamma103</v>
      </c>
      <c r="P94" s="387">
        <f>OtherTourDestination!E102</f>
        <v>5</v>
      </c>
      <c r="Q94" s="426">
        <f si="10" t="shared"/>
        <v>5</v>
      </c>
    </row>
    <row r="95" spans="13:17" x14ac:dyDescent="0.25">
      <c r="M95" s="385" t="str">
        <f>VLOOKUP(N95,Coeff_Descr!$A:$D,3,FALSE)</f>
        <v>MEAL</v>
      </c>
      <c r="N95" s="385">
        <f>OtherTourDestination!B103</f>
        <v>104</v>
      </c>
      <c r="O95" s="385" t="str">
        <f>OtherTourDestination!C103</f>
        <v>Gamma104</v>
      </c>
      <c r="P95" s="387">
        <f>OtherTourDestination!E103</f>
        <v>-30</v>
      </c>
      <c r="Q95" s="426">
        <f si="10" t="shared"/>
        <v>-30</v>
      </c>
    </row>
    <row r="96" spans="13:17" x14ac:dyDescent="0.25">
      <c r="M96" s="385" t="str">
        <f>VLOOKUP(N96,Coeff_Descr!$A:$D,3,FALSE)</f>
        <v>MEAL</v>
      </c>
      <c r="N96" s="385">
        <f>OtherTourDestination!B104</f>
        <v>105</v>
      </c>
      <c r="O96" s="385" t="str">
        <f>OtherTourDestination!C104</f>
        <v>Gamma105</v>
      </c>
      <c r="P96" s="387">
        <f>OtherTourDestination!E104</f>
        <v>-24.158093970700001</v>
      </c>
      <c r="Q96" s="426">
        <f si="10" t="shared"/>
        <v>-24.158093970700001</v>
      </c>
    </row>
    <row r="97" spans="13:17" x14ac:dyDescent="0.25">
      <c r="M97" s="385" t="str">
        <f>VLOOKUP(N97,Coeff_Descr!$A:$D,3,FALSE)</f>
        <v>SOCREC</v>
      </c>
      <c r="N97" s="385">
        <f>OtherTourDestination!B105</f>
        <v>106</v>
      </c>
      <c r="O97" s="385" t="str">
        <f>OtherTourDestination!C105</f>
        <v>Gamma106</v>
      </c>
      <c r="P97" s="387">
        <f>OtherTourDestination!E105</f>
        <v>-9.5803170794600003</v>
      </c>
      <c r="Q97" s="426">
        <f si="10" t="shared"/>
        <v>-9.5803170794600003</v>
      </c>
    </row>
    <row r="98" spans="13:17" x14ac:dyDescent="0.25">
      <c r="M98" s="385" t="str">
        <f>VLOOKUP(N98,Coeff_Descr!$A:$D,3,FALSE)</f>
        <v>SOCREC</v>
      </c>
      <c r="N98" s="385">
        <f>OtherTourDestination!B106</f>
        <v>107</v>
      </c>
      <c r="O98" s="385" t="str">
        <f>OtherTourDestination!C106</f>
        <v>Gamma107</v>
      </c>
      <c r="P98" s="387">
        <f>OtherTourDestination!E106</f>
        <v>0</v>
      </c>
      <c r="Q98" s="426">
        <f si="10" t="shared"/>
        <v>0</v>
      </c>
    </row>
    <row r="99" spans="13:17" x14ac:dyDescent="0.25">
      <c r="M99" s="385" t="str">
        <f>VLOOKUP(N99,Coeff_Descr!$A:$D,3,FALSE)</f>
        <v>SOCREC</v>
      </c>
      <c r="N99" s="385">
        <f>OtherTourDestination!B107</f>
        <v>108</v>
      </c>
      <c r="O99" s="385" t="str">
        <f>OtherTourDestination!C107</f>
        <v>Gamma108</v>
      </c>
      <c r="P99" s="387">
        <f>OtherTourDestination!E107</f>
        <v>-15.671349338700001</v>
      </c>
      <c r="Q99" s="426">
        <f si="10" t="shared"/>
        <v>-15.671349338700001</v>
      </c>
    </row>
    <row r="100" spans="13:17" x14ac:dyDescent="0.25">
      <c r="M100" s="385" t="str">
        <f>VLOOKUP(N100,Coeff_Descr!$A:$D,3,FALSE)</f>
        <v>SOCREC</v>
      </c>
      <c r="N100" s="385">
        <f>OtherTourDestination!B108</f>
        <v>109</v>
      </c>
      <c r="O100" s="385" t="str">
        <f>OtherTourDestination!C108</f>
        <v>Gamma109</v>
      </c>
      <c r="P100" s="387">
        <f>OtherTourDestination!E108</f>
        <v>-18.208541213899998</v>
      </c>
      <c r="Q100" s="426">
        <f si="10" t="shared"/>
        <v>-18.208541213899998</v>
      </c>
    </row>
    <row r="101" spans="13:17" x14ac:dyDescent="0.25">
      <c r="M101" s="385" t="str">
        <f>VLOOKUP(N101,Coeff_Descr!$A:$D,3,FALSE)</f>
        <v>SOCREC</v>
      </c>
      <c r="N101" s="385">
        <f>OtherTourDestination!B109</f>
        <v>110</v>
      </c>
      <c r="O101" s="385" t="str">
        <f>OtherTourDestination!C109</f>
        <v>Gamma110</v>
      </c>
      <c r="P101" s="387">
        <f>OtherTourDestination!E109</f>
        <v>-11.2471450075</v>
      </c>
      <c r="Q101" s="426">
        <f si="10" t="shared"/>
        <v>-11.2471450075</v>
      </c>
    </row>
    <row r="102" spans="13:17" x14ac:dyDescent="0.25">
      <c r="M102" s="385" t="str">
        <f>VLOOKUP(N102,Coeff_Descr!$A:$D,3,FALSE)</f>
        <v>SOCREC</v>
      </c>
      <c r="N102" s="385">
        <f>OtherTourDestination!B110</f>
        <v>111</v>
      </c>
      <c r="O102" s="385" t="str">
        <f>OtherTourDestination!C110</f>
        <v>Gamma111</v>
      </c>
      <c r="P102" s="387">
        <f>OtherTourDestination!E110</f>
        <v>-10.0807778908</v>
      </c>
      <c r="Q102" s="426">
        <f si="10" t="shared"/>
        <v>-10.0807778908</v>
      </c>
    </row>
    <row r="103" spans="13:17" x14ac:dyDescent="0.25">
      <c r="M103" s="385" t="str">
        <f>VLOOKUP(N103,Coeff_Descr!$A:$D,3,FALSE)</f>
        <v>SOCREC</v>
      </c>
      <c r="N103" s="385">
        <f>OtherTourDestination!B111</f>
        <v>112</v>
      </c>
      <c r="O103" s="385" t="str">
        <f>OtherTourDestination!C111</f>
        <v>Gamma112</v>
      </c>
      <c r="P103" s="387">
        <f>OtherTourDestination!E111</f>
        <v>-5.6623999999999999</v>
      </c>
      <c r="Q103" s="426">
        <f si="10" t="shared"/>
        <v>-5.6623999999999999</v>
      </c>
    </row>
    <row r="104" spans="13:17" x14ac:dyDescent="0.25">
      <c r="M104" s="385" t="str">
        <f>VLOOKUP(N104,Coeff_Descr!$A:$D,3,FALSE)</f>
        <v>SOCREC</v>
      </c>
      <c r="N104" s="385">
        <f>OtherTourDestination!B112</f>
        <v>113</v>
      </c>
      <c r="O104" s="385" t="str">
        <f>OtherTourDestination!C112</f>
        <v>Gamma113</v>
      </c>
      <c r="P104" s="387">
        <f>OtherTourDestination!E112</f>
        <v>-12.0597581892</v>
      </c>
      <c r="Q104" s="426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2017-10-26T15:42:33Z</dcterms:modified>
</cp:coreProperties>
</file>