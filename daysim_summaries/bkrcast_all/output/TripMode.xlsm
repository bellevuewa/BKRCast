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KR0V1-1-newcap-newpop-S93-newdensity-shortwalkdist-coeff8-newadjfacs-nohomejobs-BSq_attractiveness\daysim_summaries\bkrcast_all\output\"/>
    </mc:Choice>
  </mc:AlternateContent>
  <xr:revisionPtr revIDLastSave="0" documentId="13_ncr:1_{D099434D-BD51-4B96-978F-7B34AC453307}" xr6:coauthVersionLast="41" xr6:coauthVersionMax="41" xr10:uidLastSave="{00000000-0000-0000-0000-000000000000}"/>
  <bookViews>
    <workbookView xWindow="12405" yWindow="2640" windowWidth="21600" windowHeight="11265" xr2:uid="{00000000-000D-0000-FFFF-FFFF00000000}"/>
  </bookViews>
  <sheets>
    <sheet name="All Purposes" sheetId="18" r:id="rId1"/>
    <sheet name="Workbased" sheetId="7" r:id="rId2"/>
    <sheet name="Work" sheetId="11" r:id="rId3"/>
    <sheet name="School" sheetId="12" r:id="rId4"/>
    <sheet name="Escort" sheetId="13" r:id="rId5"/>
    <sheet name="Personal_Business" sheetId="14" r:id="rId6"/>
    <sheet name="Shop" sheetId="15" r:id="rId7"/>
    <sheet name="Meal" sheetId="16" r:id="rId8"/>
    <sheet name="SocRec" sheetId="17" r:id="rId9"/>
    <sheet name="Documentation" sheetId="19" r:id="rId10"/>
  </sheets>
  <definedNames>
    <definedName name="out_1">Work!$B$5:$I$15</definedName>
    <definedName name="out_10">Shop!$M$5:$T$15</definedName>
    <definedName name="out_11">Meal!$B$5:$I$15</definedName>
    <definedName name="out_12">Meal!$M$5:$T$15</definedName>
    <definedName name="out_13">SocRec!$B$5:$I$15</definedName>
    <definedName name="out_14">SocRec!$M$5:$T$15</definedName>
    <definedName name="out_15">Workbased!$B$5:$I$15</definedName>
    <definedName name="out_16">Workbased!$M$5:$T$15</definedName>
    <definedName name="out_2">Work!$M$5:$T$15</definedName>
    <definedName name="out_3">School!$B$5:$I$15</definedName>
    <definedName name="out_4">School!$M$5:$T$15</definedName>
    <definedName name="out_5">Escort!$B$5:$I$15</definedName>
    <definedName name="out_6">Escort!$M$5:$T$15</definedName>
    <definedName name="out_7">Personal_Business!$B$5:$I$15</definedName>
    <definedName name="out_8">Personal_Business!$M$5:$T$15</definedName>
    <definedName name="out_9">Shop!$B$5:$I$15</definedName>
    <definedName name="out1">Work!$B$5:$I$15</definedName>
    <definedName name="out10">Shop!$M$5:$T$15</definedName>
    <definedName name="out11">Meal!$B$5:$I$15</definedName>
    <definedName name="out12">Meal!$M$5:$T$15</definedName>
    <definedName name="out13">SocRec!$B$5:$I$15</definedName>
    <definedName name="out14">SocRec!$M$5:$T$15</definedName>
    <definedName name="out15">Workbased!$B$5:$I$15</definedName>
    <definedName name="out16">Workbased!$M$5:$T$15</definedName>
    <definedName name="out2">Work!$M$5:$T$15</definedName>
    <definedName name="out3">School!$B$5:$I$15</definedName>
    <definedName name="out4">School!$M$5:$T$15</definedName>
    <definedName name="out5">Escort!$B$5:$I$15</definedName>
    <definedName name="out6">Escort!$M$5:$T$15</definedName>
    <definedName name="out7">Personal_Business!$B$5:$I$15</definedName>
    <definedName name="out8">Personal_Business!$M$5:$T$15</definedName>
    <definedName name="out9">Shop!$B$5:$I$15</definedName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18" l="1"/>
  <c r="J11" i="7" l="1"/>
  <c r="J12" i="7"/>
  <c r="J13" i="7"/>
  <c r="J11" i="11"/>
  <c r="J12" i="11"/>
  <c r="J13" i="11"/>
  <c r="J11" i="12"/>
  <c r="J12" i="12"/>
  <c r="J13" i="12"/>
  <c r="J11" i="13"/>
  <c r="J12" i="13"/>
  <c r="J13" i="13"/>
  <c r="J11" i="14"/>
  <c r="J12" i="14"/>
  <c r="J13" i="14"/>
  <c r="J11" i="15"/>
  <c r="J12" i="15"/>
  <c r="J13" i="15"/>
  <c r="J11" i="16"/>
  <c r="J12" i="16"/>
  <c r="J13" i="16"/>
  <c r="J11" i="17"/>
  <c r="J12" i="17"/>
  <c r="J13" i="17"/>
  <c r="I13" i="18"/>
  <c r="H13" i="18"/>
  <c r="G13" i="18"/>
  <c r="F13" i="18"/>
  <c r="E13" i="18"/>
  <c r="D13" i="18"/>
  <c r="C13" i="18"/>
  <c r="B13" i="18"/>
  <c r="I12" i="18"/>
  <c r="H12" i="18"/>
  <c r="G12" i="18"/>
  <c r="F12" i="18"/>
  <c r="E12" i="18"/>
  <c r="D12" i="18"/>
  <c r="C12" i="18"/>
  <c r="B12" i="18"/>
  <c r="I11" i="18"/>
  <c r="H11" i="18"/>
  <c r="G11" i="18"/>
  <c r="F11" i="18"/>
  <c r="E11" i="18"/>
  <c r="D11" i="18"/>
  <c r="C11" i="18"/>
  <c r="B11" i="18"/>
  <c r="T13" i="18"/>
  <c r="S13" i="18"/>
  <c r="R13" i="18"/>
  <c r="Q13" i="18"/>
  <c r="P13" i="18"/>
  <c r="O13" i="18"/>
  <c r="N13" i="18"/>
  <c r="M13" i="18"/>
  <c r="T12" i="18"/>
  <c r="S12" i="18"/>
  <c r="R12" i="18"/>
  <c r="Q12" i="18"/>
  <c r="P12" i="18"/>
  <c r="O12" i="18"/>
  <c r="N12" i="18"/>
  <c r="M12" i="18"/>
  <c r="U11" i="7"/>
  <c r="U12" i="7"/>
  <c r="U13" i="7"/>
  <c r="U11" i="11"/>
  <c r="U12" i="11"/>
  <c r="U13" i="11"/>
  <c r="U11" i="12"/>
  <c r="U12" i="12"/>
  <c r="U13" i="12"/>
  <c r="U11" i="13"/>
  <c r="U12" i="13"/>
  <c r="U13" i="13"/>
  <c r="U11" i="14"/>
  <c r="U12" i="14"/>
  <c r="U13" i="14"/>
  <c r="U11" i="15"/>
  <c r="U12" i="15"/>
  <c r="U13" i="15"/>
  <c r="U11" i="16"/>
  <c r="U12" i="16"/>
  <c r="U13" i="16"/>
  <c r="U11" i="17"/>
  <c r="U12" i="17"/>
  <c r="U13" i="17"/>
  <c r="O11" i="18"/>
  <c r="P11" i="18"/>
  <c r="Q11" i="18"/>
  <c r="R11" i="18"/>
  <c r="S11" i="18"/>
  <c r="T11" i="18"/>
  <c r="N11" i="18"/>
  <c r="M11" i="18"/>
  <c r="T15" i="18"/>
  <c r="S15" i="18"/>
  <c r="R15" i="18"/>
  <c r="Q15" i="18"/>
  <c r="P15" i="18"/>
  <c r="O15" i="18"/>
  <c r="N15" i="18"/>
  <c r="M15" i="18"/>
  <c r="T14" i="18"/>
  <c r="S14" i="18"/>
  <c r="R14" i="18"/>
  <c r="Q14" i="18"/>
  <c r="P14" i="18"/>
  <c r="O14" i="18"/>
  <c r="N14" i="18"/>
  <c r="M14" i="18"/>
  <c r="T10" i="18"/>
  <c r="S10" i="18"/>
  <c r="R10" i="18"/>
  <c r="Q10" i="18"/>
  <c r="P10" i="18"/>
  <c r="O10" i="18"/>
  <c r="N10" i="18"/>
  <c r="M10" i="18"/>
  <c r="T9" i="18"/>
  <c r="S9" i="18"/>
  <c r="R9" i="18"/>
  <c r="Q9" i="18"/>
  <c r="P9" i="18"/>
  <c r="O9" i="18"/>
  <c r="N9" i="18"/>
  <c r="M9" i="18"/>
  <c r="T8" i="18"/>
  <c r="S8" i="18"/>
  <c r="R8" i="18"/>
  <c r="Q8" i="18"/>
  <c r="P8" i="18"/>
  <c r="O8" i="18"/>
  <c r="N8" i="18"/>
  <c r="M8" i="18"/>
  <c r="T7" i="18"/>
  <c r="S7" i="18"/>
  <c r="R7" i="18"/>
  <c r="Q7" i="18"/>
  <c r="P7" i="18"/>
  <c r="O7" i="18"/>
  <c r="N7" i="18"/>
  <c r="M7" i="18"/>
  <c r="T6" i="18"/>
  <c r="S6" i="18"/>
  <c r="R6" i="18"/>
  <c r="Q6" i="18"/>
  <c r="P6" i="18"/>
  <c r="O6" i="18"/>
  <c r="N6" i="18"/>
  <c r="M6" i="18"/>
  <c r="T5" i="18"/>
  <c r="S5" i="18"/>
  <c r="R5" i="18"/>
  <c r="Q5" i="18"/>
  <c r="P5" i="18"/>
  <c r="O5" i="18"/>
  <c r="N5" i="18"/>
  <c r="M5" i="18"/>
  <c r="I15" i="18"/>
  <c r="H15" i="18"/>
  <c r="G15" i="18"/>
  <c r="F15" i="18"/>
  <c r="E15" i="18"/>
  <c r="D15" i="18"/>
  <c r="C15" i="18"/>
  <c r="B15" i="18"/>
  <c r="I14" i="18"/>
  <c r="H14" i="18"/>
  <c r="G14" i="18"/>
  <c r="F14" i="18"/>
  <c r="E14" i="18"/>
  <c r="D14" i="18"/>
  <c r="C14" i="18"/>
  <c r="B14" i="18"/>
  <c r="I10" i="18"/>
  <c r="H10" i="18"/>
  <c r="G10" i="18"/>
  <c r="F10" i="18"/>
  <c r="E10" i="18"/>
  <c r="D10" i="18"/>
  <c r="C10" i="18"/>
  <c r="B10" i="18"/>
  <c r="I9" i="18"/>
  <c r="H9" i="18"/>
  <c r="G9" i="18"/>
  <c r="F9" i="18"/>
  <c r="E9" i="18"/>
  <c r="D9" i="18"/>
  <c r="C9" i="18"/>
  <c r="B9" i="18"/>
  <c r="I8" i="18"/>
  <c r="H8" i="18"/>
  <c r="G8" i="18"/>
  <c r="F8" i="18"/>
  <c r="E8" i="18"/>
  <c r="D8" i="18"/>
  <c r="C8" i="18"/>
  <c r="B8" i="18"/>
  <c r="I7" i="18"/>
  <c r="H7" i="18"/>
  <c r="G7" i="18"/>
  <c r="F7" i="18"/>
  <c r="E7" i="18"/>
  <c r="D7" i="18"/>
  <c r="C7" i="18"/>
  <c r="B7" i="18"/>
  <c r="I6" i="18"/>
  <c r="H6" i="18"/>
  <c r="G6" i="18"/>
  <c r="F6" i="18"/>
  <c r="E6" i="18"/>
  <c r="D6" i="18"/>
  <c r="C6" i="18"/>
  <c r="I5" i="18"/>
  <c r="H5" i="18"/>
  <c r="G5" i="18"/>
  <c r="F5" i="18"/>
  <c r="E5" i="18"/>
  <c r="D5" i="18"/>
  <c r="C5" i="18"/>
  <c r="B5" i="18"/>
  <c r="T16" i="17"/>
  <c r="T30" i="17" s="1"/>
  <c r="S16" i="17"/>
  <c r="S29" i="17" s="1"/>
  <c r="R16" i="17"/>
  <c r="R30" i="17" s="1"/>
  <c r="Q16" i="17"/>
  <c r="Q30" i="17" s="1"/>
  <c r="P16" i="17"/>
  <c r="P30" i="17" s="1"/>
  <c r="O16" i="17"/>
  <c r="O30" i="17" s="1"/>
  <c r="N16" i="17"/>
  <c r="N30" i="17" s="1"/>
  <c r="M16" i="17"/>
  <c r="M30" i="17" s="1"/>
  <c r="I16" i="17"/>
  <c r="I30" i="17" s="1"/>
  <c r="H16" i="17"/>
  <c r="H30" i="17" s="1"/>
  <c r="G16" i="17"/>
  <c r="G30" i="17" s="1"/>
  <c r="F16" i="17"/>
  <c r="F30" i="17" s="1"/>
  <c r="E16" i="17"/>
  <c r="E30" i="17" s="1"/>
  <c r="D16" i="17"/>
  <c r="D30" i="17" s="1"/>
  <c r="C16" i="17"/>
  <c r="C30" i="17" s="1"/>
  <c r="B16" i="17"/>
  <c r="B29" i="17" s="1"/>
  <c r="U15" i="17"/>
  <c r="J15" i="17"/>
  <c r="U14" i="17"/>
  <c r="J14" i="17"/>
  <c r="U10" i="17"/>
  <c r="J10" i="17"/>
  <c r="U9" i="17"/>
  <c r="J9" i="17"/>
  <c r="U8" i="17"/>
  <c r="J8" i="17"/>
  <c r="U7" i="17"/>
  <c r="J7" i="17"/>
  <c r="U6" i="17"/>
  <c r="J6" i="17"/>
  <c r="U5" i="17"/>
  <c r="J5" i="17"/>
  <c r="T16" i="16"/>
  <c r="T30" i="16" s="1"/>
  <c r="S16" i="16"/>
  <c r="S30" i="16" s="1"/>
  <c r="R16" i="16"/>
  <c r="R30" i="16" s="1"/>
  <c r="Q16" i="16"/>
  <c r="Q30" i="16" s="1"/>
  <c r="P16" i="16"/>
  <c r="P30" i="16" s="1"/>
  <c r="O16" i="16"/>
  <c r="O29" i="16" s="1"/>
  <c r="N16" i="16"/>
  <c r="N30" i="16" s="1"/>
  <c r="M16" i="16"/>
  <c r="M30" i="16" s="1"/>
  <c r="I16" i="16"/>
  <c r="I30" i="16" s="1"/>
  <c r="H16" i="16"/>
  <c r="H30" i="16" s="1"/>
  <c r="G16" i="16"/>
  <c r="G30" i="16" s="1"/>
  <c r="F16" i="16"/>
  <c r="F30" i="16" s="1"/>
  <c r="E16" i="16"/>
  <c r="E30" i="16" s="1"/>
  <c r="D16" i="16"/>
  <c r="D30" i="16" s="1"/>
  <c r="C16" i="16"/>
  <c r="C30" i="16" s="1"/>
  <c r="B16" i="16"/>
  <c r="B29" i="16" s="1"/>
  <c r="U15" i="16"/>
  <c r="J15" i="16"/>
  <c r="U14" i="16"/>
  <c r="J14" i="16"/>
  <c r="U10" i="16"/>
  <c r="J10" i="16"/>
  <c r="U9" i="16"/>
  <c r="J9" i="16"/>
  <c r="U8" i="16"/>
  <c r="J8" i="16"/>
  <c r="U7" i="16"/>
  <c r="J7" i="16"/>
  <c r="U6" i="16"/>
  <c r="J6" i="16"/>
  <c r="U5" i="16"/>
  <c r="J5" i="16"/>
  <c r="T16" i="15"/>
  <c r="T30" i="15" s="1"/>
  <c r="S16" i="15"/>
  <c r="S29" i="15" s="1"/>
  <c r="R16" i="15"/>
  <c r="R30" i="15" s="1"/>
  <c r="Q16" i="15"/>
  <c r="Q30" i="15" s="1"/>
  <c r="P16" i="15"/>
  <c r="P30" i="15" s="1"/>
  <c r="O16" i="15"/>
  <c r="O30" i="15" s="1"/>
  <c r="N16" i="15"/>
  <c r="N30" i="15" s="1"/>
  <c r="M16" i="15"/>
  <c r="M30" i="15" s="1"/>
  <c r="I16" i="15"/>
  <c r="I30" i="15" s="1"/>
  <c r="H16" i="15"/>
  <c r="H30" i="15" s="1"/>
  <c r="G16" i="15"/>
  <c r="G30" i="15" s="1"/>
  <c r="F16" i="15"/>
  <c r="F30" i="15" s="1"/>
  <c r="E16" i="15"/>
  <c r="E30" i="15" s="1"/>
  <c r="D16" i="15"/>
  <c r="D30" i="15" s="1"/>
  <c r="C16" i="15"/>
  <c r="C30" i="15" s="1"/>
  <c r="B16" i="15"/>
  <c r="B29" i="15" s="1"/>
  <c r="U15" i="15"/>
  <c r="J15" i="15"/>
  <c r="U14" i="15"/>
  <c r="J14" i="15"/>
  <c r="U10" i="15"/>
  <c r="J10" i="15"/>
  <c r="U9" i="15"/>
  <c r="J9" i="15"/>
  <c r="U8" i="15"/>
  <c r="J8" i="15"/>
  <c r="U7" i="15"/>
  <c r="J7" i="15"/>
  <c r="U6" i="15"/>
  <c r="J6" i="15"/>
  <c r="U5" i="15"/>
  <c r="J5" i="15"/>
  <c r="T16" i="14"/>
  <c r="T30" i="14" s="1"/>
  <c r="S16" i="14"/>
  <c r="S30" i="14" s="1"/>
  <c r="R16" i="14"/>
  <c r="R30" i="14" s="1"/>
  <c r="Q16" i="14"/>
  <c r="Q30" i="14" s="1"/>
  <c r="P16" i="14"/>
  <c r="P30" i="14" s="1"/>
  <c r="O16" i="14"/>
  <c r="O29" i="14" s="1"/>
  <c r="N16" i="14"/>
  <c r="N30" i="14" s="1"/>
  <c r="M16" i="14"/>
  <c r="M30" i="14" s="1"/>
  <c r="I16" i="14"/>
  <c r="I30" i="14" s="1"/>
  <c r="H16" i="14"/>
  <c r="H30" i="14" s="1"/>
  <c r="G16" i="14"/>
  <c r="G30" i="14" s="1"/>
  <c r="F16" i="14"/>
  <c r="F30" i="14" s="1"/>
  <c r="E16" i="14"/>
  <c r="E30" i="14" s="1"/>
  <c r="D16" i="14"/>
  <c r="D30" i="14" s="1"/>
  <c r="C16" i="14"/>
  <c r="C30" i="14" s="1"/>
  <c r="B16" i="14"/>
  <c r="B29" i="14" s="1"/>
  <c r="U15" i="14"/>
  <c r="J15" i="14"/>
  <c r="U14" i="14"/>
  <c r="J14" i="14"/>
  <c r="U10" i="14"/>
  <c r="J10" i="14"/>
  <c r="U9" i="14"/>
  <c r="J9" i="14"/>
  <c r="U8" i="14"/>
  <c r="J8" i="14"/>
  <c r="U7" i="14"/>
  <c r="J7" i="14"/>
  <c r="U6" i="14"/>
  <c r="J6" i="14"/>
  <c r="U5" i="14"/>
  <c r="J5" i="14"/>
  <c r="T16" i="13"/>
  <c r="T30" i="13" s="1"/>
  <c r="S16" i="13"/>
  <c r="S29" i="13" s="1"/>
  <c r="R16" i="13"/>
  <c r="R30" i="13" s="1"/>
  <c r="Q16" i="13"/>
  <c r="Q30" i="13" s="1"/>
  <c r="P16" i="13"/>
  <c r="P30" i="13" s="1"/>
  <c r="O16" i="13"/>
  <c r="O30" i="13" s="1"/>
  <c r="N16" i="13"/>
  <c r="N30" i="13" s="1"/>
  <c r="M16" i="13"/>
  <c r="M30" i="13" s="1"/>
  <c r="I16" i="13"/>
  <c r="I30" i="13" s="1"/>
  <c r="H16" i="13"/>
  <c r="H30" i="13" s="1"/>
  <c r="G16" i="13"/>
  <c r="G30" i="13" s="1"/>
  <c r="F16" i="13"/>
  <c r="F30" i="13" s="1"/>
  <c r="E16" i="13"/>
  <c r="E30" i="13" s="1"/>
  <c r="D16" i="13"/>
  <c r="D30" i="13" s="1"/>
  <c r="C16" i="13"/>
  <c r="C30" i="13" s="1"/>
  <c r="B16" i="13"/>
  <c r="B29" i="13" s="1"/>
  <c r="U15" i="13"/>
  <c r="J15" i="13"/>
  <c r="U14" i="13"/>
  <c r="J14" i="13"/>
  <c r="U10" i="13"/>
  <c r="J10" i="13"/>
  <c r="U9" i="13"/>
  <c r="J9" i="13"/>
  <c r="U8" i="13"/>
  <c r="J8" i="13"/>
  <c r="U7" i="13"/>
  <c r="J7" i="13"/>
  <c r="U6" i="13"/>
  <c r="J6" i="13"/>
  <c r="U5" i="13"/>
  <c r="J5" i="13"/>
  <c r="T16" i="12"/>
  <c r="T30" i="12" s="1"/>
  <c r="S16" i="12"/>
  <c r="S30" i="12" s="1"/>
  <c r="R16" i="12"/>
  <c r="R30" i="12" s="1"/>
  <c r="Q16" i="12"/>
  <c r="Q30" i="12" s="1"/>
  <c r="P16" i="12"/>
  <c r="P30" i="12" s="1"/>
  <c r="O16" i="12"/>
  <c r="O29" i="12" s="1"/>
  <c r="N16" i="12"/>
  <c r="N30" i="12" s="1"/>
  <c r="M16" i="12"/>
  <c r="M30" i="12" s="1"/>
  <c r="I16" i="12"/>
  <c r="I30" i="12" s="1"/>
  <c r="H16" i="12"/>
  <c r="H30" i="12" s="1"/>
  <c r="G16" i="12"/>
  <c r="G30" i="12" s="1"/>
  <c r="F16" i="12"/>
  <c r="F30" i="12" s="1"/>
  <c r="E16" i="12"/>
  <c r="E30" i="12" s="1"/>
  <c r="D16" i="12"/>
  <c r="D30" i="12" s="1"/>
  <c r="C16" i="12"/>
  <c r="C30" i="12" s="1"/>
  <c r="B16" i="12"/>
  <c r="B29" i="12" s="1"/>
  <c r="U15" i="12"/>
  <c r="J15" i="12"/>
  <c r="U14" i="12"/>
  <c r="J14" i="12"/>
  <c r="U10" i="12"/>
  <c r="J10" i="12"/>
  <c r="U9" i="12"/>
  <c r="J9" i="12"/>
  <c r="U8" i="12"/>
  <c r="J8" i="12"/>
  <c r="U7" i="12"/>
  <c r="J7" i="12"/>
  <c r="U6" i="12"/>
  <c r="J6" i="12"/>
  <c r="U5" i="12"/>
  <c r="J5" i="12"/>
  <c r="T16" i="11"/>
  <c r="T31" i="11" s="1"/>
  <c r="S16" i="11"/>
  <c r="S32" i="11" s="1"/>
  <c r="R16" i="11"/>
  <c r="R33" i="11" s="1"/>
  <c r="Q16" i="11"/>
  <c r="Q30" i="11" s="1"/>
  <c r="P16" i="11"/>
  <c r="P31" i="11" s="1"/>
  <c r="O16" i="11"/>
  <c r="O32" i="11" s="1"/>
  <c r="N16" i="11"/>
  <c r="N33" i="11" s="1"/>
  <c r="M16" i="11"/>
  <c r="M30" i="11" s="1"/>
  <c r="I16" i="11"/>
  <c r="I31" i="11" s="1"/>
  <c r="H16" i="11"/>
  <c r="H32" i="11" s="1"/>
  <c r="G16" i="11"/>
  <c r="G33" i="11" s="1"/>
  <c r="F16" i="11"/>
  <c r="F30" i="11" s="1"/>
  <c r="E16" i="11"/>
  <c r="E31" i="11" s="1"/>
  <c r="D16" i="11"/>
  <c r="D32" i="11" s="1"/>
  <c r="C16" i="11"/>
  <c r="C33" i="11" s="1"/>
  <c r="B16" i="11"/>
  <c r="B29" i="11" s="1"/>
  <c r="U15" i="11"/>
  <c r="J15" i="11"/>
  <c r="U14" i="11"/>
  <c r="J14" i="11"/>
  <c r="U10" i="11"/>
  <c r="J10" i="11"/>
  <c r="U9" i="11"/>
  <c r="J9" i="11"/>
  <c r="U8" i="11"/>
  <c r="J8" i="11"/>
  <c r="U7" i="11"/>
  <c r="J7" i="11"/>
  <c r="U6" i="11"/>
  <c r="J6" i="11"/>
  <c r="U5" i="11"/>
  <c r="J5" i="11"/>
  <c r="R16" i="7"/>
  <c r="R33" i="7" s="1"/>
  <c r="U8" i="7"/>
  <c r="U7" i="7"/>
  <c r="J8" i="7"/>
  <c r="J7" i="7"/>
  <c r="G16" i="7"/>
  <c r="G33" i="7" s="1"/>
  <c r="J15" i="7"/>
  <c r="J14" i="7"/>
  <c r="J10" i="7"/>
  <c r="J9" i="7"/>
  <c r="J6" i="7"/>
  <c r="J5" i="7"/>
  <c r="U15" i="7"/>
  <c r="U14" i="7"/>
  <c r="U10" i="7"/>
  <c r="U9" i="7"/>
  <c r="U6" i="7"/>
  <c r="U5" i="7"/>
  <c r="T16" i="7"/>
  <c r="T31" i="7" s="1"/>
  <c r="S16" i="7"/>
  <c r="S32" i="7" s="1"/>
  <c r="Q16" i="7"/>
  <c r="Q30" i="7" s="1"/>
  <c r="P16" i="7"/>
  <c r="P31" i="7" s="1"/>
  <c r="O16" i="7"/>
  <c r="O32" i="7" s="1"/>
  <c r="N16" i="7"/>
  <c r="N33" i="7" s="1"/>
  <c r="M16" i="7"/>
  <c r="M30" i="7" s="1"/>
  <c r="I16" i="7"/>
  <c r="I31" i="7" s="1"/>
  <c r="H16" i="7"/>
  <c r="H32" i="7" s="1"/>
  <c r="F16" i="7"/>
  <c r="F30" i="7" s="1"/>
  <c r="E16" i="7"/>
  <c r="E31" i="7" s="1"/>
  <c r="D16" i="7"/>
  <c r="D32" i="7" s="1"/>
  <c r="C16" i="7"/>
  <c r="C33" i="7" s="1"/>
  <c r="B16" i="7"/>
  <c r="B29" i="7" s="1"/>
  <c r="I16" i="18" l="1"/>
  <c r="I33" i="18" s="1"/>
  <c r="R16" i="18"/>
  <c r="R33" i="18" s="1"/>
  <c r="U13" i="18"/>
  <c r="N16" i="18"/>
  <c r="N33" i="18" s="1"/>
  <c r="F16" i="18"/>
  <c r="F33" i="18" s="1"/>
  <c r="M16" i="18"/>
  <c r="M33" i="18" s="1"/>
  <c r="E16" i="18"/>
  <c r="E30" i="18" s="1"/>
  <c r="B16" i="18"/>
  <c r="B33" i="18" s="1"/>
  <c r="O29" i="17"/>
  <c r="O28" i="14"/>
  <c r="O30" i="12"/>
  <c r="O47" i="12" s="1"/>
  <c r="O29" i="15"/>
  <c r="O28" i="12"/>
  <c r="Q47" i="7"/>
  <c r="O30" i="16"/>
  <c r="O47" i="16" s="1"/>
  <c r="O29" i="13"/>
  <c r="O28" i="7"/>
  <c r="O28" i="16"/>
  <c r="O30" i="14"/>
  <c r="O47" i="14" s="1"/>
  <c r="O29" i="11"/>
  <c r="C16" i="18"/>
  <c r="C33" i="18" s="1"/>
  <c r="G16" i="18"/>
  <c r="G33" i="18" s="1"/>
  <c r="S28" i="17"/>
  <c r="S30" i="17"/>
  <c r="S47" i="17" s="1"/>
  <c r="S29" i="16"/>
  <c r="S28" i="15"/>
  <c r="S30" i="15"/>
  <c r="S47" i="15" s="1"/>
  <c r="S29" i="14"/>
  <c r="S28" i="13"/>
  <c r="S30" i="13"/>
  <c r="S47" i="13" s="1"/>
  <c r="S29" i="12"/>
  <c r="S28" i="11"/>
  <c r="S30" i="11"/>
  <c r="J11" i="18"/>
  <c r="J12" i="18"/>
  <c r="J13" i="18"/>
  <c r="U11" i="18"/>
  <c r="O28" i="17"/>
  <c r="O28" i="15"/>
  <c r="O28" i="13"/>
  <c r="O28" i="11"/>
  <c r="O30" i="11"/>
  <c r="O30" i="7"/>
  <c r="S28" i="16"/>
  <c r="S28" i="14"/>
  <c r="S28" i="12"/>
  <c r="S29" i="11"/>
  <c r="O29" i="7"/>
  <c r="Q47" i="11"/>
  <c r="Q47" i="12"/>
  <c r="Q47" i="13"/>
  <c r="Q47" i="14"/>
  <c r="Q47" i="15"/>
  <c r="Q47" i="16"/>
  <c r="Q47" i="17"/>
  <c r="S47" i="16"/>
  <c r="S47" i="14"/>
  <c r="S47" i="12"/>
  <c r="P47" i="12"/>
  <c r="T47" i="12"/>
  <c r="P47" i="13"/>
  <c r="T47" i="13"/>
  <c r="P47" i="14"/>
  <c r="T47" i="14"/>
  <c r="P47" i="15"/>
  <c r="T47" i="15"/>
  <c r="P47" i="16"/>
  <c r="T47" i="16"/>
  <c r="P47" i="17"/>
  <c r="T47" i="17"/>
  <c r="N47" i="12"/>
  <c r="R47" i="12"/>
  <c r="N47" i="13"/>
  <c r="R47" i="13"/>
  <c r="N47" i="14"/>
  <c r="R47" i="14"/>
  <c r="N47" i="15"/>
  <c r="R47" i="15"/>
  <c r="N47" i="16"/>
  <c r="R47" i="16"/>
  <c r="N47" i="17"/>
  <c r="R47" i="17"/>
  <c r="O47" i="17"/>
  <c r="O47" i="15"/>
  <c r="O47" i="13"/>
  <c r="S16" i="18"/>
  <c r="S33" i="18" s="1"/>
  <c r="S29" i="7"/>
  <c r="F28" i="17"/>
  <c r="B30" i="17"/>
  <c r="M47" i="17" s="1"/>
  <c r="F28" i="16"/>
  <c r="B30" i="16"/>
  <c r="M47" i="16" s="1"/>
  <c r="F28" i="15"/>
  <c r="B30" i="15"/>
  <c r="M47" i="15" s="1"/>
  <c r="F28" i="14"/>
  <c r="B30" i="14"/>
  <c r="M47" i="14" s="1"/>
  <c r="F28" i="13"/>
  <c r="B30" i="13"/>
  <c r="M47" i="13" s="1"/>
  <c r="F28" i="12"/>
  <c r="B30" i="12"/>
  <c r="M47" i="12" s="1"/>
  <c r="F28" i="11"/>
  <c r="B30" i="11"/>
  <c r="M47" i="11" s="1"/>
  <c r="F28" i="7"/>
  <c r="B30" i="7"/>
  <c r="M47" i="7" s="1"/>
  <c r="M28" i="17"/>
  <c r="Q28" i="17"/>
  <c r="M29" i="17"/>
  <c r="M46" i="17" s="1"/>
  <c r="Q29" i="17"/>
  <c r="M28" i="16"/>
  <c r="Q28" i="16"/>
  <c r="M29" i="16"/>
  <c r="M46" i="16" s="1"/>
  <c r="Q29" i="16"/>
  <c r="M28" i="15"/>
  <c r="Q28" i="15"/>
  <c r="M29" i="15"/>
  <c r="M46" i="15" s="1"/>
  <c r="Q29" i="15"/>
  <c r="M28" i="14"/>
  <c r="Q28" i="14"/>
  <c r="M29" i="14"/>
  <c r="M46" i="14" s="1"/>
  <c r="Q29" i="14"/>
  <c r="M28" i="13"/>
  <c r="Q28" i="13"/>
  <c r="M29" i="13"/>
  <c r="M46" i="13" s="1"/>
  <c r="Q29" i="13"/>
  <c r="M28" i="12"/>
  <c r="Q28" i="12"/>
  <c r="M29" i="12"/>
  <c r="M46" i="12" s="1"/>
  <c r="Q29" i="12"/>
  <c r="M28" i="11"/>
  <c r="Q28" i="11"/>
  <c r="M29" i="11"/>
  <c r="M46" i="11" s="1"/>
  <c r="Q29" i="11"/>
  <c r="M28" i="7"/>
  <c r="Q28" i="7"/>
  <c r="M29" i="7"/>
  <c r="M46" i="7" s="1"/>
  <c r="Q29" i="7"/>
  <c r="D28" i="17"/>
  <c r="H28" i="17"/>
  <c r="D29" i="17"/>
  <c r="H29" i="17"/>
  <c r="S46" i="17" s="1"/>
  <c r="D28" i="16"/>
  <c r="H28" i="16"/>
  <c r="D29" i="16"/>
  <c r="O46" i="16" s="1"/>
  <c r="H29" i="16"/>
  <c r="D28" i="15"/>
  <c r="H28" i="15"/>
  <c r="D29" i="15"/>
  <c r="H29" i="15"/>
  <c r="S46" i="15" s="1"/>
  <c r="D28" i="14"/>
  <c r="H28" i="14"/>
  <c r="D29" i="14"/>
  <c r="O46" i="14" s="1"/>
  <c r="H29" i="14"/>
  <c r="D28" i="13"/>
  <c r="H28" i="13"/>
  <c r="D29" i="13"/>
  <c r="H29" i="13"/>
  <c r="S46" i="13" s="1"/>
  <c r="D28" i="12"/>
  <c r="H28" i="12"/>
  <c r="D29" i="12"/>
  <c r="O46" i="12" s="1"/>
  <c r="H29" i="12"/>
  <c r="D28" i="11"/>
  <c r="H28" i="11"/>
  <c r="D29" i="11"/>
  <c r="H29" i="11"/>
  <c r="D30" i="11"/>
  <c r="H30" i="11"/>
  <c r="D28" i="7"/>
  <c r="H28" i="7"/>
  <c r="D29" i="7"/>
  <c r="H29" i="7"/>
  <c r="D30" i="7"/>
  <c r="H30" i="7"/>
  <c r="S28" i="7"/>
  <c r="B28" i="17"/>
  <c r="F29" i="17"/>
  <c r="B28" i="16"/>
  <c r="F29" i="16"/>
  <c r="B28" i="15"/>
  <c r="F29" i="15"/>
  <c r="B28" i="14"/>
  <c r="F29" i="14"/>
  <c r="B28" i="13"/>
  <c r="F29" i="13"/>
  <c r="B28" i="12"/>
  <c r="F29" i="12"/>
  <c r="B28" i="11"/>
  <c r="F29" i="11"/>
  <c r="B28" i="7"/>
  <c r="F29" i="7"/>
  <c r="U12" i="18"/>
  <c r="P28" i="17"/>
  <c r="T28" i="17"/>
  <c r="P29" i="17"/>
  <c r="T29" i="17"/>
  <c r="P28" i="16"/>
  <c r="T28" i="16"/>
  <c r="P29" i="16"/>
  <c r="T29" i="16"/>
  <c r="P28" i="15"/>
  <c r="T28" i="15"/>
  <c r="P29" i="15"/>
  <c r="T29" i="15"/>
  <c r="P28" i="14"/>
  <c r="T28" i="14"/>
  <c r="P29" i="14"/>
  <c r="T29" i="14"/>
  <c r="P28" i="13"/>
  <c r="T28" i="13"/>
  <c r="P29" i="13"/>
  <c r="T29" i="13"/>
  <c r="P28" i="12"/>
  <c r="T28" i="12"/>
  <c r="P29" i="12"/>
  <c r="T29" i="12"/>
  <c r="P28" i="11"/>
  <c r="T28" i="11"/>
  <c r="P29" i="11"/>
  <c r="T29" i="11"/>
  <c r="P30" i="11"/>
  <c r="T30" i="11"/>
  <c r="P28" i="7"/>
  <c r="T28" i="7"/>
  <c r="P29" i="7"/>
  <c r="T29" i="7"/>
  <c r="P30" i="7"/>
  <c r="T30" i="7"/>
  <c r="C28" i="17"/>
  <c r="G28" i="17"/>
  <c r="C29" i="17"/>
  <c r="G29" i="17"/>
  <c r="C28" i="16"/>
  <c r="G28" i="16"/>
  <c r="C29" i="16"/>
  <c r="G29" i="16"/>
  <c r="C28" i="15"/>
  <c r="G28" i="15"/>
  <c r="C29" i="15"/>
  <c r="G29" i="15"/>
  <c r="C28" i="14"/>
  <c r="G28" i="14"/>
  <c r="C29" i="14"/>
  <c r="G29" i="14"/>
  <c r="C28" i="13"/>
  <c r="G28" i="13"/>
  <c r="C29" i="13"/>
  <c r="G29" i="13"/>
  <c r="C28" i="12"/>
  <c r="G28" i="12"/>
  <c r="C29" i="12"/>
  <c r="G29" i="12"/>
  <c r="C28" i="11"/>
  <c r="G28" i="11"/>
  <c r="C29" i="11"/>
  <c r="G29" i="11"/>
  <c r="C30" i="11"/>
  <c r="G30" i="11"/>
  <c r="C28" i="7"/>
  <c r="G28" i="7"/>
  <c r="C29" i="7"/>
  <c r="G29" i="7"/>
  <c r="C30" i="7"/>
  <c r="G30" i="7"/>
  <c r="S30" i="7"/>
  <c r="N28" i="17"/>
  <c r="R28" i="17"/>
  <c r="N29" i="17"/>
  <c r="R29" i="17"/>
  <c r="N28" i="16"/>
  <c r="R28" i="16"/>
  <c r="N29" i="16"/>
  <c r="R29" i="16"/>
  <c r="N28" i="15"/>
  <c r="R28" i="15"/>
  <c r="N29" i="15"/>
  <c r="R29" i="15"/>
  <c r="N28" i="14"/>
  <c r="R28" i="14"/>
  <c r="N29" i="14"/>
  <c r="R29" i="14"/>
  <c r="N28" i="13"/>
  <c r="R28" i="13"/>
  <c r="N29" i="13"/>
  <c r="R29" i="13"/>
  <c r="N28" i="12"/>
  <c r="R28" i="12"/>
  <c r="N29" i="12"/>
  <c r="R29" i="12"/>
  <c r="N28" i="11"/>
  <c r="R28" i="11"/>
  <c r="N29" i="11"/>
  <c r="R29" i="11"/>
  <c r="N30" i="11"/>
  <c r="R30" i="11"/>
  <c r="N28" i="7"/>
  <c r="R28" i="7"/>
  <c r="N29" i="7"/>
  <c r="R29" i="7"/>
  <c r="N30" i="7"/>
  <c r="R30" i="7"/>
  <c r="E28" i="17"/>
  <c r="I28" i="17"/>
  <c r="E29" i="17"/>
  <c r="I29" i="17"/>
  <c r="E28" i="16"/>
  <c r="I28" i="16"/>
  <c r="E29" i="16"/>
  <c r="I29" i="16"/>
  <c r="E28" i="15"/>
  <c r="I28" i="15"/>
  <c r="E29" i="15"/>
  <c r="I29" i="15"/>
  <c r="E28" i="14"/>
  <c r="I28" i="14"/>
  <c r="E29" i="14"/>
  <c r="I29" i="14"/>
  <c r="E28" i="13"/>
  <c r="I28" i="13"/>
  <c r="E29" i="13"/>
  <c r="I29" i="13"/>
  <c r="E28" i="12"/>
  <c r="I28" i="12"/>
  <c r="E29" i="12"/>
  <c r="I29" i="12"/>
  <c r="E28" i="11"/>
  <c r="I28" i="11"/>
  <c r="E29" i="11"/>
  <c r="I29" i="11"/>
  <c r="E30" i="11"/>
  <c r="I30" i="11"/>
  <c r="E28" i="7"/>
  <c r="I28" i="7"/>
  <c r="E29" i="7"/>
  <c r="I29" i="7"/>
  <c r="E30" i="7"/>
  <c r="I30" i="7"/>
  <c r="T16" i="18"/>
  <c r="T33" i="18" s="1"/>
  <c r="Q16" i="18"/>
  <c r="Q33" i="18" s="1"/>
  <c r="O16" i="18"/>
  <c r="O33" i="18" s="1"/>
  <c r="C31" i="12"/>
  <c r="C25" i="12"/>
  <c r="C23" i="12"/>
  <c r="C32" i="12"/>
  <c r="C26" i="12"/>
  <c r="C33" i="12"/>
  <c r="C27" i="12"/>
  <c r="C24" i="12"/>
  <c r="C22" i="12"/>
  <c r="G31" i="12"/>
  <c r="G25" i="12"/>
  <c r="G23" i="12"/>
  <c r="G22" i="12"/>
  <c r="G32" i="12"/>
  <c r="G26" i="12"/>
  <c r="G33" i="12"/>
  <c r="G27" i="12"/>
  <c r="G24" i="12"/>
  <c r="N31" i="12"/>
  <c r="N25" i="12"/>
  <c r="N23" i="12"/>
  <c r="N32" i="12"/>
  <c r="N26" i="12"/>
  <c r="N33" i="12"/>
  <c r="N27" i="12"/>
  <c r="N24" i="12"/>
  <c r="N22" i="12"/>
  <c r="R31" i="12"/>
  <c r="R25" i="12"/>
  <c r="R23" i="12"/>
  <c r="R32" i="12"/>
  <c r="R26" i="12"/>
  <c r="R33" i="12"/>
  <c r="R27" i="12"/>
  <c r="R24" i="12"/>
  <c r="R22" i="12"/>
  <c r="C33" i="13"/>
  <c r="C27" i="13"/>
  <c r="C32" i="13"/>
  <c r="C25" i="13"/>
  <c r="C23" i="13"/>
  <c r="C31" i="13"/>
  <c r="C26" i="13"/>
  <c r="C24" i="13"/>
  <c r="C22" i="13"/>
  <c r="G33" i="13"/>
  <c r="G27" i="13"/>
  <c r="G31" i="13"/>
  <c r="G26" i="13"/>
  <c r="G25" i="13"/>
  <c r="G23" i="13"/>
  <c r="G24" i="13"/>
  <c r="G32" i="13"/>
  <c r="G22" i="13"/>
  <c r="N33" i="13"/>
  <c r="N27" i="13"/>
  <c r="N24" i="13"/>
  <c r="N23" i="13"/>
  <c r="N32" i="13"/>
  <c r="N22" i="13"/>
  <c r="N31" i="13"/>
  <c r="N26" i="13"/>
  <c r="N25" i="13"/>
  <c r="R33" i="13"/>
  <c r="R27" i="13"/>
  <c r="R24" i="13"/>
  <c r="R32" i="13"/>
  <c r="R22" i="13"/>
  <c r="R31" i="13"/>
  <c r="R26" i="13"/>
  <c r="R25" i="13"/>
  <c r="R23" i="13"/>
  <c r="C33" i="14"/>
  <c r="C27" i="14"/>
  <c r="C24" i="14"/>
  <c r="C31" i="14"/>
  <c r="C25" i="14"/>
  <c r="C32" i="14"/>
  <c r="C23" i="14"/>
  <c r="C22" i="14"/>
  <c r="C26" i="14"/>
  <c r="G33" i="14"/>
  <c r="G27" i="14"/>
  <c r="G24" i="14"/>
  <c r="G31" i="14"/>
  <c r="G25" i="14"/>
  <c r="G23" i="14"/>
  <c r="G26" i="14"/>
  <c r="G22" i="14"/>
  <c r="G32" i="14"/>
  <c r="N33" i="14"/>
  <c r="N27" i="14"/>
  <c r="N24" i="14"/>
  <c r="N31" i="14"/>
  <c r="N25" i="14"/>
  <c r="N23" i="14"/>
  <c r="N26" i="14"/>
  <c r="N22" i="14"/>
  <c r="N32" i="14"/>
  <c r="R33" i="14"/>
  <c r="R27" i="14"/>
  <c r="R24" i="14"/>
  <c r="R31" i="14"/>
  <c r="R25" i="14"/>
  <c r="R23" i="14"/>
  <c r="R22" i="14"/>
  <c r="R32" i="14"/>
  <c r="R26" i="14"/>
  <c r="C33" i="15"/>
  <c r="C27" i="15"/>
  <c r="C24" i="15"/>
  <c r="C31" i="15"/>
  <c r="C25" i="15"/>
  <c r="C23" i="15"/>
  <c r="C22" i="15"/>
  <c r="C32" i="15"/>
  <c r="C26" i="15"/>
  <c r="G33" i="15"/>
  <c r="G27" i="15"/>
  <c r="G24" i="15"/>
  <c r="G31" i="15"/>
  <c r="G25" i="15"/>
  <c r="G23" i="15"/>
  <c r="G26" i="15"/>
  <c r="G22" i="15"/>
  <c r="G32" i="15"/>
  <c r="N24" i="15"/>
  <c r="N32" i="15"/>
  <c r="N26" i="15"/>
  <c r="N23" i="15"/>
  <c r="N25" i="15"/>
  <c r="N27" i="15"/>
  <c r="N31" i="15"/>
  <c r="N22" i="15"/>
  <c r="N33" i="15"/>
  <c r="R24" i="15"/>
  <c r="R32" i="15"/>
  <c r="R26" i="15"/>
  <c r="R23" i="15"/>
  <c r="R31" i="15"/>
  <c r="R22" i="15"/>
  <c r="R33" i="15"/>
  <c r="R25" i="15"/>
  <c r="R27" i="15"/>
  <c r="C33" i="16"/>
  <c r="C27" i="16"/>
  <c r="C24" i="16"/>
  <c r="C31" i="16"/>
  <c r="C25" i="16"/>
  <c r="C23" i="16"/>
  <c r="C22" i="16"/>
  <c r="C32" i="16"/>
  <c r="C26" i="16"/>
  <c r="G33" i="16"/>
  <c r="G27" i="16"/>
  <c r="G24" i="16"/>
  <c r="G31" i="16"/>
  <c r="G25" i="16"/>
  <c r="G23" i="16"/>
  <c r="G26" i="16"/>
  <c r="G22" i="16"/>
  <c r="G32" i="16"/>
  <c r="N33" i="16"/>
  <c r="N27" i="16"/>
  <c r="N24" i="16"/>
  <c r="N31" i="16"/>
  <c r="N25" i="16"/>
  <c r="N23" i="16"/>
  <c r="N26" i="16"/>
  <c r="N22" i="16"/>
  <c r="N32" i="16"/>
  <c r="R33" i="16"/>
  <c r="R27" i="16"/>
  <c r="R24" i="16"/>
  <c r="R31" i="16"/>
  <c r="R25" i="16"/>
  <c r="R23" i="16"/>
  <c r="R22" i="16"/>
  <c r="R32" i="16"/>
  <c r="R26" i="16"/>
  <c r="C33" i="17"/>
  <c r="C27" i="17"/>
  <c r="C24" i="17"/>
  <c r="C31" i="17"/>
  <c r="C25" i="17"/>
  <c r="C23" i="17"/>
  <c r="C22" i="17"/>
  <c r="C32" i="17"/>
  <c r="C26" i="17"/>
  <c r="G33" i="17"/>
  <c r="G27" i="17"/>
  <c r="G24" i="17"/>
  <c r="G31" i="17"/>
  <c r="G25" i="17"/>
  <c r="G23" i="17"/>
  <c r="G26" i="17"/>
  <c r="G22" i="17"/>
  <c r="G32" i="17"/>
  <c r="N33" i="17"/>
  <c r="N27" i="17"/>
  <c r="N24" i="17"/>
  <c r="N31" i="17"/>
  <c r="N25" i="17"/>
  <c r="N23" i="17"/>
  <c r="N26" i="17"/>
  <c r="N22" i="17"/>
  <c r="N32" i="17"/>
  <c r="R33" i="17"/>
  <c r="R27" i="17"/>
  <c r="R24" i="17"/>
  <c r="R31" i="17"/>
  <c r="R25" i="17"/>
  <c r="R23" i="17"/>
  <c r="R22" i="17"/>
  <c r="R32" i="17"/>
  <c r="R26" i="17"/>
  <c r="E22" i="7"/>
  <c r="I22" i="7"/>
  <c r="D23" i="7"/>
  <c r="H23" i="7"/>
  <c r="B24" i="7"/>
  <c r="F24" i="7"/>
  <c r="D25" i="7"/>
  <c r="H25" i="7"/>
  <c r="C26" i="7"/>
  <c r="G26" i="7"/>
  <c r="B27" i="7"/>
  <c r="F27" i="7"/>
  <c r="D31" i="7"/>
  <c r="H31" i="7"/>
  <c r="C32" i="7"/>
  <c r="G32" i="7"/>
  <c r="B33" i="7"/>
  <c r="F33" i="7"/>
  <c r="P22" i="7"/>
  <c r="T22" i="7"/>
  <c r="O23" i="7"/>
  <c r="S23" i="7"/>
  <c r="M24" i="7"/>
  <c r="Q24" i="7"/>
  <c r="O25" i="7"/>
  <c r="S25" i="7"/>
  <c r="N26" i="7"/>
  <c r="R26" i="7"/>
  <c r="M27" i="7"/>
  <c r="Q27" i="7"/>
  <c r="O31" i="7"/>
  <c r="S31" i="7"/>
  <c r="N32" i="7"/>
  <c r="R32" i="7"/>
  <c r="M33" i="7"/>
  <c r="Q33" i="7"/>
  <c r="E22" i="11"/>
  <c r="I22" i="11"/>
  <c r="D23" i="11"/>
  <c r="H23" i="11"/>
  <c r="B24" i="11"/>
  <c r="F24" i="11"/>
  <c r="D25" i="11"/>
  <c r="H25" i="11"/>
  <c r="C26" i="11"/>
  <c r="G26" i="11"/>
  <c r="B27" i="11"/>
  <c r="F27" i="11"/>
  <c r="D31" i="11"/>
  <c r="H31" i="11"/>
  <c r="C32" i="11"/>
  <c r="G32" i="11"/>
  <c r="B33" i="11"/>
  <c r="F33" i="11"/>
  <c r="P22" i="11"/>
  <c r="T22" i="11"/>
  <c r="O23" i="11"/>
  <c r="S23" i="11"/>
  <c r="M24" i="11"/>
  <c r="Q24" i="11"/>
  <c r="O25" i="11"/>
  <c r="S25" i="11"/>
  <c r="N26" i="11"/>
  <c r="R26" i="11"/>
  <c r="M27" i="11"/>
  <c r="Q27" i="11"/>
  <c r="O31" i="11"/>
  <c r="S31" i="11"/>
  <c r="N32" i="11"/>
  <c r="R32" i="11"/>
  <c r="M33" i="11"/>
  <c r="Q33" i="11"/>
  <c r="F32" i="12"/>
  <c r="F26" i="12"/>
  <c r="F33" i="12"/>
  <c r="F27" i="12"/>
  <c r="F24" i="12"/>
  <c r="F23" i="12"/>
  <c r="F22" i="12"/>
  <c r="F25" i="12"/>
  <c r="F31" i="12"/>
  <c r="M32" i="12"/>
  <c r="M26" i="12"/>
  <c r="M33" i="12"/>
  <c r="M27" i="12"/>
  <c r="M24" i="12"/>
  <c r="M22" i="12"/>
  <c r="M31" i="12"/>
  <c r="M25" i="12"/>
  <c r="M23" i="12"/>
  <c r="Q32" i="12"/>
  <c r="Q26" i="12"/>
  <c r="Q33" i="12"/>
  <c r="Q27" i="12"/>
  <c r="Q24" i="12"/>
  <c r="Q22" i="12"/>
  <c r="Q31" i="12"/>
  <c r="Q25" i="12"/>
  <c r="Q23" i="12"/>
  <c r="B31" i="13"/>
  <c r="B26" i="13"/>
  <c r="B24" i="13"/>
  <c r="B33" i="13"/>
  <c r="B22" i="13"/>
  <c r="B32" i="13"/>
  <c r="B27" i="13"/>
  <c r="B25" i="13"/>
  <c r="B23" i="13"/>
  <c r="F33" i="13"/>
  <c r="F24" i="13"/>
  <c r="F32" i="13"/>
  <c r="F27" i="13"/>
  <c r="F22" i="13"/>
  <c r="F31" i="13"/>
  <c r="F26" i="13"/>
  <c r="F25" i="13"/>
  <c r="F23" i="13"/>
  <c r="M22" i="13"/>
  <c r="M32" i="13"/>
  <c r="M27" i="13"/>
  <c r="M31" i="13"/>
  <c r="M26" i="13"/>
  <c r="M24" i="13"/>
  <c r="M25" i="13"/>
  <c r="M33" i="13"/>
  <c r="M23" i="13"/>
  <c r="Q22" i="13"/>
  <c r="Q31" i="13"/>
  <c r="Q26" i="13"/>
  <c r="Q24" i="13"/>
  <c r="Q25" i="13"/>
  <c r="Q33" i="13"/>
  <c r="Q23" i="13"/>
  <c r="Q32" i="13"/>
  <c r="Q27" i="13"/>
  <c r="B22" i="14"/>
  <c r="B32" i="14"/>
  <c r="B26" i="14"/>
  <c r="B31" i="14"/>
  <c r="B23" i="14"/>
  <c r="B33" i="14"/>
  <c r="B25" i="14"/>
  <c r="B24" i="14"/>
  <c r="B27" i="14"/>
  <c r="F22" i="14"/>
  <c r="F32" i="14"/>
  <c r="F26" i="14"/>
  <c r="F25" i="14"/>
  <c r="F27" i="14"/>
  <c r="F24" i="14"/>
  <c r="F31" i="14"/>
  <c r="F33" i="14"/>
  <c r="F23" i="14"/>
  <c r="M22" i="14"/>
  <c r="M32" i="14"/>
  <c r="M26" i="14"/>
  <c r="M25" i="14"/>
  <c r="M27" i="14"/>
  <c r="M31" i="14"/>
  <c r="M23" i="14"/>
  <c r="M33" i="14"/>
  <c r="M24" i="14"/>
  <c r="Q22" i="14"/>
  <c r="Q32" i="14"/>
  <c r="Q26" i="14"/>
  <c r="Q31" i="14"/>
  <c r="Q23" i="14"/>
  <c r="Q33" i="14"/>
  <c r="Q24" i="14"/>
  <c r="Q25" i="14"/>
  <c r="Q27" i="14"/>
  <c r="B22" i="15"/>
  <c r="B32" i="15"/>
  <c r="B26" i="15"/>
  <c r="B31" i="15"/>
  <c r="B23" i="15"/>
  <c r="B33" i="15"/>
  <c r="B24" i="15"/>
  <c r="B25" i="15"/>
  <c r="B27" i="15"/>
  <c r="F22" i="15"/>
  <c r="F32" i="15"/>
  <c r="F26" i="15"/>
  <c r="F25" i="15"/>
  <c r="F27" i="15"/>
  <c r="F31" i="15"/>
  <c r="F23" i="15"/>
  <c r="F33" i="15"/>
  <c r="F24" i="15"/>
  <c r="M31" i="15"/>
  <c r="M25" i="15"/>
  <c r="M22" i="15"/>
  <c r="M33" i="15"/>
  <c r="M27" i="15"/>
  <c r="M26" i="15"/>
  <c r="M32" i="15"/>
  <c r="M23" i="15"/>
  <c r="M24" i="15"/>
  <c r="Q31" i="15"/>
  <c r="Q25" i="15"/>
  <c r="Q22" i="15"/>
  <c r="Q33" i="15"/>
  <c r="Q27" i="15"/>
  <c r="Q32" i="15"/>
  <c r="Q23" i="15"/>
  <c r="Q24" i="15"/>
  <c r="Q26" i="15"/>
  <c r="B22" i="16"/>
  <c r="B32" i="16"/>
  <c r="B26" i="16"/>
  <c r="B31" i="16"/>
  <c r="B23" i="16"/>
  <c r="B33" i="16"/>
  <c r="B24" i="16"/>
  <c r="B25" i="16"/>
  <c r="B27" i="16"/>
  <c r="F22" i="16"/>
  <c r="F32" i="16"/>
  <c r="F26" i="16"/>
  <c r="F25" i="16"/>
  <c r="F27" i="16"/>
  <c r="F31" i="16"/>
  <c r="F23" i="16"/>
  <c r="F33" i="16"/>
  <c r="F24" i="16"/>
  <c r="M22" i="16"/>
  <c r="M32" i="16"/>
  <c r="M26" i="16"/>
  <c r="M25" i="16"/>
  <c r="M27" i="16"/>
  <c r="M31" i="16"/>
  <c r="M23" i="16"/>
  <c r="M33" i="16"/>
  <c r="M24" i="16"/>
  <c r="Q22" i="16"/>
  <c r="Q32" i="16"/>
  <c r="Q26" i="16"/>
  <c r="Q31" i="16"/>
  <c r="Q23" i="16"/>
  <c r="Q33" i="16"/>
  <c r="Q24" i="16"/>
  <c r="Q25" i="16"/>
  <c r="Q27" i="16"/>
  <c r="B22" i="17"/>
  <c r="B32" i="17"/>
  <c r="B26" i="17"/>
  <c r="B31" i="17"/>
  <c r="B23" i="17"/>
  <c r="B33" i="17"/>
  <c r="B24" i="17"/>
  <c r="B25" i="17"/>
  <c r="B27" i="17"/>
  <c r="F22" i="17"/>
  <c r="F32" i="17"/>
  <c r="F26" i="17"/>
  <c r="F25" i="17"/>
  <c r="F27" i="17"/>
  <c r="F31" i="17"/>
  <c r="F23" i="17"/>
  <c r="F33" i="17"/>
  <c r="F24" i="17"/>
  <c r="M22" i="17"/>
  <c r="M32" i="17"/>
  <c r="M26" i="17"/>
  <c r="M25" i="17"/>
  <c r="M27" i="17"/>
  <c r="M31" i="17"/>
  <c r="M23" i="17"/>
  <c r="M33" i="17"/>
  <c r="M24" i="17"/>
  <c r="Q22" i="17"/>
  <c r="Q32" i="17"/>
  <c r="Q26" i="17"/>
  <c r="Q31" i="17"/>
  <c r="Q23" i="17"/>
  <c r="Q33" i="17"/>
  <c r="Q24" i="17"/>
  <c r="Q25" i="17"/>
  <c r="Q27" i="17"/>
  <c r="D22" i="7"/>
  <c r="H22" i="7"/>
  <c r="C23" i="7"/>
  <c r="G23" i="7"/>
  <c r="E24" i="7"/>
  <c r="I24" i="7"/>
  <c r="C25" i="7"/>
  <c r="G25" i="7"/>
  <c r="B26" i="7"/>
  <c r="F26" i="7"/>
  <c r="E27" i="7"/>
  <c r="I27" i="7"/>
  <c r="C31" i="7"/>
  <c r="G31" i="7"/>
  <c r="B32" i="7"/>
  <c r="F32" i="7"/>
  <c r="E33" i="7"/>
  <c r="I33" i="7"/>
  <c r="O22" i="7"/>
  <c r="S22" i="7"/>
  <c r="N23" i="7"/>
  <c r="R23" i="7"/>
  <c r="P24" i="7"/>
  <c r="T24" i="7"/>
  <c r="N25" i="7"/>
  <c r="R25" i="7"/>
  <c r="M26" i="7"/>
  <c r="Q26" i="7"/>
  <c r="P27" i="7"/>
  <c r="T27" i="7"/>
  <c r="N31" i="7"/>
  <c r="R31" i="7"/>
  <c r="M32" i="7"/>
  <c r="Q32" i="7"/>
  <c r="P33" i="7"/>
  <c r="T33" i="7"/>
  <c r="D22" i="11"/>
  <c r="H22" i="11"/>
  <c r="C23" i="11"/>
  <c r="G23" i="11"/>
  <c r="E24" i="11"/>
  <c r="I24" i="11"/>
  <c r="C25" i="11"/>
  <c r="G25" i="11"/>
  <c r="B26" i="11"/>
  <c r="F26" i="11"/>
  <c r="E27" i="11"/>
  <c r="I27" i="11"/>
  <c r="C31" i="11"/>
  <c r="G31" i="11"/>
  <c r="B32" i="11"/>
  <c r="F32" i="11"/>
  <c r="E33" i="11"/>
  <c r="I33" i="11"/>
  <c r="O22" i="11"/>
  <c r="S22" i="11"/>
  <c r="N23" i="11"/>
  <c r="R23" i="11"/>
  <c r="P24" i="11"/>
  <c r="T24" i="11"/>
  <c r="N25" i="11"/>
  <c r="R25" i="11"/>
  <c r="M26" i="11"/>
  <c r="Q26" i="11"/>
  <c r="P27" i="11"/>
  <c r="T27" i="11"/>
  <c r="N31" i="11"/>
  <c r="R31" i="11"/>
  <c r="M32" i="11"/>
  <c r="Q32" i="11"/>
  <c r="P33" i="11"/>
  <c r="T33" i="11"/>
  <c r="B32" i="12"/>
  <c r="B26" i="12"/>
  <c r="B24" i="12"/>
  <c r="B33" i="12"/>
  <c r="B27" i="12"/>
  <c r="B22" i="12"/>
  <c r="B23" i="12"/>
  <c r="B31" i="12"/>
  <c r="B25" i="12"/>
  <c r="E33" i="12"/>
  <c r="E27" i="12"/>
  <c r="E24" i="12"/>
  <c r="E22" i="12"/>
  <c r="E31" i="12"/>
  <c r="E25" i="12"/>
  <c r="E23" i="12"/>
  <c r="E32" i="12"/>
  <c r="E26" i="12"/>
  <c r="I33" i="12"/>
  <c r="I27" i="12"/>
  <c r="I24" i="12"/>
  <c r="I22" i="12"/>
  <c r="I31" i="12"/>
  <c r="I25" i="12"/>
  <c r="I23" i="12"/>
  <c r="I26" i="12"/>
  <c r="I32" i="12"/>
  <c r="P33" i="12"/>
  <c r="P27" i="12"/>
  <c r="P24" i="12"/>
  <c r="P22" i="12"/>
  <c r="P31" i="12"/>
  <c r="P25" i="12"/>
  <c r="P23" i="12"/>
  <c r="P32" i="12"/>
  <c r="P26" i="12"/>
  <c r="T33" i="12"/>
  <c r="T27" i="12"/>
  <c r="T24" i="12"/>
  <c r="T22" i="12"/>
  <c r="T31" i="12"/>
  <c r="T25" i="12"/>
  <c r="T23" i="12"/>
  <c r="T32" i="12"/>
  <c r="T26" i="12"/>
  <c r="E31" i="13"/>
  <c r="E33" i="13"/>
  <c r="E24" i="13"/>
  <c r="E32" i="13"/>
  <c r="E27" i="13"/>
  <c r="E22" i="13"/>
  <c r="E26" i="13"/>
  <c r="E25" i="13"/>
  <c r="E23" i="13"/>
  <c r="I31" i="13"/>
  <c r="I32" i="13"/>
  <c r="I27" i="13"/>
  <c r="I24" i="13"/>
  <c r="I26" i="13"/>
  <c r="I22" i="13"/>
  <c r="I25" i="13"/>
  <c r="I23" i="13"/>
  <c r="I33" i="13"/>
  <c r="P31" i="13"/>
  <c r="P25" i="13"/>
  <c r="P23" i="13"/>
  <c r="P33" i="13"/>
  <c r="P32" i="13"/>
  <c r="P27" i="13"/>
  <c r="P26" i="13"/>
  <c r="P24" i="13"/>
  <c r="P22" i="13"/>
  <c r="T31" i="13"/>
  <c r="T25" i="13"/>
  <c r="T23" i="13"/>
  <c r="T33" i="13"/>
  <c r="T32" i="13"/>
  <c r="T27" i="13"/>
  <c r="T26" i="13"/>
  <c r="T24" i="13"/>
  <c r="T22" i="13"/>
  <c r="E31" i="14"/>
  <c r="E25" i="14"/>
  <c r="E23" i="14"/>
  <c r="E33" i="14"/>
  <c r="E27" i="14"/>
  <c r="E26" i="14"/>
  <c r="E24" i="14"/>
  <c r="E22" i="14"/>
  <c r="E32" i="14"/>
  <c r="I31" i="14"/>
  <c r="I25" i="14"/>
  <c r="I23" i="14"/>
  <c r="I33" i="14"/>
  <c r="I27" i="14"/>
  <c r="I32" i="14"/>
  <c r="I26" i="14"/>
  <c r="I24" i="14"/>
  <c r="I22" i="14"/>
  <c r="P31" i="14"/>
  <c r="P25" i="14"/>
  <c r="P23" i="14"/>
  <c r="P33" i="14"/>
  <c r="P27" i="14"/>
  <c r="P24" i="14"/>
  <c r="P32" i="14"/>
  <c r="P26" i="14"/>
  <c r="P22" i="14"/>
  <c r="T31" i="14"/>
  <c r="T25" i="14"/>
  <c r="T23" i="14"/>
  <c r="T33" i="14"/>
  <c r="T27" i="14"/>
  <c r="T24" i="14"/>
  <c r="T26" i="14"/>
  <c r="T22" i="14"/>
  <c r="T32" i="14"/>
  <c r="E31" i="15"/>
  <c r="E25" i="15"/>
  <c r="E23" i="15"/>
  <c r="E33" i="15"/>
  <c r="E27" i="15"/>
  <c r="E24" i="15"/>
  <c r="E26" i="15"/>
  <c r="E22" i="15"/>
  <c r="E32" i="15"/>
  <c r="I31" i="15"/>
  <c r="I25" i="15"/>
  <c r="I23" i="15"/>
  <c r="I33" i="15"/>
  <c r="I27" i="15"/>
  <c r="I24" i="15"/>
  <c r="I32" i="15"/>
  <c r="I26" i="15"/>
  <c r="I22" i="15"/>
  <c r="P32" i="15"/>
  <c r="P26" i="15"/>
  <c r="P23" i="15"/>
  <c r="P24" i="15"/>
  <c r="P33" i="15"/>
  <c r="P25" i="15"/>
  <c r="P27" i="15"/>
  <c r="P31" i="15"/>
  <c r="P22" i="15"/>
  <c r="T32" i="15"/>
  <c r="T26" i="15"/>
  <c r="T23" i="15"/>
  <c r="T24" i="15"/>
  <c r="T27" i="15"/>
  <c r="T31" i="15"/>
  <c r="T22" i="15"/>
  <c r="T33" i="15"/>
  <c r="T25" i="15"/>
  <c r="E31" i="16"/>
  <c r="E25" i="16"/>
  <c r="E23" i="16"/>
  <c r="E33" i="16"/>
  <c r="E27" i="16"/>
  <c r="E24" i="16"/>
  <c r="E26" i="16"/>
  <c r="E22" i="16"/>
  <c r="E32" i="16"/>
  <c r="I31" i="16"/>
  <c r="I25" i="16"/>
  <c r="I23" i="16"/>
  <c r="I33" i="16"/>
  <c r="I27" i="16"/>
  <c r="I24" i="16"/>
  <c r="I32" i="16"/>
  <c r="I26" i="16"/>
  <c r="I22" i="16"/>
  <c r="P31" i="16"/>
  <c r="P25" i="16"/>
  <c r="P23" i="16"/>
  <c r="P33" i="16"/>
  <c r="P27" i="16"/>
  <c r="P24" i="16"/>
  <c r="P32" i="16"/>
  <c r="P26" i="16"/>
  <c r="P22" i="16"/>
  <c r="T31" i="16"/>
  <c r="T25" i="16"/>
  <c r="T23" i="16"/>
  <c r="T33" i="16"/>
  <c r="T27" i="16"/>
  <c r="T24" i="16"/>
  <c r="T26" i="16"/>
  <c r="T22" i="16"/>
  <c r="T32" i="16"/>
  <c r="E31" i="17"/>
  <c r="E25" i="17"/>
  <c r="E23" i="17"/>
  <c r="E33" i="17"/>
  <c r="E27" i="17"/>
  <c r="E24" i="17"/>
  <c r="E26" i="17"/>
  <c r="E22" i="17"/>
  <c r="E32" i="17"/>
  <c r="I31" i="17"/>
  <c r="I25" i="17"/>
  <c r="I23" i="17"/>
  <c r="I33" i="17"/>
  <c r="I27" i="17"/>
  <c r="I24" i="17"/>
  <c r="I32" i="17"/>
  <c r="I26" i="17"/>
  <c r="I22" i="17"/>
  <c r="P31" i="17"/>
  <c r="P25" i="17"/>
  <c r="P23" i="17"/>
  <c r="P33" i="17"/>
  <c r="P27" i="17"/>
  <c r="P24" i="17"/>
  <c r="P32" i="17"/>
  <c r="P26" i="17"/>
  <c r="P22" i="17"/>
  <c r="T31" i="17"/>
  <c r="T25" i="17"/>
  <c r="T23" i="17"/>
  <c r="T33" i="17"/>
  <c r="T27" i="17"/>
  <c r="T24" i="17"/>
  <c r="T26" i="17"/>
  <c r="T22" i="17"/>
  <c r="T32" i="17"/>
  <c r="C22" i="7"/>
  <c r="G22" i="7"/>
  <c r="B23" i="7"/>
  <c r="F23" i="7"/>
  <c r="D24" i="7"/>
  <c r="H24" i="7"/>
  <c r="B25" i="7"/>
  <c r="F25" i="7"/>
  <c r="E26" i="7"/>
  <c r="I26" i="7"/>
  <c r="D27" i="7"/>
  <c r="H27" i="7"/>
  <c r="B31" i="7"/>
  <c r="F31" i="7"/>
  <c r="E32" i="7"/>
  <c r="I32" i="7"/>
  <c r="D33" i="7"/>
  <c r="H33" i="7"/>
  <c r="N22" i="7"/>
  <c r="R22" i="7"/>
  <c r="M23" i="7"/>
  <c r="Q23" i="7"/>
  <c r="O24" i="7"/>
  <c r="S24" i="7"/>
  <c r="M25" i="7"/>
  <c r="Q25" i="7"/>
  <c r="P26" i="7"/>
  <c r="T26" i="7"/>
  <c r="O27" i="7"/>
  <c r="S27" i="7"/>
  <c r="M31" i="7"/>
  <c r="Q31" i="7"/>
  <c r="P32" i="7"/>
  <c r="T32" i="7"/>
  <c r="O33" i="7"/>
  <c r="S33" i="7"/>
  <c r="C22" i="11"/>
  <c r="G22" i="11"/>
  <c r="B23" i="11"/>
  <c r="F23" i="11"/>
  <c r="D24" i="11"/>
  <c r="H24" i="11"/>
  <c r="B25" i="11"/>
  <c r="F25" i="11"/>
  <c r="E26" i="11"/>
  <c r="I26" i="11"/>
  <c r="D27" i="11"/>
  <c r="H27" i="11"/>
  <c r="B31" i="11"/>
  <c r="F31" i="11"/>
  <c r="E32" i="11"/>
  <c r="I32" i="11"/>
  <c r="D33" i="11"/>
  <c r="H33" i="11"/>
  <c r="N22" i="11"/>
  <c r="R22" i="11"/>
  <c r="M23" i="11"/>
  <c r="Q23" i="11"/>
  <c r="O24" i="11"/>
  <c r="S24" i="11"/>
  <c r="M25" i="11"/>
  <c r="Q25" i="11"/>
  <c r="P26" i="11"/>
  <c r="T26" i="11"/>
  <c r="O27" i="11"/>
  <c r="S27" i="11"/>
  <c r="M31" i="11"/>
  <c r="Q31" i="11"/>
  <c r="P32" i="11"/>
  <c r="T32" i="11"/>
  <c r="O33" i="11"/>
  <c r="S33" i="11"/>
  <c r="D22" i="12"/>
  <c r="D31" i="12"/>
  <c r="D25" i="12"/>
  <c r="D23" i="12"/>
  <c r="D32" i="12"/>
  <c r="D26" i="12"/>
  <c r="D33" i="12"/>
  <c r="D27" i="12"/>
  <c r="D24" i="12"/>
  <c r="H22" i="12"/>
  <c r="H23" i="12"/>
  <c r="H31" i="12"/>
  <c r="H25" i="12"/>
  <c r="H24" i="12"/>
  <c r="H32" i="12"/>
  <c r="H26" i="12"/>
  <c r="H33" i="12"/>
  <c r="H27" i="12"/>
  <c r="O22" i="12"/>
  <c r="O31" i="12"/>
  <c r="O25" i="12"/>
  <c r="O23" i="12"/>
  <c r="O32" i="12"/>
  <c r="O26" i="12"/>
  <c r="O33" i="12"/>
  <c r="O27" i="12"/>
  <c r="O24" i="12"/>
  <c r="S22" i="12"/>
  <c r="S31" i="12"/>
  <c r="S25" i="12"/>
  <c r="S23" i="12"/>
  <c r="S32" i="12"/>
  <c r="S26" i="12"/>
  <c r="S33" i="12"/>
  <c r="S27" i="12"/>
  <c r="S24" i="12"/>
  <c r="D32" i="13"/>
  <c r="D26" i="13"/>
  <c r="D27" i="13"/>
  <c r="D22" i="13"/>
  <c r="D25" i="13"/>
  <c r="D23" i="13"/>
  <c r="D31" i="13"/>
  <c r="D33" i="13"/>
  <c r="D24" i="13"/>
  <c r="H32" i="13"/>
  <c r="H26" i="13"/>
  <c r="H22" i="13"/>
  <c r="H31" i="13"/>
  <c r="H25" i="13"/>
  <c r="H23" i="13"/>
  <c r="H33" i="13"/>
  <c r="H27" i="13"/>
  <c r="H24" i="13"/>
  <c r="O32" i="13"/>
  <c r="O26" i="13"/>
  <c r="O33" i="13"/>
  <c r="O25" i="13"/>
  <c r="O27" i="13"/>
  <c r="O23" i="13"/>
  <c r="O24" i="13"/>
  <c r="O22" i="13"/>
  <c r="O31" i="13"/>
  <c r="S32" i="13"/>
  <c r="S26" i="13"/>
  <c r="S27" i="13"/>
  <c r="S23" i="13"/>
  <c r="S24" i="13"/>
  <c r="S22" i="13"/>
  <c r="S31" i="13"/>
  <c r="S33" i="13"/>
  <c r="S25" i="13"/>
  <c r="D32" i="14"/>
  <c r="D26" i="14"/>
  <c r="D27" i="14"/>
  <c r="D31" i="14"/>
  <c r="D33" i="14"/>
  <c r="D23" i="14"/>
  <c r="D25" i="14"/>
  <c r="D24" i="14"/>
  <c r="D22" i="14"/>
  <c r="H32" i="14"/>
  <c r="H26" i="14"/>
  <c r="H33" i="14"/>
  <c r="H25" i="14"/>
  <c r="H23" i="14"/>
  <c r="H27" i="14"/>
  <c r="H24" i="14"/>
  <c r="H22" i="14"/>
  <c r="H31" i="14"/>
  <c r="O32" i="14"/>
  <c r="O26" i="14"/>
  <c r="O22" i="14"/>
  <c r="O33" i="14"/>
  <c r="O24" i="14"/>
  <c r="O25" i="14"/>
  <c r="O27" i="14"/>
  <c r="O31" i="14"/>
  <c r="O23" i="14"/>
  <c r="S32" i="14"/>
  <c r="S26" i="14"/>
  <c r="S22" i="14"/>
  <c r="S27" i="14"/>
  <c r="S31" i="14"/>
  <c r="S23" i="14"/>
  <c r="S33" i="14"/>
  <c r="S24" i="14"/>
  <c r="S25" i="14"/>
  <c r="D32" i="15"/>
  <c r="D26" i="15"/>
  <c r="D22" i="15"/>
  <c r="D27" i="15"/>
  <c r="D31" i="15"/>
  <c r="D23" i="15"/>
  <c r="D33" i="15"/>
  <c r="D24" i="15"/>
  <c r="D25" i="15"/>
  <c r="H32" i="15"/>
  <c r="H26" i="15"/>
  <c r="H22" i="15"/>
  <c r="H33" i="15"/>
  <c r="H24" i="15"/>
  <c r="H25" i="15"/>
  <c r="H27" i="15"/>
  <c r="H31" i="15"/>
  <c r="H23" i="15"/>
  <c r="O33" i="15"/>
  <c r="O27" i="15"/>
  <c r="O31" i="15"/>
  <c r="O25" i="15"/>
  <c r="O22" i="15"/>
  <c r="O24" i="15"/>
  <c r="O26" i="15"/>
  <c r="O32" i="15"/>
  <c r="O23" i="15"/>
  <c r="S33" i="15"/>
  <c r="S27" i="15"/>
  <c r="S31" i="15"/>
  <c r="S25" i="15"/>
  <c r="S22" i="15"/>
  <c r="S32" i="15"/>
  <c r="S23" i="15"/>
  <c r="S24" i="15"/>
  <c r="S26" i="15"/>
  <c r="D32" i="16"/>
  <c r="D26" i="16"/>
  <c r="D22" i="16"/>
  <c r="D27" i="16"/>
  <c r="D31" i="16"/>
  <c r="D23" i="16"/>
  <c r="D33" i="16"/>
  <c r="D24" i="16"/>
  <c r="D25" i="16"/>
  <c r="H32" i="16"/>
  <c r="H26" i="16"/>
  <c r="H22" i="16"/>
  <c r="H33" i="16"/>
  <c r="H24" i="16"/>
  <c r="H25" i="16"/>
  <c r="H27" i="16"/>
  <c r="H31" i="16"/>
  <c r="H23" i="16"/>
  <c r="O32" i="16"/>
  <c r="O26" i="16"/>
  <c r="O22" i="16"/>
  <c r="O33" i="16"/>
  <c r="O24" i="16"/>
  <c r="O25" i="16"/>
  <c r="O27" i="16"/>
  <c r="O31" i="16"/>
  <c r="O23" i="16"/>
  <c r="S32" i="16"/>
  <c r="S26" i="16"/>
  <c r="S22" i="16"/>
  <c r="S27" i="16"/>
  <c r="S31" i="16"/>
  <c r="S23" i="16"/>
  <c r="S33" i="16"/>
  <c r="S24" i="16"/>
  <c r="S25" i="16"/>
  <c r="D32" i="17"/>
  <c r="D26" i="17"/>
  <c r="D22" i="17"/>
  <c r="D27" i="17"/>
  <c r="D31" i="17"/>
  <c r="D23" i="17"/>
  <c r="D33" i="17"/>
  <c r="D24" i="17"/>
  <c r="D25" i="17"/>
  <c r="H32" i="17"/>
  <c r="H26" i="17"/>
  <c r="H22" i="17"/>
  <c r="H33" i="17"/>
  <c r="H24" i="17"/>
  <c r="H25" i="17"/>
  <c r="H27" i="17"/>
  <c r="H31" i="17"/>
  <c r="H23" i="17"/>
  <c r="O32" i="17"/>
  <c r="O26" i="17"/>
  <c r="O22" i="17"/>
  <c r="O33" i="17"/>
  <c r="O24" i="17"/>
  <c r="O25" i="17"/>
  <c r="O27" i="17"/>
  <c r="O31" i="17"/>
  <c r="O23" i="17"/>
  <c r="S32" i="17"/>
  <c r="S26" i="17"/>
  <c r="S22" i="17"/>
  <c r="S27" i="17"/>
  <c r="S31" i="17"/>
  <c r="S23" i="17"/>
  <c r="S33" i="17"/>
  <c r="S24" i="17"/>
  <c r="S25" i="17"/>
  <c r="B22" i="7"/>
  <c r="F22" i="7"/>
  <c r="E23" i="7"/>
  <c r="I23" i="7"/>
  <c r="C24" i="7"/>
  <c r="G24" i="7"/>
  <c r="E25" i="7"/>
  <c r="I25" i="7"/>
  <c r="D26" i="7"/>
  <c r="H26" i="7"/>
  <c r="C27" i="7"/>
  <c r="G27" i="7"/>
  <c r="M22" i="7"/>
  <c r="Q22" i="7"/>
  <c r="P23" i="7"/>
  <c r="T23" i="7"/>
  <c r="N24" i="7"/>
  <c r="R24" i="7"/>
  <c r="P25" i="7"/>
  <c r="T25" i="7"/>
  <c r="O26" i="7"/>
  <c r="S26" i="7"/>
  <c r="N27" i="7"/>
  <c r="R27" i="7"/>
  <c r="B22" i="11"/>
  <c r="F22" i="11"/>
  <c r="E23" i="11"/>
  <c r="I23" i="11"/>
  <c r="C24" i="11"/>
  <c r="G24" i="11"/>
  <c r="E25" i="11"/>
  <c r="I25" i="11"/>
  <c r="D26" i="11"/>
  <c r="H26" i="11"/>
  <c r="C27" i="11"/>
  <c r="G27" i="11"/>
  <c r="M22" i="11"/>
  <c r="Q22" i="11"/>
  <c r="P23" i="11"/>
  <c r="T23" i="11"/>
  <c r="N24" i="11"/>
  <c r="R24" i="11"/>
  <c r="P25" i="11"/>
  <c r="T25" i="11"/>
  <c r="O26" i="11"/>
  <c r="S26" i="11"/>
  <c r="N27" i="11"/>
  <c r="R27" i="11"/>
  <c r="J16" i="7"/>
  <c r="J29" i="7" s="1"/>
  <c r="U5" i="18"/>
  <c r="U14" i="18"/>
  <c r="P16" i="18"/>
  <c r="P33" i="18" s="1"/>
  <c r="D16" i="18"/>
  <c r="D33" i="18" s="1"/>
  <c r="U6" i="18"/>
  <c r="U7" i="18"/>
  <c r="U8" i="18"/>
  <c r="U9" i="18"/>
  <c r="U10" i="18"/>
  <c r="U15" i="18"/>
  <c r="J6" i="18"/>
  <c r="J7" i="18"/>
  <c r="J8" i="18"/>
  <c r="J9" i="18"/>
  <c r="J10" i="18"/>
  <c r="J14" i="18"/>
  <c r="J15" i="18"/>
  <c r="H16" i="18"/>
  <c r="H33" i="18" s="1"/>
  <c r="J5" i="18"/>
  <c r="J16" i="17"/>
  <c r="J28" i="17" s="1"/>
  <c r="U16" i="17"/>
  <c r="U26" i="17" s="1"/>
  <c r="J16" i="16"/>
  <c r="J29" i="16" s="1"/>
  <c r="U16" i="16"/>
  <c r="J16" i="15"/>
  <c r="U16" i="15"/>
  <c r="J16" i="14"/>
  <c r="J29" i="14" s="1"/>
  <c r="U16" i="14"/>
  <c r="U30" i="14" s="1"/>
  <c r="J16" i="13"/>
  <c r="J30" i="13" s="1"/>
  <c r="U16" i="13"/>
  <c r="U26" i="13" s="1"/>
  <c r="J16" i="12"/>
  <c r="J30" i="12" s="1"/>
  <c r="U16" i="12"/>
  <c r="J16" i="11"/>
  <c r="J22" i="11" s="1"/>
  <c r="U16" i="11"/>
  <c r="U30" i="11" s="1"/>
  <c r="U16" i="7"/>
  <c r="U30" i="7" s="1"/>
  <c r="S45" i="13" l="1"/>
  <c r="N32" i="18"/>
  <c r="N22" i="18"/>
  <c r="G27" i="18"/>
  <c r="M31" i="18"/>
  <c r="M25" i="18"/>
  <c r="N25" i="18"/>
  <c r="B32" i="18"/>
  <c r="E23" i="18"/>
  <c r="E24" i="18"/>
  <c r="I22" i="18"/>
  <c r="F26" i="18"/>
  <c r="M23" i="18"/>
  <c r="R32" i="18"/>
  <c r="G32" i="18"/>
  <c r="M27" i="18"/>
  <c r="R27" i="18"/>
  <c r="R22" i="18"/>
  <c r="B31" i="18"/>
  <c r="N31" i="18"/>
  <c r="Q23" i="18"/>
  <c r="B23" i="18"/>
  <c r="N23" i="18"/>
  <c r="B22" i="18"/>
  <c r="Q25" i="18"/>
  <c r="B25" i="18"/>
  <c r="N27" i="18"/>
  <c r="N24" i="18"/>
  <c r="E22" i="18"/>
  <c r="E27" i="18"/>
  <c r="S32" i="18"/>
  <c r="M26" i="18"/>
  <c r="M22" i="18"/>
  <c r="E26" i="18"/>
  <c r="S45" i="12"/>
  <c r="Q45" i="12"/>
  <c r="F22" i="18"/>
  <c r="M32" i="18"/>
  <c r="S23" i="18"/>
  <c r="F32" i="18"/>
  <c r="F25" i="18"/>
  <c r="F23" i="18"/>
  <c r="R31" i="18"/>
  <c r="R25" i="18"/>
  <c r="R24" i="18"/>
  <c r="R23" i="18"/>
  <c r="I32" i="18"/>
  <c r="E33" i="18"/>
  <c r="P50" i="18" s="1"/>
  <c r="AA50" i="18" s="1"/>
  <c r="E31" i="18"/>
  <c r="B24" i="18"/>
  <c r="F31" i="18"/>
  <c r="I31" i="18"/>
  <c r="F27" i="18"/>
  <c r="I26" i="18"/>
  <c r="B27" i="18"/>
  <c r="I25" i="18"/>
  <c r="B26" i="18"/>
  <c r="I27" i="18"/>
  <c r="I30" i="18"/>
  <c r="I29" i="18"/>
  <c r="I28" i="18"/>
  <c r="F24" i="18"/>
  <c r="I24" i="18"/>
  <c r="I23" i="18"/>
  <c r="C27" i="18"/>
  <c r="C24" i="18"/>
  <c r="O45" i="7"/>
  <c r="O22" i="18"/>
  <c r="S47" i="11"/>
  <c r="Q45" i="7"/>
  <c r="Q32" i="18"/>
  <c r="Q26" i="18"/>
  <c r="R30" i="18"/>
  <c r="R29" i="18"/>
  <c r="Q45" i="16"/>
  <c r="E29" i="18"/>
  <c r="F29" i="18"/>
  <c r="R26" i="18"/>
  <c r="E25" i="18"/>
  <c r="R28" i="18"/>
  <c r="M24" i="18"/>
  <c r="N26" i="18"/>
  <c r="E32" i="18"/>
  <c r="B29" i="18"/>
  <c r="E28" i="18"/>
  <c r="S45" i="17"/>
  <c r="O45" i="17"/>
  <c r="N30" i="18"/>
  <c r="M28" i="18"/>
  <c r="N29" i="18"/>
  <c r="N28" i="18"/>
  <c r="O47" i="11"/>
  <c r="S46" i="11"/>
  <c r="S46" i="12"/>
  <c r="M30" i="18"/>
  <c r="O45" i="12"/>
  <c r="M29" i="18"/>
  <c r="B30" i="18"/>
  <c r="B28" i="18"/>
  <c r="S45" i="14"/>
  <c r="Q45" i="14"/>
  <c r="F30" i="18"/>
  <c r="O45" i="14"/>
  <c r="F28" i="18"/>
  <c r="S45" i="15"/>
  <c r="O46" i="11"/>
  <c r="O46" i="13"/>
  <c r="O46" i="15"/>
  <c r="O46" i="17"/>
  <c r="N46" i="11"/>
  <c r="N46" i="12"/>
  <c r="N46" i="13"/>
  <c r="N46" i="14"/>
  <c r="N46" i="15"/>
  <c r="N46" i="16"/>
  <c r="N46" i="17"/>
  <c r="T46" i="11"/>
  <c r="T46" i="12"/>
  <c r="T46" i="13"/>
  <c r="T46" i="14"/>
  <c r="T46" i="15"/>
  <c r="T46" i="16"/>
  <c r="T46" i="17"/>
  <c r="N47" i="7"/>
  <c r="N45" i="7"/>
  <c r="T47" i="7"/>
  <c r="T45" i="7"/>
  <c r="G22" i="18"/>
  <c r="S31" i="18"/>
  <c r="S25" i="18"/>
  <c r="G31" i="18"/>
  <c r="G23" i="18"/>
  <c r="N46" i="7"/>
  <c r="N47" i="11"/>
  <c r="N45" i="11"/>
  <c r="N45" i="12"/>
  <c r="N45" i="13"/>
  <c r="N45" i="14"/>
  <c r="S46" i="16"/>
  <c r="S30" i="18"/>
  <c r="O45" i="11"/>
  <c r="G29" i="18"/>
  <c r="S27" i="18"/>
  <c r="G25" i="18"/>
  <c r="G24" i="18"/>
  <c r="O45" i="15"/>
  <c r="O45" i="16"/>
  <c r="S26" i="18"/>
  <c r="S24" i="18"/>
  <c r="S22" i="18"/>
  <c r="G26" i="18"/>
  <c r="O47" i="7"/>
  <c r="T25" i="18"/>
  <c r="N45" i="15"/>
  <c r="N45" i="16"/>
  <c r="N45" i="17"/>
  <c r="O46" i="7"/>
  <c r="O45" i="13"/>
  <c r="U28" i="11"/>
  <c r="U28" i="17"/>
  <c r="U45" i="17" s="1"/>
  <c r="D28" i="18"/>
  <c r="U29" i="13"/>
  <c r="C29" i="18"/>
  <c r="P29" i="18"/>
  <c r="C22" i="18"/>
  <c r="C32" i="18"/>
  <c r="C25" i="18"/>
  <c r="C23" i="18"/>
  <c r="C31" i="18"/>
  <c r="R46" i="7"/>
  <c r="R47" i="11"/>
  <c r="R45" i="11"/>
  <c r="R45" i="12"/>
  <c r="R45" i="13"/>
  <c r="R45" i="14"/>
  <c r="R45" i="15"/>
  <c r="R45" i="16"/>
  <c r="R45" i="17"/>
  <c r="S45" i="11"/>
  <c r="S45" i="16"/>
  <c r="S29" i="18"/>
  <c r="D30" i="18"/>
  <c r="G28" i="18"/>
  <c r="C28" i="18"/>
  <c r="G30" i="18"/>
  <c r="J29" i="15"/>
  <c r="C26" i="18"/>
  <c r="S46" i="14"/>
  <c r="Q46" i="7"/>
  <c r="Q46" i="12"/>
  <c r="Q46" i="14"/>
  <c r="Q46" i="16"/>
  <c r="J28" i="7"/>
  <c r="S28" i="18"/>
  <c r="C30" i="18"/>
  <c r="U30" i="12"/>
  <c r="U47" i="12" s="1"/>
  <c r="U30" i="16"/>
  <c r="U26" i="11"/>
  <c r="U29" i="11"/>
  <c r="U29" i="15"/>
  <c r="T27" i="18"/>
  <c r="T46" i="7"/>
  <c r="T47" i="11"/>
  <c r="T45" i="11"/>
  <c r="T45" i="12"/>
  <c r="T45" i="13"/>
  <c r="T45" i="14"/>
  <c r="T45" i="15"/>
  <c r="T45" i="16"/>
  <c r="T45" i="17"/>
  <c r="S45" i="7"/>
  <c r="Q45" i="11"/>
  <c r="Q45" i="13"/>
  <c r="Q45" i="15"/>
  <c r="Q45" i="17"/>
  <c r="Q30" i="18"/>
  <c r="U30" i="13"/>
  <c r="U47" i="13" s="1"/>
  <c r="U29" i="17"/>
  <c r="O29" i="18"/>
  <c r="U29" i="14"/>
  <c r="U46" i="14" s="1"/>
  <c r="T28" i="18"/>
  <c r="J30" i="11"/>
  <c r="U47" i="11" s="1"/>
  <c r="D29" i="18"/>
  <c r="T29" i="18"/>
  <c r="Q28" i="18"/>
  <c r="U26" i="7"/>
  <c r="U28" i="7"/>
  <c r="J31" i="12"/>
  <c r="J28" i="12"/>
  <c r="J30" i="14"/>
  <c r="U47" i="14" s="1"/>
  <c r="J22" i="16"/>
  <c r="J28" i="16"/>
  <c r="T30" i="18"/>
  <c r="T32" i="18"/>
  <c r="T26" i="18"/>
  <c r="T24" i="18"/>
  <c r="P47" i="7"/>
  <c r="P45" i="7"/>
  <c r="P46" i="11"/>
  <c r="P46" i="12"/>
  <c r="P46" i="13"/>
  <c r="P46" i="14"/>
  <c r="P46" i="15"/>
  <c r="P46" i="16"/>
  <c r="P46" i="17"/>
  <c r="S46" i="7"/>
  <c r="J29" i="11"/>
  <c r="J30" i="16"/>
  <c r="U29" i="12"/>
  <c r="U30" i="17"/>
  <c r="J28" i="15"/>
  <c r="U28" i="13"/>
  <c r="P28" i="18"/>
  <c r="J30" i="15"/>
  <c r="H29" i="18"/>
  <c r="P30" i="18"/>
  <c r="P47" i="18" s="1"/>
  <c r="AA47" i="18" s="1"/>
  <c r="U28" i="16"/>
  <c r="U28" i="14"/>
  <c r="J22" i="13"/>
  <c r="J29" i="13"/>
  <c r="J22" i="17"/>
  <c r="J29" i="17"/>
  <c r="J27" i="7"/>
  <c r="J30" i="7"/>
  <c r="U47" i="7" s="1"/>
  <c r="Q46" i="11"/>
  <c r="Q46" i="13"/>
  <c r="Q46" i="15"/>
  <c r="Q46" i="17"/>
  <c r="U29" i="16"/>
  <c r="U46" i="16" s="1"/>
  <c r="U28" i="12"/>
  <c r="T23" i="18"/>
  <c r="R47" i="7"/>
  <c r="R45" i="7"/>
  <c r="R46" i="11"/>
  <c r="R46" i="12"/>
  <c r="R46" i="13"/>
  <c r="R46" i="14"/>
  <c r="R46" i="15"/>
  <c r="R46" i="16"/>
  <c r="R46" i="17"/>
  <c r="S47" i="7"/>
  <c r="P46" i="7"/>
  <c r="P47" i="11"/>
  <c r="P45" i="11"/>
  <c r="P45" i="12"/>
  <c r="P45" i="13"/>
  <c r="P45" i="14"/>
  <c r="P45" i="15"/>
  <c r="P45" i="16"/>
  <c r="P45" i="17"/>
  <c r="O30" i="18"/>
  <c r="M45" i="7"/>
  <c r="M45" i="11"/>
  <c r="M45" i="12"/>
  <c r="M45" i="13"/>
  <c r="M45" i="14"/>
  <c r="M45" i="15"/>
  <c r="M45" i="16"/>
  <c r="M45" i="17"/>
  <c r="J28" i="14"/>
  <c r="Q29" i="18"/>
  <c r="U28" i="15"/>
  <c r="J28" i="11"/>
  <c r="J30" i="17"/>
  <c r="J29" i="12"/>
  <c r="U29" i="7"/>
  <c r="U46" i="7" s="1"/>
  <c r="U30" i="15"/>
  <c r="J28" i="13"/>
  <c r="H30" i="18"/>
  <c r="H28" i="18"/>
  <c r="O28" i="18"/>
  <c r="Q31" i="18"/>
  <c r="Q22" i="18"/>
  <c r="Q27" i="18"/>
  <c r="Q24" i="18"/>
  <c r="T31" i="18"/>
  <c r="T22" i="18"/>
  <c r="O32" i="18"/>
  <c r="O31" i="18"/>
  <c r="O27" i="18"/>
  <c r="O26" i="18"/>
  <c r="O25" i="18"/>
  <c r="O24" i="18"/>
  <c r="O23" i="18"/>
  <c r="J24" i="15"/>
  <c r="J23" i="12"/>
  <c r="U25" i="13"/>
  <c r="J26" i="15"/>
  <c r="J23" i="16"/>
  <c r="J32" i="12"/>
  <c r="U23" i="15"/>
  <c r="J32" i="16"/>
  <c r="J27" i="13"/>
  <c r="U32" i="15"/>
  <c r="J22" i="14"/>
  <c r="J27" i="17"/>
  <c r="J25" i="14"/>
  <c r="U25" i="17"/>
  <c r="J22" i="12"/>
  <c r="J31" i="14"/>
  <c r="J24" i="17"/>
  <c r="J25" i="16"/>
  <c r="J27" i="15"/>
  <c r="J32" i="14"/>
  <c r="J23" i="14"/>
  <c r="J24" i="13"/>
  <c r="J25" i="12"/>
  <c r="U32" i="17"/>
  <c r="U23" i="17"/>
  <c r="U24" i="16"/>
  <c r="U25" i="15"/>
  <c r="U27" i="14"/>
  <c r="U32" i="13"/>
  <c r="U23" i="13"/>
  <c r="U24" i="12"/>
  <c r="J26" i="17"/>
  <c r="U43" i="17" s="1"/>
  <c r="J31" i="16"/>
  <c r="J26" i="13"/>
  <c r="U31" i="16"/>
  <c r="U22" i="16"/>
  <c r="U31" i="12"/>
  <c r="U22" i="12"/>
  <c r="J24" i="11"/>
  <c r="J31" i="7"/>
  <c r="U32" i="11"/>
  <c r="U23" i="11"/>
  <c r="U31" i="7"/>
  <c r="J26" i="7"/>
  <c r="U33" i="14"/>
  <c r="U33" i="11"/>
  <c r="U33" i="13"/>
  <c r="U33" i="15"/>
  <c r="U33" i="17"/>
  <c r="U33" i="7"/>
  <c r="J33" i="12"/>
  <c r="J33" i="14"/>
  <c r="J33" i="16"/>
  <c r="J25" i="17"/>
  <c r="J27" i="16"/>
  <c r="J32" i="15"/>
  <c r="J23" i="15"/>
  <c r="J24" i="14"/>
  <c r="J25" i="13"/>
  <c r="J27" i="12"/>
  <c r="J26" i="12"/>
  <c r="U24" i="17"/>
  <c r="U25" i="16"/>
  <c r="U27" i="15"/>
  <c r="U32" i="14"/>
  <c r="U23" i="14"/>
  <c r="U24" i="13"/>
  <c r="U25" i="12"/>
  <c r="J31" i="17"/>
  <c r="J26" i="14"/>
  <c r="J31" i="13"/>
  <c r="U31" i="17"/>
  <c r="U22" i="17"/>
  <c r="U26" i="14"/>
  <c r="U31" i="13"/>
  <c r="U22" i="13"/>
  <c r="J25" i="11"/>
  <c r="U22" i="7"/>
  <c r="U24" i="11"/>
  <c r="J26" i="11"/>
  <c r="U24" i="7"/>
  <c r="U31" i="11"/>
  <c r="U22" i="11"/>
  <c r="U39" i="11" s="1"/>
  <c r="J22" i="7"/>
  <c r="U33" i="12"/>
  <c r="U27" i="16"/>
  <c r="U24" i="14"/>
  <c r="U27" i="12"/>
  <c r="U26" i="15"/>
  <c r="U31" i="14"/>
  <c r="U22" i="14"/>
  <c r="J27" i="11"/>
  <c r="U25" i="7"/>
  <c r="U27" i="7"/>
  <c r="U25" i="11"/>
  <c r="J32" i="7"/>
  <c r="J31" i="11"/>
  <c r="U33" i="16"/>
  <c r="J33" i="11"/>
  <c r="J33" i="13"/>
  <c r="J33" i="15"/>
  <c r="J33" i="17"/>
  <c r="J33" i="7"/>
  <c r="J32" i="17"/>
  <c r="J23" i="17"/>
  <c r="J24" i="16"/>
  <c r="J25" i="15"/>
  <c r="J27" i="14"/>
  <c r="J32" i="13"/>
  <c r="J23" i="13"/>
  <c r="J24" i="12"/>
  <c r="U27" i="17"/>
  <c r="U32" i="16"/>
  <c r="U23" i="16"/>
  <c r="U24" i="15"/>
  <c r="U25" i="14"/>
  <c r="U27" i="13"/>
  <c r="U32" i="12"/>
  <c r="U23" i="12"/>
  <c r="J26" i="16"/>
  <c r="J31" i="15"/>
  <c r="J22" i="15"/>
  <c r="U26" i="16"/>
  <c r="U31" i="15"/>
  <c r="U22" i="15"/>
  <c r="U26" i="12"/>
  <c r="J32" i="11"/>
  <c r="J23" i="11"/>
  <c r="J23" i="7"/>
  <c r="U27" i="11"/>
  <c r="J25" i="7"/>
  <c r="U23" i="7"/>
  <c r="U32" i="7"/>
  <c r="J24" i="7"/>
  <c r="D26" i="18"/>
  <c r="D27" i="18"/>
  <c r="D25" i="18"/>
  <c r="H31" i="18"/>
  <c r="P26" i="18"/>
  <c r="P22" i="18"/>
  <c r="H24" i="18"/>
  <c r="H23" i="18"/>
  <c r="D32" i="18"/>
  <c r="H27" i="18"/>
  <c r="P32" i="18"/>
  <c r="P27" i="18"/>
  <c r="P25" i="18"/>
  <c r="P24" i="18"/>
  <c r="P23" i="18"/>
  <c r="D31" i="18"/>
  <c r="H26" i="18"/>
  <c r="H25" i="18"/>
  <c r="D24" i="18"/>
  <c r="D23" i="18"/>
  <c r="D22" i="18"/>
  <c r="H32" i="18"/>
  <c r="P31" i="18"/>
  <c r="H22" i="18"/>
  <c r="R50" i="7"/>
  <c r="O40" i="7"/>
  <c r="R43" i="7"/>
  <c r="Q48" i="7"/>
  <c r="S43" i="7"/>
  <c r="P48" i="7"/>
  <c r="N50" i="7"/>
  <c r="M41" i="7"/>
  <c r="P40" i="7"/>
  <c r="O50" i="7"/>
  <c r="N41" i="7"/>
  <c r="O49" i="7"/>
  <c r="S42" i="7"/>
  <c r="P49" i="7"/>
  <c r="T42" i="7"/>
  <c r="Q44" i="7"/>
  <c r="P39" i="7"/>
  <c r="M42" i="7"/>
  <c r="O41" i="7"/>
  <c r="M43" i="7"/>
  <c r="N42" i="7"/>
  <c r="P41" i="7"/>
  <c r="S49" i="7"/>
  <c r="O42" i="7"/>
  <c r="S50" i="7"/>
  <c r="M48" i="7"/>
  <c r="N44" i="7"/>
  <c r="O43" i="7"/>
  <c r="P42" i="7"/>
  <c r="T40" i="7"/>
  <c r="T50" i="7"/>
  <c r="M49" i="7"/>
  <c r="N48" i="7"/>
  <c r="O44" i="7"/>
  <c r="P43" i="7"/>
  <c r="M40" i="7"/>
  <c r="N39" i="7"/>
  <c r="N49" i="7"/>
  <c r="O48" i="7"/>
  <c r="P44" i="7"/>
  <c r="N40" i="7"/>
  <c r="O39" i="7"/>
  <c r="M50" i="17"/>
  <c r="S50" i="14"/>
  <c r="U16" i="18"/>
  <c r="J16" i="18"/>
  <c r="S50" i="17"/>
  <c r="O49" i="17"/>
  <c r="M49" i="17"/>
  <c r="O48" i="17"/>
  <c r="M48" i="17"/>
  <c r="O44" i="17"/>
  <c r="M44" i="17"/>
  <c r="O43" i="17"/>
  <c r="M43" i="17"/>
  <c r="O42" i="17"/>
  <c r="M42" i="17"/>
  <c r="O41" i="17"/>
  <c r="M41" i="17"/>
  <c r="O40" i="17"/>
  <c r="M40" i="17"/>
  <c r="O39" i="17"/>
  <c r="M39" i="17"/>
  <c r="T49" i="17"/>
  <c r="P49" i="17"/>
  <c r="N49" i="17"/>
  <c r="T48" i="17"/>
  <c r="P48" i="17"/>
  <c r="N48" i="17"/>
  <c r="T44" i="17"/>
  <c r="P44" i="17"/>
  <c r="N44" i="17"/>
  <c r="T43" i="17"/>
  <c r="P43" i="17"/>
  <c r="N43" i="17"/>
  <c r="T42" i="17"/>
  <c r="P42" i="17"/>
  <c r="N42" i="17"/>
  <c r="T41" i="17"/>
  <c r="P41" i="17"/>
  <c r="N41" i="17"/>
  <c r="T40" i="17"/>
  <c r="P40" i="17"/>
  <c r="N40" i="17"/>
  <c r="T39" i="17"/>
  <c r="P39" i="17"/>
  <c r="N39" i="17"/>
  <c r="N50" i="17"/>
  <c r="O50" i="17"/>
  <c r="S49" i="16"/>
  <c r="Q49" i="16"/>
  <c r="O49" i="16"/>
  <c r="S48" i="16"/>
  <c r="Q48" i="16"/>
  <c r="O48" i="16"/>
  <c r="S44" i="16"/>
  <c r="Q44" i="16"/>
  <c r="O44" i="16"/>
  <c r="S43" i="16"/>
  <c r="Q43" i="16"/>
  <c r="O43" i="16"/>
  <c r="S42" i="16"/>
  <c r="Q42" i="16"/>
  <c r="O42" i="16"/>
  <c r="S41" i="16"/>
  <c r="Q41" i="16"/>
  <c r="O41" i="16"/>
  <c r="S40" i="16"/>
  <c r="Q40" i="16"/>
  <c r="O40" i="16"/>
  <c r="S39" i="16"/>
  <c r="Q39" i="16"/>
  <c r="O39" i="16"/>
  <c r="R49" i="16"/>
  <c r="P49" i="16"/>
  <c r="N49" i="16"/>
  <c r="R48" i="16"/>
  <c r="P48" i="16"/>
  <c r="N48" i="16"/>
  <c r="R44" i="16"/>
  <c r="P44" i="16"/>
  <c r="N44" i="16"/>
  <c r="R43" i="16"/>
  <c r="P43" i="16"/>
  <c r="N43" i="16"/>
  <c r="R42" i="16"/>
  <c r="P42" i="16"/>
  <c r="N42" i="16"/>
  <c r="R41" i="16"/>
  <c r="P41" i="16"/>
  <c r="N41" i="16"/>
  <c r="R40" i="16"/>
  <c r="P40" i="16"/>
  <c r="N40" i="16"/>
  <c r="R39" i="16"/>
  <c r="P39" i="16"/>
  <c r="N39" i="16"/>
  <c r="S50" i="16"/>
  <c r="O50" i="16"/>
  <c r="T50" i="16"/>
  <c r="O49" i="15"/>
  <c r="O48" i="15"/>
  <c r="O44" i="15"/>
  <c r="O43" i="15"/>
  <c r="O42" i="15"/>
  <c r="O41" i="15"/>
  <c r="O40" i="15"/>
  <c r="O39" i="15"/>
  <c r="P49" i="15"/>
  <c r="N49" i="15"/>
  <c r="P48" i="15"/>
  <c r="N48" i="15"/>
  <c r="P44" i="15"/>
  <c r="N44" i="15"/>
  <c r="P43" i="15"/>
  <c r="N43" i="15"/>
  <c r="P42" i="15"/>
  <c r="N42" i="15"/>
  <c r="P41" i="15"/>
  <c r="N41" i="15"/>
  <c r="P40" i="15"/>
  <c r="N40" i="15"/>
  <c r="P39" i="15"/>
  <c r="N39" i="15"/>
  <c r="S50" i="15"/>
  <c r="O50" i="15"/>
  <c r="T50" i="15"/>
  <c r="P50" i="15"/>
  <c r="S49" i="14"/>
  <c r="S48" i="14"/>
  <c r="S44" i="14"/>
  <c r="S43" i="14"/>
  <c r="S42" i="14"/>
  <c r="S41" i="14"/>
  <c r="S40" i="14"/>
  <c r="S39" i="14"/>
  <c r="R49" i="14"/>
  <c r="R48" i="14"/>
  <c r="R44" i="14"/>
  <c r="R43" i="14"/>
  <c r="R42" i="14"/>
  <c r="R41" i="14"/>
  <c r="R40" i="14"/>
  <c r="R39" i="14"/>
  <c r="R50" i="14"/>
  <c r="N50" i="14"/>
  <c r="M50" i="14"/>
  <c r="T50" i="13"/>
  <c r="P50" i="13"/>
  <c r="S50" i="13"/>
  <c r="S49" i="12"/>
  <c r="O49" i="12"/>
  <c r="S48" i="12"/>
  <c r="O48" i="12"/>
  <c r="S44" i="12"/>
  <c r="O44" i="12"/>
  <c r="S43" i="12"/>
  <c r="O43" i="12"/>
  <c r="S42" i="12"/>
  <c r="O42" i="12"/>
  <c r="S41" i="12"/>
  <c r="O41" i="12"/>
  <c r="S40" i="12"/>
  <c r="O40" i="12"/>
  <c r="S39" i="12"/>
  <c r="O39" i="12"/>
  <c r="R49" i="12"/>
  <c r="R48" i="12"/>
  <c r="R44" i="12"/>
  <c r="R43" i="12"/>
  <c r="R42" i="12"/>
  <c r="R41" i="12"/>
  <c r="R40" i="12"/>
  <c r="R39" i="12"/>
  <c r="S50" i="12"/>
  <c r="O50" i="12"/>
  <c r="T50" i="12"/>
  <c r="P50" i="12"/>
  <c r="Q49" i="11"/>
  <c r="M49" i="11"/>
  <c r="Q48" i="11"/>
  <c r="M48" i="11"/>
  <c r="Q44" i="11"/>
  <c r="M44" i="11"/>
  <c r="Q43" i="11"/>
  <c r="M43" i="11"/>
  <c r="Q42" i="11"/>
  <c r="M42" i="11"/>
  <c r="Q41" i="11"/>
  <c r="M41" i="11"/>
  <c r="Q40" i="11"/>
  <c r="M40" i="11"/>
  <c r="Q39" i="11"/>
  <c r="M39" i="11"/>
  <c r="S50" i="11"/>
  <c r="O50" i="11"/>
  <c r="R50" i="11"/>
  <c r="M39" i="7"/>
  <c r="P48" i="18" l="1"/>
  <c r="AA48" i="18" s="1"/>
  <c r="P41" i="18"/>
  <c r="AA41" i="18" s="1"/>
  <c r="U45" i="11"/>
  <c r="T46" i="18"/>
  <c r="AE46" i="18" s="1"/>
  <c r="R45" i="18"/>
  <c r="AC45" i="18" s="1"/>
  <c r="P40" i="18"/>
  <c r="AA40" i="18" s="1"/>
  <c r="P43" i="18"/>
  <c r="AA43" i="18" s="1"/>
  <c r="P39" i="18"/>
  <c r="AA39" i="18" s="1"/>
  <c r="P44" i="18"/>
  <c r="AA44" i="18" s="1"/>
  <c r="R47" i="18"/>
  <c r="AC47" i="18" s="1"/>
  <c r="M45" i="18"/>
  <c r="X45" i="18" s="1"/>
  <c r="U41" i="15"/>
  <c r="T47" i="18"/>
  <c r="AE47" i="18" s="1"/>
  <c r="T45" i="18"/>
  <c r="AE45" i="18" s="1"/>
  <c r="Q45" i="18"/>
  <c r="AB45" i="18" s="1"/>
  <c r="Q46" i="18"/>
  <c r="AB46" i="18" s="1"/>
  <c r="P46" i="18"/>
  <c r="AA46" i="18" s="1"/>
  <c r="P42" i="18"/>
  <c r="AA42" i="18" s="1"/>
  <c r="M46" i="18"/>
  <c r="X46" i="18" s="1"/>
  <c r="R46" i="18"/>
  <c r="AC46" i="18" s="1"/>
  <c r="P45" i="18"/>
  <c r="AA45" i="18" s="1"/>
  <c r="N46" i="18"/>
  <c r="Y46" i="18" s="1"/>
  <c r="U48" i="17"/>
  <c r="P49" i="18"/>
  <c r="AA49" i="18" s="1"/>
  <c r="O45" i="18"/>
  <c r="Z45" i="18" s="1"/>
  <c r="M47" i="18"/>
  <c r="X47" i="18" s="1"/>
  <c r="N45" i="18"/>
  <c r="Y45" i="18" s="1"/>
  <c r="U49" i="16"/>
  <c r="U45" i="16"/>
  <c r="N47" i="18"/>
  <c r="Y47" i="18" s="1"/>
  <c r="Q47" i="18"/>
  <c r="AB47" i="18" s="1"/>
  <c r="U42" i="12"/>
  <c r="U39" i="12"/>
  <c r="U47" i="15"/>
  <c r="S47" i="18"/>
  <c r="AD47" i="18" s="1"/>
  <c r="S45" i="18"/>
  <c r="AD45" i="18" s="1"/>
  <c r="S46" i="18"/>
  <c r="AD46" i="18" s="1"/>
  <c r="U44" i="7"/>
  <c r="U45" i="7"/>
  <c r="U46" i="13"/>
  <c r="U46" i="15"/>
  <c r="U47" i="17"/>
  <c r="U46" i="11"/>
  <c r="U45" i="15"/>
  <c r="U42" i="15"/>
  <c r="O47" i="18"/>
  <c r="Z47" i="18" s="1"/>
  <c r="U46" i="12"/>
  <c r="U33" i="18"/>
  <c r="U30" i="18"/>
  <c r="U28" i="18"/>
  <c r="J33" i="18"/>
  <c r="J29" i="18"/>
  <c r="J28" i="18"/>
  <c r="J30" i="18"/>
  <c r="U40" i="11"/>
  <c r="U39" i="17"/>
  <c r="U39" i="16"/>
  <c r="U49" i="13"/>
  <c r="U45" i="13"/>
  <c r="O46" i="18"/>
  <c r="Z46" i="18" s="1"/>
  <c r="U47" i="16"/>
  <c r="U29" i="18"/>
  <c r="U43" i="11"/>
  <c r="U44" i="13"/>
  <c r="U45" i="12"/>
  <c r="U45" i="14"/>
  <c r="U46" i="17"/>
  <c r="U42" i="14"/>
  <c r="U50" i="7"/>
  <c r="U50" i="17"/>
  <c r="U50" i="11"/>
  <c r="U40" i="16"/>
  <c r="U44" i="16"/>
  <c r="U43" i="14"/>
  <c r="U49" i="17"/>
  <c r="U40" i="15"/>
  <c r="U44" i="12"/>
  <c r="U41" i="14"/>
  <c r="U49" i="11"/>
  <c r="U40" i="13"/>
  <c r="U41" i="16"/>
  <c r="U41" i="13"/>
  <c r="U42" i="16"/>
  <c r="U42" i="17"/>
  <c r="U40" i="7"/>
  <c r="U39" i="15"/>
  <c r="U48" i="7"/>
  <c r="U48" i="16"/>
  <c r="U41" i="17"/>
  <c r="U24" i="18"/>
  <c r="J26" i="18"/>
  <c r="U22" i="18"/>
  <c r="U27" i="18"/>
  <c r="J24" i="18"/>
  <c r="J27" i="18"/>
  <c r="J22" i="18"/>
  <c r="U23" i="18"/>
  <c r="U32" i="18"/>
  <c r="J31" i="18"/>
  <c r="U31" i="18"/>
  <c r="U25" i="18"/>
  <c r="J23" i="18"/>
  <c r="J25" i="18"/>
  <c r="J32" i="18"/>
  <c r="U26" i="18"/>
  <c r="U49" i="7"/>
  <c r="U43" i="7"/>
  <c r="T39" i="7"/>
  <c r="U42" i="7"/>
  <c r="Q43" i="7"/>
  <c r="M50" i="7"/>
  <c r="S40" i="7"/>
  <c r="Q50" i="7"/>
  <c r="T43" i="7"/>
  <c r="P50" i="7"/>
  <c r="M44" i="7"/>
  <c r="S48" i="7"/>
  <c r="R48" i="7"/>
  <c r="N43" i="7"/>
  <c r="S39" i="7"/>
  <c r="R39" i="7"/>
  <c r="Q39" i="7"/>
  <c r="R42" i="7"/>
  <c r="Q42" i="7"/>
  <c r="U39" i="7"/>
  <c r="R49" i="7"/>
  <c r="Q49" i="7"/>
  <c r="R44" i="7"/>
  <c r="T48" i="7"/>
  <c r="R41" i="7"/>
  <c r="Q41" i="7"/>
  <c r="R40" i="7"/>
  <c r="Q40" i="7"/>
  <c r="T41" i="7"/>
  <c r="S41" i="7"/>
  <c r="T49" i="7"/>
  <c r="T44" i="7"/>
  <c r="S44" i="7"/>
  <c r="U41" i="7"/>
  <c r="Q50" i="17"/>
  <c r="S39" i="17"/>
  <c r="S40" i="17"/>
  <c r="S41" i="17"/>
  <c r="S42" i="17"/>
  <c r="S43" i="17"/>
  <c r="S44" i="17"/>
  <c r="S48" i="17"/>
  <c r="S49" i="17"/>
  <c r="U44" i="17"/>
  <c r="R50" i="17"/>
  <c r="R39" i="17"/>
  <c r="R40" i="17"/>
  <c r="R41" i="17"/>
  <c r="R42" i="17"/>
  <c r="R43" i="17"/>
  <c r="R44" i="17"/>
  <c r="R48" i="17"/>
  <c r="R49" i="17"/>
  <c r="Q39" i="17"/>
  <c r="Q40" i="17"/>
  <c r="Q41" i="17"/>
  <c r="Q42" i="17"/>
  <c r="Q43" i="17"/>
  <c r="Q44" i="17"/>
  <c r="Q48" i="17"/>
  <c r="Q49" i="17"/>
  <c r="P50" i="16"/>
  <c r="M39" i="16"/>
  <c r="M40" i="16"/>
  <c r="M41" i="16"/>
  <c r="M42" i="16"/>
  <c r="M43" i="16"/>
  <c r="M44" i="16"/>
  <c r="M48" i="16"/>
  <c r="M49" i="16"/>
  <c r="U50" i="16"/>
  <c r="T39" i="16"/>
  <c r="T40" i="16"/>
  <c r="T41" i="16"/>
  <c r="T42" i="16"/>
  <c r="T43" i="16"/>
  <c r="T44" i="16"/>
  <c r="T48" i="16"/>
  <c r="T49" i="16"/>
  <c r="U48" i="15"/>
  <c r="S39" i="15"/>
  <c r="S40" i="15"/>
  <c r="S41" i="15"/>
  <c r="S42" i="15"/>
  <c r="S43" i="15"/>
  <c r="S44" i="15"/>
  <c r="S48" i="15"/>
  <c r="S49" i="15"/>
  <c r="U44" i="15"/>
  <c r="R39" i="15"/>
  <c r="R40" i="15"/>
  <c r="R41" i="15"/>
  <c r="R42" i="15"/>
  <c r="R43" i="15"/>
  <c r="R44" i="15"/>
  <c r="R48" i="15"/>
  <c r="R49" i="15"/>
  <c r="Q39" i="15"/>
  <c r="Q40" i="15"/>
  <c r="Q41" i="15"/>
  <c r="Q42" i="15"/>
  <c r="Q43" i="15"/>
  <c r="Q44" i="15"/>
  <c r="Q48" i="15"/>
  <c r="Q49" i="15"/>
  <c r="M39" i="15"/>
  <c r="M40" i="15"/>
  <c r="M41" i="15"/>
  <c r="M42" i="15"/>
  <c r="M43" i="15"/>
  <c r="M44" i="15"/>
  <c r="M48" i="15"/>
  <c r="M49" i="15"/>
  <c r="U50" i="15"/>
  <c r="U49" i="15"/>
  <c r="T39" i="15"/>
  <c r="T40" i="15"/>
  <c r="T41" i="15"/>
  <c r="T42" i="15"/>
  <c r="T43" i="15"/>
  <c r="T44" i="15"/>
  <c r="T48" i="15"/>
  <c r="T49" i="15"/>
  <c r="U39" i="14"/>
  <c r="M39" i="14"/>
  <c r="M40" i="14"/>
  <c r="M41" i="14"/>
  <c r="M42" i="14"/>
  <c r="M43" i="14"/>
  <c r="M44" i="14"/>
  <c r="M48" i="14"/>
  <c r="M49" i="14"/>
  <c r="U50" i="14"/>
  <c r="Q39" i="14"/>
  <c r="Q40" i="14"/>
  <c r="Q41" i="14"/>
  <c r="Q42" i="14"/>
  <c r="Q43" i="14"/>
  <c r="Q44" i="14"/>
  <c r="Q48" i="14"/>
  <c r="Q49" i="14"/>
  <c r="U48" i="14"/>
  <c r="N39" i="14"/>
  <c r="N40" i="14"/>
  <c r="N41" i="14"/>
  <c r="N42" i="14"/>
  <c r="N43" i="14"/>
  <c r="N44" i="14"/>
  <c r="N48" i="14"/>
  <c r="N49" i="14"/>
  <c r="U44" i="14"/>
  <c r="O39" i="14"/>
  <c r="O40" i="14"/>
  <c r="O41" i="14"/>
  <c r="O42" i="14"/>
  <c r="O43" i="14"/>
  <c r="O44" i="14"/>
  <c r="O48" i="14"/>
  <c r="O49" i="14"/>
  <c r="U49" i="14"/>
  <c r="U39" i="13"/>
  <c r="U48" i="13"/>
  <c r="O39" i="13"/>
  <c r="O40" i="13"/>
  <c r="O41" i="13"/>
  <c r="O42" i="13"/>
  <c r="O43" i="13"/>
  <c r="O44" i="13"/>
  <c r="O48" i="13"/>
  <c r="O49" i="13"/>
  <c r="S39" i="13"/>
  <c r="S40" i="13"/>
  <c r="S41" i="13"/>
  <c r="S42" i="13"/>
  <c r="S43" i="13"/>
  <c r="S44" i="13"/>
  <c r="S48" i="13"/>
  <c r="S49" i="13"/>
  <c r="O50" i="13"/>
  <c r="U42" i="13"/>
  <c r="U49" i="12"/>
  <c r="U41" i="12"/>
  <c r="N39" i="12"/>
  <c r="N40" i="12"/>
  <c r="N41" i="12"/>
  <c r="N42" i="12"/>
  <c r="N43" i="12"/>
  <c r="N44" i="12"/>
  <c r="N48" i="12"/>
  <c r="N49" i="12"/>
  <c r="U48" i="12"/>
  <c r="Q39" i="12"/>
  <c r="Q40" i="12"/>
  <c r="Q41" i="12"/>
  <c r="Q42" i="12"/>
  <c r="Q43" i="12"/>
  <c r="Q44" i="12"/>
  <c r="Q48" i="12"/>
  <c r="Q49" i="12"/>
  <c r="U40" i="12"/>
  <c r="P39" i="12"/>
  <c r="P40" i="12"/>
  <c r="P41" i="12"/>
  <c r="P42" i="12"/>
  <c r="P43" i="12"/>
  <c r="P44" i="12"/>
  <c r="P48" i="12"/>
  <c r="P49" i="12"/>
  <c r="M39" i="12"/>
  <c r="M40" i="12"/>
  <c r="M41" i="12"/>
  <c r="M42" i="12"/>
  <c r="M43" i="12"/>
  <c r="M44" i="12"/>
  <c r="M48" i="12"/>
  <c r="M49" i="12"/>
  <c r="U50" i="12"/>
  <c r="T39" i="12"/>
  <c r="T40" i="12"/>
  <c r="T41" i="12"/>
  <c r="T42" i="12"/>
  <c r="T43" i="12"/>
  <c r="T44" i="12"/>
  <c r="T48" i="12"/>
  <c r="T49" i="12"/>
  <c r="U41" i="11"/>
  <c r="S39" i="18"/>
  <c r="AD39" i="18" s="1"/>
  <c r="O39" i="11"/>
  <c r="O40" i="11"/>
  <c r="O41" i="11"/>
  <c r="O42" i="11"/>
  <c r="O43" i="11"/>
  <c r="O44" i="11"/>
  <c r="O48" i="11"/>
  <c r="O49" i="11"/>
  <c r="N39" i="11"/>
  <c r="N40" i="11"/>
  <c r="N41" i="11"/>
  <c r="N42" i="11"/>
  <c r="N43" i="11"/>
  <c r="N44" i="11"/>
  <c r="N48" i="11"/>
  <c r="N49" i="11"/>
  <c r="O50" i="18"/>
  <c r="Z50" i="18" s="1"/>
  <c r="R39" i="11"/>
  <c r="R40" i="11"/>
  <c r="R41" i="11"/>
  <c r="R42" i="11"/>
  <c r="R43" i="11"/>
  <c r="R44" i="11"/>
  <c r="R48" i="11"/>
  <c r="R49" i="11"/>
  <c r="N50" i="11"/>
  <c r="U44" i="11"/>
  <c r="U48" i="11"/>
  <c r="S39" i="11"/>
  <c r="S40" i="11"/>
  <c r="S41" i="11"/>
  <c r="S42" i="11"/>
  <c r="S43" i="11"/>
  <c r="S44" i="11"/>
  <c r="S48" i="11"/>
  <c r="S49" i="11"/>
  <c r="P50" i="11"/>
  <c r="M50" i="11"/>
  <c r="U40" i="17"/>
  <c r="T50" i="17"/>
  <c r="P50" i="17"/>
  <c r="U43" i="16"/>
  <c r="N50" i="16"/>
  <c r="Q50" i="16"/>
  <c r="R50" i="16"/>
  <c r="M50" i="16"/>
  <c r="U43" i="15"/>
  <c r="N50" i="15"/>
  <c r="Q50" i="15"/>
  <c r="R50" i="15"/>
  <c r="M50" i="15"/>
  <c r="P50" i="14"/>
  <c r="Q50" i="14"/>
  <c r="P39" i="14"/>
  <c r="T39" i="14"/>
  <c r="P40" i="14"/>
  <c r="T40" i="14"/>
  <c r="P41" i="14"/>
  <c r="T41" i="14"/>
  <c r="P42" i="14"/>
  <c r="T42" i="14"/>
  <c r="P43" i="14"/>
  <c r="T43" i="14"/>
  <c r="P44" i="14"/>
  <c r="T44" i="14"/>
  <c r="P48" i="14"/>
  <c r="T48" i="14"/>
  <c r="P49" i="14"/>
  <c r="T49" i="14"/>
  <c r="U40" i="14"/>
  <c r="T50" i="14"/>
  <c r="O50" i="14"/>
  <c r="M50" i="13"/>
  <c r="R50" i="13"/>
  <c r="P39" i="13"/>
  <c r="T39" i="13"/>
  <c r="P40" i="13"/>
  <c r="T40" i="13"/>
  <c r="P41" i="13"/>
  <c r="T41" i="13"/>
  <c r="P42" i="13"/>
  <c r="T42" i="13"/>
  <c r="P43" i="13"/>
  <c r="T43" i="13"/>
  <c r="P44" i="13"/>
  <c r="T44" i="13"/>
  <c r="P48" i="13"/>
  <c r="T48" i="13"/>
  <c r="P49" i="13"/>
  <c r="T49" i="13"/>
  <c r="Q50" i="13"/>
  <c r="U43" i="13"/>
  <c r="N50" i="13"/>
  <c r="N39" i="13"/>
  <c r="R39" i="13"/>
  <c r="N40" i="13"/>
  <c r="R40" i="13"/>
  <c r="N41" i="13"/>
  <c r="R41" i="13"/>
  <c r="N42" i="13"/>
  <c r="R42" i="13"/>
  <c r="N43" i="13"/>
  <c r="R43" i="13"/>
  <c r="N44" i="13"/>
  <c r="R44" i="13"/>
  <c r="N48" i="13"/>
  <c r="R48" i="13"/>
  <c r="N49" i="13"/>
  <c r="R49" i="13"/>
  <c r="M39" i="13"/>
  <c r="Q39" i="13"/>
  <c r="M40" i="13"/>
  <c r="Q40" i="13"/>
  <c r="M41" i="13"/>
  <c r="Q41" i="13"/>
  <c r="M42" i="13"/>
  <c r="Q42" i="13"/>
  <c r="M43" i="13"/>
  <c r="Q43" i="13"/>
  <c r="M44" i="13"/>
  <c r="Q44" i="13"/>
  <c r="M48" i="13"/>
  <c r="Q48" i="13"/>
  <c r="M49" i="13"/>
  <c r="Q49" i="13"/>
  <c r="U50" i="13"/>
  <c r="U43" i="12"/>
  <c r="N50" i="12"/>
  <c r="Q50" i="12"/>
  <c r="R50" i="12"/>
  <c r="M50" i="12"/>
  <c r="P39" i="11"/>
  <c r="T39" i="11"/>
  <c r="P40" i="11"/>
  <c r="T40" i="11"/>
  <c r="P41" i="11"/>
  <c r="T41" i="11"/>
  <c r="P42" i="11"/>
  <c r="T42" i="11"/>
  <c r="P43" i="11"/>
  <c r="T43" i="11"/>
  <c r="P44" i="11"/>
  <c r="T44" i="11"/>
  <c r="P48" i="11"/>
  <c r="T48" i="11"/>
  <c r="P49" i="11"/>
  <c r="T49" i="11"/>
  <c r="U42" i="11"/>
  <c r="T50" i="11"/>
  <c r="Q50" i="11"/>
  <c r="U43" i="18" l="1"/>
  <c r="AF43" i="18" s="1"/>
  <c r="U46" i="18"/>
  <c r="AF46" i="18" s="1"/>
  <c r="U50" i="18"/>
  <c r="AF50" i="18" s="1"/>
  <c r="U47" i="18"/>
  <c r="AF47" i="18" s="1"/>
  <c r="U45" i="18"/>
  <c r="AF45" i="18" s="1"/>
  <c r="M50" i="18"/>
  <c r="X50" i="18" s="1"/>
  <c r="T42" i="18"/>
  <c r="AE42" i="18" s="1"/>
  <c r="N41" i="18"/>
  <c r="Y41" i="18" s="1"/>
  <c r="T50" i="18"/>
  <c r="AE50" i="18" s="1"/>
  <c r="U40" i="18"/>
  <c r="AF40" i="18" s="1"/>
  <c r="U41" i="18"/>
  <c r="AF41" i="18" s="1"/>
  <c r="T43" i="18"/>
  <c r="AE43" i="18" s="1"/>
  <c r="M40" i="18"/>
  <c r="X40" i="18" s="1"/>
  <c r="T41" i="18"/>
  <c r="AE41" i="18" s="1"/>
  <c r="M39" i="18"/>
  <c r="X39" i="18" s="1"/>
  <c r="U39" i="18"/>
  <c r="AF39" i="18" s="1"/>
  <c r="T48" i="18"/>
  <c r="AE48" i="18" s="1"/>
  <c r="O40" i="18"/>
  <c r="Z40" i="18" s="1"/>
  <c r="T39" i="18"/>
  <c r="AE39" i="18" s="1"/>
  <c r="M48" i="18"/>
  <c r="X48" i="18" s="1"/>
  <c r="U42" i="18"/>
  <c r="AF42" i="18" s="1"/>
  <c r="Q48" i="18"/>
  <c r="AB48" i="18" s="1"/>
  <c r="Q49" i="18"/>
  <c r="AB49" i="18" s="1"/>
  <c r="S49" i="18"/>
  <c r="AD49" i="18" s="1"/>
  <c r="U49" i="18"/>
  <c r="AF49" i="18" s="1"/>
  <c r="T44" i="18"/>
  <c r="AE44" i="18" s="1"/>
  <c r="T49" i="18"/>
  <c r="AE49" i="18" s="1"/>
  <c r="N42" i="18"/>
  <c r="Y42" i="18" s="1"/>
  <c r="N43" i="18"/>
  <c r="Y43" i="18" s="1"/>
  <c r="Q39" i="18"/>
  <c r="AB39" i="18" s="1"/>
  <c r="M41" i="18"/>
  <c r="X41" i="18" s="1"/>
  <c r="T40" i="18"/>
  <c r="AE40" i="18" s="1"/>
  <c r="U48" i="18"/>
  <c r="AF48" i="18" s="1"/>
  <c r="U44" i="18"/>
  <c r="AF44" i="18" s="1"/>
  <c r="M43" i="18"/>
  <c r="X43" i="18" s="1"/>
  <c r="Q42" i="18"/>
  <c r="AB42" i="18" s="1"/>
  <c r="S40" i="18"/>
  <c r="AD40" i="18" s="1"/>
  <c r="N49" i="18"/>
  <c r="Y49" i="18" s="1"/>
  <c r="N40" i="18"/>
  <c r="Y40" i="18" s="1"/>
  <c r="R48" i="18"/>
  <c r="AC48" i="18" s="1"/>
  <c r="R39" i="18"/>
  <c r="AC39" i="18" s="1"/>
  <c r="S43" i="18"/>
  <c r="AD43" i="18" s="1"/>
  <c r="N50" i="18"/>
  <c r="Y50" i="18" s="1"/>
  <c r="O48" i="18"/>
  <c r="Z48" i="18" s="1"/>
  <c r="S50" i="18"/>
  <c r="AD50" i="18" s="1"/>
  <c r="R40" i="18"/>
  <c r="AC40" i="18" s="1"/>
  <c r="S44" i="18"/>
  <c r="AD44" i="18" s="1"/>
  <c r="R50" i="18"/>
  <c r="AC50" i="18" s="1"/>
  <c r="O39" i="18"/>
  <c r="Z39" i="18" s="1"/>
  <c r="Q43" i="18"/>
  <c r="AB43" i="18" s="1"/>
  <c r="N44" i="18"/>
  <c r="Y44" i="18" s="1"/>
  <c r="R41" i="18"/>
  <c r="AC41" i="18" s="1"/>
  <c r="S42" i="18"/>
  <c r="AD42" i="18" s="1"/>
  <c r="M44" i="18"/>
  <c r="X44" i="18" s="1"/>
  <c r="N48" i="18"/>
  <c r="Y48" i="18" s="1"/>
  <c r="N39" i="18"/>
  <c r="Y39" i="18" s="1"/>
  <c r="Q40" i="18"/>
  <c r="AB40" i="18" s="1"/>
  <c r="M49" i="18"/>
  <c r="X49" i="18" s="1"/>
  <c r="S41" i="18"/>
  <c r="AD41" i="18" s="1"/>
  <c r="R49" i="18"/>
  <c r="AC49" i="18" s="1"/>
  <c r="R42" i="18"/>
  <c r="AC42" i="18" s="1"/>
  <c r="O49" i="18"/>
  <c r="Z49" i="18" s="1"/>
  <c r="O42" i="18"/>
  <c r="Z42" i="18" s="1"/>
  <c r="R43" i="18"/>
  <c r="AC43" i="18" s="1"/>
  <c r="S48" i="18"/>
  <c r="AD48" i="18" s="1"/>
  <c r="O43" i="18"/>
  <c r="Z43" i="18" s="1"/>
  <c r="Q44" i="18"/>
  <c r="AB44" i="18" s="1"/>
  <c r="Q41" i="18"/>
  <c r="AB41" i="18" s="1"/>
  <c r="Q50" i="18"/>
  <c r="AB50" i="18" s="1"/>
  <c r="R44" i="18"/>
  <c r="AC44" i="18" s="1"/>
  <c r="M42" i="18"/>
  <c r="X42" i="18" s="1"/>
  <c r="O44" i="18"/>
  <c r="Z44" i="18" s="1"/>
  <c r="O41" i="18"/>
  <c r="Z41" i="18" s="1"/>
</calcChain>
</file>

<file path=xl/sharedStrings.xml><?xml version="1.0" encoding="utf-8"?>
<sst xmlns="http://schemas.openxmlformats.org/spreadsheetml/2006/main" count="1105" uniqueCount="60">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</sst>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mm/dd/yyyy\ hh:mm:ss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5" fillId="5" borderId="0">
      <alignment wrapText="1"/>
    </xf>
    <xf numFmtId="165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165" fontId="5" fillId="0" borderId="0">
      <alignment wrapText="1"/>
    </xf>
  </cellStyleXfs>
  <cellXfs count="33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0" xfId="0" applyFont="1" applyBorder="1"/>
    <xf numFmtId="0" fontId="0" fillId="0" borderId="2" xfId="0" applyBorder="1"/>
    <xf numFmtId="0" fontId="0" fillId="0" borderId="2" xfId="0" applyBorder="1" applyAlignment="1">
      <alignment horizontal="center"/>
    </xf>
    <xf numFmtId="3" fontId="0" fillId="0" borderId="0" xfId="0" applyNumberFormat="1"/>
    <xf numFmtId="0" fontId="0" fillId="0" borderId="0" xfId="0" applyBorder="1" applyAlignment="1">
      <alignment horizontal="center"/>
    </xf>
    <xf numFmtId="3" fontId="0" fillId="0" borderId="0" xfId="0" applyNumberFormat="1" applyBorder="1"/>
    <xf numFmtId="3" fontId="0" fillId="0" borderId="1" xfId="0" applyNumberFormat="1" applyFill="1" applyBorder="1"/>
    <xf numFmtId="3" fontId="0" fillId="0" borderId="2" xfId="0" applyNumberFormat="1" applyBorder="1"/>
    <xf numFmtId="0" fontId="0" fillId="0" borderId="0" xfId="0" applyBorder="1" applyAlignment="1">
      <alignment horizontal="center"/>
    </xf>
    <xf numFmtId="0" fontId="0" fillId="0" borderId="3" xfId="0" applyFill="1" applyBorder="1"/>
    <xf numFmtId="164" fontId="0" fillId="0" borderId="0" xfId="0" applyNumberFormat="1"/>
    <xf numFmtId="164" fontId="0" fillId="0" borderId="2" xfId="0" applyNumberFormat="1" applyBorder="1"/>
    <xf numFmtId="164" fontId="0" fillId="0" borderId="3" xfId="0" applyNumberFormat="1" applyBorder="1"/>
    <xf numFmtId="3" fontId="0" fillId="0" borderId="3" xfId="0" applyNumberFormat="1" applyBorder="1"/>
    <xf numFmtId="164" fontId="0" fillId="0" borderId="0" xfId="0" applyNumberFormat="1" applyBorder="1"/>
    <xf numFmtId="0" fontId="1" fillId="2" borderId="1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/>
    <xf numFmtId="164" fontId="0" fillId="2" borderId="0" xfId="0" applyNumberFormat="1" applyFill="1"/>
    <xf numFmtId="0" fontId="3" fillId="3" borderId="0" xfId="0" applyFont="1" applyFill="1" applyBorder="1"/>
    <xf numFmtId="0" fontId="4" fillId="3" borderId="0" xfId="0" applyFont="1" applyFill="1" applyBorder="1" applyAlignment="1">
      <alignment horizontal="center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/>
    </xf>
    <xf numFmtId="0" fontId="0" fillId="4" borderId="0" xfId="0" applyFill="1"/>
    <xf numFmtId="3" fontId="0" fillId="4" borderId="1" xfId="0" applyNumberFormat="1" applyFill="1" applyBorder="1"/>
    <xf numFmtId="164" fontId="0" fillId="4" borderId="3" xfId="0" applyNumberFormat="1" applyFill="1" applyBorder="1"/>
    <xf numFmtId="0" fontId="4" fillId="3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</cellXfs>
  <cellStyles count="8">
    <cellStyle name="Normal" xfId="0" builtinId="0"/>
    <cellStyle name="XLConnect.Boolean" xfId="6" xr:uid="{00000000-0005-0000-0000-000001000000}"/>
    <cellStyle name="XLConnect.Date" xfId="3" xr:uid="{00000000-0005-0000-0000-000002000000}"/>
    <cellStyle name="XLConnect.DateTime" xfId="7" xr:uid="{00000000-0005-0000-0000-000003000000}"/>
    <cellStyle name="XLConnect.General" xfId="1" xr:uid="{00000000-0005-0000-0000-000004000000}"/>
    <cellStyle name="XLConnect.Header" xfId="2" xr:uid="{00000000-0005-0000-0000-000005000000}"/>
    <cellStyle name="XLConnect.Numeric" xfId="5" xr:uid="{00000000-0005-0000-0000-000006000000}"/>
    <cellStyle name="XLConnect.String" xfId="4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G50"/>
  <sheetViews>
    <sheetView tabSelected="1" workbookViewId="0">
      <selection activeCell="U8" sqref="U8"/>
    </sheetView>
  </sheetViews>
  <sheetFormatPr defaultRowHeight="15" x14ac:dyDescent="0.25"/>
  <cols>
    <col min="1" max="1" width="25" customWidth="1" collapsed="1"/>
    <col min="2" max="10" width="10.7109375" customWidth="1" collapsed="1"/>
    <col min="11" max="11" width="3.7109375" customWidth="1" collapsed="1"/>
    <col min="12" max="12" width="25" customWidth="1" collapsed="1"/>
    <col min="13" max="22" width="10.7109375" customWidth="1" collapsed="1"/>
    <col min="23" max="23" width="17" customWidth="1" collapsed="1"/>
    <col min="24" max="24" width="25" customWidth="1" collapsed="1"/>
    <col min="25" max="33" width="10.7109375" customWidth="1" collapsed="1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47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f>SUM(Work!B5,Workbased!B5,School!B5,Escort!B5,Personal_Business!B5,Shop!B5,Meal!B5,SocRec!B5)</f>
        <v>5487901.7843119791</v>
      </c>
      <c r="C5" s="6">
        <f>SUM(Work!C5,Workbased!C5,School!C5,Escort!C5,Personal_Business!C5,Shop!C5,Meal!C5,SocRec!C5)</f>
        <v>872301.60612653592</v>
      </c>
      <c r="D5" s="6">
        <f>SUM(Work!D5,Workbased!D5,School!D5,Escort!D5,Personal_Business!D5,Shop!D5,Meal!D5,SocRec!D5)</f>
        <v>367911.12524327164</v>
      </c>
      <c r="E5" s="6">
        <f>SUM(Work!E5,Workbased!E5,School!E5,Escort!E5,Personal_Business!E5,Shop!E5,Meal!E5,SocRec!E5)</f>
        <v>113555.85728768079</v>
      </c>
      <c r="F5" s="6">
        <f>SUM(Work!F5,Workbased!F5,School!F5,Escort!F5,Personal_Business!F5,Shop!F5,Meal!F5,SocRec!F5)</f>
        <v>17623.451196402697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1686.3203314759999</v>
      </c>
      <c r="J5" s="6">
        <f>SUM(B5:I5)</f>
        <v>6860980.1444973452</v>
      </c>
      <c r="K5" s="6"/>
      <c r="L5" t="s">
        <v>1</v>
      </c>
      <c r="M5" s="6">
        <f>SUM(Work!M5,Workbased!M5,School!M5,Escort!M5,Personal_Business!M5,Shop!M5,Meal!M5,SocRec!M5)</f>
        <v>5926700</v>
      </c>
      <c r="N5" s="6">
        <f>SUM(Work!N5,Workbased!N5,School!N5,Escort!N5,Personal_Business!N5,Shop!N5,Meal!N5,SocRec!N5)</f>
        <v>986784</v>
      </c>
      <c r="O5" s="6">
        <f>SUM(Work!O5,Workbased!O5,School!O5,Escort!O5,Personal_Business!O5,Shop!O5,Meal!O5,SocRec!O5)</f>
        <v>401245</v>
      </c>
      <c r="P5" s="6">
        <f>SUM(Work!P5,Workbased!P5,School!P5,Escort!P5,Personal_Business!P5,Shop!P5,Meal!P5,SocRec!P5)</f>
        <v>145230</v>
      </c>
      <c r="Q5" s="6">
        <f>SUM(Work!Q5,Workbased!Q5,School!Q5,Escort!Q5,Personal_Business!Q5,Shop!Q5,Meal!Q5,SocRec!Q5)</f>
        <v>25265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1186</v>
      </c>
      <c r="U5" s="6">
        <f t="shared" ref="U5:U15" si="0">SUM(M5:T5)</f>
        <v>7486410</v>
      </c>
    </row>
    <row r="6" spans="1:21" x14ac:dyDescent="0.2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2988044.8520134166</v>
      </c>
      <c r="D6" s="6">
        <f>SUM(Work!D6,Workbased!D6,School!D6,Escort!D6,Personal_Business!D6,Shop!D6,Meal!D6,SocRec!D6)</f>
        <v>578286.39053844463</v>
      </c>
      <c r="E6" s="6">
        <f>SUM(Work!E6,Workbased!E6,School!E6,Escort!E6,Personal_Business!E6,Shop!E6,Meal!E6,SocRec!E6)</f>
        <v>5197.0034058516994</v>
      </c>
      <c r="F6" s="6">
        <f>SUM(Work!F6,Workbased!F6,School!F6,Escort!F6,Personal_Business!F6,Shop!F6,Meal!F6,SocRec!F6)</f>
        <v>76570.990121661715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45050.370104024005</v>
      </c>
      <c r="J6" s="6">
        <f t="shared" ref="J6:J15" si="1">SUM(B6:I6)</f>
        <v>3693149.606183399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3433696</v>
      </c>
      <c r="O6" s="6">
        <f>SUM(Work!O6,Workbased!O6,School!O6,Escort!O6,Personal_Business!O6,Shop!O6,Meal!O6,SocRec!O6)</f>
        <v>636402</v>
      </c>
      <c r="P6" s="6">
        <f>SUM(Work!P6,Workbased!P6,School!P6,Escort!P6,Personal_Business!P6,Shop!P6,Meal!P6,SocRec!P6)</f>
        <v>8549</v>
      </c>
      <c r="Q6" s="6">
        <f>SUM(Work!Q6,Workbased!Q6,School!Q6,Escort!Q6,Personal_Business!Q6,Shop!Q6,Meal!Q6,SocRec!Q6)</f>
        <v>51132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60905</v>
      </c>
      <c r="U6" s="6">
        <f t="shared" si="0"/>
        <v>4190684</v>
      </c>
    </row>
    <row r="7" spans="1:21" x14ac:dyDescent="0.2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2542495.5579287075</v>
      </c>
      <c r="E7" s="6">
        <f>SUM(Work!E7,Workbased!E7,School!E7,Escort!E7,Personal_Business!E7,Shop!E7,Meal!E7,SocRec!E7)</f>
        <v>4202.0137338710001</v>
      </c>
      <c r="F7" s="6">
        <f>SUM(Work!F7,Workbased!F7,School!F7,Escort!F7,Personal_Business!F7,Shop!F7,Meal!F7,SocRec!F7)</f>
        <v>20670.845848217003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71299.33425</v>
      </c>
      <c r="J7" s="6">
        <f t="shared" si="1"/>
        <v>2638667.7517607952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2794267</v>
      </c>
      <c r="P7" s="6">
        <f>SUM(Work!P7,Workbased!P7,School!P7,Escort!P7,Personal_Business!P7,Shop!P7,Meal!P7,SocRec!P7)</f>
        <v>145</v>
      </c>
      <c r="Q7" s="6">
        <f>SUM(Work!Q7,Workbased!Q7,School!Q7,Escort!Q7,Personal_Business!Q7,Shop!Q7,Meal!Q7,SocRec!Q7)</f>
        <v>22801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0</v>
      </c>
      <c r="T7" s="6">
        <f>SUM(Work!T7,Workbased!T7,School!T7,Escort!T7,Personal_Business!T7,Shop!T7,Meal!T7,SocRec!T7)</f>
        <v>59938</v>
      </c>
      <c r="U7" s="6">
        <f t="shared" si="0"/>
        <v>2877151</v>
      </c>
    </row>
    <row r="8" spans="1:21" x14ac:dyDescent="0.2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111303.5389245945</v>
      </c>
      <c r="F8" s="6">
        <f>SUM(Work!F8,Workbased!F8,School!F8,Escort!F8,Personal_Business!F8,Shop!F8,Meal!F8,SocRec!F8)</f>
        <v>694175.94818319683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10298.046276788</v>
      </c>
      <c r="J8" s="6">
        <f t="shared" si="1"/>
        <v>815777.53338457935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114784</v>
      </c>
      <c r="Q8" s="6">
        <f>SUM(Work!Q8,Workbased!Q8,School!Q8,Escort!Q8,Personal_Business!Q8,Shop!Q8,Meal!Q8,SocRec!Q8)</f>
        <v>375104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225</v>
      </c>
      <c r="U8" s="6">
        <f t="shared" si="0"/>
        <v>490113</v>
      </c>
    </row>
    <row r="9" spans="1:21" x14ac:dyDescent="0.2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2479.7092862560999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t="shared" si="1"/>
        <v>2479.7092862560999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t="shared" si="0"/>
        <v>0</v>
      </c>
    </row>
    <row r="10" spans="1:21" x14ac:dyDescent="0.2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0</v>
      </c>
      <c r="F10" s="6">
        <f>SUM(Work!F10,Workbased!F10,School!F10,Escort!F10,Personal_Business!F10,Shop!F10,Meal!F10,SocRec!F10)</f>
        <v>0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t="shared" si="1"/>
        <v>0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0</v>
      </c>
      <c r="Q10" s="6">
        <f>SUM(Work!Q10,Workbased!Q10,School!Q10,Escort!Q10,Personal_Business!Q10,Shop!Q10,Meal!Q10,SocRec!Q10)</f>
        <v>0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0</v>
      </c>
      <c r="U10" s="6">
        <f t="shared" si="0"/>
        <v>0</v>
      </c>
    </row>
    <row r="11" spans="1:21" x14ac:dyDescent="0.2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0</v>
      </c>
      <c r="F11" s="6">
        <f>SUM(Work!F11,Workbased!F11,School!F11,Escort!F11,Personal_Business!F11,Shop!F11,Meal!F11,SocRec!F11)</f>
        <v>0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t="shared" si="1"/>
        <v>0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0</v>
      </c>
      <c r="Q11" s="6">
        <f>SUM(Work!Q11,Workbased!Q11,School!Q11,Escort!Q11,Personal_Business!Q11,Shop!Q11,Meal!Q11,SocRec!Q11)</f>
        <v>0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0</v>
      </c>
      <c r="U11" s="6">
        <f t="shared" si="0"/>
        <v>0</v>
      </c>
    </row>
    <row r="12" spans="1:21" x14ac:dyDescent="0.2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t="shared" si="1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0</v>
      </c>
      <c r="Q12" s="6">
        <f>SUM(Work!Q12,Workbased!Q12,School!Q12,Escort!Q12,Personal_Business!Q12,Shop!Q12,Meal!Q12,SocRec!Q12)</f>
        <v>0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0</v>
      </c>
      <c r="U12" s="6">
        <f t="shared" si="0"/>
        <v>0</v>
      </c>
    </row>
    <row r="13" spans="1:21" x14ac:dyDescent="0.2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364497.70098569803</v>
      </c>
      <c r="J13" s="6">
        <f t="shared" si="1"/>
        <v>364497.70098569803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380705</v>
      </c>
      <c r="U13" s="6">
        <f t="shared" si="0"/>
        <v>380705</v>
      </c>
    </row>
    <row r="14" spans="1:21" x14ac:dyDescent="0.25">
      <c r="A14" t="s">
        <v>4</v>
      </c>
      <c r="B14" s="6">
        <f>SUM(Work!B14,Workbased!B14,School!B14,Escort!B14,Personal_Business!B14,Shop!B14,Meal!B14,SocRec!B14)</f>
        <v>4132.9028970809995</v>
      </c>
      <c r="C14" s="6">
        <f>SUM(Work!C14,Workbased!C14,School!C14,Escort!C14,Personal_Business!C14,Shop!C14,Meal!C14,SocRec!C14)</f>
        <v>13935.6750388237</v>
      </c>
      <c r="D14" s="6">
        <f>SUM(Work!D14,Workbased!D14,School!D14,Escort!D14,Personal_Business!D14,Shop!D14,Meal!D14,SocRec!D14)</f>
        <v>10855.267749194001</v>
      </c>
      <c r="E14" s="6">
        <f>SUM(Work!E14,Workbased!E14,School!E14,Escort!E14,Personal_Business!E14,Shop!E14,Meal!E14,SocRec!E14)</f>
        <v>243.46345759299999</v>
      </c>
      <c r="F14" s="6">
        <f>SUM(Work!F14,Workbased!F14,School!F14,Escort!F14,Personal_Business!F14,Shop!F14,Meal!F14,SocRec!F14)</f>
        <v>8626.2684275047995</v>
      </c>
      <c r="G14" s="6">
        <f>SUM(Work!G14,Workbased!G14,School!G14,Escort!G14,Personal_Business!G14,Shop!G14,Meal!G14,SocRec!G14)</f>
        <v>185644.45009706359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3038.6592608359997</v>
      </c>
      <c r="J14" s="6">
        <f t="shared" si="1"/>
        <v>226476.68692809608</v>
      </c>
      <c r="K14" s="6"/>
      <c r="L14" t="s">
        <v>4</v>
      </c>
      <c r="M14" s="6">
        <f>SUM(Work!M14,Workbased!M14,School!M14,Escort!M14,Personal_Business!M14,Shop!M14,Meal!M14,SocRec!M14)</f>
        <v>5356</v>
      </c>
      <c r="N14" s="6">
        <f>SUM(Work!N14,Workbased!N14,School!N14,Escort!N14,Personal_Business!N14,Shop!N14,Meal!N14,SocRec!N14)</f>
        <v>16715</v>
      </c>
      <c r="O14" s="6">
        <f>SUM(Work!O14,Workbased!O14,School!O14,Escort!O14,Personal_Business!O14,Shop!O14,Meal!O14,SocRec!O14)</f>
        <v>13983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5914</v>
      </c>
      <c r="R14" s="6">
        <f>SUM(Work!R14,Workbased!R14,School!R14,Escort!R14,Personal_Business!R14,Shop!R14,Meal!R14,SocRec!R14)</f>
        <v>214751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2857</v>
      </c>
      <c r="U14" s="6">
        <f t="shared" si="0"/>
        <v>259576</v>
      </c>
    </row>
    <row r="15" spans="1:21" x14ac:dyDescent="0.25">
      <c r="A15" s="4" t="s">
        <v>5</v>
      </c>
      <c r="B15" s="6">
        <f>SUM(Work!B15,Workbased!B15,School!B15,Escort!B15,Personal_Business!B15,Shop!B15,Meal!B15,SocRec!B15)</f>
        <v>85641.759489933291</v>
      </c>
      <c r="C15" s="6">
        <f>SUM(Work!C15,Workbased!C15,School!C15,Escort!C15,Personal_Business!C15,Shop!C15,Meal!C15,SocRec!C15)</f>
        <v>67616.464220790906</v>
      </c>
      <c r="D15" s="6">
        <f>SUM(Work!D15,Workbased!D15,School!D15,Escort!D15,Personal_Business!D15,Shop!D15,Meal!D15,SocRec!D15)</f>
        <v>101851.0916785708</v>
      </c>
      <c r="E15" s="6">
        <f>SUM(Work!E15,Workbased!E15,School!E15,Escort!E15,Personal_Business!E15,Shop!E15,Meal!E15,SocRec!E15)</f>
        <v>13792.823585942398</v>
      </c>
      <c r="F15" s="6">
        <f>SUM(Work!F15,Workbased!F15,School!F15,Escort!F15,Personal_Business!F15,Shop!F15,Meal!F15,SocRec!F15)</f>
        <v>208431.68388148418</v>
      </c>
      <c r="G15" s="6">
        <f>SUM(Work!G15,Workbased!G15,School!G15,Escort!G15,Personal_Business!G15,Shop!G15,Meal!G15,SocRec!G15)</f>
        <v>14163.596324916802</v>
      </c>
      <c r="H15" s="6">
        <f>SUM(Work!H15,Workbased!H15,School!H15,Escort!H15,Personal_Business!H15,Shop!H15,Meal!H15,SocRec!H15)</f>
        <v>1579513.8918783711</v>
      </c>
      <c r="I15" s="6">
        <f>SUM(Work!I15,Workbased!I15,School!I15,Escort!I15,Personal_Business!I15,Shop!I15,Meal!I15,SocRec!I15)</f>
        <v>13143.316485361</v>
      </c>
      <c r="J15" s="6">
        <f t="shared" si="1"/>
        <v>2084154.6275453705</v>
      </c>
      <c r="K15" s="6"/>
      <c r="L15" s="4" t="s">
        <v>5</v>
      </c>
      <c r="M15" s="6">
        <f>SUM(Work!M15,Workbased!M15,School!M15,Escort!M15,Personal_Business!M15,Shop!M15,Meal!M15,SocRec!M15)</f>
        <v>296730</v>
      </c>
      <c r="N15" s="6">
        <f>SUM(Work!N15,Workbased!N15,School!N15,Escort!N15,Personal_Business!N15,Shop!N15,Meal!N15,SocRec!N15)</f>
        <v>213490</v>
      </c>
      <c r="O15" s="6">
        <f>SUM(Work!O15,Workbased!O15,School!O15,Escort!O15,Personal_Business!O15,Shop!O15,Meal!O15,SocRec!O15)</f>
        <v>136500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119486</v>
      </c>
      <c r="R15" s="6">
        <f>SUM(Work!R15,Workbased!R15,School!R15,Escort!R15,Personal_Business!R15,Shop!R15,Meal!R15,SocRec!R15)</f>
        <v>34290</v>
      </c>
      <c r="S15" s="6">
        <f>SUM(Work!S15,Workbased!S15,School!S15,Escort!S15,Personal_Business!S15,Shop!S15,Meal!S15,SocRec!S15)</f>
        <v>1414248</v>
      </c>
      <c r="T15" s="6">
        <f>SUM(Work!T15,Workbased!T15,School!T15,Escort!T15,Personal_Business!T15,Shop!T15,Meal!T15,SocRec!T15)</f>
        <v>20596</v>
      </c>
      <c r="U15" s="6">
        <f t="shared" si="0"/>
        <v>2235340</v>
      </c>
    </row>
    <row r="16" spans="1:21" ht="15.75" thickBot="1" x14ac:dyDescent="0.3">
      <c r="A16" s="12" t="s">
        <v>7</v>
      </c>
      <c r="B16" s="16">
        <f t="shared" ref="B16:J16" si="2">SUM(B5:B15)</f>
        <v>5577676.4466989934</v>
      </c>
      <c r="C16" s="16">
        <f t="shared" si="2"/>
        <v>3941898.5973995673</v>
      </c>
      <c r="D16" s="16">
        <f t="shared" si="2"/>
        <v>3601399.4331381889</v>
      </c>
      <c r="E16" s="16">
        <f t="shared" si="2"/>
        <v>248294.70039553338</v>
      </c>
      <c r="F16" s="16">
        <f t="shared" si="2"/>
        <v>1028578.8969447233</v>
      </c>
      <c r="G16" s="16">
        <f t="shared" si="2"/>
        <v>199808.0464219804</v>
      </c>
      <c r="H16" s="16">
        <f t="shared" si="2"/>
        <v>1579513.8918783711</v>
      </c>
      <c r="I16" s="16">
        <f t="shared" si="2"/>
        <v>509013.74769418308</v>
      </c>
      <c r="J16" s="16">
        <f t="shared" si="2"/>
        <v>16686183.760571539</v>
      </c>
      <c r="L16" s="9" t="s">
        <v>7</v>
      </c>
      <c r="M16" s="16">
        <f t="shared" ref="M16:U16" si="3">SUM(M5:M15)</f>
        <v>6228786</v>
      </c>
      <c r="N16" s="16">
        <f t="shared" si="3"/>
        <v>4650685</v>
      </c>
      <c r="O16" s="16">
        <f t="shared" si="3"/>
        <v>3982397</v>
      </c>
      <c r="P16" s="16">
        <f t="shared" si="3"/>
        <v>268708</v>
      </c>
      <c r="Q16" s="16">
        <f t="shared" si="3"/>
        <v>599702</v>
      </c>
      <c r="R16" s="16">
        <f t="shared" si="3"/>
        <v>249041</v>
      </c>
      <c r="S16" s="16">
        <f t="shared" si="3"/>
        <v>1414248</v>
      </c>
      <c r="T16" s="16">
        <f t="shared" si="3"/>
        <v>526412</v>
      </c>
      <c r="U16" s="16">
        <f t="shared" si="3"/>
        <v>17919979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47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D33" si="4">B5/B$16</f>
        <v>0.98390464860324678</v>
      </c>
      <c r="C22" s="13">
        <f t="shared" si="4"/>
        <v>0.22128971219655039</v>
      </c>
      <c r="D22" s="13">
        <f t="shared" si="4"/>
        <v>0.10215782283352033</v>
      </c>
      <c r="E22" s="13">
        <f t="shared" ref="E22:E33" si="5">IF(E$16&gt;0,E5/E$16,0)</f>
        <v>0.45734305688678151</v>
      </c>
      <c r="F22" s="13">
        <f t="shared" ref="F22:J33" si="6">F5/F$16</f>
        <v>1.713378647836462E-2</v>
      </c>
      <c r="G22" s="13">
        <f t="shared" si="6"/>
        <v>0</v>
      </c>
      <c r="H22" s="13">
        <f t="shared" si="6"/>
        <v>0</v>
      </c>
      <c r="I22" s="13">
        <f t="shared" si="6"/>
        <v>3.3129170658257857E-3</v>
      </c>
      <c r="J22" s="13">
        <f t="shared" si="6"/>
        <v>0.41117730950017661</v>
      </c>
      <c r="K22" s="6"/>
      <c r="L22" t="s">
        <v>1</v>
      </c>
      <c r="M22" s="13">
        <f t="shared" ref="M22:P22" si="7">M5/M$16</f>
        <v>0.9515016248752165</v>
      </c>
      <c r="N22" s="13">
        <f t="shared" si="7"/>
        <v>0.21218035622709344</v>
      </c>
      <c r="O22" s="13">
        <f t="shared" si="7"/>
        <v>0.10075464600842156</v>
      </c>
      <c r="P22" s="13">
        <f t="shared" si="7"/>
        <v>0.54047516263006679</v>
      </c>
      <c r="Q22" s="13">
        <f t="shared" ref="Q22:U33" si="8">Q5/Q$16</f>
        <v>4.2129257531240513E-2</v>
      </c>
      <c r="R22" s="13">
        <f t="shared" si="8"/>
        <v>0</v>
      </c>
      <c r="S22" s="13">
        <f t="shared" si="8"/>
        <v>0</v>
      </c>
      <c r="T22" s="13">
        <f t="shared" si="8"/>
        <v>2.2529881537654917E-3</v>
      </c>
      <c r="U22" s="13">
        <f t="shared" si="8"/>
        <v>0.41776890475150669</v>
      </c>
    </row>
    <row r="23" spans="1:21" x14ac:dyDescent="0.25">
      <c r="A23" t="s">
        <v>12</v>
      </c>
      <c r="B23" s="13">
        <f t="shared" si="4"/>
        <v>0</v>
      </c>
      <c r="C23" s="13">
        <f t="shared" si="4"/>
        <v>0.7580217446447256</v>
      </c>
      <c r="D23" s="13">
        <f t="shared" si="4"/>
        <v>0.16057268883239015</v>
      </c>
      <c r="E23" s="13">
        <f t="shared" si="5"/>
        <v>2.093078667234087E-2</v>
      </c>
      <c r="F23" s="13">
        <f t="shared" si="6"/>
        <v>7.4443477645815145E-2</v>
      </c>
      <c r="G23" s="13">
        <f t="shared" si="6"/>
        <v>0</v>
      </c>
      <c r="H23" s="13">
        <f t="shared" si="6"/>
        <v>0</v>
      </c>
      <c r="I23" s="13">
        <f t="shared" si="6"/>
        <v>8.8505212890812521E-2</v>
      </c>
      <c r="J23" s="13">
        <f t="shared" si="6"/>
        <v>0.22132979350917206</v>
      </c>
      <c r="K23" s="6"/>
      <c r="L23" t="s">
        <v>12</v>
      </c>
      <c r="M23" s="13">
        <f t="shared" ref="M23:P23" si="9">M6/M$16</f>
        <v>0</v>
      </c>
      <c r="N23" s="13">
        <f t="shared" si="9"/>
        <v>0.73832048397171601</v>
      </c>
      <c r="O23" s="13">
        <f t="shared" si="9"/>
        <v>0.15980375638089322</v>
      </c>
      <c r="P23" s="13">
        <f t="shared" si="9"/>
        <v>3.1815204608720248E-2</v>
      </c>
      <c r="Q23" s="13">
        <f t="shared" si="8"/>
        <v>8.5262346965659611E-2</v>
      </c>
      <c r="R23" s="13">
        <f t="shared" si="8"/>
        <v>0</v>
      </c>
      <c r="S23" s="13">
        <f t="shared" si="8"/>
        <v>0</v>
      </c>
      <c r="T23" s="13">
        <f t="shared" si="8"/>
        <v>0.11569835034155757</v>
      </c>
      <c r="U23" s="13">
        <f t="shared" si="8"/>
        <v>0.23385540797787766</v>
      </c>
    </row>
    <row r="24" spans="1:21" x14ac:dyDescent="0.25">
      <c r="A24" t="s">
        <v>56</v>
      </c>
      <c r="B24" s="13">
        <f t="shared" si="4"/>
        <v>0</v>
      </c>
      <c r="C24" s="13">
        <f t="shared" si="4"/>
        <v>0</v>
      </c>
      <c r="D24" s="13">
        <f t="shared" si="4"/>
        <v>0.70597433168173374</v>
      </c>
      <c r="E24" s="13">
        <f t="shared" si="5"/>
        <v>1.692349344217655E-2</v>
      </c>
      <c r="F24" s="13">
        <f t="shared" si="6"/>
        <v>2.0096509766647362E-2</v>
      </c>
      <c r="G24" s="13">
        <f t="shared" si="6"/>
        <v>0</v>
      </c>
      <c r="H24" s="13">
        <f t="shared" si="6"/>
        <v>0</v>
      </c>
      <c r="I24" s="13">
        <f t="shared" si="6"/>
        <v>0.14007349422875873</v>
      </c>
      <c r="J24" s="13">
        <f t="shared" si="6"/>
        <v>0.15813488510151796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0.70165455628858697</v>
      </c>
      <c r="P24" s="13">
        <f t="shared" si="10"/>
        <v>5.3961921490986494E-4</v>
      </c>
      <c r="Q24" s="13">
        <f t="shared" si="8"/>
        <v>3.802055020660261E-2</v>
      </c>
      <c r="R24" s="13">
        <f t="shared" si="8"/>
        <v>0</v>
      </c>
      <c r="S24" s="13">
        <f t="shared" si="8"/>
        <v>0</v>
      </c>
      <c r="T24" s="13">
        <f t="shared" si="8"/>
        <v>0.11386138613861387</v>
      </c>
      <c r="U24" s="13">
        <f t="shared" si="8"/>
        <v>0.16055548949024995</v>
      </c>
    </row>
    <row r="25" spans="1:21" x14ac:dyDescent="0.25">
      <c r="A25" t="s">
        <v>51</v>
      </c>
      <c r="B25" s="13">
        <f t="shared" si="4"/>
        <v>0</v>
      </c>
      <c r="C25" s="13">
        <f t="shared" si="4"/>
        <v>0</v>
      </c>
      <c r="D25" s="13">
        <f t="shared" si="4"/>
        <v>0</v>
      </c>
      <c r="E25" s="13">
        <f t="shared" si="5"/>
        <v>0.44827190732338629</v>
      </c>
      <c r="F25" s="13">
        <f t="shared" si="6"/>
        <v>0.67488838264635564</v>
      </c>
      <c r="G25" s="13">
        <f t="shared" si="6"/>
        <v>0</v>
      </c>
      <c r="H25" s="13">
        <f t="shared" si="6"/>
        <v>0</v>
      </c>
      <c r="I25" s="13">
        <f t="shared" si="6"/>
        <v>2.0231371595438901E-2</v>
      </c>
      <c r="J25" s="13">
        <f t="shared" si="6"/>
        <v>4.888940126095298E-2</v>
      </c>
      <c r="K25" s="6"/>
      <c r="L25" t="s">
        <v>51</v>
      </c>
      <c r="M25" s="13">
        <f t="shared" ref="M25:P25" si="11">M8/M$16</f>
        <v>0</v>
      </c>
      <c r="N25" s="13">
        <f t="shared" si="11"/>
        <v>0</v>
      </c>
      <c r="O25" s="13">
        <f t="shared" si="11"/>
        <v>0</v>
      </c>
      <c r="P25" s="13">
        <f t="shared" si="11"/>
        <v>0.42717001354630307</v>
      </c>
      <c r="Q25" s="13">
        <f t="shared" si="8"/>
        <v>0.62548399038188962</v>
      </c>
      <c r="R25" s="13">
        <f t="shared" si="8"/>
        <v>0</v>
      </c>
      <c r="S25" s="13">
        <f t="shared" si="8"/>
        <v>0</v>
      </c>
      <c r="T25" s="13">
        <f t="shared" si="8"/>
        <v>4.2742186728266071E-4</v>
      </c>
      <c r="U25" s="13">
        <f t="shared" si="8"/>
        <v>2.7350087854455633E-2</v>
      </c>
    </row>
    <row r="26" spans="1:21" x14ac:dyDescent="0.25">
      <c r="A26" t="s">
        <v>52</v>
      </c>
      <c r="B26" s="13">
        <f t="shared" si="4"/>
        <v>0</v>
      </c>
      <c r="C26" s="13">
        <f t="shared" si="4"/>
        <v>0</v>
      </c>
      <c r="D26" s="13">
        <f t="shared" si="4"/>
        <v>0</v>
      </c>
      <c r="E26" s="13">
        <f t="shared" si="5"/>
        <v>0</v>
      </c>
      <c r="F26" s="13">
        <f t="shared" si="6"/>
        <v>2.4108109680470737E-3</v>
      </c>
      <c r="G26" s="13">
        <f t="shared" si="6"/>
        <v>0</v>
      </c>
      <c r="H26" s="13">
        <f t="shared" si="6"/>
        <v>0</v>
      </c>
      <c r="I26" s="13">
        <f t="shared" si="6"/>
        <v>0</v>
      </c>
      <c r="J26" s="13">
        <f t="shared" si="6"/>
        <v>1.4860853277401306E-4</v>
      </c>
      <c r="K26" s="6"/>
      <c r="L26" t="s">
        <v>52</v>
      </c>
      <c r="M26" s="13">
        <f t="shared" ref="M26:P26" si="12">M9/M$16</f>
        <v>0</v>
      </c>
      <c r="N26" s="13">
        <f t="shared" si="12"/>
        <v>0</v>
      </c>
      <c r="O26" s="13">
        <f t="shared" si="12"/>
        <v>0</v>
      </c>
      <c r="P26" s="13">
        <f t="shared" si="12"/>
        <v>0</v>
      </c>
      <c r="Q26" s="13">
        <f t="shared" si="8"/>
        <v>0</v>
      </c>
      <c r="R26" s="13">
        <f t="shared" si="8"/>
        <v>0</v>
      </c>
      <c r="S26" s="13">
        <f t="shared" si="8"/>
        <v>0</v>
      </c>
      <c r="T26" s="13">
        <f t="shared" si="8"/>
        <v>0</v>
      </c>
      <c r="U26" s="13">
        <f t="shared" si="8"/>
        <v>0</v>
      </c>
    </row>
    <row r="27" spans="1:21" x14ac:dyDescent="0.25">
      <c r="A27" t="s">
        <v>53</v>
      </c>
      <c r="B27" s="13">
        <f t="shared" si="4"/>
        <v>0</v>
      </c>
      <c r="C27" s="13">
        <f t="shared" si="4"/>
        <v>0</v>
      </c>
      <c r="D27" s="13">
        <f t="shared" si="4"/>
        <v>0</v>
      </c>
      <c r="E27" s="13">
        <f t="shared" si="5"/>
        <v>0</v>
      </c>
      <c r="F27" s="13">
        <f t="shared" si="6"/>
        <v>0</v>
      </c>
      <c r="G27" s="13">
        <f t="shared" si="6"/>
        <v>0</v>
      </c>
      <c r="H27" s="13">
        <f t="shared" si="6"/>
        <v>0</v>
      </c>
      <c r="I27" s="13">
        <f t="shared" si="6"/>
        <v>0</v>
      </c>
      <c r="J27" s="13">
        <f t="shared" si="6"/>
        <v>0</v>
      </c>
      <c r="K27" s="6"/>
      <c r="L27" t="s">
        <v>53</v>
      </c>
      <c r="M27" s="13">
        <f t="shared" ref="M27:P27" si="13">M10/M$16</f>
        <v>0</v>
      </c>
      <c r="N27" s="13">
        <f t="shared" si="13"/>
        <v>0</v>
      </c>
      <c r="O27" s="13">
        <f t="shared" si="13"/>
        <v>0</v>
      </c>
      <c r="P27" s="13">
        <f t="shared" si="13"/>
        <v>0</v>
      </c>
      <c r="Q27" s="13">
        <f t="shared" si="8"/>
        <v>0</v>
      </c>
      <c r="R27" s="13">
        <f t="shared" si="8"/>
        <v>0</v>
      </c>
      <c r="S27" s="13">
        <f t="shared" si="8"/>
        <v>0</v>
      </c>
      <c r="T27" s="13">
        <f t="shared" si="8"/>
        <v>0</v>
      </c>
      <c r="U27" s="13">
        <f t="shared" si="8"/>
        <v>0</v>
      </c>
    </row>
    <row r="28" spans="1:21" x14ac:dyDescent="0.25">
      <c r="A28" t="s">
        <v>54</v>
      </c>
      <c r="B28" s="13">
        <f t="shared" si="4"/>
        <v>0</v>
      </c>
      <c r="C28" s="13">
        <f t="shared" si="4"/>
        <v>0</v>
      </c>
      <c r="D28" s="13">
        <f t="shared" si="4"/>
        <v>0</v>
      </c>
      <c r="E28" s="13">
        <f t="shared" si="5"/>
        <v>0</v>
      </c>
      <c r="F28" s="13">
        <f t="shared" si="6"/>
        <v>0</v>
      </c>
      <c r="G28" s="13">
        <f t="shared" si="6"/>
        <v>0</v>
      </c>
      <c r="H28" s="13">
        <f t="shared" si="6"/>
        <v>0</v>
      </c>
      <c r="I28" s="13">
        <f t="shared" si="6"/>
        <v>0</v>
      </c>
      <c r="J28" s="13">
        <f t="shared" si="6"/>
        <v>0</v>
      </c>
      <c r="K28" s="6"/>
      <c r="L28" t="s">
        <v>54</v>
      </c>
      <c r="M28" s="13">
        <f t="shared" ref="M28:P28" si="14">M11/M$16</f>
        <v>0</v>
      </c>
      <c r="N28" s="13">
        <f t="shared" si="14"/>
        <v>0</v>
      </c>
      <c r="O28" s="13">
        <f t="shared" si="14"/>
        <v>0</v>
      </c>
      <c r="P28" s="13">
        <f t="shared" si="14"/>
        <v>0</v>
      </c>
      <c r="Q28" s="13">
        <f t="shared" si="8"/>
        <v>0</v>
      </c>
      <c r="R28" s="13">
        <f t="shared" si="8"/>
        <v>0</v>
      </c>
      <c r="S28" s="13">
        <f t="shared" si="8"/>
        <v>0</v>
      </c>
      <c r="T28" s="13">
        <f t="shared" si="8"/>
        <v>0</v>
      </c>
      <c r="U28" s="13">
        <f t="shared" si="8"/>
        <v>0</v>
      </c>
    </row>
    <row r="29" spans="1:21" x14ac:dyDescent="0.25">
      <c r="A29" t="s">
        <v>55</v>
      </c>
      <c r="B29" s="13">
        <f t="shared" si="4"/>
        <v>0</v>
      </c>
      <c r="C29" s="13">
        <f t="shared" si="4"/>
        <v>0</v>
      </c>
      <c r="D29" s="13">
        <f t="shared" si="4"/>
        <v>0</v>
      </c>
      <c r="E29" s="13">
        <f t="shared" si="5"/>
        <v>0</v>
      </c>
      <c r="F29" s="13">
        <f t="shared" si="6"/>
        <v>0</v>
      </c>
      <c r="G29" s="13">
        <f t="shared" si="6"/>
        <v>0</v>
      </c>
      <c r="H29" s="13">
        <f t="shared" si="6"/>
        <v>0</v>
      </c>
      <c r="I29" s="13">
        <f t="shared" si="6"/>
        <v>0</v>
      </c>
      <c r="J29" s="13">
        <f t="shared" si="6"/>
        <v>0</v>
      </c>
      <c r="K29" s="6"/>
      <c r="L29" t="s">
        <v>55</v>
      </c>
      <c r="M29" s="13">
        <f t="shared" ref="M29:P29" si="15">M12/M$16</f>
        <v>0</v>
      </c>
      <c r="N29" s="13">
        <f t="shared" si="15"/>
        <v>0</v>
      </c>
      <c r="O29" s="13">
        <f t="shared" si="15"/>
        <v>0</v>
      </c>
      <c r="P29" s="13">
        <f t="shared" si="15"/>
        <v>0</v>
      </c>
      <c r="Q29" s="13">
        <f t="shared" si="8"/>
        <v>0</v>
      </c>
      <c r="R29" s="13">
        <f t="shared" si="8"/>
        <v>0</v>
      </c>
      <c r="S29" s="13">
        <f t="shared" si="8"/>
        <v>0</v>
      </c>
      <c r="T29" s="13">
        <f t="shared" si="8"/>
        <v>0</v>
      </c>
      <c r="U29" s="13">
        <f t="shared" si="8"/>
        <v>0</v>
      </c>
    </row>
    <row r="30" spans="1:21" x14ac:dyDescent="0.25">
      <c r="A30" t="s">
        <v>24</v>
      </c>
      <c r="B30" s="13">
        <f t="shared" si="4"/>
        <v>0</v>
      </c>
      <c r="C30" s="13">
        <f t="shared" si="4"/>
        <v>0</v>
      </c>
      <c r="D30" s="13">
        <f t="shared" si="4"/>
        <v>0</v>
      </c>
      <c r="E30" s="13">
        <f t="shared" si="5"/>
        <v>0</v>
      </c>
      <c r="F30" s="13">
        <f t="shared" si="6"/>
        <v>0</v>
      </c>
      <c r="G30" s="13">
        <f t="shared" si="6"/>
        <v>0</v>
      </c>
      <c r="H30" s="13">
        <f t="shared" si="6"/>
        <v>0</v>
      </c>
      <c r="I30" s="13">
        <f t="shared" si="6"/>
        <v>0.71608616198847597</v>
      </c>
      <c r="J30" s="13">
        <f t="shared" si="6"/>
        <v>2.1844281845138518E-2</v>
      </c>
      <c r="K30" s="6"/>
      <c r="L30" t="s">
        <v>24</v>
      </c>
      <c r="M30" s="13">
        <f t="shared" ref="M30:P30" si="16">M13/M$16</f>
        <v>0</v>
      </c>
      <c r="N30" s="13">
        <f t="shared" si="16"/>
        <v>0</v>
      </c>
      <c r="O30" s="13">
        <f t="shared" si="16"/>
        <v>0</v>
      </c>
      <c r="P30" s="13">
        <f t="shared" si="16"/>
        <v>0</v>
      </c>
      <c r="Q30" s="13">
        <f t="shared" si="8"/>
        <v>0</v>
      </c>
      <c r="R30" s="13">
        <f t="shared" si="8"/>
        <v>0</v>
      </c>
      <c r="S30" s="13">
        <f t="shared" si="8"/>
        <v>0</v>
      </c>
      <c r="T30" s="13">
        <f t="shared" si="8"/>
        <v>0.72320729770597936</v>
      </c>
      <c r="U30" s="13">
        <f t="shared" si="8"/>
        <v>2.1244723556874703E-2</v>
      </c>
    </row>
    <row r="31" spans="1:21" x14ac:dyDescent="0.25">
      <c r="A31" t="s">
        <v>4</v>
      </c>
      <c r="B31" s="13">
        <f t="shared" si="4"/>
        <v>7.4097214791420064E-4</v>
      </c>
      <c r="C31" s="13">
        <f t="shared" si="4"/>
        <v>3.5352697930933412E-3</v>
      </c>
      <c r="D31" s="13">
        <f t="shared" si="4"/>
        <v>3.0141804458870959E-3</v>
      </c>
      <c r="E31" s="13">
        <f t="shared" si="5"/>
        <v>9.805423039845908E-4</v>
      </c>
      <c r="F31" s="13">
        <f t="shared" si="6"/>
        <v>8.3865889657352959E-3</v>
      </c>
      <c r="G31" s="13">
        <f t="shared" si="6"/>
        <v>0.92911398425364555</v>
      </c>
      <c r="H31" s="13">
        <f t="shared" si="6"/>
        <v>0</v>
      </c>
      <c r="I31" s="13">
        <f t="shared" si="6"/>
        <v>5.9696997863044653E-3</v>
      </c>
      <c r="J31" s="13">
        <f t="shared" si="6"/>
        <v>1.3572707227595505E-2</v>
      </c>
      <c r="K31" s="6"/>
      <c r="L31" t="s">
        <v>4</v>
      </c>
      <c r="M31" s="13">
        <f t="shared" ref="M31:P31" si="17">M14/M$16</f>
        <v>8.5987863445621663E-4</v>
      </c>
      <c r="N31" s="13">
        <f t="shared" si="17"/>
        <v>3.5940942033270366E-3</v>
      </c>
      <c r="O31" s="13">
        <f t="shared" si="17"/>
        <v>3.5112019218576148E-3</v>
      </c>
      <c r="P31" s="13">
        <f t="shared" si="17"/>
        <v>0</v>
      </c>
      <c r="Q31" s="13">
        <f t="shared" si="8"/>
        <v>9.8615645770732795E-3</v>
      </c>
      <c r="R31" s="13">
        <f t="shared" si="8"/>
        <v>0.86231182817287111</v>
      </c>
      <c r="S31" s="13">
        <f t="shared" si="8"/>
        <v>0</v>
      </c>
      <c r="T31" s="13">
        <f t="shared" si="8"/>
        <v>5.4273078881180523E-3</v>
      </c>
      <c r="U31" s="13">
        <f t="shared" si="8"/>
        <v>1.4485284832086019E-2</v>
      </c>
    </row>
    <row r="32" spans="1:21" x14ac:dyDescent="0.25">
      <c r="A32" s="4" t="s">
        <v>5</v>
      </c>
      <c r="B32" s="14">
        <f t="shared" si="4"/>
        <v>1.5354379248839039E-2</v>
      </c>
      <c r="C32" s="14">
        <f t="shared" si="4"/>
        <v>1.7153273365630672E-2</v>
      </c>
      <c r="D32" s="14">
        <f t="shared" si="4"/>
        <v>2.8280976206468647E-2</v>
      </c>
      <c r="E32" s="13">
        <f t="shared" si="5"/>
        <v>5.5550213371330259E-2</v>
      </c>
      <c r="F32" s="14">
        <f t="shared" si="6"/>
        <v>0.20264044352903487</v>
      </c>
      <c r="G32" s="14">
        <f t="shared" si="6"/>
        <v>7.0886015746354336E-2</v>
      </c>
      <c r="H32" s="14">
        <f t="shared" si="6"/>
        <v>1</v>
      </c>
      <c r="I32" s="14">
        <f t="shared" si="6"/>
        <v>2.5821142444383528E-2</v>
      </c>
      <c r="J32" s="14">
        <f t="shared" si="6"/>
        <v>0.12490301302267233</v>
      </c>
      <c r="K32" s="6"/>
      <c r="L32" s="4" t="s">
        <v>5</v>
      </c>
      <c r="M32" s="14">
        <f t="shared" ref="M32:P32" si="18">M15/M$16</f>
        <v>4.763849649032733E-2</v>
      </c>
      <c r="N32" s="14">
        <f t="shared" si="18"/>
        <v>4.5905065597863538E-2</v>
      </c>
      <c r="O32" s="14">
        <f t="shared" si="18"/>
        <v>3.4275839400240607E-2</v>
      </c>
      <c r="P32" s="14">
        <f t="shared" si="18"/>
        <v>0</v>
      </c>
      <c r="Q32" s="14">
        <f t="shared" si="8"/>
        <v>0.19924229033753432</v>
      </c>
      <c r="R32" s="14">
        <f t="shared" si="8"/>
        <v>0.13768817182712886</v>
      </c>
      <c r="S32" s="14">
        <f t="shared" si="8"/>
        <v>1</v>
      </c>
      <c r="T32" s="14">
        <f t="shared" si="8"/>
        <v>3.9125247904683025E-2</v>
      </c>
      <c r="U32" s="14">
        <f t="shared" si="8"/>
        <v>0.12474010153694935</v>
      </c>
    </row>
    <row r="33" spans="1:32" ht="15.75" thickBot="1" x14ac:dyDescent="0.3">
      <c r="A33" s="12" t="s">
        <v>7</v>
      </c>
      <c r="B33" s="15">
        <f t="shared" si="4"/>
        <v>1</v>
      </c>
      <c r="C33" s="15">
        <f t="shared" si="4"/>
        <v>1</v>
      </c>
      <c r="D33" s="15">
        <f t="shared" si="4"/>
        <v>1</v>
      </c>
      <c r="E33" s="15">
        <f t="shared" si="5"/>
        <v>1</v>
      </c>
      <c r="F33" s="15">
        <f t="shared" si="6"/>
        <v>1</v>
      </c>
      <c r="G33" s="15">
        <f t="shared" si="6"/>
        <v>1</v>
      </c>
      <c r="H33" s="15">
        <f t="shared" si="6"/>
        <v>1</v>
      </c>
      <c r="I33" s="15">
        <f t="shared" si="6"/>
        <v>1</v>
      </c>
      <c r="J33" s="15">
        <f t="shared" si="6"/>
        <v>1</v>
      </c>
      <c r="L33" s="9" t="s">
        <v>7</v>
      </c>
      <c r="M33" s="15">
        <f t="shared" ref="M33:P33" si="19">M16/M$16</f>
        <v>1</v>
      </c>
      <c r="N33" s="15">
        <f t="shared" si="19"/>
        <v>1</v>
      </c>
      <c r="O33" s="15">
        <f t="shared" si="19"/>
        <v>1</v>
      </c>
      <c r="P33" s="15">
        <f t="shared" si="19"/>
        <v>1</v>
      </c>
      <c r="Q33" s="15">
        <f t="shared" si="8"/>
        <v>1</v>
      </c>
      <c r="R33" s="15">
        <f t="shared" si="8"/>
        <v>1</v>
      </c>
      <c r="S33" s="15">
        <f t="shared" si="8"/>
        <v>1</v>
      </c>
      <c r="T33" s="15">
        <f t="shared" si="8"/>
        <v>1</v>
      </c>
      <c r="U33" s="15">
        <f t="shared" si="8"/>
        <v>1</v>
      </c>
    </row>
    <row r="36" spans="1:32" ht="15.75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25">
      <c r="L37" s="3"/>
      <c r="M37" s="31" t="s">
        <v>47</v>
      </c>
      <c r="N37" s="32"/>
      <c r="O37" s="32"/>
      <c r="P37" s="32"/>
      <c r="Q37" s="32"/>
      <c r="R37" s="32"/>
      <c r="S37" s="32"/>
      <c r="T37" s="32"/>
      <c r="U37" s="32"/>
      <c r="W37" s="23"/>
      <c r="X37" s="30" t="s">
        <v>47</v>
      </c>
      <c r="Y37" s="30"/>
      <c r="Z37" s="30"/>
      <c r="AA37" s="30"/>
      <c r="AB37" s="30"/>
      <c r="AC37" s="30"/>
      <c r="AD37" s="30"/>
      <c r="AE37" s="30"/>
      <c r="AF37" s="24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25">
      <c r="L39" t="s">
        <v>1</v>
      </c>
      <c r="M39" s="13">
        <f t="shared" ref="M39:P44" si="20">M22-B22</f>
        <v>-3.2403023728030278E-2</v>
      </c>
      <c r="N39" s="13">
        <f t="shared" si="20"/>
        <v>-9.1093559694569448E-3</v>
      </c>
      <c r="O39" s="13">
        <f t="shared" si="20"/>
        <v>-1.4031768250987731E-3</v>
      </c>
      <c r="P39" s="13">
        <f t="shared" si="20"/>
        <v>8.3132105743285278E-2</v>
      </c>
      <c r="Q39" s="13">
        <f t="shared" ref="Q39:Q50" si="21">Q22-F22</f>
        <v>2.4995471052875893E-2</v>
      </c>
      <c r="R39" s="13">
        <f t="shared" ref="R39:R50" si="22">R22-G22</f>
        <v>0</v>
      </c>
      <c r="S39" s="13">
        <f t="shared" ref="S39:S50" si="23">S22-H22</f>
        <v>0</v>
      </c>
      <c r="T39" s="13">
        <f t="shared" ref="T39:T50" si="24">T22-I22</f>
        <v>-1.059928912060294E-3</v>
      </c>
      <c r="U39" s="13">
        <f t="shared" ref="U39:U50" si="25">U22-J22</f>
        <v>6.5915952513300735E-3</v>
      </c>
      <c r="W39" s="21" t="s">
        <v>1</v>
      </c>
      <c r="X39" s="22">
        <f>M39</f>
        <v>-3.2403023728030278E-2</v>
      </c>
      <c r="Y39" s="22">
        <f t="shared" ref="Y39:AF39" si="26">N39</f>
        <v>-9.1093559694569448E-3</v>
      </c>
      <c r="Z39" s="22">
        <f t="shared" si="26"/>
        <v>-1.4031768250987731E-3</v>
      </c>
      <c r="AA39" s="22">
        <f t="shared" si="26"/>
        <v>8.3132105743285278E-2</v>
      </c>
      <c r="AB39" s="22">
        <f t="shared" si="26"/>
        <v>2.4995471052875893E-2</v>
      </c>
      <c r="AC39" s="22">
        <f t="shared" si="26"/>
        <v>0</v>
      </c>
      <c r="AD39" s="22">
        <f t="shared" si="26"/>
        <v>0</v>
      </c>
      <c r="AE39" s="22">
        <f t="shared" si="26"/>
        <v>-1.059928912060294E-3</v>
      </c>
      <c r="AF39" s="22">
        <f t="shared" si="26"/>
        <v>6.5915952513300735E-3</v>
      </c>
    </row>
    <row r="40" spans="1:32" x14ac:dyDescent="0.25">
      <c r="L40" t="s">
        <v>9</v>
      </c>
      <c r="M40" s="13">
        <f t="shared" si="20"/>
        <v>0</v>
      </c>
      <c r="N40" s="13">
        <f t="shared" si="20"/>
        <v>-1.9701260673009591E-2</v>
      </c>
      <c r="O40" s="13">
        <f t="shared" si="20"/>
        <v>-7.6893245149692313E-4</v>
      </c>
      <c r="P40" s="13">
        <f t="shared" si="20"/>
        <v>1.0884417936379377E-2</v>
      </c>
      <c r="Q40" s="13">
        <f t="shared" si="21"/>
        <v>1.0818869319844465E-2</v>
      </c>
      <c r="R40" s="13">
        <f t="shared" si="22"/>
        <v>0</v>
      </c>
      <c r="S40" s="13">
        <f t="shared" si="23"/>
        <v>0</v>
      </c>
      <c r="T40" s="13">
        <f t="shared" si="24"/>
        <v>2.7193137450745045E-2</v>
      </c>
      <c r="U40" s="13">
        <f t="shared" si="25"/>
        <v>1.2525614468705593E-2</v>
      </c>
      <c r="W40" s="27" t="s">
        <v>9</v>
      </c>
      <c r="X40" s="22">
        <f t="shared" ref="X40:X49" si="27">M40</f>
        <v>0</v>
      </c>
      <c r="Y40" s="22">
        <f t="shared" ref="Y40:Y50" si="28">N40</f>
        <v>-1.9701260673009591E-2</v>
      </c>
      <c r="Z40" s="22">
        <f t="shared" ref="Z40:Z50" si="29">O40</f>
        <v>-7.6893245149692313E-4</v>
      </c>
      <c r="AA40" s="22">
        <f t="shared" ref="AA40:AA50" si="30">P40</f>
        <v>1.0884417936379377E-2</v>
      </c>
      <c r="AB40" s="22">
        <f t="shared" ref="AB40:AB50" si="31">Q40</f>
        <v>1.0818869319844465E-2</v>
      </c>
      <c r="AC40" s="22">
        <f t="shared" ref="AC40:AC50" si="32">R40</f>
        <v>0</v>
      </c>
      <c r="AD40" s="22">
        <f t="shared" ref="AD40:AD50" si="33">S40</f>
        <v>0</v>
      </c>
      <c r="AE40" s="22">
        <f t="shared" ref="AE40:AE50" si="34">T40</f>
        <v>2.7193137450745045E-2</v>
      </c>
      <c r="AF40" s="22">
        <f t="shared" ref="AF40:AF50" si="35">U40</f>
        <v>1.2525614468705593E-2</v>
      </c>
    </row>
    <row r="41" spans="1:32" x14ac:dyDescent="0.25">
      <c r="L41" t="s">
        <v>10</v>
      </c>
      <c r="M41" s="13">
        <f t="shared" si="20"/>
        <v>0</v>
      </c>
      <c r="N41" s="13">
        <f t="shared" si="20"/>
        <v>0</v>
      </c>
      <c r="O41" s="13">
        <f t="shared" si="20"/>
        <v>-4.3197753931467631E-3</v>
      </c>
      <c r="P41" s="13">
        <f t="shared" si="20"/>
        <v>-1.6383874227266684E-2</v>
      </c>
      <c r="Q41" s="13">
        <f t="shared" si="21"/>
        <v>1.7924040439955248E-2</v>
      </c>
      <c r="R41" s="13">
        <f t="shared" si="22"/>
        <v>0</v>
      </c>
      <c r="S41" s="13">
        <f t="shared" si="23"/>
        <v>0</v>
      </c>
      <c r="T41" s="13">
        <f t="shared" si="24"/>
        <v>-2.6212108090144862E-2</v>
      </c>
      <c r="U41" s="13">
        <f t="shared" si="25"/>
        <v>2.4206043887319839E-3</v>
      </c>
      <c r="W41" s="27" t="s">
        <v>10</v>
      </c>
      <c r="X41" s="22">
        <f t="shared" si="27"/>
        <v>0</v>
      </c>
      <c r="Y41" s="22">
        <f t="shared" si="28"/>
        <v>0</v>
      </c>
      <c r="Z41" s="22">
        <f t="shared" si="29"/>
        <v>-4.3197753931467631E-3</v>
      </c>
      <c r="AA41" s="22">
        <f t="shared" si="30"/>
        <v>-1.6383874227266684E-2</v>
      </c>
      <c r="AB41" s="22">
        <f t="shared" si="31"/>
        <v>1.7924040439955248E-2</v>
      </c>
      <c r="AC41" s="22">
        <f t="shared" si="32"/>
        <v>0</v>
      </c>
      <c r="AD41" s="22">
        <f t="shared" si="33"/>
        <v>0</v>
      </c>
      <c r="AE41" s="22">
        <f t="shared" si="34"/>
        <v>-2.6212108090144862E-2</v>
      </c>
      <c r="AF41" s="22">
        <f t="shared" si="35"/>
        <v>2.4206043887319839E-3</v>
      </c>
    </row>
    <row r="42" spans="1:32" x14ac:dyDescent="0.25">
      <c r="L42" t="s">
        <v>51</v>
      </c>
      <c r="M42" s="13">
        <f t="shared" si="20"/>
        <v>0</v>
      </c>
      <c r="N42" s="13">
        <f t="shared" si="20"/>
        <v>0</v>
      </c>
      <c r="O42" s="13">
        <f t="shared" si="20"/>
        <v>0</v>
      </c>
      <c r="P42" s="13">
        <f t="shared" si="20"/>
        <v>-2.1101893777083214E-2</v>
      </c>
      <c r="Q42" s="13">
        <f t="shared" si="21"/>
        <v>-4.9404392264466024E-2</v>
      </c>
      <c r="R42" s="13">
        <f t="shared" si="22"/>
        <v>0</v>
      </c>
      <c r="S42" s="13">
        <f t="shared" si="23"/>
        <v>0</v>
      </c>
      <c r="T42" s="13">
        <f t="shared" si="24"/>
        <v>-1.9803949728156241E-2</v>
      </c>
      <c r="U42" s="13">
        <f t="shared" si="25"/>
        <v>-2.1539313406497347E-2</v>
      </c>
      <c r="W42" t="s">
        <v>51</v>
      </c>
      <c r="X42" s="22">
        <f t="shared" si="27"/>
        <v>0</v>
      </c>
      <c r="Y42" s="22">
        <f t="shared" si="28"/>
        <v>0</v>
      </c>
      <c r="Z42" s="22">
        <f t="shared" si="29"/>
        <v>0</v>
      </c>
      <c r="AA42" s="22">
        <f t="shared" si="30"/>
        <v>-2.1101893777083214E-2</v>
      </c>
      <c r="AB42" s="22">
        <f t="shared" si="31"/>
        <v>-4.9404392264466024E-2</v>
      </c>
      <c r="AC42" s="22">
        <f t="shared" si="32"/>
        <v>0</v>
      </c>
      <c r="AD42" s="22">
        <f t="shared" si="33"/>
        <v>0</v>
      </c>
      <c r="AE42" s="22">
        <f t="shared" si="34"/>
        <v>-1.9803949728156241E-2</v>
      </c>
      <c r="AF42" s="22">
        <f t="shared" si="35"/>
        <v>-2.1539313406497347E-2</v>
      </c>
    </row>
    <row r="43" spans="1:32" x14ac:dyDescent="0.25">
      <c r="L43" t="s">
        <v>52</v>
      </c>
      <c r="M43" s="13">
        <f t="shared" si="20"/>
        <v>0</v>
      </c>
      <c r="N43" s="13">
        <f t="shared" si="20"/>
        <v>0</v>
      </c>
      <c r="O43" s="13">
        <f t="shared" si="20"/>
        <v>0</v>
      </c>
      <c r="P43" s="13">
        <f t="shared" si="20"/>
        <v>0</v>
      </c>
      <c r="Q43" s="13">
        <f t="shared" si="21"/>
        <v>-2.4108109680470737E-3</v>
      </c>
      <c r="R43" s="13">
        <f t="shared" si="22"/>
        <v>0</v>
      </c>
      <c r="S43" s="13">
        <f t="shared" si="23"/>
        <v>0</v>
      </c>
      <c r="T43" s="13">
        <f t="shared" si="24"/>
        <v>0</v>
      </c>
      <c r="U43" s="13">
        <f t="shared" si="25"/>
        <v>-1.4860853277401306E-4</v>
      </c>
      <c r="W43" t="s">
        <v>52</v>
      </c>
      <c r="X43" s="22">
        <f t="shared" si="27"/>
        <v>0</v>
      </c>
      <c r="Y43" s="22">
        <f t="shared" si="28"/>
        <v>0</v>
      </c>
      <c r="Z43" s="22">
        <f t="shared" si="29"/>
        <v>0</v>
      </c>
      <c r="AA43" s="22">
        <f t="shared" si="30"/>
        <v>0</v>
      </c>
      <c r="AB43" s="22">
        <f t="shared" si="31"/>
        <v>-2.4108109680470737E-3</v>
      </c>
      <c r="AC43" s="22">
        <f t="shared" si="32"/>
        <v>0</v>
      </c>
      <c r="AD43" s="22">
        <f t="shared" si="33"/>
        <v>0</v>
      </c>
      <c r="AE43" s="22">
        <f t="shared" si="34"/>
        <v>0</v>
      </c>
      <c r="AF43" s="22">
        <f t="shared" si="35"/>
        <v>-1.4860853277401306E-4</v>
      </c>
    </row>
    <row r="44" spans="1:32" x14ac:dyDescent="0.25">
      <c r="L44" t="s">
        <v>53</v>
      </c>
      <c r="M44" s="13">
        <f t="shared" si="20"/>
        <v>0</v>
      </c>
      <c r="N44" s="13">
        <f t="shared" si="20"/>
        <v>0</v>
      </c>
      <c r="O44" s="13">
        <f t="shared" si="20"/>
        <v>0</v>
      </c>
      <c r="P44" s="13">
        <f t="shared" si="20"/>
        <v>0</v>
      </c>
      <c r="Q44" s="13">
        <f t="shared" si="21"/>
        <v>0</v>
      </c>
      <c r="R44" s="13">
        <f t="shared" si="22"/>
        <v>0</v>
      </c>
      <c r="S44" s="13">
        <f t="shared" si="23"/>
        <v>0</v>
      </c>
      <c r="T44" s="13">
        <f t="shared" si="24"/>
        <v>0</v>
      </c>
      <c r="U44" s="13">
        <f t="shared" si="25"/>
        <v>0</v>
      </c>
      <c r="W44" t="s">
        <v>53</v>
      </c>
      <c r="X44" s="22">
        <f t="shared" si="27"/>
        <v>0</v>
      </c>
      <c r="Y44" s="22">
        <f t="shared" si="28"/>
        <v>0</v>
      </c>
      <c r="Z44" s="22">
        <f t="shared" si="29"/>
        <v>0</v>
      </c>
      <c r="AA44" s="22">
        <f t="shared" si="30"/>
        <v>0</v>
      </c>
      <c r="AB44" s="22">
        <f t="shared" si="31"/>
        <v>0</v>
      </c>
      <c r="AC44" s="22">
        <f t="shared" si="32"/>
        <v>0</v>
      </c>
      <c r="AD44" s="22">
        <f t="shared" si="33"/>
        <v>0</v>
      </c>
      <c r="AE44" s="22">
        <f t="shared" si="34"/>
        <v>0</v>
      </c>
      <c r="AF44" s="22">
        <f t="shared" si="35"/>
        <v>0</v>
      </c>
    </row>
    <row r="45" spans="1:32" x14ac:dyDescent="0.25">
      <c r="L45" t="s">
        <v>54</v>
      </c>
      <c r="M45" s="13">
        <f t="shared" ref="M45:M47" si="36">M28-B28</f>
        <v>0</v>
      </c>
      <c r="N45" s="13">
        <f t="shared" ref="N45:N47" si="37">N28-C28</f>
        <v>0</v>
      </c>
      <c r="O45" s="13">
        <f t="shared" ref="O45:O47" si="38">O28-D28</f>
        <v>0</v>
      </c>
      <c r="P45" s="13">
        <f t="shared" ref="P45:P47" si="39">P28-E28</f>
        <v>0</v>
      </c>
      <c r="Q45" s="13">
        <f t="shared" si="21"/>
        <v>0</v>
      </c>
      <c r="R45" s="13">
        <f t="shared" si="22"/>
        <v>0</v>
      </c>
      <c r="S45" s="13">
        <f t="shared" si="23"/>
        <v>0</v>
      </c>
      <c r="T45" s="13">
        <f t="shared" si="24"/>
        <v>0</v>
      </c>
      <c r="U45" s="13">
        <f t="shared" si="25"/>
        <v>0</v>
      </c>
      <c r="W45" t="s">
        <v>54</v>
      </c>
      <c r="X45" s="22">
        <f t="shared" si="27"/>
        <v>0</v>
      </c>
      <c r="Y45" s="22">
        <f t="shared" si="28"/>
        <v>0</v>
      </c>
      <c r="Z45" s="22">
        <f t="shared" si="29"/>
        <v>0</v>
      </c>
      <c r="AA45" s="22">
        <f t="shared" si="30"/>
        <v>0</v>
      </c>
      <c r="AB45" s="22">
        <f t="shared" si="31"/>
        <v>0</v>
      </c>
      <c r="AC45" s="22">
        <f t="shared" si="32"/>
        <v>0</v>
      </c>
      <c r="AD45" s="22">
        <f t="shared" si="33"/>
        <v>0</v>
      </c>
      <c r="AE45" s="22">
        <f t="shared" si="34"/>
        <v>0</v>
      </c>
      <c r="AF45" s="22">
        <f t="shared" si="35"/>
        <v>0</v>
      </c>
    </row>
    <row r="46" spans="1:32" x14ac:dyDescent="0.25">
      <c r="L46" t="s">
        <v>55</v>
      </c>
      <c r="M46" s="13">
        <f t="shared" si="36"/>
        <v>0</v>
      </c>
      <c r="N46" s="13">
        <f t="shared" si="37"/>
        <v>0</v>
      </c>
      <c r="O46" s="13">
        <f t="shared" si="38"/>
        <v>0</v>
      </c>
      <c r="P46" s="13">
        <f t="shared" si="39"/>
        <v>0</v>
      </c>
      <c r="Q46" s="13">
        <f t="shared" si="21"/>
        <v>0</v>
      </c>
      <c r="R46" s="13">
        <f t="shared" si="22"/>
        <v>0</v>
      </c>
      <c r="S46" s="13">
        <f t="shared" si="23"/>
        <v>0</v>
      </c>
      <c r="T46" s="13">
        <f t="shared" si="24"/>
        <v>0</v>
      </c>
      <c r="U46" s="13">
        <f t="shared" si="25"/>
        <v>0</v>
      </c>
      <c r="W46" t="s">
        <v>55</v>
      </c>
      <c r="X46" s="22">
        <f t="shared" si="27"/>
        <v>0</v>
      </c>
      <c r="Y46" s="22">
        <f t="shared" si="28"/>
        <v>0</v>
      </c>
      <c r="Z46" s="22">
        <f t="shared" si="29"/>
        <v>0</v>
      </c>
      <c r="AA46" s="22">
        <f t="shared" si="30"/>
        <v>0</v>
      </c>
      <c r="AB46" s="22">
        <f t="shared" si="31"/>
        <v>0</v>
      </c>
      <c r="AC46" s="22">
        <f t="shared" si="32"/>
        <v>0</v>
      </c>
      <c r="AD46" s="22">
        <f t="shared" si="33"/>
        <v>0</v>
      </c>
      <c r="AE46" s="22">
        <f t="shared" si="34"/>
        <v>0</v>
      </c>
      <c r="AF46" s="22">
        <f t="shared" si="35"/>
        <v>0</v>
      </c>
    </row>
    <row r="47" spans="1:32" x14ac:dyDescent="0.25">
      <c r="L47" t="s">
        <v>24</v>
      </c>
      <c r="M47" s="13">
        <f t="shared" si="36"/>
        <v>0</v>
      </c>
      <c r="N47" s="13">
        <f t="shared" si="37"/>
        <v>0</v>
      </c>
      <c r="O47" s="13">
        <f t="shared" si="38"/>
        <v>0</v>
      </c>
      <c r="P47" s="13">
        <f t="shared" si="39"/>
        <v>0</v>
      </c>
      <c r="Q47" s="13">
        <f t="shared" si="21"/>
        <v>0</v>
      </c>
      <c r="R47" s="13">
        <f t="shared" si="22"/>
        <v>0</v>
      </c>
      <c r="S47" s="13">
        <f t="shared" si="23"/>
        <v>0</v>
      </c>
      <c r="T47" s="13">
        <f t="shared" si="24"/>
        <v>7.1211357175033907E-3</v>
      </c>
      <c r="U47" s="13">
        <f t="shared" si="25"/>
        <v>-5.9955828826381563E-4</v>
      </c>
      <c r="W47" s="21" t="s">
        <v>24</v>
      </c>
      <c r="X47" s="22">
        <f t="shared" si="27"/>
        <v>0</v>
      </c>
      <c r="Y47" s="22">
        <f t="shared" si="28"/>
        <v>0</v>
      </c>
      <c r="Z47" s="22">
        <f t="shared" si="29"/>
        <v>0</v>
      </c>
      <c r="AA47" s="22">
        <f t="shared" si="30"/>
        <v>0</v>
      </c>
      <c r="AB47" s="22">
        <f t="shared" si="31"/>
        <v>0</v>
      </c>
      <c r="AC47" s="22">
        <f t="shared" si="32"/>
        <v>0</v>
      </c>
      <c r="AD47" s="22">
        <f t="shared" si="33"/>
        <v>0</v>
      </c>
      <c r="AE47" s="22">
        <f t="shared" si="34"/>
        <v>7.1211357175033907E-3</v>
      </c>
      <c r="AF47" s="22">
        <f t="shared" si="35"/>
        <v>-5.9955828826381563E-4</v>
      </c>
    </row>
    <row r="48" spans="1:32" x14ac:dyDescent="0.25">
      <c r="L48" t="s">
        <v>4</v>
      </c>
      <c r="M48" s="13">
        <f t="shared" ref="M48:P50" si="40">M31-B31</f>
        <v>1.1890648654201599E-4</v>
      </c>
      <c r="N48" s="13">
        <f t="shared" si="40"/>
        <v>5.8824410233695393E-5</v>
      </c>
      <c r="O48" s="13">
        <f t="shared" si="40"/>
        <v>4.9702147597051891E-4</v>
      </c>
      <c r="P48" s="13">
        <f t="shared" si="40"/>
        <v>-9.805423039845908E-4</v>
      </c>
      <c r="Q48" s="13">
        <f t="shared" si="21"/>
        <v>1.4749756113379836E-3</v>
      </c>
      <c r="R48" s="13">
        <f t="shared" si="22"/>
        <v>-6.6802156080774444E-2</v>
      </c>
      <c r="S48" s="13">
        <f t="shared" si="23"/>
        <v>0</v>
      </c>
      <c r="T48" s="13">
        <f t="shared" si="24"/>
        <v>-5.4239189818641297E-4</v>
      </c>
      <c r="U48" s="13">
        <f t="shared" si="25"/>
        <v>9.1257760449051442E-4</v>
      </c>
      <c r="W48" s="27" t="s">
        <v>4</v>
      </c>
      <c r="X48" s="22">
        <f t="shared" si="27"/>
        <v>1.1890648654201599E-4</v>
      </c>
      <c r="Y48" s="22">
        <f t="shared" si="28"/>
        <v>5.8824410233695393E-5</v>
      </c>
      <c r="Z48" s="22">
        <f t="shared" si="29"/>
        <v>4.9702147597051891E-4</v>
      </c>
      <c r="AA48" s="22">
        <f t="shared" si="30"/>
        <v>-9.805423039845908E-4</v>
      </c>
      <c r="AB48" s="22">
        <f t="shared" si="31"/>
        <v>1.4749756113379836E-3</v>
      </c>
      <c r="AC48" s="22">
        <f t="shared" si="32"/>
        <v>-6.6802156080774444E-2</v>
      </c>
      <c r="AD48" s="22">
        <f t="shared" si="33"/>
        <v>0</v>
      </c>
      <c r="AE48" s="22">
        <f t="shared" si="34"/>
        <v>-5.4239189818641297E-4</v>
      </c>
      <c r="AF48" s="22">
        <f t="shared" si="35"/>
        <v>9.1257760449051442E-4</v>
      </c>
    </row>
    <row r="49" spans="12:32" x14ac:dyDescent="0.25">
      <c r="L49" s="4" t="s">
        <v>5</v>
      </c>
      <c r="M49" s="17">
        <f t="shared" si="40"/>
        <v>3.2284117241488289E-2</v>
      </c>
      <c r="N49" s="17">
        <f t="shared" si="40"/>
        <v>2.8751792232232867E-2</v>
      </c>
      <c r="O49" s="17">
        <f t="shared" si="40"/>
        <v>5.9948631937719599E-3</v>
      </c>
      <c r="P49" s="17">
        <f t="shared" si="40"/>
        <v>-5.5550213371330259E-2</v>
      </c>
      <c r="Q49" s="17">
        <f t="shared" si="21"/>
        <v>-3.3981531915005525E-3</v>
      </c>
      <c r="R49" s="17">
        <f t="shared" si="22"/>
        <v>6.6802156080774527E-2</v>
      </c>
      <c r="S49" s="17">
        <f t="shared" si="23"/>
        <v>0</v>
      </c>
      <c r="T49" s="17">
        <f t="shared" si="24"/>
        <v>1.3304105460299497E-2</v>
      </c>
      <c r="U49" s="13">
        <f t="shared" si="25"/>
        <v>-1.6291148572297742E-4</v>
      </c>
      <c r="W49" s="20" t="s">
        <v>5</v>
      </c>
      <c r="X49" s="22">
        <f t="shared" si="27"/>
        <v>3.2284117241488289E-2</v>
      </c>
      <c r="Y49" s="22">
        <f t="shared" si="28"/>
        <v>2.8751792232232867E-2</v>
      </c>
      <c r="Z49" s="22">
        <f t="shared" si="29"/>
        <v>5.9948631937719599E-3</v>
      </c>
      <c r="AA49" s="22">
        <f t="shared" si="30"/>
        <v>-5.5550213371330259E-2</v>
      </c>
      <c r="AB49" s="22">
        <f t="shared" si="31"/>
        <v>-3.3981531915005525E-3</v>
      </c>
      <c r="AC49" s="22">
        <f t="shared" si="32"/>
        <v>6.6802156080774527E-2</v>
      </c>
      <c r="AD49" s="22">
        <f t="shared" si="33"/>
        <v>0</v>
      </c>
      <c r="AE49" s="22">
        <f t="shared" si="34"/>
        <v>1.3304105460299497E-2</v>
      </c>
      <c r="AF49" s="22">
        <f t="shared" si="35"/>
        <v>-1.6291148572297742E-4</v>
      </c>
    </row>
    <row r="50" spans="12:32" ht="15.75" thickBot="1" x14ac:dyDescent="0.3">
      <c r="L50" s="9" t="s">
        <v>7</v>
      </c>
      <c r="M50" s="15">
        <f t="shared" si="40"/>
        <v>0</v>
      </c>
      <c r="N50" s="15">
        <f t="shared" si="40"/>
        <v>0</v>
      </c>
      <c r="O50" s="15">
        <f t="shared" si="40"/>
        <v>0</v>
      </c>
      <c r="P50" s="15">
        <f t="shared" si="40"/>
        <v>0</v>
      </c>
      <c r="Q50" s="15">
        <f t="shared" si="21"/>
        <v>0</v>
      </c>
      <c r="R50" s="15">
        <f t="shared" si="22"/>
        <v>0</v>
      </c>
      <c r="S50" s="15">
        <f t="shared" si="23"/>
        <v>0</v>
      </c>
      <c r="T50" s="15">
        <f t="shared" si="24"/>
        <v>0</v>
      </c>
      <c r="U50" s="15">
        <f t="shared" si="25"/>
        <v>0</v>
      </c>
      <c r="W50" s="28" t="s">
        <v>7</v>
      </c>
      <c r="X50" s="29">
        <f>M50</f>
        <v>0</v>
      </c>
      <c r="Y50" s="29">
        <f t="shared" si="28"/>
        <v>0</v>
      </c>
      <c r="Z50" s="29">
        <f t="shared" si="29"/>
        <v>0</v>
      </c>
      <c r="AA50" s="29">
        <f t="shared" si="30"/>
        <v>0</v>
      </c>
      <c r="AB50" s="29">
        <f t="shared" si="31"/>
        <v>0</v>
      </c>
      <c r="AC50" s="29">
        <f t="shared" si="32"/>
        <v>0</v>
      </c>
      <c r="AD50" s="29">
        <f t="shared" si="33"/>
        <v>0</v>
      </c>
      <c r="AE50" s="29">
        <f t="shared" si="34"/>
        <v>0</v>
      </c>
      <c r="AF50" s="29">
        <f t="shared" si="35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F50"/>
  <sheetViews>
    <sheetView workbookViewId="0"/>
  </sheetViews>
  <sheetFormatPr defaultRowHeight="15" x14ac:dyDescent="0.25"/>
  <cols>
    <col min="1" max="1" width="25" customWidth="1" collapsed="1"/>
    <col min="2" max="10" width="10.7109375" customWidth="1" collapsed="1"/>
    <col min="11" max="11" width="3.7109375" customWidth="1" collapsed="1"/>
    <col min="12" max="12" width="25" customWidth="1" collapsed="1"/>
    <col min="13" max="22" width="10.7109375" customWidth="1" collapsed="1"/>
    <col min="23" max="23" width="17" customWidth="1" collapsed="1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41</v>
      </c>
      <c r="C3" s="31"/>
      <c r="D3" s="31"/>
      <c r="E3" s="31"/>
      <c r="F3" s="31"/>
      <c r="G3" s="31"/>
      <c r="H3" s="31"/>
      <c r="I3" s="31"/>
      <c r="J3" s="7"/>
      <c r="L3" s="3"/>
      <c r="M3" s="31" t="s">
        <v>41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v>164820.26496609871</v>
      </c>
      <c r="C5" s="6">
        <v>5896.5215928702</v>
      </c>
      <c r="D5" s="6">
        <v>1862.7626499472001</v>
      </c>
      <c r="E5" s="6">
        <v>0</v>
      </c>
      <c r="F5" s="6">
        <v>18.7005063981</v>
      </c>
      <c r="G5" s="6">
        <v>0</v>
      </c>
      <c r="H5" s="6">
        <v>0</v>
      </c>
      <c r="I5" s="6">
        <v>0</v>
      </c>
      <c r="J5" s="6">
        <f>SUM(B5:I5)</f>
        <v>172598.24971531422</v>
      </c>
      <c r="K5" s="6"/>
      <c r="L5" t="s">
        <v>1</v>
      </c>
      <c r="M5" s="6">
        <v>244021</v>
      </c>
      <c r="N5" s="6">
        <v>5379</v>
      </c>
      <c r="O5" s="6">
        <v>1098</v>
      </c>
      <c r="P5" s="6">
        <v>0</v>
      </c>
      <c r="Q5" s="6">
        <v>87</v>
      </c>
      <c r="R5" s="6">
        <v>0</v>
      </c>
      <c r="S5" s="6">
        <v>0</v>
      </c>
      <c r="T5" s="6">
        <v>0</v>
      </c>
      <c r="U5" s="6">
        <f t="shared" ref="U5:U15" si="0">SUM(M5:T5)</f>
        <v>250585</v>
      </c>
    </row>
    <row r="6" spans="1:21" x14ac:dyDescent="0.25">
      <c r="A6" t="s">
        <v>12</v>
      </c>
      <c r="B6" s="6">
        <v>0</v>
      </c>
      <c r="C6" s="6">
        <v>31299.678939911399</v>
      </c>
      <c r="D6" s="6">
        <v>149.88885107510001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f t="shared" ref="J6:J15" si="1">SUM(B6:I6)</f>
        <v>31449.567790986497</v>
      </c>
      <c r="K6" s="6"/>
      <c r="L6" t="s">
        <v>12</v>
      </c>
      <c r="M6" s="6">
        <v>0</v>
      </c>
      <c r="N6" s="6">
        <v>54548</v>
      </c>
      <c r="O6" s="6">
        <v>3386</v>
      </c>
      <c r="P6" s="6">
        <v>0</v>
      </c>
      <c r="Q6" s="6">
        <v>620</v>
      </c>
      <c r="R6" s="6">
        <v>0</v>
      </c>
      <c r="S6" s="6">
        <v>0</v>
      </c>
      <c r="T6" s="6">
        <v>0</v>
      </c>
      <c r="U6" s="6">
        <f t="shared" si="0"/>
        <v>58554</v>
      </c>
    </row>
    <row r="7" spans="1:21" x14ac:dyDescent="0.25">
      <c r="A7" t="s">
        <v>56</v>
      </c>
      <c r="B7" s="6">
        <v>0</v>
      </c>
      <c r="C7" s="6">
        <v>0</v>
      </c>
      <c r="D7" s="6">
        <v>13503.06476497</v>
      </c>
      <c r="E7" s="6">
        <v>0</v>
      </c>
      <c r="F7" s="6">
        <v>1519.9286873619999</v>
      </c>
      <c r="G7" s="6">
        <v>0</v>
      </c>
      <c r="H7" s="6">
        <v>0</v>
      </c>
      <c r="I7" s="6">
        <v>0</v>
      </c>
      <c r="J7" s="6">
        <f t="shared" si="1"/>
        <v>15022.993452332001</v>
      </c>
      <c r="K7" s="6"/>
      <c r="L7" t="s">
        <v>56</v>
      </c>
      <c r="M7" s="6">
        <v>0</v>
      </c>
      <c r="N7" s="6">
        <v>0</v>
      </c>
      <c r="O7" s="6">
        <v>19026</v>
      </c>
      <c r="P7" s="6">
        <v>0</v>
      </c>
      <c r="Q7" s="6">
        <v>276</v>
      </c>
      <c r="R7" s="6">
        <v>0</v>
      </c>
      <c r="S7" s="6">
        <v>0</v>
      </c>
      <c r="T7" s="6">
        <v>0</v>
      </c>
      <c r="U7" s="6">
        <f t="shared" si="0"/>
        <v>19302</v>
      </c>
    </row>
    <row r="8" spans="1:21" x14ac:dyDescent="0.25">
      <c r="A8" t="s">
        <v>51</v>
      </c>
      <c r="B8" s="6">
        <v>0</v>
      </c>
      <c r="C8" s="6">
        <v>0</v>
      </c>
      <c r="D8" s="6">
        <v>0</v>
      </c>
      <c r="E8" s="6">
        <v>0</v>
      </c>
      <c r="F8" s="6">
        <v>6395.8677954755003</v>
      </c>
      <c r="G8" s="6">
        <v>0</v>
      </c>
      <c r="H8" s="6">
        <v>0</v>
      </c>
      <c r="I8" s="6">
        <v>0</v>
      </c>
      <c r="J8" s="6">
        <f t="shared" si="1"/>
        <v>6395.8677954755003</v>
      </c>
      <c r="K8" s="6"/>
      <c r="L8" t="s">
        <v>51</v>
      </c>
      <c r="M8" s="6">
        <v>0</v>
      </c>
      <c r="N8" s="6">
        <v>0</v>
      </c>
      <c r="O8" s="6">
        <v>0</v>
      </c>
      <c r="P8" s="6">
        <v>0</v>
      </c>
      <c r="Q8" s="6">
        <v>3339</v>
      </c>
      <c r="R8" s="6">
        <v>0</v>
      </c>
      <c r="S8" s="6">
        <v>0</v>
      </c>
      <c r="T8" s="6">
        <v>0</v>
      </c>
      <c r="U8" s="6">
        <f t="shared" si="0"/>
        <v>3339</v>
      </c>
    </row>
    <row r="9" spans="1:21" x14ac:dyDescent="0.25">
      <c r="A9" t="s">
        <v>52</v>
      </c>
      <c r="B9" s="6">
        <v>0</v>
      </c>
      <c r="C9" s="6">
        <v>0</v>
      </c>
      <c r="D9" s="6">
        <v>0</v>
      </c>
      <c r="E9" s="6">
        <v>0</v>
      </c>
      <c r="F9" s="6">
        <v>236.004091738</v>
      </c>
      <c r="G9" s="6">
        <v>0</v>
      </c>
      <c r="H9" s="6">
        <v>0</v>
      </c>
      <c r="I9" s="6">
        <v>0</v>
      </c>
      <c r="J9" s="6">
        <f t="shared" si="1"/>
        <v>236.004091738</v>
      </c>
      <c r="K9" s="6"/>
      <c r="L9" t="s">
        <v>52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f t="shared" si="0"/>
        <v>0</v>
      </c>
    </row>
    <row r="10" spans="1:21" x14ac:dyDescent="0.25">
      <c r="A10" t="s">
        <v>53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1"/>
        <v>0</v>
      </c>
      <c r="K10" s="6"/>
      <c r="L10" t="s">
        <v>53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f t="shared" si="0"/>
        <v>0</v>
      </c>
    </row>
    <row r="11" spans="1:21" x14ac:dyDescent="0.25">
      <c r="A11" t="s">
        <v>54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f t="shared" si="1"/>
        <v>0</v>
      </c>
      <c r="K11" s="6"/>
      <c r="L11" t="s">
        <v>54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f t="shared" si="0"/>
        <v>0</v>
      </c>
    </row>
    <row r="12" spans="1:21" x14ac:dyDescent="0.25">
      <c r="A12" t="s">
        <v>55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f t="shared" si="1"/>
        <v>0</v>
      </c>
      <c r="K12" s="6"/>
      <c r="L12" t="s">
        <v>55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f t="shared" si="0"/>
        <v>0</v>
      </c>
    </row>
    <row r="13" spans="1:21" x14ac:dyDescent="0.25">
      <c r="A13" t="s">
        <v>24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1949.9978328520001</v>
      </c>
      <c r="J13" s="6">
        <f t="shared" si="1"/>
        <v>1949.9978328520001</v>
      </c>
      <c r="K13" s="6"/>
      <c r="L13" t="s">
        <v>24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f t="shared" si="0"/>
        <v>0</v>
      </c>
    </row>
    <row r="14" spans="1:21" x14ac:dyDescent="0.25">
      <c r="A14" t="s">
        <v>4</v>
      </c>
      <c r="B14" s="6">
        <v>0</v>
      </c>
      <c r="C14" s="6">
        <v>0</v>
      </c>
      <c r="D14" s="6">
        <v>0</v>
      </c>
      <c r="E14" s="6">
        <v>0</v>
      </c>
      <c r="F14" s="6">
        <v>0</v>
      </c>
      <c r="G14" s="6">
        <v>982.88229767400003</v>
      </c>
      <c r="H14" s="6">
        <v>0</v>
      </c>
      <c r="I14" s="6">
        <v>0</v>
      </c>
      <c r="J14" s="6">
        <f t="shared" si="1"/>
        <v>982.88229767400003</v>
      </c>
      <c r="K14" s="6"/>
      <c r="L14" t="s">
        <v>4</v>
      </c>
      <c r="M14" s="6">
        <v>160</v>
      </c>
      <c r="N14" s="6">
        <v>52</v>
      </c>
      <c r="O14" s="6">
        <v>13</v>
      </c>
      <c r="P14" s="6">
        <v>0</v>
      </c>
      <c r="Q14" s="6">
        <v>13</v>
      </c>
      <c r="R14" s="6">
        <v>1094</v>
      </c>
      <c r="S14" s="6">
        <v>0</v>
      </c>
      <c r="T14" s="6">
        <v>0</v>
      </c>
      <c r="U14" s="6">
        <f t="shared" si="0"/>
        <v>1332</v>
      </c>
    </row>
    <row r="15" spans="1:21" x14ac:dyDescent="0.25">
      <c r="A15" s="4" t="s">
        <v>5</v>
      </c>
      <c r="B15" s="10">
        <v>1357.3149762110002</v>
      </c>
      <c r="C15" s="10">
        <v>639.88901304839999</v>
      </c>
      <c r="D15" s="10">
        <v>0</v>
      </c>
      <c r="E15" s="10">
        <v>0</v>
      </c>
      <c r="F15" s="10">
        <v>2902.9889422654001</v>
      </c>
      <c r="G15" s="10">
        <v>0</v>
      </c>
      <c r="H15" s="10">
        <v>164414.0589106828</v>
      </c>
      <c r="I15" s="10">
        <v>0</v>
      </c>
      <c r="J15" s="6">
        <f t="shared" si="1"/>
        <v>169314.2518422076</v>
      </c>
      <c r="K15" s="6"/>
      <c r="L15" s="4" t="s">
        <v>5</v>
      </c>
      <c r="M15" s="8">
        <v>1853</v>
      </c>
      <c r="N15" s="8">
        <v>374</v>
      </c>
      <c r="O15" s="8">
        <v>113</v>
      </c>
      <c r="P15" s="8">
        <v>0</v>
      </c>
      <c r="Q15" s="8">
        <v>172</v>
      </c>
      <c r="R15" s="8">
        <v>49</v>
      </c>
      <c r="S15" s="8">
        <v>144003</v>
      </c>
      <c r="T15" s="8">
        <v>0</v>
      </c>
      <c r="U15" s="6">
        <f t="shared" si="0"/>
        <v>146564</v>
      </c>
    </row>
    <row r="16" spans="1:21" ht="15.75" thickBot="1" x14ac:dyDescent="0.3">
      <c r="A16" s="12" t="s">
        <v>7</v>
      </c>
      <c r="B16" s="16">
        <f t="shared" ref="B16:J16" si="2">SUM(B5:B15)</f>
        <v>166177.57994230971</v>
      </c>
      <c r="C16" s="16">
        <f t="shared" si="2"/>
        <v>37836.08954583</v>
      </c>
      <c r="D16" s="16">
        <f t="shared" si="2"/>
        <v>15515.716265992301</v>
      </c>
      <c r="E16" s="16">
        <f t="shared" si="2"/>
        <v>0</v>
      </c>
      <c r="F16" s="16">
        <f t="shared" si="2"/>
        <v>11073.490023239001</v>
      </c>
      <c r="G16" s="16">
        <f t="shared" si="2"/>
        <v>982.88229767400003</v>
      </c>
      <c r="H16" s="16">
        <f t="shared" si="2"/>
        <v>164414.0589106828</v>
      </c>
      <c r="I16" s="16">
        <f t="shared" si="2"/>
        <v>1949.9978328520001</v>
      </c>
      <c r="J16" s="16">
        <f t="shared" si="2"/>
        <v>397949.81481857982</v>
      </c>
      <c r="L16" s="9" t="s">
        <v>7</v>
      </c>
      <c r="M16" s="16">
        <f t="shared" ref="M16:U16" si="3">SUM(M5:M15)</f>
        <v>246034</v>
      </c>
      <c r="N16" s="16">
        <f t="shared" si="3"/>
        <v>60353</v>
      </c>
      <c r="O16" s="16">
        <f t="shared" si="3"/>
        <v>23636</v>
      </c>
      <c r="P16" s="16">
        <f t="shared" si="3"/>
        <v>0</v>
      </c>
      <c r="Q16" s="16">
        <f t="shared" si="3"/>
        <v>4507</v>
      </c>
      <c r="R16" s="16">
        <f t="shared" si="3"/>
        <v>1143</v>
      </c>
      <c r="S16" s="16">
        <f t="shared" si="3"/>
        <v>144003</v>
      </c>
      <c r="T16" s="16">
        <f t="shared" si="3"/>
        <v>0</v>
      </c>
      <c r="U16" s="16">
        <f t="shared" si="3"/>
        <v>479676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41</v>
      </c>
      <c r="C20" s="31"/>
      <c r="D20" s="31"/>
      <c r="E20" s="31"/>
      <c r="F20" s="31"/>
      <c r="G20" s="31"/>
      <c r="H20" s="31"/>
      <c r="I20" s="31"/>
      <c r="J20" s="7"/>
      <c r="L20" s="3"/>
      <c r="M20" s="31" t="s">
        <v>41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0.9918321413954746</v>
      </c>
      <c r="C22" s="13">
        <f t="shared" si="4"/>
        <v>0.15584384284025643</v>
      </c>
      <c r="D22" s="13">
        <f t="shared" si="4"/>
        <v>0.12005650387085548</v>
      </c>
      <c r="E22" s="13" t="e">
        <f t="shared" si="4"/>
        <v>#DIV/0!</v>
      </c>
      <c r="F22" s="13">
        <f t="shared" si="4"/>
        <v>1.6887635568239843E-3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0.43371863307437281</v>
      </c>
      <c r="K22" s="6"/>
      <c r="L22" t="s">
        <v>1</v>
      </c>
      <c r="M22" s="13">
        <f t="shared" ref="M22:P22" si="5">M5/M$16</f>
        <v>0.99181820398806664</v>
      </c>
      <c r="N22" s="13">
        <f t="shared" si="5"/>
        <v>8.9125644127052511E-2</v>
      </c>
      <c r="O22" s="13">
        <f t="shared" si="5"/>
        <v>4.645456083939753E-2</v>
      </c>
      <c r="P22" s="13" t="e">
        <f t="shared" si="5"/>
        <v>#DIV/0!</v>
      </c>
      <c r="Q22" s="13">
        <f t="shared" ref="Q22:U33" si="6">Q5/Q$16</f>
        <v>1.9303305968493455E-2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0.52240470651022775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0.82724402324925272</v>
      </c>
      <c r="D23" s="13">
        <f t="shared" si="7"/>
        <v>9.6604532143726926E-3</v>
      </c>
      <c r="E23" s="13" t="e">
        <f t="shared" si="7"/>
        <v>#DIV/0!</v>
      </c>
      <c r="F23" s="13">
        <f t="shared" si="7"/>
        <v>0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7.9028979584583922E-2</v>
      </c>
      <c r="K23" s="6"/>
      <c r="L23" t="s">
        <v>12</v>
      </c>
      <c r="M23" s="13">
        <f t="shared" ref="M23:P23" si="8">M6/M$16</f>
        <v>0</v>
      </c>
      <c r="N23" s="13">
        <f t="shared" si="8"/>
        <v>0.90381588322038675</v>
      </c>
      <c r="O23" s="13">
        <f t="shared" si="8"/>
        <v>0.14325605009307835</v>
      </c>
      <c r="P23" s="13" t="e">
        <f t="shared" si="8"/>
        <v>#DIV/0!</v>
      </c>
      <c r="Q23" s="13">
        <f t="shared" si="6"/>
        <v>0.13756378966052807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0.12206989718059691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0.87028304291477177</v>
      </c>
      <c r="E24" s="13" t="e">
        <f t="shared" si="9"/>
        <v>#DIV/0!</v>
      </c>
      <c r="F24" s="13">
        <f t="shared" si="9"/>
        <v>0.13725832453655112</v>
      </c>
      <c r="G24" s="13">
        <f t="shared" si="9"/>
        <v>0</v>
      </c>
      <c r="H24" s="13">
        <f t="shared" si="9"/>
        <v>0</v>
      </c>
      <c r="I24" s="13">
        <f t="shared" si="9"/>
        <v>0</v>
      </c>
      <c r="J24" s="13">
        <f t="shared" si="9"/>
        <v>3.77509748539041E-2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0.80495853782365878</v>
      </c>
      <c r="P24" s="13" t="e">
        <f t="shared" si="10"/>
        <v>#DIV/0!</v>
      </c>
      <c r="Q24" s="13">
        <f t="shared" si="6"/>
        <v>6.1238074106944755E-2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4.0239661771695898E-2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 t="e">
        <f t="shared" si="11"/>
        <v>#DIV/0!</v>
      </c>
      <c r="F25" s="13">
        <f t="shared" si="11"/>
        <v>0.5775837411740139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1.6072046165899821E-2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0.74084757044597294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6.9609486403322245E-3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 t="e">
        <f t="shared" si="13"/>
        <v>#DIV/0!</v>
      </c>
      <c r="F26" s="13">
        <f t="shared" si="13"/>
        <v>2.1312530308215213E-2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5.9304988455790891E-4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 t="e">
        <f t="shared" si="15"/>
        <v>#DIV/0!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 t="e">
        <f t="shared" si="17"/>
        <v>#DIV/0!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 t="e">
        <f t="shared" si="19"/>
        <v>#DIV/0!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 t="e">
        <f t="shared" si="21"/>
        <v>#DIV/0!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1</v>
      </c>
      <c r="J30" s="13">
        <f t="shared" si="21"/>
        <v>4.9001099139623396E-3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0</v>
      </c>
      <c r="E31" s="13" t="e">
        <f t="shared" si="23"/>
        <v>#DIV/0!</v>
      </c>
      <c r="F31" s="13">
        <f t="shared" si="23"/>
        <v>0</v>
      </c>
      <c r="G31" s="13">
        <f t="shared" si="23"/>
        <v>1</v>
      </c>
      <c r="H31" s="13">
        <f t="shared" si="23"/>
        <v>0</v>
      </c>
      <c r="I31" s="13">
        <f t="shared" si="23"/>
        <v>0</v>
      </c>
      <c r="J31" s="13">
        <f t="shared" si="23"/>
        <v>2.469864945463245E-3</v>
      </c>
      <c r="K31" s="6"/>
      <c r="L31" t="s">
        <v>4</v>
      </c>
      <c r="M31" s="13">
        <f t="shared" ref="M31:P31" si="24">M14/M$16</f>
        <v>6.5031662290577726E-4</v>
      </c>
      <c r="N31" s="13">
        <f t="shared" si="24"/>
        <v>8.6159760078206556E-4</v>
      </c>
      <c r="O31" s="13">
        <f t="shared" si="24"/>
        <v>5.5000846166864108E-4</v>
      </c>
      <c r="P31" s="13" t="e">
        <f t="shared" si="24"/>
        <v>#DIV/0!</v>
      </c>
      <c r="Q31" s="13">
        <f t="shared" si="6"/>
        <v>2.8844020412691369E-3</v>
      </c>
      <c r="R31" s="13">
        <f t="shared" si="6"/>
        <v>0.95713035870516183</v>
      </c>
      <c r="S31" s="13">
        <f t="shared" si="6"/>
        <v>0</v>
      </c>
      <c r="T31" s="13" t="e">
        <f t="shared" si="6"/>
        <v>#DIV/0!</v>
      </c>
      <c r="U31" s="13">
        <f t="shared" si="6"/>
        <v>2.7768743902133941E-3</v>
      </c>
    </row>
    <row r="32" spans="1:21" x14ac:dyDescent="0.25">
      <c r="A32" s="4" t="s">
        <v>5</v>
      </c>
      <c r="B32" s="14">
        <f t="shared" ref="B32:J32" si="25">B15/B$16</f>
        <v>8.1678586045253899E-3</v>
      </c>
      <c r="C32" s="14">
        <f t="shared" si="25"/>
        <v>1.6912133910490852E-2</v>
      </c>
      <c r="D32" s="14">
        <f t="shared" si="25"/>
        <v>0</v>
      </c>
      <c r="E32" s="14" t="e">
        <f t="shared" si="25"/>
        <v>#DIV/0!</v>
      </c>
      <c r="F32" s="14">
        <f t="shared" si="25"/>
        <v>0.26215664042439568</v>
      </c>
      <c r="G32" s="14">
        <f t="shared" si="25"/>
        <v>0</v>
      </c>
      <c r="H32" s="14">
        <f t="shared" si="25"/>
        <v>1</v>
      </c>
      <c r="I32" s="14">
        <f t="shared" si="25"/>
        <v>0</v>
      </c>
      <c r="J32" s="14">
        <f t="shared" si="25"/>
        <v>0.42546634157725588</v>
      </c>
      <c r="K32" s="6"/>
      <c r="L32" s="4" t="s">
        <v>5</v>
      </c>
      <c r="M32" s="14">
        <f t="shared" ref="M32:P32" si="26">M15/M$16</f>
        <v>7.5314793890275331E-3</v>
      </c>
      <c r="N32" s="14">
        <f t="shared" si="26"/>
        <v>6.1968750517787021E-3</v>
      </c>
      <c r="O32" s="14">
        <f t="shared" si="26"/>
        <v>4.780842782196649E-3</v>
      </c>
      <c r="P32" s="14" t="e">
        <f t="shared" si="26"/>
        <v>#DIV/0!</v>
      </c>
      <c r="Q32" s="14">
        <f t="shared" si="6"/>
        <v>3.816285777679166E-2</v>
      </c>
      <c r="R32" s="14">
        <f t="shared" si="6"/>
        <v>4.2869641294838147E-2</v>
      </c>
      <c r="S32" s="14">
        <f t="shared" si="6"/>
        <v>1</v>
      </c>
      <c r="T32" s="14" t="e">
        <f t="shared" si="6"/>
        <v>#DIV/0!</v>
      </c>
      <c r="U32" s="14">
        <f t="shared" si="6"/>
        <v>0.30554791150693383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 t="e">
        <f t="shared" si="27"/>
        <v>#DIV/0!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41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1" si="29">M22-B22</f>
        <v>-1.3937407407960123E-5</v>
      </c>
      <c r="N39" s="13">
        <f t="shared" si="29"/>
        <v>-6.6718198713203919E-2</v>
      </c>
      <c r="O39" s="13">
        <f t="shared" si="29"/>
        <v>-7.360194303145795E-2</v>
      </c>
      <c r="P39" s="13" t="e">
        <f t="shared" si="29"/>
        <v>#DIV/0!</v>
      </c>
      <c r="Q39" s="13">
        <f t="shared" ref="Q39:Q50" si="30">Q22-F22</f>
        <v>1.761454241166947E-2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8.868607343585494E-2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t="shared" si="29"/>
        <v>0</v>
      </c>
      <c r="N40" s="13">
        <f t="shared" si="29"/>
        <v>7.6571859971134026E-2</v>
      </c>
      <c r="O40" s="13">
        <f t="shared" si="29"/>
        <v>0.13359559687870565</v>
      </c>
      <c r="P40" s="13" t="e">
        <f t="shared" si="29"/>
        <v>#DIV/0!</v>
      </c>
      <c r="Q40" s="13">
        <f t="shared" si="30"/>
        <v>0.13756378966052807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4.3040917596012987E-2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t="shared" si="29"/>
        <v>0</v>
      </c>
      <c r="N41" s="13">
        <f t="shared" si="29"/>
        <v>0</v>
      </c>
      <c r="O41" s="13">
        <f t="shared" si="29"/>
        <v>-6.5324505091112983E-2</v>
      </c>
      <c r="P41" s="13" t="e">
        <f t="shared" si="29"/>
        <v>#DIV/0!</v>
      </c>
      <c r="Q41" s="13">
        <f t="shared" si="30"/>
        <v>-7.6020250429606362E-2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2.4886869177917978E-3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ref="M42:P42" si="35">M25-B25</f>
        <v>0</v>
      </c>
      <c r="N42" s="13">
        <f t="shared" si="35"/>
        <v>0</v>
      </c>
      <c r="O42" s="13">
        <f t="shared" si="35"/>
        <v>0</v>
      </c>
      <c r="P42" s="13" t="e">
        <f t="shared" si="35"/>
        <v>#DIV/0!</v>
      </c>
      <c r="Q42" s="13">
        <f t="shared" si="30"/>
        <v>0.16326382927195904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-9.1110975255675967E-3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ref="M43:P43" si="36">M26-B26</f>
        <v>0</v>
      </c>
      <c r="N43" s="13">
        <f t="shared" si="36"/>
        <v>0</v>
      </c>
      <c r="O43" s="13">
        <f t="shared" si="36"/>
        <v>0</v>
      </c>
      <c r="P43" s="13" t="e">
        <f t="shared" si="36"/>
        <v>#DIV/0!</v>
      </c>
      <c r="Q43" s="13">
        <f t="shared" si="30"/>
        <v>-2.1312530308215213E-2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-5.9304988455790891E-4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ref="M44:P44" si="37">M27-B27</f>
        <v>0</v>
      </c>
      <c r="N44" s="13">
        <f t="shared" si="37"/>
        <v>0</v>
      </c>
      <c r="O44" s="13">
        <f t="shared" si="37"/>
        <v>0</v>
      </c>
      <c r="P44" s="13" t="e">
        <f t="shared" si="37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8">M28-B28</f>
        <v>0</v>
      </c>
      <c r="N45" s="13">
        <f t="shared" ref="N45:N47" si="39">N28-C28</f>
        <v>0</v>
      </c>
      <c r="O45" s="13">
        <f t="shared" ref="O45:O47" si="40">O28-D28</f>
        <v>0</v>
      </c>
      <c r="P45" s="13" t="e">
        <f t="shared" ref="P45:P47" si="41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8"/>
        <v>0</v>
      </c>
      <c r="N46" s="13">
        <f t="shared" si="39"/>
        <v>0</v>
      </c>
      <c r="O46" s="13">
        <f t="shared" si="40"/>
        <v>0</v>
      </c>
      <c r="P46" s="13" t="e">
        <f t="shared" si="41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8"/>
        <v>0</v>
      </c>
      <c r="N47" s="13">
        <f t="shared" si="39"/>
        <v>0</v>
      </c>
      <c r="O47" s="13">
        <f t="shared" si="40"/>
        <v>0</v>
      </c>
      <c r="P47" s="13" t="e">
        <f t="shared" si="41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-4.9001099139623396E-3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48" si="42">M31-B31</f>
        <v>6.5031662290577726E-4</v>
      </c>
      <c r="N48" s="13">
        <f t="shared" si="42"/>
        <v>8.6159760078206556E-4</v>
      </c>
      <c r="O48" s="13">
        <f t="shared" si="42"/>
        <v>5.5000846166864108E-4</v>
      </c>
      <c r="P48" s="13" t="e">
        <f t="shared" si="42"/>
        <v>#DIV/0!</v>
      </c>
      <c r="Q48" s="13">
        <f t="shared" si="30"/>
        <v>2.8844020412691369E-3</v>
      </c>
      <c r="R48" s="13">
        <f t="shared" si="31"/>
        <v>-4.2869641294838168E-2</v>
      </c>
      <c r="S48" s="13">
        <f t="shared" si="32"/>
        <v>0</v>
      </c>
      <c r="T48" s="13" t="e">
        <f t="shared" si="33"/>
        <v>#DIV/0!</v>
      </c>
      <c r="U48" s="13">
        <f t="shared" si="34"/>
        <v>3.0700944475014905E-4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ref="M49:P49" si="43">M32-B32</f>
        <v>-6.3637921549785682E-4</v>
      </c>
      <c r="N49" s="17">
        <f t="shared" si="43"/>
        <v>-1.071525885871215E-2</v>
      </c>
      <c r="O49" s="17">
        <f t="shared" si="43"/>
        <v>4.780842782196649E-3</v>
      </c>
      <c r="P49" s="17" t="e">
        <f t="shared" si="43"/>
        <v>#DIV/0!</v>
      </c>
      <c r="Q49" s="17">
        <f t="shared" si="30"/>
        <v>-0.22399378264760403</v>
      </c>
      <c r="R49" s="17">
        <f t="shared" si="31"/>
        <v>4.2869641294838147E-2</v>
      </c>
      <c r="S49" s="17">
        <f t="shared" si="32"/>
        <v>0</v>
      </c>
      <c r="T49" s="17" t="e">
        <f t="shared" si="33"/>
        <v>#DIV/0!</v>
      </c>
      <c r="U49" s="13">
        <f t="shared" si="34"/>
        <v>-0.11991843007032205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ref="M50:P50" si="44">M33-B33</f>
        <v>0</v>
      </c>
      <c r="N50" s="15">
        <f t="shared" si="44"/>
        <v>0</v>
      </c>
      <c r="O50" s="15">
        <f t="shared" si="44"/>
        <v>0</v>
      </c>
      <c r="P50" s="15" t="e">
        <f t="shared" si="44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F50"/>
  <sheetViews>
    <sheetView workbookViewId="0"/>
  </sheetViews>
  <sheetFormatPr defaultRowHeight="15" x14ac:dyDescent="0.25"/>
  <cols>
    <col min="1" max="1" width="25" customWidth="1" collapsed="1"/>
    <col min="2" max="10" width="10.7109375" customWidth="1" collapsed="1"/>
    <col min="11" max="11" width="3.7109375" customWidth="1" collapsed="1"/>
    <col min="12" max="12" width="25" customWidth="1" collapsed="1"/>
    <col min="13" max="22" width="10.7109375" customWidth="1" collapsed="1"/>
    <col min="23" max="23" width="17" customWidth="1" collapsed="1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6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6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v>2845985.377555999</v>
      </c>
      <c r="C5" s="6">
        <v>377403.39266122889</v>
      </c>
      <c r="D5" s="6">
        <v>186826.02931685621</v>
      </c>
      <c r="E5" s="6">
        <v>91849.727162148003</v>
      </c>
      <c r="F5" s="6">
        <v>14069.841111945199</v>
      </c>
      <c r="G5" s="6">
        <v>0</v>
      </c>
      <c r="H5" s="6">
        <v>0</v>
      </c>
      <c r="I5" s="6">
        <v>1404.502706476</v>
      </c>
      <c r="J5" s="6">
        <f>SUM(B5:I5)</f>
        <v>3517538.8705146527</v>
      </c>
      <c r="K5" s="6"/>
      <c r="L5" t="s">
        <v>1</v>
      </c>
      <c r="M5" s="6">
        <v>3628818</v>
      </c>
      <c r="N5" s="6">
        <v>505487</v>
      </c>
      <c r="O5" s="6">
        <v>193718</v>
      </c>
      <c r="P5" s="6">
        <v>145230</v>
      </c>
      <c r="Q5" s="6">
        <v>21336</v>
      </c>
      <c r="R5" s="6">
        <v>0</v>
      </c>
      <c r="S5" s="6">
        <v>0</v>
      </c>
      <c r="T5" s="6">
        <v>0</v>
      </c>
      <c r="U5" s="6">
        <f t="shared" ref="U5:U15" si="0">SUM(M5:T5)</f>
        <v>4494589</v>
      </c>
    </row>
    <row r="6" spans="1:21" x14ac:dyDescent="0.25">
      <c r="A6" t="s">
        <v>12</v>
      </c>
      <c r="B6" s="6">
        <v>0</v>
      </c>
      <c r="C6" s="6">
        <v>451123.81745588349</v>
      </c>
      <c r="D6" s="6">
        <v>86027.179725678099</v>
      </c>
      <c r="E6" s="6">
        <v>4704.1750873481997</v>
      </c>
      <c r="F6" s="6">
        <v>48257.426483835698</v>
      </c>
      <c r="G6" s="6">
        <v>0</v>
      </c>
      <c r="H6" s="6">
        <v>0</v>
      </c>
      <c r="I6" s="6">
        <v>0</v>
      </c>
      <c r="J6" s="6">
        <f t="shared" ref="J6:J15" si="1">SUM(B6:I6)</f>
        <v>590112.59875274543</v>
      </c>
      <c r="K6" s="6"/>
      <c r="L6" t="s">
        <v>12</v>
      </c>
      <c r="M6" s="6">
        <v>0</v>
      </c>
      <c r="N6" s="6">
        <v>613053</v>
      </c>
      <c r="O6" s="6">
        <v>100872</v>
      </c>
      <c r="P6" s="6">
        <v>8549</v>
      </c>
      <c r="Q6" s="6">
        <v>31755</v>
      </c>
      <c r="R6" s="6">
        <v>0</v>
      </c>
      <c r="S6" s="6">
        <v>0</v>
      </c>
      <c r="T6" s="6">
        <v>0</v>
      </c>
      <c r="U6" s="6">
        <f t="shared" si="0"/>
        <v>754229</v>
      </c>
    </row>
    <row r="7" spans="1:21" x14ac:dyDescent="0.25">
      <c r="A7" t="s">
        <v>56</v>
      </c>
      <c r="B7" s="6">
        <v>0</v>
      </c>
      <c r="C7" s="6">
        <v>0</v>
      </c>
      <c r="D7" s="6">
        <v>207253.55228496829</v>
      </c>
      <c r="E7" s="6">
        <v>3815.516210835</v>
      </c>
      <c r="F7" s="6">
        <v>10656.775478481301</v>
      </c>
      <c r="G7" s="6">
        <v>0</v>
      </c>
      <c r="H7" s="6">
        <v>0</v>
      </c>
      <c r="I7" s="6">
        <v>0</v>
      </c>
      <c r="J7" s="6">
        <f t="shared" si="1"/>
        <v>221725.84397428459</v>
      </c>
      <c r="K7" s="6"/>
      <c r="L7" t="s">
        <v>56</v>
      </c>
      <c r="M7" s="6">
        <v>0</v>
      </c>
      <c r="N7" s="6">
        <v>0</v>
      </c>
      <c r="O7" s="6">
        <v>345935</v>
      </c>
      <c r="P7" s="6">
        <v>145</v>
      </c>
      <c r="Q7" s="6">
        <v>14076</v>
      </c>
      <c r="R7" s="6">
        <v>0</v>
      </c>
      <c r="S7" s="6">
        <v>0</v>
      </c>
      <c r="T7" s="6">
        <v>0</v>
      </c>
      <c r="U7" s="6">
        <f t="shared" si="0"/>
        <v>360156</v>
      </c>
    </row>
    <row r="8" spans="1:21" x14ac:dyDescent="0.25">
      <c r="A8" t="s">
        <v>51</v>
      </c>
      <c r="B8" s="6">
        <v>0</v>
      </c>
      <c r="C8" s="6">
        <v>0</v>
      </c>
      <c r="D8" s="6">
        <v>0</v>
      </c>
      <c r="E8" s="6">
        <v>91643.036560731707</v>
      </c>
      <c r="F8" s="6">
        <v>376735.19266770489</v>
      </c>
      <c r="G8" s="6">
        <v>0</v>
      </c>
      <c r="H8" s="6">
        <v>0</v>
      </c>
      <c r="I8" s="6">
        <v>0</v>
      </c>
      <c r="J8" s="6">
        <f t="shared" si="1"/>
        <v>468378.2292284366</v>
      </c>
      <c r="K8" s="6"/>
      <c r="L8" t="s">
        <v>51</v>
      </c>
      <c r="M8" s="6">
        <v>0</v>
      </c>
      <c r="N8" s="6">
        <v>0</v>
      </c>
      <c r="O8" s="6">
        <v>0</v>
      </c>
      <c r="P8" s="6">
        <v>114784</v>
      </c>
      <c r="Q8" s="6">
        <v>262549</v>
      </c>
      <c r="R8" s="6">
        <v>0</v>
      </c>
      <c r="S8" s="6">
        <v>0</v>
      </c>
      <c r="T8" s="6">
        <v>0</v>
      </c>
      <c r="U8" s="6">
        <f t="shared" si="0"/>
        <v>377333</v>
      </c>
    </row>
    <row r="9" spans="1:21" x14ac:dyDescent="0.25">
      <c r="A9" t="s">
        <v>52</v>
      </c>
      <c r="B9" s="6">
        <v>0</v>
      </c>
      <c r="C9" s="6">
        <v>0</v>
      </c>
      <c r="D9" s="6">
        <v>0</v>
      </c>
      <c r="E9" s="6">
        <v>0</v>
      </c>
      <c r="F9" s="6">
        <v>2053.6406139154001</v>
      </c>
      <c r="G9" s="6">
        <v>0</v>
      </c>
      <c r="H9" s="6">
        <v>0</v>
      </c>
      <c r="I9" s="6">
        <v>0</v>
      </c>
      <c r="J9" s="6">
        <f t="shared" si="1"/>
        <v>2053.6406139154001</v>
      </c>
      <c r="K9" s="6"/>
      <c r="L9" t="s">
        <v>52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f t="shared" si="0"/>
        <v>0</v>
      </c>
    </row>
    <row r="10" spans="1:21" x14ac:dyDescent="0.25">
      <c r="A10" t="s">
        <v>53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1"/>
        <v>0</v>
      </c>
      <c r="K10" s="6"/>
      <c r="L10" t="s">
        <v>53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f t="shared" si="0"/>
        <v>0</v>
      </c>
    </row>
    <row r="11" spans="1:21" x14ac:dyDescent="0.25">
      <c r="A11" t="s">
        <v>54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f t="shared" si="1"/>
        <v>0</v>
      </c>
      <c r="K11" s="6"/>
      <c r="L11" t="s">
        <v>54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f t="shared" si="0"/>
        <v>0</v>
      </c>
    </row>
    <row r="12" spans="1:21" x14ac:dyDescent="0.25">
      <c r="A12" t="s">
        <v>55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f t="shared" si="1"/>
        <v>0</v>
      </c>
      <c r="K12" s="6"/>
      <c r="L12" t="s">
        <v>55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f t="shared" si="0"/>
        <v>0</v>
      </c>
    </row>
    <row r="13" spans="1:21" x14ac:dyDescent="0.25">
      <c r="A13" t="s">
        <v>24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3710.067183186</v>
      </c>
      <c r="J13" s="6">
        <f t="shared" si="1"/>
        <v>3710.067183186</v>
      </c>
      <c r="K13" s="6"/>
      <c r="L13" t="s">
        <v>24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f t="shared" si="0"/>
        <v>0</v>
      </c>
    </row>
    <row r="14" spans="1:21" x14ac:dyDescent="0.25">
      <c r="A14" t="s">
        <v>4</v>
      </c>
      <c r="B14" s="6">
        <v>377.85283985900003</v>
      </c>
      <c r="C14" s="6">
        <v>4567.8014431551001</v>
      </c>
      <c r="D14" s="6">
        <v>337.72464772500001</v>
      </c>
      <c r="E14" s="6">
        <v>243.46345759299999</v>
      </c>
      <c r="F14" s="6">
        <v>5584.6387331914002</v>
      </c>
      <c r="G14" s="6">
        <v>95044.755435258194</v>
      </c>
      <c r="H14" s="6">
        <v>0</v>
      </c>
      <c r="I14" s="6">
        <v>0</v>
      </c>
      <c r="J14" s="6">
        <f t="shared" si="1"/>
        <v>106156.23655678169</v>
      </c>
      <c r="K14" s="6"/>
      <c r="L14" t="s">
        <v>4</v>
      </c>
      <c r="M14" s="6">
        <v>2326</v>
      </c>
      <c r="N14" s="6">
        <v>2831</v>
      </c>
      <c r="O14" s="6">
        <v>1769</v>
      </c>
      <c r="P14" s="6">
        <v>0</v>
      </c>
      <c r="Q14" s="6">
        <v>3507</v>
      </c>
      <c r="R14" s="6">
        <v>74923</v>
      </c>
      <c r="S14" s="6">
        <v>0</v>
      </c>
      <c r="T14" s="6">
        <v>0</v>
      </c>
      <c r="U14" s="6">
        <f t="shared" si="0"/>
        <v>85356</v>
      </c>
    </row>
    <row r="15" spans="1:21" x14ac:dyDescent="0.25">
      <c r="A15" s="4" t="s">
        <v>5</v>
      </c>
      <c r="B15" s="10">
        <v>45690.289298823904</v>
      </c>
      <c r="C15" s="10">
        <v>14140.259574612601</v>
      </c>
      <c r="D15" s="10">
        <v>13080.986892155801</v>
      </c>
      <c r="E15" s="10">
        <v>12213.749578651399</v>
      </c>
      <c r="F15" s="10">
        <v>106914.1949820079</v>
      </c>
      <c r="G15" s="10">
        <v>7699.8421964706004</v>
      </c>
      <c r="H15" s="10">
        <v>96621.9896857204</v>
      </c>
      <c r="I15" s="10">
        <v>0</v>
      </c>
      <c r="J15" s="6">
        <f t="shared" si="1"/>
        <v>296361.3122084426</v>
      </c>
      <c r="K15" s="6"/>
      <c r="L15" s="4" t="s">
        <v>5</v>
      </c>
      <c r="M15" s="8">
        <v>270346</v>
      </c>
      <c r="N15" s="8">
        <v>147882</v>
      </c>
      <c r="O15" s="8">
        <v>83777</v>
      </c>
      <c r="P15" s="8">
        <v>0</v>
      </c>
      <c r="Q15" s="8">
        <v>96869</v>
      </c>
      <c r="R15" s="8">
        <v>26866</v>
      </c>
      <c r="S15" s="8">
        <v>53076</v>
      </c>
      <c r="T15" s="8">
        <v>0</v>
      </c>
      <c r="U15" s="6">
        <f t="shared" si="0"/>
        <v>678816</v>
      </c>
    </row>
    <row r="16" spans="1:21" ht="15.75" thickBot="1" x14ac:dyDescent="0.3">
      <c r="A16" s="12" t="s">
        <v>7</v>
      </c>
      <c r="B16" s="16">
        <f t="shared" ref="B16:J16" si="2">SUM(B5:B15)</f>
        <v>2892053.5196946822</v>
      </c>
      <c r="C16" s="16">
        <f t="shared" si="2"/>
        <v>847235.27113488014</v>
      </c>
      <c r="D16" s="16">
        <f t="shared" si="2"/>
        <v>493525.47286738333</v>
      </c>
      <c r="E16" s="16">
        <f t="shared" si="2"/>
        <v>204469.66805730731</v>
      </c>
      <c r="F16" s="16">
        <f t="shared" si="2"/>
        <v>564271.71007108176</v>
      </c>
      <c r="G16" s="16">
        <f t="shared" si="2"/>
        <v>102744.5976317288</v>
      </c>
      <c r="H16" s="16">
        <f t="shared" si="2"/>
        <v>96621.9896857204</v>
      </c>
      <c r="I16" s="16">
        <f t="shared" si="2"/>
        <v>5114.5698896619997</v>
      </c>
      <c r="J16" s="16">
        <f t="shared" si="2"/>
        <v>5206036.799032446</v>
      </c>
      <c r="L16" s="9" t="s">
        <v>7</v>
      </c>
      <c r="M16" s="16">
        <f t="shared" ref="M16:U16" si="3">SUM(M5:M15)</f>
        <v>3901490</v>
      </c>
      <c r="N16" s="16">
        <f t="shared" si="3"/>
        <v>1269253</v>
      </c>
      <c r="O16" s="16">
        <f t="shared" si="3"/>
        <v>726071</v>
      </c>
      <c r="P16" s="16">
        <f t="shared" si="3"/>
        <v>268708</v>
      </c>
      <c r="Q16" s="16">
        <f t="shared" si="3"/>
        <v>430092</v>
      </c>
      <c r="R16" s="16">
        <f t="shared" si="3"/>
        <v>101789</v>
      </c>
      <c r="S16" s="16">
        <f t="shared" si="3"/>
        <v>53076</v>
      </c>
      <c r="T16" s="16">
        <f t="shared" si="3"/>
        <v>0</v>
      </c>
      <c r="U16" s="16">
        <f t="shared" si="3"/>
        <v>6750479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6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6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0.98407078505810408</v>
      </c>
      <c r="C22" s="13">
        <f t="shared" si="4"/>
        <v>0.44545288129434607</v>
      </c>
      <c r="D22" s="13">
        <f t="shared" si="4"/>
        <v>0.37855397459303741</v>
      </c>
      <c r="E22" s="13">
        <f t="shared" si="4"/>
        <v>0.4492095479726852</v>
      </c>
      <c r="F22" s="13">
        <f t="shared" si="4"/>
        <v>2.4934514456116913E-2</v>
      </c>
      <c r="G22" s="13">
        <f t="shared" si="4"/>
        <v>0</v>
      </c>
      <c r="H22" s="13">
        <f t="shared" si="4"/>
        <v>0</v>
      </c>
      <c r="I22" s="13">
        <f t="shared" si="4"/>
        <v>0.27460817561900941</v>
      </c>
      <c r="J22" s="13">
        <f t="shared" si="4"/>
        <v>0.6756653873765156</v>
      </c>
      <c r="K22" s="6"/>
      <c r="L22" t="s">
        <v>1</v>
      </c>
      <c r="M22" s="13">
        <f t="shared" ref="M22:P22" si="5">M5/M$16</f>
        <v>0.93011080382110423</v>
      </c>
      <c r="N22" s="13">
        <f t="shared" si="5"/>
        <v>0.39825550934289694</v>
      </c>
      <c r="O22" s="13">
        <f t="shared" si="5"/>
        <v>0.26680310878688174</v>
      </c>
      <c r="P22" s="13">
        <f t="shared" si="5"/>
        <v>0.54047516263006679</v>
      </c>
      <c r="Q22" s="13">
        <f t="shared" ref="Q22:U33" si="6">Q5/Q$16</f>
        <v>4.9607990848469632E-2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0.66581778863396213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0.53246581301035611</v>
      </c>
      <c r="D23" s="13">
        <f t="shared" si="7"/>
        <v>0.17431152889811366</v>
      </c>
      <c r="E23" s="13">
        <f t="shared" si="7"/>
        <v>2.3006713572938098E-2</v>
      </c>
      <c r="F23" s="13">
        <f t="shared" si="7"/>
        <v>8.5521612412142137E-2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0.11335159960114366</v>
      </c>
      <c r="K23" s="6"/>
      <c r="L23" t="s">
        <v>12</v>
      </c>
      <c r="M23" s="13">
        <f t="shared" ref="M23:P23" si="8">M6/M$16</f>
        <v>0</v>
      </c>
      <c r="N23" s="13">
        <f t="shared" si="8"/>
        <v>0.48300299467482055</v>
      </c>
      <c r="O23" s="13">
        <f t="shared" si="8"/>
        <v>0.13892856208277152</v>
      </c>
      <c r="P23" s="13">
        <f t="shared" si="8"/>
        <v>3.1815204608720248E-2</v>
      </c>
      <c r="Q23" s="13">
        <f t="shared" si="6"/>
        <v>7.3833040372757452E-2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0.11172970095899862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0.4199449950998983</v>
      </c>
      <c r="E24" s="13">
        <f t="shared" si="9"/>
        <v>1.8660548760540924E-2</v>
      </c>
      <c r="F24" s="13">
        <f t="shared" si="9"/>
        <v>1.8885893601043473E-2</v>
      </c>
      <c r="G24" s="13">
        <f t="shared" si="9"/>
        <v>0</v>
      </c>
      <c r="H24" s="13">
        <f t="shared" si="9"/>
        <v>0</v>
      </c>
      <c r="I24" s="13">
        <f t="shared" si="9"/>
        <v>0</v>
      </c>
      <c r="J24" s="13">
        <f t="shared" si="9"/>
        <v>4.2590141509467022E-2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0.47644789559147799</v>
      </c>
      <c r="P24" s="13">
        <f t="shared" si="10"/>
        <v>5.3961921490986494E-4</v>
      </c>
      <c r="Q24" s="13">
        <f t="shared" si="6"/>
        <v>3.2727881476521302E-2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5.3352658381723726E-2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0.44819868605179447</v>
      </c>
      <c r="F25" s="13">
        <f t="shared" si="11"/>
        <v>0.66764855643790344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8.9968290142606322E-2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>
        <f t="shared" si="12"/>
        <v>0.42717001354630307</v>
      </c>
      <c r="Q25" s="13">
        <f t="shared" si="6"/>
        <v>0.61044846218948501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5.5897218552935279E-2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3.6394534357511938E-3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3.9447293463178629E-4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>
        <f t="shared" si="14"/>
        <v>0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>
        <f t="shared" si="16"/>
        <v>0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>
        <f t="shared" si="18"/>
        <v>0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>
        <f t="shared" si="20"/>
        <v>0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0.72539182438099059</v>
      </c>
      <c r="J30" s="13">
        <f t="shared" si="21"/>
        <v>7.1264712993875199E-4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>
        <f t="shared" si="22"/>
        <v>0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1.3065209107848406E-4</v>
      </c>
      <c r="C31" s="13">
        <f t="shared" si="23"/>
        <v>5.3914203041104322E-3</v>
      </c>
      <c r="D31" s="13">
        <f t="shared" si="23"/>
        <v>6.8431046884534572E-4</v>
      </c>
      <c r="E31" s="13">
        <f t="shared" si="23"/>
        <v>1.1907069635617728E-3</v>
      </c>
      <c r="F31" s="13">
        <f t="shared" si="23"/>
        <v>9.8970737563431957E-3</v>
      </c>
      <c r="G31" s="13">
        <f t="shared" si="23"/>
        <v>0.92505842278861772</v>
      </c>
      <c r="H31" s="13">
        <f t="shared" si="23"/>
        <v>0</v>
      </c>
      <c r="I31" s="13">
        <f t="shared" si="23"/>
        <v>0</v>
      </c>
      <c r="J31" s="13">
        <f t="shared" si="23"/>
        <v>2.0390988510974619E-2</v>
      </c>
      <c r="K31" s="6"/>
      <c r="L31" t="s">
        <v>4</v>
      </c>
      <c r="M31" s="13">
        <f t="shared" ref="M31:P31" si="24">M14/M$16</f>
        <v>5.9618248412785879E-4</v>
      </c>
      <c r="N31" s="13">
        <f t="shared" si="24"/>
        <v>2.2304457818890324E-3</v>
      </c>
      <c r="O31" s="13">
        <f t="shared" si="24"/>
        <v>2.4364008478509678E-3</v>
      </c>
      <c r="P31" s="13">
        <f t="shared" si="24"/>
        <v>0</v>
      </c>
      <c r="Q31" s="13">
        <f t="shared" si="6"/>
        <v>8.154069361903965E-3</v>
      </c>
      <c r="R31" s="13">
        <f t="shared" si="6"/>
        <v>0.73606185344192399</v>
      </c>
      <c r="S31" s="13">
        <f t="shared" si="6"/>
        <v>0</v>
      </c>
      <c r="T31" s="13" t="e">
        <f t="shared" si="6"/>
        <v>#DIV/0!</v>
      </c>
      <c r="U31" s="13">
        <f t="shared" si="6"/>
        <v>1.2644436046686464E-2</v>
      </c>
    </row>
    <row r="32" spans="1:21" x14ac:dyDescent="0.25">
      <c r="A32" s="4" t="s">
        <v>5</v>
      </c>
      <c r="B32" s="14">
        <f t="shared" ref="B32:J32" si="25">B15/B$16</f>
        <v>1.5798562850817328E-2</v>
      </c>
      <c r="C32" s="14">
        <f t="shared" si="25"/>
        <v>1.6689885391187244E-2</v>
      </c>
      <c r="D32" s="14">
        <f t="shared" si="25"/>
        <v>2.6505190940105398E-2</v>
      </c>
      <c r="E32" s="14">
        <f t="shared" si="25"/>
        <v>5.9733796678479549E-2</v>
      </c>
      <c r="F32" s="14">
        <f t="shared" si="25"/>
        <v>0.18947289590069974</v>
      </c>
      <c r="G32" s="14">
        <f t="shared" si="25"/>
        <v>7.4941577211382199E-2</v>
      </c>
      <c r="H32" s="14">
        <f t="shared" si="25"/>
        <v>1</v>
      </c>
      <c r="I32" s="14">
        <f t="shared" si="25"/>
        <v>0</v>
      </c>
      <c r="J32" s="14">
        <f t="shared" si="25"/>
        <v>5.6926472794722086E-2</v>
      </c>
      <c r="K32" s="6"/>
      <c r="L32" s="4" t="s">
        <v>5</v>
      </c>
      <c r="M32" s="14">
        <f t="shared" ref="M32:P32" si="26">M15/M$16</f>
        <v>6.9293013694767897E-2</v>
      </c>
      <c r="N32" s="14">
        <f t="shared" si="26"/>
        <v>0.11651105020039346</v>
      </c>
      <c r="O32" s="14">
        <f t="shared" si="26"/>
        <v>0.11538403269101782</v>
      </c>
      <c r="P32" s="14">
        <f t="shared" si="26"/>
        <v>0</v>
      </c>
      <c r="Q32" s="14">
        <f t="shared" si="6"/>
        <v>0.22522855575086262</v>
      </c>
      <c r="R32" s="14">
        <f t="shared" si="6"/>
        <v>0.26393814655807601</v>
      </c>
      <c r="S32" s="14">
        <f t="shared" si="6"/>
        <v>1</v>
      </c>
      <c r="T32" s="14" t="e">
        <f t="shared" si="6"/>
        <v>#DIV/0!</v>
      </c>
      <c r="U32" s="14">
        <f t="shared" si="6"/>
        <v>0.10055819742569379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>
        <f t="shared" si="28"/>
        <v>1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6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-5.3959981236999854E-2</v>
      </c>
      <c r="N39" s="13">
        <f t="shared" si="29"/>
        <v>-4.719737195144913E-2</v>
      </c>
      <c r="O39" s="13">
        <f t="shared" si="29"/>
        <v>-0.11175086580615567</v>
      </c>
      <c r="P39" s="13">
        <f t="shared" si="29"/>
        <v>9.1265614657381589E-2</v>
      </c>
      <c r="Q39" s="13">
        <f t="shared" ref="Q39:Q50" si="30">Q22-F22</f>
        <v>2.4673476392352719E-2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-9.8475987425534761E-3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t="shared" si="29"/>
        <v>0</v>
      </c>
      <c r="N40" s="13">
        <f t="shared" si="29"/>
        <v>-4.9462818335535563E-2</v>
      </c>
      <c r="O40" s="13">
        <f t="shared" si="29"/>
        <v>-3.5382966815342143E-2</v>
      </c>
      <c r="P40" s="13">
        <f t="shared" si="29"/>
        <v>8.8084910357821497E-3</v>
      </c>
      <c r="Q40" s="13">
        <f t="shared" si="30"/>
        <v>-1.1688572039384684E-2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-1.6218986421450421E-3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t="shared" si="29"/>
        <v>0</v>
      </c>
      <c r="N41" s="13">
        <f t="shared" si="29"/>
        <v>0</v>
      </c>
      <c r="O41" s="13">
        <f t="shared" si="29"/>
        <v>5.6502900491579688E-2</v>
      </c>
      <c r="P41" s="13">
        <f t="shared" si="29"/>
        <v>-1.8120929545631059E-2</v>
      </c>
      <c r="Q41" s="13">
        <f t="shared" si="30"/>
        <v>1.3841987875477829E-2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1.0762516872256704E-2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>
        <f t="shared" si="29"/>
        <v>-2.1028672505491397E-2</v>
      </c>
      <c r="Q42" s="13">
        <f t="shared" si="30"/>
        <v>-5.7200094248418432E-2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-3.4071071589671043E-2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>
        <f t="shared" si="29"/>
        <v>0</v>
      </c>
      <c r="Q43" s="13">
        <f t="shared" si="30"/>
        <v>-3.6394534357511938E-3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-3.9447293463178629E-4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>
        <f t="shared" si="29"/>
        <v>0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>
        <f t="shared" ref="P45:P47" si="38">P28-E28</f>
        <v>0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>
        <f t="shared" si="38"/>
        <v>0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>
        <f t="shared" si="38"/>
        <v>0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-7.1264712993875199E-4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4.6553039304937475E-4</v>
      </c>
      <c r="N48" s="13">
        <f t="shared" si="39"/>
        <v>-3.1609745222213998E-3</v>
      </c>
      <c r="O48" s="13">
        <f t="shared" si="39"/>
        <v>1.752090379005622E-3</v>
      </c>
      <c r="P48" s="13">
        <f t="shared" si="39"/>
        <v>-1.1907069635617728E-3</v>
      </c>
      <c r="Q48" s="13">
        <f t="shared" si="30"/>
        <v>-1.7430043944392307E-3</v>
      </c>
      <c r="R48" s="13">
        <f t="shared" si="31"/>
        <v>-0.18899656934669373</v>
      </c>
      <c r="S48" s="13">
        <f t="shared" si="32"/>
        <v>0</v>
      </c>
      <c r="T48" s="13" t="e">
        <f t="shared" si="33"/>
        <v>#DIV/0!</v>
      </c>
      <c r="U48" s="13">
        <f t="shared" si="34"/>
        <v>-7.7465524642881551E-3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5.3494450843950568E-2</v>
      </c>
      <c r="N49" s="17">
        <f t="shared" si="39"/>
        <v>9.982116480920622E-2</v>
      </c>
      <c r="O49" s="17">
        <f t="shared" si="39"/>
        <v>8.887884175091243E-2</v>
      </c>
      <c r="P49" s="17">
        <f t="shared" si="39"/>
        <v>-5.9733796678479549E-2</v>
      </c>
      <c r="Q49" s="17">
        <f t="shared" si="30"/>
        <v>3.575565985016288E-2</v>
      </c>
      <c r="R49" s="17">
        <f t="shared" si="31"/>
        <v>0.18899656934669382</v>
      </c>
      <c r="S49" s="17">
        <f t="shared" si="32"/>
        <v>0</v>
      </c>
      <c r="T49" s="17" t="e">
        <f t="shared" si="33"/>
        <v>#DIV/0!</v>
      </c>
      <c r="U49" s="13">
        <f t="shared" si="34"/>
        <v>4.3631724630971702E-2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>
        <f t="shared" si="39"/>
        <v>0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F50"/>
  <sheetViews>
    <sheetView workbookViewId="0"/>
  </sheetViews>
  <sheetFormatPr defaultRowHeight="15" x14ac:dyDescent="0.25"/>
  <cols>
    <col min="1" max="1" width="25" customWidth="1" collapsed="1"/>
    <col min="2" max="10" width="10.7109375" customWidth="1" collapsed="1"/>
    <col min="11" max="11" width="3.7109375" customWidth="1" collapsed="1"/>
    <col min="12" max="12" width="25" customWidth="1" collapsed="1"/>
    <col min="13" max="22" width="10.7109375" customWidth="1" collapsed="1"/>
    <col min="23" max="23" width="17" customWidth="1" collapsed="1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42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42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v>222521.97658634812</v>
      </c>
      <c r="C5" s="6">
        <v>26014.623946637501</v>
      </c>
      <c r="D5" s="6">
        <v>7727.9109044420002</v>
      </c>
      <c r="E5" s="6">
        <v>14329.393111251</v>
      </c>
      <c r="F5" s="6">
        <v>532.92262500000004</v>
      </c>
      <c r="G5" s="6">
        <v>0</v>
      </c>
      <c r="H5" s="6">
        <v>0</v>
      </c>
      <c r="I5" s="6">
        <v>281.81762500000002</v>
      </c>
      <c r="J5" s="6">
        <f>SUM(B5:I5)</f>
        <v>271408.64479867864</v>
      </c>
      <c r="K5" s="6"/>
      <c r="L5" t="s">
        <v>1</v>
      </c>
      <c r="M5" s="6">
        <v>193043</v>
      </c>
      <c r="N5" s="6">
        <v>13312</v>
      </c>
      <c r="O5" s="6">
        <v>10945</v>
      </c>
      <c r="P5" s="6">
        <v>0</v>
      </c>
      <c r="Q5" s="6">
        <v>3157</v>
      </c>
      <c r="R5" s="6">
        <v>0</v>
      </c>
      <c r="S5" s="6">
        <v>0</v>
      </c>
      <c r="T5" s="6">
        <v>1186</v>
      </c>
      <c r="U5" s="6">
        <f t="shared" ref="U5:U15" si="0">SUM(M5:T5)</f>
        <v>221643</v>
      </c>
    </row>
    <row r="6" spans="1:21" x14ac:dyDescent="0.25">
      <c r="A6" t="s">
        <v>12</v>
      </c>
      <c r="B6" s="6">
        <v>0</v>
      </c>
      <c r="C6" s="6">
        <v>290332.44550157269</v>
      </c>
      <c r="D6" s="6">
        <v>120633.021810761</v>
      </c>
      <c r="E6" s="6">
        <v>230.48097940399998</v>
      </c>
      <c r="F6" s="6">
        <v>9840.1809882788002</v>
      </c>
      <c r="G6" s="6">
        <v>0</v>
      </c>
      <c r="H6" s="6">
        <v>0</v>
      </c>
      <c r="I6" s="6">
        <v>44390.738604024002</v>
      </c>
      <c r="J6" s="6">
        <f t="shared" ref="J6:J15" si="1">SUM(B6:I6)</f>
        <v>465426.86788404052</v>
      </c>
      <c r="K6" s="6"/>
      <c r="L6" t="s">
        <v>12</v>
      </c>
      <c r="M6" s="6">
        <v>0</v>
      </c>
      <c r="N6" s="6">
        <v>298285</v>
      </c>
      <c r="O6" s="6">
        <v>97521</v>
      </c>
      <c r="P6" s="6">
        <v>0</v>
      </c>
      <c r="Q6" s="6">
        <v>9761</v>
      </c>
      <c r="R6" s="6">
        <v>0</v>
      </c>
      <c r="S6" s="6">
        <v>0</v>
      </c>
      <c r="T6" s="6">
        <v>60905</v>
      </c>
      <c r="U6" s="6">
        <f t="shared" si="0"/>
        <v>466472</v>
      </c>
    </row>
    <row r="7" spans="1:21" x14ac:dyDescent="0.25">
      <c r="A7" t="s">
        <v>56</v>
      </c>
      <c r="B7" s="6">
        <v>0</v>
      </c>
      <c r="C7" s="6">
        <v>0</v>
      </c>
      <c r="D7" s="6">
        <v>478701.52482161898</v>
      </c>
      <c r="E7" s="6">
        <v>9.9</v>
      </c>
      <c r="F7" s="6">
        <v>4825.156385366</v>
      </c>
      <c r="G7" s="6">
        <v>0</v>
      </c>
      <c r="H7" s="6">
        <v>0</v>
      </c>
      <c r="I7" s="6">
        <v>70380.923125000001</v>
      </c>
      <c r="J7" s="6">
        <f t="shared" si="1"/>
        <v>553917.50433198502</v>
      </c>
      <c r="K7" s="6"/>
      <c r="L7" t="s">
        <v>56</v>
      </c>
      <c r="M7" s="6">
        <v>0</v>
      </c>
      <c r="N7" s="6">
        <v>0</v>
      </c>
      <c r="O7" s="6">
        <v>432362</v>
      </c>
      <c r="P7" s="6">
        <v>0</v>
      </c>
      <c r="Q7" s="6">
        <v>4536</v>
      </c>
      <c r="R7" s="6">
        <v>0</v>
      </c>
      <c r="S7" s="6">
        <v>0</v>
      </c>
      <c r="T7" s="6">
        <v>59938</v>
      </c>
      <c r="U7" s="6">
        <f t="shared" si="0"/>
        <v>496836</v>
      </c>
    </row>
    <row r="8" spans="1:21" x14ac:dyDescent="0.25">
      <c r="A8" t="s">
        <v>51</v>
      </c>
      <c r="B8" s="6">
        <v>0</v>
      </c>
      <c r="C8" s="6">
        <v>0</v>
      </c>
      <c r="D8" s="6">
        <v>0</v>
      </c>
      <c r="E8" s="6">
        <v>12024.887139576</v>
      </c>
      <c r="F8" s="6">
        <v>90379.797490316705</v>
      </c>
      <c r="G8" s="6">
        <v>0</v>
      </c>
      <c r="H8" s="6">
        <v>0</v>
      </c>
      <c r="I8" s="6">
        <v>10298.046276788</v>
      </c>
      <c r="J8" s="6">
        <f t="shared" si="1"/>
        <v>112702.73090668069</v>
      </c>
      <c r="K8" s="6"/>
      <c r="L8" t="s">
        <v>51</v>
      </c>
      <c r="M8" s="6">
        <v>0</v>
      </c>
      <c r="N8" s="6">
        <v>0</v>
      </c>
      <c r="O8" s="6">
        <v>0</v>
      </c>
      <c r="P8" s="6">
        <v>0</v>
      </c>
      <c r="Q8" s="6">
        <v>54761</v>
      </c>
      <c r="R8" s="6">
        <v>0</v>
      </c>
      <c r="S8" s="6">
        <v>0</v>
      </c>
      <c r="T8" s="6">
        <v>225</v>
      </c>
      <c r="U8" s="6">
        <f t="shared" si="0"/>
        <v>54986</v>
      </c>
    </row>
    <row r="9" spans="1:21" x14ac:dyDescent="0.25">
      <c r="A9" t="s">
        <v>52</v>
      </c>
      <c r="B9" s="6">
        <v>0</v>
      </c>
      <c r="C9" s="6">
        <v>0</v>
      </c>
      <c r="D9" s="6">
        <v>0</v>
      </c>
      <c r="E9" s="6">
        <v>0</v>
      </c>
      <c r="F9" s="6">
        <v>17.063749999999999</v>
      </c>
      <c r="G9" s="6">
        <v>0</v>
      </c>
      <c r="H9" s="6">
        <v>0</v>
      </c>
      <c r="I9" s="6">
        <v>0</v>
      </c>
      <c r="J9" s="6">
        <f t="shared" si="1"/>
        <v>17.063749999999999</v>
      </c>
      <c r="K9" s="6"/>
      <c r="L9" t="s">
        <v>52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f t="shared" si="0"/>
        <v>0</v>
      </c>
    </row>
    <row r="10" spans="1:21" x14ac:dyDescent="0.25">
      <c r="A10" t="s">
        <v>53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1"/>
        <v>0</v>
      </c>
      <c r="K10" s="6"/>
      <c r="L10" t="s">
        <v>53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f t="shared" si="0"/>
        <v>0</v>
      </c>
    </row>
    <row r="11" spans="1:21" x14ac:dyDescent="0.25">
      <c r="A11" t="s">
        <v>54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f t="shared" si="1"/>
        <v>0</v>
      </c>
      <c r="K11" s="6"/>
      <c r="L11" t="s">
        <v>54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f t="shared" si="0"/>
        <v>0</v>
      </c>
    </row>
    <row r="12" spans="1:21" x14ac:dyDescent="0.25">
      <c r="A12" t="s">
        <v>55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f t="shared" si="1"/>
        <v>0</v>
      </c>
      <c r="K12" s="6"/>
      <c r="L12" t="s">
        <v>55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f t="shared" si="0"/>
        <v>0</v>
      </c>
    </row>
    <row r="13" spans="1:21" x14ac:dyDescent="0.25">
      <c r="A13" t="s">
        <v>24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350566.74608382402</v>
      </c>
      <c r="J13" s="6">
        <f t="shared" si="1"/>
        <v>350566.74608382402</v>
      </c>
      <c r="K13" s="6"/>
      <c r="L13" t="s">
        <v>24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380705</v>
      </c>
      <c r="U13" s="6">
        <f t="shared" si="0"/>
        <v>380705</v>
      </c>
    </row>
    <row r="14" spans="1:21" x14ac:dyDescent="0.25">
      <c r="A14" t="s">
        <v>4</v>
      </c>
      <c r="B14" s="6">
        <v>42.061250000000001</v>
      </c>
      <c r="C14" s="6">
        <v>2965.1305571600001</v>
      </c>
      <c r="D14" s="6">
        <v>996.40350000000001</v>
      </c>
      <c r="E14" s="6">
        <v>0</v>
      </c>
      <c r="F14" s="6">
        <v>1101.497262843</v>
      </c>
      <c r="G14" s="6">
        <v>22263.999937733999</v>
      </c>
      <c r="H14" s="6">
        <v>0</v>
      </c>
      <c r="I14" s="6">
        <v>1548.1312499999999</v>
      </c>
      <c r="J14" s="6">
        <f t="shared" si="1"/>
        <v>28917.223757736996</v>
      </c>
      <c r="K14" s="6"/>
      <c r="L14" t="s">
        <v>4</v>
      </c>
      <c r="M14" s="6">
        <v>373</v>
      </c>
      <c r="N14" s="6">
        <v>2697</v>
      </c>
      <c r="O14" s="6">
        <v>3118</v>
      </c>
      <c r="P14" s="6">
        <v>0</v>
      </c>
      <c r="Q14" s="6">
        <v>1511</v>
      </c>
      <c r="R14" s="6">
        <v>22565</v>
      </c>
      <c r="S14" s="6">
        <v>0</v>
      </c>
      <c r="T14" s="6">
        <v>2857</v>
      </c>
      <c r="U14" s="6">
        <f t="shared" si="0"/>
        <v>33121</v>
      </c>
    </row>
    <row r="15" spans="1:21" x14ac:dyDescent="0.25">
      <c r="A15" s="4" t="s">
        <v>5</v>
      </c>
      <c r="B15" s="10">
        <v>2353.9022836912</v>
      </c>
      <c r="C15" s="10">
        <v>17727.015739480499</v>
      </c>
      <c r="D15" s="10">
        <v>22397.770899833999</v>
      </c>
      <c r="E15" s="10">
        <v>482.93124999999998</v>
      </c>
      <c r="F15" s="10">
        <v>21523.8377664279</v>
      </c>
      <c r="G15" s="10">
        <v>1203.1604532640001</v>
      </c>
      <c r="H15" s="10">
        <v>136201.38256887809</v>
      </c>
      <c r="I15" s="10">
        <v>13143.316485361</v>
      </c>
      <c r="J15" s="6">
        <f t="shared" si="1"/>
        <v>215033.31744693671</v>
      </c>
      <c r="K15" s="6"/>
      <c r="L15" s="4" t="s">
        <v>5</v>
      </c>
      <c r="M15" s="8">
        <v>2784</v>
      </c>
      <c r="N15" s="8">
        <v>13542</v>
      </c>
      <c r="O15" s="8">
        <v>16271</v>
      </c>
      <c r="P15" s="8">
        <v>0</v>
      </c>
      <c r="Q15" s="8">
        <v>12535</v>
      </c>
      <c r="R15" s="8">
        <v>1369</v>
      </c>
      <c r="S15" s="8">
        <v>103569</v>
      </c>
      <c r="T15" s="8">
        <v>20596</v>
      </c>
      <c r="U15" s="6">
        <f t="shared" si="0"/>
        <v>170666</v>
      </c>
    </row>
    <row r="16" spans="1:21" ht="15.75" thickBot="1" x14ac:dyDescent="0.3">
      <c r="A16" s="12" t="s">
        <v>7</v>
      </c>
      <c r="B16" s="16">
        <f t="shared" ref="B16:J16" si="2">SUM(B5:B15)</f>
        <v>224917.9401200393</v>
      </c>
      <c r="C16" s="16">
        <f t="shared" si="2"/>
        <v>337039.21574485069</v>
      </c>
      <c r="D16" s="16">
        <f t="shared" si="2"/>
        <v>630456.63193665596</v>
      </c>
      <c r="E16" s="16">
        <f t="shared" si="2"/>
        <v>27077.592480231</v>
      </c>
      <c r="F16" s="16">
        <f t="shared" si="2"/>
        <v>128220.4562682324</v>
      </c>
      <c r="G16" s="16">
        <f t="shared" si="2"/>
        <v>23467.160390998</v>
      </c>
      <c r="H16" s="16">
        <f t="shared" si="2"/>
        <v>136201.38256887809</v>
      </c>
      <c r="I16" s="16">
        <f t="shared" si="2"/>
        <v>490609.71944999701</v>
      </c>
      <c r="J16" s="16">
        <f t="shared" si="2"/>
        <v>1997990.0989598825</v>
      </c>
      <c r="L16" s="9" t="s">
        <v>7</v>
      </c>
      <c r="M16" s="16">
        <f t="shared" ref="M16:U16" si="3">SUM(M5:M15)</f>
        <v>196200</v>
      </c>
      <c r="N16" s="16">
        <f t="shared" si="3"/>
        <v>327836</v>
      </c>
      <c r="O16" s="16">
        <f t="shared" si="3"/>
        <v>560217</v>
      </c>
      <c r="P16" s="16">
        <f t="shared" si="3"/>
        <v>0</v>
      </c>
      <c r="Q16" s="16">
        <f t="shared" si="3"/>
        <v>86261</v>
      </c>
      <c r="R16" s="16">
        <f t="shared" si="3"/>
        <v>23934</v>
      </c>
      <c r="S16" s="16">
        <f t="shared" si="3"/>
        <v>103569</v>
      </c>
      <c r="T16" s="16">
        <f t="shared" si="3"/>
        <v>526412</v>
      </c>
      <c r="U16" s="16">
        <f t="shared" si="3"/>
        <v>1824429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42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42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0.98934738806334233</v>
      </c>
      <c r="C22" s="13">
        <f t="shared" si="4"/>
        <v>7.7185747922969866E-2</v>
      </c>
      <c r="D22" s="13">
        <f t="shared" si="4"/>
        <v>1.2257640752708346E-2</v>
      </c>
      <c r="E22" s="13">
        <f t="shared" si="4"/>
        <v>0.52919745807212015</v>
      </c>
      <c r="F22" s="13">
        <f t="shared" si="4"/>
        <v>4.1562995524298072E-3</v>
      </c>
      <c r="G22" s="13">
        <f t="shared" si="4"/>
        <v>0</v>
      </c>
      <c r="H22" s="13">
        <f t="shared" si="4"/>
        <v>0</v>
      </c>
      <c r="I22" s="13">
        <f t="shared" si="4"/>
        <v>5.7442324077055487E-4</v>
      </c>
      <c r="J22" s="13">
        <f t="shared" si="4"/>
        <v>0.13584083571783917</v>
      </c>
      <c r="K22" s="6"/>
      <c r="L22" t="s">
        <v>1</v>
      </c>
      <c r="M22" s="13">
        <f t="shared" ref="M22:P22" si="5">M5/M$16</f>
        <v>0.98390927624872582</v>
      </c>
      <c r="N22" s="13">
        <f t="shared" si="5"/>
        <v>4.0605668688002534E-2</v>
      </c>
      <c r="O22" s="13">
        <f t="shared" si="5"/>
        <v>1.9537072241649217E-2</v>
      </c>
      <c r="P22" s="13" t="e">
        <f t="shared" si="5"/>
        <v>#DIV/0!</v>
      </c>
      <c r="Q22" s="13">
        <f t="shared" ref="Q22:U33" si="6">Q5/Q$16</f>
        <v>3.659823095025562E-2</v>
      </c>
      <c r="R22" s="13">
        <f t="shared" si="6"/>
        <v>0</v>
      </c>
      <c r="S22" s="13">
        <f t="shared" si="6"/>
        <v>0</v>
      </c>
      <c r="T22" s="13">
        <f t="shared" si="6"/>
        <v>2.2529881537654917E-3</v>
      </c>
      <c r="U22" s="13">
        <f t="shared" si="6"/>
        <v>0.12148622939012699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0.86142036872458039</v>
      </c>
      <c r="D23" s="13">
        <f t="shared" si="7"/>
        <v>0.19134229969188649</v>
      </c>
      <c r="E23" s="13">
        <f t="shared" si="7"/>
        <v>8.5118711928422429E-3</v>
      </c>
      <c r="F23" s="13">
        <f t="shared" si="7"/>
        <v>7.6744236252704559E-2</v>
      </c>
      <c r="G23" s="13">
        <f t="shared" si="7"/>
        <v>0</v>
      </c>
      <c r="H23" s="13">
        <f t="shared" si="7"/>
        <v>0</v>
      </c>
      <c r="I23" s="13">
        <f t="shared" si="7"/>
        <v>9.0480756585476316E-2</v>
      </c>
      <c r="J23" s="13">
        <f t="shared" si="7"/>
        <v>0.23294753468815152</v>
      </c>
      <c r="K23" s="6"/>
      <c r="L23" t="s">
        <v>12</v>
      </c>
      <c r="M23" s="13">
        <f t="shared" ref="M23:P23" si="8">M6/M$16</f>
        <v>0</v>
      </c>
      <c r="N23" s="13">
        <f t="shared" si="8"/>
        <v>0.90986041801388495</v>
      </c>
      <c r="O23" s="13">
        <f t="shared" si="8"/>
        <v>0.17407718794681346</v>
      </c>
      <c r="P23" s="13" t="e">
        <f t="shared" si="8"/>
        <v>#DIV/0!</v>
      </c>
      <c r="Q23" s="13">
        <f t="shared" si="6"/>
        <v>0.11315658292855404</v>
      </c>
      <c r="R23" s="13">
        <f t="shared" si="6"/>
        <v>0</v>
      </c>
      <c r="S23" s="13">
        <f t="shared" si="6"/>
        <v>0</v>
      </c>
      <c r="T23" s="13">
        <f t="shared" si="6"/>
        <v>0.11569835034155757</v>
      </c>
      <c r="U23" s="13">
        <f t="shared" si="6"/>
        <v>0.25568109255005267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0.75929334481125055</v>
      </c>
      <c r="E24" s="13">
        <f t="shared" si="9"/>
        <v>3.6561596113937611E-4</v>
      </c>
      <c r="F24" s="13">
        <f t="shared" si="9"/>
        <v>3.7631720599027918E-2</v>
      </c>
      <c r="G24" s="13">
        <f t="shared" si="9"/>
        <v>0</v>
      </c>
      <c r="H24" s="13">
        <f t="shared" si="9"/>
        <v>0</v>
      </c>
      <c r="I24" s="13">
        <f t="shared" si="9"/>
        <v>0.14345603100546245</v>
      </c>
      <c r="J24" s="13">
        <f t="shared" si="9"/>
        <v>0.27723736199711124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0.77177593682448054</v>
      </c>
      <c r="P24" s="13" t="e">
        <f t="shared" si="10"/>
        <v>#DIV/0!</v>
      </c>
      <c r="Q24" s="13">
        <f t="shared" si="6"/>
        <v>5.2584597906353975E-2</v>
      </c>
      <c r="R24" s="13">
        <f t="shared" si="6"/>
        <v>0</v>
      </c>
      <c r="S24" s="13">
        <f t="shared" si="6"/>
        <v>0</v>
      </c>
      <c r="T24" s="13">
        <f t="shared" si="6"/>
        <v>0.11386138613861387</v>
      </c>
      <c r="U24" s="13">
        <f t="shared" si="6"/>
        <v>0.27232410798118206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0.44408996657864669</v>
      </c>
      <c r="F25" s="13">
        <f t="shared" si="11"/>
        <v>0.70487814597419263</v>
      </c>
      <c r="G25" s="13">
        <f t="shared" si="11"/>
        <v>0</v>
      </c>
      <c r="H25" s="13">
        <f t="shared" si="11"/>
        <v>0</v>
      </c>
      <c r="I25" s="13">
        <f t="shared" si="11"/>
        <v>2.0990302206676071E-2</v>
      </c>
      <c r="J25" s="13">
        <f t="shared" si="11"/>
        <v>5.640805275529228E-2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0.63482918120587517</v>
      </c>
      <c r="R25" s="13">
        <f t="shared" si="6"/>
        <v>0</v>
      </c>
      <c r="S25" s="13">
        <f t="shared" si="6"/>
        <v>0</v>
      </c>
      <c r="T25" s="13">
        <f t="shared" si="6"/>
        <v>4.2742186728266071E-4</v>
      </c>
      <c r="U25" s="13">
        <f t="shared" si="6"/>
        <v>3.0138744779873595E-2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1.3308133894254182E-4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8.5404577374447847E-6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>
        <f t="shared" si="6"/>
        <v>0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>
        <f t="shared" si="6"/>
        <v>0</v>
      </c>
      <c r="U27" s="13">
        <f t="shared" si="6"/>
        <v>0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>
        <f t="shared" si="6"/>
        <v>0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>
        <f t="shared" si="6"/>
        <v>0</v>
      </c>
      <c r="U29" s="13">
        <f t="shared" si="6"/>
        <v>0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0.71455320224155039</v>
      </c>
      <c r="J30" s="13">
        <f t="shared" si="21"/>
        <v>0.17545970136004313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>
        <f t="shared" si="6"/>
        <v>0.72320729770597936</v>
      </c>
      <c r="U30" s="13">
        <f t="shared" si="6"/>
        <v>0.20867076767580431</v>
      </c>
    </row>
    <row r="31" spans="1:21" x14ac:dyDescent="0.25">
      <c r="A31" t="s">
        <v>4</v>
      </c>
      <c r="B31" s="13">
        <f t="shared" ref="B31:J31" si="23">B14/B$16</f>
        <v>1.8700709235355703E-4</v>
      </c>
      <c r="C31" s="13">
        <f t="shared" si="23"/>
        <v>8.7975832444515817E-3</v>
      </c>
      <c r="D31" s="13">
        <f t="shared" si="23"/>
        <v>1.5804473290085273E-3</v>
      </c>
      <c r="E31" s="13">
        <f t="shared" si="23"/>
        <v>0</v>
      </c>
      <c r="F31" s="13">
        <f t="shared" si="23"/>
        <v>8.590651561391334E-3</v>
      </c>
      <c r="G31" s="13">
        <f t="shared" si="23"/>
        <v>0.94873003664620903</v>
      </c>
      <c r="H31" s="13">
        <f t="shared" si="23"/>
        <v>0</v>
      </c>
      <c r="I31" s="13">
        <f t="shared" si="23"/>
        <v>3.1555250306405428E-3</v>
      </c>
      <c r="J31" s="13">
        <f t="shared" si="23"/>
        <v>1.4473156685206188E-2</v>
      </c>
      <c r="K31" s="6"/>
      <c r="L31" t="s">
        <v>4</v>
      </c>
      <c r="M31" s="13">
        <f t="shared" ref="M31:P31" si="24">M14/M$16</f>
        <v>1.9011213047910296E-3</v>
      </c>
      <c r="N31" s="13">
        <f t="shared" si="24"/>
        <v>8.2266743127661392E-3</v>
      </c>
      <c r="O31" s="13">
        <f t="shared" si="24"/>
        <v>5.5657004339389913E-3</v>
      </c>
      <c r="P31" s="13" t="e">
        <f t="shared" si="24"/>
        <v>#DIV/0!</v>
      </c>
      <c r="Q31" s="13">
        <f t="shared" si="6"/>
        <v>1.7516606577711827E-2</v>
      </c>
      <c r="R31" s="13">
        <f t="shared" si="6"/>
        <v>0.94280103618283617</v>
      </c>
      <c r="S31" s="13">
        <f t="shared" si="6"/>
        <v>0</v>
      </c>
      <c r="T31" s="13">
        <f t="shared" si="6"/>
        <v>5.4273078881180523E-3</v>
      </c>
      <c r="U31" s="13">
        <f t="shared" si="6"/>
        <v>1.8154173168701E-2</v>
      </c>
    </row>
    <row r="32" spans="1:21" x14ac:dyDescent="0.25">
      <c r="A32" s="4" t="s">
        <v>5</v>
      </c>
      <c r="B32" s="14">
        <f t="shared" ref="B32:J32" si="25">B15/B$16</f>
        <v>1.0465604844304177E-2</v>
      </c>
      <c r="C32" s="14">
        <f t="shared" si="25"/>
        <v>5.2596300107998144E-2</v>
      </c>
      <c r="D32" s="14">
        <f t="shared" si="25"/>
        <v>3.5526267415146133E-2</v>
      </c>
      <c r="E32" s="14">
        <f t="shared" si="25"/>
        <v>1.7835088195251547E-2</v>
      </c>
      <c r="F32" s="14">
        <f t="shared" si="25"/>
        <v>0.16786586472131121</v>
      </c>
      <c r="G32" s="14">
        <f t="shared" si="25"/>
        <v>5.1269963353790873E-2</v>
      </c>
      <c r="H32" s="14">
        <f t="shared" si="25"/>
        <v>1</v>
      </c>
      <c r="I32" s="14">
        <f t="shared" si="25"/>
        <v>2.6789759689423698E-2</v>
      </c>
      <c r="J32" s="14">
        <f t="shared" si="25"/>
        <v>0.10762481633861908</v>
      </c>
      <c r="K32" s="6"/>
      <c r="L32" s="4" t="s">
        <v>5</v>
      </c>
      <c r="M32" s="14">
        <f t="shared" ref="M32:P32" si="26">M15/M$16</f>
        <v>1.4189602446483181E-2</v>
      </c>
      <c r="N32" s="14">
        <f t="shared" si="26"/>
        <v>4.1307238985346328E-2</v>
      </c>
      <c r="O32" s="14">
        <f t="shared" si="26"/>
        <v>2.9044102553117811E-2</v>
      </c>
      <c r="P32" s="14" t="e">
        <f t="shared" si="26"/>
        <v>#DIV/0!</v>
      </c>
      <c r="Q32" s="14">
        <f t="shared" si="6"/>
        <v>0.14531480043124934</v>
      </c>
      <c r="R32" s="14">
        <f t="shared" si="6"/>
        <v>5.719896381716387E-2</v>
      </c>
      <c r="S32" s="14">
        <f t="shared" si="6"/>
        <v>1</v>
      </c>
      <c r="T32" s="14">
        <f t="shared" si="6"/>
        <v>3.9125247904683025E-2</v>
      </c>
      <c r="U32" s="14">
        <f t="shared" si="6"/>
        <v>9.3544884454259389E-2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>
        <f t="shared" si="6"/>
        <v>1</v>
      </c>
      <c r="U33" s="15">
        <f t="shared" si="6"/>
        <v>1</v>
      </c>
    </row>
    <row r="36" spans="1:32" ht="15.75" thickBot="1" x14ac:dyDescent="0.3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42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-5.4381118146165086E-3</v>
      </c>
      <c r="N39" s="13">
        <f t="shared" si="29"/>
        <v>-3.6580079234967332E-2</v>
      </c>
      <c r="O39" s="13">
        <f t="shared" si="29"/>
        <v>7.2794314889408716E-3</v>
      </c>
      <c r="P39" s="13" t="e">
        <f t="shared" si="29"/>
        <v>#DIV/0!</v>
      </c>
      <c r="Q39" s="13">
        <f t="shared" ref="Q39:Q50" si="30">Q22-F22</f>
        <v>3.2441931397825814E-2</v>
      </c>
      <c r="R39" s="13">
        <f t="shared" ref="R39:R50" si="31">R22-G22</f>
        <v>0</v>
      </c>
      <c r="S39" s="13">
        <f t="shared" ref="S39:S50" si="32">S22-H22</f>
        <v>0</v>
      </c>
      <c r="T39" s="13">
        <f t="shared" ref="T39:T50" si="33">T22-I22</f>
        <v>1.6785649129949368E-3</v>
      </c>
      <c r="U39" s="13">
        <f t="shared" ref="U39:U50" si="34">U22-J22</f>
        <v>-1.4354606327712183E-2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4.8440049289304565E-2</v>
      </c>
      <c r="O40" s="13">
        <f t="shared" si="29"/>
        <v>-1.7265111745073031E-2</v>
      </c>
      <c r="P40" s="13" t="e">
        <f t="shared" si="29"/>
        <v>#DIV/0!</v>
      </c>
      <c r="Q40" s="13">
        <f t="shared" si="30"/>
        <v>3.6412346675849486E-2</v>
      </c>
      <c r="R40" s="13">
        <f t="shared" si="31"/>
        <v>0</v>
      </c>
      <c r="S40" s="13">
        <f t="shared" si="32"/>
        <v>0</v>
      </c>
      <c r="T40" s="13">
        <f t="shared" si="33"/>
        <v>2.521759375608125E-2</v>
      </c>
      <c r="U40" s="13">
        <f t="shared" si="34"/>
        <v>2.2733557861901149E-2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1.2482592013229987E-2</v>
      </c>
      <c r="P41" s="13" t="e">
        <f t="shared" si="29"/>
        <v>#DIV/0!</v>
      </c>
      <c r="Q41" s="13">
        <f t="shared" si="30"/>
        <v>1.4952877307326057E-2</v>
      </c>
      <c r="R41" s="13">
        <f t="shared" si="31"/>
        <v>0</v>
      </c>
      <c r="S41" s="13">
        <f t="shared" si="32"/>
        <v>0</v>
      </c>
      <c r="T41" s="13">
        <f t="shared" si="33"/>
        <v>-2.9594644866848582E-2</v>
      </c>
      <c r="U41" s="13">
        <f t="shared" si="34"/>
        <v>-4.9132540159291804E-3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-7.0048964768317457E-2</v>
      </c>
      <c r="R42" s="13">
        <f t="shared" si="31"/>
        <v>0</v>
      </c>
      <c r="S42" s="13">
        <f t="shared" si="32"/>
        <v>0</v>
      </c>
      <c r="T42" s="13">
        <f t="shared" si="33"/>
        <v>-2.0562880339393411E-2</v>
      </c>
      <c r="U42" s="13">
        <f t="shared" si="34"/>
        <v>-2.6269307975418685E-2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-1.3308133894254182E-4</v>
      </c>
      <c r="R43" s="13">
        <f t="shared" si="31"/>
        <v>0</v>
      </c>
      <c r="S43" s="13">
        <f t="shared" si="32"/>
        <v>0</v>
      </c>
      <c r="T43" s="13">
        <f t="shared" si="33"/>
        <v>0</v>
      </c>
      <c r="U43" s="13">
        <f t="shared" si="34"/>
        <v>-8.5404577374447847E-6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>
        <f t="shared" si="33"/>
        <v>0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>
        <f t="shared" si="33"/>
        <v>0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>
        <f t="shared" si="33"/>
        <v>0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>
        <f t="shared" si="33"/>
        <v>8.654095464428968E-3</v>
      </c>
      <c r="U47" s="13">
        <f t="shared" si="34"/>
        <v>3.3211066315761179E-2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1.7141142124374727E-3</v>
      </c>
      <c r="N48" s="13">
        <f t="shared" si="39"/>
        <v>-5.7090893168544252E-4</v>
      </c>
      <c r="O48" s="13">
        <f t="shared" si="39"/>
        <v>3.9852531049304639E-3</v>
      </c>
      <c r="P48" s="13" t="e">
        <f t="shared" si="39"/>
        <v>#DIV/0!</v>
      </c>
      <c r="Q48" s="13">
        <f t="shared" si="30"/>
        <v>8.9259550163204929E-3</v>
      </c>
      <c r="R48" s="13">
        <f t="shared" si="31"/>
        <v>-5.9290004633728577E-3</v>
      </c>
      <c r="S48" s="13">
        <f t="shared" si="32"/>
        <v>0</v>
      </c>
      <c r="T48" s="13">
        <f t="shared" si="33"/>
        <v>2.2717828574775095E-3</v>
      </c>
      <c r="U48" s="13">
        <f t="shared" si="34"/>
        <v>3.6810164834948124E-3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3.7239976021790043E-3</v>
      </c>
      <c r="N49" s="17">
        <f t="shared" si="39"/>
        <v>-1.1289061122651815E-2</v>
      </c>
      <c r="O49" s="17">
        <f t="shared" si="39"/>
        <v>-6.4821648620283223E-3</v>
      </c>
      <c r="P49" s="17" t="e">
        <f t="shared" si="39"/>
        <v>#DIV/0!</v>
      </c>
      <c r="Q49" s="17">
        <f t="shared" si="30"/>
        <v>-2.2551064290061873E-2</v>
      </c>
      <c r="R49" s="17">
        <f t="shared" si="31"/>
        <v>5.9290004633729965E-3</v>
      </c>
      <c r="S49" s="17">
        <f t="shared" si="32"/>
        <v>0</v>
      </c>
      <c r="T49" s="17">
        <f t="shared" si="33"/>
        <v>1.2335488215259326E-2</v>
      </c>
      <c r="U49" s="13">
        <f t="shared" si="34"/>
        <v>-1.4079931884359687E-2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>
        <f t="shared" si="33"/>
        <v>0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AF50"/>
  <sheetViews>
    <sheetView zoomScaleNormal="100" workbookViewId="0"/>
  </sheetViews>
  <sheetFormatPr defaultRowHeight="15" x14ac:dyDescent="0.25"/>
  <cols>
    <col min="1" max="1" width="25" customWidth="1" collapsed="1"/>
    <col min="2" max="10" width="10.7109375" customWidth="1" collapsed="1"/>
    <col min="11" max="11" width="3.7109375" customWidth="1" collapsed="1"/>
    <col min="12" max="12" width="25" customWidth="1" collapsed="1"/>
    <col min="13" max="22" width="10.7109375" customWidth="1" collapsed="1"/>
    <col min="23" max="23" width="17" customWidth="1" collapsed="1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43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43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v>52927.360526452401</v>
      </c>
      <c r="C5" s="6">
        <v>396390.4821353514</v>
      </c>
      <c r="D5" s="6">
        <v>146937.1248664695</v>
      </c>
      <c r="E5" s="6">
        <v>373.06785655599998</v>
      </c>
      <c r="F5" s="6">
        <v>298.02645089959998</v>
      </c>
      <c r="G5" s="6">
        <v>0</v>
      </c>
      <c r="H5" s="6">
        <v>0</v>
      </c>
      <c r="I5" s="6">
        <v>0</v>
      </c>
      <c r="J5" s="6">
        <f>SUM(B5:I5)</f>
        <v>596926.06183572893</v>
      </c>
      <c r="K5" s="6"/>
      <c r="L5" t="s">
        <v>1</v>
      </c>
      <c r="M5" s="6">
        <v>459</v>
      </c>
      <c r="N5" s="6">
        <v>333675</v>
      </c>
      <c r="O5" s="6">
        <v>154082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f t="shared" ref="U5:U15" si="0">SUM(M5:T5)</f>
        <v>488216</v>
      </c>
    </row>
    <row r="6" spans="1:21" x14ac:dyDescent="0.25">
      <c r="A6" t="s">
        <v>12</v>
      </c>
      <c r="B6" s="6">
        <v>0</v>
      </c>
      <c r="C6" s="6">
        <v>433849.19646753109</v>
      </c>
      <c r="D6" s="6">
        <v>251550.00972095551</v>
      </c>
      <c r="E6" s="6">
        <v>0</v>
      </c>
      <c r="F6" s="6">
        <v>688.32998415669999</v>
      </c>
      <c r="G6" s="6">
        <v>0</v>
      </c>
      <c r="H6" s="6">
        <v>0</v>
      </c>
      <c r="I6" s="6">
        <v>659.63149999999996</v>
      </c>
      <c r="J6" s="6">
        <f t="shared" ref="J6:J15" si="1">SUM(B6:I6)</f>
        <v>686747.16767264332</v>
      </c>
      <c r="K6" s="6"/>
      <c r="L6" t="s">
        <v>12</v>
      </c>
      <c r="M6" s="6">
        <v>0</v>
      </c>
      <c r="N6" s="6">
        <v>653846</v>
      </c>
      <c r="O6" s="6">
        <v>137458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f t="shared" si="0"/>
        <v>791304</v>
      </c>
    </row>
    <row r="7" spans="1:21" x14ac:dyDescent="0.25">
      <c r="A7" t="s">
        <v>56</v>
      </c>
      <c r="B7" s="6">
        <v>0</v>
      </c>
      <c r="C7" s="6">
        <v>0</v>
      </c>
      <c r="D7" s="6">
        <v>532459.03059259721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f t="shared" si="1"/>
        <v>532459.03059259721</v>
      </c>
      <c r="K7" s="6"/>
      <c r="L7" t="s">
        <v>56</v>
      </c>
      <c r="M7" s="6">
        <v>0</v>
      </c>
      <c r="N7" s="6">
        <v>0</v>
      </c>
      <c r="O7" s="6">
        <v>523523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f t="shared" si="0"/>
        <v>523523</v>
      </c>
    </row>
    <row r="8" spans="1:21" x14ac:dyDescent="0.25">
      <c r="A8" t="s">
        <v>51</v>
      </c>
      <c r="B8" s="6">
        <v>0</v>
      </c>
      <c r="C8" s="6">
        <v>0</v>
      </c>
      <c r="D8" s="6">
        <v>0</v>
      </c>
      <c r="E8" s="6">
        <v>373.06785655599998</v>
      </c>
      <c r="F8" s="6">
        <v>7070.4351366924993</v>
      </c>
      <c r="G8" s="6">
        <v>0</v>
      </c>
      <c r="H8" s="6">
        <v>0</v>
      </c>
      <c r="I8" s="6">
        <v>0</v>
      </c>
      <c r="J8" s="6">
        <f t="shared" si="1"/>
        <v>7443.5029932484995</v>
      </c>
      <c r="K8" s="6"/>
      <c r="L8" t="s">
        <v>51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f t="shared" si="0"/>
        <v>0</v>
      </c>
    </row>
    <row r="9" spans="1:21" x14ac:dyDescent="0.25">
      <c r="A9" t="s">
        <v>52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f t="shared" si="1"/>
        <v>0</v>
      </c>
      <c r="K9" s="6"/>
      <c r="L9" t="s">
        <v>52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f t="shared" si="0"/>
        <v>0</v>
      </c>
    </row>
    <row r="10" spans="1:21" x14ac:dyDescent="0.25">
      <c r="A10" t="s">
        <v>53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1"/>
        <v>0</v>
      </c>
      <c r="K10" s="6"/>
      <c r="L10" t="s">
        <v>53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f t="shared" si="0"/>
        <v>0</v>
      </c>
    </row>
    <row r="11" spans="1:21" x14ac:dyDescent="0.25">
      <c r="A11" t="s">
        <v>54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f t="shared" si="1"/>
        <v>0</v>
      </c>
      <c r="K11" s="6"/>
      <c r="L11" t="s">
        <v>54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f t="shared" si="0"/>
        <v>0</v>
      </c>
    </row>
    <row r="12" spans="1:21" x14ac:dyDescent="0.25">
      <c r="A12" t="s">
        <v>55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f t="shared" si="1"/>
        <v>0</v>
      </c>
      <c r="K12" s="6"/>
      <c r="L12" t="s">
        <v>55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f t="shared" si="0"/>
        <v>0</v>
      </c>
    </row>
    <row r="13" spans="1:21" x14ac:dyDescent="0.25">
      <c r="A13" t="s">
        <v>24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1978.8944999999999</v>
      </c>
      <c r="J13" s="6">
        <f t="shared" si="1"/>
        <v>1978.8944999999999</v>
      </c>
      <c r="K13" s="6"/>
      <c r="L13" t="s">
        <v>24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f t="shared" si="0"/>
        <v>0</v>
      </c>
    </row>
    <row r="14" spans="1:21" x14ac:dyDescent="0.25">
      <c r="A14" t="s">
        <v>4</v>
      </c>
      <c r="B14" s="6">
        <v>0</v>
      </c>
      <c r="C14" s="6">
        <v>5674.0894081837996</v>
      </c>
      <c r="D14" s="6">
        <v>166.03510658900001</v>
      </c>
      <c r="E14" s="6">
        <v>0</v>
      </c>
      <c r="F14" s="6">
        <v>0</v>
      </c>
      <c r="G14" s="6">
        <v>5171.3558293272999</v>
      </c>
      <c r="H14" s="6">
        <v>0</v>
      </c>
      <c r="I14" s="6">
        <v>0</v>
      </c>
      <c r="J14" s="6">
        <f t="shared" si="1"/>
        <v>11011.480344100099</v>
      </c>
      <c r="K14" s="6"/>
      <c r="L14" t="s">
        <v>4</v>
      </c>
      <c r="M14" s="6">
        <v>0</v>
      </c>
      <c r="N14" s="6">
        <v>7965</v>
      </c>
      <c r="O14" s="6">
        <v>6924</v>
      </c>
      <c r="P14" s="6">
        <v>0</v>
      </c>
      <c r="Q14" s="6">
        <v>0</v>
      </c>
      <c r="R14" s="6">
        <v>7595</v>
      </c>
      <c r="S14" s="6">
        <v>0</v>
      </c>
      <c r="T14" s="6">
        <v>0</v>
      </c>
      <c r="U14" s="6">
        <f t="shared" si="0"/>
        <v>22484</v>
      </c>
    </row>
    <row r="15" spans="1:21" x14ac:dyDescent="0.25">
      <c r="A15" s="4" t="s">
        <v>5</v>
      </c>
      <c r="B15" s="10">
        <v>4326.0869408460003</v>
      </c>
      <c r="C15" s="10">
        <v>9552.7248647721008</v>
      </c>
      <c r="D15" s="10">
        <v>32795.038366467197</v>
      </c>
      <c r="E15" s="10">
        <v>373.06785655599998</v>
      </c>
      <c r="F15" s="10">
        <v>234.56112695000002</v>
      </c>
      <c r="G15" s="10">
        <v>369.70305224600003</v>
      </c>
      <c r="H15" s="10">
        <v>71252.322991597801</v>
      </c>
      <c r="I15" s="10">
        <v>0</v>
      </c>
      <c r="J15" s="6">
        <f t="shared" si="1"/>
        <v>118903.50519943509</v>
      </c>
      <c r="K15" s="6"/>
      <c r="L15" s="4" t="s">
        <v>5</v>
      </c>
      <c r="M15" s="8">
        <v>0</v>
      </c>
      <c r="N15" s="8">
        <v>38788</v>
      </c>
      <c r="O15" s="8">
        <v>28602</v>
      </c>
      <c r="P15" s="8">
        <v>0</v>
      </c>
      <c r="Q15" s="8">
        <v>0</v>
      </c>
      <c r="R15" s="8">
        <v>96</v>
      </c>
      <c r="S15" s="8">
        <v>72</v>
      </c>
      <c r="T15" s="8">
        <v>0</v>
      </c>
      <c r="U15" s="6">
        <f t="shared" si="0"/>
        <v>67558</v>
      </c>
    </row>
    <row r="16" spans="1:21" ht="15.75" thickBot="1" x14ac:dyDescent="0.3">
      <c r="A16" s="12" t="s">
        <v>7</v>
      </c>
      <c r="B16" s="16">
        <f t="shared" ref="B16:J16" si="2">SUM(B5:B15)</f>
        <v>57253.4474672984</v>
      </c>
      <c r="C16" s="16">
        <f t="shared" si="2"/>
        <v>845466.4928758383</v>
      </c>
      <c r="D16" s="16">
        <f t="shared" si="2"/>
        <v>963907.23865307844</v>
      </c>
      <c r="E16" s="16">
        <f t="shared" si="2"/>
        <v>1119.203569668</v>
      </c>
      <c r="F16" s="16">
        <f t="shared" si="2"/>
        <v>8291.3526986987999</v>
      </c>
      <c r="G16" s="16">
        <f t="shared" si="2"/>
        <v>5541.0588815732999</v>
      </c>
      <c r="H16" s="16">
        <f t="shared" si="2"/>
        <v>71252.322991597801</v>
      </c>
      <c r="I16" s="16">
        <f t="shared" si="2"/>
        <v>2638.5259999999998</v>
      </c>
      <c r="J16" s="16">
        <f t="shared" si="2"/>
        <v>1955469.6431377532</v>
      </c>
      <c r="L16" s="9" t="s">
        <v>7</v>
      </c>
      <c r="M16" s="16">
        <f t="shared" ref="M16:U16" si="3">SUM(M5:M15)</f>
        <v>459</v>
      </c>
      <c r="N16" s="16">
        <f t="shared" si="3"/>
        <v>1034274</v>
      </c>
      <c r="O16" s="16">
        <f t="shared" si="3"/>
        <v>850589</v>
      </c>
      <c r="P16" s="16">
        <f t="shared" si="3"/>
        <v>0</v>
      </c>
      <c r="Q16" s="16">
        <f t="shared" si="3"/>
        <v>0</v>
      </c>
      <c r="R16" s="16">
        <f t="shared" si="3"/>
        <v>7691</v>
      </c>
      <c r="S16" s="16">
        <f t="shared" si="3"/>
        <v>72</v>
      </c>
      <c r="T16" s="16">
        <f t="shared" si="3"/>
        <v>0</v>
      </c>
      <c r="U16" s="16">
        <f t="shared" si="3"/>
        <v>1893085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43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43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0.92443971267726821</v>
      </c>
      <c r="C22" s="13">
        <f t="shared" si="4"/>
        <v>0.46884233198531222</v>
      </c>
      <c r="D22" s="13">
        <f t="shared" si="4"/>
        <v>0.15243907190882078</v>
      </c>
      <c r="E22" s="13">
        <f t="shared" si="4"/>
        <v>0.33333333333333331</v>
      </c>
      <c r="F22" s="13">
        <f t="shared" si="4"/>
        <v>3.5944249597097785E-2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0.30525969243782242</v>
      </c>
      <c r="K22" s="6"/>
      <c r="L22" t="s">
        <v>1</v>
      </c>
      <c r="M22" s="13">
        <f t="shared" ref="M22:P22" si="5">M5/M$16</f>
        <v>1</v>
      </c>
      <c r="N22" s="13">
        <f t="shared" si="5"/>
        <v>0.32261760423253411</v>
      </c>
      <c r="O22" s="13">
        <f t="shared" si="5"/>
        <v>0.18114741667244696</v>
      </c>
      <c r="P22" s="13" t="e">
        <f t="shared" si="5"/>
        <v>#DIV/0!</v>
      </c>
      <c r="Q22" s="13" t="e">
        <f t="shared" ref="Q22:U33" si="6">Q5/Q$16</f>
        <v>#DIV/0!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0.25789438931690867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0.51314771208945398</v>
      </c>
      <c r="D23" s="13">
        <f t="shared" si="7"/>
        <v>0.26096910535961992</v>
      </c>
      <c r="E23" s="13">
        <f t="shared" si="7"/>
        <v>0</v>
      </c>
      <c r="F23" s="13">
        <f t="shared" si="7"/>
        <v>8.3017814965792344E-2</v>
      </c>
      <c r="G23" s="13">
        <f t="shared" si="7"/>
        <v>0</v>
      </c>
      <c r="H23" s="13">
        <f t="shared" si="7"/>
        <v>0</v>
      </c>
      <c r="I23" s="13">
        <f t="shared" si="7"/>
        <v>0.25</v>
      </c>
      <c r="J23" s="13">
        <f t="shared" si="7"/>
        <v>0.35119295770334052</v>
      </c>
      <c r="K23" s="6"/>
      <c r="L23" t="s">
        <v>12</v>
      </c>
      <c r="M23" s="13">
        <f t="shared" ref="M23:P23" si="8">M6/M$16</f>
        <v>0</v>
      </c>
      <c r="N23" s="13">
        <f t="shared" si="8"/>
        <v>0.63217870699640522</v>
      </c>
      <c r="O23" s="13">
        <f t="shared" si="8"/>
        <v>0.16160331252814225</v>
      </c>
      <c r="P23" s="13" t="e">
        <f t="shared" si="8"/>
        <v>#DIV/0!</v>
      </c>
      <c r="Q23" s="13" t="e">
        <f t="shared" si="6"/>
        <v>#DIV/0!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0.41799707884220727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0.55239654734477561</v>
      </c>
      <c r="E24" s="13">
        <f t="shared" si="9"/>
        <v>0</v>
      </c>
      <c r="F24" s="13">
        <f t="shared" si="9"/>
        <v>0</v>
      </c>
      <c r="G24" s="13">
        <f t="shared" si="9"/>
        <v>0</v>
      </c>
      <c r="H24" s="13">
        <f t="shared" si="9"/>
        <v>0</v>
      </c>
      <c r="I24" s="13">
        <f t="shared" si="9"/>
        <v>0</v>
      </c>
      <c r="J24" s="13">
        <f t="shared" si="9"/>
        <v>0.27229214856959461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0.61548291830719659</v>
      </c>
      <c r="P24" s="13" t="e">
        <f t="shared" si="10"/>
        <v>#DIV/0!</v>
      </c>
      <c r="Q24" s="13" t="e">
        <f t="shared" si="6"/>
        <v>#DIV/0!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0.27654489893480749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0.33333333333333331</v>
      </c>
      <c r="F25" s="13">
        <f t="shared" si="11"/>
        <v>0.85274808509859856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3.8065039870957187E-3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 t="e">
        <f t="shared" si="6"/>
        <v>#DIV/0!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0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 t="e">
        <f t="shared" si="6"/>
        <v>#DIV/0!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 t="e">
        <f t="shared" si="6"/>
        <v>#DIV/0!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 t="e">
        <f t="shared" si="6"/>
        <v>#DIV/0!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 t="e">
        <f t="shared" si="6"/>
        <v>#DIV/0!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0.75</v>
      </c>
      <c r="J30" s="13">
        <f t="shared" si="21"/>
        <v>1.011979146260056E-3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 t="e">
        <f t="shared" si="6"/>
        <v>#DIV/0!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0</v>
      </c>
      <c r="C31" s="13">
        <f t="shared" si="23"/>
        <v>6.7111937090297826E-3</v>
      </c>
      <c r="D31" s="13">
        <f t="shared" si="23"/>
        <v>1.7225216279214808E-4</v>
      </c>
      <c r="E31" s="13">
        <f t="shared" si="23"/>
        <v>0</v>
      </c>
      <c r="F31" s="13">
        <f t="shared" si="23"/>
        <v>0</v>
      </c>
      <c r="G31" s="13">
        <f t="shared" si="23"/>
        <v>0.93327934964281978</v>
      </c>
      <c r="H31" s="13">
        <f t="shared" si="23"/>
        <v>0</v>
      </c>
      <c r="I31" s="13">
        <f t="shared" si="23"/>
        <v>0</v>
      </c>
      <c r="J31" s="13">
        <f t="shared" si="23"/>
        <v>5.6311180195214071E-3</v>
      </c>
      <c r="K31" s="6"/>
      <c r="L31" t="s">
        <v>4</v>
      </c>
      <c r="M31" s="13">
        <f t="shared" ref="M31:P31" si="24">M14/M$16</f>
        <v>0</v>
      </c>
      <c r="N31" s="13">
        <f t="shared" si="24"/>
        <v>7.7010540727118736E-3</v>
      </c>
      <c r="O31" s="13">
        <f t="shared" si="24"/>
        <v>8.1402416443194063E-3</v>
      </c>
      <c r="P31" s="13" t="e">
        <f t="shared" si="24"/>
        <v>#DIV/0!</v>
      </c>
      <c r="Q31" s="13" t="e">
        <f t="shared" si="6"/>
        <v>#DIV/0!</v>
      </c>
      <c r="R31" s="13">
        <f t="shared" si="6"/>
        <v>0.98751787803926672</v>
      </c>
      <c r="S31" s="13">
        <f t="shared" si="6"/>
        <v>0</v>
      </c>
      <c r="T31" s="13" t="e">
        <f t="shared" si="6"/>
        <v>#DIV/0!</v>
      </c>
      <c r="U31" s="13">
        <f t="shared" si="6"/>
        <v>1.187690991159932E-2</v>
      </c>
    </row>
    <row r="32" spans="1:21" x14ac:dyDescent="0.25">
      <c r="A32" s="4" t="s">
        <v>5</v>
      </c>
      <c r="B32" s="14">
        <f t="shared" ref="B32:J32" si="25">B15/B$16</f>
        <v>7.5560287322731831E-2</v>
      </c>
      <c r="C32" s="14">
        <f t="shared" si="25"/>
        <v>1.1298762216204083E-2</v>
      </c>
      <c r="D32" s="14">
        <f t="shared" si="25"/>
        <v>3.4023023223991491E-2</v>
      </c>
      <c r="E32" s="14">
        <f t="shared" si="25"/>
        <v>0.33333333333333331</v>
      </c>
      <c r="F32" s="14">
        <f t="shared" si="25"/>
        <v>2.8289850338511204E-2</v>
      </c>
      <c r="G32" s="14">
        <f t="shared" si="25"/>
        <v>6.6720650357180181E-2</v>
      </c>
      <c r="H32" s="14">
        <f t="shared" si="25"/>
        <v>1</v>
      </c>
      <c r="I32" s="14">
        <f t="shared" si="25"/>
        <v>0</v>
      </c>
      <c r="J32" s="14">
        <f t="shared" si="25"/>
        <v>6.0805600136365261E-2</v>
      </c>
      <c r="K32" s="6"/>
      <c r="L32" s="4" t="s">
        <v>5</v>
      </c>
      <c r="M32" s="14">
        <f t="shared" ref="M32:P32" si="26">M15/M$16</f>
        <v>0</v>
      </c>
      <c r="N32" s="14">
        <f t="shared" si="26"/>
        <v>3.7502634698348795E-2</v>
      </c>
      <c r="O32" s="14">
        <f t="shared" si="26"/>
        <v>3.3626110847894811E-2</v>
      </c>
      <c r="P32" s="14" t="e">
        <f t="shared" si="26"/>
        <v>#DIV/0!</v>
      </c>
      <c r="Q32" s="14" t="e">
        <f t="shared" si="6"/>
        <v>#DIV/0!</v>
      </c>
      <c r="R32" s="14">
        <f t="shared" si="6"/>
        <v>1.2482121960733325E-2</v>
      </c>
      <c r="S32" s="14">
        <f t="shared" si="6"/>
        <v>1</v>
      </c>
      <c r="T32" s="14" t="e">
        <f t="shared" si="6"/>
        <v>#DIV/0!</v>
      </c>
      <c r="U32" s="14">
        <f t="shared" si="6"/>
        <v>3.5686722994477268E-2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 t="e">
        <f t="shared" si="6"/>
        <v>#DIV/0!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43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7.5560287322731789E-2</v>
      </c>
      <c r="N39" s="13">
        <f t="shared" si="29"/>
        <v>-0.14622472775277812</v>
      </c>
      <c r="O39" s="13">
        <f t="shared" si="29"/>
        <v>2.8708344763626187E-2</v>
      </c>
      <c r="P39" s="13" t="e">
        <f t="shared" si="29"/>
        <v>#DIV/0!</v>
      </c>
      <c r="Q39" s="13" t="e">
        <f t="shared" ref="Q39:Q50" si="30">Q22-F22</f>
        <v>#DIV/0!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-4.7365303120913749E-2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0.11903099490695124</v>
      </c>
      <c r="O40" s="13">
        <f t="shared" si="29"/>
        <v>-9.9365792831477673E-2</v>
      </c>
      <c r="P40" s="13" t="e">
        <f t="shared" si="29"/>
        <v>#DIV/0!</v>
      </c>
      <c r="Q40" s="13" t="e">
        <f t="shared" si="30"/>
        <v>#DIV/0!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6.6804121138866746E-2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6.3086370962420979E-2</v>
      </c>
      <c r="P41" s="13" t="e">
        <f t="shared" si="29"/>
        <v>#DIV/0!</v>
      </c>
      <c r="Q41" s="13" t="e">
        <f t="shared" si="30"/>
        <v>#DIV/0!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4.2527503652128873E-3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 t="e">
        <f t="shared" si="30"/>
        <v>#DIV/0!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-3.8065039870957187E-3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 t="e">
        <f t="shared" si="30"/>
        <v>#DIV/0!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 t="e">
        <f t="shared" si="30"/>
        <v>#DIV/0!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 t="e">
        <f t="shared" si="30"/>
        <v>#DIV/0!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 t="e">
        <f t="shared" si="30"/>
        <v>#DIV/0!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 t="e">
        <f t="shared" si="30"/>
        <v>#DIV/0!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-1.011979146260056E-3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0</v>
      </c>
      <c r="N48" s="13">
        <f t="shared" si="39"/>
        <v>9.8986036368209091E-4</v>
      </c>
      <c r="O48" s="13">
        <f t="shared" si="39"/>
        <v>7.967989481527259E-3</v>
      </c>
      <c r="P48" s="13" t="e">
        <f t="shared" si="39"/>
        <v>#DIV/0!</v>
      </c>
      <c r="Q48" s="13" t="e">
        <f t="shared" si="30"/>
        <v>#DIV/0!</v>
      </c>
      <c r="R48" s="13">
        <f t="shared" si="31"/>
        <v>5.4238528396446939E-2</v>
      </c>
      <c r="S48" s="13">
        <f t="shared" si="32"/>
        <v>0</v>
      </c>
      <c r="T48" s="13" t="e">
        <f t="shared" si="33"/>
        <v>#DIV/0!</v>
      </c>
      <c r="U48" s="13">
        <f t="shared" si="34"/>
        <v>6.2457918920779129E-3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-7.5560287322731831E-2</v>
      </c>
      <c r="N49" s="17">
        <f t="shared" si="39"/>
        <v>2.6203872482144713E-2</v>
      </c>
      <c r="O49" s="17">
        <f t="shared" si="39"/>
        <v>-3.9691237609668084E-4</v>
      </c>
      <c r="P49" s="17" t="e">
        <f t="shared" si="39"/>
        <v>#DIV/0!</v>
      </c>
      <c r="Q49" s="17" t="e">
        <f t="shared" si="30"/>
        <v>#DIV/0!</v>
      </c>
      <c r="R49" s="17">
        <f t="shared" si="31"/>
        <v>-5.4238528396446856E-2</v>
      </c>
      <c r="S49" s="17">
        <f t="shared" si="32"/>
        <v>0</v>
      </c>
      <c r="T49" s="17" t="e">
        <f t="shared" si="33"/>
        <v>#DIV/0!</v>
      </c>
      <c r="U49" s="13">
        <f t="shared" si="34"/>
        <v>-2.5118877141887992E-2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 t="e">
        <f t="shared" si="30"/>
        <v>#DIV/0!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F50"/>
  <sheetViews>
    <sheetView workbookViewId="0"/>
  </sheetViews>
  <sheetFormatPr defaultRowHeight="15" x14ac:dyDescent="0.25"/>
  <cols>
    <col min="1" max="1" width="25" customWidth="1" collapsed="1"/>
    <col min="2" max="10" width="10.7109375" customWidth="1" collapsed="1"/>
    <col min="11" max="11" width="3.7109375" customWidth="1" collapsed="1"/>
    <col min="12" max="12" width="25" customWidth="1" collapsed="1"/>
    <col min="13" max="22" width="10.7109375" customWidth="1" collapsed="1"/>
    <col min="23" max="23" width="17" customWidth="1" collapsed="1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44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44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v>696165.87435317622</v>
      </c>
      <c r="C5" s="6">
        <v>28974.159722434801</v>
      </c>
      <c r="D5" s="6">
        <v>14622.1971247273</v>
      </c>
      <c r="E5" s="6">
        <v>3469.9252440959999</v>
      </c>
      <c r="F5" s="6">
        <v>1050.2937161729999</v>
      </c>
      <c r="G5" s="6">
        <v>0</v>
      </c>
      <c r="H5" s="6">
        <v>0</v>
      </c>
      <c r="I5" s="6">
        <v>0</v>
      </c>
      <c r="J5" s="6">
        <f>SUM(B5:I5)</f>
        <v>744282.45016060735</v>
      </c>
      <c r="K5" s="6"/>
      <c r="L5" t="s">
        <v>1</v>
      </c>
      <c r="M5" s="6">
        <v>621032</v>
      </c>
      <c r="N5" s="6">
        <v>44160</v>
      </c>
      <c r="O5" s="6">
        <v>13340</v>
      </c>
      <c r="P5" s="6">
        <v>0</v>
      </c>
      <c r="Q5" s="6">
        <v>290</v>
      </c>
      <c r="R5" s="6">
        <v>0</v>
      </c>
      <c r="S5" s="6">
        <v>0</v>
      </c>
      <c r="T5" s="6">
        <v>0</v>
      </c>
      <c r="U5" s="6">
        <f t="shared" ref="U5:U15" si="0">SUM(M5:T5)</f>
        <v>678822</v>
      </c>
    </row>
    <row r="6" spans="1:21" x14ac:dyDescent="0.25">
      <c r="A6" t="s">
        <v>12</v>
      </c>
      <c r="B6" s="6">
        <v>0</v>
      </c>
      <c r="C6" s="6">
        <v>462828.51687087701</v>
      </c>
      <c r="D6" s="6">
        <v>40625.463280501201</v>
      </c>
      <c r="E6" s="6">
        <v>0</v>
      </c>
      <c r="F6" s="6">
        <v>8253.9479754855001</v>
      </c>
      <c r="G6" s="6">
        <v>0</v>
      </c>
      <c r="H6" s="6">
        <v>0</v>
      </c>
      <c r="I6" s="6">
        <v>0</v>
      </c>
      <c r="J6" s="6">
        <f t="shared" ref="J6:J15" si="1">SUM(B6:I6)</f>
        <v>511707.92812686373</v>
      </c>
      <c r="K6" s="6"/>
      <c r="L6" t="s">
        <v>12</v>
      </c>
      <c r="M6" s="6">
        <v>0</v>
      </c>
      <c r="N6" s="6">
        <v>515418</v>
      </c>
      <c r="O6" s="6">
        <v>88507</v>
      </c>
      <c r="P6" s="6">
        <v>0</v>
      </c>
      <c r="Q6" s="6">
        <v>3501</v>
      </c>
      <c r="R6" s="6">
        <v>0</v>
      </c>
      <c r="S6" s="6">
        <v>0</v>
      </c>
      <c r="T6" s="6">
        <v>0</v>
      </c>
      <c r="U6" s="6">
        <f t="shared" si="0"/>
        <v>607426</v>
      </c>
    </row>
    <row r="7" spans="1:21" x14ac:dyDescent="0.25">
      <c r="A7" t="s">
        <v>56</v>
      </c>
      <c r="B7" s="6">
        <v>0</v>
      </c>
      <c r="C7" s="6">
        <v>0</v>
      </c>
      <c r="D7" s="6">
        <v>342634.83680829027</v>
      </c>
      <c r="E7" s="6">
        <v>376.59752303599998</v>
      </c>
      <c r="F7" s="6">
        <v>261.65291355599999</v>
      </c>
      <c r="G7" s="6">
        <v>0</v>
      </c>
      <c r="H7" s="6">
        <v>0</v>
      </c>
      <c r="I7" s="6">
        <v>918.41112499999997</v>
      </c>
      <c r="J7" s="6">
        <f t="shared" si="1"/>
        <v>344191.49836988229</v>
      </c>
      <c r="K7" s="6"/>
      <c r="L7" t="s">
        <v>56</v>
      </c>
      <c r="M7" s="6">
        <v>0</v>
      </c>
      <c r="N7" s="6">
        <v>0</v>
      </c>
      <c r="O7" s="6">
        <v>409229</v>
      </c>
      <c r="P7" s="6">
        <v>0</v>
      </c>
      <c r="Q7" s="6">
        <v>1510</v>
      </c>
      <c r="R7" s="6">
        <v>0</v>
      </c>
      <c r="S7" s="6">
        <v>0</v>
      </c>
      <c r="T7" s="6">
        <v>0</v>
      </c>
      <c r="U7" s="6">
        <f t="shared" si="0"/>
        <v>410739</v>
      </c>
    </row>
    <row r="8" spans="1:21" x14ac:dyDescent="0.25">
      <c r="A8" t="s">
        <v>51</v>
      </c>
      <c r="B8" s="6">
        <v>0</v>
      </c>
      <c r="C8" s="6">
        <v>0</v>
      </c>
      <c r="D8" s="6">
        <v>0</v>
      </c>
      <c r="E8" s="6">
        <v>2793.2312176259998</v>
      </c>
      <c r="F8" s="6">
        <v>75442.259481748202</v>
      </c>
      <c r="G8" s="6">
        <v>0</v>
      </c>
      <c r="H8" s="6">
        <v>0</v>
      </c>
      <c r="I8" s="6">
        <v>0</v>
      </c>
      <c r="J8" s="6">
        <f t="shared" si="1"/>
        <v>78235.490699374204</v>
      </c>
      <c r="K8" s="6"/>
      <c r="L8" t="s">
        <v>51</v>
      </c>
      <c r="M8" s="6">
        <v>0</v>
      </c>
      <c r="N8" s="6">
        <v>0</v>
      </c>
      <c r="O8" s="6">
        <v>0</v>
      </c>
      <c r="P8" s="6">
        <v>0</v>
      </c>
      <c r="Q8" s="6">
        <v>22330</v>
      </c>
      <c r="R8" s="6">
        <v>0</v>
      </c>
      <c r="S8" s="6">
        <v>0</v>
      </c>
      <c r="T8" s="6">
        <v>0</v>
      </c>
      <c r="U8" s="6">
        <f t="shared" si="0"/>
        <v>22330</v>
      </c>
    </row>
    <row r="9" spans="1:21" x14ac:dyDescent="0.25">
      <c r="A9" t="s">
        <v>52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f t="shared" si="1"/>
        <v>0</v>
      </c>
      <c r="K9" s="6"/>
      <c r="L9" t="s">
        <v>52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f t="shared" si="0"/>
        <v>0</v>
      </c>
    </row>
    <row r="10" spans="1:21" x14ac:dyDescent="0.25">
      <c r="A10" t="s">
        <v>53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1"/>
        <v>0</v>
      </c>
      <c r="K10" s="6"/>
      <c r="L10" t="s">
        <v>53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f t="shared" si="0"/>
        <v>0</v>
      </c>
    </row>
    <row r="11" spans="1:21" x14ac:dyDescent="0.25">
      <c r="A11" t="s">
        <v>54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f t="shared" si="1"/>
        <v>0</v>
      </c>
      <c r="K11" s="6"/>
      <c r="L11" t="s">
        <v>54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f t="shared" si="0"/>
        <v>0</v>
      </c>
    </row>
    <row r="12" spans="1:21" x14ac:dyDescent="0.25">
      <c r="A12" t="s">
        <v>55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f t="shared" si="1"/>
        <v>0</v>
      </c>
      <c r="K12" s="6"/>
      <c r="L12" t="s">
        <v>55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f t="shared" si="0"/>
        <v>0</v>
      </c>
    </row>
    <row r="13" spans="1:21" x14ac:dyDescent="0.25">
      <c r="A13" t="s">
        <v>24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4801.4673750000002</v>
      </c>
      <c r="J13" s="6">
        <f t="shared" si="1"/>
        <v>4801.4673750000002</v>
      </c>
      <c r="K13" s="6"/>
      <c r="L13" t="s">
        <v>24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f t="shared" si="0"/>
        <v>0</v>
      </c>
    </row>
    <row r="14" spans="1:21" x14ac:dyDescent="0.25">
      <c r="A14" t="s">
        <v>4</v>
      </c>
      <c r="B14" s="6">
        <v>1493.612561511</v>
      </c>
      <c r="C14" s="6">
        <v>597.85108061999995</v>
      </c>
      <c r="D14" s="6">
        <v>0</v>
      </c>
      <c r="E14" s="6">
        <v>0</v>
      </c>
      <c r="F14" s="6">
        <v>1500.0824668719999</v>
      </c>
      <c r="G14" s="6">
        <v>14834.572279027601</v>
      </c>
      <c r="H14" s="6">
        <v>0</v>
      </c>
      <c r="I14" s="6">
        <v>0</v>
      </c>
      <c r="J14" s="6">
        <f t="shared" si="1"/>
        <v>18426.118388030602</v>
      </c>
      <c r="K14" s="6"/>
      <c r="L14" t="s">
        <v>4</v>
      </c>
      <c r="M14" s="6">
        <v>894</v>
      </c>
      <c r="N14" s="6">
        <v>1189</v>
      </c>
      <c r="O14" s="6">
        <v>851</v>
      </c>
      <c r="P14" s="6">
        <v>0</v>
      </c>
      <c r="Q14" s="6">
        <v>415</v>
      </c>
      <c r="R14" s="6">
        <v>32463</v>
      </c>
      <c r="S14" s="6">
        <v>0</v>
      </c>
      <c r="T14" s="6">
        <v>0</v>
      </c>
      <c r="U14" s="6">
        <f t="shared" si="0"/>
        <v>35812</v>
      </c>
    </row>
    <row r="15" spans="1:21" x14ac:dyDescent="0.25">
      <c r="A15" s="4" t="s">
        <v>5</v>
      </c>
      <c r="B15" s="10">
        <v>10978.524697376701</v>
      </c>
      <c r="C15" s="10">
        <v>4407.4861800294002</v>
      </c>
      <c r="D15" s="10">
        <v>4407.5817223415997</v>
      </c>
      <c r="E15" s="10">
        <v>239.33438527199999</v>
      </c>
      <c r="F15" s="10">
        <v>19518.690078103202</v>
      </c>
      <c r="G15" s="10">
        <v>2685.7757221400002</v>
      </c>
      <c r="H15" s="10">
        <v>149584.7963929759</v>
      </c>
      <c r="I15" s="10">
        <v>0</v>
      </c>
      <c r="J15" s="6">
        <f t="shared" si="1"/>
        <v>191822.1891782388</v>
      </c>
      <c r="K15" s="6"/>
      <c r="L15" s="4" t="s">
        <v>5</v>
      </c>
      <c r="M15" s="8">
        <v>8199</v>
      </c>
      <c r="N15" s="8">
        <v>5527</v>
      </c>
      <c r="O15" s="8">
        <v>3394</v>
      </c>
      <c r="P15" s="8">
        <v>0</v>
      </c>
      <c r="Q15" s="8">
        <v>4904</v>
      </c>
      <c r="R15" s="8">
        <v>2346</v>
      </c>
      <c r="S15" s="8">
        <v>110321</v>
      </c>
      <c r="T15" s="8">
        <v>0</v>
      </c>
      <c r="U15" s="6">
        <f t="shared" si="0"/>
        <v>134691</v>
      </c>
    </row>
    <row r="16" spans="1:21" ht="15.75" thickBot="1" x14ac:dyDescent="0.3">
      <c r="A16" s="12" t="s">
        <v>7</v>
      </c>
      <c r="B16" s="16">
        <f t="shared" ref="B16:J16" si="2">SUM(B5:B15)</f>
        <v>708638.01161206386</v>
      </c>
      <c r="C16" s="16">
        <f t="shared" si="2"/>
        <v>496808.01385396125</v>
      </c>
      <c r="D16" s="16">
        <f t="shared" si="2"/>
        <v>402290.07893586037</v>
      </c>
      <c r="E16" s="16">
        <f t="shared" si="2"/>
        <v>6879.0883700299992</v>
      </c>
      <c r="F16" s="16">
        <f t="shared" si="2"/>
        <v>106026.92663193791</v>
      </c>
      <c r="G16" s="16">
        <f t="shared" si="2"/>
        <v>17520.3480011676</v>
      </c>
      <c r="H16" s="16">
        <f t="shared" si="2"/>
        <v>149584.7963929759</v>
      </c>
      <c r="I16" s="16">
        <f t="shared" si="2"/>
        <v>5719.8784999999998</v>
      </c>
      <c r="J16" s="16">
        <f t="shared" si="2"/>
        <v>1893467.1422979971</v>
      </c>
      <c r="L16" s="9" t="s">
        <v>7</v>
      </c>
      <c r="M16" s="16">
        <f t="shared" ref="M16:U16" si="3">SUM(M5:M15)</f>
        <v>630125</v>
      </c>
      <c r="N16" s="16">
        <f t="shared" si="3"/>
        <v>566294</v>
      </c>
      <c r="O16" s="16">
        <f t="shared" si="3"/>
        <v>515321</v>
      </c>
      <c r="P16" s="16">
        <f t="shared" si="3"/>
        <v>0</v>
      </c>
      <c r="Q16" s="16">
        <f t="shared" si="3"/>
        <v>32950</v>
      </c>
      <c r="R16" s="16">
        <f t="shared" si="3"/>
        <v>34809</v>
      </c>
      <c r="S16" s="16">
        <f t="shared" si="3"/>
        <v>110321</v>
      </c>
      <c r="T16" s="16">
        <f t="shared" si="3"/>
        <v>0</v>
      </c>
      <c r="U16" s="16">
        <f t="shared" si="3"/>
        <v>1889820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44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44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0.98239984723580509</v>
      </c>
      <c r="C22" s="13">
        <f t="shared" si="4"/>
        <v>5.8320636774091716E-2</v>
      </c>
      <c r="D22" s="13">
        <f t="shared" si="4"/>
        <v>3.6347396792399171E-2</v>
      </c>
      <c r="E22" s="13">
        <f t="shared" si="4"/>
        <v>0.50441643680772597</v>
      </c>
      <c r="F22" s="13">
        <f t="shared" si="4"/>
        <v>9.9059149362971891E-3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0.39307914752474266</v>
      </c>
      <c r="K22" s="6"/>
      <c r="L22" t="s">
        <v>1</v>
      </c>
      <c r="M22" s="13">
        <f t="shared" ref="M22:P22" si="5">M5/M$16</f>
        <v>0.98556952985518742</v>
      </c>
      <c r="N22" s="13">
        <f t="shared" si="5"/>
        <v>7.7980695539772632E-2</v>
      </c>
      <c r="O22" s="13">
        <f t="shared" si="5"/>
        <v>2.5886777367893021E-2</v>
      </c>
      <c r="P22" s="13" t="e">
        <f t="shared" si="5"/>
        <v>#DIV/0!</v>
      </c>
      <c r="Q22" s="13">
        <f t="shared" ref="Q22:U33" si="6">Q5/Q$16</f>
        <v>8.8012139605462818E-3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0.35919928882115759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0.93160437022847087</v>
      </c>
      <c r="D23" s="13">
        <f t="shared" si="7"/>
        <v>0.10098549630645595</v>
      </c>
      <c r="E23" s="13">
        <f t="shared" si="7"/>
        <v>0</v>
      </c>
      <c r="F23" s="13">
        <f t="shared" si="7"/>
        <v>7.7847658492811667E-2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0.27024917237583107</v>
      </c>
      <c r="K23" s="6"/>
      <c r="L23" t="s">
        <v>12</v>
      </c>
      <c r="M23" s="13">
        <f t="shared" ref="M23:P23" si="8">M6/M$16</f>
        <v>0</v>
      </c>
      <c r="N23" s="13">
        <f t="shared" si="8"/>
        <v>0.91015974034688696</v>
      </c>
      <c r="O23" s="13">
        <f t="shared" si="8"/>
        <v>0.17175119973763925</v>
      </c>
      <c r="P23" s="13" t="e">
        <f t="shared" si="8"/>
        <v>#DIV/0!</v>
      </c>
      <c r="Q23" s="13">
        <f t="shared" si="6"/>
        <v>0.10625189681335356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0.3214200294207914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0.85171087916120025</v>
      </c>
      <c r="E24" s="13">
        <f t="shared" si="9"/>
        <v>5.47452660554145E-2</v>
      </c>
      <c r="F24" s="13">
        <f t="shared" si="9"/>
        <v>2.4677968311229322E-3</v>
      </c>
      <c r="G24" s="13">
        <f t="shared" si="9"/>
        <v>0</v>
      </c>
      <c r="H24" s="13">
        <f t="shared" si="9"/>
        <v>0</v>
      </c>
      <c r="I24" s="13">
        <f t="shared" si="9"/>
        <v>0.16056479608788893</v>
      </c>
      <c r="J24" s="13">
        <f t="shared" si="9"/>
        <v>0.18177843738664298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0.79412443894194107</v>
      </c>
      <c r="P24" s="13" t="e">
        <f t="shared" si="10"/>
        <v>#DIV/0!</v>
      </c>
      <c r="Q24" s="13">
        <f t="shared" si="6"/>
        <v>4.582701062215478E-2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0.21734292154808393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0.40604671249685059</v>
      </c>
      <c r="F25" s="13">
        <f t="shared" si="11"/>
        <v>0.71153868058100578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4.1318641845785653E-2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0.67769347496206378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1.1815940142447429E-2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0.83943520391211113</v>
      </c>
      <c r="J30" s="13">
        <f t="shared" si="21"/>
        <v>2.5358070746201188E-3</v>
      </c>
      <c r="K30" s="6"/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2.1077228952384535E-3</v>
      </c>
      <c r="C31" s="13">
        <f t="shared" si="23"/>
        <v>1.2033845347666648E-3</v>
      </c>
      <c r="D31" s="13">
        <f t="shared" si="23"/>
        <v>0</v>
      </c>
      <c r="E31" s="13">
        <f t="shared" si="23"/>
        <v>0</v>
      </c>
      <c r="F31" s="13">
        <f t="shared" si="23"/>
        <v>1.4148127409930397E-2</v>
      </c>
      <c r="G31" s="13">
        <f t="shared" si="23"/>
        <v>0.84670534386868279</v>
      </c>
      <c r="H31" s="13">
        <f t="shared" si="23"/>
        <v>0</v>
      </c>
      <c r="I31" s="13">
        <f t="shared" si="23"/>
        <v>0</v>
      </c>
      <c r="J31" s="13">
        <f t="shared" si="23"/>
        <v>9.7314170266867336E-3</v>
      </c>
      <c r="K31" s="6"/>
      <c r="L31" t="s">
        <v>4</v>
      </c>
      <c r="M31" s="13">
        <f t="shared" ref="M31:P31" si="24">M14/M$16</f>
        <v>1.4187661178337631E-3</v>
      </c>
      <c r="N31" s="13">
        <f t="shared" si="24"/>
        <v>2.09961610047078E-3</v>
      </c>
      <c r="O31" s="13">
        <f t="shared" si="24"/>
        <v>1.6513978665724858E-3</v>
      </c>
      <c r="P31" s="13" t="e">
        <f t="shared" si="24"/>
        <v>#DIV/0!</v>
      </c>
      <c r="Q31" s="13">
        <f t="shared" si="6"/>
        <v>1.2594840667678301E-2</v>
      </c>
      <c r="R31" s="13">
        <f t="shared" si="6"/>
        <v>0.93260363699043347</v>
      </c>
      <c r="S31" s="13">
        <f t="shared" si="6"/>
        <v>0</v>
      </c>
      <c r="T31" s="13" t="e">
        <f t="shared" si="6"/>
        <v>#DIV/0!</v>
      </c>
      <c r="U31" s="13">
        <f t="shared" si="6"/>
        <v>1.8949952905567728E-2</v>
      </c>
    </row>
    <row r="32" spans="1:21" x14ac:dyDescent="0.25">
      <c r="A32" s="4" t="s">
        <v>5</v>
      </c>
      <c r="B32" s="14">
        <f t="shared" ref="B32:J32" si="25">B15/B$16</f>
        <v>1.5492429868956527E-2</v>
      </c>
      <c r="C32" s="14">
        <f t="shared" si="25"/>
        <v>8.8716084626706496E-3</v>
      </c>
      <c r="D32" s="14">
        <f t="shared" si="25"/>
        <v>1.0956227739944658E-2</v>
      </c>
      <c r="E32" s="14">
        <f t="shared" si="25"/>
        <v>3.4791584640008963E-2</v>
      </c>
      <c r="F32" s="14">
        <f t="shared" si="25"/>
        <v>0.18409182174883199</v>
      </c>
      <c r="G32" s="14">
        <f t="shared" si="25"/>
        <v>0.15329465613131732</v>
      </c>
      <c r="H32" s="14">
        <f t="shared" si="25"/>
        <v>1</v>
      </c>
      <c r="I32" s="14">
        <f t="shared" si="25"/>
        <v>0</v>
      </c>
      <c r="J32" s="14">
        <f t="shared" si="25"/>
        <v>0.10130737676569065</v>
      </c>
      <c r="K32" s="6"/>
      <c r="L32" s="4" t="s">
        <v>5</v>
      </c>
      <c r="M32" s="14">
        <f t="shared" ref="M32:P32" si="26">M15/M$16</f>
        <v>1.3011704026978774E-2</v>
      </c>
      <c r="N32" s="14">
        <f t="shared" si="26"/>
        <v>9.7599480128696403E-3</v>
      </c>
      <c r="O32" s="14">
        <f t="shared" si="26"/>
        <v>6.5861860859541916E-3</v>
      </c>
      <c r="P32" s="14" t="e">
        <f t="shared" si="26"/>
        <v>#DIV/0!</v>
      </c>
      <c r="Q32" s="14">
        <f t="shared" si="6"/>
        <v>0.14883156297420333</v>
      </c>
      <c r="R32" s="14">
        <f t="shared" si="6"/>
        <v>6.7396363009566487E-2</v>
      </c>
      <c r="S32" s="14">
        <f t="shared" si="6"/>
        <v>1</v>
      </c>
      <c r="T32" s="14" t="e">
        <f t="shared" si="6"/>
        <v>#DIV/0!</v>
      </c>
      <c r="U32" s="14">
        <f t="shared" si="6"/>
        <v>7.1271867161951927E-2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44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3.1696826193823302E-3</v>
      </c>
      <c r="N39" s="13">
        <f t="shared" si="29"/>
        <v>1.9660058765680916E-2</v>
      </c>
      <c r="O39" s="13">
        <f t="shared" si="29"/>
        <v>-1.046061942450615E-2</v>
      </c>
      <c r="P39" s="13" t="e">
        <f t="shared" si="29"/>
        <v>#DIV/0!</v>
      </c>
      <c r="Q39" s="13">
        <f t="shared" ref="Q39:Q50" si="30">Q22-F22</f>
        <v>-1.1047009757509073E-3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-3.3879858703585064E-2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-2.144462988158391E-2</v>
      </c>
      <c r="O40" s="13">
        <f t="shared" si="29"/>
        <v>7.0765703431183297E-2</v>
      </c>
      <c r="P40" s="13" t="e">
        <f t="shared" si="29"/>
        <v>#DIV/0!</v>
      </c>
      <c r="Q40" s="13">
        <f t="shared" si="30"/>
        <v>2.8404238320541897E-2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5.1170857044960327E-2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-5.7586440219259183E-2</v>
      </c>
      <c r="P41" s="13" t="e">
        <f t="shared" si="29"/>
        <v>#DIV/0!</v>
      </c>
      <c r="Q41" s="13">
        <f t="shared" si="30"/>
        <v>4.3359213791031845E-2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3.5564484161440951E-2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-3.3845205618941998E-2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-2.9502701703338224E-2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-2.5358070746201188E-3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-6.8895677740469044E-4</v>
      </c>
      <c r="N48" s="13">
        <f t="shared" si="39"/>
        <v>8.9623156570411522E-4</v>
      </c>
      <c r="O48" s="13">
        <f t="shared" si="39"/>
        <v>1.6513978665724858E-3</v>
      </c>
      <c r="P48" s="13" t="e">
        <f t="shared" si="39"/>
        <v>#DIV/0!</v>
      </c>
      <c r="Q48" s="13">
        <f t="shared" si="30"/>
        <v>-1.5532867422520958E-3</v>
      </c>
      <c r="R48" s="13">
        <f t="shared" si="31"/>
        <v>8.589829312175068E-2</v>
      </c>
      <c r="S48" s="13">
        <f t="shared" si="32"/>
        <v>0</v>
      </c>
      <c r="T48" s="13" t="e">
        <f t="shared" si="33"/>
        <v>#DIV/0!</v>
      </c>
      <c r="U48" s="13">
        <f t="shared" si="34"/>
        <v>9.2185358788809939E-3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-2.4807258419777527E-3</v>
      </c>
      <c r="N49" s="17">
        <f t="shared" si="39"/>
        <v>8.8833955019899068E-4</v>
      </c>
      <c r="O49" s="17">
        <f t="shared" si="39"/>
        <v>-4.3700416539904667E-3</v>
      </c>
      <c r="P49" s="17" t="e">
        <f t="shared" si="39"/>
        <v>#DIV/0!</v>
      </c>
      <c r="Q49" s="17">
        <f t="shared" si="30"/>
        <v>-3.5260258774628656E-2</v>
      </c>
      <c r="R49" s="17">
        <f t="shared" si="31"/>
        <v>-8.5898293121750832E-2</v>
      </c>
      <c r="S49" s="17">
        <f t="shared" si="32"/>
        <v>0</v>
      </c>
      <c r="T49" s="17" t="e">
        <f t="shared" si="33"/>
        <v>#DIV/0!</v>
      </c>
      <c r="U49" s="13">
        <f t="shared" si="34"/>
        <v>-3.0035509603738728E-2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AF50"/>
  <sheetViews>
    <sheetView workbookViewId="0"/>
  </sheetViews>
  <sheetFormatPr defaultRowHeight="15" x14ac:dyDescent="0.25"/>
  <cols>
    <col min="1" max="1" width="25" customWidth="1" collapsed="1"/>
    <col min="2" max="10" width="10.7109375" customWidth="1" collapsed="1"/>
    <col min="11" max="11" width="3.7109375" customWidth="1" collapsed="1"/>
    <col min="12" max="12" width="25" customWidth="1" collapsed="1"/>
    <col min="13" max="22" width="10.7109375" customWidth="1" collapsed="1"/>
    <col min="23" max="23" width="17" customWidth="1" collapsed="1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57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57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v>730719.59968594625</v>
      </c>
      <c r="C5" s="6">
        <v>8759.8979467271001</v>
      </c>
      <c r="D5" s="6">
        <v>1391.45300628</v>
      </c>
      <c r="E5" s="6">
        <v>576.23121301000003</v>
      </c>
      <c r="F5" s="6">
        <v>482.69002964700002</v>
      </c>
      <c r="G5" s="6">
        <v>0</v>
      </c>
      <c r="H5" s="6">
        <v>0</v>
      </c>
      <c r="I5" s="6">
        <v>0</v>
      </c>
      <c r="J5" s="6">
        <f>SUM(B5:I5)</f>
        <v>741929.87188161036</v>
      </c>
      <c r="K5" s="6"/>
      <c r="L5" t="s">
        <v>1</v>
      </c>
      <c r="M5" s="6">
        <v>626482</v>
      </c>
      <c r="N5" s="6">
        <v>25410</v>
      </c>
      <c r="O5" s="6">
        <v>8925</v>
      </c>
      <c r="P5" s="6">
        <v>0</v>
      </c>
      <c r="Q5" s="6">
        <v>146</v>
      </c>
      <c r="R5" s="6">
        <v>0</v>
      </c>
      <c r="S5" s="6">
        <v>0</v>
      </c>
      <c r="T5" s="6">
        <v>0</v>
      </c>
      <c r="U5" s="6">
        <f t="shared" ref="U5:U15" si="0">SUM(M5:T5)</f>
        <v>660963</v>
      </c>
    </row>
    <row r="6" spans="1:21" x14ac:dyDescent="0.25">
      <c r="A6" t="s">
        <v>12</v>
      </c>
      <c r="B6" s="6">
        <v>0</v>
      </c>
      <c r="C6" s="6">
        <v>496010.05884487188</v>
      </c>
      <c r="D6" s="6">
        <v>35227.769965072002</v>
      </c>
      <c r="E6" s="6">
        <v>0</v>
      </c>
      <c r="F6" s="6">
        <v>835.83004737600004</v>
      </c>
      <c r="G6" s="6">
        <v>0</v>
      </c>
      <c r="H6" s="6">
        <v>0</v>
      </c>
      <c r="I6" s="6">
        <v>0</v>
      </c>
      <c r="J6" s="6">
        <f t="shared" ref="J6:J15" si="1">SUM(B6:I6)</f>
        <v>532073.65885731985</v>
      </c>
      <c r="K6" s="6"/>
      <c r="L6" t="s">
        <v>12</v>
      </c>
      <c r="M6" s="6">
        <v>0</v>
      </c>
      <c r="N6" s="6">
        <v>484721</v>
      </c>
      <c r="O6" s="6">
        <v>84000</v>
      </c>
      <c r="P6" s="6">
        <v>0</v>
      </c>
      <c r="Q6" s="6">
        <v>2487</v>
      </c>
      <c r="R6" s="6">
        <v>0</v>
      </c>
      <c r="S6" s="6">
        <v>0</v>
      </c>
      <c r="T6" s="6">
        <v>0</v>
      </c>
      <c r="U6" s="6">
        <f t="shared" si="0"/>
        <v>571208</v>
      </c>
    </row>
    <row r="7" spans="1:21" x14ac:dyDescent="0.25">
      <c r="A7" t="s">
        <v>56</v>
      </c>
      <c r="B7" s="6">
        <v>0</v>
      </c>
      <c r="C7" s="6">
        <v>0</v>
      </c>
      <c r="D7" s="6">
        <v>367822.11747350817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f t="shared" si="1"/>
        <v>367822.11747350817</v>
      </c>
      <c r="K7" s="6"/>
      <c r="L7" t="s">
        <v>56</v>
      </c>
      <c r="M7" s="6">
        <v>0</v>
      </c>
      <c r="N7" s="6">
        <v>0</v>
      </c>
      <c r="O7" s="6">
        <v>407279</v>
      </c>
      <c r="P7" s="6">
        <v>0</v>
      </c>
      <c r="Q7" s="6">
        <v>1090</v>
      </c>
      <c r="R7" s="6">
        <v>0</v>
      </c>
      <c r="S7" s="6">
        <v>0</v>
      </c>
      <c r="T7" s="6">
        <v>0</v>
      </c>
      <c r="U7" s="6">
        <f t="shared" si="0"/>
        <v>408369</v>
      </c>
    </row>
    <row r="8" spans="1:21" x14ac:dyDescent="0.25">
      <c r="A8" t="s">
        <v>51</v>
      </c>
      <c r="B8" s="6">
        <v>0</v>
      </c>
      <c r="C8" s="6">
        <v>0</v>
      </c>
      <c r="D8" s="6">
        <v>0</v>
      </c>
      <c r="E8" s="6">
        <v>983.15803261200006</v>
      </c>
      <c r="F8" s="6">
        <v>77355.061935165795</v>
      </c>
      <c r="G8" s="6">
        <v>0</v>
      </c>
      <c r="H8" s="6">
        <v>0</v>
      </c>
      <c r="I8" s="6">
        <v>0</v>
      </c>
      <c r="J8" s="6">
        <f t="shared" si="1"/>
        <v>78338.219967777797</v>
      </c>
      <c r="K8" s="6"/>
      <c r="L8" t="s">
        <v>51</v>
      </c>
      <c r="M8" s="6">
        <v>0</v>
      </c>
      <c r="N8" s="6">
        <v>0</v>
      </c>
      <c r="O8" s="6">
        <v>0</v>
      </c>
      <c r="P8" s="6">
        <v>0</v>
      </c>
      <c r="Q8" s="6">
        <v>13114</v>
      </c>
      <c r="R8" s="6">
        <v>0</v>
      </c>
      <c r="S8" s="6">
        <v>0</v>
      </c>
      <c r="T8" s="6">
        <v>0</v>
      </c>
      <c r="U8" s="6">
        <f t="shared" si="0"/>
        <v>13114</v>
      </c>
    </row>
    <row r="9" spans="1:21" x14ac:dyDescent="0.25">
      <c r="A9" t="s">
        <v>52</v>
      </c>
      <c r="B9" s="6">
        <v>0</v>
      </c>
      <c r="C9" s="6">
        <v>0</v>
      </c>
      <c r="D9" s="6">
        <v>0</v>
      </c>
      <c r="E9" s="6">
        <v>0</v>
      </c>
      <c r="F9" s="6">
        <v>65.309439390700007</v>
      </c>
      <c r="G9" s="6">
        <v>0</v>
      </c>
      <c r="H9" s="6">
        <v>0</v>
      </c>
      <c r="I9" s="6">
        <v>0</v>
      </c>
      <c r="J9" s="6">
        <f t="shared" si="1"/>
        <v>65.309439390700007</v>
      </c>
      <c r="K9" s="6"/>
      <c r="L9" t="s">
        <v>52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f t="shared" si="0"/>
        <v>0</v>
      </c>
    </row>
    <row r="10" spans="1:21" x14ac:dyDescent="0.25">
      <c r="A10" t="s">
        <v>53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1"/>
        <v>0</v>
      </c>
      <c r="K10" s="6"/>
      <c r="L10" t="s">
        <v>53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f t="shared" si="0"/>
        <v>0</v>
      </c>
    </row>
    <row r="11" spans="1:21" x14ac:dyDescent="0.25">
      <c r="A11" t="s">
        <v>54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f t="shared" si="1"/>
        <v>0</v>
      </c>
      <c r="K11" s="6"/>
      <c r="L11" t="s">
        <v>54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f t="shared" si="0"/>
        <v>0</v>
      </c>
    </row>
    <row r="12" spans="1:21" x14ac:dyDescent="0.25">
      <c r="A12" t="s">
        <v>55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f t="shared" si="1"/>
        <v>0</v>
      </c>
      <c r="K12" s="6"/>
      <c r="L12" t="s">
        <v>55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f t="shared" si="0"/>
        <v>0</v>
      </c>
    </row>
    <row r="13" spans="1:21" x14ac:dyDescent="0.25">
      <c r="A13" t="s">
        <v>24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f t="shared" si="1"/>
        <v>0</v>
      </c>
      <c r="K13" s="6"/>
      <c r="L13" t="s">
        <v>24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f t="shared" si="0"/>
        <v>0</v>
      </c>
    </row>
    <row r="14" spans="1:21" x14ac:dyDescent="0.25">
      <c r="A14" t="s">
        <v>4</v>
      </c>
      <c r="B14" s="6">
        <v>284.56354383299998</v>
      </c>
      <c r="C14" s="6">
        <v>96.386756749499995</v>
      </c>
      <c r="D14" s="6">
        <v>0</v>
      </c>
      <c r="E14" s="6">
        <v>0</v>
      </c>
      <c r="F14" s="6">
        <v>0</v>
      </c>
      <c r="G14" s="6">
        <v>7785.3744466986</v>
      </c>
      <c r="H14" s="6">
        <v>0</v>
      </c>
      <c r="I14" s="6">
        <v>0</v>
      </c>
      <c r="J14" s="6">
        <f t="shared" si="1"/>
        <v>8166.3247472810999</v>
      </c>
      <c r="K14" s="6"/>
      <c r="L14" t="s">
        <v>4</v>
      </c>
      <c r="M14" s="6">
        <v>927</v>
      </c>
      <c r="N14" s="6">
        <v>818</v>
      </c>
      <c r="O14" s="6">
        <v>516</v>
      </c>
      <c r="P14" s="6">
        <v>0</v>
      </c>
      <c r="Q14" s="6">
        <v>193</v>
      </c>
      <c r="R14" s="6">
        <v>38568</v>
      </c>
      <c r="S14" s="6">
        <v>0</v>
      </c>
      <c r="T14" s="6">
        <v>0</v>
      </c>
      <c r="U14" s="6">
        <f t="shared" si="0"/>
        <v>41022</v>
      </c>
    </row>
    <row r="15" spans="1:21" x14ac:dyDescent="0.25">
      <c r="A15" s="4" t="s">
        <v>5</v>
      </c>
      <c r="B15" s="10">
        <v>8246.9502218850994</v>
      </c>
      <c r="C15" s="10">
        <v>7917.6446230860001</v>
      </c>
      <c r="D15" s="10">
        <v>12535.3637717784</v>
      </c>
      <c r="E15" s="10">
        <v>169.30439340800001</v>
      </c>
      <c r="F15" s="10">
        <v>41665.334593830899</v>
      </c>
      <c r="G15" s="10">
        <v>96.316421454600004</v>
      </c>
      <c r="H15" s="10">
        <v>175896.83827137441</v>
      </c>
      <c r="I15" s="10">
        <v>0</v>
      </c>
      <c r="J15" s="6">
        <f t="shared" si="1"/>
        <v>246527.7522968174</v>
      </c>
      <c r="K15" s="6"/>
      <c r="L15" s="4" t="s">
        <v>5</v>
      </c>
      <c r="M15" s="8">
        <v>10039</v>
      </c>
      <c r="N15" s="8">
        <v>3620</v>
      </c>
      <c r="O15" s="8">
        <v>2224</v>
      </c>
      <c r="P15" s="8">
        <v>0</v>
      </c>
      <c r="Q15" s="8">
        <v>2532</v>
      </c>
      <c r="R15" s="8">
        <v>2613</v>
      </c>
      <c r="S15" s="8">
        <v>132550</v>
      </c>
      <c r="T15" s="8">
        <v>0</v>
      </c>
      <c r="U15" s="6">
        <f t="shared" si="0"/>
        <v>153578</v>
      </c>
    </row>
    <row r="16" spans="1:21" ht="15.75" thickBot="1" x14ac:dyDescent="0.3">
      <c r="A16" s="12" t="s">
        <v>7</v>
      </c>
      <c r="B16" s="16">
        <f t="shared" ref="B16:J16" si="2">SUM(B5:B15)</f>
        <v>739251.11345166434</v>
      </c>
      <c r="C16" s="16">
        <f t="shared" si="2"/>
        <v>512783.98817143444</v>
      </c>
      <c r="D16" s="16">
        <f t="shared" si="2"/>
        <v>416976.70421663858</v>
      </c>
      <c r="E16" s="16">
        <f t="shared" si="2"/>
        <v>1728.6936390300002</v>
      </c>
      <c r="F16" s="16">
        <f t="shared" si="2"/>
        <v>120404.22604541038</v>
      </c>
      <c r="G16" s="16">
        <f t="shared" si="2"/>
        <v>7881.6908681532004</v>
      </c>
      <c r="H16" s="16">
        <f t="shared" si="2"/>
        <v>175896.83827137441</v>
      </c>
      <c r="I16" s="16">
        <f t="shared" si="2"/>
        <v>0</v>
      </c>
      <c r="J16" s="16">
        <f t="shared" si="2"/>
        <v>1974923.2546637056</v>
      </c>
      <c r="L16" s="9" t="s">
        <v>7</v>
      </c>
      <c r="M16" s="16">
        <f t="shared" ref="M16:U16" si="3">SUM(M5:M15)</f>
        <v>637448</v>
      </c>
      <c r="N16" s="16">
        <f t="shared" si="3"/>
        <v>514569</v>
      </c>
      <c r="O16" s="16">
        <f t="shared" si="3"/>
        <v>502944</v>
      </c>
      <c r="P16" s="16">
        <f t="shared" si="3"/>
        <v>0</v>
      </c>
      <c r="Q16" s="16">
        <f t="shared" si="3"/>
        <v>19562</v>
      </c>
      <c r="R16" s="16">
        <f t="shared" si="3"/>
        <v>41181</v>
      </c>
      <c r="S16" s="16">
        <f t="shared" si="3"/>
        <v>132550</v>
      </c>
      <c r="T16" s="16">
        <f t="shared" si="3"/>
        <v>0</v>
      </c>
      <c r="U16" s="16">
        <f t="shared" si="3"/>
        <v>1848254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57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57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0.98845924800047535</v>
      </c>
      <c r="C22" s="13">
        <f t="shared" si="4"/>
        <v>1.7083017701009968E-2</v>
      </c>
      <c r="D22" s="13">
        <f t="shared" si="4"/>
        <v>3.3370041832290853E-3</v>
      </c>
      <c r="E22" s="13">
        <f t="shared" si="4"/>
        <v>0.33333333333333331</v>
      </c>
      <c r="F22" s="13">
        <f t="shared" si="4"/>
        <v>4.008912689368177E-3</v>
      </c>
      <c r="G22" s="13">
        <f t="shared" si="4"/>
        <v>0</v>
      </c>
      <c r="H22" s="13">
        <f t="shared" si="4"/>
        <v>0</v>
      </c>
      <c r="I22" s="13" t="e">
        <f t="shared" si="4"/>
        <v>#DIV/0!</v>
      </c>
      <c r="J22" s="13">
        <f t="shared" si="4"/>
        <v>0.37567529276369166</v>
      </c>
      <c r="K22" s="6"/>
      <c r="L22" t="s">
        <v>1</v>
      </c>
      <c r="M22" s="13">
        <f t="shared" ref="M22:P22" si="5">M5/M$16</f>
        <v>0.98279702814974712</v>
      </c>
      <c r="N22" s="13">
        <f t="shared" si="5"/>
        <v>4.9381132559481816E-2</v>
      </c>
      <c r="O22" s="13">
        <f t="shared" si="5"/>
        <v>1.7745514411147165E-2</v>
      </c>
      <c r="P22" s="13" t="e">
        <f t="shared" si="5"/>
        <v>#DIV/0!</v>
      </c>
      <c r="Q22" s="13">
        <f t="shared" ref="Q22:U33" si="6">Q5/Q$16</f>
        <v>7.4634495450362952E-3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0.35761480835426301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0.96728850800045907</v>
      </c>
      <c r="D23" s="13">
        <f t="shared" si="7"/>
        <v>8.4483784366930853E-2</v>
      </c>
      <c r="E23" s="13">
        <f t="shared" si="7"/>
        <v>0</v>
      </c>
      <c r="F23" s="13">
        <f t="shared" si="7"/>
        <v>6.9418663682183981E-3</v>
      </c>
      <c r="G23" s="13">
        <f t="shared" si="7"/>
        <v>0</v>
      </c>
      <c r="H23" s="13">
        <f t="shared" si="7"/>
        <v>0</v>
      </c>
      <c r="I23" s="13" t="e">
        <f t="shared" si="7"/>
        <v>#DIV/0!</v>
      </c>
      <c r="J23" s="13">
        <f t="shared" si="7"/>
        <v>0.26941485326118281</v>
      </c>
      <c r="K23" s="6"/>
      <c r="L23" t="s">
        <v>12</v>
      </c>
      <c r="M23" s="13">
        <f t="shared" ref="M23:P23" si="8">M6/M$16</f>
        <v>0</v>
      </c>
      <c r="N23" s="13">
        <f t="shared" si="8"/>
        <v>0.94199417376484007</v>
      </c>
      <c r="O23" s="13">
        <f t="shared" si="8"/>
        <v>0.16701660622256156</v>
      </c>
      <c r="P23" s="13" t="e">
        <f t="shared" si="8"/>
        <v>#DIV/0!</v>
      </c>
      <c r="Q23" s="13">
        <f t="shared" si="6"/>
        <v>0.12713423985277578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0.30905276006436344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0.88211670760965977</v>
      </c>
      <c r="E24" s="13">
        <f t="shared" si="9"/>
        <v>0</v>
      </c>
      <c r="F24" s="13">
        <f t="shared" si="9"/>
        <v>0</v>
      </c>
      <c r="G24" s="13">
        <f t="shared" si="9"/>
        <v>0</v>
      </c>
      <c r="H24" s="13">
        <f t="shared" si="9"/>
        <v>0</v>
      </c>
      <c r="I24" s="13" t="e">
        <f t="shared" si="9"/>
        <v>#DIV/0!</v>
      </c>
      <c r="J24" s="13">
        <f t="shared" si="9"/>
        <v>0.18624628405428431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0.80978995673474585</v>
      </c>
      <c r="P24" s="13" t="e">
        <f t="shared" si="10"/>
        <v>#DIV/0!</v>
      </c>
      <c r="Q24" s="13">
        <f t="shared" si="6"/>
        <v>5.5720274000613433E-2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0.22094852763743511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0.5687289004913948</v>
      </c>
      <c r="F25" s="13">
        <f t="shared" si="11"/>
        <v>0.64246135269364535</v>
      </c>
      <c r="G25" s="13">
        <f t="shared" si="11"/>
        <v>0</v>
      </c>
      <c r="H25" s="13">
        <f t="shared" si="11"/>
        <v>0</v>
      </c>
      <c r="I25" s="13" t="e">
        <f t="shared" si="11"/>
        <v>#DIV/0!</v>
      </c>
      <c r="J25" s="13">
        <f t="shared" si="11"/>
        <v>3.966646287787897E-2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0.67038135160004086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7.0953451203135502E-3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5.4241816533971644E-4</v>
      </c>
      <c r="G26" s="13">
        <f t="shared" si="13"/>
        <v>0</v>
      </c>
      <c r="H26" s="13">
        <f t="shared" si="13"/>
        <v>0</v>
      </c>
      <c r="I26" s="13" t="e">
        <f t="shared" si="13"/>
        <v>#DIV/0!</v>
      </c>
      <c r="J26" s="13">
        <f t="shared" si="13"/>
        <v>3.3069355599755213E-5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 t="e">
        <f t="shared" si="15"/>
        <v>#DIV/0!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 t="e">
        <f t="shared" si="17"/>
        <v>#DIV/0!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 t="e">
        <f t="shared" si="19"/>
        <v>#DIV/0!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 t="e">
        <f t="shared" si="21"/>
        <v>#DIV/0!</v>
      </c>
      <c r="J30" s="13">
        <f t="shared" si="21"/>
        <v>0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3.8493488701604246E-4</v>
      </c>
      <c r="C31" s="13">
        <f t="shared" si="23"/>
        <v>1.8796756328763503E-4</v>
      </c>
      <c r="D31" s="13">
        <f t="shared" si="23"/>
        <v>0</v>
      </c>
      <c r="E31" s="13">
        <f t="shared" si="23"/>
        <v>0</v>
      </c>
      <c r="F31" s="13">
        <f t="shared" si="23"/>
        <v>0</v>
      </c>
      <c r="G31" s="13">
        <f t="shared" si="23"/>
        <v>0.98777972606819975</v>
      </c>
      <c r="H31" s="13">
        <f t="shared" si="23"/>
        <v>0</v>
      </c>
      <c r="I31" s="13" t="e">
        <f t="shared" si="23"/>
        <v>#DIV/0!</v>
      </c>
      <c r="J31" s="13">
        <f t="shared" si="23"/>
        <v>4.1350086531193745E-3</v>
      </c>
      <c r="K31" s="6"/>
      <c r="L31" t="s">
        <v>4</v>
      </c>
      <c r="M31" s="13">
        <f t="shared" ref="M31:P31" si="24">M14/M$16</f>
        <v>1.4542362671151215E-3</v>
      </c>
      <c r="N31" s="13">
        <f t="shared" si="24"/>
        <v>1.5896799068735193E-3</v>
      </c>
      <c r="O31" s="13">
        <f t="shared" si="24"/>
        <v>1.025959152510021E-3</v>
      </c>
      <c r="P31" s="13" t="e">
        <f t="shared" si="24"/>
        <v>#DIV/0!</v>
      </c>
      <c r="Q31" s="13">
        <f t="shared" si="6"/>
        <v>9.866066864328801E-3</v>
      </c>
      <c r="R31" s="13">
        <f t="shared" si="6"/>
        <v>0.93654840824652141</v>
      </c>
      <c r="S31" s="13">
        <f t="shared" si="6"/>
        <v>0</v>
      </c>
      <c r="T31" s="13" t="e">
        <f t="shared" si="6"/>
        <v>#DIV/0!</v>
      </c>
      <c r="U31" s="13">
        <f t="shared" si="6"/>
        <v>2.2195001336396403E-2</v>
      </c>
    </row>
    <row r="32" spans="1:21" x14ac:dyDescent="0.25">
      <c r="A32" s="4" t="s">
        <v>5</v>
      </c>
      <c r="B32" s="14">
        <f t="shared" ref="B32:J32" si="25">B15/B$16</f>
        <v>1.1155817112508581E-2</v>
      </c>
      <c r="C32" s="14">
        <f t="shared" si="25"/>
        <v>1.544050673524339E-2</v>
      </c>
      <c r="D32" s="14">
        <f t="shared" si="25"/>
        <v>3.0062503840180246E-2</v>
      </c>
      <c r="E32" s="14">
        <f t="shared" si="25"/>
        <v>9.7937766175271876E-2</v>
      </c>
      <c r="F32" s="14">
        <f t="shared" si="25"/>
        <v>0.34604545008342852</v>
      </c>
      <c r="G32" s="14">
        <f t="shared" si="25"/>
        <v>1.222027393180017E-2</v>
      </c>
      <c r="H32" s="14">
        <f t="shared" si="25"/>
        <v>1</v>
      </c>
      <c r="I32" s="14" t="e">
        <f t="shared" si="25"/>
        <v>#DIV/0!</v>
      </c>
      <c r="J32" s="14">
        <f t="shared" si="25"/>
        <v>0.12482902903424301</v>
      </c>
      <c r="K32" s="6"/>
      <c r="L32" s="4" t="s">
        <v>5</v>
      </c>
      <c r="M32" s="14">
        <f t="shared" ref="M32:P32" si="26">M15/M$16</f>
        <v>1.574873558313776E-2</v>
      </c>
      <c r="N32" s="14">
        <f t="shared" si="26"/>
        <v>7.0350137688045726E-3</v>
      </c>
      <c r="O32" s="14">
        <f t="shared" si="26"/>
        <v>4.421963479035439E-3</v>
      </c>
      <c r="P32" s="14" t="e">
        <f t="shared" si="26"/>
        <v>#DIV/0!</v>
      </c>
      <c r="Q32" s="14">
        <f t="shared" si="6"/>
        <v>0.12943461813720478</v>
      </c>
      <c r="R32" s="14">
        <f t="shared" si="6"/>
        <v>6.3451591753478545E-2</v>
      </c>
      <c r="S32" s="14">
        <f t="shared" si="6"/>
        <v>1</v>
      </c>
      <c r="T32" s="14" t="e">
        <f t="shared" si="6"/>
        <v>#DIV/0!</v>
      </c>
      <c r="U32" s="14">
        <f t="shared" si="6"/>
        <v>8.3093557487228492E-2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 t="e">
        <f t="shared" si="27"/>
        <v>#DIV/0!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57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-5.662219850728234E-3</v>
      </c>
      <c r="N39" s="13">
        <f t="shared" si="29"/>
        <v>3.2298114858471852E-2</v>
      </c>
      <c r="O39" s="13">
        <f t="shared" si="29"/>
        <v>1.440851022791808E-2</v>
      </c>
      <c r="P39" s="13" t="e">
        <f t="shared" si="29"/>
        <v>#DIV/0!</v>
      </c>
      <c r="Q39" s="13">
        <f t="shared" ref="Q39:Q50" si="30">Q22-F22</f>
        <v>3.4545368556681182E-3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-1.8060484409428645E-2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-2.5294334235618998E-2</v>
      </c>
      <c r="O40" s="13">
        <f t="shared" si="29"/>
        <v>8.2532821855630711E-2</v>
      </c>
      <c r="P40" s="13" t="e">
        <f t="shared" si="29"/>
        <v>#DIV/0!</v>
      </c>
      <c r="Q40" s="13">
        <f t="shared" si="30"/>
        <v>0.12019237348455739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3.9637906803180634E-2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-7.2326750874913914E-2</v>
      </c>
      <c r="P41" s="13" t="e">
        <f t="shared" si="29"/>
        <v>#DIV/0!</v>
      </c>
      <c r="Q41" s="13">
        <f t="shared" si="30"/>
        <v>5.5720274000613433E-2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3.4702243583150799E-2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2.7919998906395516E-2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-3.2571117757565424E-2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-5.4241816533971644E-4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-3.3069355599755213E-5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1.0693013800990791E-3</v>
      </c>
      <c r="N48" s="13">
        <f t="shared" si="39"/>
        <v>1.4017123435858842E-3</v>
      </c>
      <c r="O48" s="13">
        <f t="shared" si="39"/>
        <v>1.025959152510021E-3</v>
      </c>
      <c r="P48" s="13" t="e">
        <f t="shared" si="39"/>
        <v>#DIV/0!</v>
      </c>
      <c r="Q48" s="13">
        <f t="shared" si="30"/>
        <v>9.866066864328801E-3</v>
      </c>
      <c r="R48" s="13">
        <f t="shared" si="31"/>
        <v>-5.1231317821678335E-2</v>
      </c>
      <c r="S48" s="13">
        <f t="shared" si="32"/>
        <v>0</v>
      </c>
      <c r="T48" s="13" t="e">
        <f t="shared" si="33"/>
        <v>#DIV/0!</v>
      </c>
      <c r="U48" s="13">
        <f t="shared" si="34"/>
        <v>1.8059992683277029E-2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4.5929184706291794E-3</v>
      </c>
      <c r="N49" s="17">
        <f t="shared" si="39"/>
        <v>-8.4054929664388184E-3</v>
      </c>
      <c r="O49" s="17">
        <f t="shared" si="39"/>
        <v>-2.5640540361144805E-2</v>
      </c>
      <c r="P49" s="17" t="e">
        <f t="shared" si="39"/>
        <v>#DIV/0!</v>
      </c>
      <c r="Q49" s="17">
        <f t="shared" si="30"/>
        <v>-0.21661083194622374</v>
      </c>
      <c r="R49" s="17">
        <f t="shared" si="31"/>
        <v>5.1231317821678377E-2</v>
      </c>
      <c r="S49" s="17">
        <f t="shared" si="32"/>
        <v>0</v>
      </c>
      <c r="T49" s="17" t="e">
        <f t="shared" si="33"/>
        <v>#DIV/0!</v>
      </c>
      <c r="U49" s="13">
        <f t="shared" si="34"/>
        <v>-4.1735471547014513E-2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AF50"/>
  <sheetViews>
    <sheetView workbookViewId="0"/>
  </sheetViews>
  <sheetFormatPr defaultRowHeight="15" x14ac:dyDescent="0.25"/>
  <cols>
    <col min="1" max="1" width="25" customWidth="1" collapsed="1"/>
    <col min="2" max="10" width="10.7109375" customWidth="1" collapsed="1"/>
    <col min="11" max="11" width="3.7109375" customWidth="1" collapsed="1"/>
    <col min="12" max="12" width="25" customWidth="1" collapsed="1"/>
    <col min="13" max="22" width="10.7109375" customWidth="1" collapsed="1"/>
    <col min="23" max="23" width="17" customWidth="1" collapsed="1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45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45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v>140661.53318992691</v>
      </c>
      <c r="C5" s="6">
        <v>6655.0399255760003</v>
      </c>
      <c r="D5" s="6">
        <v>368.20444616600003</v>
      </c>
      <c r="E5" s="6">
        <v>576.64822477799999</v>
      </c>
      <c r="F5" s="6">
        <v>0</v>
      </c>
      <c r="G5" s="6">
        <v>0</v>
      </c>
      <c r="H5" s="6">
        <v>0</v>
      </c>
      <c r="I5" s="6">
        <v>0</v>
      </c>
      <c r="J5" s="6">
        <f>SUM(B5:I5)</f>
        <v>148261.42578644693</v>
      </c>
      <c r="K5" s="6"/>
      <c r="L5" t="s">
        <v>1</v>
      </c>
      <c r="M5" s="6">
        <v>97849</v>
      </c>
      <c r="N5" s="6">
        <v>13127</v>
      </c>
      <c r="O5" s="6">
        <v>3933</v>
      </c>
      <c r="P5" s="6">
        <v>0</v>
      </c>
      <c r="Q5" s="6">
        <v>55</v>
      </c>
      <c r="R5" s="6">
        <v>0</v>
      </c>
      <c r="S5" s="6">
        <v>0</v>
      </c>
      <c r="T5" s="6">
        <v>0</v>
      </c>
      <c r="U5" s="6">
        <f t="shared" ref="U5:U15" si="0">SUM(M5:T5)</f>
        <v>114964</v>
      </c>
    </row>
    <row r="6" spans="1:21" x14ac:dyDescent="0.25">
      <c r="A6" t="s">
        <v>12</v>
      </c>
      <c r="B6" s="6">
        <v>0</v>
      </c>
      <c r="C6" s="6">
        <v>227764.4292491815</v>
      </c>
      <c r="D6" s="6">
        <v>1344.7482971880002</v>
      </c>
      <c r="E6" s="6">
        <v>0</v>
      </c>
      <c r="F6" s="6">
        <v>287.33853496419999</v>
      </c>
      <c r="G6" s="6">
        <v>0</v>
      </c>
      <c r="H6" s="6">
        <v>0</v>
      </c>
      <c r="I6" s="6">
        <v>0</v>
      </c>
      <c r="J6" s="6">
        <f t="shared" ref="J6:J15" si="1">SUM(B6:I6)</f>
        <v>229396.51608133368</v>
      </c>
      <c r="K6" s="6"/>
      <c r="L6" t="s">
        <v>12</v>
      </c>
      <c r="M6" s="6">
        <v>0</v>
      </c>
      <c r="N6" s="6">
        <v>188030</v>
      </c>
      <c r="O6" s="6">
        <v>27441</v>
      </c>
      <c r="P6" s="6">
        <v>0</v>
      </c>
      <c r="Q6" s="6">
        <v>734</v>
      </c>
      <c r="R6" s="6">
        <v>0</v>
      </c>
      <c r="S6" s="6">
        <v>0</v>
      </c>
      <c r="T6" s="6">
        <v>0</v>
      </c>
      <c r="U6" s="6">
        <f t="shared" si="0"/>
        <v>216205</v>
      </c>
    </row>
    <row r="7" spans="1:21" x14ac:dyDescent="0.25">
      <c r="A7" t="s">
        <v>56</v>
      </c>
      <c r="B7" s="6">
        <v>0</v>
      </c>
      <c r="C7" s="6">
        <v>0</v>
      </c>
      <c r="D7" s="6">
        <v>102340.01354171991</v>
      </c>
      <c r="E7" s="6">
        <v>0</v>
      </c>
      <c r="F7" s="6">
        <v>248.97111705</v>
      </c>
      <c r="G7" s="6">
        <v>0</v>
      </c>
      <c r="H7" s="6">
        <v>0</v>
      </c>
      <c r="I7" s="6">
        <v>0</v>
      </c>
      <c r="J7" s="6">
        <f t="shared" si="1"/>
        <v>102588.9846587699</v>
      </c>
      <c r="K7" s="6"/>
      <c r="L7" t="s">
        <v>56</v>
      </c>
      <c r="M7" s="6">
        <v>0</v>
      </c>
      <c r="N7" s="6">
        <v>0</v>
      </c>
      <c r="O7" s="6">
        <v>135490</v>
      </c>
      <c r="P7" s="6">
        <v>0</v>
      </c>
      <c r="Q7" s="6">
        <v>341</v>
      </c>
      <c r="R7" s="6">
        <v>0</v>
      </c>
      <c r="S7" s="6">
        <v>0</v>
      </c>
      <c r="T7" s="6">
        <v>0</v>
      </c>
      <c r="U7" s="6">
        <f t="shared" si="0"/>
        <v>135831</v>
      </c>
    </row>
    <row r="8" spans="1:21" x14ac:dyDescent="0.25">
      <c r="A8" t="s">
        <v>51</v>
      </c>
      <c r="B8" s="6">
        <v>0</v>
      </c>
      <c r="C8" s="6">
        <v>0</v>
      </c>
      <c r="D8" s="6">
        <v>0</v>
      </c>
      <c r="E8" s="6">
        <v>864.97233716700009</v>
      </c>
      <c r="F8" s="6">
        <v>25218.636807620398</v>
      </c>
      <c r="G8" s="6">
        <v>0</v>
      </c>
      <c r="H8" s="6">
        <v>0</v>
      </c>
      <c r="I8" s="6">
        <v>0</v>
      </c>
      <c r="J8" s="6">
        <f t="shared" si="1"/>
        <v>26083.609144787399</v>
      </c>
      <c r="K8" s="6"/>
      <c r="L8" t="s">
        <v>51</v>
      </c>
      <c r="M8" s="6">
        <v>0</v>
      </c>
      <c r="N8" s="6">
        <v>0</v>
      </c>
      <c r="O8" s="6">
        <v>0</v>
      </c>
      <c r="P8" s="6">
        <v>0</v>
      </c>
      <c r="Q8" s="6">
        <v>3653</v>
      </c>
      <c r="R8" s="6">
        <v>0</v>
      </c>
      <c r="S8" s="6">
        <v>0</v>
      </c>
      <c r="T8" s="6">
        <v>0</v>
      </c>
      <c r="U8" s="6">
        <f t="shared" si="0"/>
        <v>3653</v>
      </c>
    </row>
    <row r="9" spans="1:21" x14ac:dyDescent="0.25">
      <c r="A9" t="s">
        <v>52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f t="shared" si="1"/>
        <v>0</v>
      </c>
      <c r="K9" s="6"/>
      <c r="L9" t="s">
        <v>52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f t="shared" si="0"/>
        <v>0</v>
      </c>
    </row>
    <row r="10" spans="1:21" x14ac:dyDescent="0.25">
      <c r="A10" t="s">
        <v>53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1"/>
        <v>0</v>
      </c>
      <c r="K10" s="6"/>
      <c r="L10" t="s">
        <v>53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f t="shared" si="0"/>
        <v>0</v>
      </c>
    </row>
    <row r="11" spans="1:21" x14ac:dyDescent="0.25">
      <c r="A11" t="s">
        <v>54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f t="shared" si="1"/>
        <v>0</v>
      </c>
      <c r="K11" s="6"/>
      <c r="L11" t="s">
        <v>54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f t="shared" si="0"/>
        <v>0</v>
      </c>
    </row>
    <row r="12" spans="1:21" x14ac:dyDescent="0.25">
      <c r="A12" t="s">
        <v>55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f t="shared" si="1"/>
        <v>0</v>
      </c>
      <c r="K12" s="6"/>
      <c r="L12" t="s">
        <v>55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f t="shared" si="0"/>
        <v>0</v>
      </c>
    </row>
    <row r="13" spans="1:21" x14ac:dyDescent="0.25">
      <c r="A13" t="s">
        <v>24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f t="shared" si="1"/>
        <v>0</v>
      </c>
      <c r="K13" s="6"/>
      <c r="L13" t="s">
        <v>24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f t="shared" si="0"/>
        <v>0</v>
      </c>
    </row>
    <row r="14" spans="1:21" x14ac:dyDescent="0.25">
      <c r="A14" t="s">
        <v>4</v>
      </c>
      <c r="B14" s="6">
        <v>0</v>
      </c>
      <c r="C14" s="6">
        <v>0</v>
      </c>
      <c r="D14" s="6">
        <v>9355.1044948800009</v>
      </c>
      <c r="E14" s="6">
        <v>0</v>
      </c>
      <c r="F14" s="6">
        <v>154.98434974439999</v>
      </c>
      <c r="G14" s="6">
        <v>7262.5157185102998</v>
      </c>
      <c r="H14" s="6">
        <v>0</v>
      </c>
      <c r="I14" s="6">
        <v>0</v>
      </c>
      <c r="J14" s="6">
        <f t="shared" si="1"/>
        <v>16772.604563134701</v>
      </c>
      <c r="K14" s="6"/>
      <c r="L14" t="s">
        <v>4</v>
      </c>
      <c r="M14" s="6">
        <v>146</v>
      </c>
      <c r="N14" s="6">
        <v>262</v>
      </c>
      <c r="O14" s="6">
        <v>154</v>
      </c>
      <c r="P14" s="6">
        <v>0</v>
      </c>
      <c r="Q14" s="6">
        <v>48</v>
      </c>
      <c r="R14" s="6">
        <v>3169</v>
      </c>
      <c r="S14" s="6">
        <v>0</v>
      </c>
      <c r="T14" s="6">
        <v>0</v>
      </c>
      <c r="U14" s="6">
        <f t="shared" si="0"/>
        <v>3779</v>
      </c>
    </row>
    <row r="15" spans="1:21" x14ac:dyDescent="0.25">
      <c r="A15" s="4" t="s">
        <v>5</v>
      </c>
      <c r="B15" s="10">
        <v>229.46485907099998</v>
      </c>
      <c r="C15" s="10">
        <v>2618.0333936714001</v>
      </c>
      <c r="D15" s="10">
        <v>3365.5155601639999</v>
      </c>
      <c r="E15" s="10">
        <v>0</v>
      </c>
      <c r="F15" s="10">
        <v>3753.8568361770003</v>
      </c>
      <c r="G15" s="10">
        <v>1578.8049141097999</v>
      </c>
      <c r="H15" s="10">
        <v>75599.428950870395</v>
      </c>
      <c r="I15" s="10">
        <v>0</v>
      </c>
      <c r="J15" s="6">
        <f t="shared" si="1"/>
        <v>87145.104514063598</v>
      </c>
      <c r="K15" s="6"/>
      <c r="L15" s="4" t="s">
        <v>5</v>
      </c>
      <c r="M15" s="8">
        <v>1275</v>
      </c>
      <c r="N15" s="8">
        <v>1284</v>
      </c>
      <c r="O15" s="8">
        <v>687</v>
      </c>
      <c r="P15" s="8">
        <v>0</v>
      </c>
      <c r="Q15" s="8">
        <v>593</v>
      </c>
      <c r="R15" s="8">
        <v>189</v>
      </c>
      <c r="S15" s="8">
        <v>98863</v>
      </c>
      <c r="T15" s="8">
        <v>0</v>
      </c>
      <c r="U15" s="6">
        <f t="shared" si="0"/>
        <v>102891</v>
      </c>
    </row>
    <row r="16" spans="1:21" ht="15.75" thickBot="1" x14ac:dyDescent="0.3">
      <c r="A16" s="12" t="s">
        <v>7</v>
      </c>
      <c r="B16" s="16">
        <f t="shared" ref="B16:J16" si="2">SUM(B5:B15)</f>
        <v>140890.99804899792</v>
      </c>
      <c r="C16" s="16">
        <f t="shared" si="2"/>
        <v>237037.5025684289</v>
      </c>
      <c r="D16" s="16">
        <f t="shared" si="2"/>
        <v>116773.58634011791</v>
      </c>
      <c r="E16" s="16">
        <f t="shared" si="2"/>
        <v>1441.6205619450002</v>
      </c>
      <c r="F16" s="16">
        <f t="shared" si="2"/>
        <v>29663.787645556</v>
      </c>
      <c r="G16" s="16">
        <f t="shared" si="2"/>
        <v>8841.3206326200998</v>
      </c>
      <c r="H16" s="16">
        <f t="shared" si="2"/>
        <v>75599.428950870395</v>
      </c>
      <c r="I16" s="16">
        <f t="shared" si="2"/>
        <v>0</v>
      </c>
      <c r="J16" s="16">
        <f t="shared" si="2"/>
        <v>610248.24474853626</v>
      </c>
      <c r="L16" s="9" t="s">
        <v>7</v>
      </c>
      <c r="M16" s="16">
        <f t="shared" ref="M16:U16" si="3">SUM(M5:M15)</f>
        <v>99270</v>
      </c>
      <c r="N16" s="16">
        <f t="shared" si="3"/>
        <v>202703</v>
      </c>
      <c r="O16" s="16">
        <f t="shared" si="3"/>
        <v>167705</v>
      </c>
      <c r="P16" s="16">
        <f t="shared" si="3"/>
        <v>0</v>
      </c>
      <c r="Q16" s="16">
        <f t="shared" si="3"/>
        <v>5424</v>
      </c>
      <c r="R16" s="16">
        <f t="shared" si="3"/>
        <v>3358</v>
      </c>
      <c r="S16" s="16">
        <f t="shared" si="3"/>
        <v>98863</v>
      </c>
      <c r="T16" s="16">
        <f t="shared" si="3"/>
        <v>0</v>
      </c>
      <c r="U16" s="16">
        <f t="shared" si="3"/>
        <v>577323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45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45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0.99837133058713079</v>
      </c>
      <c r="C22" s="13">
        <f t="shared" si="4"/>
        <v>2.8075894546074193E-2</v>
      </c>
      <c r="D22" s="13">
        <f t="shared" si="4"/>
        <v>3.1531483934522471E-3</v>
      </c>
      <c r="E22" s="13">
        <f t="shared" si="4"/>
        <v>0.39999999999999991</v>
      </c>
      <c r="F22" s="13">
        <f t="shared" si="4"/>
        <v>0</v>
      </c>
      <c r="G22" s="13">
        <f t="shared" si="4"/>
        <v>0</v>
      </c>
      <c r="H22" s="13">
        <f t="shared" si="4"/>
        <v>0</v>
      </c>
      <c r="I22" s="13" t="e">
        <f t="shared" si="4"/>
        <v>#DIV/0!</v>
      </c>
      <c r="J22" s="13">
        <f t="shared" si="4"/>
        <v>0.24295264601300198</v>
      </c>
      <c r="K22" s="6"/>
      <c r="L22" t="s">
        <v>1</v>
      </c>
      <c r="M22" s="13">
        <f t="shared" ref="M22:P22" si="5">M5/M$16</f>
        <v>0.98568550418051781</v>
      </c>
      <c r="N22" s="13">
        <f t="shared" si="5"/>
        <v>6.4759771685668197E-2</v>
      </c>
      <c r="O22" s="13">
        <f t="shared" si="5"/>
        <v>2.3451894696043647E-2</v>
      </c>
      <c r="P22" s="13" t="e">
        <f t="shared" si="5"/>
        <v>#DIV/0!</v>
      </c>
      <c r="Q22" s="13">
        <f t="shared" ref="Q22:U33" si="6">Q5/Q$16</f>
        <v>1.0140117994100296E-2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0.19913289441092769</v>
      </c>
    </row>
    <row r="23" spans="1:21" x14ac:dyDescent="0.25">
      <c r="A23" t="s">
        <v>9</v>
      </c>
      <c r="B23" s="13">
        <f t="shared" ref="B23:J23" si="7">B6/B$16</f>
        <v>0</v>
      </c>
      <c r="C23" s="13">
        <f t="shared" si="7"/>
        <v>0.96087929876593936</v>
      </c>
      <c r="D23" s="13">
        <f t="shared" si="7"/>
        <v>1.1515860215779019E-2</v>
      </c>
      <c r="E23" s="13">
        <f t="shared" si="7"/>
        <v>0</v>
      </c>
      <c r="F23" s="13">
        <f t="shared" si="7"/>
        <v>9.6865086278773594E-3</v>
      </c>
      <c r="G23" s="13">
        <f t="shared" si="7"/>
        <v>0</v>
      </c>
      <c r="H23" s="13">
        <f t="shared" si="7"/>
        <v>0</v>
      </c>
      <c r="I23" s="13" t="e">
        <f t="shared" si="7"/>
        <v>#DIV/0!</v>
      </c>
      <c r="J23" s="13">
        <f t="shared" si="7"/>
        <v>0.37590688388765564</v>
      </c>
      <c r="K23" s="6"/>
      <c r="L23" t="s">
        <v>12</v>
      </c>
      <c r="M23" s="13">
        <f t="shared" ref="M23:P23" si="8">M6/M$16</f>
        <v>0</v>
      </c>
      <c r="N23" s="13">
        <f t="shared" si="8"/>
        <v>0.92761330616715099</v>
      </c>
      <c r="O23" s="13">
        <f t="shared" si="8"/>
        <v>0.16362660624310546</v>
      </c>
      <c r="P23" s="13" t="e">
        <f t="shared" si="8"/>
        <v>#DIV/0!</v>
      </c>
      <c r="Q23" s="13">
        <f t="shared" si="6"/>
        <v>0.13532448377581122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0.37449573289129306</v>
      </c>
    </row>
    <row r="24" spans="1:21" x14ac:dyDescent="0.25">
      <c r="A24" t="s">
        <v>10</v>
      </c>
      <c r="B24" s="13">
        <f t="shared" ref="B24:J24" si="9">B7/B$16</f>
        <v>0</v>
      </c>
      <c r="C24" s="13">
        <f t="shared" si="9"/>
        <v>0</v>
      </c>
      <c r="D24" s="13">
        <f t="shared" si="9"/>
        <v>0.87639693829083587</v>
      </c>
      <c r="E24" s="13">
        <f t="shared" si="9"/>
        <v>0</v>
      </c>
      <c r="F24" s="13">
        <f t="shared" si="9"/>
        <v>8.3930993582102091E-3</v>
      </c>
      <c r="G24" s="13">
        <f t="shared" si="9"/>
        <v>0</v>
      </c>
      <c r="H24" s="13">
        <f t="shared" si="9"/>
        <v>0</v>
      </c>
      <c r="I24" s="13" t="e">
        <f t="shared" si="9"/>
        <v>#DIV/0!</v>
      </c>
      <c r="J24" s="13">
        <f t="shared" si="9"/>
        <v>0.16811024946256672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0.80790674100354787</v>
      </c>
      <c r="P24" s="13" t="e">
        <f t="shared" si="10"/>
        <v>#DIV/0!</v>
      </c>
      <c r="Q24" s="13">
        <f t="shared" si="6"/>
        <v>6.2868731563421834E-2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0.23527730577163911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0.6</v>
      </c>
      <c r="F25" s="13">
        <f t="shared" si="11"/>
        <v>0.85014891250404634</v>
      </c>
      <c r="G25" s="13">
        <f t="shared" si="11"/>
        <v>0</v>
      </c>
      <c r="H25" s="13">
        <f t="shared" si="11"/>
        <v>0</v>
      </c>
      <c r="I25" s="13" t="e">
        <f t="shared" si="11"/>
        <v>#DIV/0!</v>
      </c>
      <c r="J25" s="13">
        <f t="shared" si="11"/>
        <v>4.2742620514272217E-2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0.6734882005899705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6.327480457213726E-3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 t="e">
        <f t="shared" si="13"/>
        <v>#DIV/0!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 t="e">
        <f t="shared" si="15"/>
        <v>#DIV/0!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 t="e">
        <f t="shared" si="17"/>
        <v>#DIV/0!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 t="e">
        <f t="shared" si="19"/>
        <v>#DIV/0!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 t="e">
        <f t="shared" si="21"/>
        <v>#DIV/0!</v>
      </c>
      <c r="J30" s="13">
        <f t="shared" si="21"/>
        <v>0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8.0113189875252011E-2</v>
      </c>
      <c r="E31" s="13">
        <f t="shared" si="23"/>
        <v>0</v>
      </c>
      <c r="F31" s="13">
        <f t="shared" si="23"/>
        <v>5.2246985987178399E-3</v>
      </c>
      <c r="G31" s="13">
        <f t="shared" si="23"/>
        <v>0.82142883628891472</v>
      </c>
      <c r="H31" s="13">
        <f t="shared" si="23"/>
        <v>0</v>
      </c>
      <c r="I31" s="13" t="e">
        <f t="shared" si="23"/>
        <v>#DIV/0!</v>
      </c>
      <c r="J31" s="13">
        <f t="shared" si="23"/>
        <v>2.7484887842727269E-2</v>
      </c>
      <c r="K31" s="6"/>
      <c r="L31" t="s">
        <v>4</v>
      </c>
      <c r="M31" s="13">
        <f t="shared" ref="M31:P31" si="24">M14/M$16</f>
        <v>1.4707363755414526E-3</v>
      </c>
      <c r="N31" s="13">
        <f t="shared" si="24"/>
        <v>1.2925314376205583E-3</v>
      </c>
      <c r="O31" s="13">
        <f t="shared" si="24"/>
        <v>9.1827912107569844E-4</v>
      </c>
      <c r="P31" s="13" t="e">
        <f t="shared" si="24"/>
        <v>#DIV/0!</v>
      </c>
      <c r="Q31" s="13">
        <f t="shared" si="6"/>
        <v>8.8495575221238937E-3</v>
      </c>
      <c r="R31" s="13">
        <f t="shared" si="6"/>
        <v>0.94371649791542589</v>
      </c>
      <c r="S31" s="13">
        <f t="shared" si="6"/>
        <v>0</v>
      </c>
      <c r="T31" s="13" t="e">
        <f t="shared" si="6"/>
        <v>#DIV/0!</v>
      </c>
      <c r="U31" s="13">
        <f t="shared" si="6"/>
        <v>6.5457291672079577E-3</v>
      </c>
    </row>
    <row r="32" spans="1:21" x14ac:dyDescent="0.25">
      <c r="A32" s="4" t="s">
        <v>5</v>
      </c>
      <c r="B32" s="14">
        <f t="shared" ref="B32:J32" si="25">B15/B$16</f>
        <v>1.6286694128690789E-3</v>
      </c>
      <c r="C32" s="14">
        <f t="shared" si="25"/>
        <v>1.1044806687986497E-2</v>
      </c>
      <c r="D32" s="14">
        <f t="shared" si="25"/>
        <v>2.8820863224680863E-2</v>
      </c>
      <c r="E32" s="14">
        <f t="shared" si="25"/>
        <v>0</v>
      </c>
      <c r="F32" s="14">
        <f t="shared" si="25"/>
        <v>0.12654678091114821</v>
      </c>
      <c r="G32" s="14">
        <f t="shared" si="25"/>
        <v>0.17857116371108528</v>
      </c>
      <c r="H32" s="14">
        <f t="shared" si="25"/>
        <v>1</v>
      </c>
      <c r="I32" s="14" t="e">
        <f t="shared" si="25"/>
        <v>#DIV/0!</v>
      </c>
      <c r="J32" s="14">
        <f t="shared" si="25"/>
        <v>0.14280271227977609</v>
      </c>
      <c r="K32" s="6"/>
      <c r="L32" s="4" t="s">
        <v>5</v>
      </c>
      <c r="M32" s="14">
        <f t="shared" ref="M32:P32" si="26">M15/M$16</f>
        <v>1.2843759443940768E-2</v>
      </c>
      <c r="N32" s="14">
        <f t="shared" si="26"/>
        <v>6.334390709560293E-3</v>
      </c>
      <c r="O32" s="14">
        <f t="shared" si="26"/>
        <v>4.0964789362273038E-3</v>
      </c>
      <c r="P32" s="14" t="e">
        <f t="shared" si="26"/>
        <v>#DIV/0!</v>
      </c>
      <c r="Q32" s="14">
        <f t="shared" si="6"/>
        <v>0.10932890855457227</v>
      </c>
      <c r="R32" s="14">
        <f t="shared" si="6"/>
        <v>5.6283502084574152E-2</v>
      </c>
      <c r="S32" s="14">
        <f t="shared" si="6"/>
        <v>1</v>
      </c>
      <c r="T32" s="14" t="e">
        <f t="shared" si="6"/>
        <v>#DIV/0!</v>
      </c>
      <c r="U32" s="14">
        <f t="shared" si="6"/>
        <v>0.17822085730171844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 t="e">
        <f t="shared" si="27"/>
        <v>#DIV/0!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45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-1.2685826406612977E-2</v>
      </c>
      <c r="N39" s="13">
        <f t="shared" si="29"/>
        <v>3.6683877139594007E-2</v>
      </c>
      <c r="O39" s="13">
        <f t="shared" si="29"/>
        <v>2.0298746302591399E-2</v>
      </c>
      <c r="P39" s="13" t="e">
        <f t="shared" si="29"/>
        <v>#DIV/0!</v>
      </c>
      <c r="Q39" s="13">
        <f t="shared" ref="Q39:Q50" si="30">Q22-F22</f>
        <v>1.0140117994100296E-2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-4.3819751602074297E-2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-3.3265992598788374E-2</v>
      </c>
      <c r="O40" s="13">
        <f t="shared" si="29"/>
        <v>0.15211074602732644</v>
      </c>
      <c r="P40" s="13" t="e">
        <f t="shared" si="29"/>
        <v>#DIV/0!</v>
      </c>
      <c r="Q40" s="13">
        <f t="shared" si="30"/>
        <v>0.12563797514793384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-1.4111509963625757E-3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-6.8490197287288002E-2</v>
      </c>
      <c r="P41" s="13" t="e">
        <f t="shared" si="29"/>
        <v>#DIV/0!</v>
      </c>
      <c r="Q41" s="13">
        <f t="shared" si="30"/>
        <v>5.4475632205211622E-2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6.7167056309072382E-2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-0.17666071191407584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-3.6415140057058488E-2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1.4707363755414526E-3</v>
      </c>
      <c r="N48" s="13">
        <f t="shared" si="39"/>
        <v>1.2925314376205583E-3</v>
      </c>
      <c r="O48" s="13">
        <f t="shared" si="39"/>
        <v>-7.9194910754176312E-2</v>
      </c>
      <c r="P48" s="13" t="e">
        <f t="shared" si="39"/>
        <v>#DIV/0!</v>
      </c>
      <c r="Q48" s="13">
        <f t="shared" si="30"/>
        <v>3.6248589234060538E-3</v>
      </c>
      <c r="R48" s="13">
        <f t="shared" si="31"/>
        <v>0.12228766162651117</v>
      </c>
      <c r="S48" s="13">
        <f t="shared" si="32"/>
        <v>0</v>
      </c>
      <c r="T48" s="13" t="e">
        <f t="shared" si="33"/>
        <v>#DIV/0!</v>
      </c>
      <c r="U48" s="13">
        <f t="shared" si="34"/>
        <v>-2.0939158675519313E-2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1.1215090031071689E-2</v>
      </c>
      <c r="N49" s="17">
        <f t="shared" si="39"/>
        <v>-4.7104159784262037E-3</v>
      </c>
      <c r="O49" s="17">
        <f t="shared" si="39"/>
        <v>-2.4724384288453558E-2</v>
      </c>
      <c r="P49" s="17" t="e">
        <f t="shared" si="39"/>
        <v>#DIV/0!</v>
      </c>
      <c r="Q49" s="17">
        <f t="shared" si="30"/>
        <v>-1.7217872356575945E-2</v>
      </c>
      <c r="R49" s="17">
        <f t="shared" si="31"/>
        <v>-0.12228766162651113</v>
      </c>
      <c r="S49" s="17">
        <f t="shared" si="32"/>
        <v>0</v>
      </c>
      <c r="T49" s="17" t="e">
        <f t="shared" si="33"/>
        <v>#DIV/0!</v>
      </c>
      <c r="U49" s="13">
        <f t="shared" si="34"/>
        <v>3.5418145021942349E-2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AF50"/>
  <sheetViews>
    <sheetView workbookViewId="0"/>
  </sheetViews>
  <sheetFormatPr defaultRowHeight="15" x14ac:dyDescent="0.25"/>
  <cols>
    <col min="1" max="1" width="25" customWidth="1" collapsed="1"/>
    <col min="2" max="10" width="10.7109375" customWidth="1" collapsed="1"/>
    <col min="11" max="11" width="3.7109375" customWidth="1" collapsed="1"/>
    <col min="12" max="12" width="25" customWidth="1" collapsed="1"/>
    <col min="13" max="22" width="10.7109375" customWidth="1" collapsed="1"/>
    <col min="23" max="23" width="17" customWidth="1" collapsed="1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46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46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v>634099.7974480316</v>
      </c>
      <c r="C5" s="6">
        <v>22207.488195710001</v>
      </c>
      <c r="D5" s="6">
        <v>8175.4429283834997</v>
      </c>
      <c r="E5" s="6">
        <v>2380.8644758418</v>
      </c>
      <c r="F5" s="6">
        <v>1170.9767563398</v>
      </c>
      <c r="G5" s="6">
        <v>0</v>
      </c>
      <c r="H5" s="6">
        <v>0</v>
      </c>
      <c r="I5" s="6">
        <v>0</v>
      </c>
      <c r="J5" s="6">
        <f>SUM(B5:I5)</f>
        <v>668034.56980430661</v>
      </c>
      <c r="K5" s="6"/>
      <c r="L5" t="s">
        <v>1</v>
      </c>
      <c r="M5" s="6">
        <v>514996</v>
      </c>
      <c r="N5" s="6">
        <v>46234</v>
      </c>
      <c r="O5" s="6">
        <v>15204</v>
      </c>
      <c r="P5" s="6">
        <v>0</v>
      </c>
      <c r="Q5" s="6">
        <v>194</v>
      </c>
      <c r="R5" s="6">
        <v>0</v>
      </c>
      <c r="S5" s="6">
        <v>0</v>
      </c>
      <c r="T5" s="6">
        <v>0</v>
      </c>
      <c r="U5" s="6">
        <f t="shared" ref="U5:U15" si="0">SUM(M5:T5)</f>
        <v>576628</v>
      </c>
    </row>
    <row r="6" spans="1:21" x14ac:dyDescent="0.25">
      <c r="A6" t="s">
        <v>12</v>
      </c>
      <c r="B6" s="6">
        <v>0</v>
      </c>
      <c r="C6" s="6">
        <v>594836.70868358761</v>
      </c>
      <c r="D6" s="6">
        <v>42728.308887213701</v>
      </c>
      <c r="E6" s="6">
        <v>262.3473390995</v>
      </c>
      <c r="F6" s="6">
        <v>8407.9361075647994</v>
      </c>
      <c r="G6" s="6">
        <v>0</v>
      </c>
      <c r="H6" s="6">
        <v>0</v>
      </c>
      <c r="I6" s="6">
        <v>0</v>
      </c>
      <c r="J6" s="6">
        <f t="shared" ref="J6:J15" si="1">SUM(B6:I6)</f>
        <v>646235.30101746565</v>
      </c>
      <c r="K6" s="6"/>
      <c r="L6" t="s">
        <v>12</v>
      </c>
      <c r="M6" s="6">
        <v>0</v>
      </c>
      <c r="N6" s="6">
        <v>625795</v>
      </c>
      <c r="O6" s="6">
        <v>97217</v>
      </c>
      <c r="P6" s="6">
        <v>0</v>
      </c>
      <c r="Q6" s="6">
        <v>2274</v>
      </c>
      <c r="R6" s="6">
        <v>0</v>
      </c>
      <c r="S6" s="6">
        <v>0</v>
      </c>
      <c r="T6" s="6">
        <v>0</v>
      </c>
      <c r="U6" s="6">
        <f t="shared" si="0"/>
        <v>725286</v>
      </c>
    </row>
    <row r="7" spans="1:21" x14ac:dyDescent="0.25">
      <c r="A7" t="s">
        <v>56</v>
      </c>
      <c r="B7" s="6">
        <v>0</v>
      </c>
      <c r="C7" s="6">
        <v>0</v>
      </c>
      <c r="D7" s="6">
        <v>497781.41764103452</v>
      </c>
      <c r="E7" s="6">
        <v>0</v>
      </c>
      <c r="F7" s="6">
        <v>3158.3612664017</v>
      </c>
      <c r="G7" s="6">
        <v>0</v>
      </c>
      <c r="H7" s="6">
        <v>0</v>
      </c>
      <c r="I7" s="6">
        <v>0</v>
      </c>
      <c r="J7" s="6">
        <f t="shared" si="1"/>
        <v>500939.77890743624</v>
      </c>
      <c r="K7" s="6"/>
      <c r="L7" t="s">
        <v>56</v>
      </c>
      <c r="M7" s="6">
        <v>0</v>
      </c>
      <c r="N7" s="6">
        <v>0</v>
      </c>
      <c r="O7" s="6">
        <v>521423</v>
      </c>
      <c r="P7" s="6">
        <v>0</v>
      </c>
      <c r="Q7" s="6">
        <v>972</v>
      </c>
      <c r="R7" s="6">
        <v>0</v>
      </c>
      <c r="S7" s="6">
        <v>0</v>
      </c>
      <c r="T7" s="6">
        <v>0</v>
      </c>
      <c r="U7" s="6">
        <f t="shared" si="0"/>
        <v>522395</v>
      </c>
    </row>
    <row r="8" spans="1:21" x14ac:dyDescent="0.25">
      <c r="A8" t="s">
        <v>51</v>
      </c>
      <c r="B8" s="6">
        <v>0</v>
      </c>
      <c r="C8" s="6">
        <v>0</v>
      </c>
      <c r="D8" s="6">
        <v>0</v>
      </c>
      <c r="E8" s="6">
        <v>2621.1857803257999</v>
      </c>
      <c r="F8" s="6">
        <v>35578.696868472798</v>
      </c>
      <c r="G8" s="6">
        <v>0</v>
      </c>
      <c r="H8" s="6">
        <v>0</v>
      </c>
      <c r="I8" s="6">
        <v>0</v>
      </c>
      <c r="J8" s="6">
        <f t="shared" si="1"/>
        <v>38199.882648798601</v>
      </c>
      <c r="K8" s="6"/>
      <c r="L8" t="s">
        <v>51</v>
      </c>
      <c r="M8" s="6">
        <v>0</v>
      </c>
      <c r="N8" s="6">
        <v>0</v>
      </c>
      <c r="O8" s="6">
        <v>0</v>
      </c>
      <c r="P8" s="6">
        <v>0</v>
      </c>
      <c r="Q8" s="6">
        <v>15358</v>
      </c>
      <c r="R8" s="6">
        <v>0</v>
      </c>
      <c r="S8" s="6">
        <v>0</v>
      </c>
      <c r="T8" s="6">
        <v>0</v>
      </c>
      <c r="U8" s="6">
        <f t="shared" si="0"/>
        <v>15358</v>
      </c>
    </row>
    <row r="9" spans="1:21" x14ac:dyDescent="0.25">
      <c r="A9" t="s">
        <v>52</v>
      </c>
      <c r="B9" s="6">
        <v>0</v>
      </c>
      <c r="C9" s="6">
        <v>0</v>
      </c>
      <c r="D9" s="6">
        <v>0</v>
      </c>
      <c r="E9" s="6">
        <v>0</v>
      </c>
      <c r="F9" s="6">
        <v>107.691391212</v>
      </c>
      <c r="G9" s="6">
        <v>0</v>
      </c>
      <c r="H9" s="6">
        <v>0</v>
      </c>
      <c r="I9" s="6">
        <v>0</v>
      </c>
      <c r="J9" s="6">
        <f t="shared" si="1"/>
        <v>107.691391212</v>
      </c>
      <c r="K9" s="6"/>
      <c r="L9" t="s">
        <v>52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f t="shared" si="0"/>
        <v>0</v>
      </c>
    </row>
    <row r="10" spans="1:21" x14ac:dyDescent="0.25">
      <c r="A10" t="s">
        <v>53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1"/>
        <v>0</v>
      </c>
      <c r="K10" s="6"/>
      <c r="L10" t="s">
        <v>53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f t="shared" si="0"/>
        <v>0</v>
      </c>
    </row>
    <row r="11" spans="1:21" x14ac:dyDescent="0.25">
      <c r="A11" t="s">
        <v>54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f t="shared" si="1"/>
        <v>0</v>
      </c>
      <c r="K11" s="6"/>
      <c r="L11" t="s">
        <v>54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f t="shared" si="0"/>
        <v>0</v>
      </c>
    </row>
    <row r="12" spans="1:21" x14ac:dyDescent="0.25">
      <c r="A12" t="s">
        <v>55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f t="shared" si="1"/>
        <v>0</v>
      </c>
      <c r="K12" s="6"/>
      <c r="L12" t="s">
        <v>55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f t="shared" si="0"/>
        <v>0</v>
      </c>
    </row>
    <row r="13" spans="1:21" x14ac:dyDescent="0.25">
      <c r="A13" t="s">
        <v>24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1490.528010836</v>
      </c>
      <c r="J13" s="6">
        <f t="shared" si="1"/>
        <v>1490.528010836</v>
      </c>
      <c r="K13" s="6"/>
      <c r="L13" t="s">
        <v>24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f t="shared" si="0"/>
        <v>0</v>
      </c>
    </row>
    <row r="14" spans="1:21" x14ac:dyDescent="0.25">
      <c r="A14" t="s">
        <v>4</v>
      </c>
      <c r="B14" s="6">
        <v>1934.8127018780001</v>
      </c>
      <c r="C14" s="6">
        <v>34.415792955299999</v>
      </c>
      <c r="D14" s="6">
        <v>0</v>
      </c>
      <c r="E14" s="6">
        <v>0</v>
      </c>
      <c r="F14" s="6">
        <v>285.06561485399999</v>
      </c>
      <c r="G14" s="6">
        <v>32298.994152833598</v>
      </c>
      <c r="H14" s="6">
        <v>0</v>
      </c>
      <c r="I14" s="6">
        <v>1490.528010836</v>
      </c>
      <c r="J14" s="6">
        <f t="shared" si="1"/>
        <v>36043.816273356904</v>
      </c>
      <c r="K14" s="6"/>
      <c r="L14" t="s">
        <v>4</v>
      </c>
      <c r="M14" s="6">
        <v>530</v>
      </c>
      <c r="N14" s="6">
        <v>901</v>
      </c>
      <c r="O14" s="6">
        <v>638</v>
      </c>
      <c r="P14" s="6">
        <v>0</v>
      </c>
      <c r="Q14" s="6">
        <v>227</v>
      </c>
      <c r="R14" s="6">
        <v>34374</v>
      </c>
      <c r="S14" s="6">
        <v>0</v>
      </c>
      <c r="T14" s="6">
        <v>0</v>
      </c>
      <c r="U14" s="6">
        <f t="shared" si="0"/>
        <v>36670</v>
      </c>
    </row>
    <row r="15" spans="1:21" x14ac:dyDescent="0.25">
      <c r="A15" s="4" t="s">
        <v>5</v>
      </c>
      <c r="B15" s="10">
        <v>12459.226212028399</v>
      </c>
      <c r="C15" s="10">
        <v>10613.4108320905</v>
      </c>
      <c r="D15" s="10">
        <v>13268.834465829799</v>
      </c>
      <c r="E15" s="10">
        <v>314.436122055</v>
      </c>
      <c r="F15" s="10">
        <v>11918.2195557219</v>
      </c>
      <c r="G15" s="10">
        <v>529.99356523180006</v>
      </c>
      <c r="H15" s="10">
        <v>709943.07410627138</v>
      </c>
      <c r="I15" s="10">
        <v>0</v>
      </c>
      <c r="J15" s="6">
        <f t="shared" si="1"/>
        <v>759047.1948592288</v>
      </c>
      <c r="K15" s="6"/>
      <c r="L15" s="4" t="s">
        <v>5</v>
      </c>
      <c r="M15" s="8">
        <v>2234</v>
      </c>
      <c r="N15" s="8">
        <v>2473</v>
      </c>
      <c r="O15" s="8">
        <v>1432</v>
      </c>
      <c r="P15" s="8">
        <v>0</v>
      </c>
      <c r="Q15" s="8">
        <v>1881</v>
      </c>
      <c r="R15" s="8">
        <v>762</v>
      </c>
      <c r="S15" s="8">
        <v>771794</v>
      </c>
      <c r="T15" s="8">
        <v>0</v>
      </c>
      <c r="U15" s="6">
        <f t="shared" si="0"/>
        <v>780576</v>
      </c>
    </row>
    <row r="16" spans="1:21" ht="15.75" thickBot="1" x14ac:dyDescent="0.3">
      <c r="A16" s="12" t="s">
        <v>7</v>
      </c>
      <c r="B16" s="16">
        <f t="shared" ref="B16:J16" si="2">SUM(B5:B15)</f>
        <v>648493.83636193804</v>
      </c>
      <c r="C16" s="16">
        <f t="shared" si="2"/>
        <v>627692.02350434347</v>
      </c>
      <c r="D16" s="16">
        <f t="shared" si="2"/>
        <v>561954.00392246153</v>
      </c>
      <c r="E16" s="16">
        <f t="shared" si="2"/>
        <v>5578.8337173220998</v>
      </c>
      <c r="F16" s="16">
        <f t="shared" si="2"/>
        <v>60626.947560567001</v>
      </c>
      <c r="G16" s="16">
        <f t="shared" si="2"/>
        <v>32828.9877180654</v>
      </c>
      <c r="H16" s="16">
        <f t="shared" si="2"/>
        <v>709943.07410627138</v>
      </c>
      <c r="I16" s="16">
        <f t="shared" si="2"/>
        <v>2981.056021672</v>
      </c>
      <c r="J16" s="16">
        <f t="shared" si="2"/>
        <v>2650098.7629126403</v>
      </c>
      <c r="L16" s="9" t="s">
        <v>7</v>
      </c>
      <c r="M16" s="16">
        <f t="shared" ref="M16:U16" si="3">SUM(M5:M15)</f>
        <v>517760</v>
      </c>
      <c r="N16" s="16">
        <f t="shared" si="3"/>
        <v>675403</v>
      </c>
      <c r="O16" s="16">
        <f t="shared" si="3"/>
        <v>635914</v>
      </c>
      <c r="P16" s="16">
        <f t="shared" si="3"/>
        <v>0</v>
      </c>
      <c r="Q16" s="16">
        <f t="shared" si="3"/>
        <v>20906</v>
      </c>
      <c r="R16" s="16">
        <f t="shared" si="3"/>
        <v>35136</v>
      </c>
      <c r="S16" s="16">
        <f t="shared" si="3"/>
        <v>771794</v>
      </c>
      <c r="T16" s="16">
        <f t="shared" si="3"/>
        <v>0</v>
      </c>
      <c r="U16" s="16">
        <f t="shared" si="3"/>
        <v>2656913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46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46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0.97780389248623045</v>
      </c>
      <c r="C22" s="13">
        <f t="shared" si="4"/>
        <v>3.5379592800507093E-2</v>
      </c>
      <c r="D22" s="13">
        <f t="shared" si="4"/>
        <v>1.4548242153839246E-2</v>
      </c>
      <c r="E22" s="13">
        <f t="shared" si="4"/>
        <v>0.42676742066165052</v>
      </c>
      <c r="F22" s="13">
        <f t="shared" si="4"/>
        <v>1.9314460045509976E-2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0.25207912216452294</v>
      </c>
      <c r="K22" s="6"/>
      <c r="L22" t="s">
        <v>1</v>
      </c>
      <c r="M22" s="13">
        <f t="shared" ref="M22:P22" si="5">M5/M$16</f>
        <v>0.99466161928306551</v>
      </c>
      <c r="N22" s="13">
        <f t="shared" si="5"/>
        <v>6.845394527415484E-2</v>
      </c>
      <c r="O22" s="13">
        <f t="shared" si="5"/>
        <v>2.3908893340923457E-2</v>
      </c>
      <c r="P22" s="13" t="e">
        <f t="shared" si="5"/>
        <v>#DIV/0!</v>
      </c>
      <c r="Q22" s="13">
        <f t="shared" ref="Q22:U33" si="6">Q5/Q$16</f>
        <v>9.2796326413469819E-3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0.21702931183670673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0.94765695023918284</v>
      </c>
      <c r="D23" s="13">
        <f t="shared" si="7"/>
        <v>7.6035242366756683E-2</v>
      </c>
      <c r="E23" s="13">
        <f t="shared" si="7"/>
        <v>4.7025481022121153E-2</v>
      </c>
      <c r="F23" s="13">
        <f t="shared" si="7"/>
        <v>0.13868315074192342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0.24385328956842678</v>
      </c>
      <c r="K23" s="6"/>
      <c r="L23" t="s">
        <v>12</v>
      </c>
      <c r="M23" s="13">
        <f t="shared" ref="M23:P23" si="8">M6/M$16</f>
        <v>0</v>
      </c>
      <c r="N23" s="13">
        <f t="shared" si="8"/>
        <v>0.92655051872733762</v>
      </c>
      <c r="O23" s="13">
        <f t="shared" si="8"/>
        <v>0.15287759036599288</v>
      </c>
      <c r="P23" s="13" t="e">
        <f t="shared" si="8"/>
        <v>#DIV/0!</v>
      </c>
      <c r="Q23" s="13">
        <f t="shared" si="6"/>
        <v>0.10877260116712906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0.2729807110733396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0.88580455725290719</v>
      </c>
      <c r="E24" s="13">
        <f t="shared" si="9"/>
        <v>0</v>
      </c>
      <c r="F24" s="13">
        <f t="shared" si="9"/>
        <v>5.2095007145897647E-2</v>
      </c>
      <c r="G24" s="13">
        <f t="shared" si="9"/>
        <v>0</v>
      </c>
      <c r="H24" s="13">
        <f t="shared" si="9"/>
        <v>0</v>
      </c>
      <c r="I24" s="13">
        <f t="shared" si="9"/>
        <v>0</v>
      </c>
      <c r="J24" s="13">
        <f t="shared" si="9"/>
        <v>0.18902683398745074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0.81995835914919313</v>
      </c>
      <c r="P24" s="13" t="e">
        <f t="shared" si="10"/>
        <v>#DIV/0!</v>
      </c>
      <c r="Q24" s="13">
        <f t="shared" si="6"/>
        <v>4.6493829522625083E-2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0.19661727726877018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0.46984475844603546</v>
      </c>
      <c r="F25" s="13">
        <f t="shared" si="11"/>
        <v>0.58684625071927432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1.4414512841330603E-2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0.73462163972065431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5.780392508147613E-3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1.7762957817464766E-3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4.0636746342856964E-5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0.5</v>
      </c>
      <c r="J30" s="13">
        <f t="shared" si="21"/>
        <v>5.6244243863493124E-4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2.9835483290517207E-3</v>
      </c>
      <c r="C31" s="13">
        <f t="shared" si="23"/>
        <v>5.482910673798271E-5</v>
      </c>
      <c r="D31" s="13">
        <f t="shared" si="23"/>
        <v>0</v>
      </c>
      <c r="E31" s="13">
        <f t="shared" si="23"/>
        <v>0</v>
      </c>
      <c r="F31" s="13">
        <f t="shared" si="23"/>
        <v>4.7019621855317103E-3</v>
      </c>
      <c r="G31" s="13">
        <f t="shared" si="23"/>
        <v>0.98385592727429261</v>
      </c>
      <c r="H31" s="13">
        <f t="shared" si="23"/>
        <v>0</v>
      </c>
      <c r="I31" s="13">
        <f t="shared" si="23"/>
        <v>0.5</v>
      </c>
      <c r="J31" s="13">
        <f t="shared" si="23"/>
        <v>1.3600933209652262E-2</v>
      </c>
      <c r="K31" s="6"/>
      <c r="L31" t="s">
        <v>4</v>
      </c>
      <c r="M31" s="13">
        <f t="shared" ref="M31:P31" si="24">M14/M$16</f>
        <v>1.0236402966625464E-3</v>
      </c>
      <c r="N31" s="13">
        <f t="shared" si="24"/>
        <v>1.3340183564479282E-3</v>
      </c>
      <c r="O31" s="13">
        <f t="shared" si="24"/>
        <v>1.0032803177788192E-3</v>
      </c>
      <c r="P31" s="13" t="e">
        <f t="shared" si="24"/>
        <v>#DIV/0!</v>
      </c>
      <c r="Q31" s="13">
        <f t="shared" si="6"/>
        <v>1.085812685353487E-2</v>
      </c>
      <c r="R31" s="13">
        <f t="shared" si="6"/>
        <v>0.9783128415300546</v>
      </c>
      <c r="S31" s="13">
        <f t="shared" si="6"/>
        <v>0</v>
      </c>
      <c r="T31" s="13" t="e">
        <f t="shared" si="6"/>
        <v>#DIV/0!</v>
      </c>
      <c r="U31" s="13">
        <f t="shared" si="6"/>
        <v>1.3801731558391261E-2</v>
      </c>
    </row>
    <row r="32" spans="1:21" x14ac:dyDescent="0.25">
      <c r="A32" s="4" t="s">
        <v>5</v>
      </c>
      <c r="B32" s="14">
        <f t="shared" ref="B32:J32" si="25">B15/B$16</f>
        <v>1.9212559184717745E-2</v>
      </c>
      <c r="C32" s="14">
        <f t="shared" si="25"/>
        <v>1.6908627853571979E-2</v>
      </c>
      <c r="D32" s="14">
        <f t="shared" si="25"/>
        <v>2.3611958226496834E-2</v>
      </c>
      <c r="E32" s="14">
        <f t="shared" si="25"/>
        <v>5.6362339870192929E-2</v>
      </c>
      <c r="F32" s="14">
        <f t="shared" si="25"/>
        <v>0.1965828733801164</v>
      </c>
      <c r="G32" s="14">
        <f t="shared" si="25"/>
        <v>1.6144072725707316E-2</v>
      </c>
      <c r="H32" s="14">
        <f t="shared" si="25"/>
        <v>1</v>
      </c>
      <c r="I32" s="14">
        <f t="shared" si="25"/>
        <v>0</v>
      </c>
      <c r="J32" s="14">
        <f t="shared" si="25"/>
        <v>0.28642222904363906</v>
      </c>
      <c r="K32" s="6"/>
      <c r="L32" s="4" t="s">
        <v>5</v>
      </c>
      <c r="M32" s="14">
        <f t="shared" ref="M32:P32" si="26">M15/M$16</f>
        <v>4.3147404202719406E-3</v>
      </c>
      <c r="N32" s="14">
        <f t="shared" si="26"/>
        <v>3.6615176420596294E-3</v>
      </c>
      <c r="O32" s="14">
        <f t="shared" si="26"/>
        <v>2.2518768261117071E-3</v>
      </c>
      <c r="P32" s="14" t="e">
        <f t="shared" si="26"/>
        <v>#DIV/0!</v>
      </c>
      <c r="Q32" s="14">
        <f t="shared" si="6"/>
        <v>8.9974170094709649E-2</v>
      </c>
      <c r="R32" s="14">
        <f t="shared" si="6"/>
        <v>2.1687158469945355E-2</v>
      </c>
      <c r="S32" s="14">
        <f t="shared" si="6"/>
        <v>1</v>
      </c>
      <c r="T32" s="14" t="e">
        <f t="shared" si="6"/>
        <v>#DIV/0!</v>
      </c>
      <c r="U32" s="14">
        <f t="shared" si="6"/>
        <v>0.29379057575464457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46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1.685772679683506E-2</v>
      </c>
      <c r="N39" s="13">
        <f t="shared" si="29"/>
        <v>3.3074352473647747E-2</v>
      </c>
      <c r="O39" s="13">
        <f t="shared" si="29"/>
        <v>9.3606511870842103E-3</v>
      </c>
      <c r="P39" s="13" t="e">
        <f t="shared" si="29"/>
        <v>#DIV/0!</v>
      </c>
      <c r="Q39" s="13">
        <f t="shared" ref="Q39:Q50" si="30">Q22-F22</f>
        <v>-1.0034827404162994E-2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-3.5049810327816205E-2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-2.1106431511845214E-2</v>
      </c>
      <c r="O40" s="13">
        <f t="shared" si="29"/>
        <v>7.6842347999236199E-2</v>
      </c>
      <c r="P40" s="13" t="e">
        <f t="shared" si="29"/>
        <v>#DIV/0!</v>
      </c>
      <c r="Q40" s="13">
        <f t="shared" si="30"/>
        <v>-2.9910549574794359E-2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2.912742150491282E-2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-6.584619810371406E-2</v>
      </c>
      <c r="P41" s="13" t="e">
        <f t="shared" si="29"/>
        <v>#DIV/0!</v>
      </c>
      <c r="Q41" s="13">
        <f t="shared" si="30"/>
        <v>-5.6011776232725644E-3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7.5904432813194422E-3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0.14777538900137999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-8.6341203331829902E-3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-1.7762957817464766E-3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-4.0636746342856964E-5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-5.6244243863493124E-4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-1.9599080323891745E-3</v>
      </c>
      <c r="N48" s="13">
        <f t="shared" si="39"/>
        <v>1.2791892497099455E-3</v>
      </c>
      <c r="O48" s="13">
        <f t="shared" si="39"/>
        <v>1.0032803177788192E-3</v>
      </c>
      <c r="P48" s="13" t="e">
        <f t="shared" si="39"/>
        <v>#DIV/0!</v>
      </c>
      <c r="Q48" s="13">
        <f t="shared" si="30"/>
        <v>6.1561646680031602E-3</v>
      </c>
      <c r="R48" s="13">
        <f t="shared" si="31"/>
        <v>-5.5430857442380077E-3</v>
      </c>
      <c r="S48" s="13">
        <f t="shared" si="32"/>
        <v>0</v>
      </c>
      <c r="T48" s="13" t="e">
        <f t="shared" si="33"/>
        <v>#DIV/0!</v>
      </c>
      <c r="U48" s="13">
        <f t="shared" si="34"/>
        <v>2.0079834873899978E-4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-1.4897818764445805E-2</v>
      </c>
      <c r="N49" s="17">
        <f t="shared" si="39"/>
        <v>-1.324711021151235E-2</v>
      </c>
      <c r="O49" s="17">
        <f t="shared" si="39"/>
        <v>-2.1360081400385127E-2</v>
      </c>
      <c r="P49" s="17" t="e">
        <f t="shared" si="39"/>
        <v>#DIV/0!</v>
      </c>
      <c r="Q49" s="17">
        <f t="shared" si="30"/>
        <v>-0.10660870328540675</v>
      </c>
      <c r="R49" s="17">
        <f t="shared" si="31"/>
        <v>5.5430857442380389E-3</v>
      </c>
      <c r="S49" s="17">
        <f t="shared" si="32"/>
        <v>0</v>
      </c>
      <c r="T49" s="17" t="e">
        <f t="shared" si="33"/>
        <v>#DIV/0!</v>
      </c>
      <c r="U49" s="13">
        <f t="shared" si="34"/>
        <v>7.3683467110055023E-3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B3"/>
  <sheetViews>
    <sheetView workbookViewId="0"/>
  </sheetViews>
  <sheetFormatPr defaultRowHeight="15" x14ac:dyDescent="0.25"/>
  <sheetData>
    <row r="2" spans="2:2" x14ac:dyDescent="0.25">
      <c r="B2" t="s">
        <v>50</v>
      </c>
    </row>
    <row r="3" spans="2:2" x14ac:dyDescent="0.25">
      <c r="B3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All Purposes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Dong, Hu</cp:lastModifiedBy>
  <dcterms:created xsi:type="dcterms:W3CDTF">2011-03-29T15:31:17Z</dcterms:created>
  <dcterms:modified xsi:type="dcterms:W3CDTF">2019-10-07T21:08:48Z</dcterms:modified>
</cp:coreProperties>
</file>