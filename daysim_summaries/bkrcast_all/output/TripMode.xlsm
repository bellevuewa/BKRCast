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all\output\"/>
    </mc:Choice>
  </mc:AlternateContent>
  <bookViews>
    <workbookView windowHeight="7320" windowWidth="18885" xWindow="240" yWindow="30"/>
  </bookViews>
  <sheets>
    <sheet name="All Purposes" r:id="rId1" sheetId="18"/>
    <sheet name="Workbased" r:id="rId2" sheetId="7"/>
    <sheet name="Work" r:id="rId3" sheetId="11"/>
    <sheet name="School" r:id="rId4" sheetId="12"/>
    <sheet name="Escort" r:id="rId5" sheetId="13"/>
    <sheet name="Personal_Business" r:id="rId6" sheetId="14"/>
    <sheet name="Shop" r:id="rId7" sheetId="15"/>
    <sheet name="Meal" r:id="rId8" sheetId="16"/>
    <sheet name="SocRec" r:id="rId9" sheetId="17"/>
    <sheet name="Documentation" r:id="rId10" sheetId="19"/>
  </sheets>
  <definedNames>
    <definedName name="purp1">Work!$M$5:$T$16</definedName>
    <definedName name="purp2">School!$M$5:$T$16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  <definedName name="out1">Work!$B$5:$I$15</definedName>
    <definedName name="out3">School!$B$5:$I$15</definedName>
    <definedName name="out5">Escort!$B$5:$I$15</definedName>
    <definedName name="out7">Personal_Business!$B$5:$I$15</definedName>
    <definedName name="out9">Shop!$B$5:$I$15</definedName>
    <definedName name="out11">Meal!$B$5:$I$15</definedName>
    <definedName name="out13">SocRec!$B$5:$I$15</definedName>
    <definedName name="out15">Workbased!$B$5:$I$15</definedName>
    <definedName name="out2">Work!$M$5:$T$15</definedName>
    <definedName name="out4">School!$M$5:$T$15</definedName>
    <definedName name="out6">Escort!$M$5:$T$15</definedName>
    <definedName name="out8">Personal_Business!$M$5:$T$15</definedName>
    <definedName name="out10">Shop!$M$5:$T$15</definedName>
    <definedName name="out12">Meal!$M$5:$T$15</definedName>
    <definedName name="out14">SocRec!$M$5:$T$15</definedName>
    <definedName name="out16">Workbased!$M$5:$T$15</definedName>
  </definedNames>
  <calcPr calcId="171027"/>
</workbook>
</file>

<file path=xl/calcChain.xml><?xml version="1.0" encoding="utf-8"?>
<calcChain xmlns="http://schemas.openxmlformats.org/spreadsheetml/2006/main">
  <c i="18" l="1" r="B6"/>
  <c i="7" l="1" r="J11"/>
  <c i="7" r="J12"/>
  <c i="7" r="J13"/>
  <c i="11" r="J11"/>
  <c i="11" r="J12"/>
  <c i="11" r="J13"/>
  <c i="12" r="J11"/>
  <c i="12" r="J12"/>
  <c i="12" r="J13"/>
  <c i="13" r="J11"/>
  <c i="13" r="J12"/>
  <c i="13" r="J13"/>
  <c i="14" r="J11"/>
  <c i="14" r="J12"/>
  <c i="14" r="J13"/>
  <c i="15" r="J11"/>
  <c i="15" r="J12"/>
  <c i="15" r="J13"/>
  <c i="16" r="J11"/>
  <c i="16" r="J12"/>
  <c i="16" r="J13"/>
  <c i="17" r="J11"/>
  <c i="17" r="J12"/>
  <c i="17" r="J13"/>
  <c i="18" r="I13"/>
  <c i="18" r="H13"/>
  <c i="18" r="G13"/>
  <c i="18" r="F13"/>
  <c i="18" r="E13"/>
  <c i="18" r="D13"/>
  <c i="18" r="C13"/>
  <c i="18" r="B13"/>
  <c i="18" r="I12"/>
  <c i="18" r="H12"/>
  <c i="18" r="G12"/>
  <c i="18" r="F12"/>
  <c i="18" r="E12"/>
  <c i="18" r="D12"/>
  <c i="18" r="C12"/>
  <c i="18" r="B12"/>
  <c i="18" r="I11"/>
  <c i="18" r="H11"/>
  <c i="18" r="G11"/>
  <c i="18" r="F11"/>
  <c i="18" r="E11"/>
  <c i="18" r="D11"/>
  <c i="18" r="C11"/>
  <c i="18" r="B11"/>
  <c i="18" r="T13"/>
  <c i="18" r="S13"/>
  <c i="18" r="R13"/>
  <c i="18" r="Q13"/>
  <c i="18" r="P13"/>
  <c i="18" r="O13"/>
  <c i="18" r="N13"/>
  <c i="18" r="M13"/>
  <c i="18" r="T12"/>
  <c i="18" r="S12"/>
  <c i="18" r="R12"/>
  <c i="18" r="Q12"/>
  <c i="18" r="P12"/>
  <c i="18" r="O12"/>
  <c i="18" r="N12"/>
  <c i="18" r="M12"/>
  <c i="7" r="U11"/>
  <c i="7" r="U12"/>
  <c i="7" r="U13"/>
  <c i="11" r="U11"/>
  <c i="11" r="U12"/>
  <c i="11" r="U13"/>
  <c i="12" r="U11"/>
  <c i="12" r="U12"/>
  <c i="12" r="U13"/>
  <c i="13" r="U11"/>
  <c i="13" r="U12"/>
  <c i="13" r="U13"/>
  <c i="14" r="U11"/>
  <c i="14" r="U12"/>
  <c i="14" r="U13"/>
  <c i="15" r="U11"/>
  <c i="15" r="U12"/>
  <c i="15" r="U13"/>
  <c i="16" r="U11"/>
  <c i="16" r="U12"/>
  <c i="16" r="U13"/>
  <c i="17" r="U11"/>
  <c i="17" r="U12"/>
  <c i="17" r="U13"/>
  <c i="18" r="O11"/>
  <c i="18" r="P11"/>
  <c i="18" r="Q11"/>
  <c i="18" r="R11"/>
  <c i="18" r="S11"/>
  <c i="18" r="T11"/>
  <c i="18" r="N11"/>
  <c i="18" r="M11"/>
  <c i="18" r="T15"/>
  <c i="18" r="S15"/>
  <c i="18" r="R15"/>
  <c i="18" r="Q15"/>
  <c i="18" r="P15"/>
  <c i="18" r="O15"/>
  <c i="18" r="N15"/>
  <c i="18" r="M15"/>
  <c i="18" r="T14"/>
  <c i="18" r="S14"/>
  <c i="18" r="R14"/>
  <c i="18" r="Q14"/>
  <c i="18" r="P14"/>
  <c i="18" r="O14"/>
  <c i="18" r="N14"/>
  <c i="18" r="M14"/>
  <c i="18" r="T10"/>
  <c i="18" r="S10"/>
  <c i="18" r="R10"/>
  <c i="18" r="Q10"/>
  <c i="18" r="P10"/>
  <c i="18" r="O10"/>
  <c i="18" r="N10"/>
  <c i="18" r="M10"/>
  <c i="18" r="T9"/>
  <c i="18" r="S9"/>
  <c i="18" r="R9"/>
  <c i="18" r="Q9"/>
  <c i="18" r="P9"/>
  <c i="18" r="O9"/>
  <c i="18" r="N9"/>
  <c i="18" r="M9"/>
  <c i="18" r="T8"/>
  <c i="18" r="S8"/>
  <c i="18" r="R8"/>
  <c i="18" r="Q8"/>
  <c i="18" r="P8"/>
  <c i="18" r="O8"/>
  <c i="18" r="N8"/>
  <c i="18" r="M8"/>
  <c i="18" r="T7"/>
  <c i="18" r="S7"/>
  <c i="18" r="R7"/>
  <c i="18" r="Q7"/>
  <c i="18" r="P7"/>
  <c i="18" r="O7"/>
  <c i="18" r="N7"/>
  <c i="18" r="M7"/>
  <c i="18" r="T6"/>
  <c i="18" r="S6"/>
  <c i="18" r="R6"/>
  <c i="18" r="Q6"/>
  <c i="18" r="P6"/>
  <c i="18" r="O6"/>
  <c i="18" r="N6"/>
  <c i="18" r="M6"/>
  <c i="18" r="T5"/>
  <c i="18" r="S5"/>
  <c i="18" r="R5"/>
  <c i="18" r="Q5"/>
  <c i="18" r="P5"/>
  <c i="18" r="O5"/>
  <c i="18" r="N5"/>
  <c i="18" r="M5"/>
  <c i="18" r="I15"/>
  <c i="18" r="H15"/>
  <c i="18" r="G15"/>
  <c i="18" r="F15"/>
  <c i="18" r="E15"/>
  <c i="18" r="D15"/>
  <c i="18" r="C15"/>
  <c i="18" r="B15"/>
  <c i="18" r="I14"/>
  <c i="18" r="H14"/>
  <c i="18" r="G14"/>
  <c i="18" r="F14"/>
  <c i="18" r="E14"/>
  <c i="18" r="D14"/>
  <c i="18" r="C14"/>
  <c i="18" r="B14"/>
  <c i="18" r="I10"/>
  <c i="18" r="H10"/>
  <c i="18" r="G10"/>
  <c i="18" r="F10"/>
  <c i="18" r="E10"/>
  <c i="18" r="D10"/>
  <c i="18" r="C10"/>
  <c i="18" r="B10"/>
  <c i="18" r="I9"/>
  <c i="18" r="H9"/>
  <c i="18" r="G9"/>
  <c i="18" r="F9"/>
  <c i="18" r="E9"/>
  <c i="18" r="D9"/>
  <c i="18" r="C9"/>
  <c i="18" r="B9"/>
  <c i="18" r="I8"/>
  <c i="18" r="H8"/>
  <c i="18" r="G8"/>
  <c i="18" r="F8"/>
  <c i="18" r="E8"/>
  <c i="18" r="D8"/>
  <c i="18" r="C8"/>
  <c i="18" r="B8"/>
  <c i="18" r="I7"/>
  <c i="18" r="H7"/>
  <c i="18" r="G7"/>
  <c i="18" r="F7"/>
  <c i="18" r="E7"/>
  <c i="18" r="D7"/>
  <c i="18" r="C7"/>
  <c i="18" r="B7"/>
  <c i="18" r="I6"/>
  <c i="18" r="H6"/>
  <c i="18" r="G6"/>
  <c i="18" r="F6"/>
  <c i="18" r="E6"/>
  <c i="18" r="D6"/>
  <c i="18" r="C6"/>
  <c i="18" r="I5"/>
  <c i="18" r="H5"/>
  <c i="18" r="G5"/>
  <c i="18" r="F5"/>
  <c i="18" r="E5"/>
  <c i="18" r="D5"/>
  <c i="18" r="C5"/>
  <c i="18" r="B5"/>
  <c i="17" r="T16"/>
  <c i="17" r="T30" s="1"/>
  <c i="17" r="S16"/>
  <c i="17" r="S29" s="1"/>
  <c i="17" r="R16"/>
  <c i="17" r="R30" s="1"/>
  <c i="17" r="Q16"/>
  <c i="17" r="Q30" s="1"/>
  <c i="17" r="P16"/>
  <c i="17" r="P30" s="1"/>
  <c i="17" r="O16"/>
  <c i="17" r="O30" s="1"/>
  <c i="17" r="N16"/>
  <c i="17" r="N30" s="1"/>
  <c i="17" r="M16"/>
  <c i="17" r="M30" s="1"/>
  <c i="17" r="I16"/>
  <c i="17" r="I30" s="1"/>
  <c i="17" r="H16"/>
  <c i="17" r="H30" s="1"/>
  <c i="17" r="G16"/>
  <c i="17" r="G30" s="1"/>
  <c i="17" r="F16"/>
  <c i="17" r="F30" s="1"/>
  <c i="17" r="E16"/>
  <c i="17" r="E30" s="1"/>
  <c i="17" r="D16"/>
  <c i="17" r="D30" s="1"/>
  <c i="17" r="C16"/>
  <c i="17" r="C30" s="1"/>
  <c i="17" r="B16"/>
  <c i="17" r="B29" s="1"/>
  <c i="17" r="U15"/>
  <c i="17" r="J15"/>
  <c i="17" r="U14"/>
  <c i="17" r="J14"/>
  <c i="17" r="U10"/>
  <c i="17" r="J10"/>
  <c i="17" r="U9"/>
  <c i="17" r="J9"/>
  <c i="17" r="U8"/>
  <c i="17" r="J8"/>
  <c i="17" r="U7"/>
  <c i="17" r="J7"/>
  <c i="17" r="U6"/>
  <c i="17" r="J6"/>
  <c i="17" r="U5"/>
  <c i="17" r="J5"/>
  <c i="16" r="T16"/>
  <c i="16" r="T30" s="1"/>
  <c i="16" r="S16"/>
  <c i="16" r="S30" s="1"/>
  <c i="16" r="R16"/>
  <c i="16" r="R30" s="1"/>
  <c i="16" r="Q16"/>
  <c i="16" r="Q30" s="1"/>
  <c i="16" r="P16"/>
  <c i="16" r="P30" s="1"/>
  <c i="16" r="O16"/>
  <c i="16" r="O29" s="1"/>
  <c i="16" r="N16"/>
  <c i="16" r="N30" s="1"/>
  <c i="16" r="M16"/>
  <c i="16" r="M30" s="1"/>
  <c i="16" r="I16"/>
  <c i="16" r="I30" s="1"/>
  <c i="16" r="H16"/>
  <c i="16" r="H30" s="1"/>
  <c i="16" r="G16"/>
  <c i="16" r="G30" s="1"/>
  <c i="16" r="F16"/>
  <c i="16" r="F30" s="1"/>
  <c i="16" r="E16"/>
  <c i="16" r="E30" s="1"/>
  <c i="16" r="D16"/>
  <c i="16" r="D30" s="1"/>
  <c i="16" r="C16"/>
  <c i="16" r="C30" s="1"/>
  <c i="16" r="B16"/>
  <c i="16" r="B29" s="1"/>
  <c i="16" r="U15"/>
  <c i="16" r="J15"/>
  <c i="16" r="U14"/>
  <c i="16" r="J14"/>
  <c i="16" r="U10"/>
  <c i="16" r="J10"/>
  <c i="16" r="U9"/>
  <c i="16" r="J9"/>
  <c i="16" r="U8"/>
  <c i="16" r="J8"/>
  <c i="16" r="U7"/>
  <c i="16" r="J7"/>
  <c i="16" r="U6"/>
  <c i="16" r="J6"/>
  <c i="16" r="U5"/>
  <c i="16" r="J5"/>
  <c i="15" r="T16"/>
  <c i="15" r="T30" s="1"/>
  <c i="15" r="S16"/>
  <c i="15" r="S29" s="1"/>
  <c i="15" r="R16"/>
  <c i="15" r="R30" s="1"/>
  <c i="15" r="Q16"/>
  <c i="15" r="Q30" s="1"/>
  <c i="15" r="P16"/>
  <c i="15" r="P30" s="1"/>
  <c i="15" r="O16"/>
  <c i="15" r="O30" s="1"/>
  <c i="15" r="N16"/>
  <c i="15" r="N30" s="1"/>
  <c i="15" r="M16"/>
  <c i="15" r="M30" s="1"/>
  <c i="15" r="I16"/>
  <c i="15" r="I30" s="1"/>
  <c i="15" r="H16"/>
  <c i="15" r="H30" s="1"/>
  <c i="15" r="G16"/>
  <c i="15" r="G30" s="1"/>
  <c i="15" r="F16"/>
  <c i="15" r="F30" s="1"/>
  <c i="15" r="E16"/>
  <c i="15" r="E30" s="1"/>
  <c i="15" r="D16"/>
  <c i="15" r="D30" s="1"/>
  <c i="15" r="C16"/>
  <c i="15" r="C30" s="1"/>
  <c i="15" r="B16"/>
  <c i="15" r="B29" s="1"/>
  <c i="15" r="U15"/>
  <c i="15" r="J15"/>
  <c i="15" r="U14"/>
  <c i="15" r="J14"/>
  <c i="15" r="U10"/>
  <c i="15" r="J10"/>
  <c i="15" r="U9"/>
  <c i="15" r="J9"/>
  <c i="15" r="U8"/>
  <c i="15" r="J8"/>
  <c i="15" r="U7"/>
  <c i="15" r="J7"/>
  <c i="15" r="U6"/>
  <c i="15" r="J6"/>
  <c i="15" r="U5"/>
  <c i="15" r="J5"/>
  <c i="14" r="T16"/>
  <c i="14" r="T30" s="1"/>
  <c i="14" r="S16"/>
  <c i="14" r="S30" s="1"/>
  <c i="14" r="R16"/>
  <c i="14" r="R30" s="1"/>
  <c i="14" r="Q16"/>
  <c i="14" r="Q30" s="1"/>
  <c i="14" r="P16"/>
  <c i="14" r="P30" s="1"/>
  <c i="14" r="O16"/>
  <c i="14" r="O29" s="1"/>
  <c i="14" r="N16"/>
  <c i="14" r="N30" s="1"/>
  <c i="14" r="M16"/>
  <c i="14" r="M30" s="1"/>
  <c i="14" r="I16"/>
  <c i="14" r="I30" s="1"/>
  <c i="14" r="H16"/>
  <c i="14" r="H30" s="1"/>
  <c i="14" r="G16"/>
  <c i="14" r="G30" s="1"/>
  <c i="14" r="F16"/>
  <c i="14" r="F30" s="1"/>
  <c i="14" r="E16"/>
  <c i="14" r="E30" s="1"/>
  <c i="14" r="D16"/>
  <c i="14" r="D30" s="1"/>
  <c i="14" r="C16"/>
  <c i="14" r="C30" s="1"/>
  <c i="14" r="B16"/>
  <c i="14" r="B29" s="1"/>
  <c i="14" r="U15"/>
  <c i="14" r="J15"/>
  <c i="14" r="U14"/>
  <c i="14" r="J14"/>
  <c i="14" r="U10"/>
  <c i="14" r="J10"/>
  <c i="14" r="U9"/>
  <c i="14" r="J9"/>
  <c i="14" r="U8"/>
  <c i="14" r="J8"/>
  <c i="14" r="U7"/>
  <c i="14" r="J7"/>
  <c i="14" r="U6"/>
  <c i="14" r="J6"/>
  <c i="14" r="U5"/>
  <c i="14" r="J5"/>
  <c i="13" r="T16"/>
  <c i="13" r="T30" s="1"/>
  <c i="13" r="S16"/>
  <c i="13" r="S29" s="1"/>
  <c i="13" r="R16"/>
  <c i="13" r="R30" s="1"/>
  <c i="13" r="Q16"/>
  <c i="13" r="Q30" s="1"/>
  <c i="13" r="P16"/>
  <c i="13" r="P30" s="1"/>
  <c i="13" r="O16"/>
  <c i="13" r="O30" s="1"/>
  <c i="13" r="N16"/>
  <c i="13" r="N30" s="1"/>
  <c i="13" r="M16"/>
  <c i="13" r="M30" s="1"/>
  <c i="13" r="I16"/>
  <c i="13" r="I30" s="1"/>
  <c i="13" r="H16"/>
  <c i="13" r="H30" s="1"/>
  <c i="13" r="G16"/>
  <c i="13" r="G30" s="1"/>
  <c i="13" r="F16"/>
  <c i="13" r="F30" s="1"/>
  <c i="13" r="E16"/>
  <c i="13" r="E30" s="1"/>
  <c i="13" r="D16"/>
  <c i="13" r="D30" s="1"/>
  <c i="13" r="C16"/>
  <c i="13" r="C30" s="1"/>
  <c i="13" r="B16"/>
  <c i="13" r="B29" s="1"/>
  <c i="13" r="U15"/>
  <c i="13" r="J15"/>
  <c i="13" r="U14"/>
  <c i="13" r="J14"/>
  <c i="13" r="U10"/>
  <c i="13" r="J10"/>
  <c i="13" r="U9"/>
  <c i="13" r="J9"/>
  <c i="13" r="U8"/>
  <c i="13" r="J8"/>
  <c i="13" r="U7"/>
  <c i="13" r="J7"/>
  <c i="13" r="U6"/>
  <c i="13" r="J6"/>
  <c i="13" r="U5"/>
  <c i="13" r="J5"/>
  <c i="12" r="T16"/>
  <c i="12" r="T30" s="1"/>
  <c i="12" r="S16"/>
  <c i="12" r="S30" s="1"/>
  <c i="12" r="R16"/>
  <c i="12" r="R30" s="1"/>
  <c i="12" r="Q16"/>
  <c i="12" r="Q30" s="1"/>
  <c i="12" r="P16"/>
  <c i="12" r="P30" s="1"/>
  <c i="12" r="O16"/>
  <c i="12" r="O29" s="1"/>
  <c i="12" r="N16"/>
  <c i="12" r="N30" s="1"/>
  <c i="12" r="M16"/>
  <c i="12" r="M30" s="1"/>
  <c i="12" r="I16"/>
  <c i="12" r="I30" s="1"/>
  <c i="12" r="H16"/>
  <c i="12" r="H30" s="1"/>
  <c i="12" r="G16"/>
  <c i="12" r="G30" s="1"/>
  <c i="12" r="F16"/>
  <c i="12" r="F30" s="1"/>
  <c i="12" r="E16"/>
  <c i="12" r="E30" s="1"/>
  <c i="12" r="D16"/>
  <c i="12" r="D30" s="1"/>
  <c i="12" r="C16"/>
  <c i="12" r="C30" s="1"/>
  <c i="12" r="B16"/>
  <c i="12" r="B29" s="1"/>
  <c i="12" r="U15"/>
  <c i="12" r="J15"/>
  <c i="12" r="U14"/>
  <c i="12" r="J14"/>
  <c i="12" r="U10"/>
  <c i="12" r="J10"/>
  <c i="12" r="U9"/>
  <c i="12" r="J9"/>
  <c i="12" r="U8"/>
  <c i="12" r="J8"/>
  <c i="12" r="U7"/>
  <c i="12" r="J7"/>
  <c i="12" r="U6"/>
  <c i="12" r="J6"/>
  <c i="12" r="U5"/>
  <c i="12" r="J5"/>
  <c i="11" r="T16"/>
  <c i="11" r="T31" s="1"/>
  <c i="11" r="S16"/>
  <c i="11" r="S32" s="1"/>
  <c i="11" r="R16"/>
  <c i="11" r="R33" s="1"/>
  <c i="11" r="Q16"/>
  <c i="11" r="Q30" s="1"/>
  <c i="11" r="P16"/>
  <c i="11" r="P31" s="1"/>
  <c i="11" r="O16"/>
  <c i="11" r="O32" s="1"/>
  <c i="11" r="N16"/>
  <c i="11" r="N33" s="1"/>
  <c i="11" r="M16"/>
  <c i="11" r="M30" s="1"/>
  <c i="11" r="I16"/>
  <c i="11" r="I31" s="1"/>
  <c i="11" r="H16"/>
  <c i="11" r="H32" s="1"/>
  <c i="11" r="G16"/>
  <c i="11" r="G33" s="1"/>
  <c i="11" r="F16"/>
  <c i="11" r="F30" s="1"/>
  <c i="11" r="E16"/>
  <c i="11" r="E31" s="1"/>
  <c i="11" r="D16"/>
  <c i="11" r="D32" s="1"/>
  <c i="11" r="C16"/>
  <c i="11" r="C33" s="1"/>
  <c i="11" r="B16"/>
  <c i="11" r="B29" s="1"/>
  <c i="11" r="U15"/>
  <c i="11" r="J15"/>
  <c i="11" r="U14"/>
  <c i="11" r="J14"/>
  <c i="11" r="U10"/>
  <c i="11" r="J10"/>
  <c i="11" r="U9"/>
  <c i="11" r="J9"/>
  <c i="11" r="U8"/>
  <c i="11" r="J8"/>
  <c i="11" r="U7"/>
  <c i="11" r="J7"/>
  <c i="11" r="U6"/>
  <c i="11" r="J6"/>
  <c i="11" r="U5"/>
  <c i="11" r="J5"/>
  <c i="7" r="R16"/>
  <c i="7" r="R33" s="1"/>
  <c i="7" r="U8"/>
  <c i="7" r="U7"/>
  <c i="7" r="J8"/>
  <c i="7" r="J7"/>
  <c i="7" r="G16"/>
  <c i="7" r="G33" s="1"/>
  <c i="7" r="J15"/>
  <c i="7" r="J14"/>
  <c i="7" r="J10"/>
  <c i="7" r="J9"/>
  <c i="7" r="J6"/>
  <c i="7" r="J5"/>
  <c i="7" r="U15"/>
  <c i="7" r="U14"/>
  <c i="7" r="U10"/>
  <c i="7" r="U9"/>
  <c i="7" r="U6"/>
  <c i="7" r="U5"/>
  <c i="7" r="T16"/>
  <c i="7" r="T31" s="1"/>
  <c i="7" r="S16"/>
  <c i="7" r="S32" s="1"/>
  <c i="7" r="Q16"/>
  <c i="7" r="Q30" s="1"/>
  <c i="7" r="P16"/>
  <c i="7" r="P31" s="1"/>
  <c i="7" r="O16"/>
  <c i="7" r="O32" s="1"/>
  <c i="7" r="N16"/>
  <c i="7" r="N33" s="1"/>
  <c i="7" r="M16"/>
  <c i="7" r="M30" s="1"/>
  <c i="7" r="I16"/>
  <c i="7" r="I31" s="1"/>
  <c i="7" r="H16"/>
  <c i="7" r="H32" s="1"/>
  <c i="7" r="F16"/>
  <c i="7" r="F30" s="1"/>
  <c i="7" r="E16"/>
  <c i="7" r="E31" s="1"/>
  <c i="7" r="D16"/>
  <c i="7" r="D32" s="1"/>
  <c i="7" r="C16"/>
  <c i="7" r="C33" s="1"/>
  <c i="7" r="B16"/>
  <c i="7" r="B29" s="1"/>
  <c i="18" l="1" r="I16"/>
  <c i="18" r="I33" s="1"/>
  <c i="18" r="R16"/>
  <c i="18" r="R33" s="1"/>
  <c i="18" r="U13"/>
  <c i="18" r="N16"/>
  <c i="18" r="N33" s="1"/>
  <c i="18" r="F16"/>
  <c i="18" r="F33" s="1"/>
  <c i="18" r="M16"/>
  <c i="18" r="M33" s="1"/>
  <c i="18" r="E16"/>
  <c i="18" r="E30" s="1"/>
  <c i="18" r="B16"/>
  <c i="18" r="B33" s="1"/>
  <c i="17" r="O29"/>
  <c i="14" r="O28"/>
  <c i="12" r="O30"/>
  <c i="12" r="O47" s="1"/>
  <c i="15" r="O29"/>
  <c i="12" r="O28"/>
  <c i="7" r="Q47"/>
  <c i="16" r="O30"/>
  <c i="16" r="O47" s="1"/>
  <c i="13" r="O29"/>
  <c i="7" r="O28"/>
  <c i="16" r="O28"/>
  <c i="14" r="O30"/>
  <c i="14" r="O47" s="1"/>
  <c i="11" r="O29"/>
  <c i="18" r="C16"/>
  <c i="18" r="C33" s="1"/>
  <c i="18" r="G16"/>
  <c i="18" r="G33" s="1"/>
  <c i="17" r="S28"/>
  <c i="17" r="S30"/>
  <c i="17" r="S47" s="1"/>
  <c i="16" r="S29"/>
  <c i="15" r="S28"/>
  <c i="15" r="S30"/>
  <c i="15" r="S47" s="1"/>
  <c i="14" r="S29"/>
  <c i="13" r="S28"/>
  <c i="13" r="S30"/>
  <c i="13" r="S47" s="1"/>
  <c i="12" r="S29"/>
  <c i="11" r="S28"/>
  <c i="11" r="S30"/>
  <c i="18" r="J11"/>
  <c i="18" r="J12"/>
  <c i="18" r="J13"/>
  <c i="18" r="U11"/>
  <c i="17" r="O28"/>
  <c i="15" r="O28"/>
  <c i="13" r="O28"/>
  <c i="11" r="O28"/>
  <c i="11" r="O30"/>
  <c i="7" r="O30"/>
  <c i="16" r="S28"/>
  <c i="14" r="S28"/>
  <c i="12" r="S28"/>
  <c i="11" r="S29"/>
  <c i="7" r="O29"/>
  <c i="11" r="Q47"/>
  <c i="12" r="Q47"/>
  <c i="13" r="Q47"/>
  <c i="14" r="Q47"/>
  <c i="15" r="Q47"/>
  <c i="16" r="Q47"/>
  <c i="17" r="Q47"/>
  <c i="16" r="S47"/>
  <c i="14" r="S47"/>
  <c i="12" r="S47"/>
  <c i="12" r="P47"/>
  <c i="12" r="T47"/>
  <c i="13" r="P47"/>
  <c i="13" r="T47"/>
  <c i="14" r="P47"/>
  <c i="14" r="T47"/>
  <c i="15" r="P47"/>
  <c i="15" r="T47"/>
  <c i="16" r="P47"/>
  <c i="16" r="T47"/>
  <c i="17" r="P47"/>
  <c i="17" r="T47"/>
  <c i="12" r="N47"/>
  <c i="12" r="R47"/>
  <c i="13" r="N47"/>
  <c i="13" r="R47"/>
  <c i="14" r="N47"/>
  <c i="14" r="R47"/>
  <c i="15" r="N47"/>
  <c i="15" r="R47"/>
  <c i="16" r="N47"/>
  <c i="16" r="R47"/>
  <c i="17" r="N47"/>
  <c i="17" r="R47"/>
  <c i="17" r="O47"/>
  <c i="15" r="O47"/>
  <c i="13" r="O47"/>
  <c i="18" r="S16"/>
  <c i="18" r="S33" s="1"/>
  <c i="7" r="S29"/>
  <c i="17" r="F28"/>
  <c i="17" r="B30"/>
  <c i="17" r="M47" s="1"/>
  <c i="16" r="F28"/>
  <c i="16" r="B30"/>
  <c i="16" r="M47" s="1"/>
  <c i="15" r="F28"/>
  <c i="15" r="B30"/>
  <c i="15" r="M47" s="1"/>
  <c i="14" r="F28"/>
  <c i="14" r="B30"/>
  <c i="14" r="M47" s="1"/>
  <c i="13" r="F28"/>
  <c i="13" r="B30"/>
  <c i="13" r="M47" s="1"/>
  <c i="12" r="F28"/>
  <c i="12" r="B30"/>
  <c i="12" r="M47" s="1"/>
  <c i="11" r="F28"/>
  <c i="11" r="B30"/>
  <c i="11" r="M47" s="1"/>
  <c i="7" r="F28"/>
  <c i="7" r="B30"/>
  <c i="7" r="M47" s="1"/>
  <c i="17" r="M28"/>
  <c i="17" r="Q28"/>
  <c i="17" r="M29"/>
  <c i="17" r="M46" s="1"/>
  <c i="17" r="Q29"/>
  <c i="16" r="M28"/>
  <c i="16" r="Q28"/>
  <c i="16" r="M29"/>
  <c i="16" r="M46" s="1"/>
  <c i="16" r="Q29"/>
  <c i="15" r="M28"/>
  <c i="15" r="Q28"/>
  <c i="15" r="M29"/>
  <c i="15" r="M46" s="1"/>
  <c i="15" r="Q29"/>
  <c i="14" r="M28"/>
  <c i="14" r="Q28"/>
  <c i="14" r="M29"/>
  <c i="14" r="M46" s="1"/>
  <c i="14" r="Q29"/>
  <c i="13" r="M28"/>
  <c i="13" r="Q28"/>
  <c i="13" r="M29"/>
  <c i="13" r="M46" s="1"/>
  <c i="13" r="Q29"/>
  <c i="12" r="M28"/>
  <c i="12" r="Q28"/>
  <c i="12" r="M29"/>
  <c i="12" r="M46" s="1"/>
  <c i="12" r="Q29"/>
  <c i="11" r="M28"/>
  <c i="11" r="Q28"/>
  <c i="11" r="M29"/>
  <c i="11" r="M46" s="1"/>
  <c i="11" r="Q29"/>
  <c i="7" r="M28"/>
  <c i="7" r="Q28"/>
  <c i="7" r="M29"/>
  <c i="7" r="M46" s="1"/>
  <c i="7" r="Q29"/>
  <c i="17" r="D28"/>
  <c i="17" r="H28"/>
  <c i="17" r="D29"/>
  <c i="17" r="H29"/>
  <c i="17" r="S46" s="1"/>
  <c i="16" r="D28"/>
  <c i="16" r="H28"/>
  <c i="16" r="D29"/>
  <c i="16" r="O46" s="1"/>
  <c i="16" r="H29"/>
  <c i="15" r="D28"/>
  <c i="15" r="H28"/>
  <c i="15" r="D29"/>
  <c i="15" r="H29"/>
  <c i="15" r="S46" s="1"/>
  <c i="14" r="D28"/>
  <c i="14" r="H28"/>
  <c i="14" r="D29"/>
  <c i="14" r="O46" s="1"/>
  <c i="14" r="H29"/>
  <c i="13" r="D28"/>
  <c i="13" r="H28"/>
  <c i="13" r="D29"/>
  <c i="13" r="H29"/>
  <c i="13" r="S46" s="1"/>
  <c i="12" r="D28"/>
  <c i="12" r="H28"/>
  <c i="12" r="D29"/>
  <c i="12" r="O46" s="1"/>
  <c i="12" r="H29"/>
  <c i="11" r="D28"/>
  <c i="11" r="H28"/>
  <c i="11" r="D29"/>
  <c i="11" r="H29"/>
  <c i="11" r="D30"/>
  <c i="11" r="H30"/>
  <c i="7" r="D28"/>
  <c i="7" r="H28"/>
  <c i="7" r="D29"/>
  <c i="7" r="H29"/>
  <c i="7" r="D30"/>
  <c i="7" r="H30"/>
  <c i="7" r="S28"/>
  <c i="17" r="B28"/>
  <c i="17" r="F29"/>
  <c i="16" r="B28"/>
  <c i="16" r="F29"/>
  <c i="15" r="B28"/>
  <c i="15" r="F29"/>
  <c i="14" r="B28"/>
  <c i="14" r="F29"/>
  <c i="13" r="B28"/>
  <c i="13" r="F29"/>
  <c i="12" r="B28"/>
  <c i="12" r="F29"/>
  <c i="11" r="B28"/>
  <c i="11" r="F29"/>
  <c i="7" r="B28"/>
  <c i="7" r="F29"/>
  <c i="18" r="U12"/>
  <c i="17" r="P28"/>
  <c i="17" r="T28"/>
  <c i="17" r="P29"/>
  <c i="17" r="T29"/>
  <c i="16" r="P28"/>
  <c i="16" r="T28"/>
  <c i="16" r="P29"/>
  <c i="16" r="T29"/>
  <c i="15" r="P28"/>
  <c i="15" r="T28"/>
  <c i="15" r="P29"/>
  <c i="15" r="T29"/>
  <c i="14" r="P28"/>
  <c i="14" r="T28"/>
  <c i="14" r="P29"/>
  <c i="14" r="T29"/>
  <c i="13" r="P28"/>
  <c i="13" r="T28"/>
  <c i="13" r="P29"/>
  <c i="13" r="T29"/>
  <c i="12" r="P28"/>
  <c i="12" r="T28"/>
  <c i="12" r="P29"/>
  <c i="12" r="T29"/>
  <c i="11" r="P28"/>
  <c i="11" r="T28"/>
  <c i="11" r="P29"/>
  <c i="11" r="T29"/>
  <c i="11" r="P30"/>
  <c i="11" r="T30"/>
  <c i="7" r="P28"/>
  <c i="7" r="T28"/>
  <c i="7" r="P29"/>
  <c i="7" r="T29"/>
  <c i="7" r="P30"/>
  <c i="7" r="T30"/>
  <c i="17" r="C28"/>
  <c i="17" r="G28"/>
  <c i="17" r="C29"/>
  <c i="17" r="G29"/>
  <c i="16" r="C28"/>
  <c i="16" r="G28"/>
  <c i="16" r="C29"/>
  <c i="16" r="G29"/>
  <c i="15" r="C28"/>
  <c i="15" r="G28"/>
  <c i="15" r="C29"/>
  <c i="15" r="G29"/>
  <c i="14" r="C28"/>
  <c i="14" r="G28"/>
  <c i="14" r="C29"/>
  <c i="14" r="G29"/>
  <c i="13" r="C28"/>
  <c i="13" r="G28"/>
  <c i="13" r="C29"/>
  <c i="13" r="G29"/>
  <c i="12" r="C28"/>
  <c i="12" r="G28"/>
  <c i="12" r="C29"/>
  <c i="12" r="G29"/>
  <c i="11" r="C28"/>
  <c i="11" r="G28"/>
  <c i="11" r="C29"/>
  <c i="11" r="G29"/>
  <c i="11" r="C30"/>
  <c i="11" r="G30"/>
  <c i="7" r="C28"/>
  <c i="7" r="G28"/>
  <c i="7" r="C29"/>
  <c i="7" r="G29"/>
  <c i="7" r="C30"/>
  <c i="7" r="G30"/>
  <c i="7" r="S30"/>
  <c i="17" r="N28"/>
  <c i="17" r="R28"/>
  <c i="17" r="N29"/>
  <c i="17" r="R29"/>
  <c i="16" r="N28"/>
  <c i="16" r="R28"/>
  <c i="16" r="N29"/>
  <c i="16" r="R29"/>
  <c i="15" r="N28"/>
  <c i="15" r="R28"/>
  <c i="15" r="N29"/>
  <c i="15" r="R29"/>
  <c i="14" r="N28"/>
  <c i="14" r="R28"/>
  <c i="14" r="N29"/>
  <c i="14" r="R29"/>
  <c i="13" r="N28"/>
  <c i="13" r="R28"/>
  <c i="13" r="N29"/>
  <c i="13" r="R29"/>
  <c i="12" r="N28"/>
  <c i="12" r="R28"/>
  <c i="12" r="N29"/>
  <c i="12" r="R29"/>
  <c i="11" r="N28"/>
  <c i="11" r="R28"/>
  <c i="11" r="N29"/>
  <c i="11" r="R29"/>
  <c i="11" r="N30"/>
  <c i="11" r="R30"/>
  <c i="7" r="N28"/>
  <c i="7" r="R28"/>
  <c i="7" r="N29"/>
  <c i="7" r="R29"/>
  <c i="7" r="N30"/>
  <c i="7" r="R30"/>
  <c i="17" r="E28"/>
  <c i="17" r="I28"/>
  <c i="17" r="E29"/>
  <c i="17" r="I29"/>
  <c i="16" r="E28"/>
  <c i="16" r="I28"/>
  <c i="16" r="E29"/>
  <c i="16" r="I29"/>
  <c i="15" r="E28"/>
  <c i="15" r="I28"/>
  <c i="15" r="E29"/>
  <c i="15" r="I29"/>
  <c i="14" r="E28"/>
  <c i="14" r="I28"/>
  <c i="14" r="E29"/>
  <c i="14" r="I29"/>
  <c i="13" r="E28"/>
  <c i="13" r="I28"/>
  <c i="13" r="E29"/>
  <c i="13" r="I29"/>
  <c i="12" r="E28"/>
  <c i="12" r="I28"/>
  <c i="12" r="E29"/>
  <c i="12" r="I29"/>
  <c i="11" r="E28"/>
  <c i="11" r="I28"/>
  <c i="11" r="E29"/>
  <c i="11" r="I29"/>
  <c i="11" r="E30"/>
  <c i="11" r="I30"/>
  <c i="7" r="E28"/>
  <c i="7" r="I28"/>
  <c i="7" r="E29"/>
  <c i="7" r="I29"/>
  <c i="7" r="E30"/>
  <c i="7" r="I30"/>
  <c i="18" r="T16"/>
  <c i="18" r="T33" s="1"/>
  <c i="18" r="Q16"/>
  <c i="18" r="Q33" s="1"/>
  <c i="18" r="O16"/>
  <c i="18" r="O33" s="1"/>
  <c i="12" r="C31"/>
  <c i="12" r="C25"/>
  <c i="12" r="C23"/>
  <c i="12" r="C32"/>
  <c i="12" r="C26"/>
  <c i="12" r="C33"/>
  <c i="12" r="C27"/>
  <c i="12" r="C24"/>
  <c i="12" r="C22"/>
  <c i="12" r="G31"/>
  <c i="12" r="G25"/>
  <c i="12" r="G23"/>
  <c i="12" r="G22"/>
  <c i="12" r="G32"/>
  <c i="12" r="G26"/>
  <c i="12" r="G33"/>
  <c i="12" r="G27"/>
  <c i="12" r="G24"/>
  <c i="12" r="N31"/>
  <c i="12" r="N25"/>
  <c i="12" r="N23"/>
  <c i="12" r="N32"/>
  <c i="12" r="N26"/>
  <c i="12" r="N33"/>
  <c i="12" r="N27"/>
  <c i="12" r="N24"/>
  <c i="12" r="N22"/>
  <c i="12" r="R31"/>
  <c i="12" r="R25"/>
  <c i="12" r="R23"/>
  <c i="12" r="R32"/>
  <c i="12" r="R26"/>
  <c i="12" r="R33"/>
  <c i="12" r="R27"/>
  <c i="12" r="R24"/>
  <c i="12" r="R22"/>
  <c i="13" r="C33"/>
  <c i="13" r="C27"/>
  <c i="13" r="C32"/>
  <c i="13" r="C25"/>
  <c i="13" r="C23"/>
  <c i="13" r="C31"/>
  <c i="13" r="C26"/>
  <c i="13" r="C24"/>
  <c i="13" r="C22"/>
  <c i="13" r="G33"/>
  <c i="13" r="G27"/>
  <c i="13" r="G31"/>
  <c i="13" r="G26"/>
  <c i="13" r="G25"/>
  <c i="13" r="G23"/>
  <c i="13" r="G24"/>
  <c i="13" r="G32"/>
  <c i="13" r="G22"/>
  <c i="13" r="N33"/>
  <c i="13" r="N27"/>
  <c i="13" r="N24"/>
  <c i="13" r="N23"/>
  <c i="13" r="N32"/>
  <c i="13" r="N22"/>
  <c i="13" r="N31"/>
  <c i="13" r="N26"/>
  <c i="13" r="N25"/>
  <c i="13" r="R33"/>
  <c i="13" r="R27"/>
  <c i="13" r="R24"/>
  <c i="13" r="R32"/>
  <c i="13" r="R22"/>
  <c i="13" r="R31"/>
  <c i="13" r="R26"/>
  <c i="13" r="R25"/>
  <c i="13" r="R23"/>
  <c i="14" r="C33"/>
  <c i="14" r="C27"/>
  <c i="14" r="C24"/>
  <c i="14" r="C31"/>
  <c i="14" r="C25"/>
  <c i="14" r="C32"/>
  <c i="14" r="C23"/>
  <c i="14" r="C22"/>
  <c i="14" r="C26"/>
  <c i="14" r="G33"/>
  <c i="14" r="G27"/>
  <c i="14" r="G24"/>
  <c i="14" r="G31"/>
  <c i="14" r="G25"/>
  <c i="14" r="G23"/>
  <c i="14" r="G26"/>
  <c i="14" r="G22"/>
  <c i="14" r="G32"/>
  <c i="14" r="N33"/>
  <c i="14" r="N27"/>
  <c i="14" r="N24"/>
  <c i="14" r="N31"/>
  <c i="14" r="N25"/>
  <c i="14" r="N23"/>
  <c i="14" r="N26"/>
  <c i="14" r="N22"/>
  <c i="14" r="N32"/>
  <c i="14" r="R33"/>
  <c i="14" r="R27"/>
  <c i="14" r="R24"/>
  <c i="14" r="R31"/>
  <c i="14" r="R25"/>
  <c i="14" r="R23"/>
  <c i="14" r="R22"/>
  <c i="14" r="R32"/>
  <c i="14" r="R26"/>
  <c i="15" r="C33"/>
  <c i="15" r="C27"/>
  <c i="15" r="C24"/>
  <c i="15" r="C31"/>
  <c i="15" r="C25"/>
  <c i="15" r="C23"/>
  <c i="15" r="C22"/>
  <c i="15" r="C32"/>
  <c i="15" r="C26"/>
  <c i="15" r="G33"/>
  <c i="15" r="G27"/>
  <c i="15" r="G24"/>
  <c i="15" r="G31"/>
  <c i="15" r="G25"/>
  <c i="15" r="G23"/>
  <c i="15" r="G26"/>
  <c i="15" r="G22"/>
  <c i="15" r="G32"/>
  <c i="15" r="N24"/>
  <c i="15" r="N32"/>
  <c i="15" r="N26"/>
  <c i="15" r="N23"/>
  <c i="15" r="N25"/>
  <c i="15" r="N27"/>
  <c i="15" r="N31"/>
  <c i="15" r="N22"/>
  <c i="15" r="N33"/>
  <c i="15" r="R24"/>
  <c i="15" r="R32"/>
  <c i="15" r="R26"/>
  <c i="15" r="R23"/>
  <c i="15" r="R31"/>
  <c i="15" r="R22"/>
  <c i="15" r="R33"/>
  <c i="15" r="R25"/>
  <c i="15" r="R27"/>
  <c i="16" r="C33"/>
  <c i="16" r="C27"/>
  <c i="16" r="C24"/>
  <c i="16" r="C31"/>
  <c i="16" r="C25"/>
  <c i="16" r="C23"/>
  <c i="16" r="C22"/>
  <c i="16" r="C32"/>
  <c i="16" r="C26"/>
  <c i="16" r="G33"/>
  <c i="16" r="G27"/>
  <c i="16" r="G24"/>
  <c i="16" r="G31"/>
  <c i="16" r="G25"/>
  <c i="16" r="G23"/>
  <c i="16" r="G26"/>
  <c i="16" r="G22"/>
  <c i="16" r="G32"/>
  <c i="16" r="N33"/>
  <c i="16" r="N27"/>
  <c i="16" r="N24"/>
  <c i="16" r="N31"/>
  <c i="16" r="N25"/>
  <c i="16" r="N23"/>
  <c i="16" r="N26"/>
  <c i="16" r="N22"/>
  <c i="16" r="N32"/>
  <c i="16" r="R33"/>
  <c i="16" r="R27"/>
  <c i="16" r="R24"/>
  <c i="16" r="R31"/>
  <c i="16" r="R25"/>
  <c i="16" r="R23"/>
  <c i="16" r="R22"/>
  <c i="16" r="R32"/>
  <c i="16" r="R26"/>
  <c i="17" r="C33"/>
  <c i="17" r="C27"/>
  <c i="17" r="C24"/>
  <c i="17" r="C31"/>
  <c i="17" r="C25"/>
  <c i="17" r="C23"/>
  <c i="17" r="C22"/>
  <c i="17" r="C32"/>
  <c i="17" r="C26"/>
  <c i="17" r="G33"/>
  <c i="17" r="G27"/>
  <c i="17" r="G24"/>
  <c i="17" r="G31"/>
  <c i="17" r="G25"/>
  <c i="17" r="G23"/>
  <c i="17" r="G26"/>
  <c i="17" r="G22"/>
  <c i="17" r="G32"/>
  <c i="17" r="N33"/>
  <c i="17" r="N27"/>
  <c i="17" r="N24"/>
  <c i="17" r="N31"/>
  <c i="17" r="N25"/>
  <c i="17" r="N23"/>
  <c i="17" r="N26"/>
  <c i="17" r="N22"/>
  <c i="17" r="N32"/>
  <c i="17" r="R33"/>
  <c i="17" r="R27"/>
  <c i="17" r="R24"/>
  <c i="17" r="R31"/>
  <c i="17" r="R25"/>
  <c i="17" r="R23"/>
  <c i="17" r="R22"/>
  <c i="17" r="R32"/>
  <c i="17" r="R26"/>
  <c i="7" r="E22"/>
  <c i="7" r="I22"/>
  <c i="7" r="D23"/>
  <c i="7" r="H23"/>
  <c i="7" r="B24"/>
  <c i="7" r="F24"/>
  <c i="7" r="D25"/>
  <c i="7" r="H25"/>
  <c i="7" r="C26"/>
  <c i="7" r="G26"/>
  <c i="7" r="B27"/>
  <c i="7" r="F27"/>
  <c i="7" r="D31"/>
  <c i="7" r="H31"/>
  <c i="7" r="C32"/>
  <c i="7" r="G32"/>
  <c i="7" r="B33"/>
  <c i="7" r="F33"/>
  <c i="7" r="P22"/>
  <c i="7" r="T22"/>
  <c i="7" r="O23"/>
  <c i="7" r="S23"/>
  <c i="7" r="M24"/>
  <c i="7" r="Q24"/>
  <c i="7" r="O25"/>
  <c i="7" r="S25"/>
  <c i="7" r="N26"/>
  <c i="7" r="R26"/>
  <c i="7" r="M27"/>
  <c i="7" r="Q27"/>
  <c i="7" r="O31"/>
  <c i="7" r="S31"/>
  <c i="7" r="N32"/>
  <c i="7" r="R32"/>
  <c i="7" r="M33"/>
  <c i="7" r="Q33"/>
  <c i="11" r="E22"/>
  <c i="11" r="I22"/>
  <c i="11" r="D23"/>
  <c i="11" r="H23"/>
  <c i="11" r="B24"/>
  <c i="11" r="F24"/>
  <c i="11" r="D25"/>
  <c i="11" r="H25"/>
  <c i="11" r="C26"/>
  <c i="11" r="G26"/>
  <c i="11" r="B27"/>
  <c i="11" r="F27"/>
  <c i="11" r="D31"/>
  <c i="11" r="H31"/>
  <c i="11" r="C32"/>
  <c i="11" r="G32"/>
  <c i="11" r="B33"/>
  <c i="11" r="F33"/>
  <c i="11" r="P22"/>
  <c i="11" r="T22"/>
  <c i="11" r="O23"/>
  <c i="11" r="S23"/>
  <c i="11" r="M24"/>
  <c i="11" r="Q24"/>
  <c i="11" r="O25"/>
  <c i="11" r="S25"/>
  <c i="11" r="N26"/>
  <c i="11" r="R26"/>
  <c i="11" r="M27"/>
  <c i="11" r="Q27"/>
  <c i="11" r="O31"/>
  <c i="11" r="S31"/>
  <c i="11" r="N32"/>
  <c i="11" r="R32"/>
  <c i="11" r="M33"/>
  <c i="11" r="Q33"/>
  <c i="12" r="F32"/>
  <c i="12" r="F26"/>
  <c i="12" r="F33"/>
  <c i="12" r="F27"/>
  <c i="12" r="F24"/>
  <c i="12" r="F23"/>
  <c i="12" r="F22"/>
  <c i="12" r="F25"/>
  <c i="12" r="F31"/>
  <c i="12" r="M32"/>
  <c i="12" r="M26"/>
  <c i="12" r="M33"/>
  <c i="12" r="M27"/>
  <c i="12" r="M24"/>
  <c i="12" r="M22"/>
  <c i="12" r="M31"/>
  <c i="12" r="M25"/>
  <c i="12" r="M23"/>
  <c i="12" r="Q32"/>
  <c i="12" r="Q26"/>
  <c i="12" r="Q33"/>
  <c i="12" r="Q27"/>
  <c i="12" r="Q24"/>
  <c i="12" r="Q22"/>
  <c i="12" r="Q31"/>
  <c i="12" r="Q25"/>
  <c i="12" r="Q23"/>
  <c i="13" r="B31"/>
  <c i="13" r="B26"/>
  <c i="13" r="B24"/>
  <c i="13" r="B33"/>
  <c i="13" r="B22"/>
  <c i="13" r="B32"/>
  <c i="13" r="B27"/>
  <c i="13" r="B25"/>
  <c i="13" r="B23"/>
  <c i="13" r="F33"/>
  <c i="13" r="F24"/>
  <c i="13" r="F32"/>
  <c i="13" r="F27"/>
  <c i="13" r="F22"/>
  <c i="13" r="F31"/>
  <c i="13" r="F26"/>
  <c i="13" r="F25"/>
  <c i="13" r="F23"/>
  <c i="13" r="M22"/>
  <c i="13" r="M32"/>
  <c i="13" r="M27"/>
  <c i="13" r="M31"/>
  <c i="13" r="M26"/>
  <c i="13" r="M24"/>
  <c i="13" r="M25"/>
  <c i="13" r="M33"/>
  <c i="13" r="M23"/>
  <c i="13" r="Q22"/>
  <c i="13" r="Q31"/>
  <c i="13" r="Q26"/>
  <c i="13" r="Q24"/>
  <c i="13" r="Q25"/>
  <c i="13" r="Q33"/>
  <c i="13" r="Q23"/>
  <c i="13" r="Q32"/>
  <c i="13" r="Q27"/>
  <c i="14" r="B22"/>
  <c i="14" r="B32"/>
  <c i="14" r="B26"/>
  <c i="14" r="B31"/>
  <c i="14" r="B23"/>
  <c i="14" r="B33"/>
  <c i="14" r="B25"/>
  <c i="14" r="B24"/>
  <c i="14" r="B27"/>
  <c i="14" r="F22"/>
  <c i="14" r="F32"/>
  <c i="14" r="F26"/>
  <c i="14" r="F25"/>
  <c i="14" r="F27"/>
  <c i="14" r="F24"/>
  <c i="14" r="F31"/>
  <c i="14" r="F33"/>
  <c i="14" r="F23"/>
  <c i="14" r="M22"/>
  <c i="14" r="M32"/>
  <c i="14" r="M26"/>
  <c i="14" r="M25"/>
  <c i="14" r="M27"/>
  <c i="14" r="M31"/>
  <c i="14" r="M23"/>
  <c i="14" r="M33"/>
  <c i="14" r="M24"/>
  <c i="14" r="Q22"/>
  <c i="14" r="Q32"/>
  <c i="14" r="Q26"/>
  <c i="14" r="Q31"/>
  <c i="14" r="Q23"/>
  <c i="14" r="Q33"/>
  <c i="14" r="Q24"/>
  <c i="14" r="Q25"/>
  <c i="14" r="Q27"/>
  <c i="15" r="B22"/>
  <c i="15" r="B32"/>
  <c i="15" r="B26"/>
  <c i="15" r="B31"/>
  <c i="15" r="B23"/>
  <c i="15" r="B33"/>
  <c i="15" r="B24"/>
  <c i="15" r="B25"/>
  <c i="15" r="B27"/>
  <c i="15" r="F22"/>
  <c i="15" r="F32"/>
  <c i="15" r="F26"/>
  <c i="15" r="F25"/>
  <c i="15" r="F27"/>
  <c i="15" r="F31"/>
  <c i="15" r="F23"/>
  <c i="15" r="F33"/>
  <c i="15" r="F24"/>
  <c i="15" r="M31"/>
  <c i="15" r="M25"/>
  <c i="15" r="M22"/>
  <c i="15" r="M33"/>
  <c i="15" r="M27"/>
  <c i="15" r="M26"/>
  <c i="15" r="M32"/>
  <c i="15" r="M23"/>
  <c i="15" r="M24"/>
  <c i="15" r="Q31"/>
  <c i="15" r="Q25"/>
  <c i="15" r="Q22"/>
  <c i="15" r="Q33"/>
  <c i="15" r="Q27"/>
  <c i="15" r="Q32"/>
  <c i="15" r="Q23"/>
  <c i="15" r="Q24"/>
  <c i="15" r="Q26"/>
  <c i="16" r="B22"/>
  <c i="16" r="B32"/>
  <c i="16" r="B26"/>
  <c i="16" r="B31"/>
  <c i="16" r="B23"/>
  <c i="16" r="B33"/>
  <c i="16" r="B24"/>
  <c i="16" r="B25"/>
  <c i="16" r="B27"/>
  <c i="16" r="F22"/>
  <c i="16" r="F32"/>
  <c i="16" r="F26"/>
  <c i="16" r="F25"/>
  <c i="16" r="F27"/>
  <c i="16" r="F31"/>
  <c i="16" r="F23"/>
  <c i="16" r="F33"/>
  <c i="16" r="F24"/>
  <c i="16" r="M22"/>
  <c i="16" r="M32"/>
  <c i="16" r="M26"/>
  <c i="16" r="M25"/>
  <c i="16" r="M27"/>
  <c i="16" r="M31"/>
  <c i="16" r="M23"/>
  <c i="16" r="M33"/>
  <c i="16" r="M24"/>
  <c i="16" r="Q22"/>
  <c i="16" r="Q32"/>
  <c i="16" r="Q26"/>
  <c i="16" r="Q31"/>
  <c i="16" r="Q23"/>
  <c i="16" r="Q33"/>
  <c i="16" r="Q24"/>
  <c i="16" r="Q25"/>
  <c i="16" r="Q27"/>
  <c i="17" r="B22"/>
  <c i="17" r="B32"/>
  <c i="17" r="B26"/>
  <c i="17" r="B31"/>
  <c i="17" r="B23"/>
  <c i="17" r="B33"/>
  <c i="17" r="B24"/>
  <c i="17" r="B25"/>
  <c i="17" r="B27"/>
  <c i="17" r="F22"/>
  <c i="17" r="F32"/>
  <c i="17" r="F26"/>
  <c i="17" r="F25"/>
  <c i="17" r="F27"/>
  <c i="17" r="F31"/>
  <c i="17" r="F23"/>
  <c i="17" r="F33"/>
  <c i="17" r="F24"/>
  <c i="17" r="M22"/>
  <c i="17" r="M32"/>
  <c i="17" r="M26"/>
  <c i="17" r="M25"/>
  <c i="17" r="M27"/>
  <c i="17" r="M31"/>
  <c i="17" r="M23"/>
  <c i="17" r="M33"/>
  <c i="17" r="M24"/>
  <c i="17" r="Q22"/>
  <c i="17" r="Q32"/>
  <c i="17" r="Q26"/>
  <c i="17" r="Q31"/>
  <c i="17" r="Q23"/>
  <c i="17" r="Q33"/>
  <c i="17" r="Q24"/>
  <c i="17" r="Q25"/>
  <c i="17" r="Q27"/>
  <c i="7" r="D22"/>
  <c i="7" r="H22"/>
  <c i="7" r="C23"/>
  <c i="7" r="G23"/>
  <c i="7" r="E24"/>
  <c i="7" r="I24"/>
  <c i="7" r="C25"/>
  <c i="7" r="G25"/>
  <c i="7" r="B26"/>
  <c i="7" r="F26"/>
  <c i="7" r="E27"/>
  <c i="7" r="I27"/>
  <c i="7" r="C31"/>
  <c i="7" r="G31"/>
  <c i="7" r="B32"/>
  <c i="7" r="F32"/>
  <c i="7" r="E33"/>
  <c i="7" r="I33"/>
  <c i="7" r="O22"/>
  <c i="7" r="S22"/>
  <c i="7" r="N23"/>
  <c i="7" r="R23"/>
  <c i="7" r="P24"/>
  <c i="7" r="T24"/>
  <c i="7" r="N25"/>
  <c i="7" r="R25"/>
  <c i="7" r="M26"/>
  <c i="7" r="Q26"/>
  <c i="7" r="P27"/>
  <c i="7" r="T27"/>
  <c i="7" r="N31"/>
  <c i="7" r="R31"/>
  <c i="7" r="M32"/>
  <c i="7" r="Q32"/>
  <c i="7" r="P33"/>
  <c i="7" r="T33"/>
  <c i="11" r="D22"/>
  <c i="11" r="H22"/>
  <c i="11" r="C23"/>
  <c i="11" r="G23"/>
  <c i="11" r="E24"/>
  <c i="11" r="I24"/>
  <c i="11" r="C25"/>
  <c i="11" r="G25"/>
  <c i="11" r="B26"/>
  <c i="11" r="F26"/>
  <c i="11" r="E27"/>
  <c i="11" r="I27"/>
  <c i="11" r="C31"/>
  <c i="11" r="G31"/>
  <c i="11" r="B32"/>
  <c i="11" r="F32"/>
  <c i="11" r="E33"/>
  <c i="11" r="I33"/>
  <c i="11" r="O22"/>
  <c i="11" r="S22"/>
  <c i="11" r="N23"/>
  <c i="11" r="R23"/>
  <c i="11" r="P24"/>
  <c i="11" r="T24"/>
  <c i="11" r="N25"/>
  <c i="11" r="R25"/>
  <c i="11" r="M26"/>
  <c i="11" r="Q26"/>
  <c i="11" r="P27"/>
  <c i="11" r="T27"/>
  <c i="11" r="N31"/>
  <c i="11" r="R31"/>
  <c i="11" r="M32"/>
  <c i="11" r="Q32"/>
  <c i="11" r="P33"/>
  <c i="11" r="T33"/>
  <c i="12" r="B32"/>
  <c i="12" r="B26"/>
  <c i="12" r="B24"/>
  <c i="12" r="B33"/>
  <c i="12" r="B27"/>
  <c i="12" r="B22"/>
  <c i="12" r="B23"/>
  <c i="12" r="B31"/>
  <c i="12" r="B25"/>
  <c i="12" r="E33"/>
  <c i="12" r="E27"/>
  <c i="12" r="E24"/>
  <c i="12" r="E22"/>
  <c i="12" r="E31"/>
  <c i="12" r="E25"/>
  <c i="12" r="E23"/>
  <c i="12" r="E32"/>
  <c i="12" r="E26"/>
  <c i="12" r="I33"/>
  <c i="12" r="I27"/>
  <c i="12" r="I24"/>
  <c i="12" r="I22"/>
  <c i="12" r="I31"/>
  <c i="12" r="I25"/>
  <c i="12" r="I23"/>
  <c i="12" r="I26"/>
  <c i="12" r="I32"/>
  <c i="12" r="P33"/>
  <c i="12" r="P27"/>
  <c i="12" r="P24"/>
  <c i="12" r="P22"/>
  <c i="12" r="P31"/>
  <c i="12" r="P25"/>
  <c i="12" r="P23"/>
  <c i="12" r="P32"/>
  <c i="12" r="P26"/>
  <c i="12" r="T33"/>
  <c i="12" r="T27"/>
  <c i="12" r="T24"/>
  <c i="12" r="T22"/>
  <c i="12" r="T31"/>
  <c i="12" r="T25"/>
  <c i="12" r="T23"/>
  <c i="12" r="T32"/>
  <c i="12" r="T26"/>
  <c i="13" r="E31"/>
  <c i="13" r="E33"/>
  <c i="13" r="E24"/>
  <c i="13" r="E32"/>
  <c i="13" r="E27"/>
  <c i="13" r="E22"/>
  <c i="13" r="E26"/>
  <c i="13" r="E25"/>
  <c i="13" r="E23"/>
  <c i="13" r="I31"/>
  <c i="13" r="I32"/>
  <c i="13" r="I27"/>
  <c i="13" r="I24"/>
  <c i="13" r="I26"/>
  <c i="13" r="I22"/>
  <c i="13" r="I25"/>
  <c i="13" r="I23"/>
  <c i="13" r="I33"/>
  <c i="13" r="P31"/>
  <c i="13" r="P25"/>
  <c i="13" r="P23"/>
  <c i="13" r="P33"/>
  <c i="13" r="P32"/>
  <c i="13" r="P27"/>
  <c i="13" r="P26"/>
  <c i="13" r="P24"/>
  <c i="13" r="P22"/>
  <c i="13" r="T31"/>
  <c i="13" r="T25"/>
  <c i="13" r="T23"/>
  <c i="13" r="T33"/>
  <c i="13" r="T32"/>
  <c i="13" r="T27"/>
  <c i="13" r="T26"/>
  <c i="13" r="T24"/>
  <c i="13" r="T22"/>
  <c i="14" r="E31"/>
  <c i="14" r="E25"/>
  <c i="14" r="E23"/>
  <c i="14" r="E33"/>
  <c i="14" r="E27"/>
  <c i="14" r="E26"/>
  <c i="14" r="E24"/>
  <c i="14" r="E22"/>
  <c i="14" r="E32"/>
  <c i="14" r="I31"/>
  <c i="14" r="I25"/>
  <c i="14" r="I23"/>
  <c i="14" r="I33"/>
  <c i="14" r="I27"/>
  <c i="14" r="I32"/>
  <c i="14" r="I26"/>
  <c i="14" r="I24"/>
  <c i="14" r="I22"/>
  <c i="14" r="P31"/>
  <c i="14" r="P25"/>
  <c i="14" r="P23"/>
  <c i="14" r="P33"/>
  <c i="14" r="P27"/>
  <c i="14" r="P24"/>
  <c i="14" r="P32"/>
  <c i="14" r="P26"/>
  <c i="14" r="P22"/>
  <c i="14" r="T31"/>
  <c i="14" r="T25"/>
  <c i="14" r="T23"/>
  <c i="14" r="T33"/>
  <c i="14" r="T27"/>
  <c i="14" r="T24"/>
  <c i="14" r="T26"/>
  <c i="14" r="T22"/>
  <c i="14" r="T32"/>
  <c i="15" r="E31"/>
  <c i="15" r="E25"/>
  <c i="15" r="E23"/>
  <c i="15" r="E33"/>
  <c i="15" r="E27"/>
  <c i="15" r="E24"/>
  <c i="15" r="E26"/>
  <c i="15" r="E22"/>
  <c i="15" r="E32"/>
  <c i="15" r="I31"/>
  <c i="15" r="I25"/>
  <c i="15" r="I23"/>
  <c i="15" r="I33"/>
  <c i="15" r="I27"/>
  <c i="15" r="I24"/>
  <c i="15" r="I32"/>
  <c i="15" r="I26"/>
  <c i="15" r="I22"/>
  <c i="15" r="P32"/>
  <c i="15" r="P26"/>
  <c i="15" r="P23"/>
  <c i="15" r="P24"/>
  <c i="15" r="P33"/>
  <c i="15" r="P25"/>
  <c i="15" r="P27"/>
  <c i="15" r="P31"/>
  <c i="15" r="P22"/>
  <c i="15" r="T32"/>
  <c i="15" r="T26"/>
  <c i="15" r="T23"/>
  <c i="15" r="T24"/>
  <c i="15" r="T27"/>
  <c i="15" r="T31"/>
  <c i="15" r="T22"/>
  <c i="15" r="T33"/>
  <c i="15" r="T25"/>
  <c i="16" r="E31"/>
  <c i="16" r="E25"/>
  <c i="16" r="E23"/>
  <c i="16" r="E33"/>
  <c i="16" r="E27"/>
  <c i="16" r="E24"/>
  <c i="16" r="E26"/>
  <c i="16" r="E22"/>
  <c i="16" r="E32"/>
  <c i="16" r="I31"/>
  <c i="16" r="I25"/>
  <c i="16" r="I23"/>
  <c i="16" r="I33"/>
  <c i="16" r="I27"/>
  <c i="16" r="I24"/>
  <c i="16" r="I32"/>
  <c i="16" r="I26"/>
  <c i="16" r="I22"/>
  <c i="16" r="P31"/>
  <c i="16" r="P25"/>
  <c i="16" r="P23"/>
  <c i="16" r="P33"/>
  <c i="16" r="P27"/>
  <c i="16" r="P24"/>
  <c i="16" r="P32"/>
  <c i="16" r="P26"/>
  <c i="16" r="P22"/>
  <c i="16" r="T31"/>
  <c i="16" r="T25"/>
  <c i="16" r="T23"/>
  <c i="16" r="T33"/>
  <c i="16" r="T27"/>
  <c i="16" r="T24"/>
  <c i="16" r="T26"/>
  <c i="16" r="T22"/>
  <c i="16" r="T32"/>
  <c i="17" r="E31"/>
  <c i="17" r="E25"/>
  <c i="17" r="E23"/>
  <c i="17" r="E33"/>
  <c i="17" r="E27"/>
  <c i="17" r="E24"/>
  <c i="17" r="E26"/>
  <c i="17" r="E22"/>
  <c i="17" r="E32"/>
  <c i="17" r="I31"/>
  <c i="17" r="I25"/>
  <c i="17" r="I23"/>
  <c i="17" r="I33"/>
  <c i="17" r="I27"/>
  <c i="17" r="I24"/>
  <c i="17" r="I32"/>
  <c i="17" r="I26"/>
  <c i="17" r="I22"/>
  <c i="17" r="P31"/>
  <c i="17" r="P25"/>
  <c i="17" r="P23"/>
  <c i="17" r="P33"/>
  <c i="17" r="P27"/>
  <c i="17" r="P24"/>
  <c i="17" r="P32"/>
  <c i="17" r="P26"/>
  <c i="17" r="P22"/>
  <c i="17" r="T31"/>
  <c i="17" r="T25"/>
  <c i="17" r="T23"/>
  <c i="17" r="T33"/>
  <c i="17" r="T27"/>
  <c i="17" r="T24"/>
  <c i="17" r="T26"/>
  <c i="17" r="T22"/>
  <c i="17" r="T32"/>
  <c i="7" r="C22"/>
  <c i="7" r="G22"/>
  <c i="7" r="B23"/>
  <c i="7" r="F23"/>
  <c i="7" r="D24"/>
  <c i="7" r="H24"/>
  <c i="7" r="B25"/>
  <c i="7" r="F25"/>
  <c i="7" r="E26"/>
  <c i="7" r="I26"/>
  <c i="7" r="D27"/>
  <c i="7" r="H27"/>
  <c i="7" r="B31"/>
  <c i="7" r="F31"/>
  <c i="7" r="E32"/>
  <c i="7" r="I32"/>
  <c i="7" r="D33"/>
  <c i="7" r="H33"/>
  <c i="7" r="N22"/>
  <c i="7" r="R22"/>
  <c i="7" r="M23"/>
  <c i="7" r="Q23"/>
  <c i="7" r="O24"/>
  <c i="7" r="S24"/>
  <c i="7" r="M25"/>
  <c i="7" r="Q25"/>
  <c i="7" r="P26"/>
  <c i="7" r="T26"/>
  <c i="7" r="O27"/>
  <c i="7" r="S27"/>
  <c i="7" r="M31"/>
  <c i="7" r="Q31"/>
  <c i="7" r="P32"/>
  <c i="7" r="T32"/>
  <c i="7" r="O33"/>
  <c i="7" r="S33"/>
  <c i="11" r="C22"/>
  <c i="11" r="G22"/>
  <c i="11" r="B23"/>
  <c i="11" r="F23"/>
  <c i="11" r="D24"/>
  <c i="11" r="H24"/>
  <c i="11" r="B25"/>
  <c i="11" r="F25"/>
  <c i="11" r="E26"/>
  <c i="11" r="I26"/>
  <c i="11" r="D27"/>
  <c i="11" r="H27"/>
  <c i="11" r="B31"/>
  <c i="11" r="F31"/>
  <c i="11" r="E32"/>
  <c i="11" r="I32"/>
  <c i="11" r="D33"/>
  <c i="11" r="H33"/>
  <c i="11" r="N22"/>
  <c i="11" r="R22"/>
  <c i="11" r="M23"/>
  <c i="11" r="Q23"/>
  <c i="11" r="O24"/>
  <c i="11" r="S24"/>
  <c i="11" r="M25"/>
  <c i="11" r="Q25"/>
  <c i="11" r="P26"/>
  <c i="11" r="T26"/>
  <c i="11" r="O27"/>
  <c i="11" r="S27"/>
  <c i="11" r="M31"/>
  <c i="11" r="Q31"/>
  <c i="11" r="P32"/>
  <c i="11" r="T32"/>
  <c i="11" r="O33"/>
  <c i="11" r="S33"/>
  <c i="12" r="D22"/>
  <c i="12" r="D31"/>
  <c i="12" r="D25"/>
  <c i="12" r="D23"/>
  <c i="12" r="D32"/>
  <c i="12" r="D26"/>
  <c i="12" r="D33"/>
  <c i="12" r="D27"/>
  <c i="12" r="D24"/>
  <c i="12" r="H22"/>
  <c i="12" r="H23"/>
  <c i="12" r="H31"/>
  <c i="12" r="H25"/>
  <c i="12" r="H24"/>
  <c i="12" r="H32"/>
  <c i="12" r="H26"/>
  <c i="12" r="H33"/>
  <c i="12" r="H27"/>
  <c i="12" r="O22"/>
  <c i="12" r="O31"/>
  <c i="12" r="O25"/>
  <c i="12" r="O23"/>
  <c i="12" r="O32"/>
  <c i="12" r="O26"/>
  <c i="12" r="O33"/>
  <c i="12" r="O27"/>
  <c i="12" r="O24"/>
  <c i="12" r="S22"/>
  <c i="12" r="S31"/>
  <c i="12" r="S25"/>
  <c i="12" r="S23"/>
  <c i="12" r="S32"/>
  <c i="12" r="S26"/>
  <c i="12" r="S33"/>
  <c i="12" r="S27"/>
  <c i="12" r="S24"/>
  <c i="13" r="D32"/>
  <c i="13" r="D26"/>
  <c i="13" r="D27"/>
  <c i="13" r="D22"/>
  <c i="13" r="D25"/>
  <c i="13" r="D23"/>
  <c i="13" r="D31"/>
  <c i="13" r="D33"/>
  <c i="13" r="D24"/>
  <c i="13" r="H32"/>
  <c i="13" r="H26"/>
  <c i="13" r="H22"/>
  <c i="13" r="H31"/>
  <c i="13" r="H25"/>
  <c i="13" r="H23"/>
  <c i="13" r="H33"/>
  <c i="13" r="H27"/>
  <c i="13" r="H24"/>
  <c i="13" r="O32"/>
  <c i="13" r="O26"/>
  <c i="13" r="O33"/>
  <c i="13" r="O25"/>
  <c i="13" r="O27"/>
  <c i="13" r="O23"/>
  <c i="13" r="O24"/>
  <c i="13" r="O22"/>
  <c i="13" r="O31"/>
  <c i="13" r="S32"/>
  <c i="13" r="S26"/>
  <c i="13" r="S27"/>
  <c i="13" r="S23"/>
  <c i="13" r="S24"/>
  <c i="13" r="S22"/>
  <c i="13" r="S31"/>
  <c i="13" r="S33"/>
  <c i="13" r="S25"/>
  <c i="14" r="D32"/>
  <c i="14" r="D26"/>
  <c i="14" r="D27"/>
  <c i="14" r="D31"/>
  <c i="14" r="D33"/>
  <c i="14" r="D23"/>
  <c i="14" r="D25"/>
  <c i="14" r="D24"/>
  <c i="14" r="D22"/>
  <c i="14" r="H32"/>
  <c i="14" r="H26"/>
  <c i="14" r="H33"/>
  <c i="14" r="H25"/>
  <c i="14" r="H23"/>
  <c i="14" r="H27"/>
  <c i="14" r="H24"/>
  <c i="14" r="H22"/>
  <c i="14" r="H31"/>
  <c i="14" r="O32"/>
  <c i="14" r="O26"/>
  <c i="14" r="O22"/>
  <c i="14" r="O33"/>
  <c i="14" r="O24"/>
  <c i="14" r="O25"/>
  <c i="14" r="O27"/>
  <c i="14" r="O31"/>
  <c i="14" r="O23"/>
  <c i="14" r="S32"/>
  <c i="14" r="S26"/>
  <c i="14" r="S22"/>
  <c i="14" r="S27"/>
  <c i="14" r="S31"/>
  <c i="14" r="S23"/>
  <c i="14" r="S33"/>
  <c i="14" r="S24"/>
  <c i="14" r="S25"/>
  <c i="15" r="D32"/>
  <c i="15" r="D26"/>
  <c i="15" r="D22"/>
  <c i="15" r="D27"/>
  <c i="15" r="D31"/>
  <c i="15" r="D23"/>
  <c i="15" r="D33"/>
  <c i="15" r="D24"/>
  <c i="15" r="D25"/>
  <c i="15" r="H32"/>
  <c i="15" r="H26"/>
  <c i="15" r="H22"/>
  <c i="15" r="H33"/>
  <c i="15" r="H24"/>
  <c i="15" r="H25"/>
  <c i="15" r="H27"/>
  <c i="15" r="H31"/>
  <c i="15" r="H23"/>
  <c i="15" r="O33"/>
  <c i="15" r="O27"/>
  <c i="15" r="O31"/>
  <c i="15" r="O25"/>
  <c i="15" r="O22"/>
  <c i="15" r="O24"/>
  <c i="15" r="O26"/>
  <c i="15" r="O32"/>
  <c i="15" r="O23"/>
  <c i="15" r="S33"/>
  <c i="15" r="S27"/>
  <c i="15" r="S31"/>
  <c i="15" r="S25"/>
  <c i="15" r="S22"/>
  <c i="15" r="S32"/>
  <c i="15" r="S23"/>
  <c i="15" r="S24"/>
  <c i="15" r="S26"/>
  <c i="16" r="D32"/>
  <c i="16" r="D26"/>
  <c i="16" r="D22"/>
  <c i="16" r="D27"/>
  <c i="16" r="D31"/>
  <c i="16" r="D23"/>
  <c i="16" r="D33"/>
  <c i="16" r="D24"/>
  <c i="16" r="D25"/>
  <c i="16" r="H32"/>
  <c i="16" r="H26"/>
  <c i="16" r="H22"/>
  <c i="16" r="H33"/>
  <c i="16" r="H24"/>
  <c i="16" r="H25"/>
  <c i="16" r="H27"/>
  <c i="16" r="H31"/>
  <c i="16" r="H23"/>
  <c i="16" r="O32"/>
  <c i="16" r="O26"/>
  <c i="16" r="O22"/>
  <c i="16" r="O33"/>
  <c i="16" r="O24"/>
  <c i="16" r="O25"/>
  <c i="16" r="O27"/>
  <c i="16" r="O31"/>
  <c i="16" r="O23"/>
  <c i="16" r="S32"/>
  <c i="16" r="S26"/>
  <c i="16" r="S22"/>
  <c i="16" r="S27"/>
  <c i="16" r="S31"/>
  <c i="16" r="S23"/>
  <c i="16" r="S33"/>
  <c i="16" r="S24"/>
  <c i="16" r="S25"/>
  <c i="17" r="D32"/>
  <c i="17" r="D26"/>
  <c i="17" r="D22"/>
  <c i="17" r="D27"/>
  <c i="17" r="D31"/>
  <c i="17" r="D23"/>
  <c i="17" r="D33"/>
  <c i="17" r="D24"/>
  <c i="17" r="D25"/>
  <c i="17" r="H32"/>
  <c i="17" r="H26"/>
  <c i="17" r="H22"/>
  <c i="17" r="H33"/>
  <c i="17" r="H24"/>
  <c i="17" r="H25"/>
  <c i="17" r="H27"/>
  <c i="17" r="H31"/>
  <c i="17" r="H23"/>
  <c i="17" r="O32"/>
  <c i="17" r="O26"/>
  <c i="17" r="O22"/>
  <c i="17" r="O33"/>
  <c i="17" r="O24"/>
  <c i="17" r="O25"/>
  <c i="17" r="O27"/>
  <c i="17" r="O31"/>
  <c i="17" r="O23"/>
  <c i="17" r="S32"/>
  <c i="17" r="S26"/>
  <c i="17" r="S22"/>
  <c i="17" r="S27"/>
  <c i="17" r="S31"/>
  <c i="17" r="S23"/>
  <c i="17" r="S33"/>
  <c i="17" r="S24"/>
  <c i="17" r="S25"/>
  <c i="7" r="B22"/>
  <c i="7" r="F22"/>
  <c i="7" r="E23"/>
  <c i="7" r="I23"/>
  <c i="7" r="C24"/>
  <c i="7" r="G24"/>
  <c i="7" r="E25"/>
  <c i="7" r="I25"/>
  <c i="7" r="D26"/>
  <c i="7" r="H26"/>
  <c i="7" r="C27"/>
  <c i="7" r="G27"/>
  <c i="7" r="M22"/>
  <c i="7" r="Q22"/>
  <c i="7" r="P23"/>
  <c i="7" r="T23"/>
  <c i="7" r="N24"/>
  <c i="7" r="R24"/>
  <c i="7" r="P25"/>
  <c i="7" r="T25"/>
  <c i="7" r="O26"/>
  <c i="7" r="S26"/>
  <c i="7" r="N27"/>
  <c i="7" r="R27"/>
  <c i="11" r="B22"/>
  <c i="11" r="F22"/>
  <c i="11" r="E23"/>
  <c i="11" r="I23"/>
  <c i="11" r="C24"/>
  <c i="11" r="G24"/>
  <c i="11" r="E25"/>
  <c i="11" r="I25"/>
  <c i="11" r="D26"/>
  <c i="11" r="H26"/>
  <c i="11" r="C27"/>
  <c i="11" r="G27"/>
  <c i="11" r="M22"/>
  <c i="11" r="Q22"/>
  <c i="11" r="P23"/>
  <c i="11" r="T23"/>
  <c i="11" r="N24"/>
  <c i="11" r="R24"/>
  <c i="11" r="P25"/>
  <c i="11" r="T25"/>
  <c i="11" r="O26"/>
  <c i="11" r="S26"/>
  <c i="11" r="N27"/>
  <c i="11" r="R27"/>
  <c i="7" r="J16"/>
  <c i="7" r="J29" s="1"/>
  <c i="18" r="U5"/>
  <c i="18" r="U14"/>
  <c i="18" r="P16"/>
  <c i="18" r="P33" s="1"/>
  <c i="18" r="D16"/>
  <c i="18" r="D33" s="1"/>
  <c i="18" r="U6"/>
  <c i="18" r="U7"/>
  <c i="18" r="U8"/>
  <c i="18" r="U9"/>
  <c i="18" r="U10"/>
  <c i="18" r="U15"/>
  <c i="18" r="J6"/>
  <c i="18" r="J7"/>
  <c i="18" r="J8"/>
  <c i="18" r="J9"/>
  <c i="18" r="J10"/>
  <c i="18" r="J14"/>
  <c i="18" r="J15"/>
  <c i="18" r="H16"/>
  <c i="18" r="H33" s="1"/>
  <c i="18" r="J5"/>
  <c i="17" r="J16"/>
  <c i="17" r="J28" s="1"/>
  <c i="17" r="U16"/>
  <c i="17" r="U26" s="1"/>
  <c i="16" r="J16"/>
  <c i="16" r="J29" s="1"/>
  <c i="16" r="U16"/>
  <c i="15" r="J16"/>
  <c i="15" r="U16"/>
  <c i="14" r="J16"/>
  <c i="14" r="J29" s="1"/>
  <c i="14" r="U16"/>
  <c i="14" r="U30" s="1"/>
  <c i="13" r="J16"/>
  <c i="13" r="J30" s="1"/>
  <c i="13" r="U16"/>
  <c i="13" r="U26" s="1"/>
  <c i="12" r="J16"/>
  <c i="12" r="J30" s="1"/>
  <c i="12" r="U16"/>
  <c i="11" r="J16"/>
  <c i="11" r="J22" s="1"/>
  <c i="11" r="U16"/>
  <c i="11" r="U30" s="1"/>
  <c i="7" r="U16"/>
  <c i="7" r="U30" s="1"/>
  <c i="13" l="1" r="S45"/>
  <c i="18" r="N32"/>
  <c i="18" r="N22"/>
  <c i="18" r="G27"/>
  <c i="18" r="M31"/>
  <c i="18" r="M25"/>
  <c i="18" r="N25"/>
  <c i="18" r="B32"/>
  <c i="18" r="E23"/>
  <c i="18" r="E24"/>
  <c i="18" r="I22"/>
  <c i="18" r="F26"/>
  <c i="18" r="M23"/>
  <c i="18" r="R32"/>
  <c i="18" r="G32"/>
  <c i="18" r="M27"/>
  <c i="18" r="R27"/>
  <c i="18" r="R22"/>
  <c i="18" r="B31"/>
  <c i="18" r="N31"/>
  <c i="18" r="Q23"/>
  <c i="18" r="B23"/>
  <c i="18" r="N23"/>
  <c i="18" r="B22"/>
  <c i="18" r="Q25"/>
  <c i="18" r="B25"/>
  <c i="18" r="N27"/>
  <c i="18" r="N24"/>
  <c i="18" r="E22"/>
  <c i="18" r="E27"/>
  <c i="18" r="S32"/>
  <c i="18" r="M26"/>
  <c i="18" r="M22"/>
  <c i="18" r="E26"/>
  <c i="12" r="S45"/>
  <c i="12" r="Q45"/>
  <c i="18" r="F22"/>
  <c i="18" r="M32"/>
  <c i="18" r="S23"/>
  <c i="18" r="F32"/>
  <c i="18" r="F25"/>
  <c i="18" r="F23"/>
  <c i="18" r="R31"/>
  <c i="18" r="R25"/>
  <c i="18" r="R24"/>
  <c i="18" r="R23"/>
  <c i="18" r="I32"/>
  <c i="18" r="E33"/>
  <c i="18" r="P50" s="1"/>
  <c i="18" r="AA50" s="1"/>
  <c i="18" r="E31"/>
  <c i="18" r="B24"/>
  <c i="18" r="F31"/>
  <c i="18" r="I31"/>
  <c i="18" r="F27"/>
  <c i="18" r="I26"/>
  <c i="18" r="B27"/>
  <c i="18" r="I25"/>
  <c i="18" r="B26"/>
  <c i="18" r="I27"/>
  <c i="18" r="I30"/>
  <c i="18" r="I29"/>
  <c i="18" r="I28"/>
  <c i="18" r="F24"/>
  <c i="18" r="I24"/>
  <c i="18" r="I23"/>
  <c i="18" r="C27"/>
  <c i="18" r="C24"/>
  <c i="7" r="O45"/>
  <c i="18" r="O22"/>
  <c i="11" r="S47"/>
  <c i="7" r="Q45"/>
  <c i="18" r="Q32"/>
  <c i="18" r="Q26"/>
  <c i="18" r="R30"/>
  <c i="18" r="R29"/>
  <c i="16" r="Q45"/>
  <c i="18" r="E29"/>
  <c i="18" r="F29"/>
  <c i="18" r="R26"/>
  <c i="18" r="E25"/>
  <c i="18" r="R28"/>
  <c i="18" r="M24"/>
  <c i="18" r="N26"/>
  <c i="18" r="E32"/>
  <c i="18" r="B29"/>
  <c i="18" r="E28"/>
  <c i="17" r="S45"/>
  <c i="17" r="O45"/>
  <c i="18" r="N30"/>
  <c i="18" r="M28"/>
  <c i="18" r="N29"/>
  <c i="18" r="N28"/>
  <c i="11" r="O47"/>
  <c i="11" r="S46"/>
  <c i="12" r="S46"/>
  <c i="18" r="M30"/>
  <c i="12" r="O45"/>
  <c i="18" r="M29"/>
  <c i="18" r="B30"/>
  <c i="18" r="B28"/>
  <c i="14" r="S45"/>
  <c i="14" r="Q45"/>
  <c i="18" r="F30"/>
  <c i="14" r="O45"/>
  <c i="18" r="F28"/>
  <c i="15" r="S45"/>
  <c i="11" r="O46"/>
  <c i="13" r="O46"/>
  <c i="15" r="O46"/>
  <c i="17" r="O46"/>
  <c i="11" r="N46"/>
  <c i="12" r="N46"/>
  <c i="13" r="N46"/>
  <c i="14" r="N46"/>
  <c i="15" r="N46"/>
  <c i="16" r="N46"/>
  <c i="17" r="N46"/>
  <c i="11" r="T46"/>
  <c i="12" r="T46"/>
  <c i="13" r="T46"/>
  <c i="14" r="T46"/>
  <c i="15" r="T46"/>
  <c i="16" r="T46"/>
  <c i="17" r="T46"/>
  <c i="7" r="N47"/>
  <c i="7" r="N45"/>
  <c i="7" r="T47"/>
  <c i="7" r="T45"/>
  <c i="18" r="G22"/>
  <c i="18" r="S31"/>
  <c i="18" r="S25"/>
  <c i="18" r="G31"/>
  <c i="18" r="G23"/>
  <c i="7" r="N46"/>
  <c i="11" r="N47"/>
  <c i="11" r="N45"/>
  <c i="12" r="N45"/>
  <c i="13" r="N45"/>
  <c i="14" r="N45"/>
  <c i="16" r="S46"/>
  <c i="18" r="S30"/>
  <c i="11" r="O45"/>
  <c i="18" r="G29"/>
  <c i="18" r="S27"/>
  <c i="18" r="G25"/>
  <c i="18" r="G24"/>
  <c i="15" r="O45"/>
  <c i="16" r="O45"/>
  <c i="18" r="S26"/>
  <c i="18" r="S24"/>
  <c i="18" r="S22"/>
  <c i="18" r="G26"/>
  <c i="7" r="O47"/>
  <c i="18" r="T25"/>
  <c i="15" r="N45"/>
  <c i="16" r="N45"/>
  <c i="17" r="N45"/>
  <c i="7" r="O46"/>
  <c i="13" r="O45"/>
  <c i="11" r="U28"/>
  <c i="17" r="U28"/>
  <c i="17" r="U45" s="1"/>
  <c i="18" r="D28"/>
  <c i="13" r="U29"/>
  <c i="18" r="C29"/>
  <c i="18" r="P29"/>
  <c i="18" r="C22"/>
  <c i="18" r="C32"/>
  <c i="18" r="C25"/>
  <c i="18" r="C23"/>
  <c i="18" r="C31"/>
  <c i="7" r="R46"/>
  <c i="11" r="R47"/>
  <c i="11" r="R45"/>
  <c i="12" r="R45"/>
  <c i="13" r="R45"/>
  <c i="14" r="R45"/>
  <c i="15" r="R45"/>
  <c i="16" r="R45"/>
  <c i="17" r="R45"/>
  <c i="11" r="S45"/>
  <c i="16" r="S45"/>
  <c i="18" r="S29"/>
  <c i="18" r="D30"/>
  <c i="18" r="G28"/>
  <c i="18" r="C28"/>
  <c i="18" r="G30"/>
  <c i="15" r="J29"/>
  <c i="18" r="C26"/>
  <c i="14" r="S46"/>
  <c i="7" r="Q46"/>
  <c i="12" r="Q46"/>
  <c i="14" r="Q46"/>
  <c i="16" r="Q46"/>
  <c i="7" r="J28"/>
  <c i="18" r="S28"/>
  <c i="18" r="C30"/>
  <c i="12" r="U30"/>
  <c i="12" r="U47" s="1"/>
  <c i="16" r="U30"/>
  <c i="11" r="U26"/>
  <c i="11" r="U29"/>
  <c i="15" r="U29"/>
  <c i="18" r="T27"/>
  <c i="7" r="T46"/>
  <c i="11" r="T47"/>
  <c i="11" r="T45"/>
  <c i="12" r="T45"/>
  <c i="13" r="T45"/>
  <c i="14" r="T45"/>
  <c i="15" r="T45"/>
  <c i="16" r="T45"/>
  <c i="17" r="T45"/>
  <c i="7" r="S45"/>
  <c i="11" r="Q45"/>
  <c i="13" r="Q45"/>
  <c i="15" r="Q45"/>
  <c i="17" r="Q45"/>
  <c i="18" r="Q30"/>
  <c i="13" r="U30"/>
  <c i="13" r="U47" s="1"/>
  <c i="17" r="U29"/>
  <c i="18" r="O29"/>
  <c i="14" r="U29"/>
  <c i="14" r="U46" s="1"/>
  <c i="18" r="T28"/>
  <c i="11" r="J30"/>
  <c i="11" r="U47" s="1"/>
  <c i="18" r="D29"/>
  <c i="18" r="T29"/>
  <c i="18" r="Q28"/>
  <c i="7" r="U26"/>
  <c i="7" r="U28"/>
  <c i="12" r="J31"/>
  <c i="12" r="J28"/>
  <c i="14" r="J30"/>
  <c i="14" r="U47" s="1"/>
  <c i="16" r="J22"/>
  <c i="16" r="J28"/>
  <c i="18" r="T30"/>
  <c i="18" r="T32"/>
  <c i="18" r="T26"/>
  <c i="18" r="T24"/>
  <c i="7" r="P47"/>
  <c i="7" r="P45"/>
  <c i="11" r="P46"/>
  <c i="12" r="P46"/>
  <c i="13" r="P46"/>
  <c i="14" r="P46"/>
  <c i="15" r="P46"/>
  <c i="16" r="P46"/>
  <c i="17" r="P46"/>
  <c i="7" r="S46"/>
  <c i="11" r="J29"/>
  <c i="16" r="J30"/>
  <c i="12" r="U29"/>
  <c i="17" r="U30"/>
  <c i="15" r="J28"/>
  <c i="13" r="U28"/>
  <c i="18" r="P28"/>
  <c i="15" r="J30"/>
  <c i="18" r="H29"/>
  <c i="18" r="P30"/>
  <c i="18" r="P47" s="1"/>
  <c i="18" r="AA47" s="1"/>
  <c i="16" r="U28"/>
  <c i="14" r="U28"/>
  <c i="13" r="J22"/>
  <c i="13" r="J29"/>
  <c i="17" r="J22"/>
  <c i="17" r="J29"/>
  <c i="7" r="J27"/>
  <c i="7" r="J30"/>
  <c i="7" r="U47" s="1"/>
  <c i="11" r="Q46"/>
  <c i="13" r="Q46"/>
  <c i="15" r="Q46"/>
  <c i="17" r="Q46"/>
  <c i="16" r="U29"/>
  <c i="16" r="U46" s="1"/>
  <c i="12" r="U28"/>
  <c i="18" r="T23"/>
  <c i="7" r="R47"/>
  <c i="7" r="R45"/>
  <c i="11" r="R46"/>
  <c i="12" r="R46"/>
  <c i="13" r="R46"/>
  <c i="14" r="R46"/>
  <c i="15" r="R46"/>
  <c i="16" r="R46"/>
  <c i="17" r="R46"/>
  <c i="7" r="S47"/>
  <c i="7" r="P46"/>
  <c i="11" r="P47"/>
  <c i="11" r="P45"/>
  <c i="12" r="P45"/>
  <c i="13" r="P45"/>
  <c i="14" r="P45"/>
  <c i="15" r="P45"/>
  <c i="16" r="P45"/>
  <c i="17" r="P45"/>
  <c i="18" r="O30"/>
  <c i="7" r="M45"/>
  <c i="11" r="M45"/>
  <c i="12" r="M45"/>
  <c i="13" r="M45"/>
  <c i="14" r="M45"/>
  <c i="15" r="M45"/>
  <c i="16" r="M45"/>
  <c i="17" r="M45"/>
  <c i="14" r="J28"/>
  <c i="18" r="Q29"/>
  <c i="15" r="U28"/>
  <c i="11" r="J28"/>
  <c i="17" r="J30"/>
  <c i="12" r="J29"/>
  <c i="7" r="U29"/>
  <c i="7" r="U46" s="1"/>
  <c i="15" r="U30"/>
  <c i="13" r="J28"/>
  <c i="18" r="H30"/>
  <c i="18" r="H28"/>
  <c i="18" r="O28"/>
  <c i="18" r="Q31"/>
  <c i="18" r="Q22"/>
  <c i="18" r="Q27"/>
  <c i="18" r="Q24"/>
  <c i="18" r="T31"/>
  <c i="18" r="T22"/>
  <c i="18" r="O32"/>
  <c i="18" r="O31"/>
  <c i="18" r="O27"/>
  <c i="18" r="O26"/>
  <c i="18" r="O25"/>
  <c i="18" r="O24"/>
  <c i="18" r="O23"/>
  <c i="15" r="J24"/>
  <c i="12" r="J23"/>
  <c i="13" r="U25"/>
  <c i="15" r="J26"/>
  <c i="16" r="J23"/>
  <c i="12" r="J32"/>
  <c i="15" r="U23"/>
  <c i="16" r="J32"/>
  <c i="13" r="J27"/>
  <c i="15" r="U32"/>
  <c i="14" r="J22"/>
  <c i="17" r="J27"/>
  <c i="14" r="J25"/>
  <c i="17" r="U25"/>
  <c i="12" r="J22"/>
  <c i="14" r="J31"/>
  <c i="17" r="J24"/>
  <c i="16" r="J25"/>
  <c i="15" r="J27"/>
  <c i="14" r="J32"/>
  <c i="14" r="J23"/>
  <c i="13" r="J24"/>
  <c i="12" r="J25"/>
  <c i="17" r="U32"/>
  <c i="17" r="U23"/>
  <c i="16" r="U24"/>
  <c i="15" r="U25"/>
  <c i="14" r="U27"/>
  <c i="13" r="U32"/>
  <c i="13" r="U23"/>
  <c i="12" r="U24"/>
  <c i="17" r="J26"/>
  <c i="17" r="U43" s="1"/>
  <c i="16" r="J31"/>
  <c i="13" r="J26"/>
  <c i="16" r="U31"/>
  <c i="16" r="U22"/>
  <c i="12" r="U31"/>
  <c i="12" r="U22"/>
  <c i="11" r="J24"/>
  <c i="7" r="J31"/>
  <c i="11" r="U32"/>
  <c i="11" r="U23"/>
  <c i="7" r="U31"/>
  <c i="7" r="J26"/>
  <c i="14" r="U33"/>
  <c i="11" r="U33"/>
  <c i="13" r="U33"/>
  <c i="15" r="U33"/>
  <c i="17" r="U33"/>
  <c i="7" r="U33"/>
  <c i="12" r="J33"/>
  <c i="14" r="J33"/>
  <c i="16" r="J33"/>
  <c i="17" r="J25"/>
  <c i="16" r="J27"/>
  <c i="15" r="J32"/>
  <c i="15" r="J23"/>
  <c i="14" r="J24"/>
  <c i="13" r="J25"/>
  <c i="12" r="J27"/>
  <c i="12" r="J26"/>
  <c i="17" r="U24"/>
  <c i="16" r="U25"/>
  <c i="15" r="U27"/>
  <c i="14" r="U32"/>
  <c i="14" r="U23"/>
  <c i="13" r="U24"/>
  <c i="12" r="U25"/>
  <c i="17" r="J31"/>
  <c i="14" r="J26"/>
  <c i="13" r="J31"/>
  <c i="17" r="U31"/>
  <c i="17" r="U22"/>
  <c i="14" r="U26"/>
  <c i="13" r="U31"/>
  <c i="13" r="U22"/>
  <c i="11" r="J25"/>
  <c i="7" r="U22"/>
  <c i="11" r="U24"/>
  <c i="11" r="J26"/>
  <c i="7" r="U24"/>
  <c i="11" r="U31"/>
  <c i="11" r="U22"/>
  <c i="11" r="U39" s="1"/>
  <c i="7" r="J22"/>
  <c i="12" r="U33"/>
  <c i="16" r="U27"/>
  <c i="14" r="U24"/>
  <c i="12" r="U27"/>
  <c i="15" r="U26"/>
  <c i="14" r="U31"/>
  <c i="14" r="U22"/>
  <c i="11" r="J27"/>
  <c i="7" r="U25"/>
  <c i="7" r="U27"/>
  <c i="11" r="U25"/>
  <c i="7" r="J32"/>
  <c i="11" r="J31"/>
  <c i="16" r="U33"/>
  <c i="11" r="J33"/>
  <c i="13" r="J33"/>
  <c i="15" r="J33"/>
  <c i="17" r="J33"/>
  <c i="7" r="J33"/>
  <c i="17" r="J32"/>
  <c i="17" r="J23"/>
  <c i="16" r="J24"/>
  <c i="15" r="J25"/>
  <c i="14" r="J27"/>
  <c i="13" r="J32"/>
  <c i="13" r="J23"/>
  <c i="12" r="J24"/>
  <c i="17" r="U27"/>
  <c i="16" r="U32"/>
  <c i="16" r="U23"/>
  <c i="15" r="U24"/>
  <c i="14" r="U25"/>
  <c i="13" r="U27"/>
  <c i="12" r="U32"/>
  <c i="12" r="U23"/>
  <c i="16" r="J26"/>
  <c i="15" r="J31"/>
  <c i="15" r="J22"/>
  <c i="16" r="U26"/>
  <c i="15" r="U31"/>
  <c i="15" r="U22"/>
  <c i="12" r="U26"/>
  <c i="11" r="J32"/>
  <c i="11" r="J23"/>
  <c i="7" r="J23"/>
  <c i="11" r="U27"/>
  <c i="7" r="J25"/>
  <c i="7" r="U23"/>
  <c i="7" r="U32"/>
  <c i="7" r="J24"/>
  <c i="18" r="D26"/>
  <c i="18" r="D27"/>
  <c i="18" r="D25"/>
  <c i="18" r="H31"/>
  <c i="18" r="P26"/>
  <c i="18" r="P22"/>
  <c i="18" r="H24"/>
  <c i="18" r="H23"/>
  <c i="18" r="D32"/>
  <c i="18" r="H27"/>
  <c i="18" r="P32"/>
  <c i="18" r="P27"/>
  <c i="18" r="P25"/>
  <c i="18" r="P24"/>
  <c i="18" r="P23"/>
  <c i="18" r="D31"/>
  <c i="18" r="H26"/>
  <c i="18" r="H25"/>
  <c i="18" r="D24"/>
  <c i="18" r="D23"/>
  <c i="18" r="D22"/>
  <c i="18" r="H32"/>
  <c i="18" r="P31"/>
  <c i="18" r="H22"/>
  <c i="7" r="R50"/>
  <c i="7" r="O40"/>
  <c i="7" r="R43"/>
  <c i="7" r="Q48"/>
  <c i="7" r="S43"/>
  <c i="7" r="P48"/>
  <c i="7" r="N50"/>
  <c i="7" r="M41"/>
  <c i="7" r="P40"/>
  <c i="7" r="O50"/>
  <c i="7" r="N41"/>
  <c i="7" r="O49"/>
  <c i="7" r="S42"/>
  <c i="7" r="P49"/>
  <c i="7" r="T42"/>
  <c i="7" r="Q44"/>
  <c i="7" r="P39"/>
  <c i="7" r="M42"/>
  <c i="7" r="O41"/>
  <c i="7" r="M43"/>
  <c i="7" r="N42"/>
  <c i="7" r="P41"/>
  <c i="7" r="S49"/>
  <c i="7" r="O42"/>
  <c i="7" r="S50"/>
  <c i="7" r="M48"/>
  <c i="7" r="N44"/>
  <c i="7" r="O43"/>
  <c i="7" r="P42"/>
  <c i="7" r="T40"/>
  <c i="7" r="T50"/>
  <c i="7" r="M49"/>
  <c i="7" r="N48"/>
  <c i="7" r="O44"/>
  <c i="7" r="P43"/>
  <c i="7" r="M40"/>
  <c i="7" r="N39"/>
  <c i="7" r="N49"/>
  <c i="7" r="O48"/>
  <c i="7" r="P44"/>
  <c i="7" r="N40"/>
  <c i="7" r="O39"/>
  <c i="17" r="M50"/>
  <c i="14" r="S50"/>
  <c i="18" r="U16"/>
  <c i="18" r="J16"/>
  <c i="17" r="S50"/>
  <c i="17" r="O49"/>
  <c i="17" r="M49"/>
  <c i="17" r="O48"/>
  <c i="17" r="M48"/>
  <c i="17" r="O44"/>
  <c i="17" r="M44"/>
  <c i="17" r="O43"/>
  <c i="17" r="M43"/>
  <c i="17" r="O42"/>
  <c i="17" r="M42"/>
  <c i="17" r="O41"/>
  <c i="17" r="M41"/>
  <c i="17" r="O40"/>
  <c i="17" r="M40"/>
  <c i="17" r="O39"/>
  <c i="17" r="M39"/>
  <c i="17" r="T49"/>
  <c i="17" r="P49"/>
  <c i="17" r="N49"/>
  <c i="17" r="T48"/>
  <c i="17" r="P48"/>
  <c i="17" r="N48"/>
  <c i="17" r="T44"/>
  <c i="17" r="P44"/>
  <c i="17" r="N44"/>
  <c i="17" r="T43"/>
  <c i="17" r="P43"/>
  <c i="17" r="N43"/>
  <c i="17" r="T42"/>
  <c i="17" r="P42"/>
  <c i="17" r="N42"/>
  <c i="17" r="T41"/>
  <c i="17" r="P41"/>
  <c i="17" r="N41"/>
  <c i="17" r="T40"/>
  <c i="17" r="P40"/>
  <c i="17" r="N40"/>
  <c i="17" r="T39"/>
  <c i="17" r="P39"/>
  <c i="17" r="N39"/>
  <c i="17" r="N50"/>
  <c i="17" r="O50"/>
  <c i="16" r="S49"/>
  <c i="16" r="Q49"/>
  <c i="16" r="O49"/>
  <c i="16" r="S48"/>
  <c i="16" r="Q48"/>
  <c i="16" r="O48"/>
  <c i="16" r="S44"/>
  <c i="16" r="Q44"/>
  <c i="16" r="O44"/>
  <c i="16" r="S43"/>
  <c i="16" r="Q43"/>
  <c i="16" r="O43"/>
  <c i="16" r="S42"/>
  <c i="16" r="Q42"/>
  <c i="16" r="O42"/>
  <c i="16" r="S41"/>
  <c i="16" r="Q41"/>
  <c i="16" r="O41"/>
  <c i="16" r="S40"/>
  <c i="16" r="Q40"/>
  <c i="16" r="O40"/>
  <c i="16" r="S39"/>
  <c i="16" r="Q39"/>
  <c i="16" r="O39"/>
  <c i="16" r="R49"/>
  <c i="16" r="P49"/>
  <c i="16" r="N49"/>
  <c i="16" r="R48"/>
  <c i="16" r="P48"/>
  <c i="16" r="N48"/>
  <c i="16" r="R44"/>
  <c i="16" r="P44"/>
  <c i="16" r="N44"/>
  <c i="16" r="R43"/>
  <c i="16" r="P43"/>
  <c i="16" r="N43"/>
  <c i="16" r="R42"/>
  <c i="16" r="P42"/>
  <c i="16" r="N42"/>
  <c i="16" r="R41"/>
  <c i="16" r="P41"/>
  <c i="16" r="N41"/>
  <c i="16" r="R40"/>
  <c i="16" r="P40"/>
  <c i="16" r="N40"/>
  <c i="16" r="R39"/>
  <c i="16" r="P39"/>
  <c i="16" r="N39"/>
  <c i="16" r="S50"/>
  <c i="16" r="O50"/>
  <c i="16" r="T50"/>
  <c i="15" r="O49"/>
  <c i="15" r="O48"/>
  <c i="15" r="O44"/>
  <c i="15" r="O43"/>
  <c i="15" r="O42"/>
  <c i="15" r="O41"/>
  <c i="15" r="O40"/>
  <c i="15" r="O39"/>
  <c i="15" r="P49"/>
  <c i="15" r="N49"/>
  <c i="15" r="P48"/>
  <c i="15" r="N48"/>
  <c i="15" r="P44"/>
  <c i="15" r="N44"/>
  <c i="15" r="P43"/>
  <c i="15" r="N43"/>
  <c i="15" r="P42"/>
  <c i="15" r="N42"/>
  <c i="15" r="P41"/>
  <c i="15" r="N41"/>
  <c i="15" r="P40"/>
  <c i="15" r="N40"/>
  <c i="15" r="P39"/>
  <c i="15" r="N39"/>
  <c i="15" r="S50"/>
  <c i="15" r="O50"/>
  <c i="15" r="T50"/>
  <c i="15" r="P50"/>
  <c i="14" r="S49"/>
  <c i="14" r="S48"/>
  <c i="14" r="S44"/>
  <c i="14" r="S43"/>
  <c i="14" r="S42"/>
  <c i="14" r="S41"/>
  <c i="14" r="S40"/>
  <c i="14" r="S39"/>
  <c i="14" r="R49"/>
  <c i="14" r="R48"/>
  <c i="14" r="R44"/>
  <c i="14" r="R43"/>
  <c i="14" r="R42"/>
  <c i="14" r="R41"/>
  <c i="14" r="R40"/>
  <c i="14" r="R39"/>
  <c i="14" r="R50"/>
  <c i="14" r="N50"/>
  <c i="14" r="M50"/>
  <c i="13" r="T50"/>
  <c i="13" r="P50"/>
  <c i="13" r="S50"/>
  <c i="12" r="S49"/>
  <c i="12" r="O49"/>
  <c i="12" r="S48"/>
  <c i="12" r="O48"/>
  <c i="12" r="S44"/>
  <c i="12" r="O44"/>
  <c i="12" r="S43"/>
  <c i="12" r="O43"/>
  <c i="12" r="S42"/>
  <c i="12" r="O42"/>
  <c i="12" r="S41"/>
  <c i="12" r="O41"/>
  <c i="12" r="S40"/>
  <c i="12" r="O40"/>
  <c i="12" r="S39"/>
  <c i="12" r="O39"/>
  <c i="12" r="R49"/>
  <c i="12" r="R48"/>
  <c i="12" r="R44"/>
  <c i="12" r="R43"/>
  <c i="12" r="R42"/>
  <c i="12" r="R41"/>
  <c i="12" r="R40"/>
  <c i="12" r="R39"/>
  <c i="12" r="S50"/>
  <c i="12" r="O50"/>
  <c i="12" r="T50"/>
  <c i="12" r="P50"/>
  <c i="11" r="Q49"/>
  <c i="11" r="M49"/>
  <c i="11" r="Q48"/>
  <c i="11" r="M48"/>
  <c i="11" r="Q44"/>
  <c i="11" r="M44"/>
  <c i="11" r="Q43"/>
  <c i="11" r="M43"/>
  <c i="11" r="Q42"/>
  <c i="11" r="M42"/>
  <c i="11" r="Q41"/>
  <c i="11" r="M41"/>
  <c i="11" r="Q40"/>
  <c i="11" r="M40"/>
  <c i="11" r="Q39"/>
  <c i="11" r="M39"/>
  <c i="11" r="S50"/>
  <c i="11" r="O50"/>
  <c i="11" r="R50"/>
  <c i="7" r="M39"/>
  <c i="18" l="1" r="P48"/>
  <c i="18" r="AA48" s="1"/>
  <c i="18" r="P41"/>
  <c i="18" r="AA41" s="1"/>
  <c i="11" r="U45"/>
  <c i="18" r="T46"/>
  <c i="18" r="AE46" s="1"/>
  <c i="18" r="R45"/>
  <c i="18" r="AC45" s="1"/>
  <c i="18" r="P40"/>
  <c i="18" r="AA40" s="1"/>
  <c i="18" r="P43"/>
  <c i="18" r="AA43" s="1"/>
  <c i="18" r="P39"/>
  <c i="18" r="AA39" s="1"/>
  <c i="18" r="P44"/>
  <c i="18" r="AA44" s="1"/>
  <c i="18" r="R47"/>
  <c i="18" r="AC47" s="1"/>
  <c i="18" r="M45"/>
  <c i="18" r="X45" s="1"/>
  <c i="15" r="U41"/>
  <c i="18" r="T47"/>
  <c i="18" r="AE47" s="1"/>
  <c i="18" r="T45"/>
  <c i="18" r="AE45" s="1"/>
  <c i="18" r="Q45"/>
  <c i="18" r="AB45" s="1"/>
  <c i="18" r="Q46"/>
  <c i="18" r="AB46" s="1"/>
  <c i="18" r="P46"/>
  <c i="18" r="AA46" s="1"/>
  <c i="18" r="P42"/>
  <c i="18" r="AA42" s="1"/>
  <c i="18" r="M46"/>
  <c i="18" r="X46" s="1"/>
  <c i="18" r="R46"/>
  <c i="18" r="AC46" s="1"/>
  <c i="18" r="P45"/>
  <c i="18" r="AA45" s="1"/>
  <c i="18" r="N46"/>
  <c i="18" r="Y46" s="1"/>
  <c i="17" r="U48"/>
  <c i="18" r="P49"/>
  <c i="18" r="AA49" s="1"/>
  <c i="18" r="O45"/>
  <c i="18" r="Z45" s="1"/>
  <c i="18" r="M47"/>
  <c i="18" r="X47" s="1"/>
  <c i="18" r="N45"/>
  <c i="18" r="Y45" s="1"/>
  <c i="16" r="U49"/>
  <c i="16" r="U45"/>
  <c i="18" r="N47"/>
  <c i="18" r="Y47" s="1"/>
  <c i="18" r="Q47"/>
  <c i="18" r="AB47" s="1"/>
  <c i="12" r="U42"/>
  <c i="12" r="U39"/>
  <c i="15" r="U47"/>
  <c i="18" r="S47"/>
  <c i="18" r="AD47" s="1"/>
  <c i="18" r="S45"/>
  <c i="18" r="AD45" s="1"/>
  <c i="18" r="S46"/>
  <c i="18" r="AD46" s="1"/>
  <c i="7" r="U44"/>
  <c i="7" r="U45"/>
  <c i="13" r="U46"/>
  <c i="15" r="U46"/>
  <c i="17" r="U47"/>
  <c i="11" r="U46"/>
  <c i="15" r="U45"/>
  <c i="15" r="U42"/>
  <c i="18" r="O47"/>
  <c i="18" r="Z47" s="1"/>
  <c i="12" r="U46"/>
  <c i="18" r="U33"/>
  <c i="18" r="U30"/>
  <c i="18" r="U28"/>
  <c i="18" r="J33"/>
  <c i="18" r="J29"/>
  <c i="18" r="J28"/>
  <c i="18" r="J30"/>
  <c i="11" r="U40"/>
  <c i="17" r="U39"/>
  <c i="16" r="U39"/>
  <c i="13" r="U49"/>
  <c i="13" r="U45"/>
  <c i="18" r="O46"/>
  <c i="18" r="Z46" s="1"/>
  <c i="16" r="U47"/>
  <c i="18" r="U29"/>
  <c i="11" r="U43"/>
  <c i="13" r="U44"/>
  <c i="12" r="U45"/>
  <c i="14" r="U45"/>
  <c i="17" r="U46"/>
  <c i="14" r="U42"/>
  <c i="7" r="U50"/>
  <c i="17" r="U50"/>
  <c i="11" r="U50"/>
  <c i="16" r="U40"/>
  <c i="16" r="U44"/>
  <c i="14" r="U43"/>
  <c i="17" r="U49"/>
  <c i="15" r="U40"/>
  <c i="12" r="U44"/>
  <c i="14" r="U41"/>
  <c i="11" r="U49"/>
  <c i="13" r="U40"/>
  <c i="16" r="U41"/>
  <c i="13" r="U41"/>
  <c i="16" r="U42"/>
  <c i="17" r="U42"/>
  <c i="7" r="U40"/>
  <c i="15" r="U39"/>
  <c i="7" r="U48"/>
  <c i="16" r="U48"/>
  <c i="17" r="U41"/>
  <c i="18" r="U24"/>
  <c i="18" r="J26"/>
  <c i="18" r="U22"/>
  <c i="18" r="U27"/>
  <c i="18" r="J24"/>
  <c i="18" r="J27"/>
  <c i="18" r="J22"/>
  <c i="18" r="U23"/>
  <c i="18" r="U32"/>
  <c i="18" r="J31"/>
  <c i="18" r="U31"/>
  <c i="18" r="U25"/>
  <c i="18" r="J23"/>
  <c i="18" r="J25"/>
  <c i="18" r="J32"/>
  <c i="18" r="U26"/>
  <c i="7" r="U49"/>
  <c i="7" r="U43"/>
  <c i="7" r="T39"/>
  <c i="7" r="U42"/>
  <c i="7" r="Q43"/>
  <c i="7" r="M50"/>
  <c i="7" r="S40"/>
  <c i="7" r="Q50"/>
  <c i="7" r="T43"/>
  <c i="7" r="P50"/>
  <c i="7" r="M44"/>
  <c i="7" r="S48"/>
  <c i="7" r="R48"/>
  <c i="7" r="N43"/>
  <c i="7" r="S39"/>
  <c i="7" r="R39"/>
  <c i="7" r="Q39"/>
  <c i="7" r="R42"/>
  <c i="7" r="Q42"/>
  <c i="7" r="U39"/>
  <c i="7" r="R49"/>
  <c i="7" r="Q49"/>
  <c i="7" r="R44"/>
  <c i="7" r="T48"/>
  <c i="7" r="R41"/>
  <c i="7" r="Q41"/>
  <c i="7" r="R40"/>
  <c i="7" r="Q40"/>
  <c i="7" r="T41"/>
  <c i="7" r="S41"/>
  <c i="7" r="T49"/>
  <c i="7" r="T44"/>
  <c i="7" r="S44"/>
  <c i="7" r="U41"/>
  <c i="17" r="Q50"/>
  <c i="17" r="S39"/>
  <c i="17" r="S40"/>
  <c i="17" r="S41"/>
  <c i="17" r="S42"/>
  <c i="17" r="S43"/>
  <c i="17" r="S44"/>
  <c i="17" r="S48"/>
  <c i="17" r="S49"/>
  <c i="17" r="U44"/>
  <c i="17" r="R50"/>
  <c i="17" r="R39"/>
  <c i="17" r="R40"/>
  <c i="17" r="R41"/>
  <c i="17" r="R42"/>
  <c i="17" r="R43"/>
  <c i="17" r="R44"/>
  <c i="17" r="R48"/>
  <c i="17" r="R49"/>
  <c i="17" r="Q39"/>
  <c i="17" r="Q40"/>
  <c i="17" r="Q41"/>
  <c i="17" r="Q42"/>
  <c i="17" r="Q43"/>
  <c i="17" r="Q44"/>
  <c i="17" r="Q48"/>
  <c i="17" r="Q49"/>
  <c i="16" r="P50"/>
  <c i="16" r="M39"/>
  <c i="16" r="M40"/>
  <c i="16" r="M41"/>
  <c i="16" r="M42"/>
  <c i="16" r="M43"/>
  <c i="16" r="M44"/>
  <c i="16" r="M48"/>
  <c i="16" r="M49"/>
  <c i="16" r="U50"/>
  <c i="16" r="T39"/>
  <c i="16" r="T40"/>
  <c i="16" r="T41"/>
  <c i="16" r="T42"/>
  <c i="16" r="T43"/>
  <c i="16" r="T44"/>
  <c i="16" r="T48"/>
  <c i="16" r="T49"/>
  <c i="15" r="U48"/>
  <c i="15" r="S39"/>
  <c i="15" r="S40"/>
  <c i="15" r="S41"/>
  <c i="15" r="S42"/>
  <c i="15" r="S43"/>
  <c i="15" r="S44"/>
  <c i="15" r="S48"/>
  <c i="15" r="S49"/>
  <c i="15" r="U44"/>
  <c i="15" r="R39"/>
  <c i="15" r="R40"/>
  <c i="15" r="R41"/>
  <c i="15" r="R42"/>
  <c i="15" r="R43"/>
  <c i="15" r="R44"/>
  <c i="15" r="R48"/>
  <c i="15" r="R49"/>
  <c i="15" r="Q39"/>
  <c i="15" r="Q40"/>
  <c i="15" r="Q41"/>
  <c i="15" r="Q42"/>
  <c i="15" r="Q43"/>
  <c i="15" r="Q44"/>
  <c i="15" r="Q48"/>
  <c i="15" r="Q49"/>
  <c i="15" r="M39"/>
  <c i="15" r="M40"/>
  <c i="15" r="M41"/>
  <c i="15" r="M42"/>
  <c i="15" r="M43"/>
  <c i="15" r="M44"/>
  <c i="15" r="M48"/>
  <c i="15" r="M49"/>
  <c i="15" r="U50"/>
  <c i="15" r="U49"/>
  <c i="15" r="T39"/>
  <c i="15" r="T40"/>
  <c i="15" r="T41"/>
  <c i="15" r="T42"/>
  <c i="15" r="T43"/>
  <c i="15" r="T44"/>
  <c i="15" r="T48"/>
  <c i="15" r="T49"/>
  <c i="14" r="U39"/>
  <c i="14" r="M39"/>
  <c i="14" r="M40"/>
  <c i="14" r="M41"/>
  <c i="14" r="M42"/>
  <c i="14" r="M43"/>
  <c i="14" r="M44"/>
  <c i="14" r="M48"/>
  <c i="14" r="M49"/>
  <c i="14" r="U50"/>
  <c i="14" r="Q39"/>
  <c i="14" r="Q40"/>
  <c i="14" r="Q41"/>
  <c i="14" r="Q42"/>
  <c i="14" r="Q43"/>
  <c i="14" r="Q44"/>
  <c i="14" r="Q48"/>
  <c i="14" r="Q49"/>
  <c i="14" r="U48"/>
  <c i="14" r="N39"/>
  <c i="14" r="N40"/>
  <c i="14" r="N41"/>
  <c i="14" r="N42"/>
  <c i="14" r="N43"/>
  <c i="14" r="N44"/>
  <c i="14" r="N48"/>
  <c i="14" r="N49"/>
  <c i="14" r="U44"/>
  <c i="14" r="O39"/>
  <c i="14" r="O40"/>
  <c i="14" r="O41"/>
  <c i="14" r="O42"/>
  <c i="14" r="O43"/>
  <c i="14" r="O44"/>
  <c i="14" r="O48"/>
  <c i="14" r="O49"/>
  <c i="14" r="U49"/>
  <c i="13" r="U39"/>
  <c i="13" r="U48"/>
  <c i="13" r="O39"/>
  <c i="13" r="O40"/>
  <c i="13" r="O41"/>
  <c i="13" r="O42"/>
  <c i="13" r="O43"/>
  <c i="13" r="O44"/>
  <c i="13" r="O48"/>
  <c i="13" r="O49"/>
  <c i="13" r="S39"/>
  <c i="13" r="S40"/>
  <c i="13" r="S41"/>
  <c i="13" r="S42"/>
  <c i="13" r="S43"/>
  <c i="13" r="S44"/>
  <c i="13" r="S48"/>
  <c i="13" r="S49"/>
  <c i="13" r="O50"/>
  <c i="13" r="U42"/>
  <c i="12" r="U49"/>
  <c i="12" r="U41"/>
  <c i="12" r="N39"/>
  <c i="12" r="N40"/>
  <c i="12" r="N41"/>
  <c i="12" r="N42"/>
  <c i="12" r="N43"/>
  <c i="12" r="N44"/>
  <c i="12" r="N48"/>
  <c i="12" r="N49"/>
  <c i="12" r="U48"/>
  <c i="12" r="Q39"/>
  <c i="12" r="Q40"/>
  <c i="12" r="Q41"/>
  <c i="12" r="Q42"/>
  <c i="12" r="Q43"/>
  <c i="12" r="Q44"/>
  <c i="12" r="Q48"/>
  <c i="12" r="Q49"/>
  <c i="12" r="U40"/>
  <c i="12" r="P39"/>
  <c i="12" r="P40"/>
  <c i="12" r="P41"/>
  <c i="12" r="P42"/>
  <c i="12" r="P43"/>
  <c i="12" r="P44"/>
  <c i="12" r="P48"/>
  <c i="12" r="P49"/>
  <c i="12" r="M39"/>
  <c i="12" r="M40"/>
  <c i="12" r="M41"/>
  <c i="12" r="M42"/>
  <c i="12" r="M43"/>
  <c i="12" r="M44"/>
  <c i="12" r="M48"/>
  <c i="12" r="M49"/>
  <c i="12" r="U50"/>
  <c i="12" r="T39"/>
  <c i="12" r="T40"/>
  <c i="12" r="T41"/>
  <c i="12" r="T42"/>
  <c i="12" r="T43"/>
  <c i="12" r="T44"/>
  <c i="12" r="T48"/>
  <c i="12" r="T49"/>
  <c i="11" r="U41"/>
  <c i="18" r="S39"/>
  <c i="18" r="AD39" s="1"/>
  <c i="11" r="O39"/>
  <c i="11" r="O40"/>
  <c i="11" r="O41"/>
  <c i="11" r="O42"/>
  <c i="11" r="O43"/>
  <c i="11" r="O44"/>
  <c i="11" r="O48"/>
  <c i="11" r="O49"/>
  <c i="11" r="N39"/>
  <c i="11" r="N40"/>
  <c i="11" r="N41"/>
  <c i="11" r="N42"/>
  <c i="11" r="N43"/>
  <c i="11" r="N44"/>
  <c i="11" r="N48"/>
  <c i="11" r="N49"/>
  <c i="18" r="O50"/>
  <c i="18" r="Z50" s="1"/>
  <c i="11" r="R39"/>
  <c i="11" r="R40"/>
  <c i="11" r="R41"/>
  <c i="11" r="R42"/>
  <c i="11" r="R43"/>
  <c i="11" r="R44"/>
  <c i="11" r="R48"/>
  <c i="11" r="R49"/>
  <c i="11" r="N50"/>
  <c i="11" r="U44"/>
  <c i="11" r="U48"/>
  <c i="11" r="S39"/>
  <c i="11" r="S40"/>
  <c i="11" r="S41"/>
  <c i="11" r="S42"/>
  <c i="11" r="S43"/>
  <c i="11" r="S44"/>
  <c i="11" r="S48"/>
  <c i="11" r="S49"/>
  <c i="11" r="P50"/>
  <c i="11" r="M50"/>
  <c i="17" r="U40"/>
  <c i="17" r="T50"/>
  <c i="17" r="P50"/>
  <c i="16" r="U43"/>
  <c i="16" r="N50"/>
  <c i="16" r="Q50"/>
  <c i="16" r="R50"/>
  <c i="16" r="M50"/>
  <c i="15" r="U43"/>
  <c i="15" r="N50"/>
  <c i="15" r="Q50"/>
  <c i="15" r="R50"/>
  <c i="15" r="M50"/>
  <c i="14" r="P50"/>
  <c i="14" r="Q50"/>
  <c i="14" r="P39"/>
  <c i="14" r="T39"/>
  <c i="14" r="P40"/>
  <c i="14" r="T40"/>
  <c i="14" r="P41"/>
  <c i="14" r="T41"/>
  <c i="14" r="P42"/>
  <c i="14" r="T42"/>
  <c i="14" r="P43"/>
  <c i="14" r="T43"/>
  <c i="14" r="P44"/>
  <c i="14" r="T44"/>
  <c i="14" r="P48"/>
  <c i="14" r="T48"/>
  <c i="14" r="P49"/>
  <c i="14" r="T49"/>
  <c i="14" r="U40"/>
  <c i="14" r="T50"/>
  <c i="14" r="O50"/>
  <c i="13" r="M50"/>
  <c i="13" r="R50"/>
  <c i="13" r="P39"/>
  <c i="13" r="T39"/>
  <c i="13" r="P40"/>
  <c i="13" r="T40"/>
  <c i="13" r="P41"/>
  <c i="13" r="T41"/>
  <c i="13" r="P42"/>
  <c i="13" r="T42"/>
  <c i="13" r="P43"/>
  <c i="13" r="T43"/>
  <c i="13" r="P44"/>
  <c i="13" r="T44"/>
  <c i="13" r="P48"/>
  <c i="13" r="T48"/>
  <c i="13" r="P49"/>
  <c i="13" r="T49"/>
  <c i="13" r="Q50"/>
  <c i="13" r="U43"/>
  <c i="13" r="N50"/>
  <c i="13" r="N39"/>
  <c i="13" r="R39"/>
  <c i="13" r="N40"/>
  <c i="13" r="R40"/>
  <c i="13" r="N41"/>
  <c i="13" r="R41"/>
  <c i="13" r="N42"/>
  <c i="13" r="R42"/>
  <c i="13" r="N43"/>
  <c i="13" r="R43"/>
  <c i="13" r="N44"/>
  <c i="13" r="R44"/>
  <c i="13" r="N48"/>
  <c i="13" r="R48"/>
  <c i="13" r="N49"/>
  <c i="13" r="R49"/>
  <c i="13" r="M39"/>
  <c i="13" r="Q39"/>
  <c i="13" r="M40"/>
  <c i="13" r="Q40"/>
  <c i="13" r="M41"/>
  <c i="13" r="Q41"/>
  <c i="13" r="M42"/>
  <c i="13" r="Q42"/>
  <c i="13" r="M43"/>
  <c i="13" r="Q43"/>
  <c i="13" r="M44"/>
  <c i="13" r="Q44"/>
  <c i="13" r="M48"/>
  <c i="13" r="Q48"/>
  <c i="13" r="M49"/>
  <c i="13" r="Q49"/>
  <c i="13" r="U50"/>
  <c i="12" r="U43"/>
  <c i="12" r="N50"/>
  <c i="12" r="Q50"/>
  <c i="12" r="R50"/>
  <c i="12" r="M50"/>
  <c i="11" r="P39"/>
  <c i="11" r="T39"/>
  <c i="11" r="P40"/>
  <c i="11" r="T40"/>
  <c i="11" r="P41"/>
  <c i="11" r="T41"/>
  <c i="11" r="P42"/>
  <c i="11" r="T42"/>
  <c i="11" r="P43"/>
  <c i="11" r="T43"/>
  <c i="11" r="P44"/>
  <c i="11" r="T44"/>
  <c i="11" r="P48"/>
  <c i="11" r="T48"/>
  <c i="11" r="P49"/>
  <c i="11" r="T49"/>
  <c i="11" r="U42"/>
  <c i="11" r="T50"/>
  <c i="11" r="Q50"/>
  <c i="18" l="1" r="U43"/>
  <c i="18" r="AF43" s="1"/>
  <c i="18" r="U46"/>
  <c i="18" r="AF46" s="1"/>
  <c i="18" r="U50"/>
  <c i="18" r="AF50" s="1"/>
  <c i="18" r="U47"/>
  <c i="18" r="AF47" s="1"/>
  <c i="18" r="U45"/>
  <c i="18" r="AF45" s="1"/>
  <c i="18" r="M50"/>
  <c i="18" r="X50" s="1"/>
  <c i="18" r="T42"/>
  <c i="18" r="AE42" s="1"/>
  <c i="18" r="N41"/>
  <c i="18" r="Y41" s="1"/>
  <c i="18" r="T50"/>
  <c i="18" r="AE50" s="1"/>
  <c i="18" r="U40"/>
  <c i="18" r="AF40" s="1"/>
  <c i="18" r="U41"/>
  <c i="18" r="AF41" s="1"/>
  <c i="18" r="T43"/>
  <c i="18" r="AE43" s="1"/>
  <c i="18" r="M40"/>
  <c i="18" r="X40" s="1"/>
  <c i="18" r="T41"/>
  <c i="18" r="AE41" s="1"/>
  <c i="18" r="M39"/>
  <c i="18" r="X39" s="1"/>
  <c i="18" r="U39"/>
  <c i="18" r="AF39" s="1"/>
  <c i="18" r="T48"/>
  <c i="18" r="AE48" s="1"/>
  <c i="18" r="O40"/>
  <c i="18" r="Z40" s="1"/>
  <c i="18" r="T39"/>
  <c i="18" r="AE39" s="1"/>
  <c i="18" r="M48"/>
  <c i="18" r="X48" s="1"/>
  <c i="18" r="U42"/>
  <c i="18" r="AF42" s="1"/>
  <c i="18" r="Q48"/>
  <c i="18" r="AB48" s="1"/>
  <c i="18" r="Q49"/>
  <c i="18" r="AB49" s="1"/>
  <c i="18" r="S49"/>
  <c i="18" r="AD49" s="1"/>
  <c i="18" r="U49"/>
  <c i="18" r="AF49" s="1"/>
  <c i="18" r="T44"/>
  <c i="18" r="AE44" s="1"/>
  <c i="18" r="T49"/>
  <c i="18" r="AE49" s="1"/>
  <c i="18" r="N42"/>
  <c i="18" r="Y42" s="1"/>
  <c i="18" r="N43"/>
  <c i="18" r="Y43" s="1"/>
  <c i="18" r="Q39"/>
  <c i="18" r="AB39" s="1"/>
  <c i="18" r="M41"/>
  <c i="18" r="X41" s="1"/>
  <c i="18" r="T40"/>
  <c i="18" r="AE40" s="1"/>
  <c i="18" r="U48"/>
  <c i="18" r="AF48" s="1"/>
  <c i="18" r="U44"/>
  <c i="18" r="AF44" s="1"/>
  <c i="18" r="M43"/>
  <c i="18" r="X43" s="1"/>
  <c i="18" r="Q42"/>
  <c i="18" r="AB42" s="1"/>
  <c i="18" r="S40"/>
  <c i="18" r="AD40" s="1"/>
  <c i="18" r="N49"/>
  <c i="18" r="Y49" s="1"/>
  <c i="18" r="N40"/>
  <c i="18" r="Y40" s="1"/>
  <c i="18" r="R48"/>
  <c i="18" r="AC48" s="1"/>
  <c i="18" r="R39"/>
  <c i="18" r="AC39" s="1"/>
  <c i="18" r="S43"/>
  <c i="18" r="AD43" s="1"/>
  <c i="18" r="N50"/>
  <c i="18" r="Y50" s="1"/>
  <c i="18" r="O48"/>
  <c i="18" r="Z48" s="1"/>
  <c i="18" r="S50"/>
  <c i="18" r="AD50" s="1"/>
  <c i="18" r="R40"/>
  <c i="18" r="AC40" s="1"/>
  <c i="18" r="S44"/>
  <c i="18" r="AD44" s="1"/>
  <c i="18" r="R50"/>
  <c i="18" r="AC50" s="1"/>
  <c i="18" r="O39"/>
  <c i="18" r="Z39" s="1"/>
  <c i="18" r="Q43"/>
  <c i="18" r="AB43" s="1"/>
  <c i="18" r="N44"/>
  <c i="18" r="Y44" s="1"/>
  <c i="18" r="R41"/>
  <c i="18" r="AC41" s="1"/>
  <c i="18" r="S42"/>
  <c i="18" r="AD42" s="1"/>
  <c i="18" r="M44"/>
  <c i="18" r="X44" s="1"/>
  <c i="18" r="N48"/>
  <c i="18" r="Y48" s="1"/>
  <c i="18" r="N39"/>
  <c i="18" r="Y39" s="1"/>
  <c i="18" r="Q40"/>
  <c i="18" r="AB40" s="1"/>
  <c i="18" r="M49"/>
  <c i="18" r="X49" s="1"/>
  <c i="18" r="S41"/>
  <c i="18" r="AD41" s="1"/>
  <c i="18" r="R49"/>
  <c i="18" r="AC49" s="1"/>
  <c i="18" r="R42"/>
  <c i="18" r="AC42" s="1"/>
  <c i="18" r="O49"/>
  <c i="18" r="Z49" s="1"/>
  <c i="18" r="O42"/>
  <c i="18" r="Z42" s="1"/>
  <c i="18" r="R43"/>
  <c i="18" r="AC43" s="1"/>
  <c i="18" r="S48"/>
  <c i="18" r="AD48" s="1"/>
  <c i="18" r="O43"/>
  <c i="18" r="Z43" s="1"/>
  <c i="18" r="Q44"/>
  <c i="18" r="AB44" s="1"/>
  <c i="18" r="Q41"/>
  <c i="18" r="AB41" s="1"/>
  <c i="18" r="Q50"/>
  <c i="18" r="AB50" s="1"/>
  <c i="18" r="R44"/>
  <c i="18" r="AC44" s="1"/>
  <c i="18" r="M42"/>
  <c i="18" r="X42" s="1"/>
  <c i="18" r="O44"/>
  <c i="18" r="Z44" s="1"/>
  <c i="18" r="O41"/>
  <c i="18" r="Z41" s="1"/>
</calcChain>
</file>

<file path=xl/sharedStrings.xml><?xml version="1.0" encoding="utf-8"?>
<sst xmlns="http://schemas.openxmlformats.org/spreadsheetml/2006/main" count="1105" uniqueCount="60">
  <si>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</si>
  <si>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</si>
  <si>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</si>
  <si>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</si>
  <si>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</si>
  <si>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</si>
  <si>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</si>
  <si>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</si>
  <si>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</si>
  <si>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</si>
  <si>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</si>
  <si>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</si>
  <si>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</si>
  <si>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</si>
  <si>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</si>
  <si>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</si>
  <si>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</si>
  <si>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</si>
  <si>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</si>
  <si>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</si>
  <si>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</si>
  <si>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</si>
  <si>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</si>
  <si>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Table X. Estimated-Observed Social/Recreational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</si>
  <si>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</si>
  <si>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</si>
  <si>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</si>
  <si>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</si>
  <si>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</si>
  <si>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</si>
  <si>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</si>
  <si>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</si>
  <si>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</si>
  <si>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</si>
  <si>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</si>
  <si>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</si>
  <si>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</si>
  <si>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</si>
  <si>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</si>
  <si>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Table X. Estimated Social/Recreational Tour Modes: DaySim</t>
  </si>
  <si>
    <t>Table X. Estimated Social/Recreational Tour Mode Shares: DaySim</t>
  </si>
  <si>
    <t>Workbased Tour Mode</t>
  </si>
  <si>
    <t>School Tour Mode</t>
  </si>
  <si>
    <t>Escort Tour Mode</t>
  </si>
  <si>
    <t>Personal Business Tour Mode</t>
  </si>
  <si>
    <t>Meal Tour Mode</t>
  </si>
  <si>
    <t>SocRec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</si>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</sst>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mm/dd/yyyy\ hh:mm:ss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5" fontId="5" numFmtId="0">
      <alignment wrapText="1"/>
    </xf>
    <xf borderId="0" fillId="0" fontId="5" numFmtId="165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165">
      <alignment wrapText="1"/>
    </xf>
  </cellStyleXfs>
  <cellXfs count="33">
    <xf borderId="0" fillId="0" fontId="0" numFmtId="0" xfId="0"/>
    <xf applyBorder="1" applyFont="1" borderId="1" fillId="0" fontId="1" numFmtId="0" xfId="0"/>
    <xf applyBorder="1" borderId="1" fillId="0" fontId="0" numFmtId="0" xfId="0"/>
    <xf applyBorder="1" applyFont="1" borderId="0" fillId="0" fontId="1" numFmtId="0" xfId="0"/>
    <xf applyBorder="1" borderId="2" fillId="0" fontId="0" numFmtId="0" xfId="0"/>
    <xf applyAlignment="1" applyBorder="1" borderId="2" fillId="0" fontId="0" numFmtId="0" xfId="0">
      <alignment horizontal="center"/>
    </xf>
    <xf applyNumberFormat="1" borderId="0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2" fillId="0" fontId="0" numFmtId="3" xfId="0"/>
    <xf applyAlignment="1" applyBorder="1" borderId="0" fillId="0" fontId="0" numFmtId="0" xfId="0">
      <alignment horizontal="center"/>
    </xf>
    <xf applyBorder="1" applyFill="1" borderId="3" fillId="0" fontId="0" numFmtId="0" xfId="0"/>
    <xf applyNumberFormat="1" borderId="0" fillId="0" fontId="0" numFmtId="164" xfId="0"/>
    <xf applyBorder="1" applyNumberFormat="1" borderId="2" fillId="0" fontId="0" numFmtId="164" xfId="0"/>
    <xf applyBorder="1" applyNumberFormat="1" borderId="3" fillId="0" fontId="0" numFmtId="164" xfId="0"/>
    <xf applyBorder="1" applyNumberFormat="1" borderId="3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applyFont="1" borderId="0" fillId="3" fontId="3" numFmtId="0" xfId="0"/>
    <xf applyAlignment="1" applyBorder="1" applyFill="1" applyFont="1" borderId="0" fillId="3" fontId="4" numFmtId="0" xfId="0">
      <alignment horizontal="center"/>
    </xf>
    <xf applyBorder="1" applyFill="1" applyFont="1" borderId="2" fillId="3" fontId="4" numFmtId="0" xfId="0"/>
    <xf applyAlignment="1" applyBorder="1" applyFill="1" applyFont="1" borderId="2" fillId="3" fontId="4" numFmtId="0" xfId="0">
      <alignment horizontal="center"/>
    </xf>
    <xf applyFill="1" borderId="0" fillId="4" fontId="0" numFmtId="0" xfId="0"/>
    <xf applyBorder="1" applyFill="1" applyNumberFormat="1" borderId="1" fillId="4" fontId="0" numFmtId="3" xfId="0"/>
    <xf applyBorder="1" applyFill="1" applyNumberFormat="1" borderId="3" fillId="4" fontId="0" numFmtId="164" xfId="0"/>
    <xf applyAlignment="1" applyBorder="1" applyFill="1" applyFont="1" borderId="0" fillId="3" fontId="4" numFmtId="0" xfId="0">
      <alignment horizontal="center"/>
    </xf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theme/theme1.xml" Type="http://schemas.openxmlformats.org/officeDocument/2006/relationships/theme"/>
<Relationship Id="rId12" Target="styles.xml" Type="http://schemas.openxmlformats.org/officeDocument/2006/relationships/styles"/>
<Relationship Id="rId13" Target="sharedStrings.xml" Type="http://schemas.openxmlformats.org/officeDocument/2006/relationships/sharedStrings"/>
<Relationship Id="rId14" Target="calcChain.xml" Type="http://schemas.openxmlformats.org/officeDocument/2006/relationships/calcChain"/>
<Relationship Id="rId15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2:AG50"/>
  <sheetViews>
    <sheetView tabSelected="1" workbookViewId="0">
      <selection activeCell="U8" sqref="U8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  <col min="24" max="24" customWidth="true" width="25.0" collapsed="true"/>
    <col min="25" max="33" customWidth="true" width="10.7109375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47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f>SUM(Work!B5,Workbased!B5,School!B5,Escort!B5,Personal_Business!B5,Shop!B5,Meal!B5,SocRec!B5)</f>
        <v>5487901.7843119791</v>
      </c>
      <c r="C5" s="6">
        <f>SUM(Work!C5,Workbased!C5,School!C5,Escort!C5,Personal_Business!C5,Shop!C5,Meal!C5,SocRec!C5)</f>
        <v>872301.60612653592</v>
      </c>
      <c r="D5" s="6">
        <f>SUM(Work!D5,Workbased!D5,School!D5,Escort!D5,Personal_Business!D5,Shop!D5,Meal!D5,SocRec!D5)</f>
        <v>367911.12524327164</v>
      </c>
      <c r="E5" s="6">
        <f>SUM(Work!E5,Workbased!E5,School!E5,Escort!E5,Personal_Business!E5,Shop!E5,Meal!E5,SocRec!E5)</f>
        <v>113555.85728768079</v>
      </c>
      <c r="F5" s="6">
        <f>SUM(Work!F5,Workbased!F5,School!F5,Escort!F5,Personal_Business!F5,Shop!F5,Meal!F5,SocRec!F5)</f>
        <v>17623.451196402697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1686.3203314759999</v>
      </c>
      <c r="J5" s="6">
        <f>SUM(B5:I5)</f>
        <v>6860980.1444973452</v>
      </c>
      <c r="K5" s="6"/>
      <c r="L5" t="s">
        <v>1</v>
      </c>
      <c r="M5" s="6">
        <f>SUM(Work!M5,Workbased!M5,School!M5,Escort!M5,Personal_Business!M5,Shop!M5,Meal!M5,SocRec!M5)</f>
        <v>5833632</v>
      </c>
      <c r="N5" s="6">
        <f>SUM(Work!N5,Workbased!N5,School!N5,Escort!N5,Personal_Business!N5,Shop!N5,Meal!N5,SocRec!N5)</f>
        <v>871230</v>
      </c>
      <c r="O5" s="6">
        <f>SUM(Work!O5,Workbased!O5,School!O5,Escort!O5,Personal_Business!O5,Shop!O5,Meal!O5,SocRec!O5)</f>
        <v>365751</v>
      </c>
      <c r="P5" s="6">
        <f>SUM(Work!P5,Workbased!P5,School!P5,Escort!P5,Personal_Business!P5,Shop!P5,Meal!P5,SocRec!P5)</f>
        <v>84481</v>
      </c>
      <c r="Q5" s="6">
        <f>SUM(Work!Q5,Workbased!Q5,School!Q5,Escort!Q5,Personal_Business!Q5,Shop!Q5,Meal!Q5,SocRec!Q5)</f>
        <v>21002</v>
      </c>
      <c r="R5" s="6">
        <f>SUM(Work!R5,Workbased!R5,School!R5,Escort!R5,Personal_Business!R5,Shop!R5,Meal!R5,SocRec!R5)</f>
        <v>0</v>
      </c>
      <c r="S5" s="6">
        <f>SUM(Work!S5,Workbased!S5,School!S5,Escort!S5,Personal_Business!S5,Shop!S5,Meal!S5,SocRec!S5)</f>
        <v>0</v>
      </c>
      <c r="T5" s="6">
        <f>SUM(Work!T5,Workbased!T5,School!T5,Escort!T5,Personal_Business!T5,Shop!T5,Meal!T5,SocRec!T5)</f>
        <v>1316</v>
      </c>
      <c r="U5" s="6">
        <f ref="U5:U15" si="0" t="shared">SUM(M5:T5)</f>
        <v>7177412</v>
      </c>
    </row>
    <row r="6" spans="1:21" x14ac:dyDescent="0.2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2988044.8520134166</v>
      </c>
      <c r="D6" s="6">
        <f>SUM(Work!D6,Workbased!D6,School!D6,Escort!D6,Personal_Business!D6,Shop!D6,Meal!D6,SocRec!D6)</f>
        <v>578286.39053844463</v>
      </c>
      <c r="E6" s="6">
        <f>SUM(Work!E6,Workbased!E6,School!E6,Escort!E6,Personal_Business!E6,Shop!E6,Meal!E6,SocRec!E6)</f>
        <v>5197.0034058516994</v>
      </c>
      <c r="F6" s="6">
        <f>SUM(Work!F6,Workbased!F6,School!F6,Escort!F6,Personal_Business!F6,Shop!F6,Meal!F6,SocRec!F6)</f>
        <v>76570.990121661715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45050.370104024005</v>
      </c>
      <c r="J6" s="6">
        <f ref="J6:J15" si="1" t="shared">SUM(B6:I6)</f>
        <v>3693149.606183399</v>
      </c>
      <c r="K6" s="6"/>
      <c r="L6" t="s">
        <v>12</v>
      </c>
      <c r="M6" s="6">
        <f>SUM(Work!M6,Workbased!M6,School!M6,Escort!M6,Personal_Business!M6,Shop!M6,Meal!M6,SocRec!M6)</f>
        <v>0</v>
      </c>
      <c r="N6" s="6">
        <f>SUM(Work!N6,Workbased!N6,School!N6,Escort!N6,Personal_Business!N6,Shop!N6,Meal!N6,SocRec!N6)</f>
        <v>3070833</v>
      </c>
      <c r="O6" s="6">
        <f>SUM(Work!O6,Workbased!O6,School!O6,Escort!O6,Personal_Business!O6,Shop!O6,Meal!O6,SocRec!O6)</f>
        <v>554295</v>
      </c>
      <c r="P6" s="6">
        <f>SUM(Work!P6,Workbased!P6,School!P6,Escort!P6,Personal_Business!P6,Shop!P6,Meal!P6,SocRec!P6)</f>
        <v>4503</v>
      </c>
      <c r="Q6" s="6">
        <f>SUM(Work!Q6,Workbased!Q6,School!Q6,Escort!Q6,Personal_Business!Q6,Shop!Q6,Meal!Q6,SocRec!Q6)</f>
        <v>48538</v>
      </c>
      <c r="R6" s="6">
        <f>SUM(Work!R6,Workbased!R6,School!R6,Escort!R6,Personal_Business!R6,Shop!R6,Meal!R6,SocRec!R6)</f>
        <v>0</v>
      </c>
      <c r="S6" s="6">
        <f>SUM(Work!S6,Workbased!S6,School!S6,Escort!S6,Personal_Business!S6,Shop!S6,Meal!S6,SocRec!S6)</f>
        <v>0</v>
      </c>
      <c r="T6" s="6">
        <f>SUM(Work!T6,Workbased!T6,School!T6,Escort!T6,Personal_Business!T6,Shop!T6,Meal!T6,SocRec!T6)</f>
        <v>56531</v>
      </c>
      <c r="U6" s="6">
        <f si="0" t="shared"/>
        <v>3734700</v>
      </c>
    </row>
    <row r="7" spans="1:21" x14ac:dyDescent="0.25">
      <c r="A7" t="s">
        <v>56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2542495.5579287075</v>
      </c>
      <c r="E7" s="6">
        <f>SUM(Work!E7,Workbased!E7,School!E7,Escort!E7,Personal_Business!E7,Shop!E7,Meal!E7,SocRec!E7)</f>
        <v>4202.0137338710001</v>
      </c>
      <c r="F7" s="6">
        <f>SUM(Work!F7,Workbased!F7,School!F7,Escort!F7,Personal_Business!F7,Shop!F7,Meal!F7,SocRec!F7)</f>
        <v>20670.845848217003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71299.33425</v>
      </c>
      <c r="J7" s="6">
        <f si="1" t="shared"/>
        <v>2638667.7517607952</v>
      </c>
      <c r="K7" s="6"/>
      <c r="L7" t="s">
        <v>56</v>
      </c>
      <c r="M7" s="6">
        <f>SUM(Work!M7,Workbased!M7,School!M7,Escort!M7,Personal_Business!M7,Shop!M7,Meal!M7,SocRec!M7)</f>
        <v>0</v>
      </c>
      <c r="N7" s="6">
        <f>SUM(Work!N7,Workbased!N7,School!N7,Escort!N7,Personal_Business!N7,Shop!N7,Meal!N7,SocRec!N7)</f>
        <v>0</v>
      </c>
      <c r="O7" s="6">
        <f>SUM(Work!O7,Workbased!O7,School!O7,Escort!O7,Personal_Business!O7,Shop!O7,Meal!O7,SocRec!O7)</f>
        <v>2424865</v>
      </c>
      <c r="P7" s="6">
        <f>SUM(Work!P7,Workbased!P7,School!P7,Escort!P7,Personal_Business!P7,Shop!P7,Meal!P7,SocRec!P7)</f>
        <v>1783</v>
      </c>
      <c r="Q7" s="6">
        <f>SUM(Work!Q7,Workbased!Q7,School!Q7,Escort!Q7,Personal_Business!Q7,Shop!Q7,Meal!Q7,SocRec!Q7)</f>
        <v>21703</v>
      </c>
      <c r="R7" s="6">
        <f>SUM(Work!R7,Workbased!R7,School!R7,Escort!R7,Personal_Business!R7,Shop!R7,Meal!R7,SocRec!R7)</f>
        <v>2</v>
      </c>
      <c r="S7" s="6">
        <f>SUM(Work!S7,Workbased!S7,School!S7,Escort!S7,Personal_Business!S7,Shop!S7,Meal!S7,SocRec!S7)</f>
        <v>14</v>
      </c>
      <c r="T7" s="6">
        <f>SUM(Work!T7,Workbased!T7,School!T7,Escort!T7,Personal_Business!T7,Shop!T7,Meal!T7,SocRec!T7)</f>
        <v>56182</v>
      </c>
      <c r="U7" s="6">
        <f si="0" t="shared"/>
        <v>2504549</v>
      </c>
    </row>
    <row r="8" spans="1:21" x14ac:dyDescent="0.25">
      <c r="A8" t="s">
        <v>51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111303.5389245945</v>
      </c>
      <c r="F8" s="6">
        <f>SUM(Work!F8,Workbased!F8,School!F8,Escort!F8,Personal_Business!F8,Shop!F8,Meal!F8,SocRec!F8)</f>
        <v>694175.94818319683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10298.046276788</v>
      </c>
      <c r="J8" s="6">
        <f si="1" t="shared"/>
        <v>815777.53338457935</v>
      </c>
      <c r="K8" s="6"/>
      <c r="L8" t="s">
        <v>51</v>
      </c>
      <c r="M8" s="6">
        <f>SUM(Work!M8,Workbased!M8,School!M8,Escort!M8,Personal_Business!M8,Shop!M8,Meal!M8,SocRec!M8)</f>
        <v>0</v>
      </c>
      <c r="N8" s="6">
        <f>SUM(Work!N8,Workbased!N8,School!N8,Escort!N8,Personal_Business!N8,Shop!N8,Meal!N8,SocRec!N8)</f>
        <v>0</v>
      </c>
      <c r="O8" s="6">
        <f>SUM(Work!O8,Workbased!O8,School!O8,Escort!O8,Personal_Business!O8,Shop!O8,Meal!O8,SocRec!O8)</f>
        <v>0</v>
      </c>
      <c r="P8" s="6">
        <f>SUM(Work!P8,Workbased!P8,School!P8,Escort!P8,Personal_Business!P8,Shop!P8,Meal!P8,SocRec!P8)</f>
        <v>68388</v>
      </c>
      <c r="Q8" s="6">
        <f>SUM(Work!Q8,Workbased!Q8,School!Q8,Escort!Q8,Personal_Business!Q8,Shop!Q8,Meal!Q8,SocRec!Q8)</f>
        <v>341783</v>
      </c>
      <c r="R8" s="6">
        <f>SUM(Work!R8,Workbased!R8,School!R8,Escort!R8,Personal_Business!R8,Shop!R8,Meal!R8,SocRec!R8)</f>
        <v>0</v>
      </c>
      <c r="S8" s="6">
        <f>SUM(Work!S8,Workbased!S8,School!S8,Escort!S8,Personal_Business!S8,Shop!S8,Meal!S8,SocRec!S8)</f>
        <v>0</v>
      </c>
      <c r="T8" s="6">
        <f>SUM(Work!T8,Workbased!T8,School!T8,Escort!T8,Personal_Business!T8,Shop!T8,Meal!T8,SocRec!T8)</f>
        <v>228</v>
      </c>
      <c r="U8" s="6">
        <f si="0" t="shared"/>
        <v>410399</v>
      </c>
    </row>
    <row r="9" spans="1:21" x14ac:dyDescent="0.25">
      <c r="A9" t="s">
        <v>52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2479.7092862560999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si="1" t="shared"/>
        <v>2479.7092862560999</v>
      </c>
      <c r="K9" s="6"/>
      <c r="L9" t="s">
        <v>52</v>
      </c>
      <c r="M9" s="6">
        <f>SUM(Work!M9,Workbased!M9,School!M9,Escort!M9,Personal_Business!M9,Shop!M9,Meal!M9,SocRec!M9)</f>
        <v>0</v>
      </c>
      <c r="N9" s="6">
        <f>SUM(Work!N9,Workbased!N9,School!N9,Escort!N9,Personal_Business!N9,Shop!N9,Meal!N9,SocRec!N9)</f>
        <v>0</v>
      </c>
      <c r="O9" s="6">
        <f>SUM(Work!O9,Workbased!O9,School!O9,Escort!O9,Personal_Business!O9,Shop!O9,Meal!O9,SocRec!O9)</f>
        <v>0</v>
      </c>
      <c r="P9" s="6">
        <f>SUM(Work!P9,Workbased!P9,School!P9,Escort!P9,Personal_Business!P9,Shop!P9,Meal!P9,SocRec!P9)</f>
        <v>0</v>
      </c>
      <c r="Q9" s="6">
        <f>SUM(Work!Q9,Workbased!Q9,School!Q9,Escort!Q9,Personal_Business!Q9,Shop!Q9,Meal!Q9,SocRec!Q9)</f>
        <v>0</v>
      </c>
      <c r="R9" s="6">
        <f>SUM(Work!R9,Workbased!R9,School!R9,Escort!R9,Personal_Business!R9,Shop!R9,Meal!R9,SocRec!R9)</f>
        <v>0</v>
      </c>
      <c r="S9" s="6">
        <f>SUM(Work!S9,Workbased!S9,School!S9,Escort!S9,Personal_Business!S9,Shop!S9,Meal!S9,SocRec!S9)</f>
        <v>0</v>
      </c>
      <c r="T9" s="6">
        <f>SUM(Work!T9,Workbased!T9,School!T9,Escort!T9,Personal_Business!T9,Shop!T9,Meal!T9,SocRec!T9)</f>
        <v>0</v>
      </c>
      <c r="U9" s="6">
        <f si="0" t="shared"/>
        <v>0</v>
      </c>
    </row>
    <row r="10" spans="1:21" x14ac:dyDescent="0.25">
      <c r="A10" t="s">
        <v>53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0</v>
      </c>
      <c r="F10" s="6">
        <f>SUM(Work!F10,Workbased!F10,School!F10,Escort!F10,Personal_Business!F10,Shop!F10,Meal!F10,SocRec!F10)</f>
        <v>0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si="1" t="shared"/>
        <v>0</v>
      </c>
      <c r="K10" s="6"/>
      <c r="L10" t="s">
        <v>53</v>
      </c>
      <c r="M10" s="6">
        <f>SUM(Work!M10,Workbased!M10,School!M10,Escort!M10,Personal_Business!M10,Shop!M10,Meal!M10,SocRec!M10)</f>
        <v>0</v>
      </c>
      <c r="N10" s="6">
        <f>SUM(Work!N10,Workbased!N10,School!N10,Escort!N10,Personal_Business!N10,Shop!N10,Meal!N10,SocRec!N10)</f>
        <v>0</v>
      </c>
      <c r="O10" s="6">
        <f>SUM(Work!O10,Workbased!O10,School!O10,Escort!O10,Personal_Business!O10,Shop!O10,Meal!O10,SocRec!O10)</f>
        <v>0</v>
      </c>
      <c r="P10" s="6">
        <f>SUM(Work!P10,Workbased!P10,School!P10,Escort!P10,Personal_Business!P10,Shop!P10,Meal!P10,SocRec!P10)</f>
        <v>0</v>
      </c>
      <c r="Q10" s="6">
        <f>SUM(Work!Q10,Workbased!Q10,School!Q10,Escort!Q10,Personal_Business!Q10,Shop!Q10,Meal!Q10,SocRec!Q10)</f>
        <v>0</v>
      </c>
      <c r="R10" s="6">
        <f>SUM(Work!R10,Workbased!R10,School!R10,Escort!R10,Personal_Business!R10,Shop!R10,Meal!R10,SocRec!R10)</f>
        <v>0</v>
      </c>
      <c r="S10" s="6">
        <f>SUM(Work!S10,Workbased!S10,School!S10,Escort!S10,Personal_Business!S10,Shop!S10,Meal!S10,SocRec!S10)</f>
        <v>0</v>
      </c>
      <c r="T10" s="6">
        <f>SUM(Work!T10,Workbased!T10,School!T10,Escort!T10,Personal_Business!T10,Shop!T10,Meal!T10,SocRec!T10)</f>
        <v>0</v>
      </c>
      <c r="U10" s="6">
        <f si="0" t="shared"/>
        <v>0</v>
      </c>
    </row>
    <row r="11" spans="1:21" x14ac:dyDescent="0.25">
      <c r="A11" t="s">
        <v>54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0</v>
      </c>
      <c r="F11" s="6">
        <f>SUM(Work!F11,Workbased!F11,School!F11,Escort!F11,Personal_Business!F11,Shop!F11,Meal!F11,SocRec!F11)</f>
        <v>0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si="1" t="shared"/>
        <v>0</v>
      </c>
      <c r="K11" s="6"/>
      <c r="L11" t="s">
        <v>54</v>
      </c>
      <c r="M11" s="6">
        <f>SUM(Work!M11,Workbased!M11,School!M11,Escort!M11,Personal_Business!M11,Shop!M11,Meal!M11,SocRec!M11)</f>
        <v>0</v>
      </c>
      <c r="N11" s="6">
        <f>SUM(Work!N11,Workbased!N11,School!N11,Escort!N11,Personal_Business!N11,Shop!N11,Meal!N11,SocRec!N11)</f>
        <v>0</v>
      </c>
      <c r="O11" s="6">
        <f>SUM(Work!O11,Workbased!O11,School!O11,Escort!O11,Personal_Business!O11,Shop!O11,Meal!O11,SocRec!O11)</f>
        <v>0</v>
      </c>
      <c r="P11" s="6">
        <f>SUM(Work!P11,Workbased!P11,School!P11,Escort!P11,Personal_Business!P11,Shop!P11,Meal!P11,SocRec!P11)</f>
        <v>0</v>
      </c>
      <c r="Q11" s="6">
        <f>SUM(Work!Q11,Workbased!Q11,School!Q11,Escort!Q11,Personal_Business!Q11,Shop!Q11,Meal!Q11,SocRec!Q11)</f>
        <v>0</v>
      </c>
      <c r="R11" s="6">
        <f>SUM(Work!R11,Workbased!R11,School!R11,Escort!R11,Personal_Business!R11,Shop!R11,Meal!R11,SocRec!R11)</f>
        <v>0</v>
      </c>
      <c r="S11" s="6">
        <f>SUM(Work!S11,Workbased!S11,School!S11,Escort!S11,Personal_Business!S11,Shop!S11,Meal!S11,SocRec!S11)</f>
        <v>0</v>
      </c>
      <c r="T11" s="6">
        <f>SUM(Work!T11,Workbased!T11,School!T11,Escort!T11,Personal_Business!T11,Shop!T11,Meal!T11,SocRec!T11)</f>
        <v>0</v>
      </c>
      <c r="U11" s="6">
        <f si="0" t="shared"/>
        <v>0</v>
      </c>
    </row>
    <row r="12" spans="1:21" x14ac:dyDescent="0.25">
      <c r="A12" t="s">
        <v>55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si="1" t="shared"/>
        <v>0</v>
      </c>
      <c r="K12" s="6"/>
      <c r="L12" t="s">
        <v>55</v>
      </c>
      <c r="M12" s="6">
        <f>SUM(Work!M12,Workbased!M12,School!M12,Escort!M12,Personal_Business!M12,Shop!M12,Meal!M12,SocRec!M12)</f>
        <v>0</v>
      </c>
      <c r="N12" s="6">
        <f>SUM(Work!N12,Workbased!N12,School!N12,Escort!N12,Personal_Business!N12,Shop!N12,Meal!N12,SocRec!N12)</f>
        <v>0</v>
      </c>
      <c r="O12" s="6">
        <f>SUM(Work!O12,Workbased!O12,School!O12,Escort!O12,Personal_Business!O12,Shop!O12,Meal!O12,SocRec!O12)</f>
        <v>0</v>
      </c>
      <c r="P12" s="6">
        <f>SUM(Work!P12,Workbased!P12,School!P12,Escort!P12,Personal_Business!P12,Shop!P12,Meal!P12,SocRec!P12)</f>
        <v>0</v>
      </c>
      <c r="Q12" s="6">
        <f>SUM(Work!Q12,Workbased!Q12,School!Q12,Escort!Q12,Personal_Business!Q12,Shop!Q12,Meal!Q12,SocRec!Q12)</f>
        <v>0</v>
      </c>
      <c r="R12" s="6">
        <f>SUM(Work!R12,Workbased!R12,School!R12,Escort!R12,Personal_Business!R12,Shop!R12,Meal!R12,SocRec!R12)</f>
        <v>0</v>
      </c>
      <c r="S12" s="6">
        <f>SUM(Work!S12,Workbased!S12,School!S12,Escort!S12,Personal_Business!S12,Shop!S12,Meal!S12,SocRec!S12)</f>
        <v>0</v>
      </c>
      <c r="T12" s="6">
        <f>SUM(Work!T12,Workbased!T12,School!T12,Escort!T12,Personal_Business!T12,Shop!T12,Meal!T12,SocRec!T12)</f>
        <v>0</v>
      </c>
      <c r="U12" s="6">
        <f si="0" t="shared"/>
        <v>0</v>
      </c>
    </row>
    <row r="13" spans="1:21" x14ac:dyDescent="0.25">
      <c r="A13" t="s">
        <v>24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364497.70098569803</v>
      </c>
      <c r="J13" s="6">
        <f si="1" t="shared"/>
        <v>364497.70098569803</v>
      </c>
      <c r="K13" s="6"/>
      <c r="L13" t="s">
        <v>24</v>
      </c>
      <c r="M13" s="6">
        <f>SUM(Work!M13,Workbased!M13,School!M13,Escort!M13,Personal_Business!M13,Shop!M13,Meal!M13,SocRec!M13)</f>
        <v>0</v>
      </c>
      <c r="N13" s="6">
        <f>SUM(Work!N13,Workbased!N13,School!N13,Escort!N13,Personal_Business!N13,Shop!N13,Meal!N13,SocRec!N13)</f>
        <v>0</v>
      </c>
      <c r="O13" s="6">
        <f>SUM(Work!O13,Workbased!O13,School!O13,Escort!O13,Personal_Business!O13,Shop!O13,Meal!O13,SocRec!O13)</f>
        <v>0</v>
      </c>
      <c r="P13" s="6">
        <f>SUM(Work!P13,Workbased!P13,School!P13,Escort!P13,Personal_Business!P13,Shop!P13,Meal!P13,SocRec!P13)</f>
        <v>0</v>
      </c>
      <c r="Q13" s="6">
        <f>SUM(Work!Q13,Workbased!Q13,School!Q13,Escort!Q13,Personal_Business!Q13,Shop!Q13,Meal!Q13,SocRec!Q13)</f>
        <v>0</v>
      </c>
      <c r="R13" s="6">
        <f>SUM(Work!R13,Workbased!R13,School!R13,Escort!R13,Personal_Business!R13,Shop!R13,Meal!R13,SocRec!R13)</f>
        <v>0</v>
      </c>
      <c r="S13" s="6">
        <f>SUM(Work!S13,Workbased!S13,School!S13,Escort!S13,Personal_Business!S13,Shop!S13,Meal!S13,SocRec!S13)</f>
        <v>0</v>
      </c>
      <c r="T13" s="6">
        <f>SUM(Work!T13,Workbased!T13,School!T13,Escort!T13,Personal_Business!T13,Shop!T13,Meal!T13,SocRec!T13)</f>
        <v>358913</v>
      </c>
      <c r="U13" s="6">
        <f si="0" t="shared"/>
        <v>358913</v>
      </c>
    </row>
    <row r="14" spans="1:21" x14ac:dyDescent="0.25">
      <c r="A14" t="s">
        <v>4</v>
      </c>
      <c r="B14" s="6">
        <f>SUM(Work!B14,Workbased!B14,School!B14,Escort!B14,Personal_Business!B14,Shop!B14,Meal!B14,SocRec!B14)</f>
        <v>4132.9028970809995</v>
      </c>
      <c r="C14" s="6">
        <f>SUM(Work!C14,Workbased!C14,School!C14,Escort!C14,Personal_Business!C14,Shop!C14,Meal!C14,SocRec!C14)</f>
        <v>13935.6750388237</v>
      </c>
      <c r="D14" s="6">
        <f>SUM(Work!D14,Workbased!D14,School!D14,Escort!D14,Personal_Business!D14,Shop!D14,Meal!D14,SocRec!D14)</f>
        <v>10855.267749194001</v>
      </c>
      <c r="E14" s="6">
        <f>SUM(Work!E14,Workbased!E14,School!E14,Escort!E14,Personal_Business!E14,Shop!E14,Meal!E14,SocRec!E14)</f>
        <v>243.46345759299999</v>
      </c>
      <c r="F14" s="6">
        <f>SUM(Work!F14,Workbased!F14,School!F14,Escort!F14,Personal_Business!F14,Shop!F14,Meal!F14,SocRec!F14)</f>
        <v>8626.2684275047995</v>
      </c>
      <c r="G14" s="6">
        <f>SUM(Work!G14,Workbased!G14,School!G14,Escort!G14,Personal_Business!G14,Shop!G14,Meal!G14,SocRec!G14)</f>
        <v>185644.45009706359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3038.6592608359997</v>
      </c>
      <c r="J14" s="6">
        <f si="1" t="shared"/>
        <v>226476.68692809608</v>
      </c>
      <c r="K14" s="6"/>
      <c r="L14" t="s">
        <v>4</v>
      </c>
      <c r="M14" s="6">
        <f>SUM(Work!M14,Workbased!M14,School!M14,Escort!M14,Personal_Business!M14,Shop!M14,Meal!M14,SocRec!M14)</f>
        <v>6749</v>
      </c>
      <c r="N14" s="6">
        <f>SUM(Work!N14,Workbased!N14,School!N14,Escort!N14,Personal_Business!N14,Shop!N14,Meal!N14,SocRec!N14)</f>
        <v>15533</v>
      </c>
      <c r="O14" s="6">
        <f>SUM(Work!O14,Workbased!O14,School!O14,Escort!O14,Personal_Business!O14,Shop!O14,Meal!O14,SocRec!O14)</f>
        <v>13789</v>
      </c>
      <c r="P14" s="6">
        <f>SUM(Work!P14,Workbased!P14,School!P14,Escort!P14,Personal_Business!P14,Shop!P14,Meal!P14,SocRec!P14)</f>
        <v>0</v>
      </c>
      <c r="Q14" s="6">
        <f>SUM(Work!Q14,Workbased!Q14,School!Q14,Escort!Q14,Personal_Business!Q14,Shop!Q14,Meal!Q14,SocRec!Q14)</f>
        <v>6603</v>
      </c>
      <c r="R14" s="6">
        <f>SUM(Work!R14,Workbased!R14,School!R14,Escort!R14,Personal_Business!R14,Shop!R14,Meal!R14,SocRec!R14)</f>
        <v>212833</v>
      </c>
      <c r="S14" s="6">
        <f>SUM(Work!S14,Workbased!S14,School!S14,Escort!S14,Personal_Business!S14,Shop!S14,Meal!S14,SocRec!S14)</f>
        <v>0</v>
      </c>
      <c r="T14" s="6">
        <f>SUM(Work!T14,Workbased!T14,School!T14,Escort!T14,Personal_Business!T14,Shop!T14,Meal!T14,SocRec!T14)</f>
        <v>3002</v>
      </c>
      <c r="U14" s="6">
        <f si="0" t="shared"/>
        <v>258509</v>
      </c>
    </row>
    <row r="15" spans="1:21" x14ac:dyDescent="0.25">
      <c r="A15" s="4" t="s">
        <v>5</v>
      </c>
      <c r="B15" s="6">
        <f>SUM(Work!B15,Workbased!B15,School!B15,Escort!B15,Personal_Business!B15,Shop!B15,Meal!B15,SocRec!B15)</f>
        <v>85641.759489933291</v>
      </c>
      <c r="C15" s="6">
        <f>SUM(Work!C15,Workbased!C15,School!C15,Escort!C15,Personal_Business!C15,Shop!C15,Meal!C15,SocRec!C15)</f>
        <v>67616.464220790906</v>
      </c>
      <c r="D15" s="6">
        <f>SUM(Work!D15,Workbased!D15,School!D15,Escort!D15,Personal_Business!D15,Shop!D15,Meal!D15,SocRec!D15)</f>
        <v>101851.0916785708</v>
      </c>
      <c r="E15" s="6">
        <f>SUM(Work!E15,Workbased!E15,School!E15,Escort!E15,Personal_Business!E15,Shop!E15,Meal!E15,SocRec!E15)</f>
        <v>13792.823585942398</v>
      </c>
      <c r="F15" s="6">
        <f>SUM(Work!F15,Workbased!F15,School!F15,Escort!F15,Personal_Business!F15,Shop!F15,Meal!F15,SocRec!F15)</f>
        <v>208431.68388148418</v>
      </c>
      <c r="G15" s="6">
        <f>SUM(Work!G15,Workbased!G15,School!G15,Escort!G15,Personal_Business!G15,Shop!G15,Meal!G15,SocRec!G15)</f>
        <v>14163.596324916802</v>
      </c>
      <c r="H15" s="6">
        <f>SUM(Work!H15,Workbased!H15,School!H15,Escort!H15,Personal_Business!H15,Shop!H15,Meal!H15,SocRec!H15)</f>
        <v>1579513.8918783711</v>
      </c>
      <c r="I15" s="6">
        <f>SUM(Work!I15,Workbased!I15,School!I15,Escort!I15,Personal_Business!I15,Shop!I15,Meal!I15,SocRec!I15)</f>
        <v>13143.316485361</v>
      </c>
      <c r="J15" s="6">
        <f si="1" t="shared"/>
        <v>2084154.6275453705</v>
      </c>
      <c r="K15" s="6"/>
      <c r="L15" s="4" t="s">
        <v>5</v>
      </c>
      <c r="M15" s="6">
        <f>SUM(Work!M15,Workbased!M15,School!M15,Escort!M15,Personal_Business!M15,Shop!M15,Meal!M15,SocRec!M15)</f>
        <v>114421</v>
      </c>
      <c r="N15" s="6">
        <f>SUM(Work!N15,Workbased!N15,School!N15,Escort!N15,Personal_Business!N15,Shop!N15,Meal!N15,SocRec!N15)</f>
        <v>131740</v>
      </c>
      <c r="O15" s="6">
        <f>SUM(Work!O15,Workbased!O15,School!O15,Escort!O15,Personal_Business!O15,Shop!O15,Meal!O15,SocRec!O15)</f>
        <v>102406</v>
      </c>
      <c r="P15" s="6">
        <f>SUM(Work!P15,Workbased!P15,School!P15,Escort!P15,Personal_Business!P15,Shop!P15,Meal!P15,SocRec!P15)</f>
        <v>0</v>
      </c>
      <c r="Q15" s="6">
        <f>SUM(Work!Q15,Workbased!Q15,School!Q15,Escort!Q15,Personal_Business!Q15,Shop!Q15,Meal!Q15,SocRec!Q15)</f>
        <v>104318</v>
      </c>
      <c r="R15" s="6">
        <f>SUM(Work!R15,Workbased!R15,School!R15,Escort!R15,Personal_Business!R15,Shop!R15,Meal!R15,SocRec!R15)</f>
        <v>18436</v>
      </c>
      <c r="S15" s="6">
        <f>SUM(Work!S15,Workbased!S15,School!S15,Escort!S15,Personal_Business!S15,Shop!S15,Meal!S15,SocRec!S15)</f>
        <v>1592402</v>
      </c>
      <c r="T15" s="6">
        <f>SUM(Work!T15,Workbased!T15,School!T15,Escort!T15,Personal_Business!T15,Shop!T15,Meal!T15,SocRec!T15)</f>
        <v>32234</v>
      </c>
      <c r="U15" s="6">
        <f si="0" t="shared"/>
        <v>2095957</v>
      </c>
    </row>
    <row ht="15.75" r="16" spans="1:21" thickBot="1" x14ac:dyDescent="0.3">
      <c r="A16" s="12" t="s">
        <v>7</v>
      </c>
      <c r="B16" s="16">
        <f ref="B16:J16" si="2" t="shared">SUM(B5:B15)</f>
        <v>5577676.4466989934</v>
      </c>
      <c r="C16" s="16">
        <f si="2" t="shared"/>
        <v>3941898.5973995673</v>
      </c>
      <c r="D16" s="16">
        <f si="2" t="shared"/>
        <v>3601399.4331381889</v>
      </c>
      <c r="E16" s="16">
        <f si="2" t="shared"/>
        <v>248294.70039553338</v>
      </c>
      <c r="F16" s="16">
        <f si="2" t="shared"/>
        <v>1028578.8969447233</v>
      </c>
      <c r="G16" s="16">
        <f si="2" t="shared"/>
        <v>199808.0464219804</v>
      </c>
      <c r="H16" s="16">
        <f si="2" t="shared"/>
        <v>1579513.8918783711</v>
      </c>
      <c r="I16" s="16">
        <f si="2" t="shared"/>
        <v>509013.74769418308</v>
      </c>
      <c r="J16" s="16">
        <f si="2" t="shared"/>
        <v>16686183.760571539</v>
      </c>
      <c r="L16" s="9" t="s">
        <v>7</v>
      </c>
      <c r="M16" s="16">
        <f ref="M16:U16" si="3" t="shared">SUM(M5:M15)</f>
        <v>5954802</v>
      </c>
      <c r="N16" s="16">
        <f si="3" t="shared"/>
        <v>4089336</v>
      </c>
      <c r="O16" s="16">
        <f si="3" t="shared"/>
        <v>3461106</v>
      </c>
      <c r="P16" s="16">
        <f si="3" t="shared"/>
        <v>159155</v>
      </c>
      <c r="Q16" s="16">
        <f si="3" t="shared"/>
        <v>543947</v>
      </c>
      <c r="R16" s="16">
        <f si="3" t="shared"/>
        <v>231271</v>
      </c>
      <c r="S16" s="16">
        <f si="3" t="shared"/>
        <v>1592416</v>
      </c>
      <c r="T16" s="16">
        <f si="3" t="shared"/>
        <v>508406</v>
      </c>
      <c r="U16" s="16">
        <f si="3" t="shared"/>
        <v>16540439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47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D33" si="4" t="shared">B5/B$16</f>
        <v>0.98390464860324678</v>
      </c>
      <c r="C22" s="13">
        <f si="4" t="shared"/>
        <v>0.22128971219655039</v>
      </c>
      <c r="D22" s="13">
        <f si="4" t="shared"/>
        <v>0.10215782283352033</v>
      </c>
      <c r="E22" s="13">
        <f ref="E22:E33" si="5" t="shared">IF(E$16&gt;0,E5/E$16,0)</f>
        <v>0.45734305688678151</v>
      </c>
      <c r="F22" s="13">
        <f ref="F22:J33" si="6" t="shared">F5/F$16</f>
        <v>1.713378647836462E-2</v>
      </c>
      <c r="G22" s="13">
        <f si="6" t="shared"/>
        <v>0</v>
      </c>
      <c r="H22" s="13">
        <f si="6" t="shared"/>
        <v>0</v>
      </c>
      <c r="I22" s="13">
        <f si="6" t="shared"/>
        <v>3.3129170658257857E-3</v>
      </c>
      <c r="J22" s="13">
        <f si="6" t="shared"/>
        <v>0.41117730950017661</v>
      </c>
      <c r="K22" s="6"/>
      <c r="L22" t="s">
        <v>1</v>
      </c>
      <c r="M22" s="13">
        <f ref="M22:P22" si="7" t="shared">M5/M$16</f>
        <v>0.97965171637948667</v>
      </c>
      <c r="N22" s="13">
        <f si="7" t="shared"/>
        <v>0.21304925787462806</v>
      </c>
      <c r="O22" s="13">
        <f si="7" t="shared"/>
        <v>0.10567460228031156</v>
      </c>
      <c r="P22" s="13">
        <f si="7" t="shared"/>
        <v>0.53080958813735035</v>
      </c>
      <c r="Q22" s="13">
        <f ref="Q22:U33" si="8" t="shared">Q5/Q$16</f>
        <v>3.8610379320044047E-2</v>
      </c>
      <c r="R22" s="13">
        <f si="8" t="shared"/>
        <v>0</v>
      </c>
      <c r="S22" s="13">
        <f si="8" t="shared"/>
        <v>0</v>
      </c>
      <c r="T22" s="13">
        <f si="8" t="shared"/>
        <v>2.5884824333308417E-3</v>
      </c>
      <c r="U22" s="13">
        <f si="8" t="shared"/>
        <v>0.43393116712319424</v>
      </c>
    </row>
    <row r="23" spans="1:21" x14ac:dyDescent="0.25">
      <c r="A23" t="s">
        <v>12</v>
      </c>
      <c r="B23" s="13">
        <f si="4" t="shared"/>
        <v>0</v>
      </c>
      <c r="C23" s="13">
        <f si="4" t="shared"/>
        <v>0.7580217446447256</v>
      </c>
      <c r="D23" s="13">
        <f si="4" t="shared"/>
        <v>0.16057268883239015</v>
      </c>
      <c r="E23" s="13">
        <f si="5" t="shared"/>
        <v>2.093078667234087E-2</v>
      </c>
      <c r="F23" s="13">
        <f si="6" t="shared"/>
        <v>7.4443477645815145E-2</v>
      </c>
      <c r="G23" s="13">
        <f si="6" t="shared"/>
        <v>0</v>
      </c>
      <c r="H23" s="13">
        <f si="6" t="shared"/>
        <v>0</v>
      </c>
      <c r="I23" s="13">
        <f si="6" t="shared"/>
        <v>8.8505212890812521E-2</v>
      </c>
      <c r="J23" s="13">
        <f si="6" t="shared"/>
        <v>0.22132979350917206</v>
      </c>
      <c r="K23" s="6"/>
      <c r="L23" t="s">
        <v>12</v>
      </c>
      <c r="M23" s="13">
        <f ref="M23:P23" si="9" t="shared">M6/M$16</f>
        <v>0</v>
      </c>
      <c r="N23" s="13">
        <f si="9" t="shared"/>
        <v>0.75093682690784025</v>
      </c>
      <c r="O23" s="13">
        <f si="9" t="shared"/>
        <v>0.16014967469935912</v>
      </c>
      <c r="P23" s="13">
        <f si="9" t="shared"/>
        <v>2.8293173321604723E-2</v>
      </c>
      <c r="Q23" s="13">
        <f si="8" t="shared"/>
        <v>8.9232958358075321E-2</v>
      </c>
      <c r="R23" s="13">
        <f si="8" t="shared"/>
        <v>0</v>
      </c>
      <c r="S23" s="13">
        <f si="8" t="shared"/>
        <v>0</v>
      </c>
      <c r="T23" s="13">
        <f si="8" t="shared"/>
        <v>0.1111926295126336</v>
      </c>
      <c r="U23" s="13">
        <f si="8" t="shared"/>
        <v>0.22579207238695417</v>
      </c>
    </row>
    <row r="24" spans="1:21" x14ac:dyDescent="0.25">
      <c r="A24" t="s">
        <v>56</v>
      </c>
      <c r="B24" s="13">
        <f si="4" t="shared"/>
        <v>0</v>
      </c>
      <c r="C24" s="13">
        <f si="4" t="shared"/>
        <v>0</v>
      </c>
      <c r="D24" s="13">
        <f si="4" t="shared"/>
        <v>0.70597433168173374</v>
      </c>
      <c r="E24" s="13">
        <f si="5" t="shared"/>
        <v>1.692349344217655E-2</v>
      </c>
      <c r="F24" s="13">
        <f si="6" t="shared"/>
        <v>2.0096509766647362E-2</v>
      </c>
      <c r="G24" s="13">
        <f si="6" t="shared"/>
        <v>0</v>
      </c>
      <c r="H24" s="13">
        <f si="6" t="shared"/>
        <v>0</v>
      </c>
      <c r="I24" s="13">
        <f si="6" t="shared"/>
        <v>0.14007349422875873</v>
      </c>
      <c r="J24" s="13">
        <f si="6" t="shared"/>
        <v>0.15813488510151796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0.70060408435916144</v>
      </c>
      <c r="P24" s="13">
        <f si="10" t="shared"/>
        <v>1.1202915396940089E-2</v>
      </c>
      <c r="Q24" s="13">
        <f si="8" t="shared"/>
        <v>3.9899107817489572E-2</v>
      </c>
      <c r="R24" s="13">
        <f si="8" t="shared"/>
        <v>8.6478633291679464E-6</v>
      </c>
      <c r="S24" s="13">
        <f si="8" t="shared"/>
        <v>8.7916725277816852E-6</v>
      </c>
      <c r="T24" s="13">
        <f si="8" t="shared"/>
        <v>0.11050617026549647</v>
      </c>
      <c r="U24" s="13">
        <f si="8" t="shared"/>
        <v>0.15141974164047278</v>
      </c>
    </row>
    <row r="25" spans="1:21" x14ac:dyDescent="0.25">
      <c r="A25" t="s">
        <v>51</v>
      </c>
      <c r="B25" s="13">
        <f si="4" t="shared"/>
        <v>0</v>
      </c>
      <c r="C25" s="13">
        <f si="4" t="shared"/>
        <v>0</v>
      </c>
      <c r="D25" s="13">
        <f si="4" t="shared"/>
        <v>0</v>
      </c>
      <c r="E25" s="13">
        <f si="5" t="shared"/>
        <v>0.44827190732338629</v>
      </c>
      <c r="F25" s="13">
        <f si="6" t="shared"/>
        <v>0.67488838264635564</v>
      </c>
      <c r="G25" s="13">
        <f si="6" t="shared"/>
        <v>0</v>
      </c>
      <c r="H25" s="13">
        <f si="6" t="shared"/>
        <v>0</v>
      </c>
      <c r="I25" s="13">
        <f si="6" t="shared"/>
        <v>2.0231371595438901E-2</v>
      </c>
      <c r="J25" s="13">
        <f si="6" t="shared"/>
        <v>4.888940126095298E-2</v>
      </c>
      <c r="K25" s="6"/>
      <c r="L25" t="s">
        <v>51</v>
      </c>
      <c r="M25" s="13">
        <f ref="M25:P25" si="11" t="shared">M8/M$16</f>
        <v>0</v>
      </c>
      <c r="N25" s="13">
        <f si="11" t="shared"/>
        <v>0</v>
      </c>
      <c r="O25" s="13">
        <f si="11" t="shared"/>
        <v>0</v>
      </c>
      <c r="P25" s="13">
        <f si="11" t="shared"/>
        <v>0.42969432314410483</v>
      </c>
      <c r="Q25" s="13">
        <f si="8" t="shared"/>
        <v>0.62833879036009022</v>
      </c>
      <c r="R25" s="13">
        <f si="8" t="shared"/>
        <v>0</v>
      </c>
      <c r="S25" s="13">
        <f si="8" t="shared"/>
        <v>0</v>
      </c>
      <c r="T25" s="13">
        <f si="8" t="shared"/>
        <v>4.4846048237038905E-4</v>
      </c>
      <c r="U25" s="13">
        <f si="8" t="shared"/>
        <v>2.4811856565596598E-2</v>
      </c>
    </row>
    <row r="26" spans="1:21" x14ac:dyDescent="0.25">
      <c r="A26" t="s">
        <v>52</v>
      </c>
      <c r="B26" s="13">
        <f si="4" t="shared"/>
        <v>0</v>
      </c>
      <c r="C26" s="13">
        <f si="4" t="shared"/>
        <v>0</v>
      </c>
      <c r="D26" s="13">
        <f si="4" t="shared"/>
        <v>0</v>
      </c>
      <c r="E26" s="13">
        <f si="5" t="shared"/>
        <v>0</v>
      </c>
      <c r="F26" s="13">
        <f si="6" t="shared"/>
        <v>2.4108109680470737E-3</v>
      </c>
      <c r="G26" s="13">
        <f si="6" t="shared"/>
        <v>0</v>
      </c>
      <c r="H26" s="13">
        <f si="6" t="shared"/>
        <v>0</v>
      </c>
      <c r="I26" s="13">
        <f si="6" t="shared"/>
        <v>0</v>
      </c>
      <c r="J26" s="13">
        <f si="6" t="shared"/>
        <v>1.4860853277401306E-4</v>
      </c>
      <c r="K26" s="6"/>
      <c r="L26" t="s">
        <v>52</v>
      </c>
      <c r="M26" s="13">
        <f ref="M26:P26" si="12" t="shared">M9/M$16</f>
        <v>0</v>
      </c>
      <c r="N26" s="13">
        <f si="12" t="shared"/>
        <v>0</v>
      </c>
      <c r="O26" s="13">
        <f si="12" t="shared"/>
        <v>0</v>
      </c>
      <c r="P26" s="13">
        <f si="12" t="shared"/>
        <v>0</v>
      </c>
      <c r="Q26" s="13">
        <f si="8" t="shared"/>
        <v>0</v>
      </c>
      <c r="R26" s="13">
        <f si="8" t="shared"/>
        <v>0</v>
      </c>
      <c r="S26" s="13">
        <f si="8" t="shared"/>
        <v>0</v>
      </c>
      <c r="T26" s="13">
        <f si="8" t="shared"/>
        <v>0</v>
      </c>
      <c r="U26" s="13">
        <f si="8" t="shared"/>
        <v>0</v>
      </c>
    </row>
    <row r="27" spans="1:21" x14ac:dyDescent="0.25">
      <c r="A27" t="s">
        <v>53</v>
      </c>
      <c r="B27" s="13">
        <f si="4" t="shared"/>
        <v>0</v>
      </c>
      <c r="C27" s="13">
        <f si="4" t="shared"/>
        <v>0</v>
      </c>
      <c r="D27" s="13">
        <f si="4" t="shared"/>
        <v>0</v>
      </c>
      <c r="E27" s="13">
        <f si="5" t="shared"/>
        <v>0</v>
      </c>
      <c r="F27" s="13">
        <f si="6" t="shared"/>
        <v>0</v>
      </c>
      <c r="G27" s="13">
        <f si="6" t="shared"/>
        <v>0</v>
      </c>
      <c r="H27" s="13">
        <f si="6" t="shared"/>
        <v>0</v>
      </c>
      <c r="I27" s="13">
        <f si="6" t="shared"/>
        <v>0</v>
      </c>
      <c r="J27" s="13">
        <f si="6" t="shared"/>
        <v>0</v>
      </c>
      <c r="K27" s="6"/>
      <c r="L27" t="s">
        <v>53</v>
      </c>
      <c r="M27" s="13">
        <f ref="M27:P27" si="13" t="shared">M10/M$16</f>
        <v>0</v>
      </c>
      <c r="N27" s="13">
        <f si="13" t="shared"/>
        <v>0</v>
      </c>
      <c r="O27" s="13">
        <f si="13" t="shared"/>
        <v>0</v>
      </c>
      <c r="P27" s="13">
        <f si="13" t="shared"/>
        <v>0</v>
      </c>
      <c r="Q27" s="13">
        <f si="8" t="shared"/>
        <v>0</v>
      </c>
      <c r="R27" s="13">
        <f si="8" t="shared"/>
        <v>0</v>
      </c>
      <c r="S27" s="13">
        <f si="8" t="shared"/>
        <v>0</v>
      </c>
      <c r="T27" s="13">
        <f si="8" t="shared"/>
        <v>0</v>
      </c>
      <c r="U27" s="13">
        <f si="8" t="shared"/>
        <v>0</v>
      </c>
    </row>
    <row r="28" spans="1:21" x14ac:dyDescent="0.25">
      <c r="A28" t="s">
        <v>54</v>
      </c>
      <c r="B28" s="13">
        <f si="4" t="shared"/>
        <v>0</v>
      </c>
      <c r="C28" s="13">
        <f si="4" t="shared"/>
        <v>0</v>
      </c>
      <c r="D28" s="13">
        <f si="4" t="shared"/>
        <v>0</v>
      </c>
      <c r="E28" s="13">
        <f si="5" t="shared"/>
        <v>0</v>
      </c>
      <c r="F28" s="13">
        <f si="6" t="shared"/>
        <v>0</v>
      </c>
      <c r="G28" s="13">
        <f si="6" t="shared"/>
        <v>0</v>
      </c>
      <c r="H28" s="13">
        <f si="6" t="shared"/>
        <v>0</v>
      </c>
      <c r="I28" s="13">
        <f si="6" t="shared"/>
        <v>0</v>
      </c>
      <c r="J28" s="13">
        <f si="6" t="shared"/>
        <v>0</v>
      </c>
      <c r="K28" s="6"/>
      <c r="L28" t="s">
        <v>54</v>
      </c>
      <c r="M28" s="13">
        <f ref="M28:P28" si="14" t="shared">M11/M$16</f>
        <v>0</v>
      </c>
      <c r="N28" s="13">
        <f si="14" t="shared"/>
        <v>0</v>
      </c>
      <c r="O28" s="13">
        <f si="14" t="shared"/>
        <v>0</v>
      </c>
      <c r="P28" s="13">
        <f si="14" t="shared"/>
        <v>0</v>
      </c>
      <c r="Q28" s="13">
        <f si="8" t="shared"/>
        <v>0</v>
      </c>
      <c r="R28" s="13">
        <f si="8" t="shared"/>
        <v>0</v>
      </c>
      <c r="S28" s="13">
        <f si="8" t="shared"/>
        <v>0</v>
      </c>
      <c r="T28" s="13">
        <f si="8" t="shared"/>
        <v>0</v>
      </c>
      <c r="U28" s="13">
        <f si="8" t="shared"/>
        <v>0</v>
      </c>
    </row>
    <row r="29" spans="1:21" x14ac:dyDescent="0.25">
      <c r="A29" t="s">
        <v>55</v>
      </c>
      <c r="B29" s="13">
        <f si="4" t="shared"/>
        <v>0</v>
      </c>
      <c r="C29" s="13">
        <f si="4" t="shared"/>
        <v>0</v>
      </c>
      <c r="D29" s="13">
        <f si="4" t="shared"/>
        <v>0</v>
      </c>
      <c r="E29" s="13">
        <f si="5" t="shared"/>
        <v>0</v>
      </c>
      <c r="F29" s="13">
        <f si="6" t="shared"/>
        <v>0</v>
      </c>
      <c r="G29" s="13">
        <f si="6" t="shared"/>
        <v>0</v>
      </c>
      <c r="H29" s="13">
        <f si="6" t="shared"/>
        <v>0</v>
      </c>
      <c r="I29" s="13">
        <f si="6" t="shared"/>
        <v>0</v>
      </c>
      <c r="J29" s="13">
        <f si="6" t="shared"/>
        <v>0</v>
      </c>
      <c r="K29" s="6"/>
      <c r="L29" t="s">
        <v>55</v>
      </c>
      <c r="M29" s="13">
        <f ref="M29:P29" si="15" t="shared">M12/M$16</f>
        <v>0</v>
      </c>
      <c r="N29" s="13">
        <f si="15" t="shared"/>
        <v>0</v>
      </c>
      <c r="O29" s="13">
        <f si="15" t="shared"/>
        <v>0</v>
      </c>
      <c r="P29" s="13">
        <f si="15" t="shared"/>
        <v>0</v>
      </c>
      <c r="Q29" s="13">
        <f si="8" t="shared"/>
        <v>0</v>
      </c>
      <c r="R29" s="13">
        <f si="8" t="shared"/>
        <v>0</v>
      </c>
      <c r="S29" s="13">
        <f si="8" t="shared"/>
        <v>0</v>
      </c>
      <c r="T29" s="13">
        <f si="8" t="shared"/>
        <v>0</v>
      </c>
      <c r="U29" s="13">
        <f si="8" t="shared"/>
        <v>0</v>
      </c>
    </row>
    <row r="30" spans="1:21" x14ac:dyDescent="0.25">
      <c r="A30" t="s">
        <v>24</v>
      </c>
      <c r="B30" s="13">
        <f si="4" t="shared"/>
        <v>0</v>
      </c>
      <c r="C30" s="13">
        <f si="4" t="shared"/>
        <v>0</v>
      </c>
      <c r="D30" s="13">
        <f si="4" t="shared"/>
        <v>0</v>
      </c>
      <c r="E30" s="13">
        <f si="5" t="shared"/>
        <v>0</v>
      </c>
      <c r="F30" s="13">
        <f si="6" t="shared"/>
        <v>0</v>
      </c>
      <c r="G30" s="13">
        <f si="6" t="shared"/>
        <v>0</v>
      </c>
      <c r="H30" s="13">
        <f si="6" t="shared"/>
        <v>0</v>
      </c>
      <c r="I30" s="13">
        <f si="6" t="shared"/>
        <v>0.71608616198847597</v>
      </c>
      <c r="J30" s="13">
        <f si="6" t="shared"/>
        <v>2.1844281845138518E-2</v>
      </c>
      <c r="K30" s="6"/>
      <c r="L30" t="s">
        <v>24</v>
      </c>
      <c r="M30" s="13">
        <f ref="M30:P30" si="16" t="shared">M13/M$16</f>
        <v>0</v>
      </c>
      <c r="N30" s="13">
        <f si="16" t="shared"/>
        <v>0</v>
      </c>
      <c r="O30" s="13">
        <f si="16" t="shared"/>
        <v>0</v>
      </c>
      <c r="P30" s="13">
        <f si="16" t="shared"/>
        <v>0</v>
      </c>
      <c r="Q30" s="13">
        <f si="8" t="shared"/>
        <v>0</v>
      </c>
      <c r="R30" s="13">
        <f si="8" t="shared"/>
        <v>0</v>
      </c>
      <c r="S30" s="13">
        <f si="8" t="shared"/>
        <v>0</v>
      </c>
      <c r="T30" s="13">
        <f si="8" t="shared"/>
        <v>0.70595744346054135</v>
      </c>
      <c r="U30" s="13">
        <f si="8" t="shared"/>
        <v>2.1699121770589039E-2</v>
      </c>
    </row>
    <row r="31" spans="1:21" x14ac:dyDescent="0.25">
      <c r="A31" t="s">
        <v>4</v>
      </c>
      <c r="B31" s="13">
        <f si="4" t="shared"/>
        <v>7.4097214791420064E-4</v>
      </c>
      <c r="C31" s="13">
        <f si="4" t="shared"/>
        <v>3.5352697930933412E-3</v>
      </c>
      <c r="D31" s="13">
        <f si="4" t="shared"/>
        <v>3.0141804458870959E-3</v>
      </c>
      <c r="E31" s="13">
        <f si="5" t="shared"/>
        <v>9.805423039845908E-4</v>
      </c>
      <c r="F31" s="13">
        <f si="6" t="shared"/>
        <v>8.3865889657352959E-3</v>
      </c>
      <c r="G31" s="13">
        <f si="6" t="shared"/>
        <v>0.92911398425364555</v>
      </c>
      <c r="H31" s="13">
        <f si="6" t="shared"/>
        <v>0</v>
      </c>
      <c r="I31" s="13">
        <f si="6" t="shared"/>
        <v>5.9696997863044653E-3</v>
      </c>
      <c r="J31" s="13">
        <f si="6" t="shared"/>
        <v>1.3572707227595505E-2</v>
      </c>
      <c r="K31" s="6"/>
      <c r="L31" t="s">
        <v>4</v>
      </c>
      <c r="M31" s="13">
        <f ref="M31:P31" si="17" t="shared">M14/M$16</f>
        <v>1.1333710172059456E-3</v>
      </c>
      <c r="N31" s="13">
        <f si="17" t="shared"/>
        <v>3.7984161731880188E-3</v>
      </c>
      <c r="O31" s="13">
        <f si="17" t="shared"/>
        <v>3.9839866216174833E-3</v>
      </c>
      <c r="P31" s="13">
        <f si="17" t="shared"/>
        <v>0</v>
      </c>
      <c r="Q31" s="13">
        <f si="8" t="shared"/>
        <v>1.2139050311887004E-2</v>
      </c>
      <c r="R31" s="13">
        <f si="8" t="shared"/>
        <v>0.92027534796840071</v>
      </c>
      <c r="S31" s="13">
        <f si="8" t="shared"/>
        <v>0</v>
      </c>
      <c r="T31" s="13">
        <f si="8" t="shared"/>
        <v>5.9047296845434558E-3</v>
      </c>
      <c r="U31" s="13">
        <f si="8" t="shared"/>
        <v>1.5628908035633153E-2</v>
      </c>
    </row>
    <row r="32" spans="1:21" x14ac:dyDescent="0.25">
      <c r="A32" s="4" t="s">
        <v>5</v>
      </c>
      <c r="B32" s="14">
        <f si="4" t="shared"/>
        <v>1.5354379248839039E-2</v>
      </c>
      <c r="C32" s="14">
        <f si="4" t="shared"/>
        <v>1.7153273365630672E-2</v>
      </c>
      <c r="D32" s="14">
        <f si="4" t="shared"/>
        <v>2.8280976206468647E-2</v>
      </c>
      <c r="E32" s="13">
        <f si="5" t="shared"/>
        <v>5.5550213371330259E-2</v>
      </c>
      <c r="F32" s="14">
        <f si="6" t="shared"/>
        <v>0.20264044352903487</v>
      </c>
      <c r="G32" s="14">
        <f si="6" t="shared"/>
        <v>7.0886015746354336E-2</v>
      </c>
      <c r="H32" s="14">
        <f si="6" t="shared"/>
        <v>1</v>
      </c>
      <c r="I32" s="14">
        <f si="6" t="shared"/>
        <v>2.5821142444383528E-2</v>
      </c>
      <c r="J32" s="14">
        <f si="6" t="shared"/>
        <v>0.12490301302267233</v>
      </c>
      <c r="K32" s="6"/>
      <c r="L32" s="4" t="s">
        <v>5</v>
      </c>
      <c r="M32" s="14">
        <f ref="M32:P32" si="18" t="shared">M15/M$16</f>
        <v>1.921491260330738E-2</v>
      </c>
      <c r="N32" s="14">
        <f si="18" t="shared"/>
        <v>3.2215499044343628E-2</v>
      </c>
      <c r="O32" s="14">
        <f si="18" t="shared"/>
        <v>2.9587652039550362E-2</v>
      </c>
      <c r="P32" s="14">
        <f si="18" t="shared"/>
        <v>0</v>
      </c>
      <c r="Q32" s="14">
        <f si="8" t="shared"/>
        <v>0.19177971383241382</v>
      </c>
      <c r="R32" s="14">
        <f si="8" t="shared"/>
        <v>7.9716004168270127E-2</v>
      </c>
      <c r="S32" s="14">
        <f si="8" t="shared"/>
        <v>0.99999120832747224</v>
      </c>
      <c r="T32" s="14">
        <f si="8" t="shared"/>
        <v>6.3402084161083852E-2</v>
      </c>
      <c r="U32" s="14">
        <f si="8" t="shared"/>
        <v>0.12671713247756</v>
      </c>
    </row>
    <row ht="15.75" r="33" spans="1:32" thickBot="1" x14ac:dyDescent="0.3">
      <c r="A33" s="12" t="s">
        <v>7</v>
      </c>
      <c r="B33" s="15">
        <f si="4" t="shared"/>
        <v>1</v>
      </c>
      <c r="C33" s="15">
        <f si="4" t="shared"/>
        <v>1</v>
      </c>
      <c r="D33" s="15">
        <f si="4" t="shared"/>
        <v>1</v>
      </c>
      <c r="E33" s="15">
        <f si="5" t="shared"/>
        <v>1</v>
      </c>
      <c r="F33" s="15">
        <f si="6" t="shared"/>
        <v>1</v>
      </c>
      <c r="G33" s="15">
        <f si="6" t="shared"/>
        <v>1</v>
      </c>
      <c r="H33" s="15">
        <f si="6" t="shared"/>
        <v>1</v>
      </c>
      <c r="I33" s="15">
        <f si="6" t="shared"/>
        <v>1</v>
      </c>
      <c r="J33" s="15">
        <f si="6" t="shared"/>
        <v>1</v>
      </c>
      <c r="L33" s="9" t="s">
        <v>7</v>
      </c>
      <c r="M33" s="15">
        <f ref="M33:P33" si="19" t="shared">M16/M$16</f>
        <v>1</v>
      </c>
      <c r="N33" s="15">
        <f si="19" t="shared"/>
        <v>1</v>
      </c>
      <c r="O33" s="15">
        <f si="19" t="shared"/>
        <v>1</v>
      </c>
      <c r="P33" s="15">
        <f si="19" t="shared"/>
        <v>1</v>
      </c>
      <c r="Q33" s="15">
        <f si="8" t="shared"/>
        <v>1</v>
      </c>
      <c r="R33" s="15">
        <f si="8" t="shared"/>
        <v>1</v>
      </c>
      <c r="S33" s="15">
        <f si="8" t="shared"/>
        <v>1</v>
      </c>
      <c r="T33" s="15">
        <f si="8" t="shared"/>
        <v>1</v>
      </c>
      <c r="U33" s="15">
        <f si="8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8" t="s">
        <v>48</v>
      </c>
      <c r="X36" s="18"/>
      <c r="Y36" s="19"/>
      <c r="Z36" s="19"/>
      <c r="AA36" s="19"/>
      <c r="AB36" s="19"/>
      <c r="AC36" s="19"/>
      <c r="AD36" s="19"/>
      <c r="AE36" s="19"/>
      <c r="AF36" s="19"/>
    </row>
    <row r="37" spans="1:32" x14ac:dyDescent="0.25">
      <c r="L37" s="3"/>
      <c r="M37" s="31" t="s">
        <v>47</v>
      </c>
      <c r="N37" s="32"/>
      <c r="O37" s="32"/>
      <c r="P37" s="32"/>
      <c r="Q37" s="32"/>
      <c r="R37" s="32"/>
      <c r="S37" s="32"/>
      <c r="T37" s="32"/>
      <c r="U37" s="32"/>
      <c r="W37" s="23"/>
      <c r="X37" s="30" t="s">
        <v>47</v>
      </c>
      <c r="Y37" s="30"/>
      <c r="Z37" s="30"/>
      <c r="AA37" s="30"/>
      <c r="AB37" s="30"/>
      <c r="AC37" s="30"/>
      <c r="AD37" s="30"/>
      <c r="AE37" s="30"/>
      <c r="AF37" s="24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5" t="s">
        <v>0</v>
      </c>
      <c r="X38" s="26" t="s">
        <v>11</v>
      </c>
      <c r="Y38" s="26" t="s">
        <v>12</v>
      </c>
      <c r="Z38" s="26" t="s">
        <v>13</v>
      </c>
      <c r="AA38" s="26" t="s">
        <v>14</v>
      </c>
      <c r="AB38" s="26" t="s">
        <v>15</v>
      </c>
      <c r="AC38" s="5" t="s">
        <v>4</v>
      </c>
      <c r="AD38" s="5" t="s">
        <v>5</v>
      </c>
      <c r="AE38" s="5" t="s">
        <v>16</v>
      </c>
      <c r="AF38" s="26" t="s">
        <v>7</v>
      </c>
    </row>
    <row r="39" spans="1:32" x14ac:dyDescent="0.25">
      <c r="L39" t="s">
        <v>1</v>
      </c>
      <c r="M39" s="13">
        <f ref="M39:P44" si="20" t="shared">M22-B22</f>
        <v>-4.2529322237601086E-3</v>
      </c>
      <c r="N39" s="13">
        <f si="20" t="shared"/>
        <v>-8.2404543219223303E-3</v>
      </c>
      <c r="O39" s="13">
        <f si="20" t="shared"/>
        <v>3.5167794467912267E-3</v>
      </c>
      <c r="P39" s="13">
        <f si="20" t="shared"/>
        <v>7.3466531250568845E-2</v>
      </c>
      <c r="Q39" s="13">
        <f ref="Q39:Q50" si="21" t="shared">Q22-F22</f>
        <v>2.1476592841679427E-2</v>
      </c>
      <c r="R39" s="13">
        <f ref="R39:R50" si="22" t="shared">R22-G22</f>
        <v>0</v>
      </c>
      <c r="S39" s="13">
        <f ref="S39:S50" si="23" t="shared">S22-H22</f>
        <v>0</v>
      </c>
      <c r="T39" s="13">
        <f ref="T39:T50" si="24" t="shared">T22-I22</f>
        <v>-7.2443463249494394E-4</v>
      </c>
      <c r="U39" s="13">
        <f ref="U39:U50" si="25" t="shared">U22-J22</f>
        <v>2.2753857623017626E-2</v>
      </c>
      <c r="W39" s="21" t="s">
        <v>1</v>
      </c>
      <c r="X39" s="22">
        <f>M39</f>
        <v>-4.2529322237601086E-3</v>
      </c>
      <c r="Y39" s="22">
        <f ref="Y39:AF39" si="26" t="shared">N39</f>
        <v>-8.2404543219223303E-3</v>
      </c>
      <c r="Z39" s="22">
        <f si="26" t="shared"/>
        <v>3.5167794467912267E-3</v>
      </c>
      <c r="AA39" s="22">
        <f si="26" t="shared"/>
        <v>7.3466531250568845E-2</v>
      </c>
      <c r="AB39" s="22">
        <f si="26" t="shared"/>
        <v>2.1476592841679427E-2</v>
      </c>
      <c r="AC39" s="22">
        <f si="26" t="shared"/>
        <v>0</v>
      </c>
      <c r="AD39" s="22">
        <f si="26" t="shared"/>
        <v>0</v>
      </c>
      <c r="AE39" s="22">
        <f si="26" t="shared"/>
        <v>-7.2443463249494394E-4</v>
      </c>
      <c r="AF39" s="22">
        <f si="26" t="shared"/>
        <v>2.2753857623017626E-2</v>
      </c>
    </row>
    <row r="40" spans="1:32" x14ac:dyDescent="0.25">
      <c r="L40" t="s">
        <v>9</v>
      </c>
      <c r="M40" s="13">
        <f si="20" t="shared"/>
        <v>0</v>
      </c>
      <c r="N40" s="13">
        <f si="20" t="shared"/>
        <v>-7.0849177368853544E-3</v>
      </c>
      <c r="O40" s="13">
        <f si="20" t="shared"/>
        <v>-4.2301413303102997E-4</v>
      </c>
      <c r="P40" s="13">
        <f si="20" t="shared"/>
        <v>7.362386649263853E-3</v>
      </c>
      <c r="Q40" s="13">
        <f si="21" t="shared"/>
        <v>1.4789480712260175E-2</v>
      </c>
      <c r="R40" s="13">
        <f si="22" t="shared"/>
        <v>0</v>
      </c>
      <c r="S40" s="13">
        <f si="23" t="shared"/>
        <v>0</v>
      </c>
      <c r="T40" s="13">
        <f si="24" t="shared"/>
        <v>2.2687416621821083E-2</v>
      </c>
      <c r="U40" s="13">
        <f si="25" t="shared"/>
        <v>4.462278877782111E-3</v>
      </c>
      <c r="W40" s="27" t="s">
        <v>9</v>
      </c>
      <c r="X40" s="22">
        <f ref="X40:X49" si="27" t="shared">M40</f>
        <v>0</v>
      </c>
      <c r="Y40" s="22">
        <f ref="Y40:Y50" si="28" t="shared">N40</f>
        <v>-7.0849177368853544E-3</v>
      </c>
      <c r="Z40" s="22">
        <f ref="Z40:Z50" si="29" t="shared">O40</f>
        <v>-4.2301413303102997E-4</v>
      </c>
      <c r="AA40" s="22">
        <f ref="AA40:AA50" si="30" t="shared">P40</f>
        <v>7.362386649263853E-3</v>
      </c>
      <c r="AB40" s="22">
        <f ref="AB40:AB50" si="31" t="shared">Q40</f>
        <v>1.4789480712260175E-2</v>
      </c>
      <c r="AC40" s="22">
        <f ref="AC40:AC50" si="32" t="shared">R40</f>
        <v>0</v>
      </c>
      <c r="AD40" s="22">
        <f ref="AD40:AD50" si="33" t="shared">S40</f>
        <v>0</v>
      </c>
      <c r="AE40" s="22">
        <f ref="AE40:AE50" si="34" t="shared">T40</f>
        <v>2.2687416621821083E-2</v>
      </c>
      <c r="AF40" s="22">
        <f ref="AF40:AF50" si="35" t="shared">U40</f>
        <v>4.462278877782111E-3</v>
      </c>
    </row>
    <row r="41" spans="1:32" x14ac:dyDescent="0.25">
      <c r="L41" t="s">
        <v>10</v>
      </c>
      <c r="M41" s="13">
        <f si="20" t="shared"/>
        <v>0</v>
      </c>
      <c r="N41" s="13">
        <f si="20" t="shared"/>
        <v>0</v>
      </c>
      <c r="O41" s="13">
        <f si="20" t="shared"/>
        <v>-5.3702473225722969E-3</v>
      </c>
      <c r="P41" s="13">
        <f si="20" t="shared"/>
        <v>-5.7205780452364609E-3</v>
      </c>
      <c r="Q41" s="13">
        <f si="21" t="shared"/>
        <v>1.980259805084221E-2</v>
      </c>
      <c r="R41" s="13">
        <f si="22" t="shared"/>
        <v>8.6478633291679464E-6</v>
      </c>
      <c r="S41" s="13">
        <f si="23" t="shared"/>
        <v>8.7916725277816852E-6</v>
      </c>
      <c r="T41" s="13">
        <f si="24" t="shared"/>
        <v>-2.9567323963262254E-2</v>
      </c>
      <c r="U41" s="13">
        <f si="25" t="shared"/>
        <v>-6.715143461045181E-3</v>
      </c>
      <c r="W41" s="27" t="s">
        <v>10</v>
      </c>
      <c r="X41" s="22">
        <f si="27" t="shared"/>
        <v>0</v>
      </c>
      <c r="Y41" s="22">
        <f si="28" t="shared"/>
        <v>0</v>
      </c>
      <c r="Z41" s="22">
        <f si="29" t="shared"/>
        <v>-5.3702473225722969E-3</v>
      </c>
      <c r="AA41" s="22">
        <f si="30" t="shared"/>
        <v>-5.7205780452364609E-3</v>
      </c>
      <c r="AB41" s="22">
        <f si="31" t="shared"/>
        <v>1.980259805084221E-2</v>
      </c>
      <c r="AC41" s="22">
        <f si="32" t="shared"/>
        <v>8.6478633291679464E-6</v>
      </c>
      <c r="AD41" s="22">
        <f si="33" t="shared"/>
        <v>8.7916725277816852E-6</v>
      </c>
      <c r="AE41" s="22">
        <f si="34" t="shared"/>
        <v>-2.9567323963262254E-2</v>
      </c>
      <c r="AF41" s="22">
        <f si="35" t="shared"/>
        <v>-6.715143461045181E-3</v>
      </c>
    </row>
    <row r="42" spans="1:32" x14ac:dyDescent="0.25">
      <c r="L42" t="s">
        <v>51</v>
      </c>
      <c r="M42" s="13">
        <f si="20" t="shared"/>
        <v>0</v>
      </c>
      <c r="N42" s="13">
        <f si="20" t="shared"/>
        <v>0</v>
      </c>
      <c r="O42" s="13">
        <f si="20" t="shared"/>
        <v>0</v>
      </c>
      <c r="P42" s="13">
        <f si="20" t="shared"/>
        <v>-1.8577584179281459E-2</v>
      </c>
      <c r="Q42" s="13">
        <f si="21" t="shared"/>
        <v>-4.6549592286265429E-2</v>
      </c>
      <c r="R42" s="13">
        <f si="22" t="shared"/>
        <v>0</v>
      </c>
      <c r="S42" s="13">
        <f si="23" t="shared"/>
        <v>0</v>
      </c>
      <c r="T42" s="13">
        <f si="24" t="shared"/>
        <v>-1.9782911113068513E-2</v>
      </c>
      <c r="U42" s="13">
        <f si="25" t="shared"/>
        <v>-2.4077544695356383E-2</v>
      </c>
      <c r="W42" t="s">
        <v>51</v>
      </c>
      <c r="X42" s="22">
        <f si="27" t="shared"/>
        <v>0</v>
      </c>
      <c r="Y42" s="22">
        <f si="28" t="shared"/>
        <v>0</v>
      </c>
      <c r="Z42" s="22">
        <f si="29" t="shared"/>
        <v>0</v>
      </c>
      <c r="AA42" s="22">
        <f si="30" t="shared"/>
        <v>-1.8577584179281459E-2</v>
      </c>
      <c r="AB42" s="22">
        <f si="31" t="shared"/>
        <v>-4.6549592286265429E-2</v>
      </c>
      <c r="AC42" s="22">
        <f si="32" t="shared"/>
        <v>0</v>
      </c>
      <c r="AD42" s="22">
        <f si="33" t="shared"/>
        <v>0</v>
      </c>
      <c r="AE42" s="22">
        <f si="34" t="shared"/>
        <v>-1.9782911113068513E-2</v>
      </c>
      <c r="AF42" s="22">
        <f si="35" t="shared"/>
        <v>-2.4077544695356383E-2</v>
      </c>
    </row>
    <row r="43" spans="1:32" x14ac:dyDescent="0.25">
      <c r="L43" t="s">
        <v>52</v>
      </c>
      <c r="M43" s="13">
        <f si="20" t="shared"/>
        <v>0</v>
      </c>
      <c r="N43" s="13">
        <f si="20" t="shared"/>
        <v>0</v>
      </c>
      <c r="O43" s="13">
        <f si="20" t="shared"/>
        <v>0</v>
      </c>
      <c r="P43" s="13">
        <f si="20" t="shared"/>
        <v>0</v>
      </c>
      <c r="Q43" s="13">
        <f si="21" t="shared"/>
        <v>-2.4108109680470737E-3</v>
      </c>
      <c r="R43" s="13">
        <f si="22" t="shared"/>
        <v>0</v>
      </c>
      <c r="S43" s="13">
        <f si="23" t="shared"/>
        <v>0</v>
      </c>
      <c r="T43" s="13">
        <f si="24" t="shared"/>
        <v>0</v>
      </c>
      <c r="U43" s="13">
        <f si="25" t="shared"/>
        <v>-1.4860853277401306E-4</v>
      </c>
      <c r="W43" t="s">
        <v>52</v>
      </c>
      <c r="X43" s="22">
        <f si="27" t="shared"/>
        <v>0</v>
      </c>
      <c r="Y43" s="22">
        <f si="28" t="shared"/>
        <v>0</v>
      </c>
      <c r="Z43" s="22">
        <f si="29" t="shared"/>
        <v>0</v>
      </c>
      <c r="AA43" s="22">
        <f si="30" t="shared"/>
        <v>0</v>
      </c>
      <c r="AB43" s="22">
        <f si="31" t="shared"/>
        <v>-2.4108109680470737E-3</v>
      </c>
      <c r="AC43" s="22">
        <f si="32" t="shared"/>
        <v>0</v>
      </c>
      <c r="AD43" s="22">
        <f si="33" t="shared"/>
        <v>0</v>
      </c>
      <c r="AE43" s="22">
        <f si="34" t="shared"/>
        <v>0</v>
      </c>
      <c r="AF43" s="22">
        <f si="35" t="shared"/>
        <v>-1.4860853277401306E-4</v>
      </c>
    </row>
    <row r="44" spans="1:32" x14ac:dyDescent="0.25">
      <c r="L44" t="s">
        <v>53</v>
      </c>
      <c r="M44" s="13">
        <f si="20" t="shared"/>
        <v>0</v>
      </c>
      <c r="N44" s="13">
        <f si="20" t="shared"/>
        <v>0</v>
      </c>
      <c r="O44" s="13">
        <f si="20" t="shared"/>
        <v>0</v>
      </c>
      <c r="P44" s="13">
        <f si="20" t="shared"/>
        <v>0</v>
      </c>
      <c r="Q44" s="13">
        <f si="21" t="shared"/>
        <v>0</v>
      </c>
      <c r="R44" s="13">
        <f si="22" t="shared"/>
        <v>0</v>
      </c>
      <c r="S44" s="13">
        <f si="23" t="shared"/>
        <v>0</v>
      </c>
      <c r="T44" s="13">
        <f si="24" t="shared"/>
        <v>0</v>
      </c>
      <c r="U44" s="13">
        <f si="25" t="shared"/>
        <v>0</v>
      </c>
      <c r="W44" t="s">
        <v>53</v>
      </c>
      <c r="X44" s="22">
        <f si="27" t="shared"/>
        <v>0</v>
      </c>
      <c r="Y44" s="22">
        <f si="28" t="shared"/>
        <v>0</v>
      </c>
      <c r="Z44" s="22">
        <f si="29" t="shared"/>
        <v>0</v>
      </c>
      <c r="AA44" s="22">
        <f si="30" t="shared"/>
        <v>0</v>
      </c>
      <c r="AB44" s="22">
        <f si="31" t="shared"/>
        <v>0</v>
      </c>
      <c r="AC44" s="22">
        <f si="32" t="shared"/>
        <v>0</v>
      </c>
      <c r="AD44" s="22">
        <f si="33" t="shared"/>
        <v>0</v>
      </c>
      <c r="AE44" s="22">
        <f si="34" t="shared"/>
        <v>0</v>
      </c>
      <c r="AF44" s="22">
        <f si="35" t="shared"/>
        <v>0</v>
      </c>
    </row>
    <row r="45" spans="1:32" x14ac:dyDescent="0.25">
      <c r="L45" t="s">
        <v>54</v>
      </c>
      <c r="M45" s="13">
        <f ref="M45:M47" si="36" t="shared">M28-B28</f>
        <v>0</v>
      </c>
      <c r="N45" s="13">
        <f ref="N45:N47" si="37" t="shared">N28-C28</f>
        <v>0</v>
      </c>
      <c r="O45" s="13">
        <f ref="O45:O47" si="38" t="shared">O28-D28</f>
        <v>0</v>
      </c>
      <c r="P45" s="13">
        <f ref="P45:P47" si="39" t="shared">P28-E28</f>
        <v>0</v>
      </c>
      <c r="Q45" s="13">
        <f si="21" t="shared"/>
        <v>0</v>
      </c>
      <c r="R45" s="13">
        <f si="22" t="shared"/>
        <v>0</v>
      </c>
      <c r="S45" s="13">
        <f si="23" t="shared"/>
        <v>0</v>
      </c>
      <c r="T45" s="13">
        <f si="24" t="shared"/>
        <v>0</v>
      </c>
      <c r="U45" s="13">
        <f si="25" t="shared"/>
        <v>0</v>
      </c>
      <c r="W45" t="s">
        <v>54</v>
      </c>
      <c r="X45" s="22">
        <f si="27" t="shared"/>
        <v>0</v>
      </c>
      <c r="Y45" s="22">
        <f si="28" t="shared"/>
        <v>0</v>
      </c>
      <c r="Z45" s="22">
        <f si="29" t="shared"/>
        <v>0</v>
      </c>
      <c r="AA45" s="22">
        <f si="30" t="shared"/>
        <v>0</v>
      </c>
      <c r="AB45" s="22">
        <f si="31" t="shared"/>
        <v>0</v>
      </c>
      <c r="AC45" s="22">
        <f si="32" t="shared"/>
        <v>0</v>
      </c>
      <c r="AD45" s="22">
        <f si="33" t="shared"/>
        <v>0</v>
      </c>
      <c r="AE45" s="22">
        <f si="34" t="shared"/>
        <v>0</v>
      </c>
      <c r="AF45" s="22">
        <f si="35" t="shared"/>
        <v>0</v>
      </c>
    </row>
    <row r="46" spans="1:32" x14ac:dyDescent="0.25">
      <c r="L46" t="s">
        <v>55</v>
      </c>
      <c r="M46" s="13">
        <f si="36" t="shared"/>
        <v>0</v>
      </c>
      <c r="N46" s="13">
        <f si="37" t="shared"/>
        <v>0</v>
      </c>
      <c r="O46" s="13">
        <f si="38" t="shared"/>
        <v>0</v>
      </c>
      <c r="P46" s="13">
        <f si="39" t="shared"/>
        <v>0</v>
      </c>
      <c r="Q46" s="13">
        <f si="21" t="shared"/>
        <v>0</v>
      </c>
      <c r="R46" s="13">
        <f si="22" t="shared"/>
        <v>0</v>
      </c>
      <c r="S46" s="13">
        <f si="23" t="shared"/>
        <v>0</v>
      </c>
      <c r="T46" s="13">
        <f si="24" t="shared"/>
        <v>0</v>
      </c>
      <c r="U46" s="13">
        <f si="25" t="shared"/>
        <v>0</v>
      </c>
      <c r="W46" t="s">
        <v>55</v>
      </c>
      <c r="X46" s="22">
        <f si="27" t="shared"/>
        <v>0</v>
      </c>
      <c r="Y46" s="22">
        <f si="28" t="shared"/>
        <v>0</v>
      </c>
      <c r="Z46" s="22">
        <f si="29" t="shared"/>
        <v>0</v>
      </c>
      <c r="AA46" s="22">
        <f si="30" t="shared"/>
        <v>0</v>
      </c>
      <c r="AB46" s="22">
        <f si="31" t="shared"/>
        <v>0</v>
      </c>
      <c r="AC46" s="22">
        <f si="32" t="shared"/>
        <v>0</v>
      </c>
      <c r="AD46" s="22">
        <f si="33" t="shared"/>
        <v>0</v>
      </c>
      <c r="AE46" s="22">
        <f si="34" t="shared"/>
        <v>0</v>
      </c>
      <c r="AF46" s="22">
        <f si="35" t="shared"/>
        <v>0</v>
      </c>
    </row>
    <row r="47" spans="1:32" x14ac:dyDescent="0.25">
      <c r="L47" t="s">
        <v>24</v>
      </c>
      <c r="M47" s="13">
        <f si="36" t="shared"/>
        <v>0</v>
      </c>
      <c r="N47" s="13">
        <f si="37" t="shared"/>
        <v>0</v>
      </c>
      <c r="O47" s="13">
        <f si="38" t="shared"/>
        <v>0</v>
      </c>
      <c r="P47" s="13">
        <f si="39" t="shared"/>
        <v>0</v>
      </c>
      <c r="Q47" s="13">
        <f si="21" t="shared"/>
        <v>0</v>
      </c>
      <c r="R47" s="13">
        <f si="22" t="shared"/>
        <v>0</v>
      </c>
      <c r="S47" s="13">
        <f si="23" t="shared"/>
        <v>0</v>
      </c>
      <c r="T47" s="13">
        <f si="24" t="shared"/>
        <v>-1.0128718527934621E-2</v>
      </c>
      <c r="U47" s="13">
        <f si="25" t="shared"/>
        <v>-1.4516007454947952E-4</v>
      </c>
      <c r="W47" s="21" t="s">
        <v>24</v>
      </c>
      <c r="X47" s="22">
        <f si="27" t="shared"/>
        <v>0</v>
      </c>
      <c r="Y47" s="22">
        <f si="28" t="shared"/>
        <v>0</v>
      </c>
      <c r="Z47" s="22">
        <f si="29" t="shared"/>
        <v>0</v>
      </c>
      <c r="AA47" s="22">
        <f si="30" t="shared"/>
        <v>0</v>
      </c>
      <c r="AB47" s="22">
        <f si="31" t="shared"/>
        <v>0</v>
      </c>
      <c r="AC47" s="22">
        <f si="32" t="shared"/>
        <v>0</v>
      </c>
      <c r="AD47" s="22">
        <f si="33" t="shared"/>
        <v>0</v>
      </c>
      <c r="AE47" s="22">
        <f si="34" t="shared"/>
        <v>-1.0128718527934621E-2</v>
      </c>
      <c r="AF47" s="22">
        <f si="35" t="shared"/>
        <v>-1.4516007454947952E-4</v>
      </c>
    </row>
    <row r="48" spans="1:32" x14ac:dyDescent="0.25">
      <c r="L48" t="s">
        <v>4</v>
      </c>
      <c r="M48" s="13">
        <f ref="M48:P50" si="40" t="shared">M31-B31</f>
        <v>3.92398869291745E-4</v>
      </c>
      <c r="N48" s="13">
        <f si="40" t="shared"/>
        <v>2.6314638009467765E-4</v>
      </c>
      <c r="O48" s="13">
        <f si="40" t="shared"/>
        <v>9.6980617573038741E-4</v>
      </c>
      <c r="P48" s="13">
        <f si="40" t="shared"/>
        <v>-9.805423039845908E-4</v>
      </c>
      <c r="Q48" s="13">
        <f si="21" t="shared"/>
        <v>3.7524613461517083E-3</v>
      </c>
      <c r="R48" s="13">
        <f si="22" t="shared"/>
        <v>-8.8386362852448386E-3</v>
      </c>
      <c r="S48" s="13">
        <f si="23" t="shared"/>
        <v>0</v>
      </c>
      <c r="T48" s="13">
        <f si="24" t="shared"/>
        <v>-6.4970101761009473E-5</v>
      </c>
      <c r="U48" s="13">
        <f si="25" t="shared"/>
        <v>2.0562008080376483E-3</v>
      </c>
      <c r="W48" s="27" t="s">
        <v>4</v>
      </c>
      <c r="X48" s="22">
        <f si="27" t="shared"/>
        <v>3.92398869291745E-4</v>
      </c>
      <c r="Y48" s="22">
        <f si="28" t="shared"/>
        <v>2.6314638009467765E-4</v>
      </c>
      <c r="Z48" s="22">
        <f si="29" t="shared"/>
        <v>9.6980617573038741E-4</v>
      </c>
      <c r="AA48" s="22">
        <f si="30" t="shared"/>
        <v>-9.805423039845908E-4</v>
      </c>
      <c r="AB48" s="22">
        <f si="31" t="shared"/>
        <v>3.7524613461517083E-3</v>
      </c>
      <c r="AC48" s="22">
        <f si="32" t="shared"/>
        <v>-8.8386362852448386E-3</v>
      </c>
      <c r="AD48" s="22">
        <f si="33" t="shared"/>
        <v>0</v>
      </c>
      <c r="AE48" s="22">
        <f si="34" t="shared"/>
        <v>-6.4970101761009473E-5</v>
      </c>
      <c r="AF48" s="22">
        <f si="35" t="shared"/>
        <v>2.0562008080376483E-3</v>
      </c>
    </row>
    <row r="49" spans="12:32" x14ac:dyDescent="0.25">
      <c r="L49" s="4" t="s">
        <v>5</v>
      </c>
      <c r="M49" s="17">
        <f si="40" t="shared"/>
        <v>3.8605333544683412E-3</v>
      </c>
      <c r="N49" s="17">
        <f si="40" t="shared"/>
        <v>1.5062225678712956E-2</v>
      </c>
      <c r="O49" s="17">
        <f si="40" t="shared"/>
        <v>1.3066758330817149E-3</v>
      </c>
      <c r="P49" s="17">
        <f si="40" t="shared"/>
        <v>-5.5550213371330259E-2</v>
      </c>
      <c r="Q49" s="17">
        <f si="21" t="shared"/>
        <v>-1.0860729696621052E-2</v>
      </c>
      <c r="R49" s="17">
        <f si="22" t="shared"/>
        <v>8.8299884219157909E-3</v>
      </c>
      <c r="S49" s="17">
        <f si="23" t="shared"/>
        <v>-8.7916725277636942E-6</v>
      </c>
      <c r="T49" s="17">
        <f si="24" t="shared"/>
        <v>3.7580941716700324E-2</v>
      </c>
      <c r="U49" s="13">
        <f si="25" t="shared"/>
        <v>1.8141194548876721E-3</v>
      </c>
      <c r="W49" s="20" t="s">
        <v>5</v>
      </c>
      <c r="X49" s="22">
        <f si="27" t="shared"/>
        <v>3.8605333544683412E-3</v>
      </c>
      <c r="Y49" s="22">
        <f si="28" t="shared"/>
        <v>1.5062225678712956E-2</v>
      </c>
      <c r="Z49" s="22">
        <f si="29" t="shared"/>
        <v>1.3066758330817149E-3</v>
      </c>
      <c r="AA49" s="22">
        <f si="30" t="shared"/>
        <v>-5.5550213371330259E-2</v>
      </c>
      <c r="AB49" s="22">
        <f si="31" t="shared"/>
        <v>-1.0860729696621052E-2</v>
      </c>
      <c r="AC49" s="22">
        <f si="32" t="shared"/>
        <v>8.8299884219157909E-3</v>
      </c>
      <c r="AD49" s="22">
        <f si="33" t="shared"/>
        <v>-8.7916725277636942E-6</v>
      </c>
      <c r="AE49" s="22">
        <f si="34" t="shared"/>
        <v>3.7580941716700324E-2</v>
      </c>
      <c r="AF49" s="22">
        <f si="35" t="shared"/>
        <v>1.8141194548876721E-3</v>
      </c>
    </row>
    <row ht="15.75" r="50" spans="12:32" thickBot="1" x14ac:dyDescent="0.3">
      <c r="L50" s="9" t="s">
        <v>7</v>
      </c>
      <c r="M50" s="15">
        <f si="40" t="shared"/>
        <v>0</v>
      </c>
      <c r="N50" s="15">
        <f si="40" t="shared"/>
        <v>0</v>
      </c>
      <c r="O50" s="15">
        <f si="40" t="shared"/>
        <v>0</v>
      </c>
      <c r="P50" s="15">
        <f si="40" t="shared"/>
        <v>0</v>
      </c>
      <c r="Q50" s="15">
        <f si="21" t="shared"/>
        <v>0</v>
      </c>
      <c r="R50" s="15">
        <f si="22" t="shared"/>
        <v>0</v>
      </c>
      <c r="S50" s="15">
        <f si="23" t="shared"/>
        <v>0</v>
      </c>
      <c r="T50" s="15">
        <f si="24" t="shared"/>
        <v>0</v>
      </c>
      <c r="U50" s="15">
        <f si="25" t="shared"/>
        <v>0</v>
      </c>
      <c r="W50" s="28" t="s">
        <v>7</v>
      </c>
      <c r="X50" s="29">
        <f>M50</f>
        <v>0</v>
      </c>
      <c r="Y50" s="29">
        <f si="28" t="shared"/>
        <v>0</v>
      </c>
      <c r="Z50" s="29">
        <f si="29" t="shared"/>
        <v>0</v>
      </c>
      <c r="AA50" s="29">
        <f si="30" t="shared"/>
        <v>0</v>
      </c>
      <c r="AB50" s="29">
        <f si="31" t="shared"/>
        <v>0</v>
      </c>
      <c r="AC50" s="29">
        <f si="32" t="shared"/>
        <v>0</v>
      </c>
      <c r="AD50" s="29">
        <f si="33" t="shared"/>
        <v>0</v>
      </c>
      <c r="AE50" s="29">
        <f si="34" t="shared"/>
        <v>0</v>
      </c>
      <c r="AF50" s="29">
        <f si="35" t="shared"/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41</v>
      </c>
      <c r="C3" s="31"/>
      <c r="D3" s="31"/>
      <c r="E3" s="31"/>
      <c r="F3" s="31"/>
      <c r="G3" s="31"/>
      <c r="H3" s="31"/>
      <c r="I3" s="31"/>
      <c r="J3" s="7"/>
      <c r="L3" s="3"/>
      <c r="M3" s="31" t="s">
        <v>41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164820.2649660987</v>
      </c>
      <c r="C5" s="6" t="n">
        <v>5896.5215928702</v>
      </c>
      <c r="D5" s="6" t="n">
        <v>1862.7626499472</v>
      </c>
      <c r="E5" s="6" t="n">
        <v>0.0</v>
      </c>
      <c r="F5" s="6" t="n">
        <v>18.7005063981</v>
      </c>
      <c r="G5" s="6" t="n">
        <v>0.0</v>
      </c>
      <c r="H5" s="6" t="n">
        <v>0.0</v>
      </c>
      <c r="I5" s="6" t="n">
        <v>0.0</v>
      </c>
      <c r="J5" s="6">
        <f>SUM(B5:I5)</f>
        <v>172598.24971531422</v>
      </c>
      <c r="K5" s="6"/>
      <c r="L5" t="s">
        <v>1</v>
      </c>
      <c r="M5" s="6" t="n">
        <v>190690.0</v>
      </c>
      <c r="N5" s="6" t="n">
        <v>4117.0</v>
      </c>
      <c r="O5" s="6" t="n">
        <v>877.0</v>
      </c>
      <c r="P5" s="6" t="n">
        <v>0.0</v>
      </c>
      <c r="Q5" s="6" t="n">
        <v>82.0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193650</v>
      </c>
    </row>
    <row r="6" spans="1:21" x14ac:dyDescent="0.25">
      <c r="A6" t="s">
        <v>12</v>
      </c>
      <c r="B6" s="6" t="n">
        <v>0.0</v>
      </c>
      <c r="C6" s="6" t="n">
        <v>31299.6789399114</v>
      </c>
      <c r="D6" s="6" t="n">
        <v>149.8888510751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31449.567790986497</v>
      </c>
      <c r="K6" s="6"/>
      <c r="L6" t="s">
        <v>12</v>
      </c>
      <c r="M6" s="6" t="n">
        <v>0.0</v>
      </c>
      <c r="N6" s="6" t="n">
        <v>43031.0</v>
      </c>
      <c r="O6" s="6" t="n">
        <v>2738.0</v>
      </c>
      <c r="P6" s="6" t="n">
        <v>0.0</v>
      </c>
      <c r="Q6" s="6" t="n">
        <v>544.0</v>
      </c>
      <c r="R6" s="6" t="n">
        <v>0.0</v>
      </c>
      <c r="S6" s="6" t="n">
        <v>0.0</v>
      </c>
      <c r="T6" s="6" t="n">
        <v>0.0</v>
      </c>
      <c r="U6" s="6">
        <f si="0" t="shared"/>
        <v>46235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13503.06476497</v>
      </c>
      <c r="E7" s="6" t="n">
        <v>0.0</v>
      </c>
      <c r="F7" s="6" t="n">
        <v>1519.928687362</v>
      </c>
      <c r="G7" s="6" t="n">
        <v>0.0</v>
      </c>
      <c r="H7" s="6" t="n">
        <v>0.0</v>
      </c>
      <c r="I7" s="6" t="n">
        <v>0.0</v>
      </c>
      <c r="J7" s="6">
        <f si="1" t="shared"/>
        <v>15022.993452332001</v>
      </c>
      <c r="K7" s="6"/>
      <c r="L7" t="s">
        <v>56</v>
      </c>
      <c r="M7" s="6" t="n">
        <v>0.0</v>
      </c>
      <c r="N7" s="6" t="n">
        <v>0.0</v>
      </c>
      <c r="O7" s="6" t="n">
        <v>14961.0</v>
      </c>
      <c r="P7" s="6" t="n">
        <v>0.0</v>
      </c>
      <c r="Q7" s="6" t="n">
        <v>227.0</v>
      </c>
      <c r="R7" s="6" t="n">
        <v>0.0</v>
      </c>
      <c r="S7" s="6" t="n">
        <v>0.0</v>
      </c>
      <c r="T7" s="6" t="n">
        <v>0.0</v>
      </c>
      <c r="U7" s="6">
        <f si="0" t="shared"/>
        <v>14839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6395.8677954755</v>
      </c>
      <c r="G8" s="6" t="n">
        <v>0.0</v>
      </c>
      <c r="H8" s="6" t="n">
        <v>0.0</v>
      </c>
      <c r="I8" s="6" t="n">
        <v>0.0</v>
      </c>
      <c r="J8" s="6">
        <f si="1" t="shared"/>
        <v>6395.8677954755003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2964.0</v>
      </c>
      <c r="R8" s="6" t="n">
        <v>0.0</v>
      </c>
      <c r="S8" s="6" t="n">
        <v>0.0</v>
      </c>
      <c r="T8" s="6" t="n">
        <v>0.0</v>
      </c>
      <c r="U8" s="6">
        <f si="0" t="shared"/>
        <v>2856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236.004091738</v>
      </c>
      <c r="G9" s="6" t="n">
        <v>0.0</v>
      </c>
      <c r="H9" s="6" t="n">
        <v>0.0</v>
      </c>
      <c r="I9" s="6" t="n">
        <v>0.0</v>
      </c>
      <c r="J9" s="6">
        <f si="1" t="shared"/>
        <v>236.004091738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1949.997832852</v>
      </c>
      <c r="J13" s="6">
        <f si="1" t="shared"/>
        <v>1949.9978328520001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982.882297674</v>
      </c>
      <c r="H14" s="6" t="n">
        <v>0.0</v>
      </c>
      <c r="I14" s="6" t="n">
        <v>0.0</v>
      </c>
      <c r="J14" s="6">
        <f si="1" t="shared"/>
        <v>982.88229767400003</v>
      </c>
      <c r="K14" s="6"/>
      <c r="L14" t="s">
        <v>4</v>
      </c>
      <c r="M14" s="6" t="n">
        <v>141.0</v>
      </c>
      <c r="N14" s="6" t="n">
        <v>33.0</v>
      </c>
      <c r="O14" s="6" t="n">
        <v>11.0</v>
      </c>
      <c r="P14" s="6" t="n">
        <v>0.0</v>
      </c>
      <c r="Q14" s="6" t="n">
        <v>20.0</v>
      </c>
      <c r="R14" s="6" t="n">
        <v>939.0</v>
      </c>
      <c r="S14" s="6" t="n">
        <v>0.0</v>
      </c>
      <c r="T14" s="6" t="n">
        <v>0.0</v>
      </c>
      <c r="U14" s="6">
        <f si="0" t="shared"/>
        <v>1109</v>
      </c>
    </row>
    <row r="15" spans="1:21" x14ac:dyDescent="0.25">
      <c r="A15" s="4" t="s">
        <v>5</v>
      </c>
      <c r="B15" s="10" t="n">
        <v>1357.3149762110002</v>
      </c>
      <c r="C15" s="10" t="n">
        <v>639.8890130484</v>
      </c>
      <c r="D15" s="10" t="n">
        <v>0.0</v>
      </c>
      <c r="E15" s="10" t="n">
        <v>0.0</v>
      </c>
      <c r="F15" s="10" t="n">
        <v>2902.9889422654</v>
      </c>
      <c r="G15" s="10" t="n">
        <v>0.0</v>
      </c>
      <c r="H15" s="10" t="n">
        <v>164414.0589106828</v>
      </c>
      <c r="I15" s="10" t="n">
        <v>0.0</v>
      </c>
      <c r="J15" s="6">
        <f si="1" t="shared"/>
        <v>169314.2518422076</v>
      </c>
      <c r="K15" s="6"/>
      <c r="L15" s="4" t="s">
        <v>5</v>
      </c>
      <c r="M15" s="8" t="n">
        <v>1801.0</v>
      </c>
      <c r="N15" s="8" t="n">
        <v>386.0</v>
      </c>
      <c r="O15" s="8" t="n">
        <v>111.0</v>
      </c>
      <c r="P15" s="8" t="n">
        <v>0.0</v>
      </c>
      <c r="Q15" s="8" t="n">
        <v>205.0</v>
      </c>
      <c r="R15" s="8" t="n">
        <v>47.0</v>
      </c>
      <c r="S15" s="8" t="n">
        <v>165947.0</v>
      </c>
      <c r="T15" s="8" t="n">
        <v>0.0</v>
      </c>
      <c r="U15" s="6">
        <f si="0" t="shared"/>
        <v>166048</v>
      </c>
    </row>
    <row ht="15.75" r="16" spans="1:21" thickBot="1" x14ac:dyDescent="0.3">
      <c r="A16" s="12" t="s">
        <v>7</v>
      </c>
      <c r="B16" s="16">
        <f ref="B16:J16" si="2" t="shared">SUM(B5:B15)</f>
        <v>166177.57994230971</v>
      </c>
      <c r="C16" s="16">
        <f si="2" t="shared"/>
        <v>37836.08954583</v>
      </c>
      <c r="D16" s="16">
        <f si="2" t="shared"/>
        <v>15515.716265992301</v>
      </c>
      <c r="E16" s="16">
        <f si="2" t="shared"/>
        <v>0</v>
      </c>
      <c r="F16" s="16">
        <f si="2" t="shared"/>
        <v>11073.490023239001</v>
      </c>
      <c r="G16" s="16">
        <f si="2" t="shared"/>
        <v>982.88229767400003</v>
      </c>
      <c r="H16" s="16">
        <f si="2" t="shared"/>
        <v>164414.0589106828</v>
      </c>
      <c r="I16" s="16">
        <f si="2" t="shared"/>
        <v>1949.9978328520001</v>
      </c>
      <c r="J16" s="16">
        <f si="2" t="shared"/>
        <v>397949.81481857982</v>
      </c>
      <c r="L16" s="9" t="s">
        <v>7</v>
      </c>
      <c r="M16" s="16">
        <f ref="M16:U16" si="3" t="shared">SUM(M5:M15)</f>
        <v>190612</v>
      </c>
      <c r="N16" s="16">
        <f si="3" t="shared"/>
        <v>47568</v>
      </c>
      <c r="O16" s="16">
        <f si="3" t="shared"/>
        <v>18214</v>
      </c>
      <c r="P16" s="16">
        <f si="3" t="shared"/>
        <v>0</v>
      </c>
      <c r="Q16" s="16">
        <f si="3" t="shared"/>
        <v>3871</v>
      </c>
      <c r="R16" s="16">
        <f si="3" t="shared"/>
        <v>953</v>
      </c>
      <c r="S16" s="16">
        <f si="3" t="shared"/>
        <v>163519</v>
      </c>
      <c r="T16" s="16">
        <f si="3" t="shared"/>
        <v>0</v>
      </c>
      <c r="U16" s="16">
        <f si="3" t="shared"/>
        <v>424737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41</v>
      </c>
      <c r="C20" s="31"/>
      <c r="D20" s="31"/>
      <c r="E20" s="31"/>
      <c r="F20" s="31"/>
      <c r="G20" s="31"/>
      <c r="H20" s="31"/>
      <c r="I20" s="31"/>
      <c r="J20" s="7"/>
      <c r="L20" s="3"/>
      <c r="M20" s="31" t="s">
        <v>41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0.9918321413954746</v>
      </c>
      <c r="C22" s="13">
        <f si="4" t="shared"/>
        <v>0.15584384284025643</v>
      </c>
      <c r="D22" s="13">
        <f si="4" t="shared"/>
        <v>0.12005650387085548</v>
      </c>
      <c r="E22" s="13" t="e">
        <f si="4" t="shared"/>
        <v>#DIV/0!</v>
      </c>
      <c r="F22" s="13">
        <f si="4" t="shared"/>
        <v>1.6887635568239843E-3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0.43371863307437281</v>
      </c>
      <c r="K22" s="6"/>
      <c r="L22" t="s">
        <v>1</v>
      </c>
      <c r="M22" s="13">
        <f ref="M22:P22" si="5" t="shared">M5/M$16</f>
        <v>0.98979602543386569</v>
      </c>
      <c r="N22" s="13">
        <f si="5" t="shared"/>
        <v>8.6024217961654895E-2</v>
      </c>
      <c r="O22" s="13">
        <f si="5" t="shared"/>
        <v>4.4361480180081257E-2</v>
      </c>
      <c r="P22" s="13" t="e">
        <f si="5" t="shared"/>
        <v>#DIV/0!</v>
      </c>
      <c r="Q22" s="13">
        <f ref="Q22:U33" si="6" t="shared">Q5/Q$16</f>
        <v>2.1441487987600105E-2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0.45592919853933139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0.82724402324925272</v>
      </c>
      <c r="D23" s="13">
        <f si="7" t="shared"/>
        <v>9.6604532143726926E-3</v>
      </c>
      <c r="E23" s="13" t="e">
        <f si="7" t="shared"/>
        <v>#DIV/0!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7.9028979584583922E-2</v>
      </c>
      <c r="K23" s="6"/>
      <c r="L23" t="s">
        <v>12</v>
      </c>
      <c r="M23" s="13">
        <f ref="M23:P23" si="8" t="shared">M6/M$16</f>
        <v>0</v>
      </c>
      <c r="N23" s="13">
        <f si="8" t="shared"/>
        <v>0.9054616548940464</v>
      </c>
      <c r="O23" s="13">
        <f si="8" t="shared"/>
        <v>0.14675524321950148</v>
      </c>
      <c r="P23" s="13" t="e">
        <f si="8" t="shared"/>
        <v>#DIV/0!</v>
      </c>
      <c r="Q23" s="13">
        <f si="6" t="shared"/>
        <v>0.12684060966158614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0.10885559769928214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0.87028304291477177</v>
      </c>
      <c r="E24" s="13" t="e">
        <f si="9" t="shared"/>
        <v>#DIV/0!</v>
      </c>
      <c r="F24" s="13">
        <f si="9" t="shared"/>
        <v>0.13725832453655112</v>
      </c>
      <c r="G24" s="13">
        <f si="9" t="shared"/>
        <v>0</v>
      </c>
      <c r="H24" s="13">
        <f si="9" t="shared"/>
        <v>0</v>
      </c>
      <c r="I24" s="13">
        <f si="9" t="shared"/>
        <v>0</v>
      </c>
      <c r="J24" s="13">
        <f si="9" t="shared"/>
        <v>3.77509748539041E-2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0.80169100691775552</v>
      </c>
      <c r="P24" s="13" t="e">
        <f si="10" t="shared"/>
        <v>#DIV/0!</v>
      </c>
      <c r="Q24" s="13">
        <f si="6" t="shared"/>
        <v>6.1224489795918366E-2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3.4936913902014657E-2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0.5775837411740139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1.6072046165899821E-2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0.73779385171790235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6.7241610690851042E-3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2.1312530308215213E-2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5.9304988455790891E-4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1</v>
      </c>
      <c r="J30" s="13">
        <f si="21" t="shared"/>
        <v>4.9001099139623396E-3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0</v>
      </c>
      <c r="J31" s="13">
        <f si="23" t="shared"/>
        <v>2.469864945463245E-3</v>
      </c>
      <c r="K31" s="6"/>
      <c r="L31" t="s">
        <v>4</v>
      </c>
      <c r="M31" s="13">
        <f ref="M31:P31" si="24" t="shared">M14/M$16</f>
        <v>6.4004364887834979E-4</v>
      </c>
      <c r="N31" s="13">
        <f si="24" t="shared"/>
        <v>8.198789101917255E-4</v>
      </c>
      <c r="O31" s="13">
        <f si="24" t="shared"/>
        <v>9.3334797408586802E-4</v>
      </c>
      <c r="P31" s="13" t="e">
        <f si="24" t="shared"/>
        <v>#DIV/0!</v>
      </c>
      <c r="Q31" s="13">
        <f si="6" t="shared"/>
        <v>6.1999483337638857E-3</v>
      </c>
      <c r="R31" s="13">
        <f si="6" t="shared"/>
        <v>0.95173137460650581</v>
      </c>
      <c r="S31" s="13">
        <f si="6" t="shared"/>
        <v>0</v>
      </c>
      <c r="T31" s="13" t="e">
        <f si="6" t="shared"/>
        <v>#DIV/0!</v>
      </c>
      <c r="U31" s="13">
        <f si="6" t="shared"/>
        <v>2.6110275299773742E-3</v>
      </c>
    </row>
    <row r="32" spans="1:21" x14ac:dyDescent="0.25">
      <c r="A32" s="4" t="s">
        <v>5</v>
      </c>
      <c r="B32" s="14">
        <f ref="B32:J32" si="25" t="shared">B15/B$16</f>
        <v>8.1678586045253899E-3</v>
      </c>
      <c r="C32" s="14">
        <f si="25" t="shared"/>
        <v>1.6912133910490852E-2</v>
      </c>
      <c r="D32" s="14">
        <f si="25" t="shared"/>
        <v>0</v>
      </c>
      <c r="E32" s="14" t="e">
        <f si="25" t="shared"/>
        <v>#DIV/0!</v>
      </c>
      <c r="F32" s="14">
        <f si="25" t="shared"/>
        <v>0.26215664042439568</v>
      </c>
      <c r="G32" s="14">
        <f si="25" t="shared"/>
        <v>0</v>
      </c>
      <c r="H32" s="14">
        <f si="25" t="shared"/>
        <v>1</v>
      </c>
      <c r="I32" s="14">
        <f si="25" t="shared"/>
        <v>0</v>
      </c>
      <c r="J32" s="14">
        <f si="25" t="shared"/>
        <v>0.42546634157725588</v>
      </c>
      <c r="K32" s="6"/>
      <c r="L32" s="4" t="s">
        <v>5</v>
      </c>
      <c r="M32" s="14">
        <f ref="M32:P32" si="26" t="shared">M15/M$16</f>
        <v>9.5639309172559969E-3</v>
      </c>
      <c r="N32" s="14">
        <f si="26" t="shared"/>
        <v>7.6942482341069629E-3</v>
      </c>
      <c r="O32" s="14">
        <f si="26" t="shared"/>
        <v>6.258921708575821E-3</v>
      </c>
      <c r="P32" s="14" t="e">
        <f si="26" t="shared"/>
        <v>#DIV/0!</v>
      </c>
      <c r="Q32" s="14">
        <f si="6" t="shared"/>
        <v>4.6499612503229142E-2</v>
      </c>
      <c r="R32" s="14">
        <f si="6" t="shared"/>
        <v>4.8268625393494226E-2</v>
      </c>
      <c r="S32" s="14">
        <f si="6" t="shared"/>
        <v>1</v>
      </c>
      <c r="T32" s="14" t="e">
        <f si="6" t="shared"/>
        <v>#DIV/0!</v>
      </c>
      <c r="U32" s="14">
        <f si="6" t="shared"/>
        <v>0.39094310126030934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41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1" si="29" t="shared">M22-B22</f>
        <v>-2.0361159616089086E-3</v>
      </c>
      <c r="N39" s="13">
        <f si="29" t="shared"/>
        <v>-6.9819624878601536E-2</v>
      </c>
      <c r="O39" s="13">
        <f si="29" t="shared"/>
        <v>-7.5695023690774216E-2</v>
      </c>
      <c r="P39" s="13" t="e">
        <f si="29" t="shared"/>
        <v>#DIV/0!</v>
      </c>
      <c r="Q39" s="13">
        <f ref="Q39:Q50" si="30" t="shared">Q22-F22</f>
        <v>1.9752724430776119E-2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2.2210565464958587E-2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7.8217631644793673E-2</v>
      </c>
      <c r="O40" s="13">
        <f si="29" t="shared"/>
        <v>0.13709479000512878</v>
      </c>
      <c r="P40" s="13" t="e">
        <f si="29" t="shared"/>
        <v>#DIV/0!</v>
      </c>
      <c r="Q40" s="13">
        <f si="30" t="shared"/>
        <v>0.12684060966158614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2.9826618114698222E-2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-6.8592035997016243E-2</v>
      </c>
      <c r="P41" s="13" t="e">
        <f si="29" t="shared"/>
        <v>#DIV/0!</v>
      </c>
      <c r="Q41" s="13">
        <f si="30" t="shared"/>
        <v>-7.6033834740632758E-2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-2.8140609518894424E-3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ref="M42:P42" si="35" t="shared">M25-B25</f>
        <v>0</v>
      </c>
      <c r="N42" s="13">
        <f si="35" t="shared"/>
        <v>0</v>
      </c>
      <c r="O42" s="13">
        <f si="35" t="shared"/>
        <v>0</v>
      </c>
      <c r="P42" s="13" t="e">
        <f si="35" t="shared"/>
        <v>#DIV/0!</v>
      </c>
      <c r="Q42" s="13">
        <f si="30" t="shared"/>
        <v>0.16021011054388845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-9.3478850968147162E-3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ref="M43:P43" si="36" t="shared">M26-B26</f>
        <v>0</v>
      </c>
      <c r="N43" s="13">
        <f si="36" t="shared"/>
        <v>0</v>
      </c>
      <c r="O43" s="13">
        <f si="36" t="shared"/>
        <v>0</v>
      </c>
      <c r="P43" s="13" t="e">
        <f si="36" t="shared"/>
        <v>#DIV/0!</v>
      </c>
      <c r="Q43" s="13">
        <f si="30" t="shared"/>
        <v>-2.1312530308215213E-2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-5.9304988455790891E-4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ref="M44:P44" si="37" t="shared">M27-B27</f>
        <v>0</v>
      </c>
      <c r="N44" s="13">
        <f si="37" t="shared"/>
        <v>0</v>
      </c>
      <c r="O44" s="13">
        <f si="37" t="shared"/>
        <v>0</v>
      </c>
      <c r="P44" s="13" t="e">
        <f si="37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8" t="shared">M28-B28</f>
        <v>0</v>
      </c>
      <c r="N45" s="13">
        <f ref="N45:N47" si="39" t="shared">N28-C28</f>
        <v>0</v>
      </c>
      <c r="O45" s="13">
        <f ref="O45:O47" si="40" t="shared">O28-D28</f>
        <v>0</v>
      </c>
      <c r="P45" s="13" t="e">
        <f ref="P45:P47" si="41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8" t="shared"/>
        <v>0</v>
      </c>
      <c r="N46" s="13">
        <f si="39" t="shared"/>
        <v>0</v>
      </c>
      <c r="O46" s="13">
        <f si="40" t="shared"/>
        <v>0</v>
      </c>
      <c r="P46" s="13" t="e">
        <f si="41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8" t="shared"/>
        <v>0</v>
      </c>
      <c r="N47" s="13">
        <f si="39" t="shared"/>
        <v>0</v>
      </c>
      <c r="O47" s="13">
        <f si="40" t="shared"/>
        <v>0</v>
      </c>
      <c r="P47" s="13" t="e">
        <f si="41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-4.9001099139623396E-3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48" si="42" t="shared">M31-B31</f>
        <v>6.4004364887834979E-4</v>
      </c>
      <c r="N48" s="13">
        <f si="42" t="shared"/>
        <v>8.198789101917255E-4</v>
      </c>
      <c r="O48" s="13">
        <f si="42" t="shared"/>
        <v>9.3334797408586802E-4</v>
      </c>
      <c r="P48" s="13" t="e">
        <f si="42" t="shared"/>
        <v>#DIV/0!</v>
      </c>
      <c r="Q48" s="13">
        <f si="30" t="shared"/>
        <v>6.1999483337638857E-3</v>
      </c>
      <c r="R48" s="13">
        <f si="31" t="shared"/>
        <v>-4.8268625393494191E-2</v>
      </c>
      <c r="S48" s="13">
        <f si="32" t="shared"/>
        <v>0</v>
      </c>
      <c r="T48" s="13" t="e">
        <f si="33" t="shared"/>
        <v>#DIV/0!</v>
      </c>
      <c r="U48" s="13">
        <f si="34" t="shared"/>
        <v>1.4116258451412917E-4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ref="M49:P49" si="43" t="shared">M32-B32</f>
        <v>1.396072312730607E-3</v>
      </c>
      <c r="N49" s="17">
        <f si="43" t="shared"/>
        <v>-9.2178856763838884E-3</v>
      </c>
      <c r="O49" s="17">
        <f si="43" t="shared"/>
        <v>6.258921708575821E-3</v>
      </c>
      <c r="P49" s="17" t="e">
        <f si="43" t="shared"/>
        <v>#DIV/0!</v>
      </c>
      <c r="Q49" s="17">
        <f si="30" t="shared"/>
        <v>-0.21565702792116653</v>
      </c>
      <c r="R49" s="17">
        <f si="31" t="shared"/>
        <v>4.8268625393494226E-2</v>
      </c>
      <c r="S49" s="17">
        <f si="32" t="shared"/>
        <v>0</v>
      </c>
      <c r="T49" s="17" t="e">
        <f si="33" t="shared"/>
        <v>#DIV/0!</v>
      </c>
      <c r="U49" s="13">
        <f si="34" t="shared"/>
        <v>-3.4523240316946535E-2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ref="M50:P50" si="44" t="shared">M33-B33</f>
        <v>0</v>
      </c>
      <c r="N50" s="15">
        <f si="44" t="shared"/>
        <v>0</v>
      </c>
      <c r="O50" s="15">
        <f si="44" t="shared"/>
        <v>0</v>
      </c>
      <c r="P50" s="15" t="e">
        <f si="44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6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6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2845985.377555999</v>
      </c>
      <c r="C5" s="6" t="n">
        <v>377403.3926612289</v>
      </c>
      <c r="D5" s="6" t="n">
        <v>186826.0293168562</v>
      </c>
      <c r="E5" s="6" t="n">
        <v>91849.727162148</v>
      </c>
      <c r="F5" s="6" t="n">
        <v>14069.8411119452</v>
      </c>
      <c r="G5" s="6" t="n">
        <v>0.0</v>
      </c>
      <c r="H5" s="6" t="n">
        <v>0.0</v>
      </c>
      <c r="I5" s="6" t="n">
        <v>1404.502706476</v>
      </c>
      <c r="J5" s="6">
        <f>SUM(B5:I5)</f>
        <v>3517538.8705146527</v>
      </c>
      <c r="K5" s="6"/>
      <c r="L5" t="s">
        <v>1</v>
      </c>
      <c r="M5" s="6" t="n">
        <v>3276137.0</v>
      </c>
      <c r="N5" s="6" t="n">
        <v>501579.0</v>
      </c>
      <c r="O5" s="6" t="n">
        <v>176963.0</v>
      </c>
      <c r="P5" s="6" t="n">
        <v>82111.0</v>
      </c>
      <c r="Q5" s="6" t="n">
        <v>17902.0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4054135</v>
      </c>
    </row>
    <row r="6" spans="1:21" x14ac:dyDescent="0.25">
      <c r="A6" t="s">
        <v>12</v>
      </c>
      <c r="B6" s="6" t="n">
        <v>0.0</v>
      </c>
      <c r="C6" s="6" t="n">
        <v>451123.8174558835</v>
      </c>
      <c r="D6" s="6" t="n">
        <v>86027.1797256781</v>
      </c>
      <c r="E6" s="6" t="n">
        <v>4704.1750873482</v>
      </c>
      <c r="F6" s="6" t="n">
        <v>48257.4264838357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590112.59875274543</v>
      </c>
      <c r="K6" s="6"/>
      <c r="L6" t="s">
        <v>12</v>
      </c>
      <c r="M6" s="6" t="n">
        <v>0.0</v>
      </c>
      <c r="N6" s="6" t="n">
        <v>605136.0</v>
      </c>
      <c r="O6" s="6" t="n">
        <v>95314.0</v>
      </c>
      <c r="P6" s="6" t="n">
        <v>4209.0</v>
      </c>
      <c r="Q6" s="6" t="n">
        <v>26633.0</v>
      </c>
      <c r="R6" s="6" t="n">
        <v>0.0</v>
      </c>
      <c r="S6" s="6" t="n">
        <v>0.0</v>
      </c>
      <c r="T6" s="6" t="n">
        <v>0.0</v>
      </c>
      <c r="U6" s="6">
        <f si="0" t="shared"/>
        <v>728768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207253.5522849683</v>
      </c>
      <c r="E7" s="6" t="n">
        <v>3815.516210835</v>
      </c>
      <c r="F7" s="6" t="n">
        <v>10656.7754784813</v>
      </c>
      <c r="G7" s="6" t="n">
        <v>0.0</v>
      </c>
      <c r="H7" s="6" t="n">
        <v>0.0</v>
      </c>
      <c r="I7" s="6" t="n">
        <v>0.0</v>
      </c>
      <c r="J7" s="6">
        <f si="1" t="shared"/>
        <v>221725.84397428459</v>
      </c>
      <c r="K7" s="6"/>
      <c r="L7" t="s">
        <v>56</v>
      </c>
      <c r="M7" s="6" t="n">
        <v>0.0</v>
      </c>
      <c r="N7" s="6" t="n">
        <v>0.0</v>
      </c>
      <c r="O7" s="6" t="n">
        <v>320682.0</v>
      </c>
      <c r="P7" s="6" t="n">
        <v>1097.0</v>
      </c>
      <c r="Q7" s="6" t="n">
        <v>11982.0</v>
      </c>
      <c r="R7" s="6" t="n">
        <v>1.0</v>
      </c>
      <c r="S7" s="6" t="n">
        <v>5.0</v>
      </c>
      <c r="T7" s="6" t="n">
        <v>0.0</v>
      </c>
      <c r="U7" s="6">
        <f si="0" t="shared"/>
        <v>334629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91643.0365607317</v>
      </c>
      <c r="F8" s="6" t="n">
        <v>376735.1926677049</v>
      </c>
      <c r="G8" s="6" t="n">
        <v>0.0</v>
      </c>
      <c r="H8" s="6" t="n">
        <v>0.0</v>
      </c>
      <c r="I8" s="6" t="n">
        <v>0.0</v>
      </c>
      <c r="J8" s="6">
        <f si="1" t="shared"/>
        <v>468378.2292284366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65736.0</v>
      </c>
      <c r="Q8" s="6" t="n">
        <v>216573.0</v>
      </c>
      <c r="R8" s="6" t="n">
        <v>0.0</v>
      </c>
      <c r="S8" s="6" t="n">
        <v>0.0</v>
      </c>
      <c r="T8" s="6" t="n">
        <v>0.0</v>
      </c>
      <c r="U8" s="6">
        <f si="0" t="shared"/>
        <v>281174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2053.6406139154</v>
      </c>
      <c r="G9" s="6" t="n">
        <v>0.0</v>
      </c>
      <c r="H9" s="6" t="n">
        <v>0.0</v>
      </c>
      <c r="I9" s="6" t="n">
        <v>0.0</v>
      </c>
      <c r="J9" s="6">
        <f si="1" t="shared"/>
        <v>2053.6406139154001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3710.067183186</v>
      </c>
      <c r="J13" s="6">
        <f si="1" t="shared"/>
        <v>3710.067183186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377.852839859</v>
      </c>
      <c r="C14" s="6" t="n">
        <v>4567.8014431551</v>
      </c>
      <c r="D14" s="6" t="n">
        <v>337.724647725</v>
      </c>
      <c r="E14" s="6" t="n">
        <v>243.463457593</v>
      </c>
      <c r="F14" s="6" t="n">
        <v>5584.6387331914</v>
      </c>
      <c r="G14" s="6" t="n">
        <v>95044.7554352582</v>
      </c>
      <c r="H14" s="6" t="n">
        <v>0.0</v>
      </c>
      <c r="I14" s="6" t="n">
        <v>0.0</v>
      </c>
      <c r="J14" s="6">
        <f si="1" t="shared"/>
        <v>106156.23655678169</v>
      </c>
      <c r="K14" s="6"/>
      <c r="L14" t="s">
        <v>4</v>
      </c>
      <c r="M14" s="6" t="n">
        <v>3381.0</v>
      </c>
      <c r="N14" s="6" t="n">
        <v>4631.0</v>
      </c>
      <c r="O14" s="6" t="n">
        <v>2550.0</v>
      </c>
      <c r="P14" s="6" t="n">
        <v>0.0</v>
      </c>
      <c r="Q14" s="6" t="n">
        <v>4038.0</v>
      </c>
      <c r="R14" s="6" t="n">
        <v>118380.0</v>
      </c>
      <c r="S14" s="6" t="n">
        <v>0.0</v>
      </c>
      <c r="T14" s="6" t="n">
        <v>0.0</v>
      </c>
      <c r="U14" s="6">
        <f si="0" t="shared"/>
        <v>124819</v>
      </c>
    </row>
    <row r="15" spans="1:21" x14ac:dyDescent="0.25">
      <c r="A15" s="4" t="s">
        <v>5</v>
      </c>
      <c r="B15" s="10" t="n">
        <v>45690.289298823904</v>
      </c>
      <c r="C15" s="10" t="n">
        <v>14140.2595746126</v>
      </c>
      <c r="D15" s="10" t="n">
        <v>13080.9868921558</v>
      </c>
      <c r="E15" s="10" t="n">
        <v>12213.7495786514</v>
      </c>
      <c r="F15" s="10" t="n">
        <v>106914.1949820079</v>
      </c>
      <c r="G15" s="10" t="n">
        <v>7699.8421964706</v>
      </c>
      <c r="H15" s="10" t="n">
        <v>96621.9896857204</v>
      </c>
      <c r="I15" s="10" t="n">
        <v>0.0</v>
      </c>
      <c r="J15" s="6">
        <f si="1" t="shared"/>
        <v>296361.3122084426</v>
      </c>
      <c r="K15" s="6"/>
      <c r="L15" s="4" t="s">
        <v>5</v>
      </c>
      <c r="M15" s="8" t="n">
        <v>78145.0</v>
      </c>
      <c r="N15" s="8" t="n">
        <v>60866.0</v>
      </c>
      <c r="O15" s="8" t="n">
        <v>32493.0</v>
      </c>
      <c r="P15" s="8" t="n">
        <v>0.0</v>
      </c>
      <c r="Q15" s="8" t="n">
        <v>77677.0</v>
      </c>
      <c r="R15" s="8" t="n">
        <v>14498.0</v>
      </c>
      <c r="S15" s="8" t="n">
        <v>296263.0</v>
      </c>
      <c r="T15" s="8" t="n">
        <v>0.0</v>
      </c>
      <c r="U15" s="6">
        <f si="0" t="shared"/>
        <v>533364</v>
      </c>
    </row>
    <row ht="15.75" r="16" spans="1:21" thickBot="1" x14ac:dyDescent="0.3">
      <c r="A16" s="12" t="s">
        <v>7</v>
      </c>
      <c r="B16" s="16">
        <f ref="B16:J16" si="2" t="shared">SUM(B5:B15)</f>
        <v>2892053.5196946822</v>
      </c>
      <c r="C16" s="16">
        <f si="2" t="shared"/>
        <v>847235.27113488014</v>
      </c>
      <c r="D16" s="16">
        <f si="2" t="shared"/>
        <v>493525.47286738333</v>
      </c>
      <c r="E16" s="16">
        <f si="2" t="shared"/>
        <v>204469.66805730731</v>
      </c>
      <c r="F16" s="16">
        <f si="2" t="shared"/>
        <v>564271.71007108176</v>
      </c>
      <c r="G16" s="16">
        <f si="2" t="shared"/>
        <v>102744.5976317288</v>
      </c>
      <c r="H16" s="16">
        <f si="2" t="shared"/>
        <v>96621.9896857204</v>
      </c>
      <c r="I16" s="16">
        <f si="2" t="shared"/>
        <v>5114.5698896619997</v>
      </c>
      <c r="J16" s="16">
        <f si="2" t="shared"/>
        <v>5206036.799032446</v>
      </c>
      <c r="L16" s="9" t="s">
        <v>7</v>
      </c>
      <c r="M16" s="16">
        <f ref="M16:U16" si="3" t="shared">SUM(M5:M15)</f>
        <v>3356151</v>
      </c>
      <c r="N16" s="16">
        <f si="3" t="shared"/>
        <v>1161837</v>
      </c>
      <c r="O16" s="16">
        <f si="3" t="shared"/>
        <v>625343</v>
      </c>
      <c r="P16" s="16">
        <f si="3" t="shared"/>
        <v>159155</v>
      </c>
      <c r="Q16" s="16">
        <f si="3" t="shared"/>
        <v>346912</v>
      </c>
      <c r="R16" s="16">
        <f si="3" t="shared"/>
        <v>123984</v>
      </c>
      <c r="S16" s="16">
        <f si="3" t="shared"/>
        <v>283507</v>
      </c>
      <c r="T16" s="16">
        <f si="3" t="shared"/>
        <v>0</v>
      </c>
      <c r="U16" s="16">
        <f si="3" t="shared"/>
        <v>6056889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6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6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0.98407078505810408</v>
      </c>
      <c r="C22" s="13">
        <f si="4" t="shared"/>
        <v>0.44545288129434607</v>
      </c>
      <c r="D22" s="13">
        <f si="4" t="shared"/>
        <v>0.37855397459303741</v>
      </c>
      <c r="E22" s="13">
        <f si="4" t="shared"/>
        <v>0.4492095479726852</v>
      </c>
      <c r="F22" s="13">
        <f si="4" t="shared"/>
        <v>2.4934514456116913E-2</v>
      </c>
      <c r="G22" s="13">
        <f si="4" t="shared"/>
        <v>0</v>
      </c>
      <c r="H22" s="13">
        <f si="4" t="shared"/>
        <v>0</v>
      </c>
      <c r="I22" s="13">
        <f si="4" t="shared"/>
        <v>0.27460817561900941</v>
      </c>
      <c r="J22" s="13">
        <f si="4" t="shared"/>
        <v>0.6756653873765156</v>
      </c>
      <c r="K22" s="6"/>
      <c r="L22" t="s">
        <v>1</v>
      </c>
      <c r="M22" s="13">
        <f ref="M22:P22" si="5" t="shared">M5/M$16</f>
        <v>0.97686486692642849</v>
      </c>
      <c r="N22" s="13">
        <f si="5" t="shared"/>
        <v>0.42823476959332507</v>
      </c>
      <c r="O22" s="13">
        <f si="5" t="shared"/>
        <v>0.28140236638132993</v>
      </c>
      <c r="P22" s="13">
        <f si="5" t="shared"/>
        <v>0.53080958813735035</v>
      </c>
      <c r="Q22" s="13">
        <f ref="Q22:U33" si="6" t="shared">Q5/Q$16</f>
        <v>5.0837099898533349E-2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0.66934279297507349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0.53246581301035611</v>
      </c>
      <c r="D23" s="13">
        <f si="7" t="shared"/>
        <v>0.17431152889811366</v>
      </c>
      <c r="E23" s="13">
        <f si="7" t="shared"/>
        <v>2.3006713572938098E-2</v>
      </c>
      <c r="F23" s="13">
        <f si="7" t="shared"/>
        <v>8.5521612412142137E-2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0.11335159960114366</v>
      </c>
      <c r="K23" s="6"/>
      <c r="L23" t="s">
        <v>12</v>
      </c>
      <c r="M23" s="13">
        <f ref="M23:P23" si="8" t="shared">M6/M$16</f>
        <v>0</v>
      </c>
      <c r="N23" s="13">
        <f si="8" t="shared"/>
        <v>0.5182646102680496</v>
      </c>
      <c r="O23" s="13">
        <f si="8" t="shared"/>
        <v>0.15231321051007207</v>
      </c>
      <c r="P23" s="13">
        <f si="8" t="shared"/>
        <v>2.8293173321604723E-2</v>
      </c>
      <c r="Q23" s="13">
        <f si="6" t="shared"/>
        <v>7.7477861820865232E-2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0.12032051437627468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0.4199449950998983</v>
      </c>
      <c r="E24" s="13">
        <f si="9" t="shared"/>
        <v>1.8660548760540924E-2</v>
      </c>
      <c r="F24" s="13">
        <f si="9" t="shared"/>
        <v>1.8885893601043473E-2</v>
      </c>
      <c r="G24" s="13">
        <f si="9" t="shared"/>
        <v>0</v>
      </c>
      <c r="H24" s="13">
        <f si="9" t="shared"/>
        <v>0</v>
      </c>
      <c r="I24" s="13">
        <f si="9" t="shared"/>
        <v>0</v>
      </c>
      <c r="J24" s="13">
        <f si="9" t="shared"/>
        <v>4.2590141509467022E-2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0.51309601290811602</v>
      </c>
      <c r="P24" s="13">
        <f si="10" t="shared"/>
        <v>1.1202915396940089E-2</v>
      </c>
      <c r="Q24" s="13">
        <f si="6" t="shared"/>
        <v>3.4515957937459645E-2</v>
      </c>
      <c r="R24" s="13">
        <f si="6" t="shared"/>
        <v>8.0655568460446504E-6</v>
      </c>
      <c r="S24" s="13">
        <f si="6" t="shared"/>
        <v>3.5272497680833275E-5</v>
      </c>
      <c r="T24" s="13" t="e">
        <f si="6" t="shared"/>
        <v>#DIV/0!</v>
      </c>
      <c r="U24" s="13">
        <f si="6" t="shared"/>
        <v>5.524766922425027E-2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0.44819868605179447</v>
      </c>
      <c r="F25" s="13">
        <f si="11" t="shared"/>
        <v>0.66764855643790344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8.9968290142606322E-2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>
        <f si="12" t="shared"/>
        <v>0.42969432314410483</v>
      </c>
      <c r="Q25" s="13">
        <f si="6" t="shared"/>
        <v>0.61337169080343146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4.6422181420197731E-2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3.6394534357511938E-3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3.9447293463178629E-4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>
        <f si="14" t="shared"/>
        <v>0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>
        <f si="16" t="shared"/>
        <v>0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>
        <f si="18" t="shared"/>
        <v>0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>
        <f si="20" t="shared"/>
        <v>0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0.72539182438099059</v>
      </c>
      <c r="J30" s="13">
        <f si="21" t="shared"/>
        <v>7.1264712993875199E-4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>
        <f si="22" t="shared"/>
        <v>0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1.3065209107848406E-4</v>
      </c>
      <c r="C31" s="13">
        <f si="23" t="shared"/>
        <v>5.3914203041104322E-3</v>
      </c>
      <c r="D31" s="13">
        <f si="23" t="shared"/>
        <v>6.8431046884534572E-4</v>
      </c>
      <c r="E31" s="13">
        <f si="23" t="shared"/>
        <v>1.1907069635617728E-3</v>
      </c>
      <c r="F31" s="13">
        <f si="23" t="shared"/>
        <v>9.8970737563431957E-3</v>
      </c>
      <c r="G31" s="13">
        <f si="23" t="shared"/>
        <v>0.92505842278861772</v>
      </c>
      <c r="H31" s="13">
        <f si="23" t="shared"/>
        <v>0</v>
      </c>
      <c r="I31" s="13">
        <f si="23" t="shared"/>
        <v>0</v>
      </c>
      <c r="J31" s="13">
        <f si="23" t="shared"/>
        <v>2.0390988510974619E-2</v>
      </c>
      <c r="K31" s="6"/>
      <c r="L31" t="s">
        <v>4</v>
      </c>
      <c r="M31" s="13">
        <f ref="M31:P31" si="24" t="shared">M14/M$16</f>
        <v>9.7313857451586654E-4</v>
      </c>
      <c r="N31" s="13">
        <f si="24" t="shared"/>
        <v>3.7449315179323779E-3</v>
      </c>
      <c r="O31" s="13">
        <f si="24" t="shared"/>
        <v>3.9162507615820435E-3</v>
      </c>
      <c r="P31" s="13">
        <f si="24" t="shared"/>
        <v>0</v>
      </c>
      <c r="Q31" s="13">
        <f si="6" t="shared"/>
        <v>1.1501475878608985E-2</v>
      </c>
      <c r="R31" s="13">
        <f si="6" t="shared"/>
        <v>0.8933652729384437</v>
      </c>
      <c r="S31" s="13">
        <f si="6" t="shared"/>
        <v>0</v>
      </c>
      <c r="T31" s="13" t="e">
        <f si="6" t="shared"/>
        <v>#DIV/0!</v>
      </c>
      <c r="U31" s="13">
        <f si="6" t="shared"/>
        <v>2.0607774056945735E-2</v>
      </c>
    </row>
    <row r="32" spans="1:21" x14ac:dyDescent="0.25">
      <c r="A32" s="4" t="s">
        <v>5</v>
      </c>
      <c r="B32" s="14">
        <f ref="B32:J32" si="25" t="shared">B15/B$16</f>
        <v>1.5798562850817328E-2</v>
      </c>
      <c r="C32" s="14">
        <f si="25" t="shared"/>
        <v>1.6689885391187244E-2</v>
      </c>
      <c r="D32" s="14">
        <f si="25" t="shared"/>
        <v>2.6505190940105398E-2</v>
      </c>
      <c r="E32" s="14">
        <f si="25" t="shared"/>
        <v>5.9733796678479549E-2</v>
      </c>
      <c r="F32" s="14">
        <f si="25" t="shared"/>
        <v>0.18947289590069974</v>
      </c>
      <c r="G32" s="14">
        <f si="25" t="shared"/>
        <v>7.4941577211382199E-2</v>
      </c>
      <c r="H32" s="14">
        <f si="25" t="shared"/>
        <v>1</v>
      </c>
      <c r="I32" s="14">
        <f si="25" t="shared"/>
        <v>0</v>
      </c>
      <c r="J32" s="14">
        <f si="25" t="shared"/>
        <v>5.6926472794722086E-2</v>
      </c>
      <c r="K32" s="6"/>
      <c r="L32" s="4" t="s">
        <v>5</v>
      </c>
      <c r="M32" s="14">
        <f ref="M32:P32" si="26" t="shared">M15/M$16</f>
        <v>2.2161994499055614E-2</v>
      </c>
      <c r="N32" s="14">
        <f si="26" t="shared"/>
        <v>4.975568862069292E-2</v>
      </c>
      <c r="O32" s="14">
        <f si="26" t="shared"/>
        <v>4.9272159438899933E-2</v>
      </c>
      <c r="P32" s="14">
        <f si="26" t="shared"/>
        <v>0</v>
      </c>
      <c r="Q32" s="14">
        <f si="6" t="shared"/>
        <v>0.21229591366110137</v>
      </c>
      <c r="R32" s="14">
        <f si="6" t="shared"/>
        <v>0.10662666150471029</v>
      </c>
      <c r="S32" s="14">
        <f si="6" t="shared"/>
        <v>0.99996472750231913</v>
      </c>
      <c r="T32" s="14" t="e">
        <f si="6" t="shared"/>
        <v>#DIV/0!</v>
      </c>
      <c r="U32" s="14">
        <f si="6" t="shared"/>
        <v>8.8059067947258068E-2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>
        <f si="28" t="shared"/>
        <v>1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6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-7.2059181316755927E-3</v>
      </c>
      <c r="N39" s="13">
        <f si="29" t="shared"/>
        <v>-1.7218111701020999E-2</v>
      </c>
      <c r="O39" s="13">
        <f si="29" t="shared"/>
        <v>-9.7151608211707485E-2</v>
      </c>
      <c r="P39" s="13">
        <f si="29" t="shared"/>
        <v>8.1600040164665155E-2</v>
      </c>
      <c r="Q39" s="13">
        <f ref="Q39:Q50" si="30" t="shared">Q22-F22</f>
        <v>2.5902585442416436E-2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-6.3225944014421165E-3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-1.4201202742306518E-2</v>
      </c>
      <c r="O40" s="13">
        <f si="29" t="shared"/>
        <v>-2.1998318388041588E-2</v>
      </c>
      <c r="P40" s="13">
        <f si="29" t="shared"/>
        <v>5.2864597486666255E-3</v>
      </c>
      <c r="Q40" s="13">
        <f si="30" t="shared"/>
        <v>-8.0437505912769047E-3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6.9689147751310215E-3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9.3151017808217718E-2</v>
      </c>
      <c r="P41" s="13">
        <f si="29" t="shared"/>
        <v>-7.4576333636008352E-3</v>
      </c>
      <c r="Q41" s="13">
        <f si="30" t="shared"/>
        <v>1.5630064336416172E-2</v>
      </c>
      <c r="R41" s="13">
        <f si="31" t="shared"/>
        <v>8.0655568460446504E-6</v>
      </c>
      <c r="S41" s="13">
        <f si="32" t="shared"/>
        <v>3.5272497680833275E-5</v>
      </c>
      <c r="T41" s="13" t="e">
        <f si="33" t="shared"/>
        <v>#DIV/0!</v>
      </c>
      <c r="U41" s="13">
        <f si="34" t="shared"/>
        <v>1.2657527714783248E-2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>
        <f si="29" t="shared"/>
        <v>-1.8504362907689642E-2</v>
      </c>
      <c r="Q42" s="13">
        <f si="30" t="shared"/>
        <v>-5.4276865634471982E-2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-4.3546108722408591E-2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>
        <f si="29" t="shared"/>
        <v>0</v>
      </c>
      <c r="Q43" s="13">
        <f si="30" t="shared"/>
        <v>-3.6394534357511938E-3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-3.9447293463178629E-4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>
        <f si="29" t="shared"/>
        <v>0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>
        <f ref="P45:P47" si="38" t="shared">P28-E28</f>
        <v>0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>
        <f si="38" t="shared"/>
        <v>0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>
        <f si="38" t="shared"/>
        <v>0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-7.1264712993875199E-4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8.424864834373825E-4</v>
      </c>
      <c r="N48" s="13">
        <f si="39" t="shared"/>
        <v>-1.6464887861780543E-3</v>
      </c>
      <c r="O48" s="13">
        <f si="39" t="shared"/>
        <v>3.2319402927366977E-3</v>
      </c>
      <c r="P48" s="13">
        <f si="39" t="shared"/>
        <v>-1.1907069635617728E-3</v>
      </c>
      <c r="Q48" s="13">
        <f si="30" t="shared"/>
        <v>1.6044021222657891E-3</v>
      </c>
      <c r="R48" s="13">
        <f si="31" t="shared"/>
        <v>-3.1693149850174018E-2</v>
      </c>
      <c r="S48" s="13">
        <f si="32" t="shared"/>
        <v>0</v>
      </c>
      <c r="T48" s="13" t="e">
        <f si="33" t="shared"/>
        <v>#DIV/0!</v>
      </c>
      <c r="U48" s="13">
        <f si="34" t="shared"/>
        <v>2.1678554597111613E-4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6.3634316482382852E-3</v>
      </c>
      <c r="N49" s="17">
        <f si="39" t="shared"/>
        <v>3.3065803229505676E-2</v>
      </c>
      <c r="O49" s="17">
        <f si="39" t="shared"/>
        <v>2.2766968498794535E-2</v>
      </c>
      <c r="P49" s="17">
        <f si="39" t="shared"/>
        <v>-5.9733796678479549E-2</v>
      </c>
      <c r="Q49" s="17">
        <f si="30" t="shared"/>
        <v>2.2823017760401632E-2</v>
      </c>
      <c r="R49" s="17">
        <f si="31" t="shared"/>
        <v>3.1685084293328086E-2</v>
      </c>
      <c r="S49" s="17">
        <f si="32" t="shared"/>
        <v>-3.5272497680871595E-5</v>
      </c>
      <c r="T49" s="17" t="e">
        <f si="33" t="shared"/>
        <v>#DIV/0!</v>
      </c>
      <c r="U49" s="13">
        <f si="34" t="shared"/>
        <v>3.1132595152535983E-2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>
        <f si="39" t="shared"/>
        <v>0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42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42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222521.97658634812</v>
      </c>
      <c r="C5" s="6" t="n">
        <v>26014.6239466375</v>
      </c>
      <c r="D5" s="6" t="n">
        <v>7727.910904442</v>
      </c>
      <c r="E5" s="6" t="n">
        <v>14329.393111251</v>
      </c>
      <c r="F5" s="6" t="n">
        <v>532.922625</v>
      </c>
      <c r="G5" s="6" t="n">
        <v>0.0</v>
      </c>
      <c r="H5" s="6" t="n">
        <v>0.0</v>
      </c>
      <c r="I5" s="6" t="n">
        <v>281.817625</v>
      </c>
      <c r="J5" s="6">
        <f>SUM(B5:I5)</f>
        <v>271408.64479867864</v>
      </c>
      <c r="K5" s="6"/>
      <c r="L5" t="s">
        <v>1</v>
      </c>
      <c r="M5" s="6" t="n">
        <v>201758.0</v>
      </c>
      <c r="N5" s="6" t="n">
        <v>15376.0</v>
      </c>
      <c r="O5" s="6" t="n">
        <v>11969.0</v>
      </c>
      <c r="P5" s="6" t="n">
        <v>0.0</v>
      </c>
      <c r="Q5" s="6" t="n">
        <v>2308.0</v>
      </c>
      <c r="R5" s="6" t="n">
        <v>0.0</v>
      </c>
      <c r="S5" s="6" t="n">
        <v>0.0</v>
      </c>
      <c r="T5" s="6" t="n">
        <v>1285.0</v>
      </c>
      <c r="U5" s="6">
        <f ref="U5:U15" si="0" t="shared">SUM(M5:T5)</f>
        <v>232523</v>
      </c>
    </row>
    <row r="6" spans="1:21" x14ac:dyDescent="0.25">
      <c r="A6" t="s">
        <v>12</v>
      </c>
      <c r="B6" s="6" t="n">
        <v>0.0</v>
      </c>
      <c r="C6" s="6" t="n">
        <v>290332.4455015727</v>
      </c>
      <c r="D6" s="6" t="n">
        <v>120633.021810761</v>
      </c>
      <c r="E6" s="6" t="n">
        <v>230.48097940399998</v>
      </c>
      <c r="F6" s="6" t="n">
        <v>9840.1809882788</v>
      </c>
      <c r="G6" s="6" t="n">
        <v>0.0</v>
      </c>
      <c r="H6" s="6" t="n">
        <v>0.0</v>
      </c>
      <c r="I6" s="6" t="n">
        <v>44390.738604024</v>
      </c>
      <c r="J6" s="6">
        <f ref="J6:J15" si="1" t="shared">SUM(B6:I6)</f>
        <v>465426.86788404052</v>
      </c>
      <c r="K6" s="6"/>
      <c r="L6" t="s">
        <v>12</v>
      </c>
      <c r="M6" s="6" t="n">
        <v>0.0</v>
      </c>
      <c r="N6" s="6" t="n">
        <v>323385.0</v>
      </c>
      <c r="O6" s="6" t="n">
        <v>106244.0</v>
      </c>
      <c r="P6" s="6" t="n">
        <v>0.0</v>
      </c>
      <c r="Q6" s="6" t="n">
        <v>8084.0</v>
      </c>
      <c r="R6" s="6" t="n">
        <v>0.0</v>
      </c>
      <c r="S6" s="6" t="n">
        <v>0.0</v>
      </c>
      <c r="T6" s="6" t="n">
        <v>56710.0</v>
      </c>
      <c r="U6" s="6">
        <f si="0" t="shared"/>
        <v>493637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478701.524821619</v>
      </c>
      <c r="E7" s="6" t="n">
        <v>9.9</v>
      </c>
      <c r="F7" s="6" t="n">
        <v>4825.156385366</v>
      </c>
      <c r="G7" s="6" t="n">
        <v>0.0</v>
      </c>
      <c r="H7" s="6" t="n">
        <v>0.0</v>
      </c>
      <c r="I7" s="6" t="n">
        <v>70380.923125</v>
      </c>
      <c r="J7" s="6">
        <f si="1" t="shared"/>
        <v>553917.50433198502</v>
      </c>
      <c r="K7" s="6"/>
      <c r="L7" t="s">
        <v>56</v>
      </c>
      <c r="M7" s="6" t="n">
        <v>0.0</v>
      </c>
      <c r="N7" s="6" t="n">
        <v>0.0</v>
      </c>
      <c r="O7" s="6" t="n">
        <v>464781.0</v>
      </c>
      <c r="P7" s="6" t="n">
        <v>0.0</v>
      </c>
      <c r="Q7" s="6" t="n">
        <v>3752.0</v>
      </c>
      <c r="R7" s="6" t="n">
        <v>0.0</v>
      </c>
      <c r="S7" s="6" t="n">
        <v>0.0</v>
      </c>
      <c r="T7" s="6" t="n">
        <v>56213.0</v>
      </c>
      <c r="U7" s="6">
        <f si="0" t="shared"/>
        <v>523778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12024.887139576</v>
      </c>
      <c r="F8" s="6" t="n">
        <v>90379.7974903167</v>
      </c>
      <c r="G8" s="6" t="n">
        <v>0.0</v>
      </c>
      <c r="H8" s="6" t="n">
        <v>0.0</v>
      </c>
      <c r="I8" s="6" t="n">
        <v>10298.046276788</v>
      </c>
      <c r="J8" s="6">
        <f si="1" t="shared"/>
        <v>112702.73090668069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50982.0</v>
      </c>
      <c r="R8" s="6" t="n">
        <v>0.0</v>
      </c>
      <c r="S8" s="6" t="n">
        <v>0.0</v>
      </c>
      <c r="T8" s="6" t="n">
        <v>243.0</v>
      </c>
      <c r="U8" s="6">
        <f si="0" t="shared"/>
        <v>51212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17.06375</v>
      </c>
      <c r="G9" s="6" t="n">
        <v>0.0</v>
      </c>
      <c r="H9" s="6" t="n">
        <v>0.0</v>
      </c>
      <c r="I9" s="6" t="n">
        <v>0.0</v>
      </c>
      <c r="J9" s="6">
        <f si="1" t="shared"/>
        <v>17.063749999999999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350566.746083824</v>
      </c>
      <c r="J13" s="6">
        <f si="1" t="shared"/>
        <v>350566.74608382402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360161.0</v>
      </c>
      <c r="U13" s="6">
        <f si="0" t="shared"/>
        <v>358913</v>
      </c>
    </row>
    <row r="14" spans="1:21" x14ac:dyDescent="0.25">
      <c r="A14" t="s">
        <v>4</v>
      </c>
      <c r="B14" s="6" t="n">
        <v>42.06125</v>
      </c>
      <c r="C14" s="6" t="n">
        <v>2965.13055716</v>
      </c>
      <c r="D14" s="6" t="n">
        <v>996.4035</v>
      </c>
      <c r="E14" s="6" t="n">
        <v>0.0</v>
      </c>
      <c r="F14" s="6" t="n">
        <v>1101.497262843</v>
      </c>
      <c r="G14" s="6" t="n">
        <v>22263.999937734</v>
      </c>
      <c r="H14" s="6" t="n">
        <v>0.0</v>
      </c>
      <c r="I14" s="6" t="n">
        <v>1548.13125</v>
      </c>
      <c r="J14" s="6">
        <f si="1" t="shared"/>
        <v>28917.223757736996</v>
      </c>
      <c r="K14" s="6"/>
      <c r="L14" t="s">
        <v>4</v>
      </c>
      <c r="M14" s="6" t="n">
        <v>459.0</v>
      </c>
      <c r="N14" s="6" t="n">
        <v>3181.0</v>
      </c>
      <c r="O14" s="6" t="n">
        <v>3840.0</v>
      </c>
      <c r="P14" s="6" t="n">
        <v>0.0</v>
      </c>
      <c r="Q14" s="6" t="n">
        <v>1499.0</v>
      </c>
      <c r="R14" s="6" t="n">
        <v>22188.0</v>
      </c>
      <c r="S14" s="6" t="n">
        <v>0.0</v>
      </c>
      <c r="T14" s="6" t="n">
        <v>2958.0</v>
      </c>
      <c r="U14" s="6">
        <f si="0" t="shared"/>
        <v>34281</v>
      </c>
    </row>
    <row r="15" spans="1:21" x14ac:dyDescent="0.25">
      <c r="A15" s="4" t="s">
        <v>5</v>
      </c>
      <c r="B15" s="10" t="n">
        <v>2353.9022836912</v>
      </c>
      <c r="C15" s="10" t="n">
        <v>17727.0157394805</v>
      </c>
      <c r="D15" s="10" t="n">
        <v>22397.770899834</v>
      </c>
      <c r="E15" s="10" t="n">
        <v>482.93125</v>
      </c>
      <c r="F15" s="10" t="n">
        <v>21523.8377664279</v>
      </c>
      <c r="G15" s="10" t="n">
        <v>1203.1604532640001</v>
      </c>
      <c r="H15" s="10" t="n">
        <v>136201.3825688781</v>
      </c>
      <c r="I15" s="10" t="n">
        <v>13143.316485361</v>
      </c>
      <c r="J15" s="6">
        <f si="1" t="shared"/>
        <v>215033.31744693671</v>
      </c>
      <c r="K15" s="6"/>
      <c r="L15" s="4" t="s">
        <v>5</v>
      </c>
      <c r="M15" s="8" t="n">
        <v>5118.0</v>
      </c>
      <c r="N15" s="8" t="n">
        <v>24007.0</v>
      </c>
      <c r="O15" s="8" t="n">
        <v>29407.0</v>
      </c>
      <c r="P15" s="8" t="n">
        <v>0.0</v>
      </c>
      <c r="Q15" s="8" t="n">
        <v>15812.0</v>
      </c>
      <c r="R15" s="8" t="n">
        <v>1756.0</v>
      </c>
      <c r="S15" s="8" t="n">
        <v>215599.0</v>
      </c>
      <c r="T15" s="8" t="n">
        <v>32367.0</v>
      </c>
      <c r="U15" s="6">
        <f si="0" t="shared"/>
        <v>323175</v>
      </c>
    </row>
    <row ht="15.75" r="16" spans="1:21" thickBot="1" x14ac:dyDescent="0.3">
      <c r="A16" s="12" t="s">
        <v>7</v>
      </c>
      <c r="B16" s="16">
        <f ref="B16:J16" si="2" t="shared">SUM(B5:B15)</f>
        <v>224917.9401200393</v>
      </c>
      <c r="C16" s="16">
        <f si="2" t="shared"/>
        <v>337039.21574485069</v>
      </c>
      <c r="D16" s="16">
        <f si="2" t="shared"/>
        <v>630456.63193665596</v>
      </c>
      <c r="E16" s="16">
        <f si="2" t="shared"/>
        <v>27077.592480231</v>
      </c>
      <c r="F16" s="16">
        <f si="2" t="shared"/>
        <v>128220.4562682324</v>
      </c>
      <c r="G16" s="16">
        <f si="2" t="shared"/>
        <v>23467.160390998</v>
      </c>
      <c r="H16" s="16">
        <f si="2" t="shared"/>
        <v>136201.38256887809</v>
      </c>
      <c r="I16" s="16">
        <f si="2" t="shared"/>
        <v>490609.71944999701</v>
      </c>
      <c r="J16" s="16">
        <f si="2" t="shared"/>
        <v>1997990.0989598825</v>
      </c>
      <c r="L16" s="9" t="s">
        <v>7</v>
      </c>
      <c r="M16" s="16">
        <f ref="M16:U16" si="3" t="shared">SUM(M5:M15)</f>
        <v>207085</v>
      </c>
      <c r="N16" s="16">
        <f si="3" t="shared"/>
        <v>365590</v>
      </c>
      <c r="O16" s="16">
        <f si="3" t="shared"/>
        <v>614891</v>
      </c>
      <c r="P16" s="16">
        <f si="3" t="shared"/>
        <v>0</v>
      </c>
      <c r="Q16" s="16">
        <f si="3" t="shared"/>
        <v>82194</v>
      </c>
      <c r="R16" s="16">
        <f si="3" t="shared"/>
        <v>24162</v>
      </c>
      <c r="S16" s="16">
        <f si="3" t="shared"/>
        <v>215191</v>
      </c>
      <c r="T16" s="16">
        <f si="3" t="shared"/>
        <v>508406</v>
      </c>
      <c r="U16" s="16">
        <f si="3" t="shared"/>
        <v>2017519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42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42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0.98934738806334233</v>
      </c>
      <c r="C22" s="13">
        <f si="4" t="shared"/>
        <v>7.7185747922969866E-2</v>
      </c>
      <c r="D22" s="13">
        <f si="4" t="shared"/>
        <v>1.2257640752708346E-2</v>
      </c>
      <c r="E22" s="13">
        <f si="4" t="shared"/>
        <v>0.52919745807212015</v>
      </c>
      <c r="F22" s="13">
        <f si="4" t="shared"/>
        <v>4.1562995524298072E-3</v>
      </c>
      <c r="G22" s="13">
        <f si="4" t="shared"/>
        <v>0</v>
      </c>
      <c r="H22" s="13">
        <f si="4" t="shared"/>
        <v>0</v>
      </c>
      <c r="I22" s="13">
        <f si="4" t="shared"/>
        <v>5.7442324077055487E-4</v>
      </c>
      <c r="J22" s="13">
        <f si="4" t="shared"/>
        <v>0.13584083571783917</v>
      </c>
      <c r="K22" s="6"/>
      <c r="L22" t="s">
        <v>1</v>
      </c>
      <c r="M22" s="13">
        <f ref="M22:P22" si="5" t="shared">M5/M$16</f>
        <v>0.97303522708066736</v>
      </c>
      <c r="N22" s="13">
        <f si="5" t="shared"/>
        <v>4.2107278645477177E-2</v>
      </c>
      <c r="O22" s="13">
        <f si="5" t="shared"/>
        <v>1.9489633121967959E-2</v>
      </c>
      <c r="P22" s="13" t="e">
        <f si="5" t="shared"/>
        <v>#DIV/0!</v>
      </c>
      <c r="Q22" s="13">
        <f ref="Q22:U33" si="6" t="shared">Q5/Q$16</f>
        <v>2.8323235272647639E-2</v>
      </c>
      <c r="R22" s="13">
        <f si="6" t="shared"/>
        <v>0</v>
      </c>
      <c r="S22" s="13">
        <f si="6" t="shared"/>
        <v>0</v>
      </c>
      <c r="T22" s="13">
        <f si="6" t="shared"/>
        <v>2.5884824333308417E-3</v>
      </c>
      <c r="U22" s="13">
        <f si="6" t="shared"/>
        <v>0.11525195053925143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0.86142036872458039</v>
      </c>
      <c r="D23" s="13">
        <f si="7" t="shared"/>
        <v>0.19134229969188649</v>
      </c>
      <c r="E23" s="13">
        <f si="7" t="shared"/>
        <v>8.5118711928422429E-3</v>
      </c>
      <c r="F23" s="13">
        <f si="7" t="shared"/>
        <v>7.6744236252704559E-2</v>
      </c>
      <c r="G23" s="13">
        <f si="7" t="shared"/>
        <v>0</v>
      </c>
      <c r="H23" s="13">
        <f si="7" t="shared"/>
        <v>0</v>
      </c>
      <c r="I23" s="13">
        <f si="7" t="shared"/>
        <v>9.0480756585476316E-2</v>
      </c>
      <c r="J23" s="13">
        <f si="7" t="shared"/>
        <v>0.23294753468815152</v>
      </c>
      <c r="K23" s="6"/>
      <c r="L23" t="s">
        <v>12</v>
      </c>
      <c r="M23" s="13">
        <f ref="M23:P23" si="8" t="shared">M6/M$16</f>
        <v>0</v>
      </c>
      <c r="N23" s="13">
        <f si="8" t="shared"/>
        <v>0.88376049673131107</v>
      </c>
      <c r="O23" s="13">
        <f si="8" t="shared"/>
        <v>0.17250049195711109</v>
      </c>
      <c r="P23" s="13" t="e">
        <f si="8" t="shared"/>
        <v>#DIV/0!</v>
      </c>
      <c r="Q23" s="13">
        <f si="6" t="shared"/>
        <v>9.6637224128281865E-2</v>
      </c>
      <c r="R23" s="13">
        <f si="6" t="shared"/>
        <v>0</v>
      </c>
      <c r="S23" s="13">
        <f si="6" t="shared"/>
        <v>0</v>
      </c>
      <c r="T23" s="13">
        <f si="6" t="shared"/>
        <v>0.1111926295126336</v>
      </c>
      <c r="U23" s="13">
        <f si="6" t="shared"/>
        <v>0.24467526699872466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0.75929334481125055</v>
      </c>
      <c r="E24" s="13">
        <f si="9" t="shared"/>
        <v>3.6561596113937611E-4</v>
      </c>
      <c r="F24" s="13">
        <f si="9" t="shared"/>
        <v>3.7631720599027918E-2</v>
      </c>
      <c r="G24" s="13">
        <f si="9" t="shared"/>
        <v>0</v>
      </c>
      <c r="H24" s="13">
        <f si="9" t="shared"/>
        <v>0</v>
      </c>
      <c r="I24" s="13">
        <f si="9" t="shared"/>
        <v>0.14345603100546245</v>
      </c>
      <c r="J24" s="13">
        <f si="9" t="shared"/>
        <v>0.27723736199711124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0.75428653208454832</v>
      </c>
      <c r="P24" s="13" t="e">
        <f si="10" t="shared"/>
        <v>#DIV/0!</v>
      </c>
      <c r="Q24" s="13">
        <f si="6" t="shared"/>
        <v>4.6134754361632238E-2</v>
      </c>
      <c r="R24" s="13">
        <f si="6" t="shared"/>
        <v>0</v>
      </c>
      <c r="S24" s="13">
        <f si="6" t="shared"/>
        <v>0</v>
      </c>
      <c r="T24" s="13">
        <f si="6" t="shared"/>
        <v>0.11050617026549647</v>
      </c>
      <c r="U24" s="13">
        <f si="6" t="shared"/>
        <v>0.25961490325493836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0.44408996657864669</v>
      </c>
      <c r="F25" s="13">
        <f si="11" t="shared"/>
        <v>0.70487814597419263</v>
      </c>
      <c r="G25" s="13">
        <f si="11" t="shared"/>
        <v>0</v>
      </c>
      <c r="H25" s="13">
        <f si="11" t="shared"/>
        <v>0</v>
      </c>
      <c r="I25" s="13">
        <f si="11" t="shared"/>
        <v>2.0990302206676071E-2</v>
      </c>
      <c r="J25" s="13">
        <f si="11" t="shared"/>
        <v>5.640805275529228E-2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0.62028858554152366</v>
      </c>
      <c r="R25" s="13">
        <f si="6" t="shared"/>
        <v>0</v>
      </c>
      <c r="S25" s="13">
        <f si="6" t="shared"/>
        <v>0</v>
      </c>
      <c r="T25" s="13">
        <f si="6" t="shared"/>
        <v>4.4846048237038905E-4</v>
      </c>
      <c r="U25" s="13">
        <f si="6" t="shared"/>
        <v>2.5383651901171686E-2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1.3308133894254182E-4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8.5404577374447847E-6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>
        <f si="6" t="shared"/>
        <v>0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>
        <f si="6" t="shared"/>
        <v>0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>
        <f si="6" t="shared"/>
        <v>0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>
        <f si="6" t="shared"/>
        <v>0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0.71455320224155039</v>
      </c>
      <c r="J30" s="13">
        <f si="21" t="shared"/>
        <v>0.17545970136004313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>
        <f si="6" t="shared"/>
        <v>0.70595744346054135</v>
      </c>
      <c r="U30" s="13">
        <f si="6" t="shared"/>
        <v>0.17789820071087312</v>
      </c>
    </row>
    <row r="31" spans="1:21" x14ac:dyDescent="0.25">
      <c r="A31" t="s">
        <v>4</v>
      </c>
      <c r="B31" s="13">
        <f ref="B31:J31" si="23" t="shared">B14/B$16</f>
        <v>1.8700709235355703E-4</v>
      </c>
      <c r="C31" s="13">
        <f si="23" t="shared"/>
        <v>8.7975832444515817E-3</v>
      </c>
      <c r="D31" s="13">
        <f si="23" t="shared"/>
        <v>1.5804473290085273E-3</v>
      </c>
      <c r="E31" s="13">
        <f si="23" t="shared"/>
        <v>0</v>
      </c>
      <c r="F31" s="13">
        <f si="23" t="shared"/>
        <v>8.590651561391334E-3</v>
      </c>
      <c r="G31" s="13">
        <f si="23" t="shared"/>
        <v>0.94873003664620903</v>
      </c>
      <c r="H31" s="13">
        <f si="23" t="shared"/>
        <v>0</v>
      </c>
      <c r="I31" s="13">
        <f si="23" t="shared"/>
        <v>3.1555250306405428E-3</v>
      </c>
      <c r="J31" s="13">
        <f si="23" t="shared"/>
        <v>1.4473156685206188E-2</v>
      </c>
      <c r="K31" s="6"/>
      <c r="L31" t="s">
        <v>4</v>
      </c>
      <c r="M31" s="13">
        <f ref="M31:P31" si="24" t="shared">M14/M$16</f>
        <v>2.2454547649515899E-3</v>
      </c>
      <c r="N31" s="13">
        <f si="24" t="shared"/>
        <v>8.7283569025410988E-3</v>
      </c>
      <c r="O31" s="13">
        <f si="24" t="shared"/>
        <v>6.1474310080973701E-3</v>
      </c>
      <c r="P31" s="13" t="e">
        <f si="24" t="shared"/>
        <v>#DIV/0!</v>
      </c>
      <c r="Q31" s="13">
        <f si="6" t="shared"/>
        <v>1.7799352750809062E-2</v>
      </c>
      <c r="R31" s="13">
        <f si="6" t="shared"/>
        <v>0.92624782716662524</v>
      </c>
      <c r="S31" s="13">
        <f si="6" t="shared"/>
        <v>0</v>
      </c>
      <c r="T31" s="13">
        <f si="6" t="shared"/>
        <v>5.9047296845434558E-3</v>
      </c>
      <c r="U31" s="13">
        <f si="6" t="shared"/>
        <v>1.6991661540733942E-2</v>
      </c>
    </row>
    <row r="32" spans="1:21" x14ac:dyDescent="0.25">
      <c r="A32" s="4" t="s">
        <v>5</v>
      </c>
      <c r="B32" s="14">
        <f ref="B32:J32" si="25" t="shared">B15/B$16</f>
        <v>1.0465604844304177E-2</v>
      </c>
      <c r="C32" s="14">
        <f si="25" t="shared"/>
        <v>5.2596300107998144E-2</v>
      </c>
      <c r="D32" s="14">
        <f si="25" t="shared"/>
        <v>3.5526267415146133E-2</v>
      </c>
      <c r="E32" s="14">
        <f si="25" t="shared"/>
        <v>1.7835088195251547E-2</v>
      </c>
      <c r="F32" s="14">
        <f si="25" t="shared"/>
        <v>0.16786586472131121</v>
      </c>
      <c r="G32" s="14">
        <f si="25" t="shared"/>
        <v>5.1269963353790873E-2</v>
      </c>
      <c r="H32" s="14">
        <f si="25" t="shared"/>
        <v>1</v>
      </c>
      <c r="I32" s="14">
        <f si="25" t="shared"/>
        <v>2.6789759689423698E-2</v>
      </c>
      <c r="J32" s="14">
        <f si="25" t="shared"/>
        <v>0.10762481633861908</v>
      </c>
      <c r="K32" s="6"/>
      <c r="L32" s="4" t="s">
        <v>5</v>
      </c>
      <c r="M32" s="14">
        <f ref="M32:P32" si="26" t="shared">M15/M$16</f>
        <v>2.471931815438105E-2</v>
      </c>
      <c r="N32" s="14">
        <f si="26" t="shared"/>
        <v>6.5403867720670694E-2</v>
      </c>
      <c r="O32" s="14">
        <f si="26" t="shared"/>
        <v>4.7575911828275252E-2</v>
      </c>
      <c r="P32" s="14" t="e">
        <f si="26" t="shared"/>
        <v>#DIV/0!</v>
      </c>
      <c r="Q32" s="14">
        <f si="6" t="shared"/>
        <v>0.19081684794510548</v>
      </c>
      <c r="R32" s="14">
        <f si="6" t="shared"/>
        <v>7.3752172833374721E-2</v>
      </c>
      <c r="S32" s="14">
        <f si="6" t="shared"/>
        <v>1</v>
      </c>
      <c r="T32" s="14">
        <f si="6" t="shared"/>
        <v>6.3402084161083852E-2</v>
      </c>
      <c r="U32" s="14">
        <f si="6" t="shared"/>
        <v>0.1601843650543068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>
        <f si="6" t="shared"/>
        <v>1</v>
      </c>
      <c r="U33" s="15">
        <f si="6" t="shared"/>
        <v>1</v>
      </c>
    </row>
    <row ht="15.75" r="36" spans="1:32" thickBot="1" x14ac:dyDescent="0.3">
      <c r="L36" s="1" t="s">
        <v>18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42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-1.6312160982674961E-2</v>
      </c>
      <c r="N39" s="13">
        <f si="29" t="shared"/>
        <v>-3.507846927749269E-2</v>
      </c>
      <c r="O39" s="13">
        <f si="29" t="shared"/>
        <v>7.2319923692596138E-3</v>
      </c>
      <c r="P39" s="13" t="e">
        <f si="29" t="shared"/>
        <v>#DIV/0!</v>
      </c>
      <c r="Q39" s="13">
        <f ref="Q39:Q50" si="30" t="shared">Q22-F22</f>
        <v>2.416693572021783E-2</v>
      </c>
      <c r="R39" s="13">
        <f ref="R39:R50" si="31" t="shared">R22-G22</f>
        <v>0</v>
      </c>
      <c r="S39" s="13">
        <f ref="S39:S50" si="32" t="shared">S22-H22</f>
        <v>0</v>
      </c>
      <c r="T39" s="13">
        <f ref="T39:T50" si="33" t="shared">T22-I22</f>
        <v>2.0140591925602866E-3</v>
      </c>
      <c r="U39" s="13">
        <f ref="U39:U50" si="34" t="shared">U22-J22</f>
        <v>-2.0588885178587743E-2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2.2340128006730686E-2</v>
      </c>
      <c r="O40" s="13">
        <f si="29" t="shared"/>
        <v>-1.8841807734775395E-2</v>
      </c>
      <c r="P40" s="13" t="e">
        <f si="29" t="shared"/>
        <v>#DIV/0!</v>
      </c>
      <c r="Q40" s="13">
        <f si="30" t="shared"/>
        <v>1.9892987875577306E-2</v>
      </c>
      <c r="R40" s="13">
        <f si="31" t="shared"/>
        <v>0</v>
      </c>
      <c r="S40" s="13">
        <f si="32" t="shared"/>
        <v>0</v>
      </c>
      <c r="T40" s="13">
        <f si="33" t="shared"/>
        <v>2.0711872927157288E-2</v>
      </c>
      <c r="U40" s="13">
        <f si="34" t="shared"/>
        <v>1.1727732310573141E-2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-5.0068127267022255E-3</v>
      </c>
      <c r="P41" s="13" t="e">
        <f si="29" t="shared"/>
        <v>#DIV/0!</v>
      </c>
      <c r="Q41" s="13">
        <f si="30" t="shared"/>
        <v>8.5030337626043201E-3</v>
      </c>
      <c r="R41" s="13">
        <f si="31" t="shared"/>
        <v>0</v>
      </c>
      <c r="S41" s="13">
        <f si="32" t="shared"/>
        <v>0</v>
      </c>
      <c r="T41" s="13">
        <f si="33" t="shared"/>
        <v>-3.2949860739965975E-2</v>
      </c>
      <c r="U41" s="13">
        <f si="34" t="shared"/>
        <v>-1.7622458742172886E-2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-8.4589560432668964E-2</v>
      </c>
      <c r="R42" s="13">
        <f si="31" t="shared"/>
        <v>0</v>
      </c>
      <c r="S42" s="13">
        <f si="32" t="shared"/>
        <v>0</v>
      </c>
      <c r="T42" s="13">
        <f si="33" t="shared"/>
        <v>-2.0541841724305683E-2</v>
      </c>
      <c r="U42" s="13">
        <f si="34" t="shared"/>
        <v>-3.1024400854120594E-2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-1.3308133894254182E-4</v>
      </c>
      <c r="R43" s="13">
        <f si="31" t="shared"/>
        <v>0</v>
      </c>
      <c r="S43" s="13">
        <f si="32" t="shared"/>
        <v>0</v>
      </c>
      <c r="T43" s="13">
        <f si="33" t="shared"/>
        <v>0</v>
      </c>
      <c r="U43" s="13">
        <f si="34" t="shared"/>
        <v>-8.5404577374447847E-6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>
        <f si="33" t="shared"/>
        <v>0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>
        <f si="33" t="shared"/>
        <v>0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>
        <f si="33" t="shared"/>
        <v>0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>
        <f si="33" t="shared"/>
        <v>-8.5957587810090441E-3</v>
      </c>
      <c r="U47" s="13">
        <f si="34" t="shared"/>
        <v>2.4384993508299868E-3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2.058447672598033E-3</v>
      </c>
      <c r="N48" s="13">
        <f si="39" t="shared"/>
        <v>-6.9226341910482922E-5</v>
      </c>
      <c r="O48" s="13">
        <f si="39" t="shared"/>
        <v>4.5669836790888426E-3</v>
      </c>
      <c r="P48" s="13" t="e">
        <f si="39" t="shared"/>
        <v>#DIV/0!</v>
      </c>
      <c r="Q48" s="13">
        <f si="30" t="shared"/>
        <v>9.2087011894177277E-3</v>
      </c>
      <c r="R48" s="13">
        <f si="31" t="shared"/>
        <v>-2.2482209479583792E-2</v>
      </c>
      <c r="S48" s="13">
        <f si="32" t="shared"/>
        <v>0</v>
      </c>
      <c r="T48" s="13">
        <f si="33" t="shared"/>
        <v>2.749204653902913E-3</v>
      </c>
      <c r="U48" s="13">
        <f si="34" t="shared"/>
        <v>2.5185048555277541E-3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1.4253713310076873E-2</v>
      </c>
      <c r="N49" s="17">
        <f si="39" t="shared"/>
        <v>1.280756761267255E-2</v>
      </c>
      <c r="O49" s="17">
        <f si="39" t="shared"/>
        <v>1.2049644413129119E-2</v>
      </c>
      <c r="P49" s="17" t="e">
        <f si="39" t="shared"/>
        <v>#DIV/0!</v>
      </c>
      <c r="Q49" s="17">
        <f si="30" t="shared"/>
        <v>2.2950983223794269E-2</v>
      </c>
      <c r="R49" s="17">
        <f si="31" t="shared"/>
        <v>2.2482209479583848E-2</v>
      </c>
      <c r="S49" s="17">
        <f si="32" t="shared"/>
        <v>0</v>
      </c>
      <c r="T49" s="17">
        <f si="33" t="shared"/>
        <v>3.6612324471660157E-2</v>
      </c>
      <c r="U49" s="13">
        <f si="34" t="shared"/>
        <v>5.2559548715687729E-2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>
        <f si="33" t="shared"/>
        <v>0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AF50"/>
  <sheetViews>
    <sheetView workbookViewId="0" zoomScaleNormal="10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31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43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43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52927.3605264524</v>
      </c>
      <c r="C5" s="6" t="n">
        <v>396390.4821353514</v>
      </c>
      <c r="D5" s="6" t="n">
        <v>146937.1248664695</v>
      </c>
      <c r="E5" s="6" t="n">
        <v>373.067856556</v>
      </c>
      <c r="F5" s="6" t="n">
        <v>298.0264508996</v>
      </c>
      <c r="G5" s="6" t="n">
        <v>0.0</v>
      </c>
      <c r="H5" s="6" t="n">
        <v>0.0</v>
      </c>
      <c r="I5" s="6" t="n">
        <v>0.0</v>
      </c>
      <c r="J5" s="6">
        <f>SUM(B5:I5)</f>
        <v>596926.06183572893</v>
      </c>
      <c r="K5" s="6"/>
      <c r="L5" t="s">
        <v>1</v>
      </c>
      <c r="M5" s="6" t="n">
        <v>18011.0</v>
      </c>
      <c r="N5" s="6" t="n">
        <v>244563.0</v>
      </c>
      <c r="O5" s="6" t="n">
        <v>145851.0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406856</v>
      </c>
    </row>
    <row r="6" spans="1:21" x14ac:dyDescent="0.25">
      <c r="A6" t="s">
        <v>12</v>
      </c>
      <c r="B6" s="6" t="n">
        <v>0.0</v>
      </c>
      <c r="C6" s="6" t="n">
        <v>433849.1964675311</v>
      </c>
      <c r="D6" s="6" t="n">
        <v>251550.0097209555</v>
      </c>
      <c r="E6" s="6" t="n">
        <v>0.0</v>
      </c>
      <c r="F6" s="6" t="n">
        <v>688.3299841567</v>
      </c>
      <c r="G6" s="6" t="n">
        <v>0.0</v>
      </c>
      <c r="H6" s="6" t="n">
        <v>0.0</v>
      </c>
      <c r="I6" s="6" t="n">
        <v>659.6315</v>
      </c>
      <c r="J6" s="6">
        <f ref="J6:J15" si="1" t="shared">SUM(B6:I6)</f>
        <v>686747.16767264332</v>
      </c>
      <c r="K6" s="6"/>
      <c r="L6" t="s">
        <v>12</v>
      </c>
      <c r="M6" s="6" t="n">
        <v>0.0</v>
      </c>
      <c r="N6" s="6" t="n">
        <v>461061.0</v>
      </c>
      <c r="O6" s="6" t="n">
        <v>124079.0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si="0" t="shared"/>
        <v>582758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532459.0305925972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532459.03059259721</v>
      </c>
      <c r="K7" s="6"/>
      <c r="L7" t="s">
        <v>56</v>
      </c>
      <c r="M7" s="6" t="n">
        <v>0.0</v>
      </c>
      <c r="N7" s="6" t="n">
        <v>0.0</v>
      </c>
      <c r="O7" s="6" t="n">
        <v>487276.0</v>
      </c>
      <c r="P7" s="6" t="n">
        <v>0.0</v>
      </c>
      <c r="Q7" s="6" t="n">
        <v>0.0</v>
      </c>
      <c r="R7" s="6" t="n">
        <v>1.0</v>
      </c>
      <c r="S7" s="6" t="n">
        <v>1.0</v>
      </c>
      <c r="T7" s="6" t="n">
        <v>0.0</v>
      </c>
      <c r="U7" s="6">
        <f si="0" t="shared"/>
        <v>485592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373.067856556</v>
      </c>
      <c r="F8" s="6" t="n">
        <v>7070.435136692499</v>
      </c>
      <c r="G8" s="6" t="n">
        <v>0.0</v>
      </c>
      <c r="H8" s="6" t="n">
        <v>0.0</v>
      </c>
      <c r="I8" s="6" t="n">
        <v>0.0</v>
      </c>
      <c r="J8" s="6">
        <f si="1" t="shared"/>
        <v>7443.5029932484995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>
        <f si="0" t="shared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1978.8944999999999</v>
      </c>
      <c r="J13" s="6">
        <f si="1" t="shared"/>
        <v>1978.8944999999999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5674.0894081838</v>
      </c>
      <c r="D14" s="6" t="n">
        <v>166.035106589</v>
      </c>
      <c r="E14" s="6" t="n">
        <v>0.0</v>
      </c>
      <c r="F14" s="6" t="n">
        <v>0.0</v>
      </c>
      <c r="G14" s="6" t="n">
        <v>5171.3558293273</v>
      </c>
      <c r="H14" s="6" t="n">
        <v>0.0</v>
      </c>
      <c r="I14" s="6" t="n">
        <v>0.0</v>
      </c>
      <c r="J14" s="6">
        <f si="1" t="shared"/>
        <v>11011.480344100099</v>
      </c>
      <c r="K14" s="6"/>
      <c r="L14" t="s">
        <v>4</v>
      </c>
      <c r="M14" s="6" t="n">
        <v>6.0</v>
      </c>
      <c r="N14" s="6" t="n">
        <v>5092.0</v>
      </c>
      <c r="O14" s="6" t="n">
        <v>5662.0</v>
      </c>
      <c r="P14" s="6" t="n">
        <v>0.0</v>
      </c>
      <c r="Q14" s="6" t="n">
        <v>0.0</v>
      </c>
      <c r="R14" s="6" t="n">
        <v>6129.0</v>
      </c>
      <c r="S14" s="6" t="n">
        <v>0.0</v>
      </c>
      <c r="T14" s="6" t="n">
        <v>0.0</v>
      </c>
      <c r="U14" s="6">
        <f si="0" t="shared"/>
        <v>16935</v>
      </c>
    </row>
    <row r="15" spans="1:21" x14ac:dyDescent="0.25">
      <c r="A15" s="4" t="s">
        <v>5</v>
      </c>
      <c r="B15" s="10" t="n">
        <v>4326.086940846</v>
      </c>
      <c r="C15" s="10" t="n">
        <v>9552.7248647721</v>
      </c>
      <c r="D15" s="10" t="n">
        <v>32795.0383664672</v>
      </c>
      <c r="E15" s="10" t="n">
        <v>373.067856556</v>
      </c>
      <c r="F15" s="10" t="n">
        <v>234.56112695000002</v>
      </c>
      <c r="G15" s="10" t="n">
        <v>369.703052246</v>
      </c>
      <c r="H15" s="10" t="n">
        <v>71252.3229915978</v>
      </c>
      <c r="I15" s="10" t="n">
        <v>0.0</v>
      </c>
      <c r="J15" s="6">
        <f si="1" t="shared"/>
        <v>118903.50519943509</v>
      </c>
      <c r="K15" s="6"/>
      <c r="L15" s="4" t="s">
        <v>5</v>
      </c>
      <c r="M15" s="8" t="n">
        <v>40.0</v>
      </c>
      <c r="N15" s="8" t="n">
        <v>32429.0</v>
      </c>
      <c r="O15" s="8" t="n">
        <v>33244.0</v>
      </c>
      <c r="P15" s="8" t="n">
        <v>0.0</v>
      </c>
      <c r="Q15" s="8" t="n">
        <v>0.0</v>
      </c>
      <c r="R15" s="8" t="n">
        <v>159.0</v>
      </c>
      <c r="S15" s="8" t="n">
        <v>52323.0</v>
      </c>
      <c r="T15" s="8" t="n">
        <v>0.0</v>
      </c>
      <c r="U15" s="6">
        <f si="0" t="shared"/>
        <v>118337</v>
      </c>
    </row>
    <row ht="15.75" r="16" spans="1:21" thickBot="1" x14ac:dyDescent="0.3">
      <c r="A16" s="12" t="s">
        <v>7</v>
      </c>
      <c r="B16" s="16">
        <f ref="B16:J16" si="2" t="shared">SUM(B5:B15)</f>
        <v>57253.4474672984</v>
      </c>
      <c r="C16" s="16">
        <f si="2" t="shared"/>
        <v>845466.4928758383</v>
      </c>
      <c r="D16" s="16">
        <f si="2" t="shared"/>
        <v>963907.23865307844</v>
      </c>
      <c r="E16" s="16">
        <f si="2" t="shared"/>
        <v>1119.203569668</v>
      </c>
      <c r="F16" s="16">
        <f si="2" t="shared"/>
        <v>8291.3526986987999</v>
      </c>
      <c r="G16" s="16">
        <f si="2" t="shared"/>
        <v>5541.0588815732999</v>
      </c>
      <c r="H16" s="16">
        <f si="2" t="shared"/>
        <v>71252.322991597801</v>
      </c>
      <c r="I16" s="16">
        <f si="2" t="shared"/>
        <v>2638.5259999999998</v>
      </c>
      <c r="J16" s="16">
        <f si="2" t="shared"/>
        <v>1955469.6431377532</v>
      </c>
      <c r="L16" s="9" t="s">
        <v>7</v>
      </c>
      <c r="M16" s="16">
        <f ref="M16:U16" si="3" t="shared">SUM(M5:M15)</f>
        <v>18018</v>
      </c>
      <c r="N16" s="16">
        <f si="3" t="shared"/>
        <v>740031</v>
      </c>
      <c r="O16" s="16">
        <f si="3" t="shared"/>
        <v>793459</v>
      </c>
      <c r="P16" s="16">
        <f si="3" t="shared"/>
        <v>0</v>
      </c>
      <c r="Q16" s="16">
        <f si="3" t="shared"/>
        <v>0</v>
      </c>
      <c r="R16" s="16">
        <f si="3" t="shared"/>
        <v>6233</v>
      </c>
      <c r="S16" s="16">
        <f si="3" t="shared"/>
        <v>52737</v>
      </c>
      <c r="T16" s="16">
        <f si="3" t="shared"/>
        <v>0</v>
      </c>
      <c r="U16" s="16">
        <f si="3" t="shared"/>
        <v>1610478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32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43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43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0.92443971267726821</v>
      </c>
      <c r="C22" s="13">
        <f si="4" t="shared"/>
        <v>0.46884233198531222</v>
      </c>
      <c r="D22" s="13">
        <f si="4" t="shared"/>
        <v>0.15243907190882078</v>
      </c>
      <c r="E22" s="13">
        <f si="4" t="shared"/>
        <v>0.33333333333333331</v>
      </c>
      <c r="F22" s="13">
        <f si="4" t="shared"/>
        <v>3.5944249597097785E-2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0.30525969243782242</v>
      </c>
      <c r="K22" s="6"/>
      <c r="L22" t="s">
        <v>1</v>
      </c>
      <c r="M22" s="13">
        <f ref="M22:P22" si="5" t="shared">M5/M$16</f>
        <v>0.99589299589299585</v>
      </c>
      <c r="N22" s="13">
        <f si="5" t="shared"/>
        <v>0.32934431125182595</v>
      </c>
      <c r="O22" s="13">
        <f si="5" t="shared"/>
        <v>0.18297983890787048</v>
      </c>
      <c r="P22" s="13" t="e">
        <f si="5" t="shared"/>
        <v>#DIV/0!</v>
      </c>
      <c r="Q22" s="13" t="e">
        <f ref="Q22:U33" si="6" t="shared">Q5/Q$16</f>
        <v>#DIV/0!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0.2526305854535113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0.51314771208945398</v>
      </c>
      <c r="D23" s="13">
        <f si="7" t="shared"/>
        <v>0.26096910535961992</v>
      </c>
      <c r="E23" s="13">
        <f si="7" t="shared"/>
        <v>0</v>
      </c>
      <c r="F23" s="13">
        <f si="7" t="shared"/>
        <v>8.3017814965792344E-2</v>
      </c>
      <c r="G23" s="13">
        <f si="7" t="shared"/>
        <v>0</v>
      </c>
      <c r="H23" s="13">
        <f si="7" t="shared"/>
        <v>0</v>
      </c>
      <c r="I23" s="13">
        <f si="7" t="shared"/>
        <v>0.25</v>
      </c>
      <c r="J23" s="13">
        <f si="7" t="shared"/>
        <v>0.35119295770334052</v>
      </c>
      <c r="K23" s="6"/>
      <c r="L23" t="s">
        <v>12</v>
      </c>
      <c r="M23" s="13">
        <f ref="M23:P23" si="8" t="shared">M6/M$16</f>
        <v>0</v>
      </c>
      <c r="N23" s="13">
        <f si="8" t="shared"/>
        <v>0.62009699593665668</v>
      </c>
      <c r="O23" s="13">
        <f si="8" t="shared"/>
        <v>0.15611014557778033</v>
      </c>
      <c r="P23" s="13" t="e">
        <f si="8" t="shared"/>
        <v>#DIV/0!</v>
      </c>
      <c r="Q23" s="13" t="e">
        <f si="6" t="shared"/>
        <v>#DIV/0!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0.36185405823612615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0.55239654734477561</v>
      </c>
      <c r="E24" s="13">
        <f si="9" t="shared"/>
        <v>0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>
        <f si="9" t="shared"/>
        <v>0</v>
      </c>
      <c r="J24" s="13">
        <f si="9" t="shared"/>
        <v>0.27229214856959461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0.61199255412062881</v>
      </c>
      <c r="P24" s="13" t="e">
        <f si="10" t="shared"/>
        <v>#DIV/0!</v>
      </c>
      <c r="Q24" s="13" t="e">
        <f si="6" t="shared"/>
        <v>#DIV/0!</v>
      </c>
      <c r="R24" s="13">
        <f si="6" t="shared"/>
        <v>1.6043638697256537E-4</v>
      </c>
      <c r="S24" s="13">
        <f si="6" t="shared"/>
        <v>0</v>
      </c>
      <c r="T24" s="13" t="e">
        <f si="6" t="shared"/>
        <v>#DIV/0!</v>
      </c>
      <c r="U24" s="13">
        <f si="6" t="shared"/>
        <v>0.30152041816156444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0.33333333333333331</v>
      </c>
      <c r="F25" s="13">
        <f si="11" t="shared"/>
        <v>0.85274808509859856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3.8065039870957187E-3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 t="e">
        <f si="6" t="shared"/>
        <v>#DIV/0!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0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 t="e">
        <f si="6" t="shared"/>
        <v>#DIV/0!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 t="e">
        <f si="6" t="shared"/>
        <v>#DIV/0!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 t="e">
        <f si="6" t="shared"/>
        <v>#DIV/0!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 t="e">
        <f si="6" t="shared"/>
        <v>#DIV/0!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0.75</v>
      </c>
      <c r="J30" s="13">
        <f si="21" t="shared"/>
        <v>1.011979146260056E-3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 t="e">
        <f si="6" t="shared"/>
        <v>#DIV/0!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6.7111937090297826E-3</v>
      </c>
      <c r="D31" s="13">
        <f si="23" t="shared"/>
        <v>1.7225216279214808E-4</v>
      </c>
      <c r="E31" s="13">
        <f si="23" t="shared"/>
        <v>0</v>
      </c>
      <c r="F31" s="13">
        <f si="23" t="shared"/>
        <v>0</v>
      </c>
      <c r="G31" s="13">
        <f si="23" t="shared"/>
        <v>0.93327934964281978</v>
      </c>
      <c r="H31" s="13">
        <f si="23" t="shared"/>
        <v>0</v>
      </c>
      <c r="I31" s="13">
        <f si="23" t="shared"/>
        <v>0</v>
      </c>
      <c r="J31" s="13">
        <f si="23" t="shared"/>
        <v>5.6311180195214071E-3</v>
      </c>
      <c r="K31" s="6"/>
      <c r="L31" t="s">
        <v>4</v>
      </c>
      <c r="M31" s="13">
        <f ref="M31:P31" si="24" t="shared">M14/M$16</f>
        <v>6.105006105006105E-4</v>
      </c>
      <c r="N31" s="13">
        <f si="24" t="shared"/>
        <v>6.8078229155265121E-3</v>
      </c>
      <c r="O31" s="13">
        <f si="24" t="shared"/>
        <v>7.3400137877319433E-3</v>
      </c>
      <c r="P31" s="13" t="e">
        <f si="24" t="shared"/>
        <v>#DIV/0!</v>
      </c>
      <c r="Q31" s="13" t="e">
        <f si="6" t="shared"/>
        <v>#DIV/0!</v>
      </c>
      <c r="R31" s="13">
        <f si="6" t="shared"/>
        <v>0.97256537782769137</v>
      </c>
      <c r="S31" s="13">
        <f si="6" t="shared"/>
        <v>0</v>
      </c>
      <c r="T31" s="13" t="e">
        <f si="6" t="shared"/>
        <v>#DIV/0!</v>
      </c>
      <c r="U31" s="13">
        <f si="6" t="shared"/>
        <v>1.0515511543777686E-2</v>
      </c>
    </row>
    <row r="32" spans="1:21" x14ac:dyDescent="0.25">
      <c r="A32" s="4" t="s">
        <v>5</v>
      </c>
      <c r="B32" s="14">
        <f ref="B32:J32" si="25" t="shared">B15/B$16</f>
        <v>7.5560287322731831E-2</v>
      </c>
      <c r="C32" s="14">
        <f si="25" t="shared"/>
        <v>1.1298762216204083E-2</v>
      </c>
      <c r="D32" s="14">
        <f si="25" t="shared"/>
        <v>3.4023023223991491E-2</v>
      </c>
      <c r="E32" s="14">
        <f si="25" t="shared"/>
        <v>0.33333333333333331</v>
      </c>
      <c r="F32" s="14">
        <f si="25" t="shared"/>
        <v>2.8289850338511204E-2</v>
      </c>
      <c r="G32" s="14">
        <f si="25" t="shared"/>
        <v>6.6720650357180181E-2</v>
      </c>
      <c r="H32" s="14">
        <f si="25" t="shared"/>
        <v>1</v>
      </c>
      <c r="I32" s="14">
        <f si="25" t="shared"/>
        <v>0</v>
      </c>
      <c r="J32" s="14">
        <f si="25" t="shared"/>
        <v>6.0805600136365261E-2</v>
      </c>
      <c r="K32" s="6"/>
      <c r="L32" s="4" t="s">
        <v>5</v>
      </c>
      <c r="M32" s="14">
        <f ref="M32:P32" si="26" t="shared">M15/M$16</f>
        <v>3.4965034965034965E-3</v>
      </c>
      <c r="N32" s="14">
        <f si="26" t="shared"/>
        <v>4.3750869895990842E-2</v>
      </c>
      <c r="O32" s="14">
        <f si="26" t="shared"/>
        <v>4.1577447605988464E-2</v>
      </c>
      <c r="P32" s="14" t="e">
        <f si="26" t="shared"/>
        <v>#DIV/0!</v>
      </c>
      <c r="Q32" s="14" t="e">
        <f si="6" t="shared"/>
        <v>#DIV/0!</v>
      </c>
      <c r="R32" s="14">
        <f si="6" t="shared"/>
        <v>2.7274185785336115E-2</v>
      </c>
      <c r="S32" s="14">
        <f si="6" t="shared"/>
        <v>1</v>
      </c>
      <c r="T32" s="14" t="e">
        <f si="6" t="shared"/>
        <v>#DIV/0!</v>
      </c>
      <c r="U32" s="14">
        <f si="6" t="shared"/>
        <v>7.3479426605020368E-2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 t="e">
        <f si="6" t="shared"/>
        <v>#DIV/0!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19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43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16</v>
      </c>
      <c r="S38" s="5" t="s">
        <v>4</v>
      </c>
      <c r="T38" s="5" t="s">
        <v>5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7.1453283215727637E-2</v>
      </c>
      <c r="N39" s="13">
        <f si="29" t="shared"/>
        <v>-0.13949802073348627</v>
      </c>
      <c r="O39" s="13">
        <f si="29" t="shared"/>
        <v>3.0540766999049701E-2</v>
      </c>
      <c r="P39" s="13" t="e">
        <f si="29" t="shared"/>
        <v>#DIV/0!</v>
      </c>
      <c r="Q39" s="13" t="e">
        <f ref="Q39:Q50" si="30" t="shared">Q22-F22</f>
        <v>#DIV/0!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-5.2629106984311114E-2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0.1069492838472027</v>
      </c>
      <c r="O40" s="13">
        <f si="29" t="shared"/>
        <v>-0.10485895978183959</v>
      </c>
      <c r="P40" s="13" t="e">
        <f si="29" t="shared"/>
        <v>#DIV/0!</v>
      </c>
      <c r="Q40" s="13" t="e">
        <f si="30" t="shared"/>
        <v>#DIV/0!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1.0661100532785628E-2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5.9596006775853194E-2</v>
      </c>
      <c r="P41" s="13" t="e">
        <f si="29" t="shared"/>
        <v>#DIV/0!</v>
      </c>
      <c r="Q41" s="13" t="e">
        <f si="30" t="shared"/>
        <v>#DIV/0!</v>
      </c>
      <c r="R41" s="13">
        <f si="31" t="shared"/>
        <v>1.6043638697256537E-4</v>
      </c>
      <c r="S41" s="13">
        <f si="32" t="shared"/>
        <v>0</v>
      </c>
      <c r="T41" s="13" t="e">
        <f si="33" t="shared"/>
        <v>#DIV/0!</v>
      </c>
      <c r="U41" s="13">
        <f si="34" t="shared"/>
        <v>2.9228269591969835E-2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 t="e">
        <f si="30" t="shared"/>
        <v>#DIV/0!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-3.8065039870957187E-3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 t="e">
        <f si="30" t="shared"/>
        <v>#DIV/0!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 t="e">
        <f si="30" t="shared"/>
        <v>#DIV/0!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 t="e">
        <f si="30" t="shared"/>
        <v>#DIV/0!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 t="e">
        <f si="30" t="shared"/>
        <v>#DIV/0!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 t="e">
        <f si="30" t="shared"/>
        <v>#DIV/0!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-1.011979146260056E-3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6.105006105006105E-4</v>
      </c>
      <c r="N48" s="13">
        <f si="39" t="shared"/>
        <v>9.6629206496729424E-5</v>
      </c>
      <c r="O48" s="13">
        <f si="39" t="shared"/>
        <v>7.1677616249397951E-3</v>
      </c>
      <c r="P48" s="13" t="e">
        <f si="39" t="shared"/>
        <v>#DIV/0!</v>
      </c>
      <c r="Q48" s="13" t="e">
        <f si="30" t="shared"/>
        <v>#DIV/0!</v>
      </c>
      <c r="R48" s="13">
        <f si="31" t="shared"/>
        <v>3.9286028184871591E-2</v>
      </c>
      <c r="S48" s="13">
        <f si="32" t="shared"/>
        <v>0</v>
      </c>
      <c r="T48" s="13" t="e">
        <f si="33" t="shared"/>
        <v>#DIV/0!</v>
      </c>
      <c r="U48" s="13">
        <f si="34" t="shared"/>
        <v>4.8843935242562789E-3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-7.2063783826228328E-2</v>
      </c>
      <c r="N49" s="17">
        <f si="39" t="shared"/>
        <v>3.2452107679786762E-2</v>
      </c>
      <c r="O49" s="17">
        <f si="39" t="shared"/>
        <v>7.5544243819969728E-3</v>
      </c>
      <c r="P49" s="17" t="e">
        <f si="39" t="shared"/>
        <v>#DIV/0!</v>
      </c>
      <c r="Q49" s="17" t="e">
        <f si="30" t="shared"/>
        <v>#DIV/0!</v>
      </c>
      <c r="R49" s="17">
        <f si="31" t="shared"/>
        <v>-3.9446464571844066E-2</v>
      </c>
      <c r="S49" s="17">
        <f si="32" t="shared"/>
        <v>0</v>
      </c>
      <c r="T49" s="17" t="e">
        <f si="33" t="shared"/>
        <v>#DIV/0!</v>
      </c>
      <c r="U49" s="13">
        <f si="34" t="shared"/>
        <v>1.2673826468655107E-2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 t="e">
        <f si="30" t="shared"/>
        <v>#DIV/0!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33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44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44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696165.8743531762</v>
      </c>
      <c r="C5" s="6" t="n">
        <v>28974.1597224348</v>
      </c>
      <c r="D5" s="6" t="n">
        <v>14622.1971247273</v>
      </c>
      <c r="E5" s="6" t="n">
        <v>3469.925244096</v>
      </c>
      <c r="F5" s="6" t="n">
        <v>1050.293716173</v>
      </c>
      <c r="G5" s="6" t="n">
        <v>0.0</v>
      </c>
      <c r="H5" s="6" t="n">
        <v>0.0</v>
      </c>
      <c r="I5" s="6" t="n">
        <v>0.0</v>
      </c>
      <c r="J5" s="6">
        <f>SUM(B5:I5)</f>
        <v>744282.45016060735</v>
      </c>
      <c r="K5" s="6"/>
      <c r="L5" t="s">
        <v>1</v>
      </c>
      <c r="M5" s="6" t="n">
        <v>666471.0</v>
      </c>
      <c r="N5" s="6" t="n">
        <v>33654.0</v>
      </c>
      <c r="O5" s="6" t="n">
        <v>9741.0</v>
      </c>
      <c r="P5" s="6" t="n">
        <v>0.0</v>
      </c>
      <c r="Q5" s="6" t="n">
        <v>410.0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708290</v>
      </c>
    </row>
    <row r="6" spans="1:21" x14ac:dyDescent="0.25">
      <c r="A6" t="s">
        <v>12</v>
      </c>
      <c r="B6" s="6" t="n">
        <v>0.0</v>
      </c>
      <c r="C6" s="6" t="n">
        <v>462828.516870877</v>
      </c>
      <c r="D6" s="6" t="n">
        <v>40625.4632805012</v>
      </c>
      <c r="E6" s="6" t="n">
        <v>0.0</v>
      </c>
      <c r="F6" s="6" t="n">
        <v>8253.9479754855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511707.92812686373</v>
      </c>
      <c r="K6" s="6"/>
      <c r="L6" t="s">
        <v>12</v>
      </c>
      <c r="M6" s="6" t="n">
        <v>0.0</v>
      </c>
      <c r="N6" s="6" t="n">
        <v>417854.0</v>
      </c>
      <c r="O6" s="6" t="n">
        <v>60518.0</v>
      </c>
      <c r="P6" s="6" t="n">
        <v>0.0</v>
      </c>
      <c r="Q6" s="6" t="n">
        <v>4667.0</v>
      </c>
      <c r="R6" s="6" t="n">
        <v>0.0</v>
      </c>
      <c r="S6" s="6" t="n">
        <v>0.0</v>
      </c>
      <c r="T6" s="6" t="n">
        <v>0.0</v>
      </c>
      <c r="U6" s="6">
        <f si="0" t="shared"/>
        <v>481222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342634.8368082903</v>
      </c>
      <c r="E7" s="6" t="n">
        <v>376.597523036</v>
      </c>
      <c r="F7" s="6" t="n">
        <v>261.652913556</v>
      </c>
      <c r="G7" s="6" t="n">
        <v>0.0</v>
      </c>
      <c r="H7" s="6" t="n">
        <v>0.0</v>
      </c>
      <c r="I7" s="6" t="n">
        <v>918.411125</v>
      </c>
      <c r="J7" s="6">
        <f si="1" t="shared"/>
        <v>344191.49836988229</v>
      </c>
      <c r="K7" s="6"/>
      <c r="L7" t="s">
        <v>56</v>
      </c>
      <c r="M7" s="6" t="n">
        <v>0.0</v>
      </c>
      <c r="N7" s="6" t="n">
        <v>0.0</v>
      </c>
      <c r="O7" s="6" t="n">
        <v>285608.0</v>
      </c>
      <c r="P7" s="6" t="n">
        <v>0.0</v>
      </c>
      <c r="Q7" s="6" t="n">
        <v>2050.0</v>
      </c>
      <c r="R7" s="6" t="n">
        <v>0.0</v>
      </c>
      <c r="S7" s="6" t="n">
        <v>4.0</v>
      </c>
      <c r="T7" s="6" t="n">
        <v>0.0</v>
      </c>
      <c r="U7" s="6">
        <f si="0" t="shared"/>
        <v>286715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2793.2312176259998</v>
      </c>
      <c r="F8" s="6" t="n">
        <v>75442.2594817482</v>
      </c>
      <c r="G8" s="6" t="n">
        <v>0.0</v>
      </c>
      <c r="H8" s="6" t="n">
        <v>0.0</v>
      </c>
      <c r="I8" s="6" t="n">
        <v>0.0</v>
      </c>
      <c r="J8" s="6">
        <f si="1" t="shared"/>
        <v>78235.490699374204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28567.0</v>
      </c>
      <c r="R8" s="6" t="n">
        <v>0.0</v>
      </c>
      <c r="S8" s="6" t="n">
        <v>0.0</v>
      </c>
      <c r="T8" s="6" t="n">
        <v>0.0</v>
      </c>
      <c r="U8" s="6">
        <f si="0" t="shared"/>
        <v>28513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4801.467375</v>
      </c>
      <c r="J13" s="6">
        <f si="1" t="shared"/>
        <v>4801.4673750000002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1493.612561511</v>
      </c>
      <c r="C14" s="6" t="n">
        <v>597.85108062</v>
      </c>
      <c r="D14" s="6" t="n">
        <v>0.0</v>
      </c>
      <c r="E14" s="6" t="n">
        <v>0.0</v>
      </c>
      <c r="F14" s="6" t="n">
        <v>1500.082466872</v>
      </c>
      <c r="G14" s="6" t="n">
        <v>14834.572279027601</v>
      </c>
      <c r="H14" s="6" t="n">
        <v>0.0</v>
      </c>
      <c r="I14" s="6" t="n">
        <v>0.0</v>
      </c>
      <c r="J14" s="6">
        <f si="1" t="shared"/>
        <v>18426.118388030602</v>
      </c>
      <c r="K14" s="6"/>
      <c r="L14" t="s">
        <v>4</v>
      </c>
      <c r="M14" s="6" t="n">
        <v>914.0</v>
      </c>
      <c r="N14" s="6" t="n">
        <v>936.0</v>
      </c>
      <c r="O14" s="6" t="n">
        <v>590.0</v>
      </c>
      <c r="P14" s="6" t="n">
        <v>0.0</v>
      </c>
      <c r="Q14" s="6" t="n">
        <v>522.0</v>
      </c>
      <c r="R14" s="6" t="n">
        <v>12128.0</v>
      </c>
      <c r="S14" s="6" t="n">
        <v>0.0</v>
      </c>
      <c r="T14" s="6" t="n">
        <v>0.0</v>
      </c>
      <c r="U14" s="6">
        <f si="0" t="shared"/>
        <v>15440</v>
      </c>
    </row>
    <row r="15" spans="1:21" x14ac:dyDescent="0.25">
      <c r="A15" s="4" t="s">
        <v>5</v>
      </c>
      <c r="B15" s="10" t="n">
        <v>10978.5246973767</v>
      </c>
      <c r="C15" s="10" t="n">
        <v>4407.4861800294</v>
      </c>
      <c r="D15" s="10" t="n">
        <v>4407.5817223416</v>
      </c>
      <c r="E15" s="10" t="n">
        <v>239.334385272</v>
      </c>
      <c r="F15" s="10" t="n">
        <v>19518.6900781032</v>
      </c>
      <c r="G15" s="10" t="n">
        <v>2685.77572214</v>
      </c>
      <c r="H15" s="10" t="n">
        <v>149584.7963929759</v>
      </c>
      <c r="I15" s="10" t="n">
        <v>0.0</v>
      </c>
      <c r="J15" s="6">
        <f si="1" t="shared"/>
        <v>191822.1891782388</v>
      </c>
      <c r="K15" s="6"/>
      <c r="L15" s="4" t="s">
        <v>5</v>
      </c>
      <c r="M15" s="8" t="n">
        <v>11263.0</v>
      </c>
      <c r="N15" s="8" t="n">
        <v>6172.0</v>
      </c>
      <c r="O15" s="8" t="n">
        <v>3236.0</v>
      </c>
      <c r="P15" s="8" t="n">
        <v>0.0</v>
      </c>
      <c r="Q15" s="8" t="n">
        <v>6648.0</v>
      </c>
      <c r="R15" s="8" t="n">
        <v>759.0</v>
      </c>
      <c r="S15" s="8" t="n">
        <v>172480.0</v>
      </c>
      <c r="T15" s="8" t="n">
        <v>0.0</v>
      </c>
      <c r="U15" s="6">
        <f si="0" t="shared"/>
        <v>199972</v>
      </c>
    </row>
    <row ht="15.75" r="16" spans="1:21" thickBot="1" x14ac:dyDescent="0.3">
      <c r="A16" s="12" t="s">
        <v>7</v>
      </c>
      <c r="B16" s="16">
        <f ref="B16:J16" si="2" t="shared">SUM(B5:B15)</f>
        <v>708638.01161206386</v>
      </c>
      <c r="C16" s="16">
        <f si="2" t="shared"/>
        <v>496808.01385396125</v>
      </c>
      <c r="D16" s="16">
        <f si="2" t="shared"/>
        <v>402290.07893586037</v>
      </c>
      <c r="E16" s="16">
        <f si="2" t="shared"/>
        <v>6879.0883700299992</v>
      </c>
      <c r="F16" s="16">
        <f si="2" t="shared"/>
        <v>106026.92663193791</v>
      </c>
      <c r="G16" s="16">
        <f si="2" t="shared"/>
        <v>17520.3480011676</v>
      </c>
      <c r="H16" s="16">
        <f si="2" t="shared"/>
        <v>149584.7963929759</v>
      </c>
      <c r="I16" s="16">
        <f si="2" t="shared"/>
        <v>5719.8784999999998</v>
      </c>
      <c r="J16" s="16">
        <f si="2" t="shared"/>
        <v>1893467.1422979971</v>
      </c>
      <c r="L16" s="9" t="s">
        <v>7</v>
      </c>
      <c r="M16" s="16">
        <f ref="M16:U16" si="3" t="shared">SUM(M5:M15)</f>
        <v>676493</v>
      </c>
      <c r="N16" s="16">
        <f si="3" t="shared"/>
        <v>457235</v>
      </c>
      <c r="O16" s="16">
        <f si="3" t="shared"/>
        <v>358524</v>
      </c>
      <c r="P16" s="16">
        <f si="3" t="shared"/>
        <v>0</v>
      </c>
      <c r="Q16" s="16">
        <f si="3" t="shared"/>
        <v>42505</v>
      </c>
      <c r="R16" s="16">
        <f si="3" t="shared"/>
        <v>13204</v>
      </c>
      <c r="S16" s="16">
        <f si="3" t="shared"/>
        <v>172191</v>
      </c>
      <c r="T16" s="16">
        <f si="3" t="shared"/>
        <v>0</v>
      </c>
      <c r="U16" s="16">
        <f si="3" t="shared"/>
        <v>1720152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44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44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0.98239984723580509</v>
      </c>
      <c r="C22" s="13">
        <f si="4" t="shared"/>
        <v>5.8320636774091716E-2</v>
      </c>
      <c r="D22" s="13">
        <f si="4" t="shared"/>
        <v>3.6347396792399171E-2</v>
      </c>
      <c r="E22" s="13">
        <f si="4" t="shared"/>
        <v>0.50441643680772597</v>
      </c>
      <c r="F22" s="13">
        <f si="4" t="shared"/>
        <v>9.9059149362971891E-3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0.39307914752474266</v>
      </c>
      <c r="K22" s="6"/>
      <c r="L22" t="s">
        <v>1</v>
      </c>
      <c r="M22" s="13">
        <f ref="M22:P22" si="5" t="shared">M5/M$16</f>
        <v>0.98226145725085112</v>
      </c>
      <c r="N22" s="13">
        <f si="5" t="shared"/>
        <v>7.372357759139174E-2</v>
      </c>
      <c r="O22" s="13">
        <f si="5" t="shared"/>
        <v>2.7063739108121074E-2</v>
      </c>
      <c r="P22" s="13" t="e">
        <f si="5" t="shared"/>
        <v>#DIV/0!</v>
      </c>
      <c r="Q22" s="13">
        <f ref="Q22:U33" si="6" t="shared">Q5/Q$16</f>
        <v>9.0577579108340189E-3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0.41176012352396762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0.93160437022847087</v>
      </c>
      <c r="D23" s="13">
        <f si="7" t="shared"/>
        <v>0.10098549630645595</v>
      </c>
      <c r="E23" s="13">
        <f si="7" t="shared"/>
        <v>0</v>
      </c>
      <c r="F23" s="13">
        <f si="7" t="shared"/>
        <v>7.7847658492811667E-2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0.27024917237583107</v>
      </c>
      <c r="K23" s="6"/>
      <c r="L23" t="s">
        <v>12</v>
      </c>
      <c r="M23" s="13">
        <f ref="M23:P23" si="8" t="shared">M6/M$16</f>
        <v>0</v>
      </c>
      <c r="N23" s="13">
        <f si="8" t="shared"/>
        <v>0.91090139643728063</v>
      </c>
      <c r="O23" s="13">
        <f si="8" t="shared"/>
        <v>0.16782697950485881</v>
      </c>
      <c r="P23" s="13" t="e">
        <f si="8" t="shared"/>
        <v>#DIV/0!</v>
      </c>
      <c r="Q23" s="13">
        <f si="6" t="shared"/>
        <v>0.10718738971885661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0.27975550997818799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0.85171087916120025</v>
      </c>
      <c r="E24" s="13">
        <f si="9" t="shared"/>
        <v>5.47452660554145E-2</v>
      </c>
      <c r="F24" s="13">
        <f si="9" t="shared"/>
        <v>2.4677968311229322E-3</v>
      </c>
      <c r="G24" s="13">
        <f si="9" t="shared"/>
        <v>0</v>
      </c>
      <c r="H24" s="13">
        <f si="9" t="shared"/>
        <v>0</v>
      </c>
      <c r="I24" s="13">
        <f si="9" t="shared"/>
        <v>0.16056479608788893</v>
      </c>
      <c r="J24" s="13">
        <f si="9" t="shared"/>
        <v>0.18177843738664298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0.79422855931541547</v>
      </c>
      <c r="P24" s="13" t="e">
        <f si="10" t="shared"/>
        <v>#DIV/0!</v>
      </c>
      <c r="Q24" s="13">
        <f si="6" t="shared"/>
        <v>4.6182802023291378E-2</v>
      </c>
      <c r="R24" s="13">
        <f si="6" t="shared"/>
        <v>0</v>
      </c>
      <c r="S24" s="13">
        <f si="6" t="shared"/>
        <v>1.1615008914519342E-5</v>
      </c>
      <c r="T24" s="13" t="e">
        <f si="6" t="shared"/>
        <v>#DIV/0!</v>
      </c>
      <c r="U24" s="13">
        <f si="6" t="shared"/>
        <v>0.16668003757807451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0.40604671249685059</v>
      </c>
      <c r="F25" s="13">
        <f si="11" t="shared"/>
        <v>0.71153868058100578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4.1318641845785653E-2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0.67081519821197511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1.657586073788828E-2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0.83943520391211113</v>
      </c>
      <c r="J30" s="13">
        <f si="21" t="shared"/>
        <v>2.5358070746201188E-3</v>
      </c>
      <c r="K30" s="6"/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2.1077228952384535E-3</v>
      </c>
      <c r="C31" s="13">
        <f si="23" t="shared"/>
        <v>1.2033845347666648E-3</v>
      </c>
      <c r="D31" s="13">
        <f si="23" t="shared"/>
        <v>0</v>
      </c>
      <c r="E31" s="13">
        <f si="23" t="shared"/>
        <v>0</v>
      </c>
      <c r="F31" s="13">
        <f si="23" t="shared"/>
        <v>1.4148127409930397E-2</v>
      </c>
      <c r="G31" s="13">
        <f si="23" t="shared"/>
        <v>0.84670534386868279</v>
      </c>
      <c r="H31" s="13">
        <f si="23" t="shared"/>
        <v>0</v>
      </c>
      <c r="I31" s="13">
        <f si="23" t="shared"/>
        <v>0</v>
      </c>
      <c r="J31" s="13">
        <f si="23" t="shared"/>
        <v>9.7314170266867336E-3</v>
      </c>
      <c r="K31" s="6"/>
      <c r="L31" t="s">
        <v>4</v>
      </c>
      <c r="M31" s="13">
        <f ref="M31:P31" si="24" t="shared">M14/M$16</f>
        <v>1.4471694459513994E-3</v>
      </c>
      <c r="N31" s="13">
        <f si="24" t="shared"/>
        <v>2.0908285673668903E-3</v>
      </c>
      <c r="O31" s="13">
        <f si="24" t="shared"/>
        <v>1.6595820642411666E-3</v>
      </c>
      <c r="P31" s="13" t="e">
        <f si="24" t="shared"/>
        <v>#DIV/0!</v>
      </c>
      <c r="Q31" s="13">
        <f si="6" t="shared"/>
        <v>1.1175155864015998E-2</v>
      </c>
      <c r="R31" s="13">
        <f si="6" t="shared"/>
        <v>0.94176007270524087</v>
      </c>
      <c r="S31" s="13">
        <f si="6" t="shared"/>
        <v>0</v>
      </c>
      <c r="T31" s="13" t="e">
        <f si="6" t="shared"/>
        <v>#DIV/0!</v>
      </c>
      <c r="U31" s="13">
        <f si="6" t="shared"/>
        <v>8.9759509624730838E-3</v>
      </c>
    </row>
    <row r="32" spans="1:21" x14ac:dyDescent="0.25">
      <c r="A32" s="4" t="s">
        <v>5</v>
      </c>
      <c r="B32" s="14">
        <f ref="B32:J32" si="25" t="shared">B15/B$16</f>
        <v>1.5492429868956527E-2</v>
      </c>
      <c r="C32" s="14">
        <f si="25" t="shared"/>
        <v>8.8716084626706496E-3</v>
      </c>
      <c r="D32" s="14">
        <f si="25" t="shared"/>
        <v>1.0956227739944658E-2</v>
      </c>
      <c r="E32" s="14">
        <f si="25" t="shared"/>
        <v>3.4791584640008963E-2</v>
      </c>
      <c r="F32" s="14">
        <f si="25" t="shared"/>
        <v>0.18409182174883199</v>
      </c>
      <c r="G32" s="14">
        <f si="25" t="shared"/>
        <v>0.15329465613131732</v>
      </c>
      <c r="H32" s="14">
        <f si="25" t="shared"/>
        <v>1</v>
      </c>
      <c r="I32" s="14">
        <f si="25" t="shared"/>
        <v>0</v>
      </c>
      <c r="J32" s="14">
        <f si="25" t="shared"/>
        <v>0.10130737676569065</v>
      </c>
      <c r="K32" s="6"/>
      <c r="L32" s="4" t="s">
        <v>5</v>
      </c>
      <c r="M32" s="14">
        <f ref="M32:P32" si="26" t="shared">M15/M$16</f>
        <v>1.6291373303197521E-2</v>
      </c>
      <c r="N32" s="14">
        <f si="26" t="shared"/>
        <v>1.3284197403960763E-2</v>
      </c>
      <c r="O32" s="14">
        <f si="26" t="shared"/>
        <v>9.2211400073635239E-3</v>
      </c>
      <c r="P32" s="14" t="e">
        <f si="26" t="shared"/>
        <v>#DIV/0!</v>
      </c>
      <c r="Q32" s="14">
        <f si="6" t="shared"/>
        <v>0.15558169627102694</v>
      </c>
      <c r="R32" s="14">
        <f si="6" t="shared"/>
        <v>5.8239927294759165E-2</v>
      </c>
      <c r="S32" s="14">
        <f si="6" t="shared"/>
        <v>0.99998838499108544</v>
      </c>
      <c r="T32" s="14" t="e">
        <f si="6" t="shared"/>
        <v>#DIV/0!</v>
      </c>
      <c r="U32" s="14">
        <f si="6" t="shared"/>
        <v>0.11625251721940852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20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44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-1.3838998495396826E-4</v>
      </c>
      <c r="N39" s="13">
        <f si="29" t="shared"/>
        <v>1.5402940817300023E-2</v>
      </c>
      <c r="O39" s="13">
        <f si="29" t="shared"/>
        <v>-9.2836576842780967E-3</v>
      </c>
      <c r="P39" s="13" t="e">
        <f si="29" t="shared"/>
        <v>#DIV/0!</v>
      </c>
      <c r="Q39" s="13">
        <f ref="Q39:Q50" si="30" t="shared">Q22-F22</f>
        <v>-8.4815702546317019E-4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1.8680975999224969E-2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-2.0702973791190238E-2</v>
      </c>
      <c r="O40" s="13">
        <f si="29" t="shared"/>
        <v>6.6841483198402857E-2</v>
      </c>
      <c r="P40" s="13" t="e">
        <f si="29" t="shared"/>
        <v>#DIV/0!</v>
      </c>
      <c r="Q40" s="13">
        <f si="30" t="shared"/>
        <v>2.9339731226044941E-2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9.5063376023569179E-3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-5.7482319845784779E-2</v>
      </c>
      <c r="P41" s="13" t="e">
        <f si="29" t="shared"/>
        <v>#DIV/0!</v>
      </c>
      <c r="Q41" s="13">
        <f si="30" t="shared"/>
        <v>4.3715005192168449E-2</v>
      </c>
      <c r="R41" s="13">
        <f si="31" t="shared"/>
        <v>0</v>
      </c>
      <c r="S41" s="13">
        <f si="32" t="shared"/>
        <v>1.1615008914519342E-5</v>
      </c>
      <c r="T41" s="13" t="e">
        <f si="33" t="shared"/>
        <v>#DIV/0!</v>
      </c>
      <c r="U41" s="13">
        <f si="34" t="shared"/>
        <v>-1.5098399808568475E-2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-4.0723482369030672E-2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-2.4742781107897373E-2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-2.5358070746201188E-3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-6.605534492870541E-4</v>
      </c>
      <c r="N48" s="13">
        <f si="39" t="shared"/>
        <v>8.8744403260022551E-4</v>
      </c>
      <c r="O48" s="13">
        <f si="39" t="shared"/>
        <v>1.6595820642411666E-3</v>
      </c>
      <c r="P48" s="13" t="e">
        <f si="39" t="shared"/>
        <v>#DIV/0!</v>
      </c>
      <c r="Q48" s="13">
        <f si="30" t="shared"/>
        <v>-2.9729715459143984E-3</v>
      </c>
      <c r="R48" s="13">
        <f si="31" t="shared"/>
        <v>9.5054728836558078E-2</v>
      </c>
      <c r="S48" s="13">
        <f si="32" t="shared"/>
        <v>0</v>
      </c>
      <c r="T48" s="13" t="e">
        <f si="33" t="shared"/>
        <v>#DIV/0!</v>
      </c>
      <c r="U48" s="13">
        <f si="34" t="shared"/>
        <v>-7.554660642136498E-4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7.9894343424099373E-4</v>
      </c>
      <c r="N49" s="17">
        <f si="39" t="shared"/>
        <v>4.4125889412901138E-3</v>
      </c>
      <c r="O49" s="17">
        <f si="39" t="shared"/>
        <v>-1.7350877325811344E-3</v>
      </c>
      <c r="P49" s="17" t="e">
        <f si="39" t="shared"/>
        <v>#DIV/0!</v>
      </c>
      <c r="Q49" s="17">
        <f si="30" t="shared"/>
        <v>-2.8510125477805043E-2</v>
      </c>
      <c r="R49" s="17">
        <f si="31" t="shared"/>
        <v>-9.5054728836558161E-2</v>
      </c>
      <c r="S49" s="17">
        <f si="32" t="shared"/>
        <v>-1.1615008914556135E-5</v>
      </c>
      <c r="T49" s="17" t="e">
        <f si="33" t="shared"/>
        <v>#DIV/0!</v>
      </c>
      <c r="U49" s="13">
        <f si="34" t="shared"/>
        <v>1.4945140453717864E-2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57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57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730719.5996859462</v>
      </c>
      <c r="C5" s="6" t="n">
        <v>8759.8979467271</v>
      </c>
      <c r="D5" s="6" t="n">
        <v>1391.45300628</v>
      </c>
      <c r="E5" s="6" t="n">
        <v>576.23121301</v>
      </c>
      <c r="F5" s="6" t="n">
        <v>482.690029647</v>
      </c>
      <c r="G5" s="6" t="n">
        <v>0.0</v>
      </c>
      <c r="H5" s="6" t="n">
        <v>0.0</v>
      </c>
      <c r="I5" s="6" t="n">
        <v>0.0</v>
      </c>
      <c r="J5" s="6">
        <f>SUM(B5:I5)</f>
        <v>741929.87188161036</v>
      </c>
      <c r="K5" s="6"/>
      <c r="L5" t="s">
        <v>1</v>
      </c>
      <c r="M5" s="6" t="n">
        <v>623015.0</v>
      </c>
      <c r="N5" s="6" t="n">
        <v>19100.0</v>
      </c>
      <c r="O5" s="6" t="n">
        <v>5546.0</v>
      </c>
      <c r="P5" s="6" t="n">
        <v>0.0</v>
      </c>
      <c r="Q5" s="6" t="n">
        <v>196.0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646857</v>
      </c>
    </row>
    <row r="6" spans="1:21" x14ac:dyDescent="0.25">
      <c r="A6" t="s">
        <v>12</v>
      </c>
      <c r="B6" s="6" t="n">
        <v>0.0</v>
      </c>
      <c r="C6" s="6" t="n">
        <v>496010.0588448719</v>
      </c>
      <c r="D6" s="6" t="n">
        <v>35227.769965072</v>
      </c>
      <c r="E6" s="6" t="n">
        <v>0.0</v>
      </c>
      <c r="F6" s="6" t="n">
        <v>835.830047376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532073.65885731985</v>
      </c>
      <c r="K6" s="6"/>
      <c r="L6" t="s">
        <v>12</v>
      </c>
      <c r="M6" s="6" t="n">
        <v>0.0</v>
      </c>
      <c r="N6" s="6" t="n">
        <v>407431.0</v>
      </c>
      <c r="O6" s="6" t="n">
        <v>58969.0</v>
      </c>
      <c r="P6" s="6" t="n">
        <v>0.0</v>
      </c>
      <c r="Q6" s="6" t="n">
        <v>3817.0</v>
      </c>
      <c r="R6" s="6" t="n">
        <v>0.0</v>
      </c>
      <c r="S6" s="6" t="n">
        <v>0.0</v>
      </c>
      <c r="T6" s="6" t="n">
        <v>0.0</v>
      </c>
      <c r="U6" s="6">
        <f si="0" t="shared"/>
        <v>462261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367822.1174735082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367822.11747350817</v>
      </c>
      <c r="K7" s="6"/>
      <c r="L7" t="s">
        <v>56</v>
      </c>
      <c r="M7" s="6" t="n">
        <v>0.0</v>
      </c>
      <c r="N7" s="6" t="n">
        <v>0.0</v>
      </c>
      <c r="O7" s="6" t="n">
        <v>286441.0</v>
      </c>
      <c r="P7" s="6" t="n">
        <v>0.0</v>
      </c>
      <c r="Q7" s="6" t="n">
        <v>1678.0</v>
      </c>
      <c r="R7" s="6" t="n">
        <v>0.0</v>
      </c>
      <c r="S7" s="6" t="n">
        <v>4.0</v>
      </c>
      <c r="T7" s="6" t="n">
        <v>0.0</v>
      </c>
      <c r="U7" s="6">
        <f si="0" t="shared"/>
        <v>281523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983.158032612</v>
      </c>
      <c r="F8" s="6" t="n">
        <v>77355.0619351658</v>
      </c>
      <c r="G8" s="6" t="n">
        <v>0.0</v>
      </c>
      <c r="H8" s="6" t="n">
        <v>0.0</v>
      </c>
      <c r="I8" s="6" t="n">
        <v>0.0</v>
      </c>
      <c r="J8" s="6">
        <f si="1" t="shared"/>
        <v>78338.219967777797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18526.0</v>
      </c>
      <c r="R8" s="6" t="n">
        <v>0.0</v>
      </c>
      <c r="S8" s="6" t="n">
        <v>0.0</v>
      </c>
      <c r="T8" s="6" t="n">
        <v>0.0</v>
      </c>
      <c r="U8" s="6">
        <f si="0" t="shared"/>
        <v>18383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65.3094393907</v>
      </c>
      <c r="G9" s="6" t="n">
        <v>0.0</v>
      </c>
      <c r="H9" s="6" t="n">
        <v>0.0</v>
      </c>
      <c r="I9" s="6" t="n">
        <v>0.0</v>
      </c>
      <c r="J9" s="6">
        <f si="1" t="shared"/>
        <v>65.309439390700007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284.563543833</v>
      </c>
      <c r="C14" s="6" t="n">
        <v>96.3867567495</v>
      </c>
      <c r="D14" s="6" t="n">
        <v>0.0</v>
      </c>
      <c r="E14" s="6" t="n">
        <v>0.0</v>
      </c>
      <c r="F14" s="6" t="n">
        <v>0.0</v>
      </c>
      <c r="G14" s="6" t="n">
        <v>7785.3744466986</v>
      </c>
      <c r="H14" s="6" t="n">
        <v>0.0</v>
      </c>
      <c r="I14" s="6" t="n">
        <v>0.0</v>
      </c>
      <c r="J14" s="6">
        <f si="1" t="shared"/>
        <v>8166.3247472810999</v>
      </c>
      <c r="K14" s="6"/>
      <c r="L14" t="s">
        <v>4</v>
      </c>
      <c r="M14" s="6" t="n">
        <v>906.0</v>
      </c>
      <c r="N14" s="6" t="n">
        <v>649.0</v>
      </c>
      <c r="O14" s="6" t="n">
        <v>356.0</v>
      </c>
      <c r="P14" s="6" t="n">
        <v>0.0</v>
      </c>
      <c r="Q14" s="6" t="n">
        <v>265.0</v>
      </c>
      <c r="R14" s="6" t="n">
        <v>13024.0</v>
      </c>
      <c r="S14" s="6" t="n">
        <v>0.0</v>
      </c>
      <c r="T14" s="6" t="n">
        <v>0.0</v>
      </c>
      <c r="U14" s="6">
        <f si="0" t="shared"/>
        <v>14382</v>
      </c>
    </row>
    <row r="15" spans="1:21" x14ac:dyDescent="0.25">
      <c r="A15" s="4" t="s">
        <v>5</v>
      </c>
      <c r="B15" s="10" t="n">
        <v>8246.9502218851</v>
      </c>
      <c r="C15" s="10" t="n">
        <v>7917.644623086</v>
      </c>
      <c r="D15" s="10" t="n">
        <v>12535.3637717784</v>
      </c>
      <c r="E15" s="10" t="n">
        <v>169.304393408</v>
      </c>
      <c r="F15" s="10" t="n">
        <v>41665.3345938309</v>
      </c>
      <c r="G15" s="10" t="n">
        <v>96.3164214546</v>
      </c>
      <c r="H15" s="10" t="n">
        <v>175896.8382713744</v>
      </c>
      <c r="I15" s="10" t="n">
        <v>0.0</v>
      </c>
      <c r="J15" s="6">
        <f si="1" t="shared"/>
        <v>246527.7522968174</v>
      </c>
      <c r="K15" s="6"/>
      <c r="L15" s="4" t="s">
        <v>5</v>
      </c>
      <c r="M15" s="8" t="n">
        <v>12853.0</v>
      </c>
      <c r="N15" s="8" t="n">
        <v>4173.0</v>
      </c>
      <c r="O15" s="8" t="n">
        <v>2250.0</v>
      </c>
      <c r="P15" s="8" t="n">
        <v>0.0</v>
      </c>
      <c r="Q15" s="8" t="n">
        <v>3806.0</v>
      </c>
      <c r="R15" s="8" t="n">
        <v>841.0</v>
      </c>
      <c r="S15" s="8" t="n">
        <v>221066.0</v>
      </c>
      <c r="T15" s="8" t="n">
        <v>0.0</v>
      </c>
      <c r="U15" s="6">
        <f si="0" t="shared"/>
        <v>243224</v>
      </c>
    </row>
    <row ht="15.75" r="16" spans="1:21" thickBot="1" x14ac:dyDescent="0.3">
      <c r="A16" s="12" t="s">
        <v>7</v>
      </c>
      <c r="B16" s="16">
        <f ref="B16:J16" si="2" t="shared">SUM(B5:B15)</f>
        <v>739251.11345166434</v>
      </c>
      <c r="C16" s="16">
        <f si="2" t="shared"/>
        <v>512783.98817143444</v>
      </c>
      <c r="D16" s="16">
        <f si="2" t="shared"/>
        <v>416976.70421663858</v>
      </c>
      <c r="E16" s="16">
        <f si="2" t="shared"/>
        <v>1728.6936390300002</v>
      </c>
      <c r="F16" s="16">
        <f si="2" t="shared"/>
        <v>120404.22604541038</v>
      </c>
      <c r="G16" s="16">
        <f si="2" t="shared"/>
        <v>7881.6908681532004</v>
      </c>
      <c r="H16" s="16">
        <f si="2" t="shared"/>
        <v>175896.83827137441</v>
      </c>
      <c r="I16" s="16">
        <f si="2" t="shared"/>
        <v>0</v>
      </c>
      <c r="J16" s="16">
        <f si="2" t="shared"/>
        <v>1974923.2546637056</v>
      </c>
      <c r="L16" s="9" t="s">
        <v>7</v>
      </c>
      <c r="M16" s="16">
        <f ref="M16:U16" si="3" t="shared">SUM(M5:M15)</f>
        <v>635661</v>
      </c>
      <c r="N16" s="16">
        <f si="3" t="shared"/>
        <v>424263</v>
      </c>
      <c r="O16" s="16">
        <f si="3" t="shared"/>
        <v>346051</v>
      </c>
      <c r="P16" s="16">
        <f si="3" t="shared"/>
        <v>0</v>
      </c>
      <c r="Q16" s="16">
        <f si="3" t="shared"/>
        <v>28085</v>
      </c>
      <c r="R16" s="16">
        <f si="3" t="shared"/>
        <v>13096</v>
      </c>
      <c r="S16" s="16">
        <f si="3" t="shared"/>
        <v>219474</v>
      </c>
      <c r="T16" s="16">
        <f si="3" t="shared"/>
        <v>0</v>
      </c>
      <c r="U16" s="16">
        <f si="3" t="shared"/>
        <v>1666630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36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57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57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0.98845924800047535</v>
      </c>
      <c r="C22" s="13">
        <f si="4" t="shared"/>
        <v>1.7083017701009968E-2</v>
      </c>
      <c r="D22" s="13">
        <f si="4" t="shared"/>
        <v>3.3370041832290853E-3</v>
      </c>
      <c r="E22" s="13">
        <f si="4" t="shared"/>
        <v>0.33333333333333331</v>
      </c>
      <c r="F22" s="13">
        <f si="4" t="shared"/>
        <v>4.008912689368177E-3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0.37567529276369166</v>
      </c>
      <c r="K22" s="6"/>
      <c r="L22" t="s">
        <v>1</v>
      </c>
      <c r="M22" s="13">
        <f ref="M22:P22" si="5" t="shared">M5/M$16</f>
        <v>0.97854988744000337</v>
      </c>
      <c r="N22" s="13">
        <f si="5" t="shared"/>
        <v>4.5089955994277134E-2</v>
      </c>
      <c r="O22" s="13">
        <f si="5" t="shared"/>
        <v>1.5931177774374299E-2</v>
      </c>
      <c r="P22" s="13" t="e">
        <f si="5" t="shared"/>
        <v>#DIV/0!</v>
      </c>
      <c r="Q22" s="13">
        <f ref="Q22:U33" si="6" t="shared">Q5/Q$16</f>
        <v>6.6939647498664764E-3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0.38812273870025138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0.96728850800045907</v>
      </c>
      <c r="D23" s="13">
        <f si="7" t="shared"/>
        <v>8.4483784366930853E-2</v>
      </c>
      <c r="E23" s="13">
        <f si="7" t="shared"/>
        <v>0</v>
      </c>
      <c r="F23" s="13">
        <f si="7" t="shared"/>
        <v>6.9418663682183981E-3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0.26941485326118281</v>
      </c>
      <c r="K23" s="6"/>
      <c r="L23" t="s">
        <v>12</v>
      </c>
      <c r="M23" s="13">
        <f ref="M23:P23" si="8" t="shared">M6/M$16</f>
        <v>0</v>
      </c>
      <c r="N23" s="13">
        <f si="8" t="shared"/>
        <v>0.94379665443368854</v>
      </c>
      <c r="O23" s="13">
        <f si="8" t="shared"/>
        <v>0.16781919428061182</v>
      </c>
      <c r="P23" s="13" t="e">
        <f si="8" t="shared"/>
        <v>#DIV/0!</v>
      </c>
      <c r="Q23" s="13">
        <f si="6" t="shared"/>
        <v>0.13419975075663165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0.27736270197944357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0.88211670760965977</v>
      </c>
      <c r="E24" s="13">
        <f si="9" t="shared"/>
        <v>0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0.18624628405428431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0.80882875645497343</v>
      </c>
      <c r="P24" s="13" t="e">
        <f si="10" t="shared"/>
        <v>#DIV/0!</v>
      </c>
      <c r="Q24" s="13">
        <f si="6" t="shared"/>
        <v>5.7860067651771409E-2</v>
      </c>
      <c r="R24" s="13">
        <f si="6" t="shared"/>
        <v>0</v>
      </c>
      <c r="S24" s="13">
        <f si="6" t="shared"/>
        <v>9.1126967203404496E-6</v>
      </c>
      <c r="T24" s="13" t="e">
        <f si="6" t="shared"/>
        <v>#DIV/0!</v>
      </c>
      <c r="U24" s="13">
        <f si="6" t="shared"/>
        <v>0.16891751618535608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0.5687289004913948</v>
      </c>
      <c r="F25" s="13">
        <f si="11" t="shared"/>
        <v>0.64246135269364535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3.966646287787897E-2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0.6545486914723162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1.103004266093854E-2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5.4241816533971644E-4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3.3069355599755213E-5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3.8493488701604246E-4</v>
      </c>
      <c r="C31" s="13">
        <f si="23" t="shared"/>
        <v>1.8796756328763503E-4</v>
      </c>
      <c r="D31" s="13">
        <f si="23" t="shared"/>
        <v>0</v>
      </c>
      <c r="E31" s="13">
        <f si="23" t="shared"/>
        <v>0</v>
      </c>
      <c r="F31" s="13">
        <f si="23" t="shared"/>
        <v>0</v>
      </c>
      <c r="G31" s="13">
        <f si="23" t="shared"/>
        <v>0.98777972606819975</v>
      </c>
      <c r="H31" s="13">
        <f si="23" t="shared"/>
        <v>0</v>
      </c>
      <c r="I31" s="13" t="e">
        <f si="23" t="shared"/>
        <v>#DIV/0!</v>
      </c>
      <c r="J31" s="13">
        <f si="23" t="shared"/>
        <v>4.1350086531193745E-3</v>
      </c>
      <c r="K31" s="6"/>
      <c r="L31" t="s">
        <v>4</v>
      </c>
      <c r="M31" s="13">
        <f ref="M31:P31" si="24" t="shared">M14/M$16</f>
        <v>1.3749467090162838E-3</v>
      </c>
      <c r="N31" s="13">
        <f si="24" t="shared"/>
        <v>1.4519295814153013E-3</v>
      </c>
      <c r="O31" s="13">
        <f si="24" t="shared"/>
        <v>9.4205767357990588E-4</v>
      </c>
      <c r="P31" s="13" t="e">
        <f si="24" t="shared"/>
        <v>#DIV/0!</v>
      </c>
      <c r="Q31" s="13">
        <f si="6" t="shared"/>
        <v>9.7560975609756097E-3</v>
      </c>
      <c r="R31" s="13">
        <f si="6" t="shared"/>
        <v>0.93860720830788025</v>
      </c>
      <c r="S31" s="13">
        <f si="6" t="shared"/>
        <v>0</v>
      </c>
      <c r="T31" s="13" t="e">
        <f si="6" t="shared"/>
        <v>#DIV/0!</v>
      </c>
      <c r="U31" s="13">
        <f si="6" t="shared"/>
        <v>8.6293898465766242E-3</v>
      </c>
    </row>
    <row r="32" spans="1:21" x14ac:dyDescent="0.25">
      <c r="A32" s="4" t="s">
        <v>5</v>
      </c>
      <c r="B32" s="14">
        <f ref="B32:J32" si="25" t="shared">B15/B$16</f>
        <v>1.1155817112508581E-2</v>
      </c>
      <c r="C32" s="14">
        <f si="25" t="shared"/>
        <v>1.544050673524339E-2</v>
      </c>
      <c r="D32" s="14">
        <f si="25" t="shared"/>
        <v>3.0062503840180246E-2</v>
      </c>
      <c r="E32" s="14">
        <f si="25" t="shared"/>
        <v>9.7937766175271876E-2</v>
      </c>
      <c r="F32" s="14">
        <f si="25" t="shared"/>
        <v>0.34604545008342852</v>
      </c>
      <c r="G32" s="14">
        <f si="25" t="shared"/>
        <v>1.222027393180017E-2</v>
      </c>
      <c r="H32" s="14">
        <f si="25" t="shared"/>
        <v>1</v>
      </c>
      <c r="I32" s="14" t="e">
        <f si="25" t="shared"/>
        <v>#DIV/0!</v>
      </c>
      <c r="J32" s="14">
        <f si="25" t="shared"/>
        <v>0.12482902903424301</v>
      </c>
      <c r="K32" s="6"/>
      <c r="L32" s="4" t="s">
        <v>5</v>
      </c>
      <c r="M32" s="14">
        <f ref="M32:P32" si="26" t="shared">M15/M$16</f>
        <v>2.0075165850980316E-2</v>
      </c>
      <c r="N32" s="14">
        <f si="26" t="shared"/>
        <v>9.6614599906190268E-3</v>
      </c>
      <c r="O32" s="14">
        <f si="26" t="shared"/>
        <v>6.4788138164605796E-3</v>
      </c>
      <c r="P32" s="14" t="e">
        <f si="26" t="shared"/>
        <v>#DIV/0!</v>
      </c>
      <c r="Q32" s="14">
        <f si="6" t="shared"/>
        <v>0.13694142780843868</v>
      </c>
      <c r="R32" s="14">
        <f si="6" t="shared"/>
        <v>6.1392791692119732E-2</v>
      </c>
      <c r="S32" s="14">
        <f si="6" t="shared"/>
        <v>0.99999088730327967</v>
      </c>
      <c r="T32" s="14" t="e">
        <f si="6" t="shared"/>
        <v>#DIV/0!</v>
      </c>
      <c r="U32" s="14">
        <f si="6" t="shared"/>
        <v>0.14593761062743379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21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57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-9.9093605604719803E-3</v>
      </c>
      <c r="N39" s="13">
        <f si="29" t="shared"/>
        <v>2.8006938293267166E-2</v>
      </c>
      <c r="O39" s="13">
        <f si="29" t="shared"/>
        <v>1.2594173591145213E-2</v>
      </c>
      <c r="P39" s="13" t="e">
        <f si="29" t="shared"/>
        <v>#DIV/0!</v>
      </c>
      <c r="Q39" s="13">
        <f ref="Q39:Q50" si="30" t="shared">Q22-F22</f>
        <v>2.6850520604982994E-3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1.244744593655972E-2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-2.3491853566770526E-2</v>
      </c>
      <c r="O40" s="13">
        <f si="29" t="shared"/>
        <v>8.3335409913680963E-2</v>
      </c>
      <c r="P40" s="13" t="e">
        <f si="29" t="shared"/>
        <v>#DIV/0!</v>
      </c>
      <c r="Q40" s="13">
        <f si="30" t="shared"/>
        <v>0.12725788438841326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7.9478487182607638E-3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-7.3287951154686337E-2</v>
      </c>
      <c r="P41" s="13" t="e">
        <f si="29" t="shared"/>
        <v>#DIV/0!</v>
      </c>
      <c r="Q41" s="13">
        <f si="30" t="shared"/>
        <v>5.7860067651771409E-2</v>
      </c>
      <c r="R41" s="13">
        <f si="31" t="shared"/>
        <v>0</v>
      </c>
      <c r="S41" s="13">
        <f si="32" t="shared"/>
        <v>9.1126967203404496E-6</v>
      </c>
      <c r="T41" s="13" t="e">
        <f si="33" t="shared"/>
        <v>#DIV/0!</v>
      </c>
      <c r="U41" s="13">
        <f si="34" t="shared"/>
        <v>-1.732876786892823E-2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1.2087338778670853E-2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-2.863642021694043E-2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-5.4241816533971644E-4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-3.3069355599755213E-5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9.9001182200024137E-4</v>
      </c>
      <c r="N48" s="13">
        <f si="39" t="shared"/>
        <v>1.2639620181276662E-3</v>
      </c>
      <c r="O48" s="13">
        <f si="39" t="shared"/>
        <v>9.4205767357990588E-4</v>
      </c>
      <c r="P48" s="13" t="e">
        <f si="39" t="shared"/>
        <v>#DIV/0!</v>
      </c>
      <c r="Q48" s="13">
        <f si="30" t="shared"/>
        <v>9.7560975609756097E-3</v>
      </c>
      <c r="R48" s="13">
        <f si="31" t="shared"/>
        <v>-4.9172517760319501E-2</v>
      </c>
      <c r="S48" s="13">
        <f si="32" t="shared"/>
        <v>0</v>
      </c>
      <c r="T48" s="13" t="e">
        <f si="33" t="shared"/>
        <v>#DIV/0!</v>
      </c>
      <c r="U48" s="13">
        <f si="34" t="shared"/>
        <v>4.4943811934572498E-3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8.9193487384717357E-3</v>
      </c>
      <c r="N49" s="17">
        <f si="39" t="shared"/>
        <v>-5.7790467446243634E-3</v>
      </c>
      <c r="O49" s="17">
        <f si="39" t="shared"/>
        <v>-2.3583690023719666E-2</v>
      </c>
      <c r="P49" s="17" t="e">
        <f si="39" t="shared"/>
        <v>#DIV/0!</v>
      </c>
      <c r="Q49" s="17">
        <f si="30" t="shared"/>
        <v>-0.20910402227498984</v>
      </c>
      <c r="R49" s="17">
        <f si="31" t="shared"/>
        <v>4.9172517760319563E-2</v>
      </c>
      <c r="S49" s="17">
        <f si="32" t="shared"/>
        <v>-9.1126967203258857E-6</v>
      </c>
      <c r="T49" s="17" t="e">
        <f si="33" t="shared"/>
        <v>#DIV/0!</v>
      </c>
      <c r="U49" s="13">
        <f si="34" t="shared"/>
        <v>2.1108581593190789E-2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45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45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140661.5331899269</v>
      </c>
      <c r="C5" s="6" t="n">
        <v>6655.039925576</v>
      </c>
      <c r="D5" s="6" t="n">
        <v>368.204446166</v>
      </c>
      <c r="E5" s="6" t="n">
        <v>576.648224778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148261.42578644693</v>
      </c>
      <c r="K5" s="6"/>
      <c r="L5" t="s">
        <v>1</v>
      </c>
      <c r="M5" s="6" t="n">
        <v>119444.0</v>
      </c>
      <c r="N5" s="6" t="n">
        <v>12059.0</v>
      </c>
      <c r="O5" s="6" t="n">
        <v>3275.0</v>
      </c>
      <c r="P5" s="6" t="n">
        <v>0.0</v>
      </c>
      <c r="Q5" s="6" t="n">
        <v>97.0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134989</v>
      </c>
    </row>
    <row r="6" spans="1:21" x14ac:dyDescent="0.25">
      <c r="A6" t="s">
        <v>12</v>
      </c>
      <c r="B6" s="6" t="n">
        <v>0.0</v>
      </c>
      <c r="C6" s="6" t="n">
        <v>227764.4292491815</v>
      </c>
      <c r="D6" s="6" t="n">
        <v>1344.7482971880002</v>
      </c>
      <c r="E6" s="6" t="n">
        <v>0.0</v>
      </c>
      <c r="F6" s="6" t="n">
        <v>287.3385349642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229396.51608133368</v>
      </c>
      <c r="K6" s="6"/>
      <c r="L6" t="s">
        <v>12</v>
      </c>
      <c r="M6" s="6" t="n">
        <v>0.0</v>
      </c>
      <c r="N6" s="6" t="n">
        <v>181083.0</v>
      </c>
      <c r="O6" s="6" t="n">
        <v>22420.0</v>
      </c>
      <c r="P6" s="6" t="n">
        <v>0.0</v>
      </c>
      <c r="Q6" s="6" t="n">
        <v>1156.0</v>
      </c>
      <c r="R6" s="6" t="n">
        <v>0.0</v>
      </c>
      <c r="S6" s="6" t="n">
        <v>0.0</v>
      </c>
      <c r="T6" s="6" t="n">
        <v>0.0</v>
      </c>
      <c r="U6" s="6">
        <f si="0" t="shared"/>
        <v>204050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102340.0135417199</v>
      </c>
      <c r="E7" s="6" t="n">
        <v>0.0</v>
      </c>
      <c r="F7" s="6" t="n">
        <v>248.97111705</v>
      </c>
      <c r="G7" s="6" t="n">
        <v>0.0</v>
      </c>
      <c r="H7" s="6" t="n">
        <v>0.0</v>
      </c>
      <c r="I7" s="6" t="n">
        <v>0.0</v>
      </c>
      <c r="J7" s="6">
        <f si="1" t="shared"/>
        <v>102588.9846587699</v>
      </c>
      <c r="K7" s="6"/>
      <c r="L7" t="s">
        <v>56</v>
      </c>
      <c r="M7" s="6" t="n">
        <v>0.0</v>
      </c>
      <c r="N7" s="6" t="n">
        <v>0.0</v>
      </c>
      <c r="O7" s="6" t="n">
        <v>111835.0</v>
      </c>
      <c r="P7" s="6" t="n">
        <v>0.0</v>
      </c>
      <c r="Q7" s="6" t="n">
        <v>523.0</v>
      </c>
      <c r="R7" s="6" t="n">
        <v>0.0</v>
      </c>
      <c r="S7" s="6" t="n">
        <v>0.0</v>
      </c>
      <c r="T7" s="6" t="n">
        <v>0.0</v>
      </c>
      <c r="U7" s="6">
        <f si="0" t="shared"/>
        <v>112305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864.9723371670001</v>
      </c>
      <c r="F8" s="6" t="n">
        <v>25218.636807620398</v>
      </c>
      <c r="G8" s="6" t="n">
        <v>0.0</v>
      </c>
      <c r="H8" s="6" t="n">
        <v>0.0</v>
      </c>
      <c r="I8" s="6" t="n">
        <v>0.0</v>
      </c>
      <c r="J8" s="6">
        <f si="1" t="shared"/>
        <v>26083.609144787399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5485.0</v>
      </c>
      <c r="R8" s="6" t="n">
        <v>0.0</v>
      </c>
      <c r="S8" s="6" t="n">
        <v>0.0</v>
      </c>
      <c r="T8" s="6" t="n">
        <v>0.0</v>
      </c>
      <c r="U8" s="6">
        <f si="0" t="shared"/>
        <v>5458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9355.10449488</v>
      </c>
      <c r="E14" s="6" t="n">
        <v>0.0</v>
      </c>
      <c r="F14" s="6" t="n">
        <v>154.9843497444</v>
      </c>
      <c r="G14" s="6" t="n">
        <v>7262.5157185103</v>
      </c>
      <c r="H14" s="6" t="n">
        <v>0.0</v>
      </c>
      <c r="I14" s="6" t="n">
        <v>0.0</v>
      </c>
      <c r="J14" s="6">
        <f si="1" t="shared"/>
        <v>16772.604563134701</v>
      </c>
      <c r="K14" s="6"/>
      <c r="L14" t="s">
        <v>4</v>
      </c>
      <c r="M14" s="6" t="n">
        <v>190.0</v>
      </c>
      <c r="N14" s="6" t="n">
        <v>257.0</v>
      </c>
      <c r="O14" s="6" t="n">
        <v>143.0</v>
      </c>
      <c r="P14" s="6" t="n">
        <v>0.0</v>
      </c>
      <c r="Q14" s="6" t="n">
        <v>75.0</v>
      </c>
      <c r="R14" s="6" t="n">
        <v>1750.0</v>
      </c>
      <c r="S14" s="6" t="n">
        <v>0.0</v>
      </c>
      <c r="T14" s="6" t="n">
        <v>0.0</v>
      </c>
      <c r="U14" s="6">
        <f si="0" t="shared"/>
        <v>2391</v>
      </c>
    </row>
    <row r="15" spans="1:21" x14ac:dyDescent="0.25">
      <c r="A15" s="4" t="s">
        <v>5</v>
      </c>
      <c r="B15" s="10" t="n">
        <v>229.46485907099998</v>
      </c>
      <c r="C15" s="10" t="n">
        <v>2618.0333936714</v>
      </c>
      <c r="D15" s="10" t="n">
        <v>3365.515560164</v>
      </c>
      <c r="E15" s="10" t="n">
        <v>0.0</v>
      </c>
      <c r="F15" s="10" t="n">
        <v>3753.8568361770003</v>
      </c>
      <c r="G15" s="10" t="n">
        <v>1578.8049141098</v>
      </c>
      <c r="H15" s="10" t="n">
        <v>75599.4289508704</v>
      </c>
      <c r="I15" s="10" t="n">
        <v>0.0</v>
      </c>
      <c r="J15" s="6">
        <f si="1" t="shared"/>
        <v>87145.104514063598</v>
      </c>
      <c r="K15" s="6"/>
      <c r="L15" s="4" t="s">
        <v>5</v>
      </c>
      <c r="M15" s="8" t="n">
        <v>2264.0</v>
      </c>
      <c r="N15" s="8" t="n">
        <v>1953.0</v>
      </c>
      <c r="O15" s="8" t="n">
        <v>893.0</v>
      </c>
      <c r="P15" s="8" t="n">
        <v>0.0</v>
      </c>
      <c r="Q15" s="8" t="n">
        <v>1065.0</v>
      </c>
      <c r="R15" s="8" t="n">
        <v>131.0</v>
      </c>
      <c r="S15" s="8" t="n">
        <v>88268.0</v>
      </c>
      <c r="T15" s="8" t="n">
        <v>0.0</v>
      </c>
      <c r="U15" s="6">
        <f si="0" t="shared"/>
        <v>94694</v>
      </c>
    </row>
    <row ht="15.75" r="16" spans="1:21" thickBot="1" x14ac:dyDescent="0.3">
      <c r="A16" s="12" t="s">
        <v>7</v>
      </c>
      <c r="B16" s="16">
        <f ref="B16:J16" si="2" t="shared">SUM(B5:B15)</f>
        <v>140890.99804899792</v>
      </c>
      <c r="C16" s="16">
        <f si="2" t="shared"/>
        <v>237037.5025684289</v>
      </c>
      <c r="D16" s="16">
        <f si="2" t="shared"/>
        <v>116773.58634011791</v>
      </c>
      <c r="E16" s="16">
        <f si="2" t="shared"/>
        <v>1441.6205619450002</v>
      </c>
      <c r="F16" s="16">
        <f si="2" t="shared"/>
        <v>29663.787645556</v>
      </c>
      <c r="G16" s="16">
        <f si="2" t="shared"/>
        <v>8841.3206326200998</v>
      </c>
      <c r="H16" s="16">
        <f si="2" t="shared"/>
        <v>75599.428950870395</v>
      </c>
      <c r="I16" s="16">
        <f si="2" t="shared"/>
        <v>0</v>
      </c>
      <c r="J16" s="16">
        <f si="2" t="shared"/>
        <v>610248.24474853626</v>
      </c>
      <c r="L16" s="9" t="s">
        <v>7</v>
      </c>
      <c r="M16" s="16">
        <f ref="M16:U16" si="3" t="shared">SUM(M5:M15)</f>
        <v>121723</v>
      </c>
      <c r="N16" s="16">
        <f si="3" t="shared"/>
        <v>194990</v>
      </c>
      <c r="O16" s="16">
        <f si="3" t="shared"/>
        <v>138582</v>
      </c>
      <c r="P16" s="16">
        <f si="3" t="shared"/>
        <v>0</v>
      </c>
      <c r="Q16" s="16">
        <f si="3" t="shared"/>
        <v>8247</v>
      </c>
      <c r="R16" s="16">
        <f si="3" t="shared"/>
        <v>1864</v>
      </c>
      <c r="S16" s="16">
        <f si="3" t="shared"/>
        <v>88481</v>
      </c>
      <c r="T16" s="16">
        <f si="3" t="shared"/>
        <v>0</v>
      </c>
      <c r="U16" s="16">
        <f si="3" t="shared"/>
        <v>553887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45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45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0.99837133058713079</v>
      </c>
      <c r="C22" s="13">
        <f si="4" t="shared"/>
        <v>2.8075894546074193E-2</v>
      </c>
      <c r="D22" s="13">
        <f si="4" t="shared"/>
        <v>3.1531483934522471E-3</v>
      </c>
      <c r="E22" s="13">
        <f si="4" t="shared"/>
        <v>0.39999999999999991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0.24295264601300198</v>
      </c>
      <c r="K22" s="6"/>
      <c r="L22" t="s">
        <v>1</v>
      </c>
      <c r="M22" s="13">
        <f ref="M22:P22" si="5" t="shared">M5/M$16</f>
        <v>0.98056242452124909</v>
      </c>
      <c r="N22" s="13">
        <f si="5" t="shared"/>
        <v>6.3136571106210571E-2</v>
      </c>
      <c r="O22" s="13">
        <f si="5" t="shared"/>
        <v>2.3307500252558053E-2</v>
      </c>
      <c r="P22" s="13" t="e">
        <f si="5" t="shared"/>
        <v>#DIV/0!</v>
      </c>
      <c r="Q22" s="13">
        <f ref="Q22:U33" si="6" t="shared">Q5/Q$16</f>
        <v>1.1034315508669819E-2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0.24371216511671154</v>
      </c>
    </row>
    <row r="23" spans="1:21" x14ac:dyDescent="0.25">
      <c r="A23" t="s">
        <v>9</v>
      </c>
      <c r="B23" s="13">
        <f ref="B23:J23" si="7" t="shared">B6/B$16</f>
        <v>0</v>
      </c>
      <c r="C23" s="13">
        <f si="7" t="shared"/>
        <v>0.96087929876593936</v>
      </c>
      <c r="D23" s="13">
        <f si="7" t="shared"/>
        <v>1.1515860215779019E-2</v>
      </c>
      <c r="E23" s="13">
        <f si="7" t="shared"/>
        <v>0</v>
      </c>
      <c r="F23" s="13">
        <f si="7" t="shared"/>
        <v>9.6865086278773594E-3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0.37590688388765564</v>
      </c>
      <c r="K23" s="6"/>
      <c r="L23" t="s">
        <v>12</v>
      </c>
      <c r="M23" s="13">
        <f ref="M23:P23" si="8" t="shared">M6/M$16</f>
        <v>0</v>
      </c>
      <c r="N23" s="13">
        <f si="8" t="shared"/>
        <v>0.92533976101338533</v>
      </c>
      <c r="O23" s="13">
        <f si="8" t="shared"/>
        <v>0.1624597711102452</v>
      </c>
      <c r="P23" s="13" t="e">
        <f si="8" t="shared"/>
        <v>#DIV/0!</v>
      </c>
      <c r="Q23" s="13">
        <f si="6" t="shared"/>
        <v>0.13386686067660969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0.36839644187352294</v>
      </c>
    </row>
    <row r="24" spans="1:21" x14ac:dyDescent="0.25">
      <c r="A24" t="s">
        <v>10</v>
      </c>
      <c r="B24" s="13">
        <f ref="B24:J24" si="9" t="shared">B7/B$16</f>
        <v>0</v>
      </c>
      <c r="C24" s="13">
        <f si="9" t="shared"/>
        <v>0</v>
      </c>
      <c r="D24" s="13">
        <f si="9" t="shared"/>
        <v>0.87639693829083587</v>
      </c>
      <c r="E24" s="13">
        <f si="9" t="shared"/>
        <v>0</v>
      </c>
      <c r="F24" s="13">
        <f si="9" t="shared"/>
        <v>8.3930993582102091E-3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0.16811024946256672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0.80674979434558602</v>
      </c>
      <c r="P24" s="13" t="e">
        <f si="10" t="shared"/>
        <v>#DIV/0!</v>
      </c>
      <c r="Q24" s="13">
        <f si="6" t="shared"/>
        <v>6.1113132048017459E-2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0.20275796326687573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0.6</v>
      </c>
      <c r="F25" s="13">
        <f si="11" t="shared"/>
        <v>0.85014891250404634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4.2742620514272217E-2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0.66181641809142722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9.8539954900548309E-3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8.0113189875252011E-2</v>
      </c>
      <c r="E31" s="13">
        <f si="23" t="shared"/>
        <v>0</v>
      </c>
      <c r="F31" s="13">
        <f si="23" t="shared"/>
        <v>5.2246985987178399E-3</v>
      </c>
      <c r="G31" s="13">
        <f si="23" t="shared"/>
        <v>0.82142883628891472</v>
      </c>
      <c r="H31" s="13">
        <f si="23" t="shared"/>
        <v>0</v>
      </c>
      <c r="I31" s="13" t="e">
        <f si="23" t="shared"/>
        <v>#DIV/0!</v>
      </c>
      <c r="J31" s="13">
        <f si="23" t="shared"/>
        <v>2.7484887842727269E-2</v>
      </c>
      <c r="K31" s="6"/>
      <c r="L31" t="s">
        <v>4</v>
      </c>
      <c r="M31" s="13">
        <f ref="M31:P31" si="24" t="shared">M14/M$16</f>
        <v>1.4869827394986979E-3</v>
      </c>
      <c r="N31" s="13">
        <f si="24" t="shared"/>
        <v>1.3898148623006307E-3</v>
      </c>
      <c r="O31" s="13">
        <f si="24" t="shared"/>
        <v>1.0102322090892034E-3</v>
      </c>
      <c r="P31" s="13" t="e">
        <f si="24" t="shared"/>
        <v>#DIV/0!</v>
      </c>
      <c r="Q31" s="13">
        <f si="6" t="shared"/>
        <v>6.5478355765732996E-3</v>
      </c>
      <c r="R31" s="13">
        <f si="6" t="shared"/>
        <v>0.93615879828326176</v>
      </c>
      <c r="S31" s="13">
        <f si="6" t="shared"/>
        <v>0</v>
      </c>
      <c r="T31" s="13" t="e">
        <f si="6" t="shared"/>
        <v>#DIV/0!</v>
      </c>
      <c r="U31" s="13">
        <f si="6" t="shared"/>
        <v>4.3167649719166546E-3</v>
      </c>
    </row>
    <row r="32" spans="1:21" x14ac:dyDescent="0.25">
      <c r="A32" s="4" t="s">
        <v>5</v>
      </c>
      <c r="B32" s="14">
        <f ref="B32:J32" si="25" t="shared">B15/B$16</f>
        <v>1.6286694128690789E-3</v>
      </c>
      <c r="C32" s="14">
        <f si="25" t="shared"/>
        <v>1.1044806687986497E-2</v>
      </c>
      <c r="D32" s="14">
        <f si="25" t="shared"/>
        <v>2.8820863224680863E-2</v>
      </c>
      <c r="E32" s="14">
        <f si="25" t="shared"/>
        <v>0</v>
      </c>
      <c r="F32" s="14">
        <f si="25" t="shared"/>
        <v>0.12654678091114821</v>
      </c>
      <c r="G32" s="14">
        <f si="25" t="shared"/>
        <v>0.17857116371108528</v>
      </c>
      <c r="H32" s="14">
        <f si="25" t="shared"/>
        <v>1</v>
      </c>
      <c r="I32" s="14" t="e">
        <f si="25" t="shared"/>
        <v>#DIV/0!</v>
      </c>
      <c r="J32" s="14">
        <f si="25" t="shared"/>
        <v>0.14280271227977609</v>
      </c>
      <c r="K32" s="6"/>
      <c r="L32" s="4" t="s">
        <v>5</v>
      </c>
      <c r="M32" s="14">
        <f ref="M32:P32" si="26" t="shared">M15/M$16</f>
        <v>1.7950592739252237E-2</v>
      </c>
      <c r="N32" s="14">
        <f si="26" t="shared"/>
        <v>1.0133853018103493E-2</v>
      </c>
      <c r="O32" s="14">
        <f si="26" t="shared"/>
        <v>6.4727020825215394E-3</v>
      </c>
      <c r="P32" s="14" t="e">
        <f si="26" t="shared"/>
        <v>#DIV/0!</v>
      </c>
      <c r="Q32" s="14">
        <f si="6" t="shared"/>
        <v>0.12562143809870255</v>
      </c>
      <c r="R32" s="14">
        <f si="6" t="shared"/>
        <v>6.3841201716738197E-2</v>
      </c>
      <c r="S32" s="14">
        <f si="6" t="shared"/>
        <v>1</v>
      </c>
      <c r="T32" s="14" t="e">
        <f si="6" t="shared"/>
        <v>#DIV/0!</v>
      </c>
      <c r="U32" s="14">
        <f si="6" t="shared"/>
        <v>0.1709626692809183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22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45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-1.7808906065881702E-2</v>
      </c>
      <c r="N39" s="13">
        <f si="29" t="shared"/>
        <v>3.5060676560136381E-2</v>
      </c>
      <c r="O39" s="13">
        <f si="29" t="shared"/>
        <v>2.0154351859105805E-2</v>
      </c>
      <c r="P39" s="13" t="e">
        <f si="29" t="shared"/>
        <v>#DIV/0!</v>
      </c>
      <c r="Q39" s="13">
        <f ref="Q39:Q50" si="30" t="shared">Q22-F22</f>
        <v>1.1034315508669819E-2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7.59519103709555E-4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-3.5539537752554029E-2</v>
      </c>
      <c r="O40" s="13">
        <f si="29" t="shared"/>
        <v>0.15094391089446618</v>
      </c>
      <c r="P40" s="13" t="e">
        <f si="29" t="shared"/>
        <v>#DIV/0!</v>
      </c>
      <c r="Q40" s="13">
        <f si="30" t="shared"/>
        <v>0.12418035204873233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-7.5104420141327011E-3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-6.9647143945249845E-2</v>
      </c>
      <c r="P41" s="13" t="e">
        <f si="29" t="shared"/>
        <v>#DIV/0!</v>
      </c>
      <c r="Q41" s="13">
        <f si="30" t="shared"/>
        <v>5.2720032689807253E-2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3.4647713804309005E-2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-0.18833249441261912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-3.2888625024217383E-2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1.4869827394986979E-3</v>
      </c>
      <c r="N48" s="13">
        <f si="39" t="shared"/>
        <v>1.3898148623006307E-3</v>
      </c>
      <c r="O48" s="13">
        <f si="39" t="shared"/>
        <v>-7.9102957666162807E-2</v>
      </c>
      <c r="P48" s="13" t="e">
        <f si="39" t="shared"/>
        <v>#DIV/0!</v>
      </c>
      <c r="Q48" s="13">
        <f si="30" t="shared"/>
        <v>1.3231369778554597E-3</v>
      </c>
      <c r="R48" s="13">
        <f si="31" t="shared"/>
        <v>0.11472996199434704</v>
      </c>
      <c r="S48" s="13">
        <f si="32" t="shared"/>
        <v>0</v>
      </c>
      <c r="T48" s="13" t="e">
        <f si="33" t="shared"/>
        <v>#DIV/0!</v>
      </c>
      <c r="U48" s="13">
        <f si="34" t="shared"/>
        <v>-2.3168122870810614E-2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1.6321923326383159E-2</v>
      </c>
      <c r="N49" s="17">
        <f si="39" t="shared"/>
        <v>-9.1095366988300404E-4</v>
      </c>
      <c r="O49" s="17">
        <f si="39" t="shared"/>
        <v>-2.2348161142159324E-2</v>
      </c>
      <c r="P49" s="17" t="e">
        <f si="39" t="shared"/>
        <v>#DIV/0!</v>
      </c>
      <c r="Q49" s="17">
        <f si="30" t="shared"/>
        <v>-9.2534281244566197E-4</v>
      </c>
      <c r="R49" s="17">
        <f si="31" t="shared"/>
        <v>-0.11472996199434708</v>
      </c>
      <c r="S49" s="17">
        <f si="32" t="shared"/>
        <v>0</v>
      </c>
      <c r="T49" s="17" t="e">
        <f si="33" t="shared"/>
        <v>#DIV/0!</v>
      </c>
      <c r="U49" s="13">
        <f si="34" t="shared"/>
        <v>2.8159957001142211E-2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46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46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634099.7974480316</v>
      </c>
      <c r="C5" s="6" t="n">
        <v>22207.48819571</v>
      </c>
      <c r="D5" s="6" t="n">
        <v>8175.4429283835</v>
      </c>
      <c r="E5" s="6" t="n">
        <v>2380.8644758418</v>
      </c>
      <c r="F5" s="6" t="n">
        <v>1170.9767563398</v>
      </c>
      <c r="G5" s="6" t="n">
        <v>0.0</v>
      </c>
      <c r="H5" s="6" t="n">
        <v>0.0</v>
      </c>
      <c r="I5" s="6" t="n">
        <v>0.0</v>
      </c>
      <c r="J5" s="6">
        <f>SUM(B5:I5)</f>
        <v>668034.56980430661</v>
      </c>
      <c r="K5" s="6"/>
      <c r="L5" t="s">
        <v>1</v>
      </c>
      <c r="M5" s="6" t="n">
        <v>744002.0</v>
      </c>
      <c r="N5" s="6" t="n">
        <v>45435.0</v>
      </c>
      <c r="O5" s="6" t="n">
        <v>13327.0</v>
      </c>
      <c r="P5" s="6" t="n">
        <v>0.0</v>
      </c>
      <c r="Q5" s="6" t="n">
        <v>292.0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800112</v>
      </c>
    </row>
    <row r="6" spans="1:21" x14ac:dyDescent="0.25">
      <c r="A6" t="s">
        <v>12</v>
      </c>
      <c r="B6" s="6" t="n">
        <v>0.0</v>
      </c>
      <c r="C6" s="6" t="n">
        <v>594836.7086835876</v>
      </c>
      <c r="D6" s="6" t="n">
        <v>42728.3088872137</v>
      </c>
      <c r="E6" s="6" t="n">
        <v>262.3473390995</v>
      </c>
      <c r="F6" s="6" t="n">
        <v>8407.9361075648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646235.30101746565</v>
      </c>
      <c r="K6" s="6"/>
      <c r="L6" t="s">
        <v>12</v>
      </c>
      <c r="M6" s="6" t="n">
        <v>0.0</v>
      </c>
      <c r="N6" s="6" t="n">
        <v>646680.0</v>
      </c>
      <c r="O6" s="6" t="n">
        <v>85718.0</v>
      </c>
      <c r="P6" s="6" t="n">
        <v>0.0</v>
      </c>
      <c r="Q6" s="6" t="n">
        <v>3768.0</v>
      </c>
      <c r="R6" s="6" t="n">
        <v>0.0</v>
      </c>
      <c r="S6" s="6" t="n">
        <v>0.0</v>
      </c>
      <c r="T6" s="6" t="n">
        <v>0.0</v>
      </c>
      <c r="U6" s="6">
        <f si="0" t="shared"/>
        <v>735769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497781.4176410345</v>
      </c>
      <c r="E7" s="6" t="n">
        <v>0.0</v>
      </c>
      <c r="F7" s="6" t="n">
        <v>3158.3612664017</v>
      </c>
      <c r="G7" s="6" t="n">
        <v>0.0</v>
      </c>
      <c r="H7" s="6" t="n">
        <v>0.0</v>
      </c>
      <c r="I7" s="6" t="n">
        <v>0.0</v>
      </c>
      <c r="J7" s="6">
        <f si="1" t="shared"/>
        <v>500939.77890743624</v>
      </c>
      <c r="K7" s="6"/>
      <c r="L7" t="s">
        <v>56</v>
      </c>
      <c r="M7" s="6" t="n">
        <v>0.0</v>
      </c>
      <c r="N7" s="6" t="n">
        <v>0.0</v>
      </c>
      <c r="O7" s="6" t="n">
        <v>463510.0</v>
      </c>
      <c r="P7" s="6" t="n">
        <v>0.0</v>
      </c>
      <c r="Q7" s="6" t="n">
        <v>1497.0</v>
      </c>
      <c r="R7" s="6" t="n">
        <v>0.0</v>
      </c>
      <c r="S7" s="6" t="n">
        <v>0.0</v>
      </c>
      <c r="T7" s="6" t="n">
        <v>0.0</v>
      </c>
      <c r="U7" s="6">
        <f si="0" t="shared"/>
        <v>465168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2621.1857803258</v>
      </c>
      <c r="F8" s="6" t="n">
        <v>35578.6968684728</v>
      </c>
      <c r="G8" s="6" t="n">
        <v>0.0</v>
      </c>
      <c r="H8" s="6" t="n">
        <v>0.0</v>
      </c>
      <c r="I8" s="6" t="n">
        <v>0.0</v>
      </c>
      <c r="J8" s="6">
        <f si="1" t="shared"/>
        <v>38199.882648798601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22750.0</v>
      </c>
      <c r="R8" s="6" t="n">
        <v>0.0</v>
      </c>
      <c r="S8" s="6" t="n">
        <v>0.0</v>
      </c>
      <c r="T8" s="6" t="n">
        <v>0.0</v>
      </c>
      <c r="U8" s="6">
        <f si="0" t="shared"/>
        <v>22803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107.691391212</v>
      </c>
      <c r="G9" s="6" t="n">
        <v>0.0</v>
      </c>
      <c r="H9" s="6" t="n">
        <v>0.0</v>
      </c>
      <c r="I9" s="6" t="n">
        <v>0.0</v>
      </c>
      <c r="J9" s="6">
        <f si="1" t="shared"/>
        <v>107.691391212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1490.528010836</v>
      </c>
      <c r="J13" s="6">
        <f si="1" t="shared"/>
        <v>1490.528010836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1934.812701878</v>
      </c>
      <c r="C14" s="6" t="n">
        <v>34.4157929553</v>
      </c>
      <c r="D14" s="6" t="n">
        <v>0.0</v>
      </c>
      <c r="E14" s="6" t="n">
        <v>0.0</v>
      </c>
      <c r="F14" s="6" t="n">
        <v>285.065614854</v>
      </c>
      <c r="G14" s="6" t="n">
        <v>32298.9941528336</v>
      </c>
      <c r="H14" s="6" t="n">
        <v>0.0</v>
      </c>
      <c r="I14" s="6" t="n">
        <v>1490.528010836</v>
      </c>
      <c r="J14" s="6">
        <f si="1" t="shared"/>
        <v>36043.816273356904</v>
      </c>
      <c r="K14" s="6"/>
      <c r="L14" t="s">
        <v>4</v>
      </c>
      <c r="M14" s="6" t="n">
        <v>880.0</v>
      </c>
      <c r="N14" s="6" t="n">
        <v>1097.0</v>
      </c>
      <c r="O14" s="6" t="n">
        <v>674.0</v>
      </c>
      <c r="P14" s="6" t="n">
        <v>0.0</v>
      </c>
      <c r="Q14" s="6" t="n">
        <v>306.0</v>
      </c>
      <c r="R14" s="6" t="n">
        <v>45985.0</v>
      </c>
      <c r="S14" s="6" t="n">
        <v>0.0</v>
      </c>
      <c r="T14" s="6" t="n">
        <v>0.0</v>
      </c>
      <c r="U14" s="6">
        <f si="0" t="shared"/>
        <v>49152</v>
      </c>
    </row>
    <row r="15" spans="1:21" x14ac:dyDescent="0.25">
      <c r="A15" s="4" t="s">
        <v>5</v>
      </c>
      <c r="B15" s="10" t="n">
        <v>12459.2262120284</v>
      </c>
      <c r="C15" s="10" t="n">
        <v>10613.4108320905</v>
      </c>
      <c r="D15" s="10" t="n">
        <v>13268.8344658298</v>
      </c>
      <c r="E15" s="10" t="n">
        <v>314.436122055</v>
      </c>
      <c r="F15" s="10" t="n">
        <v>11918.2195557219</v>
      </c>
      <c r="G15" s="10" t="n">
        <v>529.9935652318001</v>
      </c>
      <c r="H15" s="10" t="n">
        <v>709943.0741062714</v>
      </c>
      <c r="I15" s="10" t="n">
        <v>0.0</v>
      </c>
      <c r="J15" s="6">
        <f si="1" t="shared"/>
        <v>759047.1948592288</v>
      </c>
      <c r="K15" s="6"/>
      <c r="L15" s="4" t="s">
        <v>5</v>
      </c>
      <c r="M15" s="8" t="n">
        <v>7031.0</v>
      </c>
      <c r="N15" s="8" t="n">
        <v>5182.0</v>
      </c>
      <c r="O15" s="8" t="n">
        <v>2820.0</v>
      </c>
      <c r="P15" s="8" t="n">
        <v>0.0</v>
      </c>
      <c r="Q15" s="8" t="n">
        <v>3276.0</v>
      </c>
      <c r="R15" s="8" t="n">
        <v>1532.0</v>
      </c>
      <c r="S15" s="8" t="n">
        <v>397622.0</v>
      </c>
      <c r="T15" s="8" t="n">
        <v>0.0</v>
      </c>
      <c r="U15" s="6">
        <f si="0" t="shared"/>
        <v>417143</v>
      </c>
    </row>
    <row ht="15.75" r="16" spans="1:21" thickBot="1" x14ac:dyDescent="0.3">
      <c r="A16" s="12" t="s">
        <v>7</v>
      </c>
      <c r="B16" s="16">
        <f ref="B16:J16" si="2" t="shared">SUM(B5:B15)</f>
        <v>648493.83636193804</v>
      </c>
      <c r="C16" s="16">
        <f si="2" t="shared"/>
        <v>627692.02350434347</v>
      </c>
      <c r="D16" s="16">
        <f si="2" t="shared"/>
        <v>561954.00392246153</v>
      </c>
      <c r="E16" s="16">
        <f si="2" t="shared"/>
        <v>5578.8337173220998</v>
      </c>
      <c r="F16" s="16">
        <f si="2" t="shared"/>
        <v>60626.947560567001</v>
      </c>
      <c r="G16" s="16">
        <f si="2" t="shared"/>
        <v>32828.9877180654</v>
      </c>
      <c r="H16" s="16">
        <f si="2" t="shared"/>
        <v>709943.07410627138</v>
      </c>
      <c r="I16" s="16">
        <f si="2" t="shared"/>
        <v>2981.056021672</v>
      </c>
      <c r="J16" s="16">
        <f si="2" t="shared"/>
        <v>2650098.7629126403</v>
      </c>
      <c r="L16" s="9" t="s">
        <v>7</v>
      </c>
      <c r="M16" s="16">
        <f ref="M16:U16" si="3" t="shared">SUM(M5:M15)</f>
        <v>749059</v>
      </c>
      <c r="N16" s="16">
        <f si="3" t="shared"/>
        <v>697822</v>
      </c>
      <c r="O16" s="16">
        <f si="3" t="shared"/>
        <v>566042</v>
      </c>
      <c r="P16" s="16">
        <f si="3" t="shared"/>
        <v>0</v>
      </c>
      <c r="Q16" s="16">
        <f si="3" t="shared"/>
        <v>32133</v>
      </c>
      <c r="R16" s="16">
        <f si="3" t="shared"/>
        <v>47775</v>
      </c>
      <c r="S16" s="16">
        <f si="3" t="shared"/>
        <v>397316</v>
      </c>
      <c r="T16" s="16">
        <f si="3" t="shared"/>
        <v>0</v>
      </c>
      <c r="U16" s="16">
        <f si="3" t="shared"/>
        <v>2490147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40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46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46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0.97780389248623045</v>
      </c>
      <c r="C22" s="13">
        <f si="4" t="shared"/>
        <v>3.5379592800507093E-2</v>
      </c>
      <c r="D22" s="13">
        <f si="4" t="shared"/>
        <v>1.4548242153839246E-2</v>
      </c>
      <c r="E22" s="13">
        <f si="4" t="shared"/>
        <v>0.42676742066165052</v>
      </c>
      <c r="F22" s="13">
        <f si="4" t="shared"/>
        <v>1.9314460045509976E-2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0.25207912216452294</v>
      </c>
      <c r="K22" s="6"/>
      <c r="L22" t="s">
        <v>1</v>
      </c>
      <c r="M22" s="13">
        <f ref="M22:P22" si="5" t="shared">M5/M$16</f>
        <v>0.98942539906736315</v>
      </c>
      <c r="N22" s="13">
        <f si="5" t="shared"/>
        <v>6.4959258951423141E-2</v>
      </c>
      <c r="O22" s="13">
        <f si="5" t="shared"/>
        <v>2.3590122287745433E-2</v>
      </c>
      <c r="P22" s="13" t="e">
        <f si="5" t="shared"/>
        <v>#DIV/0!</v>
      </c>
      <c r="Q22" s="13">
        <f ref="Q22:U33" si="6" t="shared">Q5/Q$16</f>
        <v>9.0561105405657736E-3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0.32131115151033252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0.94765695023918284</v>
      </c>
      <c r="D23" s="13">
        <f si="7" t="shared"/>
        <v>7.6035242366756683E-2</v>
      </c>
      <c r="E23" s="13">
        <f si="7" t="shared"/>
        <v>4.7025481022121153E-2</v>
      </c>
      <c r="F23" s="13">
        <f si="7" t="shared"/>
        <v>0.13868315074192342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0.24385328956842678</v>
      </c>
      <c r="K23" s="6"/>
      <c r="L23" t="s">
        <v>12</v>
      </c>
      <c r="M23" s="13">
        <f ref="M23:P23" si="8" t="shared">M6/M$16</f>
        <v>0</v>
      </c>
      <c r="N23" s="13">
        <f si="8" t="shared"/>
        <v>0.92615595381057059</v>
      </c>
      <c r="O23" s="13">
        <f si="8" t="shared"/>
        <v>0.15136685970299024</v>
      </c>
      <c r="P23" s="13" t="e">
        <f si="8" t="shared"/>
        <v>#DIV/0!</v>
      </c>
      <c r="Q23" s="13">
        <f si="6" t="shared"/>
        <v>0.11816512619425512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0.29547211469844953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0.88580455725290719</v>
      </c>
      <c r="E24" s="13">
        <f si="9" t="shared"/>
        <v>0</v>
      </c>
      <c r="F24" s="13">
        <f si="9" t="shared"/>
        <v>5.2095007145897647E-2</v>
      </c>
      <c r="G24" s="13">
        <f si="9" t="shared"/>
        <v>0</v>
      </c>
      <c r="H24" s="13">
        <f si="9" t="shared"/>
        <v>0</v>
      </c>
      <c r="I24" s="13">
        <f si="9" t="shared"/>
        <v>0</v>
      </c>
      <c r="J24" s="13">
        <f si="9" t="shared"/>
        <v>0.18902683398745074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0.81894983057794302</v>
      </c>
      <c r="P24" s="13" t="e">
        <f si="10" t="shared"/>
        <v>#DIV/0!</v>
      </c>
      <c r="Q24" s="13">
        <f si="6" t="shared"/>
        <v>5.0042012883951076E-2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0.18680342967704316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0.46984475844603546</v>
      </c>
      <c r="F25" s="13">
        <f si="11" t="shared"/>
        <v>0.58684625071927432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1.4414512841330603E-2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0.70964429091588088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9.1572907141626581E-3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1.7762957817464766E-3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4.0636746342856964E-5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0.5</v>
      </c>
      <c r="J30" s="13">
        <f si="21" t="shared"/>
        <v>5.6244243863493124E-4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2.9835483290517207E-3</v>
      </c>
      <c r="C31" s="13">
        <f si="23" t="shared"/>
        <v>5.482910673798271E-5</v>
      </c>
      <c r="D31" s="13">
        <f si="23" t="shared"/>
        <v>0</v>
      </c>
      <c r="E31" s="13">
        <f si="23" t="shared"/>
        <v>0</v>
      </c>
      <c r="F31" s="13">
        <f si="23" t="shared"/>
        <v>4.7019621855317103E-3</v>
      </c>
      <c r="G31" s="13">
        <f si="23" t="shared"/>
        <v>0.98385592727429261</v>
      </c>
      <c r="H31" s="13">
        <f si="23" t="shared"/>
        <v>0</v>
      </c>
      <c r="I31" s="13">
        <f si="23" t="shared"/>
        <v>0.5</v>
      </c>
      <c r="J31" s="13">
        <f si="23" t="shared"/>
        <v>1.3600933209652262E-2</v>
      </c>
      <c r="K31" s="6"/>
      <c r="L31" t="s">
        <v>4</v>
      </c>
      <c r="M31" s="13">
        <f ref="M31:P31" si="24" t="shared">M14/M$16</f>
        <v>1.1360920835341408E-3</v>
      </c>
      <c r="N31" s="13">
        <f si="24" t="shared"/>
        <v>1.5347753438555965E-3</v>
      </c>
      <c r="O31" s="13">
        <f si="24" t="shared"/>
        <v>1.1624579094837485E-3</v>
      </c>
      <c r="P31" s="13" t="e">
        <f si="24" t="shared"/>
        <v>#DIV/0!</v>
      </c>
      <c r="Q31" s="13">
        <f si="6" t="shared"/>
        <v>1.0051971493480224E-2</v>
      </c>
      <c r="R31" s="13">
        <f si="6" t="shared"/>
        <v>0.96805860805860811</v>
      </c>
      <c r="S31" s="13">
        <f si="6" t="shared"/>
        <v>0</v>
      </c>
      <c r="T31" s="13" t="e">
        <f si="6" t="shared"/>
        <v>#DIV/0!</v>
      </c>
      <c r="U31" s="13">
        <f si="6" t="shared"/>
        <v>1.9738593745670437E-2</v>
      </c>
    </row>
    <row r="32" spans="1:21" x14ac:dyDescent="0.25">
      <c r="A32" s="4" t="s">
        <v>5</v>
      </c>
      <c r="B32" s="14">
        <f ref="B32:J32" si="25" t="shared">B15/B$16</f>
        <v>1.9212559184717745E-2</v>
      </c>
      <c r="C32" s="14">
        <f si="25" t="shared"/>
        <v>1.6908627853571979E-2</v>
      </c>
      <c r="D32" s="14">
        <f si="25" t="shared"/>
        <v>2.3611958226496834E-2</v>
      </c>
      <c r="E32" s="14">
        <f si="25" t="shared"/>
        <v>5.6362339870192929E-2</v>
      </c>
      <c r="F32" s="14">
        <f si="25" t="shared"/>
        <v>0.1965828733801164</v>
      </c>
      <c r="G32" s="14">
        <f si="25" t="shared"/>
        <v>1.6144072725707316E-2</v>
      </c>
      <c r="H32" s="14">
        <f si="25" t="shared"/>
        <v>1</v>
      </c>
      <c r="I32" s="14">
        <f si="25" t="shared"/>
        <v>0</v>
      </c>
      <c r="J32" s="14">
        <f si="25" t="shared"/>
        <v>0.28642222904363906</v>
      </c>
      <c r="K32" s="6"/>
      <c r="L32" s="4" t="s">
        <v>5</v>
      </c>
      <c r="M32" s="14">
        <f ref="M32:P32" si="26" t="shared">M15/M$16</f>
        <v>9.4385088491026736E-3</v>
      </c>
      <c r="N32" s="14">
        <f si="26" t="shared"/>
        <v>7.3500118941506572E-3</v>
      </c>
      <c r="O32" s="14">
        <f si="26" t="shared"/>
        <v>4.9307295218376018E-3</v>
      </c>
      <c r="P32" s="14" t="e">
        <f si="26" t="shared"/>
        <v>#DIV/0!</v>
      </c>
      <c r="Q32" s="14">
        <f si="6" t="shared"/>
        <v>0.10304048797186693</v>
      </c>
      <c r="R32" s="14">
        <f si="6" t="shared"/>
        <v>3.1941391941391943E-2</v>
      </c>
      <c r="S32" s="14">
        <f si="6" t="shared"/>
        <v>1</v>
      </c>
      <c r="T32" s="14" t="e">
        <f si="6" t="shared"/>
        <v>#DIV/0!</v>
      </c>
      <c r="U32" s="14">
        <f si="6" t="shared"/>
        <v>0.16751741965434169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23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46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1.1621506581132701E-2</v>
      </c>
      <c r="N39" s="13">
        <f si="29" t="shared"/>
        <v>2.9579666150916048E-2</v>
      </c>
      <c r="O39" s="13">
        <f si="29" t="shared"/>
        <v>9.0418801339061869E-3</v>
      </c>
      <c r="P39" s="13" t="e">
        <f si="29" t="shared"/>
        <v>#DIV/0!</v>
      </c>
      <c r="Q39" s="13">
        <f ref="Q39:Q50" si="30" t="shared">Q22-F22</f>
        <v>-1.0258349504944203E-2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6.9232029345809576E-2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-2.1500996428612251E-2</v>
      </c>
      <c r="O40" s="13">
        <f si="29" t="shared"/>
        <v>7.5331617336233558E-2</v>
      </c>
      <c r="P40" s="13" t="e">
        <f si="29" t="shared"/>
        <v>#DIV/0!</v>
      </c>
      <c r="Q40" s="13">
        <f si="30" t="shared"/>
        <v>-2.0518024547668295E-2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5.161882513002275E-2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-6.6854726674964171E-2</v>
      </c>
      <c r="P41" s="13" t="e">
        <f si="29" t="shared"/>
        <v>#DIV/0!</v>
      </c>
      <c r="Q41" s="13">
        <f si="30" t="shared"/>
        <v>-2.052994261946571E-3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-2.2234043104075729E-3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0.12279804019660656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-5.2572221271679452E-3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-1.7762957817464766E-3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-4.0636746342856964E-5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-5.6244243863493124E-4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-1.8474562455175799E-3</v>
      </c>
      <c r="N48" s="13">
        <f si="39" t="shared"/>
        <v>1.4799462371176137E-3</v>
      </c>
      <c r="O48" s="13">
        <f si="39" t="shared"/>
        <v>1.1624579094837485E-3</v>
      </c>
      <c r="P48" s="13" t="e">
        <f si="39" t="shared"/>
        <v>#DIV/0!</v>
      </c>
      <c r="Q48" s="13">
        <f si="30" t="shared"/>
        <v>5.3500093079485132E-3</v>
      </c>
      <c r="R48" s="13">
        <f si="31" t="shared"/>
        <v>-1.5797319215684502E-2</v>
      </c>
      <c r="S48" s="13">
        <f si="32" t="shared"/>
        <v>0</v>
      </c>
      <c r="T48" s="13" t="e">
        <f si="33" t="shared"/>
        <v>#DIV/0!</v>
      </c>
      <c r="U48" s="13">
        <f si="34" t="shared"/>
        <v>6.1376605360181757E-3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-9.7740503356150716E-3</v>
      </c>
      <c r="N49" s="17">
        <f si="39" t="shared"/>
        <v>-9.5586159594213231E-3</v>
      </c>
      <c r="O49" s="17">
        <f si="39" t="shared"/>
        <v>-1.8681228704659231E-2</v>
      </c>
      <c r="P49" s="17" t="e">
        <f si="39" t="shared"/>
        <v>#DIV/0!</v>
      </c>
      <c r="Q49" s="17">
        <f si="30" t="shared"/>
        <v>-9.3542385408249468E-2</v>
      </c>
      <c r="R49" s="17">
        <f si="31" t="shared"/>
        <v>1.5797319215684627E-2</v>
      </c>
      <c r="S49" s="17">
        <f si="32" t="shared"/>
        <v>0</v>
      </c>
      <c r="T49" s="17" t="e">
        <f si="33" t="shared"/>
        <v>#DIV/0!</v>
      </c>
      <c r="U49" s="13">
        <f si="34" t="shared"/>
        <v>-0.11890480938929737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B3"/>
  <sheetViews>
    <sheetView workbookViewId="0"/>
  </sheetViews>
  <sheetFormatPr defaultRowHeight="15" x14ac:dyDescent="0.25"/>
  <sheetData>
    <row r="2" spans="2:2" x14ac:dyDescent="0.25">
      <c r="B2" t="s">
        <v>50</v>
      </c>
    </row>
    <row r="3" spans="2:2" x14ac:dyDescent="0.25">
      <c r="B3" t="s">
        <v>49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baseType="lpstr" size="34">
      <vt:lpstr>All Purposes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Dong, Hu</cp:lastModifiedBy>
  <dcterms:modified xsi:type="dcterms:W3CDTF">2017-10-26T15:43:28Z</dcterms:modified>
</cp:coreProperties>
</file>