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all\output\"/>
    </mc:Choice>
  </mc:AlternateContent>
  <xr:revisionPtr revIDLastSave="0" documentId="13_ncr:1_{74B45D64-FD80-4164-AB11-194EEA87C502}" xr6:coauthVersionLast="47" xr6:coauthVersionMax="47" xr10:uidLastSave="{00000000-0000-0000-0000-000000000000}"/>
  <bookViews>
    <workbookView xWindow="10545" yWindow="4890" windowWidth="7200" windowHeight="4050" xr2:uid="{00000000-000D-0000-FFFF-FFFF00000000}"/>
  </bookViews>
  <sheets>
    <sheet name="All Purposes" sheetId="18" r:id="rId1"/>
    <sheet name="Workbased" sheetId="7" r:id="rId2"/>
    <sheet name="Work" sheetId="11" r:id="rId3"/>
    <sheet name="School" sheetId="12" r:id="rId4"/>
    <sheet name="Escort" sheetId="13" r:id="rId5"/>
    <sheet name="Personal_Business" sheetId="14" r:id="rId6"/>
    <sheet name="Shop" sheetId="15" r:id="rId7"/>
    <sheet name="Meal" sheetId="16" r:id="rId8"/>
    <sheet name="SocRec" sheetId="17" r:id="rId9"/>
    <sheet name="Documentation" sheetId="19" r:id="rId10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Work!$M$5:$T$15</definedName>
    <definedName name="out3">School!$B$5:$I$15</definedName>
    <definedName name="out4">School!$M$5:$T$15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Work!$B$5:$I$15</definedName>
    <definedName name="out_3">School!$B$5:$I$15</definedName>
    <definedName name="out_5">Escort!$B$5:$I$15</definedName>
    <definedName name="out_7">Personal_Business!$B$5:$I$15</definedName>
    <definedName name="out_9">Shop!$B$5:$I$15</definedName>
    <definedName name="out_11">Meal!$B$5:$I$15</definedName>
    <definedName name="out_13">SocRec!$B$5:$I$15</definedName>
    <definedName name="out_15">Workbased!$B$5:$I$15</definedName>
    <definedName name="out_2">Work!$M$5:$T$15</definedName>
    <definedName name="out_4">School!$M$5:$T$15</definedName>
    <definedName name="out_6">Escort!$M$5:$T$15</definedName>
    <definedName name="out_8">Personal_Business!$M$5:$T$15</definedName>
    <definedName name="out_10">Shop!$M$5:$T$15</definedName>
    <definedName name="out_12">Meal!$M$5:$T$15</definedName>
    <definedName name="out_14">SocRec!$M$5:$T$15</definedName>
    <definedName name="out_16">Workbased!$M$5:$T$15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8" l="1"/>
  <c r="J11" i="7" l="1"/>
  <c r="J12" i="7"/>
  <c r="J13" i="7"/>
  <c r="J11" i="11"/>
  <c r="J12" i="11"/>
  <c r="J13" i="11"/>
  <c r="J11" i="12"/>
  <c r="J12" i="12"/>
  <c r="J13" i="12"/>
  <c r="J11" i="13"/>
  <c r="J12" i="13"/>
  <c r="J13" i="13"/>
  <c r="J11" i="14"/>
  <c r="J12" i="14"/>
  <c r="J13" i="14"/>
  <c r="J11" i="15"/>
  <c r="J12" i="15"/>
  <c r="J13" i="15"/>
  <c r="J11" i="16"/>
  <c r="J12" i="16"/>
  <c r="J13" i="16"/>
  <c r="J11" i="17"/>
  <c r="J12" i="17"/>
  <c r="J13" i="17"/>
  <c r="I13" i="18"/>
  <c r="H13" i="18"/>
  <c r="G13" i="18"/>
  <c r="F13" i="18"/>
  <c r="E13" i="18"/>
  <c r="D13" i="18"/>
  <c r="C13" i="18"/>
  <c r="B13" i="18"/>
  <c r="I12" i="18"/>
  <c r="H12" i="18"/>
  <c r="G12" i="18"/>
  <c r="F12" i="18"/>
  <c r="E12" i="18"/>
  <c r="D12" i="18"/>
  <c r="C12" i="18"/>
  <c r="B12" i="18"/>
  <c r="I11" i="18"/>
  <c r="H11" i="18"/>
  <c r="G11" i="18"/>
  <c r="F11" i="18"/>
  <c r="E11" i="18"/>
  <c r="D11" i="18"/>
  <c r="C11" i="18"/>
  <c r="B11" i="18"/>
  <c r="T13" i="18"/>
  <c r="S13" i="18"/>
  <c r="R13" i="18"/>
  <c r="Q13" i="18"/>
  <c r="P13" i="18"/>
  <c r="O13" i="18"/>
  <c r="N13" i="18"/>
  <c r="M13" i="18"/>
  <c r="T12" i="18"/>
  <c r="S12" i="18"/>
  <c r="R12" i="18"/>
  <c r="Q12" i="18"/>
  <c r="P12" i="18"/>
  <c r="O12" i="18"/>
  <c r="N12" i="18"/>
  <c r="M12" i="18"/>
  <c r="U11" i="7"/>
  <c r="U12" i="7"/>
  <c r="U13" i="7"/>
  <c r="U11" i="11"/>
  <c r="U12" i="11"/>
  <c r="U13" i="11"/>
  <c r="U11" i="12"/>
  <c r="U12" i="12"/>
  <c r="U13" i="12"/>
  <c r="U11" i="13"/>
  <c r="U12" i="13"/>
  <c r="U13" i="13"/>
  <c r="U11" i="14"/>
  <c r="U12" i="14"/>
  <c r="U13" i="14"/>
  <c r="U11" i="15"/>
  <c r="U12" i="15"/>
  <c r="U13" i="15"/>
  <c r="U11" i="16"/>
  <c r="U12" i="16"/>
  <c r="U13" i="16"/>
  <c r="U11" i="17"/>
  <c r="U12" i="17"/>
  <c r="U13" i="17"/>
  <c r="O11" i="18"/>
  <c r="P11" i="18"/>
  <c r="Q11" i="18"/>
  <c r="R11" i="18"/>
  <c r="S11" i="18"/>
  <c r="T11" i="18"/>
  <c r="N11" i="18"/>
  <c r="M11" i="18"/>
  <c r="T15" i="18"/>
  <c r="S15" i="18"/>
  <c r="R15" i="18"/>
  <c r="Q15" i="18"/>
  <c r="P15" i="18"/>
  <c r="O15" i="18"/>
  <c r="N15" i="18"/>
  <c r="M15" i="18"/>
  <c r="T14" i="18"/>
  <c r="S14" i="18"/>
  <c r="R14" i="18"/>
  <c r="Q14" i="18"/>
  <c r="P14" i="18"/>
  <c r="O14" i="18"/>
  <c r="N14" i="18"/>
  <c r="M14" i="18"/>
  <c r="T10" i="18"/>
  <c r="S10" i="18"/>
  <c r="R10" i="18"/>
  <c r="Q10" i="18"/>
  <c r="P10" i="18"/>
  <c r="O10" i="18"/>
  <c r="N10" i="18"/>
  <c r="M10" i="18"/>
  <c r="T9" i="18"/>
  <c r="S9" i="18"/>
  <c r="R9" i="18"/>
  <c r="Q9" i="18"/>
  <c r="P9" i="18"/>
  <c r="O9" i="18"/>
  <c r="N9" i="18"/>
  <c r="M9" i="18"/>
  <c r="T8" i="18"/>
  <c r="S8" i="18"/>
  <c r="R8" i="18"/>
  <c r="Q8" i="18"/>
  <c r="P8" i="18"/>
  <c r="O8" i="18"/>
  <c r="N8" i="18"/>
  <c r="M8" i="18"/>
  <c r="T7" i="18"/>
  <c r="S7" i="18"/>
  <c r="R7" i="18"/>
  <c r="Q7" i="18"/>
  <c r="P7" i="18"/>
  <c r="O7" i="18"/>
  <c r="N7" i="18"/>
  <c r="M7" i="18"/>
  <c r="T6" i="18"/>
  <c r="S6" i="18"/>
  <c r="R6" i="18"/>
  <c r="Q6" i="18"/>
  <c r="P6" i="18"/>
  <c r="O6" i="18"/>
  <c r="N6" i="18"/>
  <c r="M6" i="18"/>
  <c r="T5" i="18"/>
  <c r="S5" i="18"/>
  <c r="R5" i="18"/>
  <c r="Q5" i="18"/>
  <c r="P5" i="18"/>
  <c r="O5" i="18"/>
  <c r="N5" i="18"/>
  <c r="M5" i="18"/>
  <c r="I15" i="18"/>
  <c r="H15" i="18"/>
  <c r="G15" i="18"/>
  <c r="F15" i="18"/>
  <c r="E15" i="18"/>
  <c r="D15" i="18"/>
  <c r="C15" i="18"/>
  <c r="B15" i="18"/>
  <c r="I14" i="18"/>
  <c r="H14" i="18"/>
  <c r="G14" i="18"/>
  <c r="F14" i="18"/>
  <c r="E14" i="18"/>
  <c r="D14" i="18"/>
  <c r="C14" i="18"/>
  <c r="B14" i="18"/>
  <c r="I10" i="18"/>
  <c r="H10" i="18"/>
  <c r="G10" i="18"/>
  <c r="F10" i="18"/>
  <c r="E10" i="18"/>
  <c r="D10" i="18"/>
  <c r="C10" i="18"/>
  <c r="B10" i="18"/>
  <c r="I9" i="18"/>
  <c r="H9" i="18"/>
  <c r="G9" i="18"/>
  <c r="F9" i="18"/>
  <c r="E9" i="18"/>
  <c r="D9" i="18"/>
  <c r="C9" i="18"/>
  <c r="B9" i="18"/>
  <c r="I8" i="18"/>
  <c r="H8" i="18"/>
  <c r="G8" i="18"/>
  <c r="F8" i="18"/>
  <c r="E8" i="18"/>
  <c r="D8" i="18"/>
  <c r="C8" i="18"/>
  <c r="B8" i="18"/>
  <c r="I7" i="18"/>
  <c r="H7" i="18"/>
  <c r="G7" i="18"/>
  <c r="F7" i="18"/>
  <c r="E7" i="18"/>
  <c r="D7" i="18"/>
  <c r="C7" i="18"/>
  <c r="B7" i="18"/>
  <c r="I6" i="18"/>
  <c r="H6" i="18"/>
  <c r="G6" i="18"/>
  <c r="F6" i="18"/>
  <c r="E6" i="18"/>
  <c r="D6" i="18"/>
  <c r="C6" i="18"/>
  <c r="I5" i="18"/>
  <c r="H5" i="18"/>
  <c r="G5" i="18"/>
  <c r="F5" i="18"/>
  <c r="E5" i="18"/>
  <c r="D5" i="18"/>
  <c r="C5" i="18"/>
  <c r="B5" i="18"/>
  <c r="T16" i="17"/>
  <c r="T30" i="17" s="1"/>
  <c r="S16" i="17"/>
  <c r="S29" i="17" s="1"/>
  <c r="R16" i="17"/>
  <c r="R30" i="17" s="1"/>
  <c r="Q16" i="17"/>
  <c r="Q30" i="17" s="1"/>
  <c r="P16" i="17"/>
  <c r="P30" i="17" s="1"/>
  <c r="O16" i="17"/>
  <c r="O30" i="17" s="1"/>
  <c r="N16" i="17"/>
  <c r="N30" i="17" s="1"/>
  <c r="M16" i="17"/>
  <c r="M30" i="17" s="1"/>
  <c r="I16" i="17"/>
  <c r="I30" i="17" s="1"/>
  <c r="H16" i="17"/>
  <c r="H30" i="17" s="1"/>
  <c r="G16" i="17"/>
  <c r="G30" i="17" s="1"/>
  <c r="F16" i="17"/>
  <c r="F30" i="17" s="1"/>
  <c r="E16" i="17"/>
  <c r="E30" i="17" s="1"/>
  <c r="D16" i="17"/>
  <c r="D30" i="17" s="1"/>
  <c r="C16" i="17"/>
  <c r="C30" i="17" s="1"/>
  <c r="B16" i="17"/>
  <c r="B29" i="17" s="1"/>
  <c r="U15" i="17"/>
  <c r="J15" i="17"/>
  <c r="U14" i="17"/>
  <c r="J14" i="17"/>
  <c r="U10" i="17"/>
  <c r="J10" i="17"/>
  <c r="U9" i="17"/>
  <c r="J9" i="17"/>
  <c r="U8" i="17"/>
  <c r="J8" i="17"/>
  <c r="U7" i="17"/>
  <c r="J7" i="17"/>
  <c r="U6" i="17"/>
  <c r="J6" i="17"/>
  <c r="U5" i="17"/>
  <c r="J5" i="17"/>
  <c r="T16" i="16"/>
  <c r="T30" i="16" s="1"/>
  <c r="S16" i="16"/>
  <c r="S30" i="16" s="1"/>
  <c r="R16" i="16"/>
  <c r="R30" i="16" s="1"/>
  <c r="Q16" i="16"/>
  <c r="Q30" i="16" s="1"/>
  <c r="P16" i="16"/>
  <c r="P30" i="16" s="1"/>
  <c r="O16" i="16"/>
  <c r="O29" i="16" s="1"/>
  <c r="N16" i="16"/>
  <c r="N30" i="16" s="1"/>
  <c r="M16" i="16"/>
  <c r="M30" i="16" s="1"/>
  <c r="I16" i="16"/>
  <c r="I30" i="16" s="1"/>
  <c r="H16" i="16"/>
  <c r="H30" i="16" s="1"/>
  <c r="G16" i="16"/>
  <c r="G30" i="16" s="1"/>
  <c r="F16" i="16"/>
  <c r="F30" i="16" s="1"/>
  <c r="E16" i="16"/>
  <c r="E30" i="16" s="1"/>
  <c r="D16" i="16"/>
  <c r="D30" i="16" s="1"/>
  <c r="C16" i="16"/>
  <c r="C30" i="16" s="1"/>
  <c r="B16" i="16"/>
  <c r="B29" i="16" s="1"/>
  <c r="U15" i="16"/>
  <c r="J15" i="16"/>
  <c r="U14" i="16"/>
  <c r="J14" i="16"/>
  <c r="U10" i="16"/>
  <c r="J10" i="16"/>
  <c r="U9" i="16"/>
  <c r="J9" i="16"/>
  <c r="U8" i="16"/>
  <c r="J8" i="16"/>
  <c r="U7" i="16"/>
  <c r="J7" i="16"/>
  <c r="U6" i="16"/>
  <c r="J6" i="16"/>
  <c r="U5" i="16"/>
  <c r="J5" i="16"/>
  <c r="T16" i="15"/>
  <c r="T30" i="15" s="1"/>
  <c r="S16" i="15"/>
  <c r="S29" i="15" s="1"/>
  <c r="R16" i="15"/>
  <c r="R30" i="15" s="1"/>
  <c r="Q16" i="15"/>
  <c r="Q30" i="15" s="1"/>
  <c r="P16" i="15"/>
  <c r="P30" i="15" s="1"/>
  <c r="O16" i="15"/>
  <c r="O30" i="15" s="1"/>
  <c r="N16" i="15"/>
  <c r="N30" i="15" s="1"/>
  <c r="M16" i="15"/>
  <c r="M30" i="15" s="1"/>
  <c r="I16" i="15"/>
  <c r="I30" i="15" s="1"/>
  <c r="H16" i="15"/>
  <c r="H30" i="15" s="1"/>
  <c r="G16" i="15"/>
  <c r="G30" i="15" s="1"/>
  <c r="F16" i="15"/>
  <c r="F30" i="15" s="1"/>
  <c r="E16" i="15"/>
  <c r="E30" i="15" s="1"/>
  <c r="D16" i="15"/>
  <c r="D30" i="15" s="1"/>
  <c r="C16" i="15"/>
  <c r="C30" i="15" s="1"/>
  <c r="B16" i="15"/>
  <c r="B29" i="15" s="1"/>
  <c r="U15" i="15"/>
  <c r="J15" i="15"/>
  <c r="U14" i="15"/>
  <c r="J14" i="15"/>
  <c r="U10" i="15"/>
  <c r="J10" i="15"/>
  <c r="U9" i="15"/>
  <c r="J9" i="15"/>
  <c r="U8" i="15"/>
  <c r="J8" i="15"/>
  <c r="U7" i="15"/>
  <c r="J7" i="15"/>
  <c r="U6" i="15"/>
  <c r="J6" i="15"/>
  <c r="U5" i="15"/>
  <c r="J5" i="15"/>
  <c r="T16" i="14"/>
  <c r="T30" i="14" s="1"/>
  <c r="S16" i="14"/>
  <c r="S30" i="14" s="1"/>
  <c r="R16" i="14"/>
  <c r="R30" i="14" s="1"/>
  <c r="Q16" i="14"/>
  <c r="Q30" i="14" s="1"/>
  <c r="P16" i="14"/>
  <c r="P30" i="14" s="1"/>
  <c r="O16" i="14"/>
  <c r="O29" i="14" s="1"/>
  <c r="N16" i="14"/>
  <c r="N30" i="14" s="1"/>
  <c r="M16" i="14"/>
  <c r="M30" i="14" s="1"/>
  <c r="I16" i="14"/>
  <c r="I30" i="14" s="1"/>
  <c r="H16" i="14"/>
  <c r="H30" i="14" s="1"/>
  <c r="G16" i="14"/>
  <c r="G30" i="14" s="1"/>
  <c r="F16" i="14"/>
  <c r="F30" i="14" s="1"/>
  <c r="E16" i="14"/>
  <c r="E30" i="14" s="1"/>
  <c r="D16" i="14"/>
  <c r="D30" i="14" s="1"/>
  <c r="C16" i="14"/>
  <c r="C30" i="14" s="1"/>
  <c r="B16" i="14"/>
  <c r="B29" i="14" s="1"/>
  <c r="U15" i="14"/>
  <c r="J15" i="14"/>
  <c r="U14" i="14"/>
  <c r="J14" i="14"/>
  <c r="U10" i="14"/>
  <c r="J10" i="14"/>
  <c r="U9" i="14"/>
  <c r="J9" i="14"/>
  <c r="U8" i="14"/>
  <c r="J8" i="14"/>
  <c r="U7" i="14"/>
  <c r="J7" i="14"/>
  <c r="U6" i="14"/>
  <c r="J6" i="14"/>
  <c r="U5" i="14"/>
  <c r="J5" i="14"/>
  <c r="T16" i="13"/>
  <c r="T30" i="13" s="1"/>
  <c r="S16" i="13"/>
  <c r="S29" i="13" s="1"/>
  <c r="R16" i="13"/>
  <c r="R30" i="13" s="1"/>
  <c r="Q16" i="13"/>
  <c r="Q30" i="13" s="1"/>
  <c r="P16" i="13"/>
  <c r="P30" i="13" s="1"/>
  <c r="O16" i="13"/>
  <c r="O30" i="13" s="1"/>
  <c r="N16" i="13"/>
  <c r="N30" i="13" s="1"/>
  <c r="M16" i="13"/>
  <c r="M30" i="13" s="1"/>
  <c r="I16" i="13"/>
  <c r="I30" i="13" s="1"/>
  <c r="H16" i="13"/>
  <c r="H30" i="13" s="1"/>
  <c r="G16" i="13"/>
  <c r="G30" i="13" s="1"/>
  <c r="F16" i="13"/>
  <c r="F30" i="13" s="1"/>
  <c r="E16" i="13"/>
  <c r="E30" i="13" s="1"/>
  <c r="D16" i="13"/>
  <c r="D30" i="13" s="1"/>
  <c r="C16" i="13"/>
  <c r="C30" i="13" s="1"/>
  <c r="B16" i="13"/>
  <c r="B29" i="13" s="1"/>
  <c r="U15" i="13"/>
  <c r="J15" i="13"/>
  <c r="U14" i="13"/>
  <c r="J14" i="13"/>
  <c r="U10" i="13"/>
  <c r="J10" i="13"/>
  <c r="U9" i="13"/>
  <c r="J9" i="13"/>
  <c r="U8" i="13"/>
  <c r="J8" i="13"/>
  <c r="U7" i="13"/>
  <c r="J7" i="13"/>
  <c r="U6" i="13"/>
  <c r="J6" i="13"/>
  <c r="U5" i="13"/>
  <c r="J5" i="13"/>
  <c r="T16" i="12"/>
  <c r="T30" i="12" s="1"/>
  <c r="S16" i="12"/>
  <c r="S30" i="12" s="1"/>
  <c r="R16" i="12"/>
  <c r="R30" i="12" s="1"/>
  <c r="Q16" i="12"/>
  <c r="Q30" i="12" s="1"/>
  <c r="P16" i="12"/>
  <c r="P30" i="12" s="1"/>
  <c r="O16" i="12"/>
  <c r="O29" i="12" s="1"/>
  <c r="N16" i="12"/>
  <c r="N30" i="12" s="1"/>
  <c r="M16" i="12"/>
  <c r="M30" i="12" s="1"/>
  <c r="I16" i="12"/>
  <c r="I30" i="12" s="1"/>
  <c r="H16" i="12"/>
  <c r="H30" i="12" s="1"/>
  <c r="G16" i="12"/>
  <c r="G30" i="12" s="1"/>
  <c r="F16" i="12"/>
  <c r="F30" i="12" s="1"/>
  <c r="E16" i="12"/>
  <c r="E30" i="12" s="1"/>
  <c r="D16" i="12"/>
  <c r="D30" i="12" s="1"/>
  <c r="C16" i="12"/>
  <c r="C30" i="12" s="1"/>
  <c r="B16" i="12"/>
  <c r="B29" i="12" s="1"/>
  <c r="U15" i="12"/>
  <c r="J15" i="12"/>
  <c r="U14" i="12"/>
  <c r="J14" i="12"/>
  <c r="U10" i="12"/>
  <c r="J10" i="12"/>
  <c r="U9" i="12"/>
  <c r="J9" i="12"/>
  <c r="U8" i="12"/>
  <c r="J8" i="12"/>
  <c r="U7" i="12"/>
  <c r="J7" i="12"/>
  <c r="U6" i="12"/>
  <c r="J6" i="12"/>
  <c r="U5" i="12"/>
  <c r="J5" i="12"/>
  <c r="T16" i="11"/>
  <c r="T31" i="11" s="1"/>
  <c r="S16" i="11"/>
  <c r="S32" i="11" s="1"/>
  <c r="R16" i="11"/>
  <c r="R33" i="11" s="1"/>
  <c r="Q16" i="11"/>
  <c r="Q30" i="11" s="1"/>
  <c r="P16" i="11"/>
  <c r="P31" i="11" s="1"/>
  <c r="O16" i="11"/>
  <c r="O32" i="11" s="1"/>
  <c r="N16" i="11"/>
  <c r="N33" i="11" s="1"/>
  <c r="M16" i="11"/>
  <c r="M30" i="11" s="1"/>
  <c r="I16" i="11"/>
  <c r="I31" i="11" s="1"/>
  <c r="H16" i="11"/>
  <c r="H32" i="11" s="1"/>
  <c r="G16" i="11"/>
  <c r="G33" i="11" s="1"/>
  <c r="F16" i="11"/>
  <c r="F30" i="11" s="1"/>
  <c r="E16" i="11"/>
  <c r="E31" i="11" s="1"/>
  <c r="D16" i="11"/>
  <c r="D32" i="11" s="1"/>
  <c r="C16" i="11"/>
  <c r="C33" i="11" s="1"/>
  <c r="B16" i="11"/>
  <c r="B29" i="11" s="1"/>
  <c r="U15" i="11"/>
  <c r="J15" i="11"/>
  <c r="U14" i="11"/>
  <c r="J14" i="11"/>
  <c r="U10" i="11"/>
  <c r="J10" i="11"/>
  <c r="U9" i="11"/>
  <c r="J9" i="11"/>
  <c r="U8" i="11"/>
  <c r="J8" i="11"/>
  <c r="U7" i="11"/>
  <c r="J7" i="11"/>
  <c r="U6" i="11"/>
  <c r="J6" i="11"/>
  <c r="U5" i="11"/>
  <c r="J5" i="11"/>
  <c r="R16" i="7"/>
  <c r="R33" i="7" s="1"/>
  <c r="U8" i="7"/>
  <c r="U7" i="7"/>
  <c r="J8" i="7"/>
  <c r="J7" i="7"/>
  <c r="G16" i="7"/>
  <c r="G33" i="7" s="1"/>
  <c r="J15" i="7"/>
  <c r="J14" i="7"/>
  <c r="J10" i="7"/>
  <c r="J9" i="7"/>
  <c r="J6" i="7"/>
  <c r="J5" i="7"/>
  <c r="U15" i="7"/>
  <c r="U14" i="7"/>
  <c r="U10" i="7"/>
  <c r="U9" i="7"/>
  <c r="U6" i="7"/>
  <c r="U5" i="7"/>
  <c r="T16" i="7"/>
  <c r="T31" i="7" s="1"/>
  <c r="S16" i="7"/>
  <c r="S32" i="7" s="1"/>
  <c r="Q16" i="7"/>
  <c r="Q30" i="7" s="1"/>
  <c r="P16" i="7"/>
  <c r="P31" i="7" s="1"/>
  <c r="O16" i="7"/>
  <c r="O32" i="7" s="1"/>
  <c r="N16" i="7"/>
  <c r="N33" i="7" s="1"/>
  <c r="M16" i="7"/>
  <c r="M30" i="7" s="1"/>
  <c r="I16" i="7"/>
  <c r="I31" i="7" s="1"/>
  <c r="H16" i="7"/>
  <c r="H32" i="7" s="1"/>
  <c r="F16" i="7"/>
  <c r="F30" i="7" s="1"/>
  <c r="E16" i="7"/>
  <c r="E31" i="7" s="1"/>
  <c r="D16" i="7"/>
  <c r="D32" i="7" s="1"/>
  <c r="C16" i="7"/>
  <c r="C33" i="7" s="1"/>
  <c r="B16" i="7"/>
  <c r="B29" i="7" s="1"/>
  <c r="I16" i="18" l="1"/>
  <c r="I33" i="18" s="1"/>
  <c r="R16" i="18"/>
  <c r="R33" i="18" s="1"/>
  <c r="U13" i="18"/>
  <c r="N16" i="18"/>
  <c r="N33" i="18" s="1"/>
  <c r="F16" i="18"/>
  <c r="F33" i="18" s="1"/>
  <c r="M16" i="18"/>
  <c r="M33" i="18" s="1"/>
  <c r="E16" i="18"/>
  <c r="E30" i="18" s="1"/>
  <c r="B16" i="18"/>
  <c r="B33" i="18" s="1"/>
  <c r="O29" i="17"/>
  <c r="O28" i="14"/>
  <c r="O30" i="12"/>
  <c r="O47" i="12" s="1"/>
  <c r="O29" i="15"/>
  <c r="O28" i="12"/>
  <c r="Q47" i="7"/>
  <c r="O30" i="16"/>
  <c r="O47" i="16" s="1"/>
  <c r="O29" i="13"/>
  <c r="O28" i="7"/>
  <c r="O28" i="16"/>
  <c r="O30" i="14"/>
  <c r="O47" i="14" s="1"/>
  <c r="O29" i="11"/>
  <c r="C16" i="18"/>
  <c r="C33" i="18" s="1"/>
  <c r="G16" i="18"/>
  <c r="G33" i="18" s="1"/>
  <c r="S28" i="17"/>
  <c r="S30" i="17"/>
  <c r="S47" i="17" s="1"/>
  <c r="S29" i="16"/>
  <c r="S28" i="15"/>
  <c r="S30" i="15"/>
  <c r="S47" i="15" s="1"/>
  <c r="S29" i="14"/>
  <c r="S28" i="13"/>
  <c r="S30" i="13"/>
  <c r="S47" i="13" s="1"/>
  <c r="S29" i="12"/>
  <c r="S28" i="11"/>
  <c r="S30" i="11"/>
  <c r="J11" i="18"/>
  <c r="J12" i="18"/>
  <c r="J13" i="18"/>
  <c r="U11" i="18"/>
  <c r="O28" i="17"/>
  <c r="O28" i="15"/>
  <c r="O28" i="13"/>
  <c r="O28" i="11"/>
  <c r="O30" i="11"/>
  <c r="O30" i="7"/>
  <c r="S28" i="16"/>
  <c r="S28" i="14"/>
  <c r="S28" i="12"/>
  <c r="S29" i="11"/>
  <c r="O29" i="7"/>
  <c r="Q47" i="11"/>
  <c r="Q47" i="12"/>
  <c r="Q47" i="13"/>
  <c r="Q47" i="14"/>
  <c r="Q47" i="15"/>
  <c r="Q47" i="16"/>
  <c r="Q47" i="17"/>
  <c r="S47" i="16"/>
  <c r="S47" i="14"/>
  <c r="S47" i="12"/>
  <c r="P47" i="12"/>
  <c r="T47" i="12"/>
  <c r="P47" i="13"/>
  <c r="T47" i="13"/>
  <c r="P47" i="14"/>
  <c r="T47" i="14"/>
  <c r="P47" i="15"/>
  <c r="T47" i="15"/>
  <c r="P47" i="16"/>
  <c r="T47" i="16"/>
  <c r="P47" i="17"/>
  <c r="T47" i="17"/>
  <c r="N47" i="12"/>
  <c r="R47" i="12"/>
  <c r="N47" i="13"/>
  <c r="R47" i="13"/>
  <c r="N47" i="14"/>
  <c r="R47" i="14"/>
  <c r="N47" i="15"/>
  <c r="R47" i="15"/>
  <c r="N47" i="16"/>
  <c r="R47" i="16"/>
  <c r="N47" i="17"/>
  <c r="R47" i="17"/>
  <c r="O47" i="17"/>
  <c r="O47" i="15"/>
  <c r="O47" i="13"/>
  <c r="S16" i="18"/>
  <c r="S33" i="18" s="1"/>
  <c r="S29" i="7"/>
  <c r="F28" i="17"/>
  <c r="B30" i="17"/>
  <c r="M47" i="17" s="1"/>
  <c r="F28" i="16"/>
  <c r="B30" i="16"/>
  <c r="M47" i="16" s="1"/>
  <c r="F28" i="15"/>
  <c r="B30" i="15"/>
  <c r="M47" i="15" s="1"/>
  <c r="F28" i="14"/>
  <c r="B30" i="14"/>
  <c r="M47" i="14" s="1"/>
  <c r="F28" i="13"/>
  <c r="B30" i="13"/>
  <c r="M47" i="13" s="1"/>
  <c r="F28" i="12"/>
  <c r="B30" i="12"/>
  <c r="M47" i="12" s="1"/>
  <c r="F28" i="11"/>
  <c r="B30" i="11"/>
  <c r="M47" i="11" s="1"/>
  <c r="F28" i="7"/>
  <c r="B30" i="7"/>
  <c r="M47" i="7" s="1"/>
  <c r="M28" i="17"/>
  <c r="Q28" i="17"/>
  <c r="M29" i="17"/>
  <c r="M46" i="17" s="1"/>
  <c r="Q29" i="17"/>
  <c r="M28" i="16"/>
  <c r="Q28" i="16"/>
  <c r="M29" i="16"/>
  <c r="M46" i="16" s="1"/>
  <c r="Q29" i="16"/>
  <c r="M28" i="15"/>
  <c r="Q28" i="15"/>
  <c r="M29" i="15"/>
  <c r="M46" i="15" s="1"/>
  <c r="Q29" i="15"/>
  <c r="M28" i="14"/>
  <c r="Q28" i="14"/>
  <c r="M29" i="14"/>
  <c r="M46" i="14" s="1"/>
  <c r="Q29" i="14"/>
  <c r="M28" i="13"/>
  <c r="Q28" i="13"/>
  <c r="M29" i="13"/>
  <c r="M46" i="13" s="1"/>
  <c r="Q29" i="13"/>
  <c r="M28" i="12"/>
  <c r="Q28" i="12"/>
  <c r="M29" i="12"/>
  <c r="M46" i="12" s="1"/>
  <c r="Q29" i="12"/>
  <c r="M28" i="11"/>
  <c r="Q28" i="11"/>
  <c r="M29" i="11"/>
  <c r="M46" i="11" s="1"/>
  <c r="Q29" i="11"/>
  <c r="M28" i="7"/>
  <c r="Q28" i="7"/>
  <c r="M29" i="7"/>
  <c r="M46" i="7" s="1"/>
  <c r="Q29" i="7"/>
  <c r="D28" i="17"/>
  <c r="H28" i="17"/>
  <c r="D29" i="17"/>
  <c r="H29" i="17"/>
  <c r="S46" i="17" s="1"/>
  <c r="D28" i="16"/>
  <c r="H28" i="16"/>
  <c r="D29" i="16"/>
  <c r="O46" i="16" s="1"/>
  <c r="H29" i="16"/>
  <c r="D28" i="15"/>
  <c r="H28" i="15"/>
  <c r="D29" i="15"/>
  <c r="H29" i="15"/>
  <c r="S46" i="15" s="1"/>
  <c r="D28" i="14"/>
  <c r="H28" i="14"/>
  <c r="D29" i="14"/>
  <c r="O46" i="14" s="1"/>
  <c r="H29" i="14"/>
  <c r="D28" i="13"/>
  <c r="H28" i="13"/>
  <c r="D29" i="13"/>
  <c r="H29" i="13"/>
  <c r="S46" i="13" s="1"/>
  <c r="D28" i="12"/>
  <c r="H28" i="12"/>
  <c r="D29" i="12"/>
  <c r="O46" i="12" s="1"/>
  <c r="H29" i="12"/>
  <c r="D28" i="11"/>
  <c r="H28" i="11"/>
  <c r="D29" i="11"/>
  <c r="H29" i="11"/>
  <c r="D30" i="11"/>
  <c r="H30" i="11"/>
  <c r="D28" i="7"/>
  <c r="H28" i="7"/>
  <c r="D29" i="7"/>
  <c r="H29" i="7"/>
  <c r="D30" i="7"/>
  <c r="H30" i="7"/>
  <c r="S28" i="7"/>
  <c r="B28" i="17"/>
  <c r="F29" i="17"/>
  <c r="B28" i="16"/>
  <c r="F29" i="16"/>
  <c r="B28" i="15"/>
  <c r="F29" i="15"/>
  <c r="B28" i="14"/>
  <c r="F29" i="14"/>
  <c r="B28" i="13"/>
  <c r="F29" i="13"/>
  <c r="B28" i="12"/>
  <c r="F29" i="12"/>
  <c r="B28" i="11"/>
  <c r="F29" i="11"/>
  <c r="B28" i="7"/>
  <c r="F29" i="7"/>
  <c r="U12" i="18"/>
  <c r="P28" i="17"/>
  <c r="T28" i="17"/>
  <c r="P29" i="17"/>
  <c r="T29" i="17"/>
  <c r="P28" i="16"/>
  <c r="T28" i="16"/>
  <c r="P29" i="16"/>
  <c r="T29" i="16"/>
  <c r="P28" i="15"/>
  <c r="T28" i="15"/>
  <c r="P29" i="15"/>
  <c r="T29" i="15"/>
  <c r="P28" i="14"/>
  <c r="T28" i="14"/>
  <c r="P29" i="14"/>
  <c r="T29" i="14"/>
  <c r="P28" i="13"/>
  <c r="T28" i="13"/>
  <c r="P29" i="13"/>
  <c r="T29" i="13"/>
  <c r="P28" i="12"/>
  <c r="T28" i="12"/>
  <c r="P29" i="12"/>
  <c r="T29" i="12"/>
  <c r="P28" i="11"/>
  <c r="T28" i="11"/>
  <c r="P29" i="11"/>
  <c r="T29" i="11"/>
  <c r="P30" i="11"/>
  <c r="T30" i="11"/>
  <c r="P28" i="7"/>
  <c r="T28" i="7"/>
  <c r="P29" i="7"/>
  <c r="T29" i="7"/>
  <c r="P30" i="7"/>
  <c r="T30" i="7"/>
  <c r="C28" i="17"/>
  <c r="G28" i="17"/>
  <c r="C29" i="17"/>
  <c r="G29" i="17"/>
  <c r="C28" i="16"/>
  <c r="G28" i="16"/>
  <c r="C29" i="16"/>
  <c r="G29" i="16"/>
  <c r="C28" i="15"/>
  <c r="G28" i="15"/>
  <c r="C29" i="15"/>
  <c r="G29" i="15"/>
  <c r="C28" i="14"/>
  <c r="G28" i="14"/>
  <c r="C29" i="14"/>
  <c r="G29" i="14"/>
  <c r="C28" i="13"/>
  <c r="G28" i="13"/>
  <c r="C29" i="13"/>
  <c r="G29" i="13"/>
  <c r="C28" i="12"/>
  <c r="G28" i="12"/>
  <c r="C29" i="12"/>
  <c r="G29" i="12"/>
  <c r="C28" i="11"/>
  <c r="G28" i="11"/>
  <c r="C29" i="11"/>
  <c r="G29" i="11"/>
  <c r="C30" i="11"/>
  <c r="G30" i="11"/>
  <c r="C28" i="7"/>
  <c r="G28" i="7"/>
  <c r="C29" i="7"/>
  <c r="G29" i="7"/>
  <c r="C30" i="7"/>
  <c r="G30" i="7"/>
  <c r="S30" i="7"/>
  <c r="N28" i="17"/>
  <c r="R28" i="17"/>
  <c r="N29" i="17"/>
  <c r="R29" i="17"/>
  <c r="N28" i="16"/>
  <c r="R28" i="16"/>
  <c r="N29" i="16"/>
  <c r="R29" i="16"/>
  <c r="N28" i="15"/>
  <c r="R28" i="15"/>
  <c r="N29" i="15"/>
  <c r="R29" i="15"/>
  <c r="N28" i="14"/>
  <c r="R28" i="14"/>
  <c r="N29" i="14"/>
  <c r="R29" i="14"/>
  <c r="N28" i="13"/>
  <c r="R28" i="13"/>
  <c r="N29" i="13"/>
  <c r="R29" i="13"/>
  <c r="N28" i="12"/>
  <c r="R28" i="12"/>
  <c r="N29" i="12"/>
  <c r="R29" i="12"/>
  <c r="N28" i="11"/>
  <c r="R28" i="11"/>
  <c r="N29" i="11"/>
  <c r="R29" i="11"/>
  <c r="N30" i="11"/>
  <c r="R30" i="11"/>
  <c r="N28" i="7"/>
  <c r="R28" i="7"/>
  <c r="N29" i="7"/>
  <c r="R29" i="7"/>
  <c r="N30" i="7"/>
  <c r="R30" i="7"/>
  <c r="E28" i="17"/>
  <c r="I28" i="17"/>
  <c r="E29" i="17"/>
  <c r="I29" i="17"/>
  <c r="E28" i="16"/>
  <c r="I28" i="16"/>
  <c r="E29" i="16"/>
  <c r="I29" i="16"/>
  <c r="E28" i="15"/>
  <c r="I28" i="15"/>
  <c r="E29" i="15"/>
  <c r="I29" i="15"/>
  <c r="E28" i="14"/>
  <c r="I28" i="14"/>
  <c r="E29" i="14"/>
  <c r="I29" i="14"/>
  <c r="E28" i="13"/>
  <c r="I28" i="13"/>
  <c r="E29" i="13"/>
  <c r="I29" i="13"/>
  <c r="E28" i="12"/>
  <c r="I28" i="12"/>
  <c r="E29" i="12"/>
  <c r="I29" i="12"/>
  <c r="E28" i="11"/>
  <c r="I28" i="11"/>
  <c r="E29" i="11"/>
  <c r="I29" i="11"/>
  <c r="E30" i="11"/>
  <c r="I30" i="11"/>
  <c r="E28" i="7"/>
  <c r="I28" i="7"/>
  <c r="E29" i="7"/>
  <c r="I29" i="7"/>
  <c r="E30" i="7"/>
  <c r="I30" i="7"/>
  <c r="T16" i="18"/>
  <c r="T33" i="18" s="1"/>
  <c r="Q16" i="18"/>
  <c r="Q33" i="18" s="1"/>
  <c r="O16" i="18"/>
  <c r="O33" i="18" s="1"/>
  <c r="C31" i="12"/>
  <c r="C25" i="12"/>
  <c r="C23" i="12"/>
  <c r="C32" i="12"/>
  <c r="C26" i="12"/>
  <c r="C33" i="12"/>
  <c r="C27" i="12"/>
  <c r="C24" i="12"/>
  <c r="C22" i="12"/>
  <c r="G31" i="12"/>
  <c r="G25" i="12"/>
  <c r="G23" i="12"/>
  <c r="G22" i="12"/>
  <c r="G32" i="12"/>
  <c r="G26" i="12"/>
  <c r="G33" i="12"/>
  <c r="G27" i="12"/>
  <c r="G24" i="12"/>
  <c r="N31" i="12"/>
  <c r="N25" i="12"/>
  <c r="N23" i="12"/>
  <c r="N32" i="12"/>
  <c r="N26" i="12"/>
  <c r="N33" i="12"/>
  <c r="N27" i="12"/>
  <c r="N24" i="12"/>
  <c r="N22" i="12"/>
  <c r="R31" i="12"/>
  <c r="R25" i="12"/>
  <c r="R23" i="12"/>
  <c r="R32" i="12"/>
  <c r="R26" i="12"/>
  <c r="R33" i="12"/>
  <c r="R27" i="12"/>
  <c r="R24" i="12"/>
  <c r="R22" i="12"/>
  <c r="C33" i="13"/>
  <c r="C27" i="13"/>
  <c r="C32" i="13"/>
  <c r="C25" i="13"/>
  <c r="C23" i="13"/>
  <c r="C31" i="13"/>
  <c r="C26" i="13"/>
  <c r="C24" i="13"/>
  <c r="C22" i="13"/>
  <c r="G33" i="13"/>
  <c r="G27" i="13"/>
  <c r="G31" i="13"/>
  <c r="G26" i="13"/>
  <c r="G25" i="13"/>
  <c r="G23" i="13"/>
  <c r="G24" i="13"/>
  <c r="G32" i="13"/>
  <c r="G22" i="13"/>
  <c r="N33" i="13"/>
  <c r="N27" i="13"/>
  <c r="N24" i="13"/>
  <c r="N23" i="13"/>
  <c r="N32" i="13"/>
  <c r="N22" i="13"/>
  <c r="N31" i="13"/>
  <c r="N26" i="13"/>
  <c r="N25" i="13"/>
  <c r="R33" i="13"/>
  <c r="R27" i="13"/>
  <c r="R24" i="13"/>
  <c r="R32" i="13"/>
  <c r="R22" i="13"/>
  <c r="R31" i="13"/>
  <c r="R26" i="13"/>
  <c r="R25" i="13"/>
  <c r="R23" i="13"/>
  <c r="C33" i="14"/>
  <c r="C27" i="14"/>
  <c r="C24" i="14"/>
  <c r="C31" i="14"/>
  <c r="C25" i="14"/>
  <c r="C32" i="14"/>
  <c r="C23" i="14"/>
  <c r="C22" i="14"/>
  <c r="C26" i="14"/>
  <c r="G33" i="14"/>
  <c r="G27" i="14"/>
  <c r="G24" i="14"/>
  <c r="G31" i="14"/>
  <c r="G25" i="14"/>
  <c r="G23" i="14"/>
  <c r="G26" i="14"/>
  <c r="G22" i="14"/>
  <c r="G32" i="14"/>
  <c r="N33" i="14"/>
  <c r="N27" i="14"/>
  <c r="N24" i="14"/>
  <c r="N31" i="14"/>
  <c r="N25" i="14"/>
  <c r="N23" i="14"/>
  <c r="N26" i="14"/>
  <c r="N22" i="14"/>
  <c r="N32" i="14"/>
  <c r="R33" i="14"/>
  <c r="R27" i="14"/>
  <c r="R24" i="14"/>
  <c r="R31" i="14"/>
  <c r="R25" i="14"/>
  <c r="R23" i="14"/>
  <c r="R22" i="14"/>
  <c r="R32" i="14"/>
  <c r="R26" i="14"/>
  <c r="C33" i="15"/>
  <c r="C27" i="15"/>
  <c r="C24" i="15"/>
  <c r="C31" i="15"/>
  <c r="C25" i="15"/>
  <c r="C23" i="15"/>
  <c r="C22" i="15"/>
  <c r="C32" i="15"/>
  <c r="C26" i="15"/>
  <c r="G33" i="15"/>
  <c r="G27" i="15"/>
  <c r="G24" i="15"/>
  <c r="G31" i="15"/>
  <c r="G25" i="15"/>
  <c r="G23" i="15"/>
  <c r="G26" i="15"/>
  <c r="G22" i="15"/>
  <c r="G32" i="15"/>
  <c r="N24" i="15"/>
  <c r="N32" i="15"/>
  <c r="N26" i="15"/>
  <c r="N23" i="15"/>
  <c r="N25" i="15"/>
  <c r="N27" i="15"/>
  <c r="N31" i="15"/>
  <c r="N22" i="15"/>
  <c r="N33" i="15"/>
  <c r="R24" i="15"/>
  <c r="R32" i="15"/>
  <c r="R26" i="15"/>
  <c r="R23" i="15"/>
  <c r="R31" i="15"/>
  <c r="R22" i="15"/>
  <c r="R33" i="15"/>
  <c r="R25" i="15"/>
  <c r="R27" i="15"/>
  <c r="C33" i="16"/>
  <c r="C27" i="16"/>
  <c r="C24" i="16"/>
  <c r="C31" i="16"/>
  <c r="C25" i="16"/>
  <c r="C23" i="16"/>
  <c r="C22" i="16"/>
  <c r="C32" i="16"/>
  <c r="C26" i="16"/>
  <c r="G33" i="16"/>
  <c r="G27" i="16"/>
  <c r="G24" i="16"/>
  <c r="G31" i="16"/>
  <c r="G25" i="16"/>
  <c r="G23" i="16"/>
  <c r="G26" i="16"/>
  <c r="G22" i="16"/>
  <c r="G32" i="16"/>
  <c r="N33" i="16"/>
  <c r="N27" i="16"/>
  <c r="N24" i="16"/>
  <c r="N31" i="16"/>
  <c r="N25" i="16"/>
  <c r="N23" i="16"/>
  <c r="N26" i="16"/>
  <c r="N22" i="16"/>
  <c r="N32" i="16"/>
  <c r="R33" i="16"/>
  <c r="R27" i="16"/>
  <c r="R24" i="16"/>
  <c r="R31" i="16"/>
  <c r="R25" i="16"/>
  <c r="R23" i="16"/>
  <c r="R22" i="16"/>
  <c r="R32" i="16"/>
  <c r="R26" i="16"/>
  <c r="C33" i="17"/>
  <c r="C27" i="17"/>
  <c r="C24" i="17"/>
  <c r="C31" i="17"/>
  <c r="C25" i="17"/>
  <c r="C23" i="17"/>
  <c r="C22" i="17"/>
  <c r="C32" i="17"/>
  <c r="C26" i="17"/>
  <c r="G33" i="17"/>
  <c r="G27" i="17"/>
  <c r="G24" i="17"/>
  <c r="G31" i="17"/>
  <c r="G25" i="17"/>
  <c r="G23" i="17"/>
  <c r="G26" i="17"/>
  <c r="G22" i="17"/>
  <c r="G32" i="17"/>
  <c r="N33" i="17"/>
  <c r="N27" i="17"/>
  <c r="N24" i="17"/>
  <c r="N31" i="17"/>
  <c r="N25" i="17"/>
  <c r="N23" i="17"/>
  <c r="N26" i="17"/>
  <c r="N22" i="17"/>
  <c r="N32" i="17"/>
  <c r="R33" i="17"/>
  <c r="R27" i="17"/>
  <c r="R24" i="17"/>
  <c r="R31" i="17"/>
  <c r="R25" i="17"/>
  <c r="R23" i="17"/>
  <c r="R22" i="17"/>
  <c r="R32" i="17"/>
  <c r="R26" i="17"/>
  <c r="E22" i="7"/>
  <c r="I22" i="7"/>
  <c r="D23" i="7"/>
  <c r="H23" i="7"/>
  <c r="B24" i="7"/>
  <c r="F24" i="7"/>
  <c r="D25" i="7"/>
  <c r="H25" i="7"/>
  <c r="C26" i="7"/>
  <c r="G26" i="7"/>
  <c r="B27" i="7"/>
  <c r="F27" i="7"/>
  <c r="D31" i="7"/>
  <c r="H31" i="7"/>
  <c r="C32" i="7"/>
  <c r="G32" i="7"/>
  <c r="B33" i="7"/>
  <c r="F33" i="7"/>
  <c r="P22" i="7"/>
  <c r="T22" i="7"/>
  <c r="O23" i="7"/>
  <c r="S23" i="7"/>
  <c r="M24" i="7"/>
  <c r="Q24" i="7"/>
  <c r="O25" i="7"/>
  <c r="S25" i="7"/>
  <c r="N26" i="7"/>
  <c r="R26" i="7"/>
  <c r="M27" i="7"/>
  <c r="Q27" i="7"/>
  <c r="O31" i="7"/>
  <c r="S31" i="7"/>
  <c r="N32" i="7"/>
  <c r="R32" i="7"/>
  <c r="M33" i="7"/>
  <c r="Q33" i="7"/>
  <c r="E22" i="11"/>
  <c r="I22" i="11"/>
  <c r="D23" i="11"/>
  <c r="H23" i="11"/>
  <c r="B24" i="11"/>
  <c r="F24" i="11"/>
  <c r="D25" i="11"/>
  <c r="H25" i="11"/>
  <c r="C26" i="11"/>
  <c r="G26" i="11"/>
  <c r="B27" i="11"/>
  <c r="F27" i="11"/>
  <c r="D31" i="11"/>
  <c r="H31" i="11"/>
  <c r="C32" i="11"/>
  <c r="G32" i="11"/>
  <c r="B33" i="11"/>
  <c r="F33" i="11"/>
  <c r="P22" i="11"/>
  <c r="T22" i="11"/>
  <c r="O23" i="11"/>
  <c r="S23" i="11"/>
  <c r="M24" i="11"/>
  <c r="Q24" i="11"/>
  <c r="O25" i="11"/>
  <c r="S25" i="11"/>
  <c r="N26" i="11"/>
  <c r="R26" i="11"/>
  <c r="M27" i="11"/>
  <c r="Q27" i="11"/>
  <c r="O31" i="11"/>
  <c r="S31" i="11"/>
  <c r="N32" i="11"/>
  <c r="R32" i="11"/>
  <c r="M33" i="11"/>
  <c r="Q33" i="11"/>
  <c r="F32" i="12"/>
  <c r="F26" i="12"/>
  <c r="F33" i="12"/>
  <c r="F27" i="12"/>
  <c r="F24" i="12"/>
  <c r="F23" i="12"/>
  <c r="F22" i="12"/>
  <c r="F25" i="12"/>
  <c r="F31" i="12"/>
  <c r="M32" i="12"/>
  <c r="M26" i="12"/>
  <c r="M33" i="12"/>
  <c r="M27" i="12"/>
  <c r="M24" i="12"/>
  <c r="M22" i="12"/>
  <c r="M31" i="12"/>
  <c r="M25" i="12"/>
  <c r="M23" i="12"/>
  <c r="Q32" i="12"/>
  <c r="Q26" i="12"/>
  <c r="Q33" i="12"/>
  <c r="Q27" i="12"/>
  <c r="Q24" i="12"/>
  <c r="Q22" i="12"/>
  <c r="Q31" i="12"/>
  <c r="Q25" i="12"/>
  <c r="Q23" i="12"/>
  <c r="B31" i="13"/>
  <c r="B26" i="13"/>
  <c r="B24" i="13"/>
  <c r="B33" i="13"/>
  <c r="B22" i="13"/>
  <c r="B32" i="13"/>
  <c r="B27" i="13"/>
  <c r="B25" i="13"/>
  <c r="B23" i="13"/>
  <c r="F33" i="13"/>
  <c r="F24" i="13"/>
  <c r="F32" i="13"/>
  <c r="F27" i="13"/>
  <c r="F22" i="13"/>
  <c r="F31" i="13"/>
  <c r="F26" i="13"/>
  <c r="F25" i="13"/>
  <c r="F23" i="13"/>
  <c r="M22" i="13"/>
  <c r="M32" i="13"/>
  <c r="M27" i="13"/>
  <c r="M31" i="13"/>
  <c r="M26" i="13"/>
  <c r="M24" i="13"/>
  <c r="M25" i="13"/>
  <c r="M33" i="13"/>
  <c r="M23" i="13"/>
  <c r="Q22" i="13"/>
  <c r="Q31" i="13"/>
  <c r="Q26" i="13"/>
  <c r="Q24" i="13"/>
  <c r="Q25" i="13"/>
  <c r="Q33" i="13"/>
  <c r="Q23" i="13"/>
  <c r="Q32" i="13"/>
  <c r="Q27" i="13"/>
  <c r="B22" i="14"/>
  <c r="B32" i="14"/>
  <c r="B26" i="14"/>
  <c r="B31" i="14"/>
  <c r="B23" i="14"/>
  <c r="B33" i="14"/>
  <c r="B25" i="14"/>
  <c r="B24" i="14"/>
  <c r="B27" i="14"/>
  <c r="F22" i="14"/>
  <c r="F32" i="14"/>
  <c r="F26" i="14"/>
  <c r="F25" i="14"/>
  <c r="F27" i="14"/>
  <c r="F24" i="14"/>
  <c r="F31" i="14"/>
  <c r="F33" i="14"/>
  <c r="F23" i="14"/>
  <c r="M22" i="14"/>
  <c r="M32" i="14"/>
  <c r="M26" i="14"/>
  <c r="M25" i="14"/>
  <c r="M27" i="14"/>
  <c r="M31" i="14"/>
  <c r="M23" i="14"/>
  <c r="M33" i="14"/>
  <c r="M24" i="14"/>
  <c r="Q22" i="14"/>
  <c r="Q32" i="14"/>
  <c r="Q26" i="14"/>
  <c r="Q31" i="14"/>
  <c r="Q23" i="14"/>
  <c r="Q33" i="14"/>
  <c r="Q24" i="14"/>
  <c r="Q25" i="14"/>
  <c r="Q27" i="14"/>
  <c r="B22" i="15"/>
  <c r="B32" i="15"/>
  <c r="B26" i="15"/>
  <c r="B31" i="15"/>
  <c r="B23" i="15"/>
  <c r="B33" i="15"/>
  <c r="B24" i="15"/>
  <c r="B25" i="15"/>
  <c r="B27" i="15"/>
  <c r="F22" i="15"/>
  <c r="F32" i="15"/>
  <c r="F26" i="15"/>
  <c r="F25" i="15"/>
  <c r="F27" i="15"/>
  <c r="F31" i="15"/>
  <c r="F23" i="15"/>
  <c r="F33" i="15"/>
  <c r="F24" i="15"/>
  <c r="M31" i="15"/>
  <c r="M25" i="15"/>
  <c r="M22" i="15"/>
  <c r="M33" i="15"/>
  <c r="M27" i="15"/>
  <c r="M26" i="15"/>
  <c r="M32" i="15"/>
  <c r="M23" i="15"/>
  <c r="M24" i="15"/>
  <c r="Q31" i="15"/>
  <c r="Q25" i="15"/>
  <c r="Q22" i="15"/>
  <c r="Q33" i="15"/>
  <c r="Q27" i="15"/>
  <c r="Q32" i="15"/>
  <c r="Q23" i="15"/>
  <c r="Q24" i="15"/>
  <c r="Q26" i="15"/>
  <c r="B22" i="16"/>
  <c r="B32" i="16"/>
  <c r="B26" i="16"/>
  <c r="B31" i="16"/>
  <c r="B23" i="16"/>
  <c r="B33" i="16"/>
  <c r="B24" i="16"/>
  <c r="B25" i="16"/>
  <c r="B27" i="16"/>
  <c r="F22" i="16"/>
  <c r="F32" i="16"/>
  <c r="F26" i="16"/>
  <c r="F25" i="16"/>
  <c r="F27" i="16"/>
  <c r="F31" i="16"/>
  <c r="F23" i="16"/>
  <c r="F33" i="16"/>
  <c r="F24" i="16"/>
  <c r="M22" i="16"/>
  <c r="M32" i="16"/>
  <c r="M26" i="16"/>
  <c r="M25" i="16"/>
  <c r="M27" i="16"/>
  <c r="M31" i="16"/>
  <c r="M23" i="16"/>
  <c r="M33" i="16"/>
  <c r="M24" i="16"/>
  <c r="Q22" i="16"/>
  <c r="Q32" i="16"/>
  <c r="Q26" i="16"/>
  <c r="Q31" i="16"/>
  <c r="Q23" i="16"/>
  <c r="Q33" i="16"/>
  <c r="Q24" i="16"/>
  <c r="Q25" i="16"/>
  <c r="Q27" i="16"/>
  <c r="B22" i="17"/>
  <c r="B32" i="17"/>
  <c r="B26" i="17"/>
  <c r="B31" i="17"/>
  <c r="B23" i="17"/>
  <c r="B33" i="17"/>
  <c r="B24" i="17"/>
  <c r="B25" i="17"/>
  <c r="B27" i="17"/>
  <c r="F22" i="17"/>
  <c r="F32" i="17"/>
  <c r="F26" i="17"/>
  <c r="F25" i="17"/>
  <c r="F27" i="17"/>
  <c r="F31" i="17"/>
  <c r="F23" i="17"/>
  <c r="F33" i="17"/>
  <c r="F24" i="17"/>
  <c r="M22" i="17"/>
  <c r="M32" i="17"/>
  <c r="M26" i="17"/>
  <c r="M25" i="17"/>
  <c r="M27" i="17"/>
  <c r="M31" i="17"/>
  <c r="M23" i="17"/>
  <c r="M33" i="17"/>
  <c r="M24" i="17"/>
  <c r="Q22" i="17"/>
  <c r="Q32" i="17"/>
  <c r="Q26" i="17"/>
  <c r="Q31" i="17"/>
  <c r="Q23" i="17"/>
  <c r="Q33" i="17"/>
  <c r="Q24" i="17"/>
  <c r="Q25" i="17"/>
  <c r="Q27" i="17"/>
  <c r="D22" i="7"/>
  <c r="H22" i="7"/>
  <c r="C23" i="7"/>
  <c r="G23" i="7"/>
  <c r="E24" i="7"/>
  <c r="I24" i="7"/>
  <c r="C25" i="7"/>
  <c r="G25" i="7"/>
  <c r="B26" i="7"/>
  <c r="F26" i="7"/>
  <c r="E27" i="7"/>
  <c r="I27" i="7"/>
  <c r="C31" i="7"/>
  <c r="G31" i="7"/>
  <c r="B32" i="7"/>
  <c r="F32" i="7"/>
  <c r="E33" i="7"/>
  <c r="I33" i="7"/>
  <c r="O22" i="7"/>
  <c r="S22" i="7"/>
  <c r="N23" i="7"/>
  <c r="R23" i="7"/>
  <c r="P24" i="7"/>
  <c r="T24" i="7"/>
  <c r="N25" i="7"/>
  <c r="R25" i="7"/>
  <c r="M26" i="7"/>
  <c r="Q26" i="7"/>
  <c r="P27" i="7"/>
  <c r="T27" i="7"/>
  <c r="N31" i="7"/>
  <c r="R31" i="7"/>
  <c r="M32" i="7"/>
  <c r="Q32" i="7"/>
  <c r="P33" i="7"/>
  <c r="T33" i="7"/>
  <c r="D22" i="11"/>
  <c r="H22" i="11"/>
  <c r="C23" i="11"/>
  <c r="G23" i="11"/>
  <c r="E24" i="11"/>
  <c r="I24" i="11"/>
  <c r="C25" i="11"/>
  <c r="G25" i="11"/>
  <c r="B26" i="11"/>
  <c r="F26" i="11"/>
  <c r="E27" i="11"/>
  <c r="I27" i="11"/>
  <c r="C31" i="11"/>
  <c r="G31" i="11"/>
  <c r="B32" i="11"/>
  <c r="F32" i="11"/>
  <c r="E33" i="11"/>
  <c r="I33" i="11"/>
  <c r="O22" i="11"/>
  <c r="S22" i="11"/>
  <c r="N23" i="11"/>
  <c r="R23" i="11"/>
  <c r="P24" i="11"/>
  <c r="T24" i="11"/>
  <c r="N25" i="11"/>
  <c r="R25" i="11"/>
  <c r="M26" i="11"/>
  <c r="Q26" i="11"/>
  <c r="P27" i="11"/>
  <c r="T27" i="11"/>
  <c r="N31" i="11"/>
  <c r="R31" i="11"/>
  <c r="M32" i="11"/>
  <c r="Q32" i="11"/>
  <c r="P33" i="11"/>
  <c r="T33" i="11"/>
  <c r="B32" i="12"/>
  <c r="B26" i="12"/>
  <c r="B24" i="12"/>
  <c r="B33" i="12"/>
  <c r="B27" i="12"/>
  <c r="B22" i="12"/>
  <c r="B23" i="12"/>
  <c r="B31" i="12"/>
  <c r="B25" i="12"/>
  <c r="E33" i="12"/>
  <c r="E27" i="12"/>
  <c r="E24" i="12"/>
  <c r="E22" i="12"/>
  <c r="E31" i="12"/>
  <c r="E25" i="12"/>
  <c r="E23" i="12"/>
  <c r="E32" i="12"/>
  <c r="E26" i="12"/>
  <c r="I33" i="12"/>
  <c r="I27" i="12"/>
  <c r="I24" i="12"/>
  <c r="I22" i="12"/>
  <c r="I31" i="12"/>
  <c r="I25" i="12"/>
  <c r="I23" i="12"/>
  <c r="I26" i="12"/>
  <c r="I32" i="12"/>
  <c r="P33" i="12"/>
  <c r="P27" i="12"/>
  <c r="P24" i="12"/>
  <c r="P22" i="12"/>
  <c r="P31" i="12"/>
  <c r="P25" i="12"/>
  <c r="P23" i="12"/>
  <c r="P32" i="12"/>
  <c r="P26" i="12"/>
  <c r="T33" i="12"/>
  <c r="T27" i="12"/>
  <c r="T24" i="12"/>
  <c r="T22" i="12"/>
  <c r="T31" i="12"/>
  <c r="T25" i="12"/>
  <c r="T23" i="12"/>
  <c r="T32" i="12"/>
  <c r="T26" i="12"/>
  <c r="E31" i="13"/>
  <c r="E33" i="13"/>
  <c r="E24" i="13"/>
  <c r="E32" i="13"/>
  <c r="E27" i="13"/>
  <c r="E22" i="13"/>
  <c r="E26" i="13"/>
  <c r="E25" i="13"/>
  <c r="E23" i="13"/>
  <c r="I31" i="13"/>
  <c r="I32" i="13"/>
  <c r="I27" i="13"/>
  <c r="I24" i="13"/>
  <c r="I26" i="13"/>
  <c r="I22" i="13"/>
  <c r="I25" i="13"/>
  <c r="I23" i="13"/>
  <c r="I33" i="13"/>
  <c r="P31" i="13"/>
  <c r="P25" i="13"/>
  <c r="P23" i="13"/>
  <c r="P33" i="13"/>
  <c r="P32" i="13"/>
  <c r="P27" i="13"/>
  <c r="P26" i="13"/>
  <c r="P24" i="13"/>
  <c r="P22" i="13"/>
  <c r="T31" i="13"/>
  <c r="T25" i="13"/>
  <c r="T23" i="13"/>
  <c r="T33" i="13"/>
  <c r="T32" i="13"/>
  <c r="T27" i="13"/>
  <c r="T26" i="13"/>
  <c r="T24" i="13"/>
  <c r="T22" i="13"/>
  <c r="E31" i="14"/>
  <c r="E25" i="14"/>
  <c r="E23" i="14"/>
  <c r="E33" i="14"/>
  <c r="E27" i="14"/>
  <c r="E26" i="14"/>
  <c r="E24" i="14"/>
  <c r="E22" i="14"/>
  <c r="E32" i="14"/>
  <c r="I31" i="14"/>
  <c r="I25" i="14"/>
  <c r="I23" i="14"/>
  <c r="I33" i="14"/>
  <c r="I27" i="14"/>
  <c r="I32" i="14"/>
  <c r="I26" i="14"/>
  <c r="I24" i="14"/>
  <c r="I22" i="14"/>
  <c r="P31" i="14"/>
  <c r="P25" i="14"/>
  <c r="P23" i="14"/>
  <c r="P33" i="14"/>
  <c r="P27" i="14"/>
  <c r="P24" i="14"/>
  <c r="P32" i="14"/>
  <c r="P26" i="14"/>
  <c r="P22" i="14"/>
  <c r="T31" i="14"/>
  <c r="T25" i="14"/>
  <c r="T23" i="14"/>
  <c r="T33" i="14"/>
  <c r="T27" i="14"/>
  <c r="T24" i="14"/>
  <c r="T26" i="14"/>
  <c r="T22" i="14"/>
  <c r="T32" i="14"/>
  <c r="E31" i="15"/>
  <c r="E25" i="15"/>
  <c r="E23" i="15"/>
  <c r="E33" i="15"/>
  <c r="E27" i="15"/>
  <c r="E24" i="15"/>
  <c r="E26" i="15"/>
  <c r="E22" i="15"/>
  <c r="E32" i="15"/>
  <c r="I31" i="15"/>
  <c r="I25" i="15"/>
  <c r="I23" i="15"/>
  <c r="I33" i="15"/>
  <c r="I27" i="15"/>
  <c r="I24" i="15"/>
  <c r="I32" i="15"/>
  <c r="I26" i="15"/>
  <c r="I22" i="15"/>
  <c r="P32" i="15"/>
  <c r="P26" i="15"/>
  <c r="P23" i="15"/>
  <c r="P24" i="15"/>
  <c r="P33" i="15"/>
  <c r="P25" i="15"/>
  <c r="P27" i="15"/>
  <c r="P31" i="15"/>
  <c r="P22" i="15"/>
  <c r="T32" i="15"/>
  <c r="T26" i="15"/>
  <c r="T23" i="15"/>
  <c r="T24" i="15"/>
  <c r="T27" i="15"/>
  <c r="T31" i="15"/>
  <c r="T22" i="15"/>
  <c r="T33" i="15"/>
  <c r="T25" i="15"/>
  <c r="E31" i="16"/>
  <c r="E25" i="16"/>
  <c r="E23" i="16"/>
  <c r="E33" i="16"/>
  <c r="E27" i="16"/>
  <c r="E24" i="16"/>
  <c r="E26" i="16"/>
  <c r="E22" i="16"/>
  <c r="E32" i="16"/>
  <c r="I31" i="16"/>
  <c r="I25" i="16"/>
  <c r="I23" i="16"/>
  <c r="I33" i="16"/>
  <c r="I27" i="16"/>
  <c r="I24" i="16"/>
  <c r="I32" i="16"/>
  <c r="I26" i="16"/>
  <c r="I22" i="16"/>
  <c r="P31" i="16"/>
  <c r="P25" i="16"/>
  <c r="P23" i="16"/>
  <c r="P33" i="16"/>
  <c r="P27" i="16"/>
  <c r="P24" i="16"/>
  <c r="P32" i="16"/>
  <c r="P26" i="16"/>
  <c r="P22" i="16"/>
  <c r="T31" i="16"/>
  <c r="T25" i="16"/>
  <c r="T23" i="16"/>
  <c r="T33" i="16"/>
  <c r="T27" i="16"/>
  <c r="T24" i="16"/>
  <c r="T26" i="16"/>
  <c r="T22" i="16"/>
  <c r="T32" i="16"/>
  <c r="E31" i="17"/>
  <c r="E25" i="17"/>
  <c r="E23" i="17"/>
  <c r="E33" i="17"/>
  <c r="E27" i="17"/>
  <c r="E24" i="17"/>
  <c r="E26" i="17"/>
  <c r="E22" i="17"/>
  <c r="E32" i="17"/>
  <c r="I31" i="17"/>
  <c r="I25" i="17"/>
  <c r="I23" i="17"/>
  <c r="I33" i="17"/>
  <c r="I27" i="17"/>
  <c r="I24" i="17"/>
  <c r="I32" i="17"/>
  <c r="I26" i="17"/>
  <c r="I22" i="17"/>
  <c r="P31" i="17"/>
  <c r="P25" i="17"/>
  <c r="P23" i="17"/>
  <c r="P33" i="17"/>
  <c r="P27" i="17"/>
  <c r="P24" i="17"/>
  <c r="P32" i="17"/>
  <c r="P26" i="17"/>
  <c r="P22" i="17"/>
  <c r="T31" i="17"/>
  <c r="T25" i="17"/>
  <c r="T23" i="17"/>
  <c r="T33" i="17"/>
  <c r="T27" i="17"/>
  <c r="T24" i="17"/>
  <c r="T26" i="17"/>
  <c r="T22" i="17"/>
  <c r="T32" i="17"/>
  <c r="C22" i="7"/>
  <c r="G22" i="7"/>
  <c r="B23" i="7"/>
  <c r="F23" i="7"/>
  <c r="D24" i="7"/>
  <c r="H24" i="7"/>
  <c r="B25" i="7"/>
  <c r="F25" i="7"/>
  <c r="E26" i="7"/>
  <c r="I26" i="7"/>
  <c r="D27" i="7"/>
  <c r="H27" i="7"/>
  <c r="B31" i="7"/>
  <c r="F31" i="7"/>
  <c r="E32" i="7"/>
  <c r="I32" i="7"/>
  <c r="D33" i="7"/>
  <c r="H33" i="7"/>
  <c r="N22" i="7"/>
  <c r="R22" i="7"/>
  <c r="M23" i="7"/>
  <c r="Q23" i="7"/>
  <c r="O24" i="7"/>
  <c r="S24" i="7"/>
  <c r="M25" i="7"/>
  <c r="Q25" i="7"/>
  <c r="P26" i="7"/>
  <c r="T26" i="7"/>
  <c r="O27" i="7"/>
  <c r="S27" i="7"/>
  <c r="M31" i="7"/>
  <c r="Q31" i="7"/>
  <c r="P32" i="7"/>
  <c r="T32" i="7"/>
  <c r="O33" i="7"/>
  <c r="S33" i="7"/>
  <c r="C22" i="11"/>
  <c r="G22" i="11"/>
  <c r="B23" i="11"/>
  <c r="F23" i="11"/>
  <c r="D24" i="11"/>
  <c r="H24" i="11"/>
  <c r="B25" i="11"/>
  <c r="F25" i="11"/>
  <c r="E26" i="11"/>
  <c r="I26" i="11"/>
  <c r="D27" i="11"/>
  <c r="H27" i="11"/>
  <c r="B31" i="11"/>
  <c r="F31" i="11"/>
  <c r="E32" i="11"/>
  <c r="I32" i="11"/>
  <c r="D33" i="11"/>
  <c r="H33" i="11"/>
  <c r="N22" i="11"/>
  <c r="R22" i="11"/>
  <c r="M23" i="11"/>
  <c r="Q23" i="11"/>
  <c r="O24" i="11"/>
  <c r="S24" i="11"/>
  <c r="M25" i="11"/>
  <c r="Q25" i="11"/>
  <c r="P26" i="11"/>
  <c r="T26" i="11"/>
  <c r="O27" i="11"/>
  <c r="S27" i="11"/>
  <c r="M31" i="11"/>
  <c r="Q31" i="11"/>
  <c r="P32" i="11"/>
  <c r="T32" i="11"/>
  <c r="O33" i="11"/>
  <c r="S33" i="11"/>
  <c r="D22" i="12"/>
  <c r="D31" i="12"/>
  <c r="D25" i="12"/>
  <c r="D23" i="12"/>
  <c r="D32" i="12"/>
  <c r="D26" i="12"/>
  <c r="D33" i="12"/>
  <c r="D27" i="12"/>
  <c r="D24" i="12"/>
  <c r="H22" i="12"/>
  <c r="H23" i="12"/>
  <c r="H31" i="12"/>
  <c r="H25" i="12"/>
  <c r="H24" i="12"/>
  <c r="H32" i="12"/>
  <c r="H26" i="12"/>
  <c r="H33" i="12"/>
  <c r="H27" i="12"/>
  <c r="O22" i="12"/>
  <c r="O31" i="12"/>
  <c r="O25" i="12"/>
  <c r="O23" i="12"/>
  <c r="O32" i="12"/>
  <c r="O26" i="12"/>
  <c r="O33" i="12"/>
  <c r="O27" i="12"/>
  <c r="O24" i="12"/>
  <c r="S22" i="12"/>
  <c r="S31" i="12"/>
  <c r="S25" i="12"/>
  <c r="S23" i="12"/>
  <c r="S32" i="12"/>
  <c r="S26" i="12"/>
  <c r="S33" i="12"/>
  <c r="S27" i="12"/>
  <c r="S24" i="12"/>
  <c r="D32" i="13"/>
  <c r="D26" i="13"/>
  <c r="D27" i="13"/>
  <c r="D22" i="13"/>
  <c r="D25" i="13"/>
  <c r="D23" i="13"/>
  <c r="D31" i="13"/>
  <c r="D33" i="13"/>
  <c r="D24" i="13"/>
  <c r="H32" i="13"/>
  <c r="H26" i="13"/>
  <c r="H22" i="13"/>
  <c r="H31" i="13"/>
  <c r="H25" i="13"/>
  <c r="H23" i="13"/>
  <c r="H33" i="13"/>
  <c r="H27" i="13"/>
  <c r="H24" i="13"/>
  <c r="O32" i="13"/>
  <c r="O26" i="13"/>
  <c r="O33" i="13"/>
  <c r="O25" i="13"/>
  <c r="O27" i="13"/>
  <c r="O23" i="13"/>
  <c r="O24" i="13"/>
  <c r="O22" i="13"/>
  <c r="O31" i="13"/>
  <c r="S32" i="13"/>
  <c r="S26" i="13"/>
  <c r="S27" i="13"/>
  <c r="S23" i="13"/>
  <c r="S24" i="13"/>
  <c r="S22" i="13"/>
  <c r="S31" i="13"/>
  <c r="S33" i="13"/>
  <c r="S25" i="13"/>
  <c r="D32" i="14"/>
  <c r="D26" i="14"/>
  <c r="D27" i="14"/>
  <c r="D31" i="14"/>
  <c r="D33" i="14"/>
  <c r="D23" i="14"/>
  <c r="D25" i="14"/>
  <c r="D24" i="14"/>
  <c r="D22" i="14"/>
  <c r="H32" i="14"/>
  <c r="H26" i="14"/>
  <c r="H33" i="14"/>
  <c r="H25" i="14"/>
  <c r="H23" i="14"/>
  <c r="H27" i="14"/>
  <c r="H24" i="14"/>
  <c r="H22" i="14"/>
  <c r="H31" i="14"/>
  <c r="O32" i="14"/>
  <c r="O26" i="14"/>
  <c r="O22" i="14"/>
  <c r="O33" i="14"/>
  <c r="O24" i="14"/>
  <c r="O25" i="14"/>
  <c r="O27" i="14"/>
  <c r="O31" i="14"/>
  <c r="O23" i="14"/>
  <c r="S32" i="14"/>
  <c r="S26" i="14"/>
  <c r="S22" i="14"/>
  <c r="S27" i="14"/>
  <c r="S31" i="14"/>
  <c r="S23" i="14"/>
  <c r="S33" i="14"/>
  <c r="S24" i="14"/>
  <c r="S25" i="14"/>
  <c r="D32" i="15"/>
  <c r="D26" i="15"/>
  <c r="D22" i="15"/>
  <c r="D27" i="15"/>
  <c r="D31" i="15"/>
  <c r="D23" i="15"/>
  <c r="D33" i="15"/>
  <c r="D24" i="15"/>
  <c r="D25" i="15"/>
  <c r="H32" i="15"/>
  <c r="H26" i="15"/>
  <c r="H22" i="15"/>
  <c r="H33" i="15"/>
  <c r="H24" i="15"/>
  <c r="H25" i="15"/>
  <c r="H27" i="15"/>
  <c r="H31" i="15"/>
  <c r="H23" i="15"/>
  <c r="O33" i="15"/>
  <c r="O27" i="15"/>
  <c r="O31" i="15"/>
  <c r="O25" i="15"/>
  <c r="O22" i="15"/>
  <c r="O24" i="15"/>
  <c r="O26" i="15"/>
  <c r="O32" i="15"/>
  <c r="O23" i="15"/>
  <c r="S33" i="15"/>
  <c r="S27" i="15"/>
  <c r="S31" i="15"/>
  <c r="S25" i="15"/>
  <c r="S22" i="15"/>
  <c r="S32" i="15"/>
  <c r="S23" i="15"/>
  <c r="S24" i="15"/>
  <c r="S26" i="15"/>
  <c r="D32" i="16"/>
  <c r="D26" i="16"/>
  <c r="D22" i="16"/>
  <c r="D27" i="16"/>
  <c r="D31" i="16"/>
  <c r="D23" i="16"/>
  <c r="D33" i="16"/>
  <c r="D24" i="16"/>
  <c r="D25" i="16"/>
  <c r="H32" i="16"/>
  <c r="H26" i="16"/>
  <c r="H22" i="16"/>
  <c r="H33" i="16"/>
  <c r="H24" i="16"/>
  <c r="H25" i="16"/>
  <c r="H27" i="16"/>
  <c r="H31" i="16"/>
  <c r="H23" i="16"/>
  <c r="O32" i="16"/>
  <c r="O26" i="16"/>
  <c r="O22" i="16"/>
  <c r="O33" i="16"/>
  <c r="O24" i="16"/>
  <c r="O25" i="16"/>
  <c r="O27" i="16"/>
  <c r="O31" i="16"/>
  <c r="O23" i="16"/>
  <c r="S32" i="16"/>
  <c r="S26" i="16"/>
  <c r="S22" i="16"/>
  <c r="S27" i="16"/>
  <c r="S31" i="16"/>
  <c r="S23" i="16"/>
  <c r="S33" i="16"/>
  <c r="S24" i="16"/>
  <c r="S25" i="16"/>
  <c r="D32" i="17"/>
  <c r="D26" i="17"/>
  <c r="D22" i="17"/>
  <c r="D27" i="17"/>
  <c r="D31" i="17"/>
  <c r="D23" i="17"/>
  <c r="D33" i="17"/>
  <c r="D24" i="17"/>
  <c r="D25" i="17"/>
  <c r="H32" i="17"/>
  <c r="H26" i="17"/>
  <c r="H22" i="17"/>
  <c r="H33" i="17"/>
  <c r="H24" i="17"/>
  <c r="H25" i="17"/>
  <c r="H27" i="17"/>
  <c r="H31" i="17"/>
  <c r="H23" i="17"/>
  <c r="O32" i="17"/>
  <c r="O26" i="17"/>
  <c r="O22" i="17"/>
  <c r="O33" i="17"/>
  <c r="O24" i="17"/>
  <c r="O25" i="17"/>
  <c r="O27" i="17"/>
  <c r="O31" i="17"/>
  <c r="O23" i="17"/>
  <c r="S32" i="17"/>
  <c r="S26" i="17"/>
  <c r="S22" i="17"/>
  <c r="S27" i="17"/>
  <c r="S31" i="17"/>
  <c r="S23" i="17"/>
  <c r="S33" i="17"/>
  <c r="S24" i="17"/>
  <c r="S25" i="17"/>
  <c r="B22" i="7"/>
  <c r="F22" i="7"/>
  <c r="E23" i="7"/>
  <c r="I23" i="7"/>
  <c r="C24" i="7"/>
  <c r="G24" i="7"/>
  <c r="E25" i="7"/>
  <c r="I25" i="7"/>
  <c r="D26" i="7"/>
  <c r="H26" i="7"/>
  <c r="C27" i="7"/>
  <c r="G27" i="7"/>
  <c r="M22" i="7"/>
  <c r="Q22" i="7"/>
  <c r="P23" i="7"/>
  <c r="T23" i="7"/>
  <c r="N24" i="7"/>
  <c r="R24" i="7"/>
  <c r="P25" i="7"/>
  <c r="T25" i="7"/>
  <c r="O26" i="7"/>
  <c r="S26" i="7"/>
  <c r="N27" i="7"/>
  <c r="R27" i="7"/>
  <c r="B22" i="11"/>
  <c r="F22" i="11"/>
  <c r="E23" i="11"/>
  <c r="I23" i="11"/>
  <c r="C24" i="11"/>
  <c r="G24" i="11"/>
  <c r="E25" i="11"/>
  <c r="I25" i="11"/>
  <c r="D26" i="11"/>
  <c r="H26" i="11"/>
  <c r="C27" i="11"/>
  <c r="G27" i="11"/>
  <c r="M22" i="11"/>
  <c r="Q22" i="11"/>
  <c r="P23" i="11"/>
  <c r="T23" i="11"/>
  <c r="N24" i="11"/>
  <c r="R24" i="11"/>
  <c r="P25" i="11"/>
  <c r="T25" i="11"/>
  <c r="O26" i="11"/>
  <c r="S26" i="11"/>
  <c r="N27" i="11"/>
  <c r="R27" i="11"/>
  <c r="J16" i="7"/>
  <c r="J29" i="7" s="1"/>
  <c r="U5" i="18"/>
  <c r="U14" i="18"/>
  <c r="P16" i="18"/>
  <c r="P33" i="18" s="1"/>
  <c r="D16" i="18"/>
  <c r="D33" i="18" s="1"/>
  <c r="U6" i="18"/>
  <c r="U7" i="18"/>
  <c r="U8" i="18"/>
  <c r="U9" i="18"/>
  <c r="U10" i="18"/>
  <c r="U15" i="18"/>
  <c r="J6" i="18"/>
  <c r="J7" i="18"/>
  <c r="J8" i="18"/>
  <c r="J9" i="18"/>
  <c r="J10" i="18"/>
  <c r="J14" i="18"/>
  <c r="J15" i="18"/>
  <c r="H16" i="18"/>
  <c r="H33" i="18" s="1"/>
  <c r="J5" i="18"/>
  <c r="J16" i="17"/>
  <c r="J28" i="17" s="1"/>
  <c r="U16" i="17"/>
  <c r="U26" i="17" s="1"/>
  <c r="J16" i="16"/>
  <c r="J29" i="16" s="1"/>
  <c r="U16" i="16"/>
  <c r="J16" i="15"/>
  <c r="U16" i="15"/>
  <c r="J16" i="14"/>
  <c r="J29" i="14" s="1"/>
  <c r="U16" i="14"/>
  <c r="U30" i="14" s="1"/>
  <c r="J16" i="13"/>
  <c r="J30" i="13" s="1"/>
  <c r="U16" i="13"/>
  <c r="U26" i="13" s="1"/>
  <c r="J16" i="12"/>
  <c r="J30" i="12" s="1"/>
  <c r="U16" i="12"/>
  <c r="J16" i="11"/>
  <c r="J22" i="11" s="1"/>
  <c r="U16" i="11"/>
  <c r="U30" i="11" s="1"/>
  <c r="U16" i="7"/>
  <c r="U30" i="7" s="1"/>
  <c r="S45" i="13" l="1"/>
  <c r="N32" i="18"/>
  <c r="N22" i="18"/>
  <c r="G27" i="18"/>
  <c r="M31" i="18"/>
  <c r="M25" i="18"/>
  <c r="N25" i="18"/>
  <c r="B32" i="18"/>
  <c r="E23" i="18"/>
  <c r="E24" i="18"/>
  <c r="I22" i="18"/>
  <c r="F26" i="18"/>
  <c r="M23" i="18"/>
  <c r="R32" i="18"/>
  <c r="G32" i="18"/>
  <c r="M27" i="18"/>
  <c r="R27" i="18"/>
  <c r="R22" i="18"/>
  <c r="B31" i="18"/>
  <c r="N31" i="18"/>
  <c r="Q23" i="18"/>
  <c r="B23" i="18"/>
  <c r="N23" i="18"/>
  <c r="B22" i="18"/>
  <c r="Q25" i="18"/>
  <c r="B25" i="18"/>
  <c r="N27" i="18"/>
  <c r="N24" i="18"/>
  <c r="E22" i="18"/>
  <c r="E27" i="18"/>
  <c r="S32" i="18"/>
  <c r="M26" i="18"/>
  <c r="M22" i="18"/>
  <c r="E26" i="18"/>
  <c r="S45" i="12"/>
  <c r="Q45" i="12"/>
  <c r="F22" i="18"/>
  <c r="M32" i="18"/>
  <c r="S23" i="18"/>
  <c r="F32" i="18"/>
  <c r="F25" i="18"/>
  <c r="F23" i="18"/>
  <c r="R31" i="18"/>
  <c r="R25" i="18"/>
  <c r="R24" i="18"/>
  <c r="R23" i="18"/>
  <c r="I32" i="18"/>
  <c r="E33" i="18"/>
  <c r="P50" i="18" s="1"/>
  <c r="AA50" i="18" s="1"/>
  <c r="E31" i="18"/>
  <c r="B24" i="18"/>
  <c r="F31" i="18"/>
  <c r="I31" i="18"/>
  <c r="F27" i="18"/>
  <c r="I26" i="18"/>
  <c r="B27" i="18"/>
  <c r="I25" i="18"/>
  <c r="B26" i="18"/>
  <c r="I27" i="18"/>
  <c r="I30" i="18"/>
  <c r="I29" i="18"/>
  <c r="I28" i="18"/>
  <c r="F24" i="18"/>
  <c r="I24" i="18"/>
  <c r="I23" i="18"/>
  <c r="C27" i="18"/>
  <c r="C24" i="18"/>
  <c r="O45" i="7"/>
  <c r="O22" i="18"/>
  <c r="S47" i="11"/>
  <c r="Q45" i="7"/>
  <c r="Q32" i="18"/>
  <c r="Q26" i="18"/>
  <c r="R30" i="18"/>
  <c r="R29" i="18"/>
  <c r="Q45" i="16"/>
  <c r="E29" i="18"/>
  <c r="F29" i="18"/>
  <c r="R26" i="18"/>
  <c r="E25" i="18"/>
  <c r="R28" i="18"/>
  <c r="M24" i="18"/>
  <c r="N26" i="18"/>
  <c r="E32" i="18"/>
  <c r="B29" i="18"/>
  <c r="E28" i="18"/>
  <c r="S45" i="17"/>
  <c r="O45" i="17"/>
  <c r="N30" i="18"/>
  <c r="M28" i="18"/>
  <c r="N29" i="18"/>
  <c r="N28" i="18"/>
  <c r="O47" i="11"/>
  <c r="S46" i="11"/>
  <c r="S46" i="12"/>
  <c r="M30" i="18"/>
  <c r="O45" i="12"/>
  <c r="M29" i="18"/>
  <c r="B30" i="18"/>
  <c r="B28" i="18"/>
  <c r="S45" i="14"/>
  <c r="Q45" i="14"/>
  <c r="F30" i="18"/>
  <c r="O45" i="14"/>
  <c r="F28" i="18"/>
  <c r="S45" i="15"/>
  <c r="O46" i="11"/>
  <c r="O46" i="13"/>
  <c r="O46" i="15"/>
  <c r="O46" i="17"/>
  <c r="N46" i="11"/>
  <c r="N46" i="12"/>
  <c r="N46" i="13"/>
  <c r="N46" i="14"/>
  <c r="N46" i="15"/>
  <c r="N46" i="16"/>
  <c r="N46" i="17"/>
  <c r="T46" i="11"/>
  <c r="T46" i="12"/>
  <c r="T46" i="13"/>
  <c r="T46" i="14"/>
  <c r="T46" i="15"/>
  <c r="T46" i="16"/>
  <c r="T46" i="17"/>
  <c r="N47" i="7"/>
  <c r="N45" i="7"/>
  <c r="T47" i="7"/>
  <c r="T45" i="7"/>
  <c r="G22" i="18"/>
  <c r="S31" i="18"/>
  <c r="S25" i="18"/>
  <c r="G31" i="18"/>
  <c r="G23" i="18"/>
  <c r="N46" i="7"/>
  <c r="N47" i="11"/>
  <c r="N45" i="11"/>
  <c r="N45" i="12"/>
  <c r="N45" i="13"/>
  <c r="N45" i="14"/>
  <c r="S46" i="16"/>
  <c r="S30" i="18"/>
  <c r="O45" i="11"/>
  <c r="G29" i="18"/>
  <c r="S27" i="18"/>
  <c r="G25" i="18"/>
  <c r="G24" i="18"/>
  <c r="O45" i="15"/>
  <c r="O45" i="16"/>
  <c r="S26" i="18"/>
  <c r="S24" i="18"/>
  <c r="S22" i="18"/>
  <c r="G26" i="18"/>
  <c r="O47" i="7"/>
  <c r="T25" i="18"/>
  <c r="N45" i="15"/>
  <c r="N45" i="16"/>
  <c r="N45" i="17"/>
  <c r="O46" i="7"/>
  <c r="O45" i="13"/>
  <c r="U28" i="11"/>
  <c r="U28" i="17"/>
  <c r="U45" i="17" s="1"/>
  <c r="D28" i="18"/>
  <c r="U29" i="13"/>
  <c r="C29" i="18"/>
  <c r="P29" i="18"/>
  <c r="C22" i="18"/>
  <c r="C32" i="18"/>
  <c r="C25" i="18"/>
  <c r="C23" i="18"/>
  <c r="C31" i="18"/>
  <c r="R46" i="7"/>
  <c r="R47" i="11"/>
  <c r="R45" i="11"/>
  <c r="R45" i="12"/>
  <c r="R45" i="13"/>
  <c r="R45" i="14"/>
  <c r="R45" i="15"/>
  <c r="R45" i="16"/>
  <c r="R45" i="17"/>
  <c r="S45" i="11"/>
  <c r="S45" i="16"/>
  <c r="S29" i="18"/>
  <c r="D30" i="18"/>
  <c r="G28" i="18"/>
  <c r="C28" i="18"/>
  <c r="G30" i="18"/>
  <c r="J29" i="15"/>
  <c r="C26" i="18"/>
  <c r="S46" i="14"/>
  <c r="Q46" i="7"/>
  <c r="Q46" i="12"/>
  <c r="Q46" i="14"/>
  <c r="Q46" i="16"/>
  <c r="J28" i="7"/>
  <c r="S28" i="18"/>
  <c r="C30" i="18"/>
  <c r="U30" i="12"/>
  <c r="U47" i="12" s="1"/>
  <c r="U30" i="16"/>
  <c r="U26" i="11"/>
  <c r="U29" i="11"/>
  <c r="U29" i="15"/>
  <c r="T27" i="18"/>
  <c r="T46" i="7"/>
  <c r="T47" i="11"/>
  <c r="T45" i="11"/>
  <c r="T45" i="12"/>
  <c r="T45" i="13"/>
  <c r="T45" i="14"/>
  <c r="T45" i="15"/>
  <c r="T45" i="16"/>
  <c r="T45" i="17"/>
  <c r="S45" i="7"/>
  <c r="Q45" i="11"/>
  <c r="Q45" i="13"/>
  <c r="Q45" i="15"/>
  <c r="Q45" i="17"/>
  <c r="Q30" i="18"/>
  <c r="U30" i="13"/>
  <c r="U47" i="13" s="1"/>
  <c r="U29" i="17"/>
  <c r="O29" i="18"/>
  <c r="U29" i="14"/>
  <c r="U46" i="14" s="1"/>
  <c r="T28" i="18"/>
  <c r="J30" i="11"/>
  <c r="U47" i="11" s="1"/>
  <c r="D29" i="18"/>
  <c r="T29" i="18"/>
  <c r="Q28" i="18"/>
  <c r="U26" i="7"/>
  <c r="U28" i="7"/>
  <c r="J31" i="12"/>
  <c r="J28" i="12"/>
  <c r="J30" i="14"/>
  <c r="U47" i="14" s="1"/>
  <c r="J22" i="16"/>
  <c r="J28" i="16"/>
  <c r="T30" i="18"/>
  <c r="T32" i="18"/>
  <c r="T26" i="18"/>
  <c r="T24" i="18"/>
  <c r="P47" i="7"/>
  <c r="P45" i="7"/>
  <c r="P46" i="11"/>
  <c r="P46" i="12"/>
  <c r="P46" i="13"/>
  <c r="P46" i="14"/>
  <c r="P46" i="15"/>
  <c r="P46" i="16"/>
  <c r="P46" i="17"/>
  <c r="S46" i="7"/>
  <c r="J29" i="11"/>
  <c r="J30" i="16"/>
  <c r="U29" i="12"/>
  <c r="U30" i="17"/>
  <c r="J28" i="15"/>
  <c r="U28" i="13"/>
  <c r="P28" i="18"/>
  <c r="J30" i="15"/>
  <c r="H29" i="18"/>
  <c r="P30" i="18"/>
  <c r="P47" i="18" s="1"/>
  <c r="AA47" i="18" s="1"/>
  <c r="U28" i="16"/>
  <c r="U28" i="14"/>
  <c r="J22" i="13"/>
  <c r="J29" i="13"/>
  <c r="J22" i="17"/>
  <c r="J29" i="17"/>
  <c r="J27" i="7"/>
  <c r="J30" i="7"/>
  <c r="U47" i="7" s="1"/>
  <c r="Q46" i="11"/>
  <c r="Q46" i="13"/>
  <c r="Q46" i="15"/>
  <c r="Q46" i="17"/>
  <c r="U29" i="16"/>
  <c r="U46" i="16" s="1"/>
  <c r="U28" i="12"/>
  <c r="T23" i="18"/>
  <c r="R47" i="7"/>
  <c r="R45" i="7"/>
  <c r="R46" i="11"/>
  <c r="R46" i="12"/>
  <c r="R46" i="13"/>
  <c r="R46" i="14"/>
  <c r="R46" i="15"/>
  <c r="R46" i="16"/>
  <c r="R46" i="17"/>
  <c r="S47" i="7"/>
  <c r="P46" i="7"/>
  <c r="P47" i="11"/>
  <c r="P45" i="11"/>
  <c r="P45" i="12"/>
  <c r="P45" i="13"/>
  <c r="P45" i="14"/>
  <c r="P45" i="15"/>
  <c r="P45" i="16"/>
  <c r="P45" i="17"/>
  <c r="O30" i="18"/>
  <c r="M45" i="7"/>
  <c r="M45" i="11"/>
  <c r="M45" i="12"/>
  <c r="M45" i="13"/>
  <c r="M45" i="14"/>
  <c r="M45" i="15"/>
  <c r="M45" i="16"/>
  <c r="M45" i="17"/>
  <c r="J28" i="14"/>
  <c r="Q29" i="18"/>
  <c r="U28" i="15"/>
  <c r="J28" i="11"/>
  <c r="J30" i="17"/>
  <c r="J29" i="12"/>
  <c r="U29" i="7"/>
  <c r="U46" i="7" s="1"/>
  <c r="U30" i="15"/>
  <c r="J28" i="13"/>
  <c r="H30" i="18"/>
  <c r="H28" i="18"/>
  <c r="O28" i="18"/>
  <c r="Q31" i="18"/>
  <c r="Q22" i="18"/>
  <c r="Q27" i="18"/>
  <c r="Q24" i="18"/>
  <c r="T31" i="18"/>
  <c r="T22" i="18"/>
  <c r="O32" i="18"/>
  <c r="O31" i="18"/>
  <c r="O27" i="18"/>
  <c r="O26" i="18"/>
  <c r="O25" i="18"/>
  <c r="O24" i="18"/>
  <c r="O23" i="18"/>
  <c r="J24" i="15"/>
  <c r="J23" i="12"/>
  <c r="U25" i="13"/>
  <c r="J26" i="15"/>
  <c r="J23" i="16"/>
  <c r="J32" i="12"/>
  <c r="U23" i="15"/>
  <c r="J32" i="16"/>
  <c r="J27" i="13"/>
  <c r="U32" i="15"/>
  <c r="J22" i="14"/>
  <c r="J27" i="17"/>
  <c r="J25" i="14"/>
  <c r="U25" i="17"/>
  <c r="J22" i="12"/>
  <c r="J31" i="14"/>
  <c r="J24" i="17"/>
  <c r="J25" i="16"/>
  <c r="J27" i="15"/>
  <c r="J32" i="14"/>
  <c r="J23" i="14"/>
  <c r="J24" i="13"/>
  <c r="J25" i="12"/>
  <c r="U32" i="17"/>
  <c r="U23" i="17"/>
  <c r="U24" i="16"/>
  <c r="U25" i="15"/>
  <c r="U27" i="14"/>
  <c r="U32" i="13"/>
  <c r="U23" i="13"/>
  <c r="U24" i="12"/>
  <c r="J26" i="17"/>
  <c r="U43" i="17" s="1"/>
  <c r="J31" i="16"/>
  <c r="J26" i="13"/>
  <c r="U31" i="16"/>
  <c r="U22" i="16"/>
  <c r="U31" i="12"/>
  <c r="U22" i="12"/>
  <c r="J24" i="11"/>
  <c r="J31" i="7"/>
  <c r="U32" i="11"/>
  <c r="U23" i="11"/>
  <c r="U31" i="7"/>
  <c r="J26" i="7"/>
  <c r="U33" i="14"/>
  <c r="U33" i="11"/>
  <c r="U33" i="13"/>
  <c r="U33" i="15"/>
  <c r="U33" i="17"/>
  <c r="U33" i="7"/>
  <c r="J33" i="12"/>
  <c r="J33" i="14"/>
  <c r="J33" i="16"/>
  <c r="J25" i="17"/>
  <c r="J27" i="16"/>
  <c r="J32" i="15"/>
  <c r="J23" i="15"/>
  <c r="J24" i="14"/>
  <c r="J25" i="13"/>
  <c r="J27" i="12"/>
  <c r="J26" i="12"/>
  <c r="U24" i="17"/>
  <c r="U25" i="16"/>
  <c r="U27" i="15"/>
  <c r="U32" i="14"/>
  <c r="U23" i="14"/>
  <c r="U24" i="13"/>
  <c r="U25" i="12"/>
  <c r="J31" i="17"/>
  <c r="J26" i="14"/>
  <c r="J31" i="13"/>
  <c r="U31" i="17"/>
  <c r="U22" i="17"/>
  <c r="U26" i="14"/>
  <c r="U31" i="13"/>
  <c r="U22" i="13"/>
  <c r="J25" i="11"/>
  <c r="U22" i="7"/>
  <c r="U24" i="11"/>
  <c r="J26" i="11"/>
  <c r="U24" i="7"/>
  <c r="U31" i="11"/>
  <c r="U22" i="11"/>
  <c r="U39" i="11" s="1"/>
  <c r="J22" i="7"/>
  <c r="U33" i="12"/>
  <c r="U27" i="16"/>
  <c r="U24" i="14"/>
  <c r="U27" i="12"/>
  <c r="U26" i="15"/>
  <c r="U31" i="14"/>
  <c r="U22" i="14"/>
  <c r="J27" i="11"/>
  <c r="U25" i="7"/>
  <c r="U27" i="7"/>
  <c r="U25" i="11"/>
  <c r="J32" i="7"/>
  <c r="J31" i="11"/>
  <c r="U33" i="16"/>
  <c r="J33" i="11"/>
  <c r="J33" i="13"/>
  <c r="J33" i="15"/>
  <c r="J33" i="17"/>
  <c r="J33" i="7"/>
  <c r="J32" i="17"/>
  <c r="J23" i="17"/>
  <c r="J24" i="16"/>
  <c r="J25" i="15"/>
  <c r="J27" i="14"/>
  <c r="J32" i="13"/>
  <c r="J23" i="13"/>
  <c r="J24" i="12"/>
  <c r="U27" i="17"/>
  <c r="U32" i="16"/>
  <c r="U23" i="16"/>
  <c r="U24" i="15"/>
  <c r="U25" i="14"/>
  <c r="U27" i="13"/>
  <c r="U32" i="12"/>
  <c r="U23" i="12"/>
  <c r="J26" i="16"/>
  <c r="J31" i="15"/>
  <c r="J22" i="15"/>
  <c r="U26" i="16"/>
  <c r="U31" i="15"/>
  <c r="U22" i="15"/>
  <c r="U26" i="12"/>
  <c r="J32" i="11"/>
  <c r="J23" i="11"/>
  <c r="J23" i="7"/>
  <c r="U27" i="11"/>
  <c r="J25" i="7"/>
  <c r="U23" i="7"/>
  <c r="U32" i="7"/>
  <c r="J24" i="7"/>
  <c r="D26" i="18"/>
  <c r="D27" i="18"/>
  <c r="D25" i="18"/>
  <c r="H31" i="18"/>
  <c r="P26" i="18"/>
  <c r="P22" i="18"/>
  <c r="H24" i="18"/>
  <c r="H23" i="18"/>
  <c r="D32" i="18"/>
  <c r="H27" i="18"/>
  <c r="P32" i="18"/>
  <c r="P27" i="18"/>
  <c r="P25" i="18"/>
  <c r="P24" i="18"/>
  <c r="P23" i="18"/>
  <c r="D31" i="18"/>
  <c r="H26" i="18"/>
  <c r="H25" i="18"/>
  <c r="D24" i="18"/>
  <c r="D23" i="18"/>
  <c r="D22" i="18"/>
  <c r="H32" i="18"/>
  <c r="P31" i="18"/>
  <c r="H22" i="18"/>
  <c r="R50" i="7"/>
  <c r="O40" i="7"/>
  <c r="R43" i="7"/>
  <c r="Q48" i="7"/>
  <c r="S43" i="7"/>
  <c r="P48" i="7"/>
  <c r="N50" i="7"/>
  <c r="M41" i="7"/>
  <c r="P40" i="7"/>
  <c r="O50" i="7"/>
  <c r="N41" i="7"/>
  <c r="O49" i="7"/>
  <c r="S42" i="7"/>
  <c r="P49" i="7"/>
  <c r="T42" i="7"/>
  <c r="Q44" i="7"/>
  <c r="P39" i="7"/>
  <c r="M42" i="7"/>
  <c r="O41" i="7"/>
  <c r="M43" i="7"/>
  <c r="N42" i="7"/>
  <c r="P41" i="7"/>
  <c r="S49" i="7"/>
  <c r="O42" i="7"/>
  <c r="S50" i="7"/>
  <c r="M48" i="7"/>
  <c r="N44" i="7"/>
  <c r="O43" i="7"/>
  <c r="P42" i="7"/>
  <c r="T40" i="7"/>
  <c r="T50" i="7"/>
  <c r="M49" i="7"/>
  <c r="N48" i="7"/>
  <c r="O44" i="7"/>
  <c r="P43" i="7"/>
  <c r="M40" i="7"/>
  <c r="N39" i="7"/>
  <c r="N49" i="7"/>
  <c r="O48" i="7"/>
  <c r="P44" i="7"/>
  <c r="N40" i="7"/>
  <c r="O39" i="7"/>
  <c r="M50" i="17"/>
  <c r="S50" i="14"/>
  <c r="U16" i="18"/>
  <c r="J16" i="18"/>
  <c r="S50" i="17"/>
  <c r="O49" i="17"/>
  <c r="M49" i="17"/>
  <c r="O48" i="17"/>
  <c r="M48" i="17"/>
  <c r="O44" i="17"/>
  <c r="M44" i="17"/>
  <c r="O43" i="17"/>
  <c r="M43" i="17"/>
  <c r="O42" i="17"/>
  <c r="M42" i="17"/>
  <c r="O41" i="17"/>
  <c r="M41" i="17"/>
  <c r="O40" i="17"/>
  <c r="M40" i="17"/>
  <c r="O39" i="17"/>
  <c r="M39" i="17"/>
  <c r="T49" i="17"/>
  <c r="P49" i="17"/>
  <c r="N49" i="17"/>
  <c r="T48" i="17"/>
  <c r="P48" i="17"/>
  <c r="N48" i="17"/>
  <c r="T44" i="17"/>
  <c r="P44" i="17"/>
  <c r="N44" i="17"/>
  <c r="T43" i="17"/>
  <c r="P43" i="17"/>
  <c r="N43" i="17"/>
  <c r="T42" i="17"/>
  <c r="P42" i="17"/>
  <c r="N42" i="17"/>
  <c r="T41" i="17"/>
  <c r="P41" i="17"/>
  <c r="N41" i="17"/>
  <c r="T40" i="17"/>
  <c r="P40" i="17"/>
  <c r="N40" i="17"/>
  <c r="T39" i="17"/>
  <c r="P39" i="17"/>
  <c r="N39" i="17"/>
  <c r="N50" i="17"/>
  <c r="O50" i="17"/>
  <c r="S49" i="16"/>
  <c r="Q49" i="16"/>
  <c r="O49" i="16"/>
  <c r="S48" i="16"/>
  <c r="Q48" i="16"/>
  <c r="O48" i="16"/>
  <c r="S44" i="16"/>
  <c r="Q44" i="16"/>
  <c r="O44" i="16"/>
  <c r="S43" i="16"/>
  <c r="Q43" i="16"/>
  <c r="O43" i="16"/>
  <c r="S42" i="16"/>
  <c r="Q42" i="16"/>
  <c r="O42" i="16"/>
  <c r="S41" i="16"/>
  <c r="Q41" i="16"/>
  <c r="O41" i="16"/>
  <c r="S40" i="16"/>
  <c r="Q40" i="16"/>
  <c r="O40" i="16"/>
  <c r="S39" i="16"/>
  <c r="Q39" i="16"/>
  <c r="O39" i="16"/>
  <c r="R49" i="16"/>
  <c r="P49" i="16"/>
  <c r="N49" i="16"/>
  <c r="R48" i="16"/>
  <c r="P48" i="16"/>
  <c r="N48" i="16"/>
  <c r="R44" i="16"/>
  <c r="P44" i="16"/>
  <c r="N44" i="16"/>
  <c r="R43" i="16"/>
  <c r="P43" i="16"/>
  <c r="N43" i="16"/>
  <c r="R42" i="16"/>
  <c r="P42" i="16"/>
  <c r="N42" i="16"/>
  <c r="R41" i="16"/>
  <c r="P41" i="16"/>
  <c r="N41" i="16"/>
  <c r="R40" i="16"/>
  <c r="P40" i="16"/>
  <c r="N40" i="16"/>
  <c r="R39" i="16"/>
  <c r="P39" i="16"/>
  <c r="N39" i="16"/>
  <c r="S50" i="16"/>
  <c r="O50" i="16"/>
  <c r="T50" i="16"/>
  <c r="O49" i="15"/>
  <c r="O48" i="15"/>
  <c r="O44" i="15"/>
  <c r="O43" i="15"/>
  <c r="O42" i="15"/>
  <c r="O41" i="15"/>
  <c r="O40" i="15"/>
  <c r="O39" i="15"/>
  <c r="P49" i="15"/>
  <c r="N49" i="15"/>
  <c r="P48" i="15"/>
  <c r="N48" i="15"/>
  <c r="P44" i="15"/>
  <c r="N44" i="15"/>
  <c r="P43" i="15"/>
  <c r="N43" i="15"/>
  <c r="P42" i="15"/>
  <c r="N42" i="15"/>
  <c r="P41" i="15"/>
  <c r="N41" i="15"/>
  <c r="P40" i="15"/>
  <c r="N40" i="15"/>
  <c r="P39" i="15"/>
  <c r="N39" i="15"/>
  <c r="S50" i="15"/>
  <c r="O50" i="15"/>
  <c r="T50" i="15"/>
  <c r="P50" i="15"/>
  <c r="S49" i="14"/>
  <c r="S48" i="14"/>
  <c r="S44" i="14"/>
  <c r="S43" i="14"/>
  <c r="S42" i="14"/>
  <c r="S41" i="14"/>
  <c r="S40" i="14"/>
  <c r="S39" i="14"/>
  <c r="R49" i="14"/>
  <c r="R48" i="14"/>
  <c r="R44" i="14"/>
  <c r="R43" i="14"/>
  <c r="R42" i="14"/>
  <c r="R41" i="14"/>
  <c r="R40" i="14"/>
  <c r="R39" i="14"/>
  <c r="R50" i="14"/>
  <c r="N50" i="14"/>
  <c r="M50" i="14"/>
  <c r="T50" i="13"/>
  <c r="P50" i="13"/>
  <c r="S50" i="13"/>
  <c r="S49" i="12"/>
  <c r="O49" i="12"/>
  <c r="S48" i="12"/>
  <c r="O48" i="12"/>
  <c r="S44" i="12"/>
  <c r="O44" i="12"/>
  <c r="S43" i="12"/>
  <c r="O43" i="12"/>
  <c r="S42" i="12"/>
  <c r="O42" i="12"/>
  <c r="S41" i="12"/>
  <c r="O41" i="12"/>
  <c r="S40" i="12"/>
  <c r="O40" i="12"/>
  <c r="S39" i="12"/>
  <c r="O39" i="12"/>
  <c r="R49" i="12"/>
  <c r="R48" i="12"/>
  <c r="R44" i="12"/>
  <c r="R43" i="12"/>
  <c r="R42" i="12"/>
  <c r="R41" i="12"/>
  <c r="R40" i="12"/>
  <c r="R39" i="12"/>
  <c r="S50" i="12"/>
  <c r="O50" i="12"/>
  <c r="T50" i="12"/>
  <c r="P50" i="12"/>
  <c r="Q49" i="11"/>
  <c r="M49" i="11"/>
  <c r="Q48" i="11"/>
  <c r="M48" i="11"/>
  <c r="Q44" i="11"/>
  <c r="M44" i="11"/>
  <c r="Q43" i="11"/>
  <c r="M43" i="11"/>
  <c r="Q42" i="11"/>
  <c r="M42" i="11"/>
  <c r="Q41" i="11"/>
  <c r="M41" i="11"/>
  <c r="Q40" i="11"/>
  <c r="M40" i="11"/>
  <c r="Q39" i="11"/>
  <c r="M39" i="11"/>
  <c r="S50" i="11"/>
  <c r="O50" i="11"/>
  <c r="R50" i="11"/>
  <c r="M39" i="7"/>
  <c r="P48" i="18" l="1"/>
  <c r="AA48" i="18" s="1"/>
  <c r="P41" i="18"/>
  <c r="AA41" i="18" s="1"/>
  <c r="U45" i="11"/>
  <c r="T46" i="18"/>
  <c r="AE46" i="18" s="1"/>
  <c r="R45" i="18"/>
  <c r="AC45" i="18" s="1"/>
  <c r="P40" i="18"/>
  <c r="AA40" i="18" s="1"/>
  <c r="P43" i="18"/>
  <c r="AA43" i="18" s="1"/>
  <c r="P39" i="18"/>
  <c r="AA39" i="18" s="1"/>
  <c r="P44" i="18"/>
  <c r="AA44" i="18" s="1"/>
  <c r="R47" i="18"/>
  <c r="AC47" i="18" s="1"/>
  <c r="M45" i="18"/>
  <c r="X45" i="18" s="1"/>
  <c r="U41" i="15"/>
  <c r="T47" i="18"/>
  <c r="AE47" i="18" s="1"/>
  <c r="T45" i="18"/>
  <c r="AE45" i="18" s="1"/>
  <c r="Q45" i="18"/>
  <c r="AB45" i="18" s="1"/>
  <c r="Q46" i="18"/>
  <c r="AB46" i="18" s="1"/>
  <c r="P46" i="18"/>
  <c r="AA46" i="18" s="1"/>
  <c r="P42" i="18"/>
  <c r="AA42" i="18" s="1"/>
  <c r="M46" i="18"/>
  <c r="X46" i="18" s="1"/>
  <c r="R46" i="18"/>
  <c r="AC46" i="18" s="1"/>
  <c r="P45" i="18"/>
  <c r="AA45" i="18" s="1"/>
  <c r="N46" i="18"/>
  <c r="Y46" i="18" s="1"/>
  <c r="U48" i="17"/>
  <c r="P49" i="18"/>
  <c r="AA49" i="18" s="1"/>
  <c r="O45" i="18"/>
  <c r="Z45" i="18" s="1"/>
  <c r="M47" i="18"/>
  <c r="X47" i="18" s="1"/>
  <c r="N45" i="18"/>
  <c r="Y45" i="18" s="1"/>
  <c r="U49" i="16"/>
  <c r="U45" i="16"/>
  <c r="N47" i="18"/>
  <c r="Y47" i="18" s="1"/>
  <c r="Q47" i="18"/>
  <c r="AB47" i="18" s="1"/>
  <c r="U42" i="12"/>
  <c r="U39" i="12"/>
  <c r="U47" i="15"/>
  <c r="S47" i="18"/>
  <c r="AD47" i="18" s="1"/>
  <c r="S45" i="18"/>
  <c r="AD45" i="18" s="1"/>
  <c r="S46" i="18"/>
  <c r="AD46" i="18" s="1"/>
  <c r="U44" i="7"/>
  <c r="U45" i="7"/>
  <c r="U46" i="13"/>
  <c r="U46" i="15"/>
  <c r="U47" i="17"/>
  <c r="U46" i="11"/>
  <c r="U45" i="15"/>
  <c r="U42" i="15"/>
  <c r="O47" i="18"/>
  <c r="Z47" i="18" s="1"/>
  <c r="U46" i="12"/>
  <c r="U33" i="18"/>
  <c r="U30" i="18"/>
  <c r="U28" i="18"/>
  <c r="J33" i="18"/>
  <c r="J29" i="18"/>
  <c r="J28" i="18"/>
  <c r="J30" i="18"/>
  <c r="U40" i="11"/>
  <c r="U39" i="17"/>
  <c r="U39" i="16"/>
  <c r="U49" i="13"/>
  <c r="U45" i="13"/>
  <c r="O46" i="18"/>
  <c r="Z46" i="18" s="1"/>
  <c r="U47" i="16"/>
  <c r="U29" i="18"/>
  <c r="U43" i="11"/>
  <c r="U44" i="13"/>
  <c r="U45" i="12"/>
  <c r="U45" i="14"/>
  <c r="U46" i="17"/>
  <c r="U42" i="14"/>
  <c r="U50" i="7"/>
  <c r="U50" i="17"/>
  <c r="U50" i="11"/>
  <c r="U40" i="16"/>
  <c r="U44" i="16"/>
  <c r="U43" i="14"/>
  <c r="U49" i="17"/>
  <c r="U40" i="15"/>
  <c r="U44" i="12"/>
  <c r="U41" i="14"/>
  <c r="U49" i="11"/>
  <c r="U40" i="13"/>
  <c r="U41" i="16"/>
  <c r="U41" i="13"/>
  <c r="U42" i="16"/>
  <c r="U42" i="17"/>
  <c r="U40" i="7"/>
  <c r="U39" i="15"/>
  <c r="U48" i="7"/>
  <c r="U48" i="16"/>
  <c r="U41" i="17"/>
  <c r="U24" i="18"/>
  <c r="J26" i="18"/>
  <c r="U22" i="18"/>
  <c r="U27" i="18"/>
  <c r="J24" i="18"/>
  <c r="J27" i="18"/>
  <c r="J22" i="18"/>
  <c r="U23" i="18"/>
  <c r="U32" i="18"/>
  <c r="J31" i="18"/>
  <c r="U31" i="18"/>
  <c r="U25" i="18"/>
  <c r="J23" i="18"/>
  <c r="J25" i="18"/>
  <c r="J32" i="18"/>
  <c r="U26" i="18"/>
  <c r="U49" i="7"/>
  <c r="U43" i="7"/>
  <c r="T39" i="7"/>
  <c r="U42" i="7"/>
  <c r="Q43" i="7"/>
  <c r="M50" i="7"/>
  <c r="S40" i="7"/>
  <c r="Q50" i="7"/>
  <c r="T43" i="7"/>
  <c r="P50" i="7"/>
  <c r="M44" i="7"/>
  <c r="S48" i="7"/>
  <c r="R48" i="7"/>
  <c r="N43" i="7"/>
  <c r="S39" i="7"/>
  <c r="R39" i="7"/>
  <c r="Q39" i="7"/>
  <c r="R42" i="7"/>
  <c r="Q42" i="7"/>
  <c r="U39" i="7"/>
  <c r="R49" i="7"/>
  <c r="Q49" i="7"/>
  <c r="R44" i="7"/>
  <c r="T48" i="7"/>
  <c r="R41" i="7"/>
  <c r="Q41" i="7"/>
  <c r="R40" i="7"/>
  <c r="Q40" i="7"/>
  <c r="T41" i="7"/>
  <c r="S41" i="7"/>
  <c r="T49" i="7"/>
  <c r="T44" i="7"/>
  <c r="S44" i="7"/>
  <c r="U41" i="7"/>
  <c r="Q50" i="17"/>
  <c r="S39" i="17"/>
  <c r="S40" i="17"/>
  <c r="S41" i="17"/>
  <c r="S42" i="17"/>
  <c r="S43" i="17"/>
  <c r="S44" i="17"/>
  <c r="S48" i="17"/>
  <c r="S49" i="17"/>
  <c r="U44" i="17"/>
  <c r="R50" i="17"/>
  <c r="R39" i="17"/>
  <c r="R40" i="17"/>
  <c r="R41" i="17"/>
  <c r="R42" i="17"/>
  <c r="R43" i="17"/>
  <c r="R44" i="17"/>
  <c r="R48" i="17"/>
  <c r="R49" i="17"/>
  <c r="Q39" i="17"/>
  <c r="Q40" i="17"/>
  <c r="Q41" i="17"/>
  <c r="Q42" i="17"/>
  <c r="Q43" i="17"/>
  <c r="Q44" i="17"/>
  <c r="Q48" i="17"/>
  <c r="Q49" i="17"/>
  <c r="P50" i="16"/>
  <c r="M39" i="16"/>
  <c r="M40" i="16"/>
  <c r="M41" i="16"/>
  <c r="M42" i="16"/>
  <c r="M43" i="16"/>
  <c r="M44" i="16"/>
  <c r="M48" i="16"/>
  <c r="M49" i="16"/>
  <c r="U50" i="16"/>
  <c r="T39" i="16"/>
  <c r="T40" i="16"/>
  <c r="T41" i="16"/>
  <c r="T42" i="16"/>
  <c r="T43" i="16"/>
  <c r="T44" i="16"/>
  <c r="T48" i="16"/>
  <c r="T49" i="16"/>
  <c r="U48" i="15"/>
  <c r="S39" i="15"/>
  <c r="S40" i="15"/>
  <c r="S41" i="15"/>
  <c r="S42" i="15"/>
  <c r="S43" i="15"/>
  <c r="S44" i="15"/>
  <c r="S48" i="15"/>
  <c r="S49" i="15"/>
  <c r="U44" i="15"/>
  <c r="R39" i="15"/>
  <c r="R40" i="15"/>
  <c r="R41" i="15"/>
  <c r="R42" i="15"/>
  <c r="R43" i="15"/>
  <c r="R44" i="15"/>
  <c r="R48" i="15"/>
  <c r="R49" i="15"/>
  <c r="Q39" i="15"/>
  <c r="Q40" i="15"/>
  <c r="Q41" i="15"/>
  <c r="Q42" i="15"/>
  <c r="Q43" i="15"/>
  <c r="Q44" i="15"/>
  <c r="Q48" i="15"/>
  <c r="Q49" i="15"/>
  <c r="M39" i="15"/>
  <c r="M40" i="15"/>
  <c r="M41" i="15"/>
  <c r="M42" i="15"/>
  <c r="M43" i="15"/>
  <c r="M44" i="15"/>
  <c r="M48" i="15"/>
  <c r="M49" i="15"/>
  <c r="U50" i="15"/>
  <c r="U49" i="15"/>
  <c r="T39" i="15"/>
  <c r="T40" i="15"/>
  <c r="T41" i="15"/>
  <c r="T42" i="15"/>
  <c r="T43" i="15"/>
  <c r="T44" i="15"/>
  <c r="T48" i="15"/>
  <c r="T49" i="15"/>
  <c r="U39" i="14"/>
  <c r="M39" i="14"/>
  <c r="M40" i="14"/>
  <c r="M41" i="14"/>
  <c r="M42" i="14"/>
  <c r="M43" i="14"/>
  <c r="M44" i="14"/>
  <c r="M48" i="14"/>
  <c r="M49" i="14"/>
  <c r="U50" i="14"/>
  <c r="Q39" i="14"/>
  <c r="Q40" i="14"/>
  <c r="Q41" i="14"/>
  <c r="Q42" i="14"/>
  <c r="Q43" i="14"/>
  <c r="Q44" i="14"/>
  <c r="Q48" i="14"/>
  <c r="Q49" i="14"/>
  <c r="U48" i="14"/>
  <c r="N39" i="14"/>
  <c r="N40" i="14"/>
  <c r="N41" i="14"/>
  <c r="N42" i="14"/>
  <c r="N43" i="14"/>
  <c r="N44" i="14"/>
  <c r="N48" i="14"/>
  <c r="N49" i="14"/>
  <c r="U44" i="14"/>
  <c r="O39" i="14"/>
  <c r="O40" i="14"/>
  <c r="O41" i="14"/>
  <c r="O42" i="14"/>
  <c r="O43" i="14"/>
  <c r="O44" i="14"/>
  <c r="O48" i="14"/>
  <c r="O49" i="14"/>
  <c r="U49" i="14"/>
  <c r="U39" i="13"/>
  <c r="U48" i="13"/>
  <c r="O39" i="13"/>
  <c r="O40" i="13"/>
  <c r="O41" i="13"/>
  <c r="O42" i="13"/>
  <c r="O43" i="13"/>
  <c r="O44" i="13"/>
  <c r="O48" i="13"/>
  <c r="O49" i="13"/>
  <c r="S39" i="13"/>
  <c r="S40" i="13"/>
  <c r="S41" i="13"/>
  <c r="S42" i="13"/>
  <c r="S43" i="13"/>
  <c r="S44" i="13"/>
  <c r="S48" i="13"/>
  <c r="S49" i="13"/>
  <c r="O50" i="13"/>
  <c r="U42" i="13"/>
  <c r="U49" i="12"/>
  <c r="U41" i="12"/>
  <c r="N39" i="12"/>
  <c r="N40" i="12"/>
  <c r="N41" i="12"/>
  <c r="N42" i="12"/>
  <c r="N43" i="12"/>
  <c r="N44" i="12"/>
  <c r="N48" i="12"/>
  <c r="N49" i="12"/>
  <c r="U48" i="12"/>
  <c r="Q39" i="12"/>
  <c r="Q40" i="12"/>
  <c r="Q41" i="12"/>
  <c r="Q42" i="12"/>
  <c r="Q43" i="12"/>
  <c r="Q44" i="12"/>
  <c r="Q48" i="12"/>
  <c r="Q49" i="12"/>
  <c r="U40" i="12"/>
  <c r="P39" i="12"/>
  <c r="P40" i="12"/>
  <c r="P41" i="12"/>
  <c r="P42" i="12"/>
  <c r="P43" i="12"/>
  <c r="P44" i="12"/>
  <c r="P48" i="12"/>
  <c r="P49" i="12"/>
  <c r="M39" i="12"/>
  <c r="M40" i="12"/>
  <c r="M41" i="12"/>
  <c r="M42" i="12"/>
  <c r="M43" i="12"/>
  <c r="M44" i="12"/>
  <c r="M48" i="12"/>
  <c r="M49" i="12"/>
  <c r="U50" i="12"/>
  <c r="T39" i="12"/>
  <c r="T40" i="12"/>
  <c r="T41" i="12"/>
  <c r="T42" i="12"/>
  <c r="T43" i="12"/>
  <c r="T44" i="12"/>
  <c r="T48" i="12"/>
  <c r="T49" i="12"/>
  <c r="U41" i="11"/>
  <c r="S39" i="18"/>
  <c r="AD39" i="18" s="1"/>
  <c r="O39" i="11"/>
  <c r="O40" i="11"/>
  <c r="O41" i="11"/>
  <c r="O42" i="11"/>
  <c r="O43" i="11"/>
  <c r="O44" i="11"/>
  <c r="O48" i="11"/>
  <c r="O49" i="11"/>
  <c r="N39" i="11"/>
  <c r="N40" i="11"/>
  <c r="N41" i="11"/>
  <c r="N42" i="11"/>
  <c r="N43" i="11"/>
  <c r="N44" i="11"/>
  <c r="N48" i="11"/>
  <c r="N49" i="11"/>
  <c r="O50" i="18"/>
  <c r="Z50" i="18" s="1"/>
  <c r="R39" i="11"/>
  <c r="R40" i="11"/>
  <c r="R41" i="11"/>
  <c r="R42" i="11"/>
  <c r="R43" i="11"/>
  <c r="R44" i="11"/>
  <c r="R48" i="11"/>
  <c r="R49" i="11"/>
  <c r="N50" i="11"/>
  <c r="U44" i="11"/>
  <c r="U48" i="11"/>
  <c r="S39" i="11"/>
  <c r="S40" i="11"/>
  <c r="S41" i="11"/>
  <c r="S42" i="11"/>
  <c r="S43" i="11"/>
  <c r="S44" i="11"/>
  <c r="S48" i="11"/>
  <c r="S49" i="11"/>
  <c r="P50" i="11"/>
  <c r="M50" i="11"/>
  <c r="U40" i="17"/>
  <c r="T50" i="17"/>
  <c r="P50" i="17"/>
  <c r="U43" i="16"/>
  <c r="N50" i="16"/>
  <c r="Q50" i="16"/>
  <c r="R50" i="16"/>
  <c r="M50" i="16"/>
  <c r="U43" i="15"/>
  <c r="N50" i="15"/>
  <c r="Q50" i="15"/>
  <c r="R50" i="15"/>
  <c r="M50" i="15"/>
  <c r="P50" i="14"/>
  <c r="Q50" i="14"/>
  <c r="P39" i="14"/>
  <c r="T39" i="14"/>
  <c r="P40" i="14"/>
  <c r="T40" i="14"/>
  <c r="P41" i="14"/>
  <c r="T41" i="14"/>
  <c r="P42" i="14"/>
  <c r="T42" i="14"/>
  <c r="P43" i="14"/>
  <c r="T43" i="14"/>
  <c r="P44" i="14"/>
  <c r="T44" i="14"/>
  <c r="P48" i="14"/>
  <c r="T48" i="14"/>
  <c r="P49" i="14"/>
  <c r="T49" i="14"/>
  <c r="U40" i="14"/>
  <c r="T50" i="14"/>
  <c r="O50" i="14"/>
  <c r="M50" i="13"/>
  <c r="R50" i="13"/>
  <c r="P39" i="13"/>
  <c r="T39" i="13"/>
  <c r="P40" i="13"/>
  <c r="T40" i="13"/>
  <c r="P41" i="13"/>
  <c r="T41" i="13"/>
  <c r="P42" i="13"/>
  <c r="T42" i="13"/>
  <c r="P43" i="13"/>
  <c r="T43" i="13"/>
  <c r="P44" i="13"/>
  <c r="T44" i="13"/>
  <c r="P48" i="13"/>
  <c r="T48" i="13"/>
  <c r="P49" i="13"/>
  <c r="T49" i="13"/>
  <c r="Q50" i="13"/>
  <c r="U43" i="13"/>
  <c r="N50" i="13"/>
  <c r="N39" i="13"/>
  <c r="R39" i="13"/>
  <c r="N40" i="13"/>
  <c r="R40" i="13"/>
  <c r="N41" i="13"/>
  <c r="R41" i="13"/>
  <c r="N42" i="13"/>
  <c r="R42" i="13"/>
  <c r="N43" i="13"/>
  <c r="R43" i="13"/>
  <c r="N44" i="13"/>
  <c r="R44" i="13"/>
  <c r="N48" i="13"/>
  <c r="R48" i="13"/>
  <c r="N49" i="13"/>
  <c r="R49" i="13"/>
  <c r="M39" i="13"/>
  <c r="Q39" i="13"/>
  <c r="M40" i="13"/>
  <c r="Q40" i="13"/>
  <c r="M41" i="13"/>
  <c r="Q41" i="13"/>
  <c r="M42" i="13"/>
  <c r="Q42" i="13"/>
  <c r="M43" i="13"/>
  <c r="Q43" i="13"/>
  <c r="M44" i="13"/>
  <c r="Q44" i="13"/>
  <c r="M48" i="13"/>
  <c r="Q48" i="13"/>
  <c r="M49" i="13"/>
  <c r="Q49" i="13"/>
  <c r="U50" i="13"/>
  <c r="U43" i="12"/>
  <c r="N50" i="12"/>
  <c r="Q50" i="12"/>
  <c r="R50" i="12"/>
  <c r="M50" i="12"/>
  <c r="P39" i="11"/>
  <c r="T39" i="11"/>
  <c r="P40" i="11"/>
  <c r="T40" i="11"/>
  <c r="P41" i="11"/>
  <c r="T41" i="11"/>
  <c r="P42" i="11"/>
  <c r="T42" i="11"/>
  <c r="P43" i="11"/>
  <c r="T43" i="11"/>
  <c r="P44" i="11"/>
  <c r="T44" i="11"/>
  <c r="P48" i="11"/>
  <c r="T48" i="11"/>
  <c r="P49" i="11"/>
  <c r="T49" i="11"/>
  <c r="U42" i="11"/>
  <c r="T50" i="11"/>
  <c r="Q50" i="11"/>
  <c r="U43" i="18" l="1"/>
  <c r="AF43" i="18" s="1"/>
  <c r="U46" i="18"/>
  <c r="AF46" i="18" s="1"/>
  <c r="U50" i="18"/>
  <c r="AF50" i="18" s="1"/>
  <c r="U47" i="18"/>
  <c r="AF47" i="18" s="1"/>
  <c r="U45" i="18"/>
  <c r="AF45" i="18" s="1"/>
  <c r="M50" i="18"/>
  <c r="X50" i="18" s="1"/>
  <c r="T42" i="18"/>
  <c r="AE42" i="18" s="1"/>
  <c r="N41" i="18"/>
  <c r="Y41" i="18" s="1"/>
  <c r="T50" i="18"/>
  <c r="AE50" i="18" s="1"/>
  <c r="U40" i="18"/>
  <c r="AF40" i="18" s="1"/>
  <c r="U41" i="18"/>
  <c r="AF41" i="18" s="1"/>
  <c r="T43" i="18"/>
  <c r="AE43" i="18" s="1"/>
  <c r="M40" i="18"/>
  <c r="X40" i="18" s="1"/>
  <c r="T41" i="18"/>
  <c r="AE41" i="18" s="1"/>
  <c r="M39" i="18"/>
  <c r="X39" i="18" s="1"/>
  <c r="U39" i="18"/>
  <c r="AF39" i="18" s="1"/>
  <c r="T48" i="18"/>
  <c r="AE48" i="18" s="1"/>
  <c r="O40" i="18"/>
  <c r="Z40" i="18" s="1"/>
  <c r="T39" i="18"/>
  <c r="AE39" i="18" s="1"/>
  <c r="M48" i="18"/>
  <c r="X48" i="18" s="1"/>
  <c r="U42" i="18"/>
  <c r="AF42" i="18" s="1"/>
  <c r="Q48" i="18"/>
  <c r="AB48" i="18" s="1"/>
  <c r="Q49" i="18"/>
  <c r="AB49" i="18" s="1"/>
  <c r="S49" i="18"/>
  <c r="AD49" i="18" s="1"/>
  <c r="U49" i="18"/>
  <c r="AF49" i="18" s="1"/>
  <c r="T44" i="18"/>
  <c r="AE44" i="18" s="1"/>
  <c r="T49" i="18"/>
  <c r="AE49" i="18" s="1"/>
  <c r="N42" i="18"/>
  <c r="Y42" i="18" s="1"/>
  <c r="N43" i="18"/>
  <c r="Y43" i="18" s="1"/>
  <c r="Q39" i="18"/>
  <c r="AB39" i="18" s="1"/>
  <c r="M41" i="18"/>
  <c r="X41" i="18" s="1"/>
  <c r="T40" i="18"/>
  <c r="AE40" i="18" s="1"/>
  <c r="U48" i="18"/>
  <c r="AF48" i="18" s="1"/>
  <c r="U44" i="18"/>
  <c r="AF44" i="18" s="1"/>
  <c r="M43" i="18"/>
  <c r="X43" i="18" s="1"/>
  <c r="Q42" i="18"/>
  <c r="AB42" i="18" s="1"/>
  <c r="S40" i="18"/>
  <c r="AD40" i="18" s="1"/>
  <c r="N49" i="18"/>
  <c r="Y49" i="18" s="1"/>
  <c r="N40" i="18"/>
  <c r="Y40" i="18" s="1"/>
  <c r="R48" i="18"/>
  <c r="AC48" i="18" s="1"/>
  <c r="R39" i="18"/>
  <c r="AC39" i="18" s="1"/>
  <c r="S43" i="18"/>
  <c r="AD43" i="18" s="1"/>
  <c r="N50" i="18"/>
  <c r="Y50" i="18" s="1"/>
  <c r="O48" i="18"/>
  <c r="Z48" i="18" s="1"/>
  <c r="S50" i="18"/>
  <c r="AD50" i="18" s="1"/>
  <c r="R40" i="18"/>
  <c r="AC40" i="18" s="1"/>
  <c r="S44" i="18"/>
  <c r="AD44" i="18" s="1"/>
  <c r="R50" i="18"/>
  <c r="AC50" i="18" s="1"/>
  <c r="O39" i="18"/>
  <c r="Z39" i="18" s="1"/>
  <c r="Q43" i="18"/>
  <c r="AB43" i="18" s="1"/>
  <c r="N44" i="18"/>
  <c r="Y44" i="18" s="1"/>
  <c r="R41" i="18"/>
  <c r="AC41" i="18" s="1"/>
  <c r="S42" i="18"/>
  <c r="AD42" i="18" s="1"/>
  <c r="M44" i="18"/>
  <c r="X44" i="18" s="1"/>
  <c r="N48" i="18"/>
  <c r="Y48" i="18" s="1"/>
  <c r="N39" i="18"/>
  <c r="Y39" i="18" s="1"/>
  <c r="Q40" i="18"/>
  <c r="AB40" i="18" s="1"/>
  <c r="M49" i="18"/>
  <c r="X49" i="18" s="1"/>
  <c r="S41" i="18"/>
  <c r="AD41" i="18" s="1"/>
  <c r="R49" i="18"/>
  <c r="AC49" i="18" s="1"/>
  <c r="R42" i="18"/>
  <c r="AC42" i="18" s="1"/>
  <c r="O49" i="18"/>
  <c r="Z49" i="18" s="1"/>
  <c r="O42" i="18"/>
  <c r="Z42" i="18" s="1"/>
  <c r="R43" i="18"/>
  <c r="AC43" i="18" s="1"/>
  <c r="S48" i="18"/>
  <c r="AD48" i="18" s="1"/>
  <c r="O43" i="18"/>
  <c r="Z43" i="18" s="1"/>
  <c r="Q44" i="18"/>
  <c r="AB44" i="18" s="1"/>
  <c r="Q41" i="18"/>
  <c r="AB41" i="18" s="1"/>
  <c r="Q50" i="18"/>
  <c r="AB50" i="18" s="1"/>
  <c r="R44" i="18"/>
  <c r="AC44" i="18" s="1"/>
  <c r="M42" i="18"/>
  <c r="X42" i="18" s="1"/>
  <c r="O44" i="18"/>
  <c r="Z44" i="18" s="1"/>
  <c r="O41" i="18"/>
  <c r="Z41" i="18" s="1"/>
</calcChain>
</file>

<file path=xl/sharedStrings.xml><?xml version="1.0" encoding="utf-8"?>
<sst xmlns="http://schemas.openxmlformats.org/spreadsheetml/2006/main" count="1105" uniqueCount="60">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</sst>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5" fillId="5" borderId="0">
      <alignment wrapText="1"/>
    </xf>
    <xf numFmtId="165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165" fontId="5" fillId="0" borderId="0">
      <alignment wrapText="1"/>
    </xf>
  </cellStyleXfs>
  <cellXfs count="33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0" xfId="0" applyFont="1" applyBorder="1"/>
    <xf numFmtId="0" fontId="0" fillId="0" borderId="2" xfId="0" applyBorder="1"/>
    <xf numFmtId="0" fontId="0" fillId="0" borderId="2" xfId="0" applyBorder="1" applyAlignment="1">
      <alignment horizontal="center"/>
    </xf>
    <xf numFmtId="3" fontId="0" fillId="0" borderId="0" xfId="0" applyNumberFormat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2" xfId="0" applyNumberFormat="1" applyBorder="1"/>
    <xf numFmtId="0" fontId="0" fillId="0" borderId="0" xfId="0" applyBorder="1" applyAlignment="1">
      <alignment horizontal="center"/>
    </xf>
    <xf numFmtId="0" fontId="0" fillId="0" borderId="3" xfId="0" applyFill="1" applyBorder="1"/>
    <xf numFmtId="164" fontId="0" fillId="0" borderId="0" xfId="0" applyNumberFormat="1"/>
    <xf numFmtId="164" fontId="0" fillId="0" borderId="2" xfId="0" applyNumberFormat="1" applyBorder="1"/>
    <xf numFmtId="164" fontId="0" fillId="0" borderId="3" xfId="0" applyNumberFormat="1" applyBorder="1"/>
    <xf numFmtId="3" fontId="0" fillId="0" borderId="3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3" fillId="3" borderId="0" xfId="0" applyFont="1" applyFill="1" applyBorder="1"/>
    <xf numFmtId="0" fontId="4" fillId="3" borderId="0" xfId="0" applyFont="1" applyFill="1" applyBorder="1" applyAlignment="1">
      <alignment horizontal="center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/>
    </xf>
    <xf numFmtId="0" fontId="0" fillId="4" borderId="0" xfId="0" applyFill="1"/>
    <xf numFmtId="3" fontId="0" fillId="4" borderId="1" xfId="0" applyNumberFormat="1" applyFill="1" applyBorder="1"/>
    <xf numFmtId="164" fontId="0" fillId="4" borderId="3" xfId="0" applyNumberFormat="1" applyFill="1" applyBorder="1"/>
    <xf numFmtId="0" fontId="4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8">
    <cellStyle name="Normal" xfId="0" builtinId="0"/>
    <cellStyle name="XLConnect.Boolean" xfId="6" xr:uid="{00000000-0005-0000-0000-000001000000}"/>
    <cellStyle name="XLConnect.Date" xfId="3" xr:uid="{00000000-0005-0000-0000-000002000000}"/>
    <cellStyle name="XLConnect.DateTime" xfId="7" xr:uid="{00000000-0005-0000-0000-000003000000}"/>
    <cellStyle name="XLConnect.General" xfId="1" xr:uid="{00000000-0005-0000-0000-000004000000}"/>
    <cellStyle name="XLConnect.Header" xfId="2" xr:uid="{00000000-0005-0000-0000-000005000000}"/>
    <cellStyle name="XLConnect.Numeric" xfId="5" xr:uid="{00000000-0005-0000-0000-000006000000}"/>
    <cellStyle name="XLConnect.String" xfId="4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theme/theme1.xml" Type="http://schemas.openxmlformats.org/officeDocument/2006/relationships/theme"/><Relationship Id="rId12" Target="styles.xml" Type="http://schemas.openxmlformats.org/officeDocument/2006/relationships/styles"/><Relationship Id="rId13" Target="sharedStrings.xml" Type="http://schemas.openxmlformats.org/officeDocument/2006/relationships/sharedStrings"/><Relationship Id="rId14" Target="calcChain.xml" Type="http://schemas.openxmlformats.org/officeDocument/2006/relationships/calcChain"/><Relationship Id="rId15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F50"/>
  <sheetViews>
    <sheetView tabSelected="1" workbookViewId="0">
      <selection activeCell="U8" sqref="U8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  <col min="24" max="24" customWidth="true" width="25.0" collapsed="true"/>
    <col min="25" max="33" customWidth="true" width="10.73046875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>
        <f>SUM(Work!B5,Workbased!B5,School!B5,Escort!B5,Personal_Business!B5,Shop!B5,Meal!B5,SocRec!B5)</f>
        <v>5487901.7843119791</v>
      </c>
      <c r="C5" s="6">
        <f>SUM(Work!C5,Workbased!C5,School!C5,Escort!C5,Personal_Business!C5,Shop!C5,Meal!C5,SocRec!C5)</f>
        <v>872301.60612653592</v>
      </c>
      <c r="D5" s="6">
        <f>SUM(Work!D5,Workbased!D5,School!D5,Escort!D5,Personal_Business!D5,Shop!D5,Meal!D5,SocRec!D5)</f>
        <v>367911.12524327164</v>
      </c>
      <c r="E5" s="6">
        <f>SUM(Work!E5,Workbased!E5,School!E5,Escort!E5,Personal_Business!E5,Shop!E5,Meal!E5,SocRec!E5)</f>
        <v>113555.85728768079</v>
      </c>
      <c r="F5" s="6">
        <f>SUM(Work!F5,Workbased!F5,School!F5,Escort!F5,Personal_Business!F5,Shop!F5,Meal!F5,SocRec!F5)</f>
        <v>17623.451196402697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1686.3203314759999</v>
      </c>
      <c r="J5" s="6">
        <f>SUM(B5:I5)</f>
        <v>6860980.1444973452</v>
      </c>
      <c r="K5" s="6"/>
      <c r="L5" t="s">
        <v>1</v>
      </c>
      <c r="M5" s="6">
        <f>SUM(Work!M5,Workbased!M5,School!M5,Escort!M5,Personal_Business!M5,Shop!M5,Meal!M5,SocRec!M5)</f>
        <v>6037308</v>
      </c>
      <c r="N5" s="6">
        <f>SUM(Work!N5,Workbased!N5,School!N5,Escort!N5,Personal_Business!N5,Shop!N5,Meal!N5,SocRec!N5)</f>
        <v>1007747</v>
      </c>
      <c r="O5" s="6">
        <f>SUM(Work!O5,Workbased!O5,School!O5,Escort!O5,Personal_Business!O5,Shop!O5,Meal!O5,SocRec!O5)</f>
        <v>424387</v>
      </c>
      <c r="P5" s="6">
        <f>SUM(Work!P5,Workbased!P5,School!P5,Escort!P5,Personal_Business!P5,Shop!P5,Meal!P5,SocRec!P5)</f>
        <v>143569</v>
      </c>
      <c r="Q5" s="6">
        <f>SUM(Work!Q5,Workbased!Q5,School!Q5,Escort!Q5,Personal_Business!Q5,Shop!Q5,Meal!Q5,SocRec!Q5)</f>
        <v>25349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1182</v>
      </c>
      <c r="U5" s="6">
        <f t="shared" ref="U5:U15" si="0">SUM(M5:T5)</f>
        <v>7639542</v>
      </c>
    </row>
    <row r="6" spans="1:21" x14ac:dyDescent="0.4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2988044.8520134166</v>
      </c>
      <c r="D6" s="6">
        <f>SUM(Work!D6,Workbased!D6,School!D6,Escort!D6,Personal_Business!D6,Shop!D6,Meal!D6,SocRec!D6)</f>
        <v>578286.39053844463</v>
      </c>
      <c r="E6" s="6">
        <f>SUM(Work!E6,Workbased!E6,School!E6,Escort!E6,Personal_Business!E6,Shop!E6,Meal!E6,SocRec!E6)</f>
        <v>5197.0034058516994</v>
      </c>
      <c r="F6" s="6">
        <f>SUM(Work!F6,Workbased!F6,School!F6,Escort!F6,Personal_Business!F6,Shop!F6,Meal!F6,SocRec!F6)</f>
        <v>76570.990121661715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45050.370104024005</v>
      </c>
      <c r="J6" s="6">
        <f t="shared" ref="J6:J15" si="1">SUM(B6:I6)</f>
        <v>3693149.606183399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3525574</v>
      </c>
      <c r="O6" s="6">
        <f>SUM(Work!O6,Workbased!O6,School!O6,Escort!O6,Personal_Business!O6,Shop!O6,Meal!O6,SocRec!O6)</f>
        <v>664105</v>
      </c>
      <c r="P6" s="6">
        <f>SUM(Work!P6,Workbased!P6,School!P6,Escort!P6,Personal_Business!P6,Shop!P6,Meal!P6,SocRec!P6)</f>
        <v>9611</v>
      </c>
      <c r="Q6" s="6">
        <f>SUM(Work!Q6,Workbased!Q6,School!Q6,Escort!Q6,Personal_Business!Q6,Shop!Q6,Meal!Q6,SocRec!Q6)</f>
        <v>50220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62784</v>
      </c>
      <c r="U6" s="6">
        <f t="shared" si="0"/>
        <v>4312294</v>
      </c>
    </row>
    <row r="7" spans="1:21" x14ac:dyDescent="0.4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2542495.5579287075</v>
      </c>
      <c r="E7" s="6">
        <f>SUM(Work!E7,Workbased!E7,School!E7,Escort!E7,Personal_Business!E7,Shop!E7,Meal!E7,SocRec!E7)</f>
        <v>4202.0137338710001</v>
      </c>
      <c r="F7" s="6">
        <f>SUM(Work!F7,Workbased!F7,School!F7,Escort!F7,Personal_Business!F7,Shop!F7,Meal!F7,SocRec!F7)</f>
        <v>20670.845848217003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71299.33425</v>
      </c>
      <c r="J7" s="6">
        <f t="shared" si="1"/>
        <v>2638667.7517607952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2960330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23254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0</v>
      </c>
      <c r="T7" s="6">
        <f>SUM(Work!T7,Workbased!T7,School!T7,Escort!T7,Personal_Business!T7,Shop!T7,Meal!T7,SocRec!T7)</f>
        <v>62988</v>
      </c>
      <c r="U7" s="6">
        <f t="shared" si="0"/>
        <v>3046572</v>
      </c>
    </row>
    <row r="8" spans="1:21" x14ac:dyDescent="0.4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111303.5389245945</v>
      </c>
      <c r="F8" s="6">
        <f>SUM(Work!F8,Workbased!F8,School!F8,Escort!F8,Personal_Business!F8,Shop!F8,Meal!F8,SocRec!F8)</f>
        <v>694175.94818319683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10298.046276788</v>
      </c>
      <c r="J8" s="6">
        <f t="shared" si="1"/>
        <v>815777.53338457935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114674</v>
      </c>
      <c r="Q8" s="6">
        <f>SUM(Work!Q8,Workbased!Q8,School!Q8,Escort!Q8,Personal_Business!Q8,Shop!Q8,Meal!Q8,SocRec!Q8)</f>
        <v>366060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213</v>
      </c>
      <c r="U8" s="6">
        <f t="shared" si="0"/>
        <v>480947</v>
      </c>
    </row>
    <row r="9" spans="1:21" x14ac:dyDescent="0.4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2479.7092862560999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t="shared" si="1"/>
        <v>2479.7092862560999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t="shared" si="0"/>
        <v>0</v>
      </c>
    </row>
    <row r="10" spans="1:21" x14ac:dyDescent="0.4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t="shared" si="1"/>
        <v>0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t="shared" si="0"/>
        <v>0</v>
      </c>
    </row>
    <row r="11" spans="1:21" x14ac:dyDescent="0.4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t="shared" si="1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t="shared" si="0"/>
        <v>0</v>
      </c>
    </row>
    <row r="12" spans="1:21" x14ac:dyDescent="0.4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t="shared" si="1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t="shared" si="0"/>
        <v>0</v>
      </c>
    </row>
    <row r="13" spans="1:21" x14ac:dyDescent="0.4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364497.70098569803</v>
      </c>
      <c r="J13" s="6">
        <f t="shared" si="1"/>
        <v>364497.70098569803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393858</v>
      </c>
      <c r="U13" s="6">
        <f t="shared" si="0"/>
        <v>393858</v>
      </c>
    </row>
    <row r="14" spans="1:21" x14ac:dyDescent="0.45">
      <c r="A14" t="s">
        <v>4</v>
      </c>
      <c r="B14" s="6">
        <f>SUM(Work!B14,Workbased!B14,School!B14,Escort!B14,Personal_Business!B14,Shop!B14,Meal!B14,SocRec!B14)</f>
        <v>4132.9028970809995</v>
      </c>
      <c r="C14" s="6">
        <f>SUM(Work!C14,Workbased!C14,School!C14,Escort!C14,Personal_Business!C14,Shop!C14,Meal!C14,SocRec!C14)</f>
        <v>13935.6750388237</v>
      </c>
      <c r="D14" s="6">
        <f>SUM(Work!D14,Workbased!D14,School!D14,Escort!D14,Personal_Business!D14,Shop!D14,Meal!D14,SocRec!D14)</f>
        <v>10855.267749194001</v>
      </c>
      <c r="E14" s="6">
        <f>SUM(Work!E14,Workbased!E14,School!E14,Escort!E14,Personal_Business!E14,Shop!E14,Meal!E14,SocRec!E14)</f>
        <v>243.46345759299999</v>
      </c>
      <c r="F14" s="6">
        <f>SUM(Work!F14,Workbased!F14,School!F14,Escort!F14,Personal_Business!F14,Shop!F14,Meal!F14,SocRec!F14)</f>
        <v>8626.2684275047995</v>
      </c>
      <c r="G14" s="6">
        <f>SUM(Work!G14,Workbased!G14,School!G14,Escort!G14,Personal_Business!G14,Shop!G14,Meal!G14,SocRec!G14)</f>
        <v>185644.45009706359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3038.6592608359997</v>
      </c>
      <c r="J14" s="6">
        <f t="shared" si="1"/>
        <v>226476.68692809608</v>
      </c>
      <c r="K14" s="6"/>
      <c r="L14" t="s">
        <v>4</v>
      </c>
      <c r="M14" s="6">
        <f>SUM(Work!M14,Workbased!M14,School!M14,Escort!M14,Personal_Business!M14,Shop!M14,Meal!M14,SocRec!M14)</f>
        <v>5380</v>
      </c>
      <c r="N14" s="6">
        <f>SUM(Work!N14,Workbased!N14,School!N14,Escort!N14,Personal_Business!N14,Shop!N14,Meal!N14,SocRec!N14)</f>
        <v>16766</v>
      </c>
      <c r="O14" s="6">
        <f>SUM(Work!O14,Workbased!O14,School!O14,Escort!O14,Personal_Business!O14,Shop!O14,Meal!O14,SocRec!O14)</f>
        <v>13963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6032</v>
      </c>
      <c r="R14" s="6">
        <f>SUM(Work!R14,Workbased!R14,School!R14,Escort!R14,Personal_Business!R14,Shop!R14,Meal!R14,SocRec!R14)</f>
        <v>190259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2771</v>
      </c>
      <c r="U14" s="6">
        <f t="shared" si="0"/>
        <v>235171</v>
      </c>
    </row>
    <row r="15" spans="1:21" x14ac:dyDescent="0.45">
      <c r="A15" s="4" t="s">
        <v>5</v>
      </c>
      <c r="B15" s="6">
        <f>SUM(Work!B15,Workbased!B15,School!B15,Escort!B15,Personal_Business!B15,Shop!B15,Meal!B15,SocRec!B15)</f>
        <v>85641.759489933291</v>
      </c>
      <c r="C15" s="6">
        <f>SUM(Work!C15,Workbased!C15,School!C15,Escort!C15,Personal_Business!C15,Shop!C15,Meal!C15,SocRec!C15)</f>
        <v>67616.464220790906</v>
      </c>
      <c r="D15" s="6">
        <f>SUM(Work!D15,Workbased!D15,School!D15,Escort!D15,Personal_Business!D15,Shop!D15,Meal!D15,SocRec!D15)</f>
        <v>101851.0916785708</v>
      </c>
      <c r="E15" s="6">
        <f>SUM(Work!E15,Workbased!E15,School!E15,Escort!E15,Personal_Business!E15,Shop!E15,Meal!E15,SocRec!E15)</f>
        <v>13792.823585942398</v>
      </c>
      <c r="F15" s="6">
        <f>SUM(Work!F15,Workbased!F15,School!F15,Escort!F15,Personal_Business!F15,Shop!F15,Meal!F15,SocRec!F15)</f>
        <v>208431.68388148418</v>
      </c>
      <c r="G15" s="6">
        <f>SUM(Work!G15,Workbased!G15,School!G15,Escort!G15,Personal_Business!G15,Shop!G15,Meal!G15,SocRec!G15)</f>
        <v>14163.596324916802</v>
      </c>
      <c r="H15" s="6">
        <f>SUM(Work!H15,Workbased!H15,School!H15,Escort!H15,Personal_Business!H15,Shop!H15,Meal!H15,SocRec!H15)</f>
        <v>1579513.8918783711</v>
      </c>
      <c r="I15" s="6">
        <f>SUM(Work!I15,Workbased!I15,School!I15,Escort!I15,Personal_Business!I15,Shop!I15,Meal!I15,SocRec!I15)</f>
        <v>13143.316485361</v>
      </c>
      <c r="J15" s="6">
        <f t="shared" si="1"/>
        <v>2084154.6275453705</v>
      </c>
      <c r="K15" s="6"/>
      <c r="L15" s="4" t="s">
        <v>5</v>
      </c>
      <c r="M15" s="6">
        <f>SUM(Work!M15,Workbased!M15,School!M15,Escort!M15,Personal_Business!M15,Shop!M15,Meal!M15,SocRec!M15)</f>
        <v>308211</v>
      </c>
      <c r="N15" s="6">
        <f>SUM(Work!N15,Workbased!N15,School!N15,Escort!N15,Personal_Business!N15,Shop!N15,Meal!N15,SocRec!N15)</f>
        <v>222420</v>
      </c>
      <c r="O15" s="6">
        <f>SUM(Work!O15,Workbased!O15,School!O15,Escort!O15,Personal_Business!O15,Shop!O15,Meal!O15,SocRec!O15)</f>
        <v>145779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123741</v>
      </c>
      <c r="R15" s="6">
        <f>SUM(Work!R15,Workbased!R15,School!R15,Escort!R15,Personal_Business!R15,Shop!R15,Meal!R15,SocRec!R15)</f>
        <v>34411</v>
      </c>
      <c r="S15" s="6">
        <f>SUM(Work!S15,Workbased!S15,School!S15,Escort!S15,Personal_Business!S15,Shop!S15,Meal!S15,SocRec!S15)</f>
        <v>1480606</v>
      </c>
      <c r="T15" s="6">
        <f>SUM(Work!T15,Workbased!T15,School!T15,Escort!T15,Personal_Business!T15,Shop!T15,Meal!T15,SocRec!T15)</f>
        <v>20836</v>
      </c>
      <c r="U15" s="6">
        <f t="shared" si="0"/>
        <v>2336004</v>
      </c>
    </row>
    <row r="16" spans="1:21" ht="14.65" thickBot="1" x14ac:dyDescent="0.5">
      <c r="A16" s="12" t="s">
        <v>7</v>
      </c>
      <c r="B16" s="16">
        <f t="shared" ref="B16:J16" si="2">SUM(B5:B15)</f>
        <v>5577676.4466989934</v>
      </c>
      <c r="C16" s="16">
        <f t="shared" si="2"/>
        <v>3941898.5973995673</v>
      </c>
      <c r="D16" s="16">
        <f t="shared" si="2"/>
        <v>3601399.4331381889</v>
      </c>
      <c r="E16" s="16">
        <f t="shared" si="2"/>
        <v>248294.70039553338</v>
      </c>
      <c r="F16" s="16">
        <f t="shared" si="2"/>
        <v>1028578.8969447233</v>
      </c>
      <c r="G16" s="16">
        <f t="shared" si="2"/>
        <v>199808.0464219804</v>
      </c>
      <c r="H16" s="16">
        <f t="shared" si="2"/>
        <v>1579513.8918783711</v>
      </c>
      <c r="I16" s="16">
        <f t="shared" si="2"/>
        <v>509013.74769418308</v>
      </c>
      <c r="J16" s="16">
        <f t="shared" si="2"/>
        <v>16686183.760571539</v>
      </c>
      <c r="L16" s="9" t="s">
        <v>7</v>
      </c>
      <c r="M16" s="16">
        <f t="shared" ref="M16:U16" si="3">SUM(M5:M15)</f>
        <v>6350899</v>
      </c>
      <c r="N16" s="16">
        <f t="shared" si="3"/>
        <v>4772507</v>
      </c>
      <c r="O16" s="16">
        <f t="shared" si="3"/>
        <v>4208564</v>
      </c>
      <c r="P16" s="16">
        <f t="shared" si="3"/>
        <v>267854</v>
      </c>
      <c r="Q16" s="16">
        <f t="shared" si="3"/>
        <v>594656</v>
      </c>
      <c r="R16" s="16">
        <f t="shared" si="3"/>
        <v>224670</v>
      </c>
      <c r="S16" s="16">
        <f t="shared" si="3"/>
        <v>1480606</v>
      </c>
      <c r="T16" s="16">
        <f t="shared" si="3"/>
        <v>544632</v>
      </c>
      <c r="U16" s="16">
        <f t="shared" si="3"/>
        <v>18444388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D33" si="4">B5/B$16</f>
        <v>0.98390464860324678</v>
      </c>
      <c r="C22" s="13">
        <f t="shared" si="4"/>
        <v>0.22128971219655039</v>
      </c>
      <c r="D22" s="13">
        <f t="shared" si="4"/>
        <v>0.10215782283352033</v>
      </c>
      <c r="E22" s="13">
        <f t="shared" ref="E22:E33" si="5">IF(E$16&gt;0,E5/E$16,0)</f>
        <v>0.45734305688678151</v>
      </c>
      <c r="F22" s="13">
        <f t="shared" ref="F22:J33" si="6">F5/F$16</f>
        <v>1.713378647836462E-2</v>
      </c>
      <c r="G22" s="13">
        <f t="shared" si="6"/>
        <v>0</v>
      </c>
      <c r="H22" s="13">
        <f t="shared" si="6"/>
        <v>0</v>
      </c>
      <c r="I22" s="13">
        <f t="shared" si="6"/>
        <v>3.3129170658257857E-3</v>
      </c>
      <c r="J22" s="13">
        <f t="shared" si="6"/>
        <v>0.41117730950017661</v>
      </c>
      <c r="K22" s="6"/>
      <c r="L22" t="s">
        <v>1</v>
      </c>
      <c r="M22" s="13">
        <f t="shared" ref="M22:P22" si="7">M5/M$16</f>
        <v>0.95062258114953491</v>
      </c>
      <c r="N22" s="13">
        <f t="shared" si="7"/>
        <v>0.21115673586230466</v>
      </c>
      <c r="O22" s="13">
        <f t="shared" si="7"/>
        <v>0.10083890847329398</v>
      </c>
      <c r="P22" s="13">
        <f t="shared" si="7"/>
        <v>0.5359972223674091</v>
      </c>
      <c r="Q22" s="13">
        <f t="shared" ref="Q22:U33" si="8">Q5/Q$16</f>
        <v>4.2628006780390679E-2</v>
      </c>
      <c r="R22" s="13">
        <f t="shared" si="8"/>
        <v>0</v>
      </c>
      <c r="S22" s="13">
        <f t="shared" si="8"/>
        <v>0</v>
      </c>
      <c r="T22" s="13">
        <f t="shared" si="8"/>
        <v>2.1702727713391796E-3</v>
      </c>
      <c r="U22" s="13">
        <f t="shared" si="8"/>
        <v>0.41419330367589319</v>
      </c>
    </row>
    <row r="23" spans="1:21" x14ac:dyDescent="0.45">
      <c r="A23" t="s">
        <v>12</v>
      </c>
      <c r="B23" s="13">
        <f t="shared" si="4"/>
        <v>0</v>
      </c>
      <c r="C23" s="13">
        <f t="shared" si="4"/>
        <v>0.7580217446447256</v>
      </c>
      <c r="D23" s="13">
        <f t="shared" si="4"/>
        <v>0.16057268883239015</v>
      </c>
      <c r="E23" s="13">
        <f t="shared" si="5"/>
        <v>2.093078667234087E-2</v>
      </c>
      <c r="F23" s="13">
        <f t="shared" si="6"/>
        <v>7.4443477645815145E-2</v>
      </c>
      <c r="G23" s="13">
        <f t="shared" si="6"/>
        <v>0</v>
      </c>
      <c r="H23" s="13">
        <f t="shared" si="6"/>
        <v>0</v>
      </c>
      <c r="I23" s="13">
        <f t="shared" si="6"/>
        <v>8.8505212890812521E-2</v>
      </c>
      <c r="J23" s="13">
        <f t="shared" si="6"/>
        <v>0.22132979350917206</v>
      </c>
      <c r="K23" s="6"/>
      <c r="L23" t="s">
        <v>12</v>
      </c>
      <c r="M23" s="13">
        <f t="shared" ref="M23:P23" si="9">M6/M$16</f>
        <v>0</v>
      </c>
      <c r="N23" s="13">
        <f t="shared" si="9"/>
        <v>0.73872578919213738</v>
      </c>
      <c r="O23" s="13">
        <f t="shared" si="9"/>
        <v>0.1577984794813623</v>
      </c>
      <c r="P23" s="13">
        <f t="shared" si="9"/>
        <v>3.5881487676122065E-2</v>
      </c>
      <c r="Q23" s="13">
        <f t="shared" si="8"/>
        <v>8.4452187483183561E-2</v>
      </c>
      <c r="R23" s="13">
        <f t="shared" si="8"/>
        <v>0</v>
      </c>
      <c r="S23" s="13">
        <f t="shared" si="8"/>
        <v>0</v>
      </c>
      <c r="T23" s="13">
        <f t="shared" si="8"/>
        <v>0.11527783898118363</v>
      </c>
      <c r="U23" s="13">
        <f t="shared" si="8"/>
        <v>0.23379978777284452</v>
      </c>
    </row>
    <row r="24" spans="1:21" x14ac:dyDescent="0.45">
      <c r="A24" t="s">
        <v>56</v>
      </c>
      <c r="B24" s="13">
        <f t="shared" si="4"/>
        <v>0</v>
      </c>
      <c r="C24" s="13">
        <f t="shared" si="4"/>
        <v>0</v>
      </c>
      <c r="D24" s="13">
        <f t="shared" si="4"/>
        <v>0.70597433168173374</v>
      </c>
      <c r="E24" s="13">
        <f t="shared" si="5"/>
        <v>1.692349344217655E-2</v>
      </c>
      <c r="F24" s="13">
        <f t="shared" si="6"/>
        <v>2.0096509766647362E-2</v>
      </c>
      <c r="G24" s="13">
        <f t="shared" si="6"/>
        <v>0</v>
      </c>
      <c r="H24" s="13">
        <f t="shared" si="6"/>
        <v>0</v>
      </c>
      <c r="I24" s="13">
        <f t="shared" si="6"/>
        <v>0.14007349422875873</v>
      </c>
      <c r="J24" s="13">
        <f t="shared" si="6"/>
        <v>0.15813488510151796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0.70340619745832544</v>
      </c>
      <c r="P24" s="13">
        <f t="shared" si="10"/>
        <v>0</v>
      </c>
      <c r="Q24" s="13">
        <f t="shared" si="8"/>
        <v>3.9104961523973525E-2</v>
      </c>
      <c r="R24" s="13">
        <f t="shared" si="8"/>
        <v>0</v>
      </c>
      <c r="S24" s="13">
        <f t="shared" si="8"/>
        <v>0</v>
      </c>
      <c r="T24" s="13">
        <f t="shared" si="8"/>
        <v>0.11565240382496805</v>
      </c>
      <c r="U24" s="13">
        <f t="shared" si="8"/>
        <v>0.16517609584010051</v>
      </c>
    </row>
    <row r="25" spans="1:21" x14ac:dyDescent="0.45">
      <c r="A25" t="s">
        <v>51</v>
      </c>
      <c r="B25" s="13">
        <f t="shared" si="4"/>
        <v>0</v>
      </c>
      <c r="C25" s="13">
        <f t="shared" si="4"/>
        <v>0</v>
      </c>
      <c r="D25" s="13">
        <f t="shared" si="4"/>
        <v>0</v>
      </c>
      <c r="E25" s="13">
        <f t="shared" si="5"/>
        <v>0.44827190732338629</v>
      </c>
      <c r="F25" s="13">
        <f t="shared" si="6"/>
        <v>0.67488838264635564</v>
      </c>
      <c r="G25" s="13">
        <f t="shared" si="6"/>
        <v>0</v>
      </c>
      <c r="H25" s="13">
        <f t="shared" si="6"/>
        <v>0</v>
      </c>
      <c r="I25" s="13">
        <f t="shared" si="6"/>
        <v>2.0231371595438901E-2</v>
      </c>
      <c r="J25" s="13">
        <f t="shared" si="6"/>
        <v>4.888940126095298E-2</v>
      </c>
      <c r="K25" s="6"/>
      <c r="L25" t="s">
        <v>51</v>
      </c>
      <c r="M25" s="13">
        <f t="shared" ref="M25:P25" si="11">M8/M$16</f>
        <v>0</v>
      </c>
      <c r="N25" s="13">
        <f t="shared" si="11"/>
        <v>0</v>
      </c>
      <c r="O25" s="13">
        <f t="shared" si="11"/>
        <v>0</v>
      </c>
      <c r="P25" s="13">
        <f t="shared" si="11"/>
        <v>0.42812128995646881</v>
      </c>
      <c r="Q25" s="13">
        <f t="shared" si="8"/>
        <v>0.6155827907227035</v>
      </c>
      <c r="R25" s="13">
        <f t="shared" si="8"/>
        <v>0</v>
      </c>
      <c r="S25" s="13">
        <f t="shared" si="8"/>
        <v>0</v>
      </c>
      <c r="T25" s="13">
        <f t="shared" si="8"/>
        <v>3.9108976336315162E-4</v>
      </c>
      <c r="U25" s="13">
        <f t="shared" si="8"/>
        <v>2.6075519556409243E-2</v>
      </c>
    </row>
    <row r="26" spans="1:21" x14ac:dyDescent="0.45">
      <c r="A26" t="s">
        <v>52</v>
      </c>
      <c r="B26" s="13">
        <f t="shared" si="4"/>
        <v>0</v>
      </c>
      <c r="C26" s="13">
        <f t="shared" si="4"/>
        <v>0</v>
      </c>
      <c r="D26" s="13">
        <f t="shared" si="4"/>
        <v>0</v>
      </c>
      <c r="E26" s="13">
        <f t="shared" si="5"/>
        <v>0</v>
      </c>
      <c r="F26" s="13">
        <f t="shared" si="6"/>
        <v>2.4108109680470737E-3</v>
      </c>
      <c r="G26" s="13">
        <f t="shared" si="6"/>
        <v>0</v>
      </c>
      <c r="H26" s="13">
        <f t="shared" si="6"/>
        <v>0</v>
      </c>
      <c r="I26" s="13">
        <f t="shared" si="6"/>
        <v>0</v>
      </c>
      <c r="J26" s="13">
        <f t="shared" si="6"/>
        <v>1.4860853277401306E-4</v>
      </c>
      <c r="K26" s="6"/>
      <c r="L26" t="s">
        <v>52</v>
      </c>
      <c r="M26" s="13">
        <f t="shared" ref="M26:P26" si="12">M9/M$16</f>
        <v>0</v>
      </c>
      <c r="N26" s="13">
        <f t="shared" si="12"/>
        <v>0</v>
      </c>
      <c r="O26" s="13">
        <f t="shared" si="12"/>
        <v>0</v>
      </c>
      <c r="P26" s="13">
        <f t="shared" si="12"/>
        <v>0</v>
      </c>
      <c r="Q26" s="13">
        <f t="shared" si="8"/>
        <v>0</v>
      </c>
      <c r="R26" s="13">
        <f t="shared" si="8"/>
        <v>0</v>
      </c>
      <c r="S26" s="13">
        <f t="shared" si="8"/>
        <v>0</v>
      </c>
      <c r="T26" s="13">
        <f t="shared" si="8"/>
        <v>0</v>
      </c>
      <c r="U26" s="13">
        <f t="shared" si="8"/>
        <v>0</v>
      </c>
    </row>
    <row r="27" spans="1:21" x14ac:dyDescent="0.45">
      <c r="A27" t="s">
        <v>53</v>
      </c>
      <c r="B27" s="13">
        <f t="shared" si="4"/>
        <v>0</v>
      </c>
      <c r="C27" s="13">
        <f t="shared" si="4"/>
        <v>0</v>
      </c>
      <c r="D27" s="13">
        <f t="shared" si="4"/>
        <v>0</v>
      </c>
      <c r="E27" s="13">
        <f t="shared" si="5"/>
        <v>0</v>
      </c>
      <c r="F27" s="13">
        <f t="shared" si="6"/>
        <v>0</v>
      </c>
      <c r="G27" s="13">
        <f t="shared" si="6"/>
        <v>0</v>
      </c>
      <c r="H27" s="13">
        <f t="shared" si="6"/>
        <v>0</v>
      </c>
      <c r="I27" s="13">
        <f t="shared" si="6"/>
        <v>0</v>
      </c>
      <c r="J27" s="13">
        <f t="shared" si="6"/>
        <v>0</v>
      </c>
      <c r="K27" s="6"/>
      <c r="L27" t="s">
        <v>53</v>
      </c>
      <c r="M27" s="13">
        <f t="shared" ref="M27:P27" si="13">M10/M$16</f>
        <v>0</v>
      </c>
      <c r="N27" s="13">
        <f t="shared" si="13"/>
        <v>0</v>
      </c>
      <c r="O27" s="13">
        <f t="shared" si="13"/>
        <v>0</v>
      </c>
      <c r="P27" s="13">
        <f t="shared" si="13"/>
        <v>0</v>
      </c>
      <c r="Q27" s="13">
        <f t="shared" si="8"/>
        <v>0</v>
      </c>
      <c r="R27" s="13">
        <f t="shared" si="8"/>
        <v>0</v>
      </c>
      <c r="S27" s="13">
        <f t="shared" si="8"/>
        <v>0</v>
      </c>
      <c r="T27" s="13">
        <f t="shared" si="8"/>
        <v>0</v>
      </c>
      <c r="U27" s="13">
        <f t="shared" si="8"/>
        <v>0</v>
      </c>
    </row>
    <row r="28" spans="1:21" x14ac:dyDescent="0.45">
      <c r="A28" t="s">
        <v>54</v>
      </c>
      <c r="B28" s="13">
        <f t="shared" si="4"/>
        <v>0</v>
      </c>
      <c r="C28" s="13">
        <f t="shared" si="4"/>
        <v>0</v>
      </c>
      <c r="D28" s="13">
        <f t="shared" si="4"/>
        <v>0</v>
      </c>
      <c r="E28" s="13">
        <f t="shared" si="5"/>
        <v>0</v>
      </c>
      <c r="F28" s="13">
        <f t="shared" si="6"/>
        <v>0</v>
      </c>
      <c r="G28" s="13">
        <f t="shared" si="6"/>
        <v>0</v>
      </c>
      <c r="H28" s="13">
        <f t="shared" si="6"/>
        <v>0</v>
      </c>
      <c r="I28" s="13">
        <f t="shared" si="6"/>
        <v>0</v>
      </c>
      <c r="J28" s="13">
        <f t="shared" si="6"/>
        <v>0</v>
      </c>
      <c r="K28" s="6"/>
      <c r="L28" t="s">
        <v>54</v>
      </c>
      <c r="M28" s="13">
        <f t="shared" ref="M28:P28" si="14">M11/M$16</f>
        <v>0</v>
      </c>
      <c r="N28" s="13">
        <f t="shared" si="14"/>
        <v>0</v>
      </c>
      <c r="O28" s="13">
        <f t="shared" si="14"/>
        <v>0</v>
      </c>
      <c r="P28" s="13">
        <f t="shared" si="14"/>
        <v>0</v>
      </c>
      <c r="Q28" s="13">
        <f t="shared" si="8"/>
        <v>0</v>
      </c>
      <c r="R28" s="13">
        <f t="shared" si="8"/>
        <v>0</v>
      </c>
      <c r="S28" s="13">
        <f t="shared" si="8"/>
        <v>0</v>
      </c>
      <c r="T28" s="13">
        <f t="shared" si="8"/>
        <v>0</v>
      </c>
      <c r="U28" s="13">
        <f t="shared" si="8"/>
        <v>0</v>
      </c>
    </row>
    <row r="29" spans="1:21" x14ac:dyDescent="0.45">
      <c r="A29" t="s">
        <v>55</v>
      </c>
      <c r="B29" s="13">
        <f t="shared" si="4"/>
        <v>0</v>
      </c>
      <c r="C29" s="13">
        <f t="shared" si="4"/>
        <v>0</v>
      </c>
      <c r="D29" s="13">
        <f t="shared" si="4"/>
        <v>0</v>
      </c>
      <c r="E29" s="13">
        <f t="shared" si="5"/>
        <v>0</v>
      </c>
      <c r="F29" s="13">
        <f t="shared" si="6"/>
        <v>0</v>
      </c>
      <c r="G29" s="13">
        <f t="shared" si="6"/>
        <v>0</v>
      </c>
      <c r="H29" s="13">
        <f t="shared" si="6"/>
        <v>0</v>
      </c>
      <c r="I29" s="13">
        <f t="shared" si="6"/>
        <v>0</v>
      </c>
      <c r="J29" s="13">
        <f t="shared" si="6"/>
        <v>0</v>
      </c>
      <c r="K29" s="6"/>
      <c r="L29" t="s">
        <v>55</v>
      </c>
      <c r="M29" s="13">
        <f t="shared" ref="M29:P29" si="15">M12/M$16</f>
        <v>0</v>
      </c>
      <c r="N29" s="13">
        <f t="shared" si="15"/>
        <v>0</v>
      </c>
      <c r="O29" s="13">
        <f t="shared" si="15"/>
        <v>0</v>
      </c>
      <c r="P29" s="13">
        <f t="shared" si="15"/>
        <v>0</v>
      </c>
      <c r="Q29" s="13">
        <f t="shared" si="8"/>
        <v>0</v>
      </c>
      <c r="R29" s="13">
        <f t="shared" si="8"/>
        <v>0</v>
      </c>
      <c r="S29" s="13">
        <f t="shared" si="8"/>
        <v>0</v>
      </c>
      <c r="T29" s="13">
        <f t="shared" si="8"/>
        <v>0</v>
      </c>
      <c r="U29" s="13">
        <f t="shared" si="8"/>
        <v>0</v>
      </c>
    </row>
    <row r="30" spans="1:21" x14ac:dyDescent="0.45">
      <c r="A30" t="s">
        <v>24</v>
      </c>
      <c r="B30" s="13">
        <f t="shared" si="4"/>
        <v>0</v>
      </c>
      <c r="C30" s="13">
        <f t="shared" si="4"/>
        <v>0</v>
      </c>
      <c r="D30" s="13">
        <f t="shared" si="4"/>
        <v>0</v>
      </c>
      <c r="E30" s="13">
        <f t="shared" si="5"/>
        <v>0</v>
      </c>
      <c r="F30" s="13">
        <f t="shared" si="6"/>
        <v>0</v>
      </c>
      <c r="G30" s="13">
        <f t="shared" si="6"/>
        <v>0</v>
      </c>
      <c r="H30" s="13">
        <f t="shared" si="6"/>
        <v>0</v>
      </c>
      <c r="I30" s="13">
        <f t="shared" si="6"/>
        <v>0.71608616198847597</v>
      </c>
      <c r="J30" s="13">
        <f t="shared" si="6"/>
        <v>2.1844281845138518E-2</v>
      </c>
      <c r="K30" s="6"/>
      <c r="L30" t="s">
        <v>24</v>
      </c>
      <c r="M30" s="13">
        <f t="shared" ref="M30:P30" si="16">M13/M$16</f>
        <v>0</v>
      </c>
      <c r="N30" s="13">
        <f t="shared" si="16"/>
        <v>0</v>
      </c>
      <c r="O30" s="13">
        <f t="shared" si="16"/>
        <v>0</v>
      </c>
      <c r="P30" s="13">
        <f t="shared" si="16"/>
        <v>0</v>
      </c>
      <c r="Q30" s="13">
        <f t="shared" si="8"/>
        <v>0</v>
      </c>
      <c r="R30" s="13">
        <f t="shared" si="8"/>
        <v>0</v>
      </c>
      <c r="S30" s="13">
        <f t="shared" si="8"/>
        <v>0</v>
      </c>
      <c r="T30" s="13">
        <f t="shared" si="8"/>
        <v>0.72316353060415106</v>
      </c>
      <c r="U30" s="13">
        <f t="shared" si="8"/>
        <v>2.1353812335763053E-2</v>
      </c>
    </row>
    <row r="31" spans="1:21" x14ac:dyDescent="0.45">
      <c r="A31" t="s">
        <v>4</v>
      </c>
      <c r="B31" s="13">
        <f t="shared" si="4"/>
        <v>7.4097214791420064E-4</v>
      </c>
      <c r="C31" s="13">
        <f t="shared" si="4"/>
        <v>3.5352697930933412E-3</v>
      </c>
      <c r="D31" s="13">
        <f t="shared" si="4"/>
        <v>3.0141804458870959E-3</v>
      </c>
      <c r="E31" s="13">
        <f t="shared" si="5"/>
        <v>9.805423039845908E-4</v>
      </c>
      <c r="F31" s="13">
        <f t="shared" si="6"/>
        <v>8.3865889657352959E-3</v>
      </c>
      <c r="G31" s="13">
        <f t="shared" si="6"/>
        <v>0.92911398425364555</v>
      </c>
      <c r="H31" s="13">
        <f t="shared" si="6"/>
        <v>0</v>
      </c>
      <c r="I31" s="13">
        <f t="shared" si="6"/>
        <v>5.9696997863044653E-3</v>
      </c>
      <c r="J31" s="13">
        <f t="shared" si="6"/>
        <v>1.3572707227595505E-2</v>
      </c>
      <c r="K31" s="6"/>
      <c r="L31" t="s">
        <v>4</v>
      </c>
      <c r="M31" s="13">
        <f t="shared" ref="M31:P31" si="17">M14/M$16</f>
        <v>8.4712416305156172E-4</v>
      </c>
      <c r="N31" s="13">
        <f t="shared" si="17"/>
        <v>3.5130383255592922E-3</v>
      </c>
      <c r="O31" s="13">
        <f t="shared" si="17"/>
        <v>3.3177587414614583E-3</v>
      </c>
      <c r="P31" s="13">
        <f t="shared" si="17"/>
        <v>0</v>
      </c>
      <c r="Q31" s="13">
        <f t="shared" si="8"/>
        <v>1.0143679707259323E-2</v>
      </c>
      <c r="R31" s="13">
        <f t="shared" si="8"/>
        <v>0.84683758401210663</v>
      </c>
      <c r="S31" s="13">
        <f t="shared" si="8"/>
        <v>0</v>
      </c>
      <c r="T31" s="13">
        <f t="shared" si="8"/>
        <v>5.0878391280717991E-3</v>
      </c>
      <c r="U31" s="13">
        <f t="shared" si="8"/>
        <v>1.2750273958669706E-2</v>
      </c>
    </row>
    <row r="32" spans="1:21" x14ac:dyDescent="0.45">
      <c r="A32" s="4" t="s">
        <v>5</v>
      </c>
      <c r="B32" s="14">
        <f t="shared" si="4"/>
        <v>1.5354379248839039E-2</v>
      </c>
      <c r="C32" s="14">
        <f t="shared" si="4"/>
        <v>1.7153273365630672E-2</v>
      </c>
      <c r="D32" s="14">
        <f t="shared" si="4"/>
        <v>2.8280976206468647E-2</v>
      </c>
      <c r="E32" s="13">
        <f t="shared" si="5"/>
        <v>5.5550213371330259E-2</v>
      </c>
      <c r="F32" s="14">
        <f t="shared" si="6"/>
        <v>0.20264044352903487</v>
      </c>
      <c r="G32" s="14">
        <f t="shared" si="6"/>
        <v>7.0886015746354336E-2</v>
      </c>
      <c r="H32" s="14">
        <f t="shared" si="6"/>
        <v>1</v>
      </c>
      <c r="I32" s="14">
        <f t="shared" si="6"/>
        <v>2.5821142444383528E-2</v>
      </c>
      <c r="J32" s="14">
        <f t="shared" si="6"/>
        <v>0.12490301302267233</v>
      </c>
      <c r="K32" s="6"/>
      <c r="L32" s="4" t="s">
        <v>5</v>
      </c>
      <c r="M32" s="14">
        <f t="shared" ref="M32:P32" si="18">M15/M$16</f>
        <v>4.8530294687413544E-2</v>
      </c>
      <c r="N32" s="14">
        <f t="shared" si="18"/>
        <v>4.660443661999867E-2</v>
      </c>
      <c r="O32" s="14">
        <f t="shared" si="18"/>
        <v>3.4638655845556823E-2</v>
      </c>
      <c r="P32" s="14">
        <f t="shared" si="18"/>
        <v>0</v>
      </c>
      <c r="Q32" s="14">
        <f t="shared" si="8"/>
        <v>0.20808837378248937</v>
      </c>
      <c r="R32" s="14">
        <f t="shared" si="8"/>
        <v>0.15316241598789335</v>
      </c>
      <c r="S32" s="14">
        <f t="shared" si="8"/>
        <v>1</v>
      </c>
      <c r="T32" s="14">
        <f t="shared" si="8"/>
        <v>3.8257024926923136E-2</v>
      </c>
      <c r="U32" s="14">
        <f t="shared" si="8"/>
        <v>0.12665120686031978</v>
      </c>
    </row>
    <row r="33" spans="1:32" ht="14.65" thickBot="1" x14ac:dyDescent="0.5">
      <c r="A33" s="12" t="s">
        <v>7</v>
      </c>
      <c r="B33" s="15">
        <f t="shared" si="4"/>
        <v>1</v>
      </c>
      <c r="C33" s="15">
        <f t="shared" si="4"/>
        <v>1</v>
      </c>
      <c r="D33" s="15">
        <f t="shared" si="4"/>
        <v>1</v>
      </c>
      <c r="E33" s="15">
        <f t="shared" si="5"/>
        <v>1</v>
      </c>
      <c r="F33" s="15">
        <f t="shared" si="6"/>
        <v>1</v>
      </c>
      <c r="G33" s="15">
        <f t="shared" si="6"/>
        <v>1</v>
      </c>
      <c r="H33" s="15">
        <f t="shared" si="6"/>
        <v>1</v>
      </c>
      <c r="I33" s="15">
        <f t="shared" si="6"/>
        <v>1</v>
      </c>
      <c r="J33" s="15">
        <f t="shared" si="6"/>
        <v>1</v>
      </c>
      <c r="L33" s="9" t="s">
        <v>7</v>
      </c>
      <c r="M33" s="15">
        <f t="shared" ref="M33:P33" si="19">M16/M$16</f>
        <v>1</v>
      </c>
      <c r="N33" s="15">
        <f t="shared" si="19"/>
        <v>1</v>
      </c>
      <c r="O33" s="15">
        <f t="shared" si="19"/>
        <v>1</v>
      </c>
      <c r="P33" s="15">
        <f t="shared" si="19"/>
        <v>1</v>
      </c>
      <c r="Q33" s="15">
        <f t="shared" si="8"/>
        <v>1</v>
      </c>
      <c r="R33" s="15">
        <f t="shared" si="8"/>
        <v>1</v>
      </c>
      <c r="S33" s="15">
        <f t="shared" si="8"/>
        <v>1</v>
      </c>
      <c r="T33" s="15">
        <f t="shared" si="8"/>
        <v>1</v>
      </c>
      <c r="U33" s="15">
        <f t="shared" si="8"/>
        <v>1</v>
      </c>
    </row>
    <row r="36" spans="1:32" ht="14.65" thickBot="1" x14ac:dyDescent="0.5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45"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45">
      <c r="L39" t="s">
        <v>1</v>
      </c>
      <c r="M39" s="13">
        <f t="shared" ref="M39:P44" si="20">M22-B22</f>
        <v>-3.3282067453711872E-2</v>
      </c>
      <c r="N39" s="13">
        <f t="shared" si="20"/>
        <v>-1.013297633424573E-2</v>
      </c>
      <c r="O39" s="13">
        <f t="shared" si="20"/>
        <v>-1.3189143602263531E-3</v>
      </c>
      <c r="P39" s="13">
        <f t="shared" si="20"/>
        <v>7.8654165480627591E-2</v>
      </c>
      <c r="Q39" s="13">
        <f t="shared" ref="Q39:Q50" si="21">Q22-F22</f>
        <v>2.5494220302026058E-2</v>
      </c>
      <c r="R39" s="13">
        <f t="shared" ref="R39:R50" si="22">R22-G22</f>
        <v>0</v>
      </c>
      <c r="S39" s="13">
        <f t="shared" ref="S39:S50" si="23">S22-H22</f>
        <v>0</v>
      </c>
      <c r="T39" s="13">
        <f t="shared" ref="T39:T50" si="24">T22-I22</f>
        <v>-1.1426442944866061E-3</v>
      </c>
      <c r="U39" s="13">
        <f t="shared" ref="U39:U50" si="25">U22-J22</f>
        <v>3.0159941757165742E-3</v>
      </c>
      <c r="W39" s="21" t="s">
        <v>1</v>
      </c>
      <c r="X39" s="22">
        <f>M39</f>
        <v>-3.3282067453711872E-2</v>
      </c>
      <c r="Y39" s="22">
        <f t="shared" ref="Y39:AF39" si="26">N39</f>
        <v>-1.013297633424573E-2</v>
      </c>
      <c r="Z39" s="22">
        <f t="shared" si="26"/>
        <v>-1.3189143602263531E-3</v>
      </c>
      <c r="AA39" s="22">
        <f t="shared" si="26"/>
        <v>7.8654165480627591E-2</v>
      </c>
      <c r="AB39" s="22">
        <f t="shared" si="26"/>
        <v>2.5494220302026058E-2</v>
      </c>
      <c r="AC39" s="22">
        <f t="shared" si="26"/>
        <v>0</v>
      </c>
      <c r="AD39" s="22">
        <f t="shared" si="26"/>
        <v>0</v>
      </c>
      <c r="AE39" s="22">
        <f t="shared" si="26"/>
        <v>-1.1426442944866061E-3</v>
      </c>
      <c r="AF39" s="22">
        <f t="shared" si="26"/>
        <v>3.0159941757165742E-3</v>
      </c>
    </row>
    <row r="40" spans="1:32" x14ac:dyDescent="0.45">
      <c r="L40" t="s">
        <v>9</v>
      </c>
      <c r="M40" s="13">
        <f t="shared" si="20"/>
        <v>0</v>
      </c>
      <c r="N40" s="13">
        <f t="shared" si="20"/>
        <v>-1.929595545258822E-2</v>
      </c>
      <c r="O40" s="13">
        <f t="shared" si="20"/>
        <v>-2.7742093510278454E-3</v>
      </c>
      <c r="P40" s="13">
        <f t="shared" si="20"/>
        <v>1.4950701003781194E-2</v>
      </c>
      <c r="Q40" s="13">
        <f t="shared" si="21"/>
        <v>1.0008709837368415E-2</v>
      </c>
      <c r="R40" s="13">
        <f t="shared" si="22"/>
        <v>0</v>
      </c>
      <c r="S40" s="13">
        <f t="shared" si="23"/>
        <v>0</v>
      </c>
      <c r="T40" s="13">
        <f t="shared" si="24"/>
        <v>2.6772626090371107E-2</v>
      </c>
      <c r="U40" s="13">
        <f t="shared" si="25"/>
        <v>1.2469994263672457E-2</v>
      </c>
      <c r="W40" s="27" t="s">
        <v>9</v>
      </c>
      <c r="X40" s="22">
        <f t="shared" ref="X40:X49" si="27">M40</f>
        <v>0</v>
      </c>
      <c r="Y40" s="22">
        <f t="shared" ref="Y40:Y50" si="28">N40</f>
        <v>-1.929595545258822E-2</v>
      </c>
      <c r="Z40" s="22">
        <f t="shared" ref="Z40:Z50" si="29">O40</f>
        <v>-2.7742093510278454E-3</v>
      </c>
      <c r="AA40" s="22">
        <f t="shared" ref="AA40:AA50" si="30">P40</f>
        <v>1.4950701003781194E-2</v>
      </c>
      <c r="AB40" s="22">
        <f t="shared" ref="AB40:AB50" si="31">Q40</f>
        <v>1.0008709837368415E-2</v>
      </c>
      <c r="AC40" s="22">
        <f t="shared" ref="AC40:AC50" si="32">R40</f>
        <v>0</v>
      </c>
      <c r="AD40" s="22">
        <f t="shared" ref="AD40:AD50" si="33">S40</f>
        <v>0</v>
      </c>
      <c r="AE40" s="22">
        <f t="shared" ref="AE40:AE50" si="34">T40</f>
        <v>2.6772626090371107E-2</v>
      </c>
      <c r="AF40" s="22">
        <f t="shared" ref="AF40:AF50" si="35">U40</f>
        <v>1.2469994263672457E-2</v>
      </c>
    </row>
    <row r="41" spans="1:32" x14ac:dyDescent="0.45">
      <c r="L41" t="s">
        <v>10</v>
      </c>
      <c r="M41" s="13">
        <f t="shared" si="20"/>
        <v>0</v>
      </c>
      <c r="N41" s="13">
        <f t="shared" si="20"/>
        <v>0</v>
      </c>
      <c r="O41" s="13">
        <f t="shared" si="20"/>
        <v>-2.5681342234082916E-3</v>
      </c>
      <c r="P41" s="13">
        <f t="shared" si="20"/>
        <v>-1.692349344217655E-2</v>
      </c>
      <c r="Q41" s="13">
        <f t="shared" si="21"/>
        <v>1.9008451757326163E-2</v>
      </c>
      <c r="R41" s="13">
        <f t="shared" si="22"/>
        <v>0</v>
      </c>
      <c r="S41" s="13">
        <f t="shared" si="23"/>
        <v>0</v>
      </c>
      <c r="T41" s="13">
        <f t="shared" si="24"/>
        <v>-2.4421090403790674E-2</v>
      </c>
      <c r="U41" s="13">
        <f t="shared" si="25"/>
        <v>7.0412107385825484E-3</v>
      </c>
      <c r="W41" s="27" t="s">
        <v>10</v>
      </c>
      <c r="X41" s="22">
        <f t="shared" si="27"/>
        <v>0</v>
      </c>
      <c r="Y41" s="22">
        <f t="shared" si="28"/>
        <v>0</v>
      </c>
      <c r="Z41" s="22">
        <f t="shared" si="29"/>
        <v>-2.5681342234082916E-3</v>
      </c>
      <c r="AA41" s="22">
        <f t="shared" si="30"/>
        <v>-1.692349344217655E-2</v>
      </c>
      <c r="AB41" s="22">
        <f t="shared" si="31"/>
        <v>1.9008451757326163E-2</v>
      </c>
      <c r="AC41" s="22">
        <f t="shared" si="32"/>
        <v>0</v>
      </c>
      <c r="AD41" s="22">
        <f t="shared" si="33"/>
        <v>0</v>
      </c>
      <c r="AE41" s="22">
        <f t="shared" si="34"/>
        <v>-2.4421090403790674E-2</v>
      </c>
      <c r="AF41" s="22">
        <f t="shared" si="35"/>
        <v>7.0412107385825484E-3</v>
      </c>
    </row>
    <row r="42" spans="1:32" x14ac:dyDescent="0.45">
      <c r="L42" t="s">
        <v>51</v>
      </c>
      <c r="M42" s="13">
        <f t="shared" si="20"/>
        <v>0</v>
      </c>
      <c r="N42" s="13">
        <f t="shared" si="20"/>
        <v>0</v>
      </c>
      <c r="O42" s="13">
        <f t="shared" si="20"/>
        <v>0</v>
      </c>
      <c r="P42" s="13">
        <f t="shared" si="20"/>
        <v>-2.0150617366917478E-2</v>
      </c>
      <c r="Q42" s="13">
        <f t="shared" si="21"/>
        <v>-5.9305591923652146E-2</v>
      </c>
      <c r="R42" s="13">
        <f t="shared" si="22"/>
        <v>0</v>
      </c>
      <c r="S42" s="13">
        <f t="shared" si="23"/>
        <v>0</v>
      </c>
      <c r="T42" s="13">
        <f t="shared" si="24"/>
        <v>-1.984028183207575E-2</v>
      </c>
      <c r="U42" s="13">
        <f t="shared" si="25"/>
        <v>-2.2813881704543737E-2</v>
      </c>
      <c r="W42" t="s">
        <v>51</v>
      </c>
      <c r="X42" s="22">
        <f t="shared" si="27"/>
        <v>0</v>
      </c>
      <c r="Y42" s="22">
        <f t="shared" si="28"/>
        <v>0</v>
      </c>
      <c r="Z42" s="22">
        <f t="shared" si="29"/>
        <v>0</v>
      </c>
      <c r="AA42" s="22">
        <f t="shared" si="30"/>
        <v>-2.0150617366917478E-2</v>
      </c>
      <c r="AB42" s="22">
        <f t="shared" si="31"/>
        <v>-5.9305591923652146E-2</v>
      </c>
      <c r="AC42" s="22">
        <f t="shared" si="32"/>
        <v>0</v>
      </c>
      <c r="AD42" s="22">
        <f t="shared" si="33"/>
        <v>0</v>
      </c>
      <c r="AE42" s="22">
        <f t="shared" si="34"/>
        <v>-1.984028183207575E-2</v>
      </c>
      <c r="AF42" s="22">
        <f t="shared" si="35"/>
        <v>-2.2813881704543737E-2</v>
      </c>
    </row>
    <row r="43" spans="1:32" x14ac:dyDescent="0.45">
      <c r="L43" t="s">
        <v>52</v>
      </c>
      <c r="M43" s="13">
        <f t="shared" si="20"/>
        <v>0</v>
      </c>
      <c r="N43" s="13">
        <f t="shared" si="20"/>
        <v>0</v>
      </c>
      <c r="O43" s="13">
        <f t="shared" si="20"/>
        <v>0</v>
      </c>
      <c r="P43" s="13">
        <f t="shared" si="20"/>
        <v>0</v>
      </c>
      <c r="Q43" s="13">
        <f t="shared" si="21"/>
        <v>-2.4108109680470737E-3</v>
      </c>
      <c r="R43" s="13">
        <f t="shared" si="22"/>
        <v>0</v>
      </c>
      <c r="S43" s="13">
        <f t="shared" si="23"/>
        <v>0</v>
      </c>
      <c r="T43" s="13">
        <f t="shared" si="24"/>
        <v>0</v>
      </c>
      <c r="U43" s="13">
        <f t="shared" si="25"/>
        <v>-1.4860853277401306E-4</v>
      </c>
      <c r="W43" t="s">
        <v>52</v>
      </c>
      <c r="X43" s="22">
        <f t="shared" si="27"/>
        <v>0</v>
      </c>
      <c r="Y43" s="22">
        <f t="shared" si="28"/>
        <v>0</v>
      </c>
      <c r="Z43" s="22">
        <f t="shared" si="29"/>
        <v>0</v>
      </c>
      <c r="AA43" s="22">
        <f t="shared" si="30"/>
        <v>0</v>
      </c>
      <c r="AB43" s="22">
        <f t="shared" si="31"/>
        <v>-2.4108109680470737E-3</v>
      </c>
      <c r="AC43" s="22">
        <f t="shared" si="32"/>
        <v>0</v>
      </c>
      <c r="AD43" s="22">
        <f t="shared" si="33"/>
        <v>0</v>
      </c>
      <c r="AE43" s="22">
        <f t="shared" si="34"/>
        <v>0</v>
      </c>
      <c r="AF43" s="22">
        <f t="shared" si="35"/>
        <v>-1.4860853277401306E-4</v>
      </c>
    </row>
    <row r="44" spans="1:32" x14ac:dyDescent="0.45">
      <c r="L44" t="s">
        <v>53</v>
      </c>
      <c r="M44" s="13">
        <f t="shared" si="20"/>
        <v>0</v>
      </c>
      <c r="N44" s="13">
        <f t="shared" si="20"/>
        <v>0</v>
      </c>
      <c r="O44" s="13">
        <f t="shared" si="20"/>
        <v>0</v>
      </c>
      <c r="P44" s="13">
        <f t="shared" si="20"/>
        <v>0</v>
      </c>
      <c r="Q44" s="13">
        <f t="shared" si="21"/>
        <v>0</v>
      </c>
      <c r="R44" s="13">
        <f t="shared" si="22"/>
        <v>0</v>
      </c>
      <c r="S44" s="13">
        <f t="shared" si="23"/>
        <v>0</v>
      </c>
      <c r="T44" s="13">
        <f t="shared" si="24"/>
        <v>0</v>
      </c>
      <c r="U44" s="13">
        <f t="shared" si="25"/>
        <v>0</v>
      </c>
      <c r="W44" t="s">
        <v>53</v>
      </c>
      <c r="X44" s="22">
        <f t="shared" si="27"/>
        <v>0</v>
      </c>
      <c r="Y44" s="22">
        <f t="shared" si="28"/>
        <v>0</v>
      </c>
      <c r="Z44" s="22">
        <f t="shared" si="29"/>
        <v>0</v>
      </c>
      <c r="AA44" s="22">
        <f t="shared" si="30"/>
        <v>0</v>
      </c>
      <c r="AB44" s="22">
        <f t="shared" si="31"/>
        <v>0</v>
      </c>
      <c r="AC44" s="22">
        <f t="shared" si="32"/>
        <v>0</v>
      </c>
      <c r="AD44" s="22">
        <f t="shared" si="33"/>
        <v>0</v>
      </c>
      <c r="AE44" s="22">
        <f t="shared" si="34"/>
        <v>0</v>
      </c>
      <c r="AF44" s="22">
        <f t="shared" si="35"/>
        <v>0</v>
      </c>
    </row>
    <row r="45" spans="1:32" x14ac:dyDescent="0.45">
      <c r="L45" t="s">
        <v>54</v>
      </c>
      <c r="M45" s="13">
        <f t="shared" ref="M45:M47" si="36">M28-B28</f>
        <v>0</v>
      </c>
      <c r="N45" s="13">
        <f t="shared" ref="N45:N47" si="37">N28-C28</f>
        <v>0</v>
      </c>
      <c r="O45" s="13">
        <f t="shared" ref="O45:O47" si="38">O28-D28</f>
        <v>0</v>
      </c>
      <c r="P45" s="13">
        <f t="shared" ref="P45:P47" si="39">P28-E28</f>
        <v>0</v>
      </c>
      <c r="Q45" s="13">
        <f t="shared" si="21"/>
        <v>0</v>
      </c>
      <c r="R45" s="13">
        <f t="shared" si="22"/>
        <v>0</v>
      </c>
      <c r="S45" s="13">
        <f t="shared" si="23"/>
        <v>0</v>
      </c>
      <c r="T45" s="13">
        <f t="shared" si="24"/>
        <v>0</v>
      </c>
      <c r="U45" s="13">
        <f t="shared" si="25"/>
        <v>0</v>
      </c>
      <c r="W45" t="s">
        <v>54</v>
      </c>
      <c r="X45" s="22">
        <f t="shared" si="27"/>
        <v>0</v>
      </c>
      <c r="Y45" s="22">
        <f t="shared" si="28"/>
        <v>0</v>
      </c>
      <c r="Z45" s="22">
        <f t="shared" si="29"/>
        <v>0</v>
      </c>
      <c r="AA45" s="22">
        <f t="shared" si="30"/>
        <v>0</v>
      </c>
      <c r="AB45" s="22">
        <f t="shared" si="31"/>
        <v>0</v>
      </c>
      <c r="AC45" s="22">
        <f t="shared" si="32"/>
        <v>0</v>
      </c>
      <c r="AD45" s="22">
        <f t="shared" si="33"/>
        <v>0</v>
      </c>
      <c r="AE45" s="22">
        <f t="shared" si="34"/>
        <v>0</v>
      </c>
      <c r="AF45" s="22">
        <f t="shared" si="35"/>
        <v>0</v>
      </c>
    </row>
    <row r="46" spans="1:32" x14ac:dyDescent="0.45">
      <c r="L46" t="s">
        <v>55</v>
      </c>
      <c r="M46" s="13">
        <f t="shared" si="36"/>
        <v>0</v>
      </c>
      <c r="N46" s="13">
        <f t="shared" si="37"/>
        <v>0</v>
      </c>
      <c r="O46" s="13">
        <f t="shared" si="38"/>
        <v>0</v>
      </c>
      <c r="P46" s="13">
        <f t="shared" si="39"/>
        <v>0</v>
      </c>
      <c r="Q46" s="13">
        <f t="shared" si="21"/>
        <v>0</v>
      </c>
      <c r="R46" s="13">
        <f t="shared" si="22"/>
        <v>0</v>
      </c>
      <c r="S46" s="13">
        <f t="shared" si="23"/>
        <v>0</v>
      </c>
      <c r="T46" s="13">
        <f t="shared" si="24"/>
        <v>0</v>
      </c>
      <c r="U46" s="13">
        <f t="shared" si="25"/>
        <v>0</v>
      </c>
      <c r="W46" t="s">
        <v>55</v>
      </c>
      <c r="X46" s="22">
        <f t="shared" si="27"/>
        <v>0</v>
      </c>
      <c r="Y46" s="22">
        <f t="shared" si="28"/>
        <v>0</v>
      </c>
      <c r="Z46" s="22">
        <f t="shared" si="29"/>
        <v>0</v>
      </c>
      <c r="AA46" s="22">
        <f t="shared" si="30"/>
        <v>0</v>
      </c>
      <c r="AB46" s="22">
        <f t="shared" si="31"/>
        <v>0</v>
      </c>
      <c r="AC46" s="22">
        <f t="shared" si="32"/>
        <v>0</v>
      </c>
      <c r="AD46" s="22">
        <f t="shared" si="33"/>
        <v>0</v>
      </c>
      <c r="AE46" s="22">
        <f t="shared" si="34"/>
        <v>0</v>
      </c>
      <c r="AF46" s="22">
        <f t="shared" si="35"/>
        <v>0</v>
      </c>
    </row>
    <row r="47" spans="1:32" x14ac:dyDescent="0.45">
      <c r="L47" t="s">
        <v>24</v>
      </c>
      <c r="M47" s="13">
        <f t="shared" si="36"/>
        <v>0</v>
      </c>
      <c r="N47" s="13">
        <f t="shared" si="37"/>
        <v>0</v>
      </c>
      <c r="O47" s="13">
        <f t="shared" si="38"/>
        <v>0</v>
      </c>
      <c r="P47" s="13">
        <f t="shared" si="39"/>
        <v>0</v>
      </c>
      <c r="Q47" s="13">
        <f t="shared" si="21"/>
        <v>0</v>
      </c>
      <c r="R47" s="13">
        <f t="shared" si="22"/>
        <v>0</v>
      </c>
      <c r="S47" s="13">
        <f t="shared" si="23"/>
        <v>0</v>
      </c>
      <c r="T47" s="13">
        <f t="shared" si="24"/>
        <v>7.0773686156750948E-3</v>
      </c>
      <c r="U47" s="13">
        <f t="shared" si="25"/>
        <v>-4.9046950937546574E-4</v>
      </c>
      <c r="W47" s="21" t="s">
        <v>24</v>
      </c>
      <c r="X47" s="22">
        <f t="shared" si="27"/>
        <v>0</v>
      </c>
      <c r="Y47" s="22">
        <f t="shared" si="28"/>
        <v>0</v>
      </c>
      <c r="Z47" s="22">
        <f t="shared" si="29"/>
        <v>0</v>
      </c>
      <c r="AA47" s="22">
        <f t="shared" si="30"/>
        <v>0</v>
      </c>
      <c r="AB47" s="22">
        <f t="shared" si="31"/>
        <v>0</v>
      </c>
      <c r="AC47" s="22">
        <f t="shared" si="32"/>
        <v>0</v>
      </c>
      <c r="AD47" s="22">
        <f t="shared" si="33"/>
        <v>0</v>
      </c>
      <c r="AE47" s="22">
        <f t="shared" si="34"/>
        <v>7.0773686156750948E-3</v>
      </c>
      <c r="AF47" s="22">
        <f t="shared" si="35"/>
        <v>-4.9046950937546574E-4</v>
      </c>
    </row>
    <row r="48" spans="1:32" x14ac:dyDescent="0.45">
      <c r="L48" t="s">
        <v>4</v>
      </c>
      <c r="M48" s="13">
        <f t="shared" ref="M48:P50" si="40">M31-B31</f>
        <v>1.0615201513736107E-4</v>
      </c>
      <c r="N48" s="13">
        <f t="shared" si="40"/>
        <v>-2.2231467534048963E-5</v>
      </c>
      <c r="O48" s="13">
        <f t="shared" si="40"/>
        <v>3.0357829557436239E-4</v>
      </c>
      <c r="P48" s="13">
        <f t="shared" si="40"/>
        <v>-9.805423039845908E-4</v>
      </c>
      <c r="Q48" s="13">
        <f t="shared" si="21"/>
        <v>1.7570907415240273E-3</v>
      </c>
      <c r="R48" s="13">
        <f t="shared" si="22"/>
        <v>-8.2276400241538927E-2</v>
      </c>
      <c r="S48" s="13">
        <f t="shared" si="23"/>
        <v>0</v>
      </c>
      <c r="T48" s="13">
        <f t="shared" si="24"/>
        <v>-8.8186065823266623E-4</v>
      </c>
      <c r="U48" s="13">
        <f t="shared" si="25"/>
        <v>-8.2243326892579918E-4</v>
      </c>
      <c r="W48" s="27" t="s">
        <v>4</v>
      </c>
      <c r="X48" s="22">
        <f t="shared" si="27"/>
        <v>1.0615201513736107E-4</v>
      </c>
      <c r="Y48" s="22">
        <f t="shared" si="28"/>
        <v>-2.2231467534048963E-5</v>
      </c>
      <c r="Z48" s="22">
        <f t="shared" si="29"/>
        <v>3.0357829557436239E-4</v>
      </c>
      <c r="AA48" s="22">
        <f t="shared" si="30"/>
        <v>-9.805423039845908E-4</v>
      </c>
      <c r="AB48" s="22">
        <f t="shared" si="31"/>
        <v>1.7570907415240273E-3</v>
      </c>
      <c r="AC48" s="22">
        <f t="shared" si="32"/>
        <v>-8.2276400241538927E-2</v>
      </c>
      <c r="AD48" s="22">
        <f t="shared" si="33"/>
        <v>0</v>
      </c>
      <c r="AE48" s="22">
        <f t="shared" si="34"/>
        <v>-8.8186065823266623E-4</v>
      </c>
      <c r="AF48" s="22">
        <f t="shared" si="35"/>
        <v>-8.2243326892579918E-4</v>
      </c>
    </row>
    <row r="49" spans="12:32" x14ac:dyDescent="0.45">
      <c r="L49" s="4" t="s">
        <v>5</v>
      </c>
      <c r="M49" s="17">
        <f t="shared" si="40"/>
        <v>3.3175915438574503E-2</v>
      </c>
      <c r="N49" s="17">
        <f t="shared" si="40"/>
        <v>2.9451163254367998E-2</v>
      </c>
      <c r="O49" s="17">
        <f t="shared" si="40"/>
        <v>6.3576796390881762E-3</v>
      </c>
      <c r="P49" s="17">
        <f t="shared" si="40"/>
        <v>-5.5550213371330259E-2</v>
      </c>
      <c r="Q49" s="17">
        <f t="shared" si="21"/>
        <v>5.4479302534544971E-3</v>
      </c>
      <c r="R49" s="17">
        <f t="shared" si="22"/>
        <v>8.2276400241539011E-2</v>
      </c>
      <c r="S49" s="17">
        <f t="shared" si="23"/>
        <v>0</v>
      </c>
      <c r="T49" s="17">
        <f t="shared" si="24"/>
        <v>1.2435882482539608E-2</v>
      </c>
      <c r="U49" s="13">
        <f t="shared" si="25"/>
        <v>1.7481938376474465E-3</v>
      </c>
      <c r="W49" s="20" t="s">
        <v>5</v>
      </c>
      <c r="X49" s="22">
        <f t="shared" si="27"/>
        <v>3.3175915438574503E-2</v>
      </c>
      <c r="Y49" s="22">
        <f t="shared" si="28"/>
        <v>2.9451163254367998E-2</v>
      </c>
      <c r="Z49" s="22">
        <f t="shared" si="29"/>
        <v>6.3576796390881762E-3</v>
      </c>
      <c r="AA49" s="22">
        <f t="shared" si="30"/>
        <v>-5.5550213371330259E-2</v>
      </c>
      <c r="AB49" s="22">
        <f t="shared" si="31"/>
        <v>5.4479302534544971E-3</v>
      </c>
      <c r="AC49" s="22">
        <f t="shared" si="32"/>
        <v>8.2276400241539011E-2</v>
      </c>
      <c r="AD49" s="22">
        <f t="shared" si="33"/>
        <v>0</v>
      </c>
      <c r="AE49" s="22">
        <f t="shared" si="34"/>
        <v>1.2435882482539608E-2</v>
      </c>
      <c r="AF49" s="22">
        <f t="shared" si="35"/>
        <v>1.7481938376474465E-3</v>
      </c>
    </row>
    <row r="50" spans="12:32" ht="14.65" thickBot="1" x14ac:dyDescent="0.5">
      <c r="L50" s="9" t="s">
        <v>7</v>
      </c>
      <c r="M50" s="15">
        <f t="shared" si="40"/>
        <v>0</v>
      </c>
      <c r="N50" s="15">
        <f t="shared" si="40"/>
        <v>0</v>
      </c>
      <c r="O50" s="15">
        <f t="shared" si="40"/>
        <v>0</v>
      </c>
      <c r="P50" s="15">
        <f t="shared" si="40"/>
        <v>0</v>
      </c>
      <c r="Q50" s="15">
        <f t="shared" si="21"/>
        <v>0</v>
      </c>
      <c r="R50" s="15">
        <f t="shared" si="22"/>
        <v>0</v>
      </c>
      <c r="S50" s="15">
        <f t="shared" si="23"/>
        <v>0</v>
      </c>
      <c r="T50" s="15">
        <f t="shared" si="24"/>
        <v>0</v>
      </c>
      <c r="U50" s="15">
        <f t="shared" si="25"/>
        <v>0</v>
      </c>
      <c r="W50" s="28" t="s">
        <v>7</v>
      </c>
      <c r="X50" s="29">
        <f>M50</f>
        <v>0</v>
      </c>
      <c r="Y50" s="29">
        <f t="shared" si="28"/>
        <v>0</v>
      </c>
      <c r="Z50" s="29">
        <f t="shared" si="29"/>
        <v>0</v>
      </c>
      <c r="AA50" s="29">
        <f t="shared" si="30"/>
        <v>0</v>
      </c>
      <c r="AB50" s="29">
        <f t="shared" si="31"/>
        <v>0</v>
      </c>
      <c r="AC50" s="29">
        <f t="shared" si="32"/>
        <v>0</v>
      </c>
      <c r="AD50" s="29">
        <f t="shared" si="33"/>
        <v>0</v>
      </c>
      <c r="AE50" s="29">
        <f t="shared" si="34"/>
        <v>0</v>
      </c>
      <c r="AF50" s="29">
        <f t="shared" si="35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164820.2649660987</v>
      </c>
      <c r="C5" s="6" t="n">
        <v>5896.5215928702</v>
      </c>
      <c r="D5" s="6" t="n">
        <v>1862.7626499472</v>
      </c>
      <c r="E5" s="6" t="n">
        <v>0.0</v>
      </c>
      <c r="F5" s="6" t="n">
        <v>18.7005063981</v>
      </c>
      <c r="G5" s="6" t="n">
        <v>0.0</v>
      </c>
      <c r="H5" s="6" t="n">
        <v>0.0</v>
      </c>
      <c r="I5" s="6" t="n">
        <v>0.0</v>
      </c>
      <c r="J5" s="6">
        <f>SUM(B5:I5)</f>
        <v>172598.24971531422</v>
      </c>
      <c r="K5" s="6"/>
      <c r="L5" t="s">
        <v>1</v>
      </c>
      <c r="M5" s="6" t="n">
        <v>250557.0</v>
      </c>
      <c r="N5" s="6" t="n">
        <v>5405.0</v>
      </c>
      <c r="O5" s="6" t="n">
        <v>1209.0</v>
      </c>
      <c r="P5" s="6" t="n">
        <v>0.0</v>
      </c>
      <c r="Q5" s="6" t="n">
        <v>68.0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256726</v>
      </c>
    </row>
    <row r="6" spans="1:21" x14ac:dyDescent="0.45">
      <c r="A6" t="s">
        <v>12</v>
      </c>
      <c r="B6" s="6" t="n">
        <v>0.0</v>
      </c>
      <c r="C6" s="6" t="n">
        <v>31299.6789399114</v>
      </c>
      <c r="D6" s="6" t="n">
        <v>149.8888510751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31449.567790986497</v>
      </c>
      <c r="K6" s="6"/>
      <c r="L6" t="s">
        <v>12</v>
      </c>
      <c r="M6" s="6" t="n">
        <v>0.0</v>
      </c>
      <c r="N6" s="6" t="n">
        <v>57104.0</v>
      </c>
      <c r="O6" s="6" t="n">
        <v>3858.0</v>
      </c>
      <c r="P6" s="6" t="n">
        <v>0.0</v>
      </c>
      <c r="Q6" s="6" t="n">
        <v>490.0</v>
      </c>
      <c r="R6" s="6" t="n">
        <v>0.0</v>
      </c>
      <c r="S6" s="6" t="n">
        <v>0.0</v>
      </c>
      <c r="T6" s="6" t="n">
        <v>0.0</v>
      </c>
      <c r="U6" s="6">
        <f t="shared" si="0"/>
        <v>61497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13503.06476497</v>
      </c>
      <c r="E7" s="6" t="n">
        <v>0.0</v>
      </c>
      <c r="F7" s="6" t="n">
        <v>1519.928687362</v>
      </c>
      <c r="G7" s="6" t="n">
        <v>0.0</v>
      </c>
      <c r="H7" s="6" t="n">
        <v>0.0</v>
      </c>
      <c r="I7" s="6" t="n">
        <v>0.0</v>
      </c>
      <c r="J7" s="6">
        <f t="shared" si="1"/>
        <v>15022.993452332001</v>
      </c>
      <c r="K7" s="6"/>
      <c r="L7" t="s">
        <v>56</v>
      </c>
      <c r="M7" s="6" t="n">
        <v>0.0</v>
      </c>
      <c r="N7" s="6" t="n">
        <v>0.0</v>
      </c>
      <c r="O7" s="6" t="n">
        <v>21644.0</v>
      </c>
      <c r="P7" s="6" t="n">
        <v>0.0</v>
      </c>
      <c r="Q7" s="6" t="n">
        <v>237.0</v>
      </c>
      <c r="R7" s="6" t="n">
        <v>0.0</v>
      </c>
      <c r="S7" s="6" t="n">
        <v>0.0</v>
      </c>
      <c r="T7" s="6" t="n">
        <v>0.0</v>
      </c>
      <c r="U7" s="6">
        <f t="shared" si="0"/>
        <v>21710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6395.8677954755</v>
      </c>
      <c r="G8" s="6" t="n">
        <v>0.0</v>
      </c>
      <c r="H8" s="6" t="n">
        <v>0.0</v>
      </c>
      <c r="I8" s="6" t="n">
        <v>0.0</v>
      </c>
      <c r="J8" s="6">
        <f t="shared" si="1"/>
        <v>6395.8677954755003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3004.0</v>
      </c>
      <c r="R8" s="6" t="n">
        <v>0.0</v>
      </c>
      <c r="S8" s="6" t="n">
        <v>0.0</v>
      </c>
      <c r="T8" s="6" t="n">
        <v>0.0</v>
      </c>
      <c r="U8" s="6">
        <f t="shared" si="0"/>
        <v>3148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236.004091738</v>
      </c>
      <c r="G9" s="6" t="n">
        <v>0.0</v>
      </c>
      <c r="H9" s="6" t="n">
        <v>0.0</v>
      </c>
      <c r="I9" s="6" t="n">
        <v>0.0</v>
      </c>
      <c r="J9" s="6">
        <f t="shared" si="1"/>
        <v>236.004091738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1949.997832852</v>
      </c>
      <c r="J13" s="6">
        <f t="shared" si="1"/>
        <v>1949.9978328520001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982.882297674</v>
      </c>
      <c r="H14" s="6" t="n">
        <v>0.0</v>
      </c>
      <c r="I14" s="6" t="n">
        <v>0.0</v>
      </c>
      <c r="J14" s="6">
        <f t="shared" si="1"/>
        <v>982.88229767400003</v>
      </c>
      <c r="K14" s="6"/>
      <c r="L14" t="s">
        <v>4</v>
      </c>
      <c r="M14" s="6" t="n">
        <v>180.0</v>
      </c>
      <c r="N14" s="6" t="n">
        <v>61.0</v>
      </c>
      <c r="O14" s="6" t="n">
        <v>15.0</v>
      </c>
      <c r="P14" s="6" t="n">
        <v>0.0</v>
      </c>
      <c r="Q14" s="6" t="n">
        <v>17.0</v>
      </c>
      <c r="R14" s="6" t="n">
        <v>978.0</v>
      </c>
      <c r="S14" s="6" t="n">
        <v>0.0</v>
      </c>
      <c r="T14" s="6" t="n">
        <v>0.0</v>
      </c>
      <c r="U14" s="6">
        <f t="shared" si="0"/>
        <v>1226</v>
      </c>
    </row>
    <row r="15" spans="1:21" x14ac:dyDescent="0.45">
      <c r="A15" s="4" t="s">
        <v>5</v>
      </c>
      <c r="B15" s="10" t="n">
        <v>1357.3149762110002</v>
      </c>
      <c r="C15" s="10" t="n">
        <v>639.8890130484</v>
      </c>
      <c r="D15" s="10" t="n">
        <v>0.0</v>
      </c>
      <c r="E15" s="10" t="n">
        <v>0.0</v>
      </c>
      <c r="F15" s="10" t="n">
        <v>2902.9889422654</v>
      </c>
      <c r="G15" s="10" t="n">
        <v>0.0</v>
      </c>
      <c r="H15" s="10" t="n">
        <v>164414.0589106828</v>
      </c>
      <c r="I15" s="10" t="n">
        <v>0.0</v>
      </c>
      <c r="J15" s="6">
        <f t="shared" si="1"/>
        <v>169314.2518422076</v>
      </c>
      <c r="K15" s="6"/>
      <c r="L15" s="4" t="s">
        <v>5</v>
      </c>
      <c r="M15" s="8" t="n">
        <v>1926.0</v>
      </c>
      <c r="N15" s="8" t="n">
        <v>397.0</v>
      </c>
      <c r="O15" s="8" t="n">
        <v>126.0</v>
      </c>
      <c r="P15" s="8" t="n">
        <v>0.0</v>
      </c>
      <c r="Q15" s="8" t="n">
        <v>171.0</v>
      </c>
      <c r="R15" s="8" t="n">
        <v>53.0</v>
      </c>
      <c r="S15" s="8" t="n">
        <v>152471.0</v>
      </c>
      <c r="T15" s="8" t="n">
        <v>0.0</v>
      </c>
      <c r="U15" s="6">
        <f t="shared" si="0"/>
        <v>154952</v>
      </c>
    </row>
    <row r="16" spans="1:21" ht="14.65" thickBot="1" x14ac:dyDescent="0.5">
      <c r="A16" s="12" t="s">
        <v>7</v>
      </c>
      <c r="B16" s="16">
        <f t="shared" ref="B16:J16" si="2">SUM(B5:B15)</f>
        <v>166177.57994230971</v>
      </c>
      <c r="C16" s="16">
        <f t="shared" si="2"/>
        <v>37836.08954583</v>
      </c>
      <c r="D16" s="16">
        <f t="shared" si="2"/>
        <v>15515.716265992301</v>
      </c>
      <c r="E16" s="16">
        <f t="shared" si="2"/>
        <v>0</v>
      </c>
      <c r="F16" s="16">
        <f t="shared" si="2"/>
        <v>11073.490023239001</v>
      </c>
      <c r="G16" s="16">
        <f t="shared" si="2"/>
        <v>982.88229767400003</v>
      </c>
      <c r="H16" s="16">
        <f t="shared" si="2"/>
        <v>164414.0589106828</v>
      </c>
      <c r="I16" s="16">
        <f t="shared" si="2"/>
        <v>1949.9978328520001</v>
      </c>
      <c r="J16" s="16">
        <f t="shared" si="2"/>
        <v>397949.81481857982</v>
      </c>
      <c r="L16" s="9" t="s">
        <v>7</v>
      </c>
      <c r="M16" s="16">
        <f t="shared" ref="M16:U16" si="3">SUM(M5:M15)</f>
        <v>251952</v>
      </c>
      <c r="N16" s="16">
        <f t="shared" si="3"/>
        <v>63284</v>
      </c>
      <c r="O16" s="16">
        <f t="shared" si="3"/>
        <v>26572</v>
      </c>
      <c r="P16" s="16">
        <f t="shared" si="3"/>
        <v>0</v>
      </c>
      <c r="Q16" s="16">
        <f t="shared" si="3"/>
        <v>4211</v>
      </c>
      <c r="R16" s="16">
        <f t="shared" si="3"/>
        <v>996</v>
      </c>
      <c r="S16" s="16">
        <f t="shared" si="3"/>
        <v>152244</v>
      </c>
      <c r="T16" s="16">
        <f t="shared" si="3"/>
        <v>0</v>
      </c>
      <c r="U16" s="16">
        <f t="shared" si="3"/>
        <v>499259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0.9918321413954746</v>
      </c>
      <c r="C22" s="13">
        <f t="shared" si="4"/>
        <v>0.15584384284025643</v>
      </c>
      <c r="D22" s="13">
        <f t="shared" si="4"/>
        <v>0.12005650387085548</v>
      </c>
      <c r="E22" s="13" t="e">
        <f t="shared" si="4"/>
        <v>#DIV/0!</v>
      </c>
      <c r="F22" s="13">
        <f t="shared" si="4"/>
        <v>1.6887635568239843E-3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0.43371863307437281</v>
      </c>
      <c r="K22" s="6"/>
      <c r="L22" t="s">
        <v>1</v>
      </c>
      <c r="M22" s="13">
        <f t="shared" ref="M22:P22" si="5">M5/M$16</f>
        <v>0.99156188480345464</v>
      </c>
      <c r="N22" s="13">
        <f t="shared" si="5"/>
        <v>8.8521585234814487E-2</v>
      </c>
      <c r="O22" s="13">
        <f t="shared" si="5"/>
        <v>4.5386120728586485E-2</v>
      </c>
      <c r="P22" s="13" t="e">
        <f t="shared" si="5"/>
        <v>#DIV/0!</v>
      </c>
      <c r="Q22" s="13">
        <f t="shared" ref="Q22:U33" si="6">Q5/Q$16</f>
        <v>2.1847542151507957E-2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0.5142140652446926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0.82724402324925272</v>
      </c>
      <c r="D23" s="13">
        <f t="shared" si="7"/>
        <v>9.6604532143726926E-3</v>
      </c>
      <c r="E23" s="13" t="e">
        <f t="shared" si="7"/>
        <v>#DIV/0!</v>
      </c>
      <c r="F23" s="13">
        <f t="shared" si="7"/>
        <v>0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7.9028979584583922E-2</v>
      </c>
      <c r="K23" s="6"/>
      <c r="L23" t="s">
        <v>12</v>
      </c>
      <c r="M23" s="13">
        <f t="shared" ref="M23:P23" si="8">M6/M$16</f>
        <v>0</v>
      </c>
      <c r="N23" s="13">
        <f t="shared" si="8"/>
        <v>0.90428860375450348</v>
      </c>
      <c r="O23" s="13">
        <f t="shared" si="8"/>
        <v>0.14135179888604546</v>
      </c>
      <c r="P23" s="13" t="e">
        <f t="shared" si="8"/>
        <v>#DIV/0!</v>
      </c>
      <c r="Q23" s="13">
        <f t="shared" si="6"/>
        <v>0.12206126810733793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0.12317654764360783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0.87028304291477177</v>
      </c>
      <c r="E24" s="13" t="e">
        <f t="shared" si="9"/>
        <v>#DIV/0!</v>
      </c>
      <c r="F24" s="13">
        <f t="shared" si="9"/>
        <v>0.13725832453655112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3.77509748539041E-2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0.80716543730242363</v>
      </c>
      <c r="P24" s="13" t="e">
        <f t="shared" si="10"/>
        <v>#DIV/0!</v>
      </c>
      <c r="Q24" s="13">
        <f t="shared" si="6"/>
        <v>6.2218000474946571E-2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4.3484443945927868E-2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 t="e">
        <f t="shared" si="11"/>
        <v>#DIV/0!</v>
      </c>
      <c r="F25" s="13">
        <f t="shared" si="11"/>
        <v>0.5775837411740139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1.6072046165899821E-2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0.74756589883638092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6.3053445205794988E-3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 t="e">
        <f t="shared" si="13"/>
        <v>#DIV/0!</v>
      </c>
      <c r="F26" s="13">
        <f t="shared" si="13"/>
        <v>2.1312530308215213E-2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5.9304988455790891E-4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 t="e">
        <f t="shared" si="15"/>
        <v>#DIV/0!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 t="e">
        <f t="shared" si="17"/>
        <v>#DIV/0!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 t="e">
        <f t="shared" si="19"/>
        <v>#DIV/0!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 t="e">
        <f t="shared" si="21"/>
        <v>#DIV/0!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1</v>
      </c>
      <c r="J30" s="13">
        <f t="shared" si="21"/>
        <v>4.9001099139623396E-3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 t="e">
        <f t="shared" si="23"/>
        <v>#DIV/0!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>
        <f t="shared" si="23"/>
        <v>0</v>
      </c>
      <c r="J31" s="13">
        <f t="shared" si="23"/>
        <v>2.469864945463245E-3</v>
      </c>
      <c r="K31" s="6"/>
      <c r="L31" t="s">
        <v>4</v>
      </c>
      <c r="M31" s="13">
        <f t="shared" ref="M31:P31" si="24">M14/M$16</f>
        <v>7.660189242395377E-4</v>
      </c>
      <c r="N31" s="13">
        <f t="shared" si="24"/>
        <v>9.6390872890462045E-4</v>
      </c>
      <c r="O31" s="13">
        <f t="shared" si="24"/>
        <v>8.2793918410356765E-4</v>
      </c>
      <c r="P31" s="13" t="e">
        <f t="shared" si="24"/>
        <v>#DIV/0!</v>
      </c>
      <c r="Q31" s="13">
        <f t="shared" si="6"/>
        <v>3.7995725480883401E-3</v>
      </c>
      <c r="R31" s="13">
        <f t="shared" si="6"/>
        <v>0.93775100401606426</v>
      </c>
      <c r="S31" s="13">
        <f t="shared" si="6"/>
        <v>0</v>
      </c>
      <c r="T31" s="13" t="e">
        <f t="shared" si="6"/>
        <v>#DIV/0!</v>
      </c>
      <c r="U31" s="13">
        <f t="shared" si="6"/>
        <v>2.4556392573794363E-3</v>
      </c>
    </row>
    <row r="32" spans="1:21" x14ac:dyDescent="0.45">
      <c r="A32" s="4" t="s">
        <v>5</v>
      </c>
      <c r="B32" s="14">
        <f t="shared" ref="B32:J32" si="25">B15/B$16</f>
        <v>8.1678586045253899E-3</v>
      </c>
      <c r="C32" s="14">
        <f t="shared" si="25"/>
        <v>1.6912133910490852E-2</v>
      </c>
      <c r="D32" s="14">
        <f t="shared" si="25"/>
        <v>0</v>
      </c>
      <c r="E32" s="14" t="e">
        <f t="shared" si="25"/>
        <v>#DIV/0!</v>
      </c>
      <c r="F32" s="14">
        <f t="shared" si="25"/>
        <v>0.26215664042439568</v>
      </c>
      <c r="G32" s="14">
        <f t="shared" si="25"/>
        <v>0</v>
      </c>
      <c r="H32" s="14">
        <f t="shared" si="25"/>
        <v>1</v>
      </c>
      <c r="I32" s="14">
        <f t="shared" si="25"/>
        <v>0</v>
      </c>
      <c r="J32" s="14">
        <f t="shared" si="25"/>
        <v>0.42546634157725588</v>
      </c>
      <c r="K32" s="6"/>
      <c r="L32" s="4" t="s">
        <v>5</v>
      </c>
      <c r="M32" s="14">
        <f t="shared" ref="M32:P32" si="26">M15/M$16</f>
        <v>7.6720962723058356E-3</v>
      </c>
      <c r="N32" s="14">
        <f t="shared" si="26"/>
        <v>6.2259022817773846E-3</v>
      </c>
      <c r="O32" s="14">
        <f t="shared" si="26"/>
        <v>5.268703898840885E-3</v>
      </c>
      <c r="P32" s="14" t="e">
        <f t="shared" si="26"/>
        <v>#DIV/0!</v>
      </c>
      <c r="Q32" s="14">
        <f t="shared" si="6"/>
        <v>4.2507717881738308E-2</v>
      </c>
      <c r="R32" s="14">
        <f t="shared" si="6"/>
        <v>6.224899598393574E-2</v>
      </c>
      <c r="S32" s="14">
        <f t="shared" si="6"/>
        <v>1</v>
      </c>
      <c r="T32" s="14" t="e">
        <f t="shared" si="6"/>
        <v>#DIV/0!</v>
      </c>
      <c r="U32" s="14">
        <f t="shared" si="6"/>
        <v>0.31036395938781275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 t="e">
        <f t="shared" si="27"/>
        <v>#DIV/0!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1" si="29">M22-B22</f>
        <v>-2.7025659201995733E-4</v>
      </c>
      <c r="N39" s="13">
        <f t="shared" si="29"/>
        <v>-6.7322257605441943E-2</v>
      </c>
      <c r="O39" s="13">
        <f t="shared" si="29"/>
        <v>-7.4670383142268995E-2</v>
      </c>
      <c r="P39" s="13" t="e">
        <f t="shared" si="29"/>
        <v>#DIV/0!</v>
      </c>
      <c r="Q39" s="13">
        <f t="shared" ref="Q39:Q50" si="30">Q22-F22</f>
        <v>2.0158778594683971E-2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8.0495432170319792E-2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9</v>
      </c>
      <c r="M40" s="13">
        <f t="shared" si="29"/>
        <v>0</v>
      </c>
      <c r="N40" s="13">
        <f t="shared" si="29"/>
        <v>7.7044580505250759E-2</v>
      </c>
      <c r="O40" s="13">
        <f t="shared" si="29"/>
        <v>0.13169134567167276</v>
      </c>
      <c r="P40" s="13" t="e">
        <f t="shared" si="29"/>
        <v>#DIV/0!</v>
      </c>
      <c r="Q40" s="13">
        <f t="shared" si="30"/>
        <v>0.12206126810733793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4.4147568059023909E-2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-6.3117605612348138E-2</v>
      </c>
      <c r="P41" s="13" t="e">
        <f t="shared" si="29"/>
        <v>#DIV/0!</v>
      </c>
      <c r="Q41" s="13">
        <f t="shared" si="30"/>
        <v>-7.5040324061604546E-2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5.7334690920237685E-3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ref="M42:P42" si="35">M25-B25</f>
        <v>0</v>
      </c>
      <c r="N42" s="13">
        <f t="shared" si="35"/>
        <v>0</v>
      </c>
      <c r="O42" s="13">
        <f t="shared" si="35"/>
        <v>0</v>
      </c>
      <c r="P42" s="13" t="e">
        <f t="shared" si="35"/>
        <v>#DIV/0!</v>
      </c>
      <c r="Q42" s="13">
        <f t="shared" si="30"/>
        <v>0.16998215766236702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-9.7667016453203224E-3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ref="M43:P43" si="36">M26-B26</f>
        <v>0</v>
      </c>
      <c r="N43" s="13">
        <f t="shared" si="36"/>
        <v>0</v>
      </c>
      <c r="O43" s="13">
        <f t="shared" si="36"/>
        <v>0</v>
      </c>
      <c r="P43" s="13" t="e">
        <f t="shared" si="36"/>
        <v>#DIV/0!</v>
      </c>
      <c r="Q43" s="13">
        <f t="shared" si="30"/>
        <v>-2.1312530308215213E-2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-5.9304988455790891E-4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ref="M44:P44" si="37">M27-B27</f>
        <v>0</v>
      </c>
      <c r="N44" s="13">
        <f t="shared" si="37"/>
        <v>0</v>
      </c>
      <c r="O44" s="13">
        <f t="shared" si="37"/>
        <v>0</v>
      </c>
      <c r="P44" s="13" t="e">
        <f t="shared" si="37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8">M28-B28</f>
        <v>0</v>
      </c>
      <c r="N45" s="13">
        <f t="shared" ref="N45:N47" si="39">N28-C28</f>
        <v>0</v>
      </c>
      <c r="O45" s="13">
        <f t="shared" ref="O45:O47" si="40">O28-D28</f>
        <v>0</v>
      </c>
      <c r="P45" s="13" t="e">
        <f t="shared" ref="P45:P47" si="41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8"/>
        <v>0</v>
      </c>
      <c r="N46" s="13">
        <f t="shared" si="39"/>
        <v>0</v>
      </c>
      <c r="O46" s="13">
        <f t="shared" si="40"/>
        <v>0</v>
      </c>
      <c r="P46" s="13" t="e">
        <f t="shared" si="41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8"/>
        <v>0</v>
      </c>
      <c r="N47" s="13">
        <f t="shared" si="39"/>
        <v>0</v>
      </c>
      <c r="O47" s="13">
        <f t="shared" si="40"/>
        <v>0</v>
      </c>
      <c r="P47" s="13" t="e">
        <f t="shared" si="41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-4.9001099139623396E-3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48" si="42">M31-B31</f>
        <v>7.660189242395377E-4</v>
      </c>
      <c r="N48" s="13">
        <f t="shared" si="42"/>
        <v>9.6390872890462045E-4</v>
      </c>
      <c r="O48" s="13">
        <f t="shared" si="42"/>
        <v>8.2793918410356765E-4</v>
      </c>
      <c r="P48" s="13" t="e">
        <f t="shared" si="42"/>
        <v>#DIV/0!</v>
      </c>
      <c r="Q48" s="13">
        <f t="shared" si="30"/>
        <v>3.7995725480883401E-3</v>
      </c>
      <c r="R48" s="13">
        <f t="shared" si="31"/>
        <v>-6.224899598393574E-2</v>
      </c>
      <c r="S48" s="13">
        <f t="shared" si="32"/>
        <v>0</v>
      </c>
      <c r="T48" s="13" t="e">
        <f t="shared" si="33"/>
        <v>#DIV/0!</v>
      </c>
      <c r="U48" s="13">
        <f t="shared" si="34"/>
        <v>-1.4225688083808769E-5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ref="M49:P49" si="43">M32-B32</f>
        <v>-4.9576233221955424E-4</v>
      </c>
      <c r="N49" s="17">
        <f t="shared" si="43"/>
        <v>-1.0686231628713468E-2</v>
      </c>
      <c r="O49" s="17">
        <f t="shared" si="43"/>
        <v>5.268703898840885E-3</v>
      </c>
      <c r="P49" s="17" t="e">
        <f t="shared" si="43"/>
        <v>#DIV/0!</v>
      </c>
      <c r="Q49" s="17">
        <f t="shared" si="30"/>
        <v>-0.21964892254265739</v>
      </c>
      <c r="R49" s="17">
        <f t="shared" si="31"/>
        <v>6.224899598393574E-2</v>
      </c>
      <c r="S49" s="17">
        <f t="shared" si="32"/>
        <v>0</v>
      </c>
      <c r="T49" s="17" t="e">
        <f t="shared" si="33"/>
        <v>#DIV/0!</v>
      </c>
      <c r="U49" s="13">
        <f t="shared" si="34"/>
        <v>-0.11510238218944313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ref="M50:P50" si="44">M33-B33</f>
        <v>0</v>
      </c>
      <c r="N50" s="15">
        <f t="shared" si="44"/>
        <v>0</v>
      </c>
      <c r="O50" s="15">
        <f t="shared" si="44"/>
        <v>0</v>
      </c>
      <c r="P50" s="15" t="e">
        <f t="shared" si="44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2845985.377555999</v>
      </c>
      <c r="C5" s="6" t="n">
        <v>377403.3926612289</v>
      </c>
      <c r="D5" s="6" t="n">
        <v>186826.0293168562</v>
      </c>
      <c r="E5" s="6" t="n">
        <v>91849.727162148</v>
      </c>
      <c r="F5" s="6" t="n">
        <v>14069.8411119452</v>
      </c>
      <c r="G5" s="6" t="n">
        <v>0.0</v>
      </c>
      <c r="H5" s="6" t="n">
        <v>0.0</v>
      </c>
      <c r="I5" s="6" t="n">
        <v>1404.502706476</v>
      </c>
      <c r="J5" s="6">
        <f>SUM(B5:I5)</f>
        <v>3517538.8705146527</v>
      </c>
      <c r="K5" s="6"/>
      <c r="L5" t="s">
        <v>1</v>
      </c>
      <c r="M5" s="6" t="n">
        <v>3742756.0</v>
      </c>
      <c r="N5" s="6" t="n">
        <v>523243.0</v>
      </c>
      <c r="O5" s="6" t="n">
        <v>203144.0</v>
      </c>
      <c r="P5" s="6" t="n">
        <v>141500.0</v>
      </c>
      <c r="Q5" s="6" t="n">
        <v>22103.0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4585743</v>
      </c>
    </row>
    <row r="6" spans="1:21" x14ac:dyDescent="0.45">
      <c r="A6" t="s">
        <v>12</v>
      </c>
      <c r="B6" s="6" t="n">
        <v>0.0</v>
      </c>
      <c r="C6" s="6" t="n">
        <v>451123.8174558835</v>
      </c>
      <c r="D6" s="6" t="n">
        <v>86027.1797256781</v>
      </c>
      <c r="E6" s="6" t="n">
        <v>4704.1750873482</v>
      </c>
      <c r="F6" s="6" t="n">
        <v>48257.4264838357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590112.59875274543</v>
      </c>
      <c r="K6" s="6"/>
      <c r="L6" t="s">
        <v>12</v>
      </c>
      <c r="M6" s="6" t="n">
        <v>0.0</v>
      </c>
      <c r="N6" s="6" t="n">
        <v>637016.0</v>
      </c>
      <c r="O6" s="6" t="n">
        <v>106884.0</v>
      </c>
      <c r="P6" s="6" t="n">
        <v>9452.0</v>
      </c>
      <c r="Q6" s="6" t="n">
        <v>33749.0</v>
      </c>
      <c r="R6" s="6" t="n">
        <v>0.0</v>
      </c>
      <c r="S6" s="6" t="n">
        <v>0.0</v>
      </c>
      <c r="T6" s="6" t="n">
        <v>0.0</v>
      </c>
      <c r="U6" s="6">
        <f t="shared" si="0"/>
        <v>784370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207253.5522849683</v>
      </c>
      <c r="E7" s="6" t="n">
        <v>3815.516210835</v>
      </c>
      <c r="F7" s="6" t="n">
        <v>10656.7754784813</v>
      </c>
      <c r="G7" s="6" t="n">
        <v>0.0</v>
      </c>
      <c r="H7" s="6" t="n">
        <v>0.0</v>
      </c>
      <c r="I7" s="6" t="n">
        <v>0.0</v>
      </c>
      <c r="J7" s="6">
        <f t="shared" si="1"/>
        <v>221725.84397428459</v>
      </c>
      <c r="K7" s="6"/>
      <c r="L7" t="s">
        <v>56</v>
      </c>
      <c r="M7" s="6" t="n">
        <v>0.0</v>
      </c>
      <c r="N7" s="6" t="n">
        <v>0.0</v>
      </c>
      <c r="O7" s="6" t="n">
        <v>372607.0</v>
      </c>
      <c r="P7" s="6" t="n">
        <v>0.0</v>
      </c>
      <c r="Q7" s="6" t="n">
        <v>14845.0</v>
      </c>
      <c r="R7" s="6" t="n">
        <v>0.0</v>
      </c>
      <c r="S7" s="6" t="n">
        <v>0.0</v>
      </c>
      <c r="T7" s="6" t="n">
        <v>0.0</v>
      </c>
      <c r="U7" s="6">
        <f t="shared" si="0"/>
        <v>417178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91643.0365607317</v>
      </c>
      <c r="F8" s="6" t="n">
        <v>376735.1926677049</v>
      </c>
      <c r="G8" s="6" t="n">
        <v>0.0</v>
      </c>
      <c r="H8" s="6" t="n">
        <v>0.0</v>
      </c>
      <c r="I8" s="6" t="n">
        <v>0.0</v>
      </c>
      <c r="J8" s="6">
        <f t="shared" si="1"/>
        <v>468378.2292284366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112844.0</v>
      </c>
      <c r="Q8" s="6" t="n">
        <v>266264.0</v>
      </c>
      <c r="R8" s="6" t="n">
        <v>0.0</v>
      </c>
      <c r="S8" s="6" t="n">
        <v>0.0</v>
      </c>
      <c r="T8" s="6" t="n">
        <v>0.0</v>
      </c>
      <c r="U8" s="6">
        <f t="shared" si="0"/>
        <v>384126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2053.6406139154</v>
      </c>
      <c r="G9" s="6" t="n">
        <v>0.0</v>
      </c>
      <c r="H9" s="6" t="n">
        <v>0.0</v>
      </c>
      <c r="I9" s="6" t="n">
        <v>0.0</v>
      </c>
      <c r="J9" s="6">
        <f t="shared" si="1"/>
        <v>2053.6406139154001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3710.067183186</v>
      </c>
      <c r="J13" s="6">
        <f t="shared" si="1"/>
        <v>3710.067183186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377.852839859</v>
      </c>
      <c r="C14" s="6" t="n">
        <v>4567.8014431551</v>
      </c>
      <c r="D14" s="6" t="n">
        <v>337.724647725</v>
      </c>
      <c r="E14" s="6" t="n">
        <v>243.463457593</v>
      </c>
      <c r="F14" s="6" t="n">
        <v>5584.6387331914</v>
      </c>
      <c r="G14" s="6" t="n">
        <v>95044.7554352582</v>
      </c>
      <c r="H14" s="6" t="n">
        <v>0.0</v>
      </c>
      <c r="I14" s="6" t="n">
        <v>0.0</v>
      </c>
      <c r="J14" s="6">
        <f t="shared" si="1"/>
        <v>106156.23655678169</v>
      </c>
      <c r="K14" s="6"/>
      <c r="L14" t="s">
        <v>4</v>
      </c>
      <c r="M14" s="6" t="n">
        <v>2187.0</v>
      </c>
      <c r="N14" s="6" t="n">
        <v>2928.0</v>
      </c>
      <c r="O14" s="6" t="n">
        <v>1728.0</v>
      </c>
      <c r="P14" s="6" t="n">
        <v>0.0</v>
      </c>
      <c r="Q14" s="6" t="n">
        <v>3768.0</v>
      </c>
      <c r="R14" s="6" t="n">
        <v>69214.0</v>
      </c>
      <c r="S14" s="6" t="n">
        <v>0.0</v>
      </c>
      <c r="T14" s="6" t="n">
        <v>0.0</v>
      </c>
      <c r="U14" s="6">
        <f t="shared" si="0"/>
        <v>81719</v>
      </c>
    </row>
    <row r="15" spans="1:21" x14ac:dyDescent="0.45">
      <c r="A15" s="4" t="s">
        <v>5</v>
      </c>
      <c r="B15" s="10" t="n">
        <v>45690.289298823904</v>
      </c>
      <c r="C15" s="10" t="n">
        <v>14140.2595746126</v>
      </c>
      <c r="D15" s="10" t="n">
        <v>13080.9868921558</v>
      </c>
      <c r="E15" s="10" t="n">
        <v>12213.7495786514</v>
      </c>
      <c r="F15" s="10" t="n">
        <v>106914.1949820079</v>
      </c>
      <c r="G15" s="10" t="n">
        <v>7699.8421964706</v>
      </c>
      <c r="H15" s="10" t="n">
        <v>96621.9896857204</v>
      </c>
      <c r="I15" s="10" t="n">
        <v>0.0</v>
      </c>
      <c r="J15" s="6">
        <f t="shared" si="1"/>
        <v>296361.3122084426</v>
      </c>
      <c r="K15" s="6"/>
      <c r="L15" s="4" t="s">
        <v>5</v>
      </c>
      <c r="M15" s="8" t="n">
        <v>283348.0</v>
      </c>
      <c r="N15" s="8" t="n">
        <v>154293.0</v>
      </c>
      <c r="O15" s="8" t="n">
        <v>88760.0</v>
      </c>
      <c r="P15" s="8" t="n">
        <v>0.0</v>
      </c>
      <c r="Q15" s="8" t="n">
        <v>101832.0</v>
      </c>
      <c r="R15" s="8" t="n">
        <v>27204.0</v>
      </c>
      <c r="S15" s="8" t="n">
        <v>57673.0</v>
      </c>
      <c r="T15" s="8" t="n">
        <v>0.0</v>
      </c>
      <c r="U15" s="6">
        <f t="shared" si="0"/>
        <v>712742</v>
      </c>
    </row>
    <row r="16" spans="1:21" ht="14.65" thickBot="1" x14ac:dyDescent="0.5">
      <c r="A16" s="12" t="s">
        <v>7</v>
      </c>
      <c r="B16" s="16">
        <f t="shared" ref="B16:J16" si="2">SUM(B5:B15)</f>
        <v>2892053.5196946822</v>
      </c>
      <c r="C16" s="16">
        <f t="shared" si="2"/>
        <v>847235.27113488014</v>
      </c>
      <c r="D16" s="16">
        <f t="shared" si="2"/>
        <v>493525.47286738333</v>
      </c>
      <c r="E16" s="16">
        <f t="shared" si="2"/>
        <v>204469.66805730731</v>
      </c>
      <c r="F16" s="16">
        <f t="shared" si="2"/>
        <v>564271.71007108176</v>
      </c>
      <c r="G16" s="16">
        <f t="shared" si="2"/>
        <v>102744.5976317288</v>
      </c>
      <c r="H16" s="16">
        <f t="shared" si="2"/>
        <v>96621.9896857204</v>
      </c>
      <c r="I16" s="16">
        <f t="shared" si="2"/>
        <v>5114.5698896619997</v>
      </c>
      <c r="J16" s="16">
        <f t="shared" si="2"/>
        <v>5206036.799032446</v>
      </c>
      <c r="L16" s="9" t="s">
        <v>7</v>
      </c>
      <c r="M16" s="16">
        <f t="shared" ref="M16:U16" si="3">SUM(M5:M15)</f>
        <v>3976749</v>
      </c>
      <c r="N16" s="16">
        <f t="shared" si="3"/>
        <v>1302554</v>
      </c>
      <c r="O16" s="16">
        <f t="shared" si="3"/>
        <v>816166</v>
      </c>
      <c r="P16" s="16">
        <f t="shared" si="3"/>
        <v>267854</v>
      </c>
      <c r="Q16" s="16">
        <f t="shared" si="3"/>
        <v>447788</v>
      </c>
      <c r="R16" s="16">
        <f t="shared" si="3"/>
        <v>98276</v>
      </c>
      <c r="S16" s="16">
        <f t="shared" si="3"/>
        <v>56491</v>
      </c>
      <c r="T16" s="16">
        <f t="shared" si="3"/>
        <v>0</v>
      </c>
      <c r="U16" s="16">
        <f t="shared" si="3"/>
        <v>6965878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0.98407078505810408</v>
      </c>
      <c r="C22" s="13">
        <f t="shared" si="4"/>
        <v>0.44545288129434607</v>
      </c>
      <c r="D22" s="13">
        <f t="shared" si="4"/>
        <v>0.37855397459303741</v>
      </c>
      <c r="E22" s="13">
        <f t="shared" si="4"/>
        <v>0.4492095479726852</v>
      </c>
      <c r="F22" s="13">
        <f t="shared" si="4"/>
        <v>2.4934514456116913E-2</v>
      </c>
      <c r="G22" s="13">
        <f t="shared" si="4"/>
        <v>0</v>
      </c>
      <c r="H22" s="13">
        <f t="shared" si="4"/>
        <v>0</v>
      </c>
      <c r="I22" s="13">
        <f t="shared" si="4"/>
        <v>0.27460817561900941</v>
      </c>
      <c r="J22" s="13">
        <f t="shared" si="4"/>
        <v>0.6756653873765156</v>
      </c>
      <c r="K22" s="6"/>
      <c r="L22" t="s">
        <v>1</v>
      </c>
      <c r="M22" s="13">
        <f t="shared" ref="M22:P22" si="5">M5/M$16</f>
        <v>0.92873701609027881</v>
      </c>
      <c r="N22" s="13">
        <f t="shared" si="5"/>
        <v>0.39608799328089278</v>
      </c>
      <c r="O22" s="13">
        <f t="shared" si="5"/>
        <v>0.25809455429410194</v>
      </c>
      <c r="P22" s="13">
        <f t="shared" si="5"/>
        <v>0.5359972223674091</v>
      </c>
      <c r="Q22" s="13">
        <f t="shared" ref="Q22:U33" si="6">Q5/Q$16</f>
        <v>4.9679759171750916E-2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0.65831514706401695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0.53246581301035611</v>
      </c>
      <c r="D23" s="13">
        <f t="shared" si="7"/>
        <v>0.17431152889811366</v>
      </c>
      <c r="E23" s="13">
        <f t="shared" si="7"/>
        <v>2.3006713572938098E-2</v>
      </c>
      <c r="F23" s="13">
        <f t="shared" si="7"/>
        <v>8.5521612412142137E-2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0.11335159960114366</v>
      </c>
      <c r="K23" s="6"/>
      <c r="L23" t="s">
        <v>12</v>
      </c>
      <c r="M23" s="13">
        <f t="shared" ref="M23:P23" si="8">M6/M$16</f>
        <v>0</v>
      </c>
      <c r="N23" s="13">
        <f t="shared" si="8"/>
        <v>0.48375192122553079</v>
      </c>
      <c r="O23" s="13">
        <f t="shared" si="8"/>
        <v>0.13570278595285762</v>
      </c>
      <c r="P23" s="13">
        <f t="shared" si="8"/>
        <v>3.5881487676122065E-2</v>
      </c>
      <c r="Q23" s="13">
        <f t="shared" si="6"/>
        <v>7.5683135769605253E-2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0.11260174237906549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0.4199449950998983</v>
      </c>
      <c r="E24" s="13">
        <f t="shared" si="9"/>
        <v>1.8660548760540924E-2</v>
      </c>
      <c r="F24" s="13">
        <f t="shared" si="9"/>
        <v>1.8885893601043473E-2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4.2590141509467022E-2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0.49196364465072057</v>
      </c>
      <c r="P24" s="13">
        <f t="shared" si="10"/>
        <v>0</v>
      </c>
      <c r="Q24" s="13">
        <f t="shared" si="6"/>
        <v>3.4958507150705247E-2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5.9888789324188563E-2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0.44819868605179447</v>
      </c>
      <c r="F25" s="13">
        <f t="shared" si="11"/>
        <v>0.66764855643790344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8.9968290142606322E-2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>
        <f t="shared" si="12"/>
        <v>0.42812128995646881</v>
      </c>
      <c r="Q25" s="13">
        <f t="shared" si="6"/>
        <v>0.60174010915879839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5.514394596058099E-2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3.6394534357511938E-3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3.9447293463178629E-4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>
        <f t="shared" si="14"/>
        <v>0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>
        <f t="shared" si="16"/>
        <v>0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>
        <f t="shared" si="18"/>
        <v>0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>
        <f t="shared" si="20"/>
        <v>0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0.72539182438099059</v>
      </c>
      <c r="J30" s="13">
        <f t="shared" si="21"/>
        <v>7.1264712993875199E-4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>
        <f t="shared" si="22"/>
        <v>0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1.3065209107848406E-4</v>
      </c>
      <c r="C31" s="13">
        <f t="shared" si="23"/>
        <v>5.3914203041104322E-3</v>
      </c>
      <c r="D31" s="13">
        <f t="shared" si="23"/>
        <v>6.8431046884534572E-4</v>
      </c>
      <c r="E31" s="13">
        <f t="shared" si="23"/>
        <v>1.1907069635617728E-3</v>
      </c>
      <c r="F31" s="13">
        <f t="shared" si="23"/>
        <v>9.8970737563431957E-3</v>
      </c>
      <c r="G31" s="13">
        <f t="shared" si="23"/>
        <v>0.92505842278861772</v>
      </c>
      <c r="H31" s="13">
        <f t="shared" si="23"/>
        <v>0</v>
      </c>
      <c r="I31" s="13">
        <f t="shared" si="23"/>
        <v>0</v>
      </c>
      <c r="J31" s="13">
        <f t="shared" si="23"/>
        <v>2.0390988510974619E-2</v>
      </c>
      <c r="K31" s="6"/>
      <c r="L31" t="s">
        <v>4</v>
      </c>
      <c r="M31" s="13">
        <f t="shared" ref="M31:P31" si="24">M14/M$16</f>
        <v>5.6880632898882982E-4</v>
      </c>
      <c r="N31" s="13">
        <f t="shared" si="24"/>
        <v>2.1365716891583765E-3</v>
      </c>
      <c r="O31" s="13">
        <f t="shared" si="24"/>
        <v>2.2029832166495541E-3</v>
      </c>
      <c r="P31" s="13">
        <f t="shared" si="24"/>
        <v>0</v>
      </c>
      <c r="Q31" s="13">
        <f t="shared" si="6"/>
        <v>8.5084906250279153E-3</v>
      </c>
      <c r="R31" s="13">
        <f t="shared" si="6"/>
        <v>0.72312670438357285</v>
      </c>
      <c r="S31" s="13">
        <f t="shared" si="6"/>
        <v>0</v>
      </c>
      <c r="T31" s="13" t="e">
        <f t="shared" si="6"/>
        <v>#DIV/0!</v>
      </c>
      <c r="U31" s="13">
        <f t="shared" si="6"/>
        <v>1.1731328053692586E-2</v>
      </c>
    </row>
    <row r="32" spans="1:21" x14ac:dyDescent="0.45">
      <c r="A32" s="4" t="s">
        <v>5</v>
      </c>
      <c r="B32" s="14">
        <f t="shared" ref="B32:J32" si="25">B15/B$16</f>
        <v>1.5798562850817328E-2</v>
      </c>
      <c r="C32" s="14">
        <f t="shared" si="25"/>
        <v>1.6689885391187244E-2</v>
      </c>
      <c r="D32" s="14">
        <f t="shared" si="25"/>
        <v>2.6505190940105398E-2</v>
      </c>
      <c r="E32" s="14">
        <f t="shared" si="25"/>
        <v>5.9733796678479549E-2</v>
      </c>
      <c r="F32" s="14">
        <f t="shared" si="25"/>
        <v>0.18947289590069974</v>
      </c>
      <c r="G32" s="14">
        <f t="shared" si="25"/>
        <v>7.4941577211382199E-2</v>
      </c>
      <c r="H32" s="14">
        <f t="shared" si="25"/>
        <v>1</v>
      </c>
      <c r="I32" s="14">
        <f t="shared" si="25"/>
        <v>0</v>
      </c>
      <c r="J32" s="14">
        <f t="shared" si="25"/>
        <v>5.6926472794722086E-2</v>
      </c>
      <c r="K32" s="6"/>
      <c r="L32" s="4" t="s">
        <v>5</v>
      </c>
      <c r="M32" s="14">
        <f t="shared" ref="M32:P32" si="26">M15/M$16</f>
        <v>7.0694177580732404E-2</v>
      </c>
      <c r="N32" s="14">
        <f t="shared" si="26"/>
        <v>0.11802351380441808</v>
      </c>
      <c r="O32" s="14">
        <f t="shared" si="26"/>
        <v>0.11203603188567032</v>
      </c>
      <c r="P32" s="14">
        <f t="shared" si="26"/>
        <v>0</v>
      </c>
      <c r="Q32" s="14">
        <f t="shared" si="6"/>
        <v>0.2294299981241123</v>
      </c>
      <c r="R32" s="14">
        <f t="shared" si="6"/>
        <v>0.27687329561642721</v>
      </c>
      <c r="S32" s="14">
        <f t="shared" si="6"/>
        <v>1</v>
      </c>
      <c r="T32" s="14" t="e">
        <f t="shared" si="6"/>
        <v>#DIV/0!</v>
      </c>
      <c r="U32" s="14">
        <f t="shared" si="6"/>
        <v>0.10231904721845544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>
        <f t="shared" si="28"/>
        <v>1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-5.533376896782527E-2</v>
      </c>
      <c r="N39" s="13">
        <f t="shared" si="29"/>
        <v>-4.936488801345329E-2</v>
      </c>
      <c r="O39" s="13">
        <f t="shared" si="29"/>
        <v>-0.12045942029893547</v>
      </c>
      <c r="P39" s="13">
        <f t="shared" si="29"/>
        <v>8.6787674394723902E-2</v>
      </c>
      <c r="Q39" s="13">
        <f t="shared" ref="Q39:Q50" si="30">Q22-F22</f>
        <v>2.4745244715634003E-2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-1.7350240312498655E-2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9</v>
      </c>
      <c r="M40" s="13">
        <f t="shared" si="29"/>
        <v>0</v>
      </c>
      <c r="N40" s="13">
        <f t="shared" si="29"/>
        <v>-4.8713891784825325E-2</v>
      </c>
      <c r="O40" s="13">
        <f t="shared" si="29"/>
        <v>-3.8608742945256042E-2</v>
      </c>
      <c r="P40" s="13">
        <f t="shared" si="29"/>
        <v>1.2874774103183967E-2</v>
      </c>
      <c r="Q40" s="13">
        <f t="shared" si="30"/>
        <v>-9.8384766425368836E-3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-7.4985722207816796E-4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7.2018649550822267E-2</v>
      </c>
      <c r="P41" s="13">
        <f t="shared" si="29"/>
        <v>-1.8660548760540924E-2</v>
      </c>
      <c r="Q41" s="13">
        <f t="shared" si="30"/>
        <v>1.6072613549661774E-2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1.7298647814721541E-2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>
        <f t="shared" si="29"/>
        <v>-2.0077396095325661E-2</v>
      </c>
      <c r="Q42" s="13">
        <f t="shared" si="30"/>
        <v>-6.5908447279105054E-2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-3.4824344182025332E-2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>
        <f t="shared" si="29"/>
        <v>0</v>
      </c>
      <c r="Q43" s="13">
        <f t="shared" si="30"/>
        <v>-3.6394534357511938E-3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-3.9447293463178629E-4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>
        <f t="shared" si="29"/>
        <v>0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>
        <f t="shared" ref="P45:P47" si="38">P28-E28</f>
        <v>0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>
        <f t="shared" si="38"/>
        <v>0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>
        <f t="shared" si="38"/>
        <v>0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-7.1264712993875199E-4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4.3815423791034578E-4</v>
      </c>
      <c r="N48" s="13">
        <f t="shared" si="39"/>
        <v>-3.2548486149520557E-3</v>
      </c>
      <c r="O48" s="13">
        <f t="shared" si="39"/>
        <v>1.5186727478042083E-3</v>
      </c>
      <c r="P48" s="13">
        <f t="shared" si="39"/>
        <v>-1.1907069635617728E-3</v>
      </c>
      <c r="Q48" s="13">
        <f t="shared" si="30"/>
        <v>-1.3885831313152804E-3</v>
      </c>
      <c r="R48" s="13">
        <f t="shared" si="31"/>
        <v>-0.20193171840504487</v>
      </c>
      <c r="S48" s="13">
        <f t="shared" si="32"/>
        <v>0</v>
      </c>
      <c r="T48" s="13" t="e">
        <f t="shared" si="33"/>
        <v>#DIV/0!</v>
      </c>
      <c r="U48" s="13">
        <f t="shared" si="34"/>
        <v>-8.659660457282033E-3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5.4895614729915075E-2</v>
      </c>
      <c r="N49" s="17">
        <f t="shared" si="39"/>
        <v>0.10133362841323085</v>
      </c>
      <c r="O49" s="17">
        <f t="shared" si="39"/>
        <v>8.5530840945564929E-2</v>
      </c>
      <c r="P49" s="17">
        <f t="shared" si="39"/>
        <v>-5.9733796678479549E-2</v>
      </c>
      <c r="Q49" s="17">
        <f t="shared" si="30"/>
        <v>3.9957102223412561E-2</v>
      </c>
      <c r="R49" s="17">
        <f t="shared" si="31"/>
        <v>0.20193171840504501</v>
      </c>
      <c r="S49" s="17">
        <f t="shared" si="32"/>
        <v>0</v>
      </c>
      <c r="T49" s="17" t="e">
        <f t="shared" si="33"/>
        <v>#DIV/0!</v>
      </c>
      <c r="U49" s="13">
        <f t="shared" si="34"/>
        <v>4.5392574423733359E-2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>
        <f t="shared" si="39"/>
        <v>0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222521.97658634812</v>
      </c>
      <c r="C5" s="6" t="n">
        <v>26014.6239466375</v>
      </c>
      <c r="D5" s="6" t="n">
        <v>7727.910904442</v>
      </c>
      <c r="E5" s="6" t="n">
        <v>14329.393111251</v>
      </c>
      <c r="F5" s="6" t="n">
        <v>532.922625</v>
      </c>
      <c r="G5" s="6" t="n">
        <v>0.0</v>
      </c>
      <c r="H5" s="6" t="n">
        <v>0.0</v>
      </c>
      <c r="I5" s="6" t="n">
        <v>281.817625</v>
      </c>
      <c r="J5" s="6">
        <f>SUM(B5:I5)</f>
        <v>271408.64479867864</v>
      </c>
      <c r="K5" s="6"/>
      <c r="L5" t="s">
        <v>1</v>
      </c>
      <c r="M5" s="6" t="n">
        <v>207570.0</v>
      </c>
      <c r="N5" s="6" t="n">
        <v>13835.0</v>
      </c>
      <c r="O5" s="6" t="n">
        <v>11864.0</v>
      </c>
      <c r="P5" s="6" t="n">
        <v>0.0</v>
      </c>
      <c r="Q5" s="6" t="n">
        <v>2530.0</v>
      </c>
      <c r="R5" s="6" t="n">
        <v>0.0</v>
      </c>
      <c r="S5" s="6" t="n">
        <v>0.0</v>
      </c>
      <c r="T5" s="6" t="n">
        <v>1180.0</v>
      </c>
      <c r="U5" s="6">
        <f t="shared" ref="U5:U15" si="0">SUM(M5:T5)</f>
        <v>232713</v>
      </c>
    </row>
    <row r="6" spans="1:21" x14ac:dyDescent="0.45">
      <c r="A6" t="s">
        <v>12</v>
      </c>
      <c r="B6" s="6" t="n">
        <v>0.0</v>
      </c>
      <c r="C6" s="6" t="n">
        <v>290332.4455015727</v>
      </c>
      <c r="D6" s="6" t="n">
        <v>120633.021810761</v>
      </c>
      <c r="E6" s="6" t="n">
        <v>230.48097940399998</v>
      </c>
      <c r="F6" s="6" t="n">
        <v>9840.1809882788</v>
      </c>
      <c r="G6" s="6" t="n">
        <v>0.0</v>
      </c>
      <c r="H6" s="6" t="n">
        <v>0.0</v>
      </c>
      <c r="I6" s="6" t="n">
        <v>44390.738604024</v>
      </c>
      <c r="J6" s="6">
        <f t="shared" ref="J6:J15" si="1">SUM(B6:I6)</f>
        <v>465426.86788404052</v>
      </c>
      <c r="K6" s="6"/>
      <c r="L6" t="s">
        <v>12</v>
      </c>
      <c r="M6" s="6" t="n">
        <v>0.0</v>
      </c>
      <c r="N6" s="6" t="n">
        <v>307525.0</v>
      </c>
      <c r="O6" s="6" t="n">
        <v>101368.0</v>
      </c>
      <c r="P6" s="6" t="n">
        <v>0.0</v>
      </c>
      <c r="Q6" s="6" t="n">
        <v>8164.0</v>
      </c>
      <c r="R6" s="6" t="n">
        <v>0.0</v>
      </c>
      <c r="S6" s="6" t="n">
        <v>0.0</v>
      </c>
      <c r="T6" s="6" t="n">
        <v>62592.0</v>
      </c>
      <c r="U6" s="6">
        <f t="shared" si="0"/>
        <v>481530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478701.524821619</v>
      </c>
      <c r="E7" s="6" t="n">
        <v>9.9</v>
      </c>
      <c r="F7" s="6" t="n">
        <v>4825.156385366</v>
      </c>
      <c r="G7" s="6" t="n">
        <v>0.0</v>
      </c>
      <c r="H7" s="6" t="n">
        <v>0.0</v>
      </c>
      <c r="I7" s="6" t="n">
        <v>70380.923125</v>
      </c>
      <c r="J7" s="6">
        <f t="shared" si="1"/>
        <v>553917.50433198502</v>
      </c>
      <c r="K7" s="6"/>
      <c r="L7" t="s">
        <v>56</v>
      </c>
      <c r="M7" s="6" t="n">
        <v>0.0</v>
      </c>
      <c r="N7" s="6" t="n">
        <v>0.0</v>
      </c>
      <c r="O7" s="6" t="n">
        <v>451847.0</v>
      </c>
      <c r="P7" s="6" t="n">
        <v>0.0</v>
      </c>
      <c r="Q7" s="6" t="n">
        <v>3924.0</v>
      </c>
      <c r="R7" s="6" t="n">
        <v>0.0</v>
      </c>
      <c r="S7" s="6" t="n">
        <v>0.0</v>
      </c>
      <c r="T7" s="6" t="n">
        <v>62568.0</v>
      </c>
      <c r="U7" s="6">
        <f t="shared" si="0"/>
        <v>525398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12024.887139576</v>
      </c>
      <c r="F8" s="6" t="n">
        <v>90379.7974903167</v>
      </c>
      <c r="G8" s="6" t="n">
        <v>0.0</v>
      </c>
      <c r="H8" s="6" t="n">
        <v>0.0</v>
      </c>
      <c r="I8" s="6" t="n">
        <v>10298.046276788</v>
      </c>
      <c r="J8" s="6">
        <f t="shared" si="1"/>
        <v>112702.73090668069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45565.0</v>
      </c>
      <c r="R8" s="6" t="n">
        <v>0.0</v>
      </c>
      <c r="S8" s="6" t="n">
        <v>0.0</v>
      </c>
      <c r="T8" s="6" t="n">
        <v>252.0</v>
      </c>
      <c r="U8" s="6">
        <f t="shared" si="0"/>
        <v>48690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17.06375</v>
      </c>
      <c r="G9" s="6" t="n">
        <v>0.0</v>
      </c>
      <c r="H9" s="6" t="n">
        <v>0.0</v>
      </c>
      <c r="I9" s="6" t="n">
        <v>0.0</v>
      </c>
      <c r="J9" s="6">
        <f t="shared" si="1"/>
        <v>17.063749999999999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350566.746083824</v>
      </c>
      <c r="J13" s="6">
        <f t="shared" si="1"/>
        <v>350566.74608382402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393938.0</v>
      </c>
      <c r="U13" s="6">
        <f t="shared" si="0"/>
        <v>393858</v>
      </c>
    </row>
    <row r="14" spans="1:21" x14ac:dyDescent="0.45">
      <c r="A14" t="s">
        <v>4</v>
      </c>
      <c r="B14" s="6" t="n">
        <v>42.06125</v>
      </c>
      <c r="C14" s="6" t="n">
        <v>2965.13055716</v>
      </c>
      <c r="D14" s="6" t="n">
        <v>996.4035</v>
      </c>
      <c r="E14" s="6" t="n">
        <v>0.0</v>
      </c>
      <c r="F14" s="6" t="n">
        <v>1101.497262843</v>
      </c>
      <c r="G14" s="6" t="n">
        <v>22263.999937734</v>
      </c>
      <c r="H14" s="6" t="n">
        <v>0.0</v>
      </c>
      <c r="I14" s="6" t="n">
        <v>1548.13125</v>
      </c>
      <c r="J14" s="6">
        <f t="shared" si="1"/>
        <v>28917.223757736996</v>
      </c>
      <c r="K14" s="6"/>
      <c r="L14" t="s">
        <v>4</v>
      </c>
      <c r="M14" s="6" t="n">
        <v>374.0</v>
      </c>
      <c r="N14" s="6" t="n">
        <v>2706.0</v>
      </c>
      <c r="O14" s="6" t="n">
        <v>3218.0</v>
      </c>
      <c r="P14" s="6" t="n">
        <v>0.0</v>
      </c>
      <c r="Q14" s="6" t="n">
        <v>1429.0</v>
      </c>
      <c r="R14" s="6" t="n">
        <v>20499.0</v>
      </c>
      <c r="S14" s="6" t="n">
        <v>0.0</v>
      </c>
      <c r="T14" s="6" t="n">
        <v>2777.0</v>
      </c>
      <c r="U14" s="6">
        <f t="shared" si="0"/>
        <v>31132</v>
      </c>
    </row>
    <row r="15" spans="1:21" x14ac:dyDescent="0.45">
      <c r="A15" s="4" t="s">
        <v>5</v>
      </c>
      <c r="B15" s="10" t="n">
        <v>2353.9022836912</v>
      </c>
      <c r="C15" s="10" t="n">
        <v>17727.0157394805</v>
      </c>
      <c r="D15" s="10" t="n">
        <v>22397.770899834</v>
      </c>
      <c r="E15" s="10" t="n">
        <v>482.93125</v>
      </c>
      <c r="F15" s="10" t="n">
        <v>21523.8377664279</v>
      </c>
      <c r="G15" s="10" t="n">
        <v>1203.1604532640001</v>
      </c>
      <c r="H15" s="10" t="n">
        <v>136201.3825688781</v>
      </c>
      <c r="I15" s="10" t="n">
        <v>13143.316485361</v>
      </c>
      <c r="J15" s="6">
        <f t="shared" si="1"/>
        <v>215033.31744693671</v>
      </c>
      <c r="K15" s="6"/>
      <c r="L15" s="4" t="s">
        <v>5</v>
      </c>
      <c r="M15" s="8" t="n">
        <v>2986.0</v>
      </c>
      <c r="N15" s="8" t="n">
        <v>13718.0</v>
      </c>
      <c r="O15" s="8" t="n">
        <v>16975.0</v>
      </c>
      <c r="P15" s="8" t="n">
        <v>0.0</v>
      </c>
      <c r="Q15" s="8" t="n">
        <v>10958.0</v>
      </c>
      <c r="R15" s="8" t="n">
        <v>1236.0</v>
      </c>
      <c r="S15" s="8" t="n">
        <v>110156.0</v>
      </c>
      <c r="T15" s="8" t="n">
        <v>21142.0</v>
      </c>
      <c r="U15" s="6">
        <f t="shared" si="0"/>
        <v>176027</v>
      </c>
    </row>
    <row r="16" spans="1:21" ht="14.65" thickBot="1" x14ac:dyDescent="0.5">
      <c r="A16" s="12" t="s">
        <v>7</v>
      </c>
      <c r="B16" s="16">
        <f t="shared" ref="B16:J16" si="2">SUM(B5:B15)</f>
        <v>224917.9401200393</v>
      </c>
      <c r="C16" s="16">
        <f t="shared" si="2"/>
        <v>337039.21574485069</v>
      </c>
      <c r="D16" s="16">
        <f t="shared" si="2"/>
        <v>630456.63193665596</v>
      </c>
      <c r="E16" s="16">
        <f t="shared" si="2"/>
        <v>27077.592480231</v>
      </c>
      <c r="F16" s="16">
        <f t="shared" si="2"/>
        <v>128220.4562682324</v>
      </c>
      <c r="G16" s="16">
        <f t="shared" si="2"/>
        <v>23467.160390998</v>
      </c>
      <c r="H16" s="16">
        <f t="shared" si="2"/>
        <v>136201.38256887809</v>
      </c>
      <c r="I16" s="16">
        <f t="shared" si="2"/>
        <v>490609.71944999701</v>
      </c>
      <c r="J16" s="16">
        <f t="shared" si="2"/>
        <v>1997990.0989598825</v>
      </c>
      <c r="L16" s="9" t="s">
        <v>7</v>
      </c>
      <c r="M16" s="16">
        <f t="shared" ref="M16:U16" si="3">SUM(M5:M15)</f>
        <v>205641</v>
      </c>
      <c r="N16" s="16">
        <f t="shared" si="3"/>
        <v>337672</v>
      </c>
      <c r="O16" s="16">
        <f t="shared" si="3"/>
        <v>593313</v>
      </c>
      <c r="P16" s="16">
        <f t="shared" si="3"/>
        <v>0</v>
      </c>
      <c r="Q16" s="16">
        <f t="shared" si="3"/>
        <v>77018</v>
      </c>
      <c r="R16" s="16">
        <f t="shared" si="3"/>
        <v>22051</v>
      </c>
      <c r="S16" s="16">
        <f t="shared" si="3"/>
        <v>109021</v>
      </c>
      <c r="T16" s="16">
        <f t="shared" si="3"/>
        <v>544632</v>
      </c>
      <c r="U16" s="16">
        <f t="shared" si="3"/>
        <v>1889348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0.98934738806334233</v>
      </c>
      <c r="C22" s="13">
        <f t="shared" si="4"/>
        <v>7.7185747922969866E-2</v>
      </c>
      <c r="D22" s="13">
        <f t="shared" si="4"/>
        <v>1.2257640752708346E-2</v>
      </c>
      <c r="E22" s="13">
        <f t="shared" si="4"/>
        <v>0.52919745807212015</v>
      </c>
      <c r="F22" s="13">
        <f t="shared" si="4"/>
        <v>4.1562995524298072E-3</v>
      </c>
      <c r="G22" s="13">
        <f t="shared" si="4"/>
        <v>0</v>
      </c>
      <c r="H22" s="13">
        <f t="shared" si="4"/>
        <v>0</v>
      </c>
      <c r="I22" s="13">
        <f t="shared" si="4"/>
        <v>5.7442324077055487E-4</v>
      </c>
      <c r="J22" s="13">
        <f t="shared" si="4"/>
        <v>0.13584083571783917</v>
      </c>
      <c r="K22" s="6"/>
      <c r="L22" t="s">
        <v>1</v>
      </c>
      <c r="M22" s="13">
        <f t="shared" ref="M22:P22" si="5">M5/M$16</f>
        <v>0.98422007284539559</v>
      </c>
      <c r="N22" s="13">
        <f t="shared" si="5"/>
        <v>4.0814755147006561E-2</v>
      </c>
      <c r="O22" s="13">
        <f t="shared" si="5"/>
        <v>2.1570402131758447E-2</v>
      </c>
      <c r="P22" s="13" t="e">
        <f t="shared" si="5"/>
        <v>#DIV/0!</v>
      </c>
      <c r="Q22" s="13">
        <f t="shared" ref="Q22:U33" si="6">Q5/Q$16</f>
        <v>3.3174063206003794E-2</v>
      </c>
      <c r="R22" s="13">
        <f t="shared" si="6"/>
        <v>0</v>
      </c>
      <c r="S22" s="13">
        <f t="shared" si="6"/>
        <v>0</v>
      </c>
      <c r="T22" s="13">
        <f t="shared" si="6"/>
        <v>2.1702727713391796E-3</v>
      </c>
      <c r="U22" s="13">
        <f t="shared" si="6"/>
        <v>0.12317106218653208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0.86142036872458039</v>
      </c>
      <c r="D23" s="13">
        <f t="shared" si="7"/>
        <v>0.19134229969188649</v>
      </c>
      <c r="E23" s="13">
        <f t="shared" si="7"/>
        <v>8.5118711928422429E-3</v>
      </c>
      <c r="F23" s="13">
        <f t="shared" si="7"/>
        <v>7.6744236252704559E-2</v>
      </c>
      <c r="G23" s="13">
        <f t="shared" si="7"/>
        <v>0</v>
      </c>
      <c r="H23" s="13">
        <f t="shared" si="7"/>
        <v>0</v>
      </c>
      <c r="I23" s="13">
        <f t="shared" si="7"/>
        <v>9.0480756585476316E-2</v>
      </c>
      <c r="J23" s="13">
        <f t="shared" si="7"/>
        <v>0.23294753468815152</v>
      </c>
      <c r="K23" s="6"/>
      <c r="L23" t="s">
        <v>12</v>
      </c>
      <c r="M23" s="13">
        <f t="shared" ref="M23:P23" si="8">M6/M$16</f>
        <v>0</v>
      </c>
      <c r="N23" s="13">
        <f t="shared" si="8"/>
        <v>0.91106754483640928</v>
      </c>
      <c r="O23" s="13">
        <f t="shared" si="8"/>
        <v>0.17253119348472054</v>
      </c>
      <c r="P23" s="13" t="e">
        <f t="shared" si="8"/>
        <v>#DIV/0!</v>
      </c>
      <c r="Q23" s="13">
        <f t="shared" si="6"/>
        <v>0.11346698174452725</v>
      </c>
      <c r="R23" s="13">
        <f t="shared" si="6"/>
        <v>0</v>
      </c>
      <c r="S23" s="13">
        <f t="shared" si="6"/>
        <v>0</v>
      </c>
      <c r="T23" s="13">
        <f t="shared" si="6"/>
        <v>0.11527783898118363</v>
      </c>
      <c r="U23" s="13">
        <f t="shared" si="6"/>
        <v>0.25486569970169604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0.75929334481125055</v>
      </c>
      <c r="E24" s="13">
        <f t="shared" si="9"/>
        <v>3.6561596113937611E-4</v>
      </c>
      <c r="F24" s="13">
        <f t="shared" si="9"/>
        <v>3.7631720599027918E-2</v>
      </c>
      <c r="G24" s="13">
        <f t="shared" si="9"/>
        <v>0</v>
      </c>
      <c r="H24" s="13">
        <f t="shared" si="9"/>
        <v>0</v>
      </c>
      <c r="I24" s="13">
        <f t="shared" si="9"/>
        <v>0.14345603100546245</v>
      </c>
      <c r="J24" s="13">
        <f t="shared" si="9"/>
        <v>0.27723736199711124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0.77227365656912961</v>
      </c>
      <c r="P24" s="13" t="e">
        <f t="shared" si="10"/>
        <v>#DIV/0!</v>
      </c>
      <c r="Q24" s="13">
        <f t="shared" si="6"/>
        <v>5.4662546417720531E-2</v>
      </c>
      <c r="R24" s="13">
        <f t="shared" si="6"/>
        <v>0</v>
      </c>
      <c r="S24" s="13">
        <f t="shared" si="6"/>
        <v>0</v>
      </c>
      <c r="T24" s="13">
        <f t="shared" si="6"/>
        <v>0.11565240382496805</v>
      </c>
      <c r="U24" s="13">
        <f t="shared" si="6"/>
        <v>0.27808429151220421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0.44408996657864669</v>
      </c>
      <c r="F25" s="13">
        <f t="shared" si="11"/>
        <v>0.70487814597419263</v>
      </c>
      <c r="G25" s="13">
        <f t="shared" si="11"/>
        <v>0</v>
      </c>
      <c r="H25" s="13">
        <f t="shared" si="11"/>
        <v>0</v>
      </c>
      <c r="I25" s="13">
        <f t="shared" si="11"/>
        <v>2.0990302206676071E-2</v>
      </c>
      <c r="J25" s="13">
        <f t="shared" si="11"/>
        <v>5.640805275529228E-2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0.62942429042561476</v>
      </c>
      <c r="R25" s="13">
        <f t="shared" si="6"/>
        <v>0</v>
      </c>
      <c r="S25" s="13">
        <f t="shared" si="6"/>
        <v>0</v>
      </c>
      <c r="T25" s="13">
        <f t="shared" si="6"/>
        <v>3.9108976336315162E-4</v>
      </c>
      <c r="U25" s="13">
        <f t="shared" si="6"/>
        <v>2.5770795004414222E-2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1.3308133894254182E-4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8.5404577374447847E-6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>
        <f t="shared" si="6"/>
        <v>0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>
        <f t="shared" si="6"/>
        <v>0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>
        <f t="shared" si="6"/>
        <v>0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>
        <f t="shared" si="6"/>
        <v>0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0.71455320224155039</v>
      </c>
      <c r="J30" s="13">
        <f t="shared" si="21"/>
        <v>0.17545970136004313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>
        <f t="shared" si="6"/>
        <v>0.72316353060415106</v>
      </c>
      <c r="U30" s="13">
        <f t="shared" si="6"/>
        <v>0.20846239020021723</v>
      </c>
    </row>
    <row r="31" spans="1:21" x14ac:dyDescent="0.45">
      <c r="A31" t="s">
        <v>4</v>
      </c>
      <c r="B31" s="13">
        <f t="shared" ref="B31:J31" si="23">B14/B$16</f>
        <v>1.8700709235355703E-4</v>
      </c>
      <c r="C31" s="13">
        <f t="shared" si="23"/>
        <v>8.7975832444515817E-3</v>
      </c>
      <c r="D31" s="13">
        <f t="shared" si="23"/>
        <v>1.5804473290085273E-3</v>
      </c>
      <c r="E31" s="13">
        <f t="shared" si="23"/>
        <v>0</v>
      </c>
      <c r="F31" s="13">
        <f t="shared" si="23"/>
        <v>8.590651561391334E-3</v>
      </c>
      <c r="G31" s="13">
        <f t="shared" si="23"/>
        <v>0.94873003664620903</v>
      </c>
      <c r="H31" s="13">
        <f t="shared" si="23"/>
        <v>0</v>
      </c>
      <c r="I31" s="13">
        <f t="shared" si="23"/>
        <v>3.1555250306405428E-3</v>
      </c>
      <c r="J31" s="13">
        <f t="shared" si="23"/>
        <v>1.4473156685206188E-2</v>
      </c>
      <c r="K31" s="6"/>
      <c r="L31" t="s">
        <v>4</v>
      </c>
      <c r="M31" s="13">
        <f t="shared" ref="M31:P31" si="24">M14/M$16</f>
        <v>1.7360351291814376E-3</v>
      </c>
      <c r="N31" s="13">
        <f t="shared" si="24"/>
        <v>7.5813215191072991E-3</v>
      </c>
      <c r="O31" s="13">
        <f t="shared" si="24"/>
        <v>5.3883869053939493E-3</v>
      </c>
      <c r="P31" s="13" t="e">
        <f t="shared" si="24"/>
        <v>#DIV/0!</v>
      </c>
      <c r="Q31" s="13">
        <f t="shared" si="6"/>
        <v>1.9242255057259343E-2</v>
      </c>
      <c r="R31" s="13">
        <f t="shared" si="6"/>
        <v>0.94168064940365515</v>
      </c>
      <c r="S31" s="13">
        <f t="shared" si="6"/>
        <v>0</v>
      </c>
      <c r="T31" s="13">
        <f t="shared" si="6"/>
        <v>5.0878391280717991E-3</v>
      </c>
      <c r="U31" s="13">
        <f t="shared" si="6"/>
        <v>1.6477642022538992E-2</v>
      </c>
    </row>
    <row r="32" spans="1:21" x14ac:dyDescent="0.45">
      <c r="A32" s="4" t="s">
        <v>5</v>
      </c>
      <c r="B32" s="14">
        <f t="shared" ref="B32:J32" si="25">B15/B$16</f>
        <v>1.0465604844304177E-2</v>
      </c>
      <c r="C32" s="14">
        <f t="shared" si="25"/>
        <v>5.2596300107998144E-2</v>
      </c>
      <c r="D32" s="14">
        <f t="shared" si="25"/>
        <v>3.5526267415146133E-2</v>
      </c>
      <c r="E32" s="14">
        <f t="shared" si="25"/>
        <v>1.7835088195251547E-2</v>
      </c>
      <c r="F32" s="14">
        <f t="shared" si="25"/>
        <v>0.16786586472131121</v>
      </c>
      <c r="G32" s="14">
        <f t="shared" si="25"/>
        <v>5.1269963353790873E-2</v>
      </c>
      <c r="H32" s="14">
        <f t="shared" si="25"/>
        <v>1</v>
      </c>
      <c r="I32" s="14">
        <f t="shared" si="25"/>
        <v>2.6789759689423698E-2</v>
      </c>
      <c r="J32" s="14">
        <f t="shared" si="25"/>
        <v>0.10762481633861908</v>
      </c>
      <c r="K32" s="6"/>
      <c r="L32" s="4" t="s">
        <v>5</v>
      </c>
      <c r="M32" s="14">
        <f t="shared" ref="M32:P32" si="26">M15/M$16</f>
        <v>1.4043892025422946E-2</v>
      </c>
      <c r="N32" s="14">
        <f t="shared" si="26"/>
        <v>4.0536378497476842E-2</v>
      </c>
      <c r="O32" s="14">
        <f t="shared" si="26"/>
        <v>2.8236360908997442E-2</v>
      </c>
      <c r="P32" s="14" t="e">
        <f t="shared" si="26"/>
        <v>#DIV/0!</v>
      </c>
      <c r="Q32" s="14">
        <f t="shared" si="6"/>
        <v>0.15002986314887429</v>
      </c>
      <c r="R32" s="14">
        <f t="shared" si="6"/>
        <v>5.8319350596344834E-2</v>
      </c>
      <c r="S32" s="14">
        <f t="shared" si="6"/>
        <v>1</v>
      </c>
      <c r="T32" s="14">
        <f t="shared" si="6"/>
        <v>3.8257024926923136E-2</v>
      </c>
      <c r="U32" s="14">
        <f t="shared" si="6"/>
        <v>9.3168119372397246E-2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>
        <f t="shared" si="6"/>
        <v>1</v>
      </c>
      <c r="U33" s="15">
        <f t="shared" si="6"/>
        <v>1</v>
      </c>
    </row>
    <row r="36" spans="1:32" ht="14.65" thickBot="1" x14ac:dyDescent="0.5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-5.1273152179467374E-3</v>
      </c>
      <c r="N39" s="13">
        <f t="shared" si="29"/>
        <v>-3.6370992775963305E-2</v>
      </c>
      <c r="O39" s="13">
        <f t="shared" si="29"/>
        <v>9.3127613790501013E-3</v>
      </c>
      <c r="P39" s="13" t="e">
        <f t="shared" si="29"/>
        <v>#DIV/0!</v>
      </c>
      <c r="Q39" s="13">
        <f t="shared" ref="Q39:Q50" si="30">Q22-F22</f>
        <v>2.9017763653573989E-2</v>
      </c>
      <c r="R39" s="13">
        <f t="shared" ref="R39:R50" si="31">R22-G22</f>
        <v>0</v>
      </c>
      <c r="S39" s="13">
        <f t="shared" ref="S39:S50" si="32">S22-H22</f>
        <v>0</v>
      </c>
      <c r="T39" s="13">
        <f t="shared" ref="T39:T50" si="33">T22-I22</f>
        <v>1.5958495305686247E-3</v>
      </c>
      <c r="U39" s="13">
        <f t="shared" ref="U39:U50" si="34">U22-J22</f>
        <v>-1.2669773531307091E-2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4.9647176111828895E-2</v>
      </c>
      <c r="O40" s="13">
        <f t="shared" si="29"/>
        <v>-1.8811106207165945E-2</v>
      </c>
      <c r="P40" s="13" t="e">
        <f t="shared" si="29"/>
        <v>#DIV/0!</v>
      </c>
      <c r="Q40" s="13">
        <f t="shared" si="30"/>
        <v>3.6722745491822695E-2</v>
      </c>
      <c r="R40" s="13">
        <f t="shared" si="31"/>
        <v>0</v>
      </c>
      <c r="S40" s="13">
        <f t="shared" si="32"/>
        <v>0</v>
      </c>
      <c r="T40" s="13">
        <f t="shared" si="33"/>
        <v>2.4797082395707312E-2</v>
      </c>
      <c r="U40" s="13">
        <f t="shared" si="34"/>
        <v>2.1918165013544516E-2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1.2980311757879059E-2</v>
      </c>
      <c r="P41" s="13" t="e">
        <f t="shared" si="29"/>
        <v>#DIV/0!</v>
      </c>
      <c r="Q41" s="13">
        <f t="shared" si="30"/>
        <v>1.7030825818692613E-2</v>
      </c>
      <c r="R41" s="13">
        <f t="shared" si="31"/>
        <v>0</v>
      </c>
      <c r="S41" s="13">
        <f t="shared" si="32"/>
        <v>0</v>
      </c>
      <c r="T41" s="13">
        <f t="shared" si="33"/>
        <v>-2.7803627180494395E-2</v>
      </c>
      <c r="U41" s="13">
        <f t="shared" si="34"/>
        <v>8.4692951509296455E-4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-7.5453855548577864E-2</v>
      </c>
      <c r="R42" s="13">
        <f t="shared" si="31"/>
        <v>0</v>
      </c>
      <c r="S42" s="13">
        <f t="shared" si="32"/>
        <v>0</v>
      </c>
      <c r="T42" s="13">
        <f t="shared" si="33"/>
        <v>-2.059921244331292E-2</v>
      </c>
      <c r="U42" s="13">
        <f t="shared" si="34"/>
        <v>-3.0637257750878059E-2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-1.3308133894254182E-4</v>
      </c>
      <c r="R43" s="13">
        <f t="shared" si="31"/>
        <v>0</v>
      </c>
      <c r="S43" s="13">
        <f t="shared" si="32"/>
        <v>0</v>
      </c>
      <c r="T43" s="13">
        <f t="shared" si="33"/>
        <v>0</v>
      </c>
      <c r="U43" s="13">
        <f t="shared" si="34"/>
        <v>-8.5404577374447847E-6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>
        <f t="shared" si="33"/>
        <v>0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>
        <f t="shared" si="33"/>
        <v>0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>
        <f t="shared" si="33"/>
        <v>0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>
        <f t="shared" si="33"/>
        <v>8.6103283626006721E-3</v>
      </c>
      <c r="U47" s="13">
        <f t="shared" si="34"/>
        <v>3.3002688840174099E-2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1.5490280368278806E-3</v>
      </c>
      <c r="N48" s="13">
        <f t="shared" si="39"/>
        <v>-1.2162617253442826E-3</v>
      </c>
      <c r="O48" s="13">
        <f t="shared" si="39"/>
        <v>3.8079395763854218E-3</v>
      </c>
      <c r="P48" s="13" t="e">
        <f t="shared" si="39"/>
        <v>#DIV/0!</v>
      </c>
      <c r="Q48" s="13">
        <f t="shared" si="30"/>
        <v>1.0651603495868009E-2</v>
      </c>
      <c r="R48" s="13">
        <f t="shared" si="31"/>
        <v>-7.0493872425538839E-3</v>
      </c>
      <c r="S48" s="13">
        <f t="shared" si="32"/>
        <v>0</v>
      </c>
      <c r="T48" s="13">
        <f t="shared" si="33"/>
        <v>1.9323140974312563E-3</v>
      </c>
      <c r="U48" s="13">
        <f t="shared" si="34"/>
        <v>2.0044853373328043E-3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3.5782871811187687E-3</v>
      </c>
      <c r="N49" s="17">
        <f t="shared" si="39"/>
        <v>-1.2059921610521301E-2</v>
      </c>
      <c r="O49" s="17">
        <f t="shared" si="39"/>
        <v>-7.2899065061486912E-3</v>
      </c>
      <c r="P49" s="17" t="e">
        <f t="shared" si="39"/>
        <v>#DIV/0!</v>
      </c>
      <c r="Q49" s="17">
        <f t="shared" si="30"/>
        <v>-1.7836001572436921E-2</v>
      </c>
      <c r="R49" s="17">
        <f t="shared" si="31"/>
        <v>7.0493872425539603E-3</v>
      </c>
      <c r="S49" s="17">
        <f t="shared" si="32"/>
        <v>0</v>
      </c>
      <c r="T49" s="17">
        <f t="shared" si="33"/>
        <v>1.1467265237499438E-2</v>
      </c>
      <c r="U49" s="13">
        <f t="shared" si="34"/>
        <v>-1.445669696622183E-2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>
        <f t="shared" si="33"/>
        <v>0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AF50"/>
  <sheetViews>
    <sheetView zoomScaleNormal="100"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52927.3605264524</v>
      </c>
      <c r="C5" s="6" t="n">
        <v>396390.4821353514</v>
      </c>
      <c r="D5" s="6" t="n">
        <v>146937.1248664695</v>
      </c>
      <c r="E5" s="6" t="n">
        <v>373.067856556</v>
      </c>
      <c r="F5" s="6" t="n">
        <v>298.0264508996</v>
      </c>
      <c r="G5" s="6" t="n">
        <v>0.0</v>
      </c>
      <c r="H5" s="6" t="n">
        <v>0.0</v>
      </c>
      <c r="I5" s="6" t="n">
        <v>0.0</v>
      </c>
      <c r="J5" s="6">
        <f>SUM(B5:I5)</f>
        <v>596926.06183572893</v>
      </c>
      <c r="K5" s="6"/>
      <c r="L5" t="s">
        <v>1</v>
      </c>
      <c r="M5" s="6" t="n">
        <v>581.0</v>
      </c>
      <c r="N5" s="6" t="n">
        <v>340847.0</v>
      </c>
      <c r="O5" s="6" t="n">
        <v>158173.0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499131</v>
      </c>
    </row>
    <row r="6" spans="1:21" x14ac:dyDescent="0.45">
      <c r="A6" t="s">
        <v>12</v>
      </c>
      <c r="B6" s="6" t="n">
        <v>0.0</v>
      </c>
      <c r="C6" s="6" t="n">
        <v>433849.1964675311</v>
      </c>
      <c r="D6" s="6" t="n">
        <v>251550.0097209555</v>
      </c>
      <c r="E6" s="6" t="n">
        <v>0.0</v>
      </c>
      <c r="F6" s="6" t="n">
        <v>688.3299841567</v>
      </c>
      <c r="G6" s="6" t="n">
        <v>0.0</v>
      </c>
      <c r="H6" s="6" t="n">
        <v>0.0</v>
      </c>
      <c r="I6" s="6" t="n">
        <v>659.6315</v>
      </c>
      <c r="J6" s="6">
        <f t="shared" ref="J6:J15" si="1">SUM(B6:I6)</f>
        <v>686747.16767264332</v>
      </c>
      <c r="K6" s="6"/>
      <c r="L6" t="s">
        <v>12</v>
      </c>
      <c r="M6" s="6" t="n">
        <v>0.0</v>
      </c>
      <c r="N6" s="6" t="n">
        <v>670999.0</v>
      </c>
      <c r="O6" s="6" t="n">
        <v>140142.0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t="shared" si="0"/>
        <v>810923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532459.0305925972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532459.03059259721</v>
      </c>
      <c r="K7" s="6"/>
      <c r="L7" t="s">
        <v>56</v>
      </c>
      <c r="M7" s="6" t="n">
        <v>0.0</v>
      </c>
      <c r="N7" s="6" t="n">
        <v>0.0</v>
      </c>
      <c r="O7" s="6" t="n">
        <v>540073.0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t="shared" si="0"/>
        <v>538885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373.067856556</v>
      </c>
      <c r="F8" s="6" t="n">
        <v>7070.435136692499</v>
      </c>
      <c r="G8" s="6" t="n">
        <v>0.0</v>
      </c>
      <c r="H8" s="6" t="n">
        <v>0.0</v>
      </c>
      <c r="I8" s="6" t="n">
        <v>0.0</v>
      </c>
      <c r="J8" s="6">
        <f t="shared" si="1"/>
        <v>7443.5029932484995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t="shared" si="0"/>
        <v>0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1978.8944999999999</v>
      </c>
      <c r="J13" s="6">
        <f t="shared" si="1"/>
        <v>1978.8944999999999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0.0</v>
      </c>
      <c r="C14" s="6" t="n">
        <v>5674.0894081838</v>
      </c>
      <c r="D14" s="6" t="n">
        <v>166.035106589</v>
      </c>
      <c r="E14" s="6" t="n">
        <v>0.0</v>
      </c>
      <c r="F14" s="6" t="n">
        <v>0.0</v>
      </c>
      <c r="G14" s="6" t="n">
        <v>5171.3558293273</v>
      </c>
      <c r="H14" s="6" t="n">
        <v>0.0</v>
      </c>
      <c r="I14" s="6" t="n">
        <v>0.0</v>
      </c>
      <c r="J14" s="6">
        <f t="shared" si="1"/>
        <v>11011.480344100099</v>
      </c>
      <c r="K14" s="6"/>
      <c r="L14" t="s">
        <v>4</v>
      </c>
      <c r="M14" s="6" t="n">
        <v>0.0</v>
      </c>
      <c r="N14" s="6" t="n">
        <v>8083.0</v>
      </c>
      <c r="O14" s="6" t="n">
        <v>6761.0</v>
      </c>
      <c r="P14" s="6" t="n">
        <v>0.0</v>
      </c>
      <c r="Q14" s="6" t="n">
        <v>0.0</v>
      </c>
      <c r="R14" s="6" t="n">
        <v>5578.0</v>
      </c>
      <c r="S14" s="6" t="n">
        <v>0.0</v>
      </c>
      <c r="T14" s="6" t="n">
        <v>0.0</v>
      </c>
      <c r="U14" s="6">
        <f t="shared" si="0"/>
        <v>20982</v>
      </c>
    </row>
    <row r="15" spans="1:21" x14ac:dyDescent="0.45">
      <c r="A15" s="4" t="s">
        <v>5</v>
      </c>
      <c r="B15" s="10" t="n">
        <v>4326.086940846</v>
      </c>
      <c r="C15" s="10" t="n">
        <v>9552.7248647721</v>
      </c>
      <c r="D15" s="10" t="n">
        <v>32795.0383664672</v>
      </c>
      <c r="E15" s="10" t="n">
        <v>373.067856556</v>
      </c>
      <c r="F15" s="10" t="n">
        <v>234.56112695000002</v>
      </c>
      <c r="G15" s="10" t="n">
        <v>369.703052246</v>
      </c>
      <c r="H15" s="10" t="n">
        <v>71252.3229915978</v>
      </c>
      <c r="I15" s="10" t="n">
        <v>0.0</v>
      </c>
      <c r="J15" s="6">
        <f t="shared" si="1"/>
        <v>118903.50519943509</v>
      </c>
      <c r="K15" s="6"/>
      <c r="L15" s="4" t="s">
        <v>5</v>
      </c>
      <c r="M15" s="8" t="n">
        <v>0.0</v>
      </c>
      <c r="N15" s="8" t="n">
        <v>40215.0</v>
      </c>
      <c r="O15" s="8" t="n">
        <v>29023.0</v>
      </c>
      <c r="P15" s="8" t="n">
        <v>0.0</v>
      </c>
      <c r="Q15" s="8" t="n">
        <v>0.0</v>
      </c>
      <c r="R15" s="8" t="n">
        <v>67.0</v>
      </c>
      <c r="S15" s="8" t="n">
        <v>35.0</v>
      </c>
      <c r="T15" s="8" t="n">
        <v>0.0</v>
      </c>
      <c r="U15" s="6">
        <f t="shared" si="0"/>
        <v>69900</v>
      </c>
    </row>
    <row r="16" spans="1:21" ht="14.65" thickBot="1" x14ac:dyDescent="0.5">
      <c r="A16" s="12" t="s">
        <v>7</v>
      </c>
      <c r="B16" s="16">
        <f t="shared" ref="B16:J16" si="2">SUM(B5:B15)</f>
        <v>57253.4474672984</v>
      </c>
      <c r="C16" s="16">
        <f t="shared" si="2"/>
        <v>845466.4928758383</v>
      </c>
      <c r="D16" s="16">
        <f t="shared" si="2"/>
        <v>963907.23865307844</v>
      </c>
      <c r="E16" s="16">
        <f t="shared" si="2"/>
        <v>1119.203569668</v>
      </c>
      <c r="F16" s="16">
        <f t="shared" si="2"/>
        <v>8291.3526986987999</v>
      </c>
      <c r="G16" s="16">
        <f t="shared" si="2"/>
        <v>5541.0588815732999</v>
      </c>
      <c r="H16" s="16">
        <f t="shared" si="2"/>
        <v>71252.322991597801</v>
      </c>
      <c r="I16" s="16">
        <f t="shared" si="2"/>
        <v>2638.5259999999998</v>
      </c>
      <c r="J16" s="16">
        <f t="shared" si="2"/>
        <v>1955469.6431377532</v>
      </c>
      <c r="L16" s="9" t="s">
        <v>7</v>
      </c>
      <c r="M16" s="16">
        <f t="shared" ref="M16:U16" si="3">SUM(M5:M15)</f>
        <v>565</v>
      </c>
      <c r="N16" s="16">
        <f t="shared" si="3"/>
        <v>1061991</v>
      </c>
      <c r="O16" s="16">
        <f t="shared" si="3"/>
        <v>871095</v>
      </c>
      <c r="P16" s="16">
        <f t="shared" si="3"/>
        <v>0</v>
      </c>
      <c r="Q16" s="16">
        <f t="shared" si="3"/>
        <v>0</v>
      </c>
      <c r="R16" s="16">
        <f t="shared" si="3"/>
        <v>6064</v>
      </c>
      <c r="S16" s="16">
        <f t="shared" si="3"/>
        <v>106</v>
      </c>
      <c r="T16" s="16">
        <f t="shared" si="3"/>
        <v>0</v>
      </c>
      <c r="U16" s="16">
        <f t="shared" si="3"/>
        <v>1939821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0.92443971267726821</v>
      </c>
      <c r="C22" s="13">
        <f t="shared" si="4"/>
        <v>0.46884233198531222</v>
      </c>
      <c r="D22" s="13">
        <f t="shared" si="4"/>
        <v>0.15243907190882078</v>
      </c>
      <c r="E22" s="13">
        <f t="shared" si="4"/>
        <v>0.33333333333333331</v>
      </c>
      <c r="F22" s="13">
        <f t="shared" si="4"/>
        <v>3.5944249597097785E-2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0.30525969243782242</v>
      </c>
      <c r="K22" s="6"/>
      <c r="L22" t="s">
        <v>1</v>
      </c>
      <c r="M22" s="13">
        <f t="shared" ref="M22:P22" si="5">M5/M$16</f>
        <v>1</v>
      </c>
      <c r="N22" s="13">
        <f t="shared" si="5"/>
        <v>0.32175037264910911</v>
      </c>
      <c r="O22" s="13">
        <f t="shared" si="5"/>
        <v>0.18008368777228662</v>
      </c>
      <c r="P22" s="13" t="e">
        <f t="shared" si="5"/>
        <v>#DIV/0!</v>
      </c>
      <c r="Q22" s="13" t="e">
        <f t="shared" ref="Q22:U33" si="6">Q5/Q$16</f>
        <v>#DIV/0!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0.25730776190174248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0.51314771208945398</v>
      </c>
      <c r="D23" s="13">
        <f t="shared" si="7"/>
        <v>0.26096910535961992</v>
      </c>
      <c r="E23" s="13">
        <f t="shared" si="7"/>
        <v>0</v>
      </c>
      <c r="F23" s="13">
        <f t="shared" si="7"/>
        <v>8.3017814965792344E-2</v>
      </c>
      <c r="G23" s="13">
        <f t="shared" si="7"/>
        <v>0</v>
      </c>
      <c r="H23" s="13">
        <f t="shared" si="7"/>
        <v>0</v>
      </c>
      <c r="I23" s="13">
        <f t="shared" si="7"/>
        <v>0.25</v>
      </c>
      <c r="J23" s="13">
        <f t="shared" si="7"/>
        <v>0.35119295770334052</v>
      </c>
      <c r="K23" s="6"/>
      <c r="L23" t="s">
        <v>12</v>
      </c>
      <c r="M23" s="13">
        <f t="shared" ref="M23:P23" si="8">M6/M$16</f>
        <v>0</v>
      </c>
      <c r="N23" s="13">
        <f t="shared" si="8"/>
        <v>0.63210422687197909</v>
      </c>
      <c r="O23" s="13">
        <f t="shared" si="8"/>
        <v>0.16029709733151953</v>
      </c>
      <c r="P23" s="13" t="e">
        <f t="shared" si="8"/>
        <v>#DIV/0!</v>
      </c>
      <c r="Q23" s="13" t="e">
        <f t="shared" si="6"/>
        <v>#DIV/0!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0.41804011813461139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0.55239654734477561</v>
      </c>
      <c r="E24" s="13">
        <f t="shared" si="9"/>
        <v>0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0.27229214856959461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0.61862942618198935</v>
      </c>
      <c r="P24" s="13" t="e">
        <f t="shared" si="10"/>
        <v>#DIV/0!</v>
      </c>
      <c r="Q24" s="13" t="e">
        <f t="shared" si="6"/>
        <v>#DIV/0!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0.27780140538740428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0.33333333333333331</v>
      </c>
      <c r="F25" s="13">
        <f t="shared" si="11"/>
        <v>0.85274808509859856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3.8065039870957187E-3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 t="e">
        <f t="shared" si="6"/>
        <v>#DIV/0!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0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 t="e">
        <f t="shared" si="6"/>
        <v>#DIV/0!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 t="e">
        <f t="shared" si="6"/>
        <v>#DIV/0!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 t="e">
        <f t="shared" si="6"/>
        <v>#DIV/0!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 t="e">
        <f t="shared" si="6"/>
        <v>#DIV/0!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0.75</v>
      </c>
      <c r="J30" s="13">
        <f t="shared" si="21"/>
        <v>1.011979146260056E-3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 t="e">
        <f t="shared" si="6"/>
        <v>#DIV/0!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6.7111937090297826E-3</v>
      </c>
      <c r="D31" s="13">
        <f t="shared" si="23"/>
        <v>1.7225216279214808E-4</v>
      </c>
      <c r="E31" s="13">
        <f t="shared" si="23"/>
        <v>0</v>
      </c>
      <c r="F31" s="13">
        <f t="shared" si="23"/>
        <v>0</v>
      </c>
      <c r="G31" s="13">
        <f t="shared" si="23"/>
        <v>0.93327934964281978</v>
      </c>
      <c r="H31" s="13">
        <f t="shared" si="23"/>
        <v>0</v>
      </c>
      <c r="I31" s="13">
        <f t="shared" si="23"/>
        <v>0</v>
      </c>
      <c r="J31" s="13">
        <f t="shared" si="23"/>
        <v>5.6311180195214071E-3</v>
      </c>
      <c r="K31" s="6"/>
      <c r="L31" t="s">
        <v>4</v>
      </c>
      <c r="M31" s="13">
        <f t="shared" ref="M31:P31" si="24">M14/M$16</f>
        <v>0</v>
      </c>
      <c r="N31" s="13">
        <f t="shared" si="24"/>
        <v>7.7279374307315223E-3</v>
      </c>
      <c r="O31" s="13">
        <f t="shared" si="24"/>
        <v>7.8028228838416015E-3</v>
      </c>
      <c r="P31" s="13" t="e">
        <f t="shared" si="24"/>
        <v>#DIV/0!</v>
      </c>
      <c r="Q31" s="13" t="e">
        <f t="shared" si="6"/>
        <v>#DIV/0!</v>
      </c>
      <c r="R31" s="13">
        <f t="shared" si="6"/>
        <v>0.9858179419525066</v>
      </c>
      <c r="S31" s="13">
        <f t="shared" si="6"/>
        <v>0</v>
      </c>
      <c r="T31" s="13" t="e">
        <f t="shared" si="6"/>
        <v>#DIV/0!</v>
      </c>
      <c r="U31" s="13">
        <f t="shared" si="6"/>
        <v>1.0816461931281288E-2</v>
      </c>
    </row>
    <row r="32" spans="1:21" x14ac:dyDescent="0.45">
      <c r="A32" s="4" t="s">
        <v>5</v>
      </c>
      <c r="B32" s="14">
        <f t="shared" ref="B32:J32" si="25">B15/B$16</f>
        <v>7.5560287322731831E-2</v>
      </c>
      <c r="C32" s="14">
        <f t="shared" si="25"/>
        <v>1.1298762216204083E-2</v>
      </c>
      <c r="D32" s="14">
        <f t="shared" si="25"/>
        <v>3.4023023223991491E-2</v>
      </c>
      <c r="E32" s="14">
        <f t="shared" si="25"/>
        <v>0.33333333333333331</v>
      </c>
      <c r="F32" s="14">
        <f t="shared" si="25"/>
        <v>2.8289850338511204E-2</v>
      </c>
      <c r="G32" s="14">
        <f t="shared" si="25"/>
        <v>6.6720650357180181E-2</v>
      </c>
      <c r="H32" s="14">
        <f t="shared" si="25"/>
        <v>1</v>
      </c>
      <c r="I32" s="14">
        <f t="shared" si="25"/>
        <v>0</v>
      </c>
      <c r="J32" s="14">
        <f t="shared" si="25"/>
        <v>6.0805600136365261E-2</v>
      </c>
      <c r="K32" s="6"/>
      <c r="L32" s="4" t="s">
        <v>5</v>
      </c>
      <c r="M32" s="14">
        <f t="shared" ref="M32:P32" si="26">M15/M$16</f>
        <v>0</v>
      </c>
      <c r="N32" s="14">
        <f t="shared" si="26"/>
        <v>3.8417463048180257E-2</v>
      </c>
      <c r="O32" s="14">
        <f t="shared" si="26"/>
        <v>3.3186965830362937E-2</v>
      </c>
      <c r="P32" s="14" t="e">
        <f t="shared" si="26"/>
        <v>#DIV/0!</v>
      </c>
      <c r="Q32" s="14" t="e">
        <f t="shared" si="6"/>
        <v>#DIV/0!</v>
      </c>
      <c r="R32" s="14">
        <f t="shared" si="6"/>
        <v>1.4182058047493404E-2</v>
      </c>
      <c r="S32" s="14">
        <f t="shared" si="6"/>
        <v>1</v>
      </c>
      <c r="T32" s="14" t="e">
        <f t="shared" si="6"/>
        <v>#DIV/0!</v>
      </c>
      <c r="U32" s="14">
        <f t="shared" si="6"/>
        <v>3.6034252644960539E-2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 t="e">
        <f t="shared" si="6"/>
        <v>#DIV/0!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7.5560287322731789E-2</v>
      </c>
      <c r="N39" s="13">
        <f t="shared" si="29"/>
        <v>-0.14709195933620312</v>
      </c>
      <c r="O39" s="13">
        <f t="shared" si="29"/>
        <v>2.7644615863465838E-2</v>
      </c>
      <c r="P39" s="13" t="e">
        <f t="shared" si="29"/>
        <v>#DIV/0!</v>
      </c>
      <c r="Q39" s="13" t="e">
        <f t="shared" ref="Q39:Q50" si="30">Q22-F22</f>
        <v>#DIV/0!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-4.7951930536079934E-2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0.11895651478252511</v>
      </c>
      <c r="O40" s="13">
        <f t="shared" si="29"/>
        <v>-0.10067200802810039</v>
      </c>
      <c r="P40" s="13" t="e">
        <f t="shared" si="29"/>
        <v>#DIV/0!</v>
      </c>
      <c r="Q40" s="13" t="e">
        <f t="shared" si="30"/>
        <v>#DIV/0!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6.6847160431270869E-2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6.6232878837213738E-2</v>
      </c>
      <c r="P41" s="13" t="e">
        <f t="shared" si="29"/>
        <v>#DIV/0!</v>
      </c>
      <c r="Q41" s="13" t="e">
        <f t="shared" si="30"/>
        <v>#DIV/0!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5.5092568178096712E-3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 t="e">
        <f t="shared" si="30"/>
        <v>#DIV/0!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-3.8065039870957187E-3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 t="e">
        <f t="shared" si="30"/>
        <v>#DIV/0!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 t="e">
        <f t="shared" si="30"/>
        <v>#DIV/0!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 t="e">
        <f t="shared" si="30"/>
        <v>#DIV/0!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 t="e">
        <f t="shared" si="30"/>
        <v>#DIV/0!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 t="e">
        <f t="shared" si="30"/>
        <v>#DIV/0!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-1.011979146260056E-3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0</v>
      </c>
      <c r="N48" s="13">
        <f t="shared" si="39"/>
        <v>1.0167437217017397E-3</v>
      </c>
      <c r="O48" s="13">
        <f t="shared" si="39"/>
        <v>7.6305707210494534E-3</v>
      </c>
      <c r="P48" s="13" t="e">
        <f t="shared" si="39"/>
        <v>#DIV/0!</v>
      </c>
      <c r="Q48" s="13" t="e">
        <f t="shared" si="30"/>
        <v>#DIV/0!</v>
      </c>
      <c r="R48" s="13">
        <f t="shared" si="31"/>
        <v>5.2538592309686827E-2</v>
      </c>
      <c r="S48" s="13">
        <f t="shared" si="32"/>
        <v>0</v>
      </c>
      <c r="T48" s="13" t="e">
        <f t="shared" si="33"/>
        <v>#DIV/0!</v>
      </c>
      <c r="U48" s="13">
        <f t="shared" si="34"/>
        <v>5.1853439117598805E-3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-7.5560287322731831E-2</v>
      </c>
      <c r="N49" s="17">
        <f t="shared" si="39"/>
        <v>2.7118700831976175E-2</v>
      </c>
      <c r="O49" s="17">
        <f t="shared" si="39"/>
        <v>-8.3605739362855452E-4</v>
      </c>
      <c r="P49" s="17" t="e">
        <f t="shared" si="39"/>
        <v>#DIV/0!</v>
      </c>
      <c r="Q49" s="17" t="e">
        <f t="shared" si="30"/>
        <v>#DIV/0!</v>
      </c>
      <c r="R49" s="17">
        <f t="shared" si="31"/>
        <v>-5.2538592309686778E-2</v>
      </c>
      <c r="S49" s="17">
        <f t="shared" si="32"/>
        <v>0</v>
      </c>
      <c r="T49" s="17" t="e">
        <f t="shared" si="33"/>
        <v>#DIV/0!</v>
      </c>
      <c r="U49" s="13">
        <f t="shared" si="34"/>
        <v>-2.4771347491404722E-2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 t="e">
        <f t="shared" si="30"/>
        <v>#DIV/0!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696165.8743531762</v>
      </c>
      <c r="C5" s="6" t="n">
        <v>28974.1597224348</v>
      </c>
      <c r="D5" s="6" t="n">
        <v>14622.1971247273</v>
      </c>
      <c r="E5" s="6" t="n">
        <v>3469.925244096</v>
      </c>
      <c r="F5" s="6" t="n">
        <v>1050.293716173</v>
      </c>
      <c r="G5" s="6" t="n">
        <v>0.0</v>
      </c>
      <c r="H5" s="6" t="n">
        <v>0.0</v>
      </c>
      <c r="I5" s="6" t="n">
        <v>0.0</v>
      </c>
      <c r="J5" s="6">
        <f>SUM(B5:I5)</f>
        <v>744282.45016060735</v>
      </c>
      <c r="K5" s="6"/>
      <c r="L5" t="s">
        <v>1</v>
      </c>
      <c r="M5" s="6" t="n">
        <v>628606.0</v>
      </c>
      <c r="N5" s="6" t="n">
        <v>44593.0</v>
      </c>
      <c r="O5" s="6" t="n">
        <v>14151.0</v>
      </c>
      <c r="P5" s="6" t="n">
        <v>0.0</v>
      </c>
      <c r="Q5" s="6" t="n">
        <v>230.0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686019</v>
      </c>
    </row>
    <row r="6" spans="1:21" x14ac:dyDescent="0.45">
      <c r="A6" t="s">
        <v>12</v>
      </c>
      <c r="B6" s="6" t="n">
        <v>0.0</v>
      </c>
      <c r="C6" s="6" t="n">
        <v>462828.516870877</v>
      </c>
      <c r="D6" s="6" t="n">
        <v>40625.4632805012</v>
      </c>
      <c r="E6" s="6" t="n">
        <v>0.0</v>
      </c>
      <c r="F6" s="6" t="n">
        <v>8253.9479754855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511707.92812686373</v>
      </c>
      <c r="K6" s="6"/>
      <c r="L6" t="s">
        <v>12</v>
      </c>
      <c r="M6" s="6" t="n">
        <v>0.0</v>
      </c>
      <c r="N6" s="6" t="n">
        <v>527643.0</v>
      </c>
      <c r="O6" s="6" t="n">
        <v>91456.0</v>
      </c>
      <c r="P6" s="6" t="n">
        <v>0.0</v>
      </c>
      <c r="Q6" s="6" t="n">
        <v>2985.0</v>
      </c>
      <c r="R6" s="6" t="n">
        <v>0.0</v>
      </c>
      <c r="S6" s="6" t="n">
        <v>0.0</v>
      </c>
      <c r="T6" s="6" t="n">
        <v>0.0</v>
      </c>
      <c r="U6" s="6">
        <f t="shared" si="0"/>
        <v>621063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342634.8368082903</v>
      </c>
      <c r="E7" s="6" t="n">
        <v>376.597523036</v>
      </c>
      <c r="F7" s="6" t="n">
        <v>261.652913556</v>
      </c>
      <c r="G7" s="6" t="n">
        <v>0.0</v>
      </c>
      <c r="H7" s="6" t="n">
        <v>0.0</v>
      </c>
      <c r="I7" s="6" t="n">
        <v>918.411125</v>
      </c>
      <c r="J7" s="6">
        <f t="shared" si="1"/>
        <v>344191.49836988229</v>
      </c>
      <c r="K7" s="6"/>
      <c r="L7" t="s">
        <v>56</v>
      </c>
      <c r="M7" s="6" t="n">
        <v>0.0</v>
      </c>
      <c r="N7" s="6" t="n">
        <v>0.0</v>
      </c>
      <c r="O7" s="6" t="n">
        <v>425250.0</v>
      </c>
      <c r="P7" s="6" t="n">
        <v>0.0</v>
      </c>
      <c r="Q7" s="6" t="n">
        <v>1329.0</v>
      </c>
      <c r="R7" s="6" t="n">
        <v>0.0</v>
      </c>
      <c r="S7" s="6" t="n">
        <v>0.0</v>
      </c>
      <c r="T7" s="6" t="n">
        <v>0.0</v>
      </c>
      <c r="U7" s="6">
        <f t="shared" si="0"/>
        <v>427817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2793.2312176259998</v>
      </c>
      <c r="F8" s="6" t="n">
        <v>75442.2594817482</v>
      </c>
      <c r="G8" s="6" t="n">
        <v>0.0</v>
      </c>
      <c r="H8" s="6" t="n">
        <v>0.0</v>
      </c>
      <c r="I8" s="6" t="n">
        <v>0.0</v>
      </c>
      <c r="J8" s="6">
        <f t="shared" si="1"/>
        <v>78235.490699374204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20284.0</v>
      </c>
      <c r="R8" s="6" t="n">
        <v>0.0</v>
      </c>
      <c r="S8" s="6" t="n">
        <v>0.0</v>
      </c>
      <c r="T8" s="6" t="n">
        <v>0.0</v>
      </c>
      <c r="U8" s="6">
        <f t="shared" si="0"/>
        <v>20083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4801.467375</v>
      </c>
      <c r="J13" s="6">
        <f t="shared" si="1"/>
        <v>4801.4673750000002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1493.612561511</v>
      </c>
      <c r="C14" s="6" t="n">
        <v>597.85108062</v>
      </c>
      <c r="D14" s="6" t="n">
        <v>0.0</v>
      </c>
      <c r="E14" s="6" t="n">
        <v>0.0</v>
      </c>
      <c r="F14" s="6" t="n">
        <v>1500.082466872</v>
      </c>
      <c r="G14" s="6" t="n">
        <v>14834.572279027601</v>
      </c>
      <c r="H14" s="6" t="n">
        <v>0.0</v>
      </c>
      <c r="I14" s="6" t="n">
        <v>0.0</v>
      </c>
      <c r="J14" s="6">
        <f t="shared" si="1"/>
        <v>18426.118388030602</v>
      </c>
      <c r="K14" s="6"/>
      <c r="L14" t="s">
        <v>4</v>
      </c>
      <c r="M14" s="6" t="n">
        <v>798.0</v>
      </c>
      <c r="N14" s="6" t="n">
        <v>1121.0</v>
      </c>
      <c r="O14" s="6" t="n">
        <v>818.0</v>
      </c>
      <c r="P14" s="6" t="n">
        <v>0.0</v>
      </c>
      <c r="Q14" s="6" t="n">
        <v>373.0</v>
      </c>
      <c r="R14" s="6" t="n">
        <v>29227.0</v>
      </c>
      <c r="S14" s="6" t="n">
        <v>0.0</v>
      </c>
      <c r="T14" s="6" t="n">
        <v>0.0</v>
      </c>
      <c r="U14" s="6">
        <f t="shared" si="0"/>
        <v>32691</v>
      </c>
    </row>
    <row r="15" spans="1:21" x14ac:dyDescent="0.45">
      <c r="A15" s="4" t="s">
        <v>5</v>
      </c>
      <c r="B15" s="10" t="n">
        <v>10978.5246973767</v>
      </c>
      <c r="C15" s="10" t="n">
        <v>4407.4861800294</v>
      </c>
      <c r="D15" s="10" t="n">
        <v>4407.5817223416</v>
      </c>
      <c r="E15" s="10" t="n">
        <v>239.334385272</v>
      </c>
      <c r="F15" s="10" t="n">
        <v>19518.6900781032</v>
      </c>
      <c r="G15" s="10" t="n">
        <v>2685.77572214</v>
      </c>
      <c r="H15" s="10" t="n">
        <v>149584.7963929759</v>
      </c>
      <c r="I15" s="10" t="n">
        <v>0.0</v>
      </c>
      <c r="J15" s="6">
        <f t="shared" si="1"/>
        <v>191822.1891782388</v>
      </c>
      <c r="K15" s="6"/>
      <c r="L15" s="4" t="s">
        <v>5</v>
      </c>
      <c r="M15" s="8" t="n">
        <v>8525.0</v>
      </c>
      <c r="N15" s="8" t="n">
        <v>5949.0</v>
      </c>
      <c r="O15" s="8" t="n">
        <v>3632.0</v>
      </c>
      <c r="P15" s="8" t="n">
        <v>0.0</v>
      </c>
      <c r="Q15" s="8" t="n">
        <v>4787.0</v>
      </c>
      <c r="R15" s="8" t="n">
        <v>2379.0</v>
      </c>
      <c r="S15" s="8" t="n">
        <v>116926.0</v>
      </c>
      <c r="T15" s="8" t="n">
        <v>0.0</v>
      </c>
      <c r="U15" s="6">
        <f t="shared" si="0"/>
        <v>141553</v>
      </c>
    </row>
    <row r="16" spans="1:21" ht="14.65" thickBot="1" x14ac:dyDescent="0.5">
      <c r="A16" s="12" t="s">
        <v>7</v>
      </c>
      <c r="B16" s="16">
        <f t="shared" ref="B16:J16" si="2">SUM(B5:B15)</f>
        <v>708638.01161206386</v>
      </c>
      <c r="C16" s="16">
        <f t="shared" si="2"/>
        <v>496808.01385396125</v>
      </c>
      <c r="D16" s="16">
        <f t="shared" si="2"/>
        <v>402290.07893586037</v>
      </c>
      <c r="E16" s="16">
        <f t="shared" si="2"/>
        <v>6879.0883700299992</v>
      </c>
      <c r="F16" s="16">
        <f t="shared" si="2"/>
        <v>106026.92663193791</v>
      </c>
      <c r="G16" s="16">
        <f t="shared" si="2"/>
        <v>17520.3480011676</v>
      </c>
      <c r="H16" s="16">
        <f t="shared" si="2"/>
        <v>149584.7963929759</v>
      </c>
      <c r="I16" s="16">
        <f t="shared" si="2"/>
        <v>5719.8784999999998</v>
      </c>
      <c r="J16" s="16">
        <f t="shared" si="2"/>
        <v>1893467.1422979971</v>
      </c>
      <c r="L16" s="9" t="s">
        <v>7</v>
      </c>
      <c r="M16" s="16">
        <f t="shared" ref="M16:U16" si="3">SUM(M5:M15)</f>
        <v>636847</v>
      </c>
      <c r="N16" s="16">
        <f t="shared" si="3"/>
        <v>578298</v>
      </c>
      <c r="O16" s="16">
        <f t="shared" si="3"/>
        <v>536256</v>
      </c>
      <c r="P16" s="16">
        <f t="shared" si="3"/>
        <v>0</v>
      </c>
      <c r="Q16" s="16">
        <f t="shared" si="3"/>
        <v>29681</v>
      </c>
      <c r="R16" s="16">
        <f t="shared" si="3"/>
        <v>31680</v>
      </c>
      <c r="S16" s="16">
        <f t="shared" si="3"/>
        <v>116464</v>
      </c>
      <c r="T16" s="16">
        <f t="shared" si="3"/>
        <v>0</v>
      </c>
      <c r="U16" s="16">
        <f t="shared" si="3"/>
        <v>1929226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0.98239984723580509</v>
      </c>
      <c r="C22" s="13">
        <f t="shared" si="4"/>
        <v>5.8320636774091716E-2</v>
      </c>
      <c r="D22" s="13">
        <f t="shared" si="4"/>
        <v>3.6347396792399171E-2</v>
      </c>
      <c r="E22" s="13">
        <f t="shared" si="4"/>
        <v>0.50441643680772597</v>
      </c>
      <c r="F22" s="13">
        <f t="shared" si="4"/>
        <v>9.9059149362971891E-3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0.39307914752474266</v>
      </c>
      <c r="K22" s="6"/>
      <c r="L22" t="s">
        <v>1</v>
      </c>
      <c r="M22" s="13">
        <f t="shared" ref="M22:P22" si="5">M5/M$16</f>
        <v>0.98524449357537991</v>
      </c>
      <c r="N22" s="13">
        <f t="shared" si="5"/>
        <v>7.6443287025028617E-2</v>
      </c>
      <c r="O22" s="13">
        <f t="shared" si="5"/>
        <v>2.6364273779687312E-2</v>
      </c>
      <c r="P22" s="13" t="e">
        <f t="shared" si="5"/>
        <v>#DIV/0!</v>
      </c>
      <c r="Q22" s="13">
        <f t="shared" ref="Q22:U33" si="6">Q5/Q$16</f>
        <v>7.5469155351908625E-3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0.35559286470325407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0.93160437022847087</v>
      </c>
      <c r="D23" s="13">
        <f t="shared" si="7"/>
        <v>0.10098549630645595</v>
      </c>
      <c r="E23" s="13">
        <f t="shared" si="7"/>
        <v>0</v>
      </c>
      <c r="F23" s="13">
        <f t="shared" si="7"/>
        <v>7.7847658492811667E-2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0.27024917237583107</v>
      </c>
      <c r="K23" s="6"/>
      <c r="L23" t="s">
        <v>12</v>
      </c>
      <c r="M23" s="13">
        <f t="shared" ref="M23:P23" si="8">M6/M$16</f>
        <v>0</v>
      </c>
      <c r="N23" s="13">
        <f t="shared" si="8"/>
        <v>0.91131043164596803</v>
      </c>
      <c r="O23" s="13">
        <f t="shared" si="8"/>
        <v>0.16987222520587184</v>
      </c>
      <c r="P23" s="13" t="e">
        <f t="shared" si="8"/>
        <v>#DIV/0!</v>
      </c>
      <c r="Q23" s="13">
        <f t="shared" si="6"/>
        <v>9.9693406556382869E-2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0.32192340347890813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0.85171087916120025</v>
      </c>
      <c r="E24" s="13">
        <f t="shared" si="9"/>
        <v>5.47452660554145E-2</v>
      </c>
      <c r="F24" s="13">
        <f t="shared" si="9"/>
        <v>2.4677968311229322E-3</v>
      </c>
      <c r="G24" s="13">
        <f t="shared" si="9"/>
        <v>0</v>
      </c>
      <c r="H24" s="13">
        <f t="shared" si="9"/>
        <v>0</v>
      </c>
      <c r="I24" s="13">
        <f t="shared" si="9"/>
        <v>0.16056479608788893</v>
      </c>
      <c r="J24" s="13">
        <f t="shared" si="9"/>
        <v>0.18177843738664298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0.79535147392290251</v>
      </c>
      <c r="P24" s="13" t="e">
        <f t="shared" si="10"/>
        <v>#DIV/0!</v>
      </c>
      <c r="Q24" s="13">
        <f t="shared" si="6"/>
        <v>4.3967521309928911E-2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0.2217557714855595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0.40604671249685059</v>
      </c>
      <c r="F25" s="13">
        <f t="shared" si="11"/>
        <v>0.71153868058100578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4.1318641845785653E-2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0.67662814595195575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1.0409874218987304E-2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0.83943520391211113</v>
      </c>
      <c r="J30" s="13">
        <f t="shared" si="21"/>
        <v>2.5358070746201188E-3</v>
      </c>
      <c r="K30" s="6"/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2.1077228952384535E-3</v>
      </c>
      <c r="C31" s="13">
        <f t="shared" si="23"/>
        <v>1.2033845347666648E-3</v>
      </c>
      <c r="D31" s="13">
        <f t="shared" si="23"/>
        <v>0</v>
      </c>
      <c r="E31" s="13">
        <f t="shared" si="23"/>
        <v>0</v>
      </c>
      <c r="F31" s="13">
        <f t="shared" si="23"/>
        <v>1.4148127409930397E-2</v>
      </c>
      <c r="G31" s="13">
        <f t="shared" si="23"/>
        <v>0.84670534386868279</v>
      </c>
      <c r="H31" s="13">
        <f t="shared" si="23"/>
        <v>0</v>
      </c>
      <c r="I31" s="13">
        <f t="shared" si="23"/>
        <v>0</v>
      </c>
      <c r="J31" s="13">
        <f t="shared" si="23"/>
        <v>9.7314170266867336E-3</v>
      </c>
      <c r="K31" s="6"/>
      <c r="L31" t="s">
        <v>4</v>
      </c>
      <c r="M31" s="13">
        <f t="shared" ref="M31:P31" si="24">M14/M$16</f>
        <v>1.4430467600538277E-3</v>
      </c>
      <c r="N31" s="13">
        <f t="shared" si="24"/>
        <v>2.1286603100823449E-3</v>
      </c>
      <c r="O31" s="13">
        <f t="shared" si="24"/>
        <v>1.4974191430958349E-3</v>
      </c>
      <c r="P31" s="13" t="e">
        <f t="shared" si="24"/>
        <v>#DIV/0!</v>
      </c>
      <c r="Q31" s="13">
        <f t="shared" si="6"/>
        <v>1.3038644250530642E-2</v>
      </c>
      <c r="R31" s="13">
        <f t="shared" si="6"/>
        <v>0.92648358585858581</v>
      </c>
      <c r="S31" s="13">
        <f t="shared" si="6"/>
        <v>0</v>
      </c>
      <c r="T31" s="13" t="e">
        <f t="shared" si="6"/>
        <v>#DIV/0!</v>
      </c>
      <c r="U31" s="13">
        <f t="shared" si="6"/>
        <v>1.6945137583673452E-2</v>
      </c>
    </row>
    <row r="32" spans="1:21" x14ac:dyDescent="0.45">
      <c r="A32" s="4" t="s">
        <v>5</v>
      </c>
      <c r="B32" s="14">
        <f t="shared" ref="B32:J32" si="25">B15/B$16</f>
        <v>1.5492429868956527E-2</v>
      </c>
      <c r="C32" s="14">
        <f t="shared" si="25"/>
        <v>8.8716084626706496E-3</v>
      </c>
      <c r="D32" s="14">
        <f t="shared" si="25"/>
        <v>1.0956227739944658E-2</v>
      </c>
      <c r="E32" s="14">
        <f t="shared" si="25"/>
        <v>3.4791584640008963E-2</v>
      </c>
      <c r="F32" s="14">
        <f t="shared" si="25"/>
        <v>0.18409182174883199</v>
      </c>
      <c r="G32" s="14">
        <f t="shared" si="25"/>
        <v>0.15329465613131732</v>
      </c>
      <c r="H32" s="14">
        <f t="shared" si="25"/>
        <v>1</v>
      </c>
      <c r="I32" s="14">
        <f t="shared" si="25"/>
        <v>0</v>
      </c>
      <c r="J32" s="14">
        <f t="shared" si="25"/>
        <v>0.10130737676569065</v>
      </c>
      <c r="K32" s="6"/>
      <c r="L32" s="4" t="s">
        <v>5</v>
      </c>
      <c r="M32" s="14">
        <f t="shared" ref="M32:P32" si="26">M15/M$16</f>
        <v>1.3312459664566215E-2</v>
      </c>
      <c r="N32" s="14">
        <f t="shared" si="26"/>
        <v>1.011762101892104E-2</v>
      </c>
      <c r="O32" s="14">
        <f t="shared" si="26"/>
        <v>6.9146079484425351E-3</v>
      </c>
      <c r="P32" s="14" t="e">
        <f t="shared" si="26"/>
        <v>#DIV/0!</v>
      </c>
      <c r="Q32" s="14">
        <f t="shared" si="6"/>
        <v>0.15912536639601091</v>
      </c>
      <c r="R32" s="14">
        <f t="shared" si="6"/>
        <v>7.3516414141414146E-2</v>
      </c>
      <c r="S32" s="14">
        <f t="shared" si="6"/>
        <v>1</v>
      </c>
      <c r="T32" s="14" t="e">
        <f t="shared" si="6"/>
        <v>#DIV/0!</v>
      </c>
      <c r="U32" s="14">
        <f t="shared" si="6"/>
        <v>7.3372948529617579E-2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2.8446463395748189E-3</v>
      </c>
      <c r="N39" s="13">
        <f t="shared" si="29"/>
        <v>1.81226502509369E-2</v>
      </c>
      <c r="O39" s="13">
        <f t="shared" si="29"/>
        <v>-9.9831230127118593E-3</v>
      </c>
      <c r="P39" s="13" t="e">
        <f t="shared" si="29"/>
        <v>#DIV/0!</v>
      </c>
      <c r="Q39" s="13">
        <f t="shared" ref="Q39:Q50" si="30">Q22-F22</f>
        <v>-2.3589994011063266E-3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-3.7486282821488581E-2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-2.0293938582502835E-2</v>
      </c>
      <c r="O40" s="13">
        <f t="shared" si="29"/>
        <v>6.8886728899415883E-2</v>
      </c>
      <c r="P40" s="13" t="e">
        <f t="shared" si="29"/>
        <v>#DIV/0!</v>
      </c>
      <c r="Q40" s="13">
        <f t="shared" si="30"/>
        <v>2.1845748063571202E-2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5.1674231103077062E-2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-5.6359405238297744E-2</v>
      </c>
      <c r="P41" s="13" t="e">
        <f t="shared" si="29"/>
        <v>#DIV/0!</v>
      </c>
      <c r="Q41" s="13">
        <f t="shared" si="30"/>
        <v>4.1499724478805983E-2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3.9977334098916517E-2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-3.4910534629050027E-2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-3.090876762679835E-2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-2.5358070746201188E-3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-6.6467613518462576E-4</v>
      </c>
      <c r="N48" s="13">
        <f t="shared" si="39"/>
        <v>9.2527577531568007E-4</v>
      </c>
      <c r="O48" s="13">
        <f t="shared" si="39"/>
        <v>1.4974191430958349E-3</v>
      </c>
      <c r="P48" s="13" t="e">
        <f t="shared" si="39"/>
        <v>#DIV/0!</v>
      </c>
      <c r="Q48" s="13">
        <f t="shared" si="30"/>
        <v>-1.1094831593997552E-3</v>
      </c>
      <c r="R48" s="13">
        <f t="shared" si="31"/>
        <v>7.977824198990302E-2</v>
      </c>
      <c r="S48" s="13">
        <f t="shared" si="32"/>
        <v>0</v>
      </c>
      <c r="T48" s="13" t="e">
        <f t="shared" si="33"/>
        <v>#DIV/0!</v>
      </c>
      <c r="U48" s="13">
        <f t="shared" si="34"/>
        <v>7.2137205569867188E-3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-2.1799702043903118E-3</v>
      </c>
      <c r="N49" s="17">
        <f t="shared" si="39"/>
        <v>1.2460125562503907E-3</v>
      </c>
      <c r="O49" s="17">
        <f t="shared" si="39"/>
        <v>-4.0416197915021232E-3</v>
      </c>
      <c r="P49" s="17" t="e">
        <f t="shared" si="39"/>
        <v>#DIV/0!</v>
      </c>
      <c r="Q49" s="17">
        <f t="shared" si="30"/>
        <v>-2.4966455352821076E-2</v>
      </c>
      <c r="R49" s="17">
        <f t="shared" si="31"/>
        <v>-7.9778241989903173E-2</v>
      </c>
      <c r="S49" s="17">
        <f t="shared" si="32"/>
        <v>0</v>
      </c>
      <c r="T49" s="17" t="e">
        <f t="shared" si="33"/>
        <v>#DIV/0!</v>
      </c>
      <c r="U49" s="13">
        <f t="shared" si="34"/>
        <v>-2.7934428236073075E-2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730719.5996859462</v>
      </c>
      <c r="C5" s="6" t="n">
        <v>8759.8979467271</v>
      </c>
      <c r="D5" s="6" t="n">
        <v>1391.45300628</v>
      </c>
      <c r="E5" s="6" t="n">
        <v>576.23121301</v>
      </c>
      <c r="F5" s="6" t="n">
        <v>482.690029647</v>
      </c>
      <c r="G5" s="6" t="n">
        <v>0.0</v>
      </c>
      <c r="H5" s="6" t="n">
        <v>0.0</v>
      </c>
      <c r="I5" s="6" t="n">
        <v>0.0</v>
      </c>
      <c r="J5" s="6">
        <f>SUM(B5:I5)</f>
        <v>741929.87188161036</v>
      </c>
      <c r="K5" s="6"/>
      <c r="L5" t="s">
        <v>1</v>
      </c>
      <c r="M5" s="6" t="n">
        <v>631059.0</v>
      </c>
      <c r="N5" s="6" t="n">
        <v>25265.0</v>
      </c>
      <c r="O5" s="6" t="n">
        <v>9030.0</v>
      </c>
      <c r="P5" s="6" t="n">
        <v>0.0</v>
      </c>
      <c r="Q5" s="6" t="n">
        <v>92.0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669151</v>
      </c>
    </row>
    <row r="6" spans="1:21" x14ac:dyDescent="0.45">
      <c r="A6" t="s">
        <v>12</v>
      </c>
      <c r="B6" s="6" t="n">
        <v>0.0</v>
      </c>
      <c r="C6" s="6" t="n">
        <v>496010.0588448719</v>
      </c>
      <c r="D6" s="6" t="n">
        <v>35227.769965072</v>
      </c>
      <c r="E6" s="6" t="n">
        <v>0.0</v>
      </c>
      <c r="F6" s="6" t="n">
        <v>835.830047376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532073.65885731985</v>
      </c>
      <c r="K6" s="6"/>
      <c r="L6" t="s">
        <v>12</v>
      </c>
      <c r="M6" s="6" t="n">
        <v>0.0</v>
      </c>
      <c r="N6" s="6" t="n">
        <v>483115.0</v>
      </c>
      <c r="O6" s="6" t="n">
        <v>84065.0</v>
      </c>
      <c r="P6" s="6" t="n">
        <v>0.0</v>
      </c>
      <c r="Q6" s="6" t="n">
        <v>2137.0</v>
      </c>
      <c r="R6" s="6" t="n">
        <v>0.0</v>
      </c>
      <c r="S6" s="6" t="n">
        <v>0.0</v>
      </c>
      <c r="T6" s="6" t="n">
        <v>0.0</v>
      </c>
      <c r="U6" s="6">
        <f t="shared" si="0"/>
        <v>577147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367822.1174735082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367822.11747350817</v>
      </c>
      <c r="K7" s="6"/>
      <c r="L7" t="s">
        <v>56</v>
      </c>
      <c r="M7" s="6" t="n">
        <v>0.0</v>
      </c>
      <c r="N7" s="6" t="n">
        <v>0.0</v>
      </c>
      <c r="O7" s="6" t="n">
        <v>406801.0</v>
      </c>
      <c r="P7" s="6" t="n">
        <v>0.0</v>
      </c>
      <c r="Q7" s="6" t="n">
        <v>918.0</v>
      </c>
      <c r="R7" s="6" t="n">
        <v>0.0</v>
      </c>
      <c r="S7" s="6" t="n">
        <v>0.0</v>
      </c>
      <c r="T7" s="6" t="n">
        <v>0.0</v>
      </c>
      <c r="U7" s="6">
        <f t="shared" si="0"/>
        <v>424407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983.158032612</v>
      </c>
      <c r="F8" s="6" t="n">
        <v>77355.0619351658</v>
      </c>
      <c r="G8" s="6" t="n">
        <v>0.0</v>
      </c>
      <c r="H8" s="6" t="n">
        <v>0.0</v>
      </c>
      <c r="I8" s="6" t="n">
        <v>0.0</v>
      </c>
      <c r="J8" s="6">
        <f t="shared" si="1"/>
        <v>78338.219967777797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11593.0</v>
      </c>
      <c r="R8" s="6" t="n">
        <v>0.0</v>
      </c>
      <c r="S8" s="6" t="n">
        <v>0.0</v>
      </c>
      <c r="T8" s="6" t="n">
        <v>0.0</v>
      </c>
      <c r="U8" s="6">
        <f t="shared" si="0"/>
        <v>11496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65.3094393907</v>
      </c>
      <c r="G9" s="6" t="n">
        <v>0.0</v>
      </c>
      <c r="H9" s="6" t="n">
        <v>0.0</v>
      </c>
      <c r="I9" s="6" t="n">
        <v>0.0</v>
      </c>
      <c r="J9" s="6">
        <f t="shared" si="1"/>
        <v>65.309439390700007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284.563543833</v>
      </c>
      <c r="C14" s="6" t="n">
        <v>96.3867567495</v>
      </c>
      <c r="D14" s="6" t="n">
        <v>0.0</v>
      </c>
      <c r="E14" s="6" t="n">
        <v>0.0</v>
      </c>
      <c r="F14" s="6" t="n">
        <v>0.0</v>
      </c>
      <c r="G14" s="6" t="n">
        <v>7785.3744466986</v>
      </c>
      <c r="H14" s="6" t="n">
        <v>0.0</v>
      </c>
      <c r="I14" s="6" t="n">
        <v>0.0</v>
      </c>
      <c r="J14" s="6">
        <f t="shared" si="1"/>
        <v>8166.3247472810999</v>
      </c>
      <c r="K14" s="6"/>
      <c r="L14" t="s">
        <v>4</v>
      </c>
      <c r="M14" s="6" t="n">
        <v>925.0</v>
      </c>
      <c r="N14" s="6" t="n">
        <v>778.0</v>
      </c>
      <c r="O14" s="6" t="n">
        <v>521.0</v>
      </c>
      <c r="P14" s="6" t="n">
        <v>0.0</v>
      </c>
      <c r="Q14" s="6" t="n">
        <v>178.0</v>
      </c>
      <c r="R14" s="6" t="n">
        <v>34981.0</v>
      </c>
      <c r="S14" s="6" t="n">
        <v>0.0</v>
      </c>
      <c r="T14" s="6" t="n">
        <v>0.0</v>
      </c>
      <c r="U14" s="6">
        <f t="shared" si="0"/>
        <v>37757</v>
      </c>
    </row>
    <row r="15" spans="1:21" x14ac:dyDescent="0.45">
      <c r="A15" s="4" t="s">
        <v>5</v>
      </c>
      <c r="B15" s="10" t="n">
        <v>8246.9502218851</v>
      </c>
      <c r="C15" s="10" t="n">
        <v>7917.644623086</v>
      </c>
      <c r="D15" s="10" t="n">
        <v>12535.3637717784</v>
      </c>
      <c r="E15" s="10" t="n">
        <v>169.304393408</v>
      </c>
      <c r="F15" s="10" t="n">
        <v>41665.3345938309</v>
      </c>
      <c r="G15" s="10" t="n">
        <v>96.3164214546</v>
      </c>
      <c r="H15" s="10" t="n">
        <v>175896.8382713744</v>
      </c>
      <c r="I15" s="10" t="n">
        <v>0.0</v>
      </c>
      <c r="J15" s="6">
        <f t="shared" si="1"/>
        <v>246527.7522968174</v>
      </c>
      <c r="K15" s="6"/>
      <c r="L15" s="4" t="s">
        <v>5</v>
      </c>
      <c r="M15" s="8" t="n">
        <v>10285.0</v>
      </c>
      <c r="N15" s="8" t="n">
        <v>3964.0</v>
      </c>
      <c r="O15" s="8" t="n">
        <v>2319.0</v>
      </c>
      <c r="P15" s="8" t="n">
        <v>0.0</v>
      </c>
      <c r="Q15" s="8" t="n">
        <v>2447.0</v>
      </c>
      <c r="R15" s="8" t="n">
        <v>2794.0</v>
      </c>
      <c r="S15" s="8" t="n">
        <v>142386.0</v>
      </c>
      <c r="T15" s="8" t="n">
        <v>0.0</v>
      </c>
      <c r="U15" s="6">
        <f t="shared" si="0"/>
        <v>163446</v>
      </c>
    </row>
    <row r="16" spans="1:21" ht="14.65" thickBot="1" x14ac:dyDescent="0.5">
      <c r="A16" s="12" t="s">
        <v>7</v>
      </c>
      <c r="B16" s="16">
        <f t="shared" ref="B16:J16" si="2">SUM(B5:B15)</f>
        <v>739251.11345166434</v>
      </c>
      <c r="C16" s="16">
        <f t="shared" si="2"/>
        <v>512783.98817143444</v>
      </c>
      <c r="D16" s="16">
        <f t="shared" si="2"/>
        <v>416976.70421663858</v>
      </c>
      <c r="E16" s="16">
        <f t="shared" si="2"/>
        <v>1728.6936390300002</v>
      </c>
      <c r="F16" s="16">
        <f t="shared" si="2"/>
        <v>120404.22604541038</v>
      </c>
      <c r="G16" s="16">
        <f t="shared" si="2"/>
        <v>7881.6908681532004</v>
      </c>
      <c r="H16" s="16">
        <f t="shared" si="2"/>
        <v>175896.83827137441</v>
      </c>
      <c r="I16" s="16">
        <f t="shared" si="2"/>
        <v>0</v>
      </c>
      <c r="J16" s="16">
        <f t="shared" si="2"/>
        <v>1974923.2546637056</v>
      </c>
      <c r="L16" s="9" t="s">
        <v>7</v>
      </c>
      <c r="M16" s="16">
        <f t="shared" ref="M16:U16" si="3">SUM(M5:M15)</f>
        <v>645832</v>
      </c>
      <c r="N16" s="16">
        <f t="shared" si="3"/>
        <v>519226</v>
      </c>
      <c r="O16" s="16">
        <f t="shared" si="3"/>
        <v>521164</v>
      </c>
      <c r="P16" s="16">
        <f t="shared" si="3"/>
        <v>0</v>
      </c>
      <c r="Q16" s="16">
        <f t="shared" si="3"/>
        <v>17328</v>
      </c>
      <c r="R16" s="16">
        <f t="shared" si="3"/>
        <v>38009</v>
      </c>
      <c r="S16" s="16">
        <f t="shared" si="3"/>
        <v>141845</v>
      </c>
      <c r="T16" s="16">
        <f t="shared" si="3"/>
        <v>0</v>
      </c>
      <c r="U16" s="16">
        <f t="shared" si="3"/>
        <v>1883404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0.98845924800047535</v>
      </c>
      <c r="C22" s="13">
        <f t="shared" si="4"/>
        <v>1.7083017701009968E-2</v>
      </c>
      <c r="D22" s="13">
        <f t="shared" si="4"/>
        <v>3.3370041832290853E-3</v>
      </c>
      <c r="E22" s="13">
        <f t="shared" si="4"/>
        <v>0.33333333333333331</v>
      </c>
      <c r="F22" s="13">
        <f t="shared" si="4"/>
        <v>4.008912689368177E-3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0.37567529276369166</v>
      </c>
      <c r="K22" s="6"/>
      <c r="L22" t="s">
        <v>1</v>
      </c>
      <c r="M22" s="13">
        <f t="shared" ref="M22:P22" si="5">M5/M$16</f>
        <v>0.98268125456775135</v>
      </c>
      <c r="N22" s="13">
        <f t="shared" si="5"/>
        <v>4.8922819735529421E-2</v>
      </c>
      <c r="O22" s="13">
        <f t="shared" si="5"/>
        <v>1.7293980397725093E-2</v>
      </c>
      <c r="P22" s="13" t="e">
        <f t="shared" si="5"/>
        <v>#DIV/0!</v>
      </c>
      <c r="Q22" s="13">
        <f t="shared" ref="Q22:U33" si="6">Q5/Q$16</f>
        <v>5.1361957525392432E-3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0.35528808476566898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0.96728850800045907</v>
      </c>
      <c r="D23" s="13">
        <f t="shared" si="7"/>
        <v>8.4483784366930853E-2</v>
      </c>
      <c r="E23" s="13">
        <f t="shared" si="7"/>
        <v>0</v>
      </c>
      <c r="F23" s="13">
        <f t="shared" si="7"/>
        <v>6.9418663682183981E-3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0.26941485326118281</v>
      </c>
      <c r="K23" s="6"/>
      <c r="L23" t="s">
        <v>12</v>
      </c>
      <c r="M23" s="13">
        <f t="shared" ref="M23:P23" si="8">M6/M$16</f>
        <v>0</v>
      </c>
      <c r="N23" s="13">
        <f t="shared" si="8"/>
        <v>0.9422775438826253</v>
      </c>
      <c r="O23" s="13">
        <f t="shared" si="8"/>
        <v>0.16460077825789962</v>
      </c>
      <c r="P23" s="13" t="e">
        <f t="shared" si="8"/>
        <v>#DIV/0!</v>
      </c>
      <c r="Q23" s="13">
        <f t="shared" si="6"/>
        <v>0.12165281625115421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0.3064382362998061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0.88211670760965977</v>
      </c>
      <c r="E24" s="13">
        <f t="shared" si="9"/>
        <v>0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0.18624628405428431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0.81253118020431192</v>
      </c>
      <c r="P24" s="13" t="e">
        <f t="shared" si="10"/>
        <v>#DIV/0!</v>
      </c>
      <c r="Q24" s="13">
        <f t="shared" si="6"/>
        <v>5.453601108033241E-2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0.22534039430732863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0.5687289004913948</v>
      </c>
      <c r="F25" s="13">
        <f t="shared" si="11"/>
        <v>0.64246135269364535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3.966646287787897E-2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0.66343490304709141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6.1038417673531546E-3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5.4241816533971644E-4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3.3069355599755213E-5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3.8493488701604246E-4</v>
      </c>
      <c r="C31" s="13">
        <f t="shared" si="23"/>
        <v>1.8796756328763503E-4</v>
      </c>
      <c r="D31" s="13">
        <f t="shared" si="23"/>
        <v>0</v>
      </c>
      <c r="E31" s="13">
        <f t="shared" si="23"/>
        <v>0</v>
      </c>
      <c r="F31" s="13">
        <f t="shared" si="23"/>
        <v>0</v>
      </c>
      <c r="G31" s="13">
        <f t="shared" si="23"/>
        <v>0.98777972606819975</v>
      </c>
      <c r="H31" s="13">
        <f t="shared" si="23"/>
        <v>0</v>
      </c>
      <c r="I31" s="13" t="e">
        <f t="shared" si="23"/>
        <v>#DIV/0!</v>
      </c>
      <c r="J31" s="13">
        <f t="shared" si="23"/>
        <v>4.1350086531193745E-3</v>
      </c>
      <c r="K31" s="6"/>
      <c r="L31" t="s">
        <v>4</v>
      </c>
      <c r="M31" s="13">
        <f t="shared" ref="M31:P31" si="24">M14/M$16</f>
        <v>1.5236160487557136E-3</v>
      </c>
      <c r="N31" s="13">
        <f t="shared" si="24"/>
        <v>1.4598652609846194E-3</v>
      </c>
      <c r="O31" s="13">
        <f t="shared" si="24"/>
        <v>1.0284670468413014E-3</v>
      </c>
      <c r="P31" s="13" t="e">
        <f t="shared" si="24"/>
        <v>#DIV/0!</v>
      </c>
      <c r="Q31" s="13">
        <f t="shared" si="6"/>
        <v>9.464450600184672E-3</v>
      </c>
      <c r="R31" s="13">
        <f t="shared" si="6"/>
        <v>0.92912205004077986</v>
      </c>
      <c r="S31" s="13">
        <f t="shared" si="6"/>
        <v>0</v>
      </c>
      <c r="T31" s="13" t="e">
        <f t="shared" si="6"/>
        <v>#DIV/0!</v>
      </c>
      <c r="U31" s="13">
        <f t="shared" si="6"/>
        <v>2.0047212387782971E-2</v>
      </c>
    </row>
    <row r="32" spans="1:21" x14ac:dyDescent="0.45">
      <c r="A32" s="4" t="s">
        <v>5</v>
      </c>
      <c r="B32" s="14">
        <f t="shared" ref="B32:J32" si="25">B15/B$16</f>
        <v>1.1155817112508581E-2</v>
      </c>
      <c r="C32" s="14">
        <f t="shared" si="25"/>
        <v>1.544050673524339E-2</v>
      </c>
      <c r="D32" s="14">
        <f t="shared" si="25"/>
        <v>3.0062503840180246E-2</v>
      </c>
      <c r="E32" s="14">
        <f t="shared" si="25"/>
        <v>9.7937766175271876E-2</v>
      </c>
      <c r="F32" s="14">
        <f t="shared" si="25"/>
        <v>0.34604545008342852</v>
      </c>
      <c r="G32" s="14">
        <f t="shared" si="25"/>
        <v>1.222027393180017E-2</v>
      </c>
      <c r="H32" s="14">
        <f t="shared" si="25"/>
        <v>1</v>
      </c>
      <c r="I32" s="14" t="e">
        <f t="shared" si="25"/>
        <v>#DIV/0!</v>
      </c>
      <c r="J32" s="14">
        <f t="shared" si="25"/>
        <v>0.12482902903424301</v>
      </c>
      <c r="K32" s="6"/>
      <c r="L32" s="4" t="s">
        <v>5</v>
      </c>
      <c r="M32" s="14">
        <f t="shared" ref="M32:P32" si="26">M15/M$16</f>
        <v>1.5795129383492919E-2</v>
      </c>
      <c r="N32" s="14">
        <f t="shared" si="26"/>
        <v>7.3397711208606654E-3</v>
      </c>
      <c r="O32" s="14">
        <f t="shared" si="26"/>
        <v>4.545594093222095E-3</v>
      </c>
      <c r="P32" s="14" t="e">
        <f t="shared" si="26"/>
        <v>#DIV/0!</v>
      </c>
      <c r="Q32" s="14">
        <f t="shared" si="6"/>
        <v>0.14577562326869806</v>
      </c>
      <c r="R32" s="14">
        <f t="shared" si="6"/>
        <v>7.0877949959220185E-2</v>
      </c>
      <c r="S32" s="14">
        <f t="shared" si="6"/>
        <v>1</v>
      </c>
      <c r="T32" s="14" t="e">
        <f t="shared" si="6"/>
        <v>#DIV/0!</v>
      </c>
      <c r="U32" s="14">
        <f t="shared" si="6"/>
        <v>8.6782230472060157E-2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-5.7779934327240046E-3</v>
      </c>
      <c r="N39" s="13">
        <f t="shared" si="29"/>
        <v>3.1839802034519457E-2</v>
      </c>
      <c r="O39" s="13">
        <f t="shared" si="29"/>
        <v>1.3956976214496007E-2</v>
      </c>
      <c r="P39" s="13" t="e">
        <f t="shared" si="29"/>
        <v>#DIV/0!</v>
      </c>
      <c r="Q39" s="13">
        <f t="shared" ref="Q39:Q50" si="30">Q22-F22</f>
        <v>1.1272830631710662E-3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-2.0387207998022683E-2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-2.5010964117833767E-2</v>
      </c>
      <c r="O40" s="13">
        <f t="shared" si="29"/>
        <v>8.0116993890968768E-2</v>
      </c>
      <c r="P40" s="13" t="e">
        <f t="shared" si="29"/>
        <v>#DIV/0!</v>
      </c>
      <c r="Q40" s="13">
        <f t="shared" si="30"/>
        <v>0.11471094988293581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3.7023383038623292E-2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-6.9585527405347847E-2</v>
      </c>
      <c r="P41" s="13" t="e">
        <f t="shared" si="29"/>
        <v>#DIV/0!</v>
      </c>
      <c r="Q41" s="13">
        <f t="shared" si="30"/>
        <v>5.453601108033241E-2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3.9094110253044323E-2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2.0973550353446058E-2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-3.3562621110525818E-2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-5.4241816533971644E-4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-3.3069355599755213E-5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1.1386811617396712E-3</v>
      </c>
      <c r="N48" s="13">
        <f t="shared" si="39"/>
        <v>1.2718976976969843E-3</v>
      </c>
      <c r="O48" s="13">
        <f t="shared" si="39"/>
        <v>1.0284670468413014E-3</v>
      </c>
      <c r="P48" s="13" t="e">
        <f t="shared" si="39"/>
        <v>#DIV/0!</v>
      </c>
      <c r="Q48" s="13">
        <f t="shared" si="30"/>
        <v>9.464450600184672E-3</v>
      </c>
      <c r="R48" s="13">
        <f t="shared" si="31"/>
        <v>-5.8657676027419892E-2</v>
      </c>
      <c r="S48" s="13">
        <f t="shared" si="32"/>
        <v>0</v>
      </c>
      <c r="T48" s="13" t="e">
        <f t="shared" si="33"/>
        <v>#DIV/0!</v>
      </c>
      <c r="U48" s="13">
        <f t="shared" si="34"/>
        <v>1.5912203734663597E-2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4.6393122709843387E-3</v>
      </c>
      <c r="N49" s="17">
        <f t="shared" si="39"/>
        <v>-8.1007356143827248E-3</v>
      </c>
      <c r="O49" s="17">
        <f t="shared" si="39"/>
        <v>-2.5516909746958152E-2</v>
      </c>
      <c r="P49" s="17" t="e">
        <f t="shared" si="39"/>
        <v>#DIV/0!</v>
      </c>
      <c r="Q49" s="17">
        <f t="shared" si="30"/>
        <v>-0.20026982681473046</v>
      </c>
      <c r="R49" s="17">
        <f t="shared" si="31"/>
        <v>5.8657676027420017E-2</v>
      </c>
      <c r="S49" s="17">
        <f t="shared" si="32"/>
        <v>0</v>
      </c>
      <c r="T49" s="17" t="e">
        <f t="shared" si="33"/>
        <v>#DIV/0!</v>
      </c>
      <c r="U49" s="13">
        <f t="shared" si="34"/>
        <v>-3.8046798562182849E-2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140661.5331899269</v>
      </c>
      <c r="C5" s="6" t="n">
        <v>6655.039925576</v>
      </c>
      <c r="D5" s="6" t="n">
        <v>368.204446166</v>
      </c>
      <c r="E5" s="6" t="n">
        <v>576.648224778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148261.42578644693</v>
      </c>
      <c r="K5" s="6"/>
      <c r="L5" t="s">
        <v>1</v>
      </c>
      <c r="M5" s="6" t="n">
        <v>99939.0</v>
      </c>
      <c r="N5" s="6" t="n">
        <v>13560.0</v>
      </c>
      <c r="O5" s="6" t="n">
        <v>4188.0</v>
      </c>
      <c r="P5" s="6" t="n">
        <v>0.0</v>
      </c>
      <c r="Q5" s="6" t="n">
        <v>36.0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118332</v>
      </c>
    </row>
    <row r="6" spans="1:21" x14ac:dyDescent="0.45">
      <c r="A6" t="s">
        <v>12</v>
      </c>
      <c r="B6" s="6" t="n">
        <v>0.0</v>
      </c>
      <c r="C6" s="6" t="n">
        <v>227764.4292491815</v>
      </c>
      <c r="D6" s="6" t="n">
        <v>1344.7482971880002</v>
      </c>
      <c r="E6" s="6" t="n">
        <v>0.0</v>
      </c>
      <c r="F6" s="6" t="n">
        <v>287.3385349642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229396.51608133368</v>
      </c>
      <c r="K6" s="6"/>
      <c r="L6" t="s">
        <v>12</v>
      </c>
      <c r="M6" s="6" t="n">
        <v>0.0</v>
      </c>
      <c r="N6" s="6" t="n">
        <v>195064.0</v>
      </c>
      <c r="O6" s="6" t="n">
        <v>28801.0</v>
      </c>
      <c r="P6" s="6" t="n">
        <v>0.0</v>
      </c>
      <c r="Q6" s="6" t="n">
        <v>529.0</v>
      </c>
      <c r="R6" s="6" t="n">
        <v>0.0</v>
      </c>
      <c r="S6" s="6" t="n">
        <v>0.0</v>
      </c>
      <c r="T6" s="6" t="n">
        <v>0.0</v>
      </c>
      <c r="U6" s="6">
        <f t="shared" si="0"/>
        <v>224293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102340.0135417199</v>
      </c>
      <c r="E7" s="6" t="n">
        <v>0.0</v>
      </c>
      <c r="F7" s="6" t="n">
        <v>248.97111705</v>
      </c>
      <c r="G7" s="6" t="n">
        <v>0.0</v>
      </c>
      <c r="H7" s="6" t="n">
        <v>0.0</v>
      </c>
      <c r="I7" s="6" t="n">
        <v>0.0</v>
      </c>
      <c r="J7" s="6">
        <f t="shared" si="1"/>
        <v>102588.9846587699</v>
      </c>
      <c r="K7" s="6"/>
      <c r="L7" t="s">
        <v>56</v>
      </c>
      <c r="M7" s="6" t="n">
        <v>0.0</v>
      </c>
      <c r="N7" s="6" t="n">
        <v>0.0</v>
      </c>
      <c r="O7" s="6" t="n">
        <v>142819.0</v>
      </c>
      <c r="P7" s="6" t="n">
        <v>0.0</v>
      </c>
      <c r="Q7" s="6" t="n">
        <v>261.0</v>
      </c>
      <c r="R7" s="6" t="n">
        <v>0.0</v>
      </c>
      <c r="S7" s="6" t="n">
        <v>0.0</v>
      </c>
      <c r="T7" s="6" t="n">
        <v>0.0</v>
      </c>
      <c r="U7" s="6">
        <f t="shared" si="0"/>
        <v>141294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864.9723371670001</v>
      </c>
      <c r="F8" s="6" t="n">
        <v>25218.636807620398</v>
      </c>
      <c r="G8" s="6" t="n">
        <v>0.0</v>
      </c>
      <c r="H8" s="6" t="n">
        <v>0.0</v>
      </c>
      <c r="I8" s="6" t="n">
        <v>0.0</v>
      </c>
      <c r="J8" s="6">
        <f t="shared" si="1"/>
        <v>26083.609144787399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2779.0</v>
      </c>
      <c r="R8" s="6" t="n">
        <v>0.0</v>
      </c>
      <c r="S8" s="6" t="n">
        <v>0.0</v>
      </c>
      <c r="T8" s="6" t="n">
        <v>0.0</v>
      </c>
      <c r="U8" s="6">
        <f t="shared" si="0"/>
        <v>2830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9355.10449488</v>
      </c>
      <c r="E14" s="6" t="n">
        <v>0.0</v>
      </c>
      <c r="F14" s="6" t="n">
        <v>154.9843497444</v>
      </c>
      <c r="G14" s="6" t="n">
        <v>7262.5157185103</v>
      </c>
      <c r="H14" s="6" t="n">
        <v>0.0</v>
      </c>
      <c r="I14" s="6" t="n">
        <v>0.0</v>
      </c>
      <c r="J14" s="6">
        <f t="shared" si="1"/>
        <v>16772.604563134701</v>
      </c>
      <c r="K14" s="6"/>
      <c r="L14" t="s">
        <v>4</v>
      </c>
      <c r="M14" s="6" t="n">
        <v>137.0</v>
      </c>
      <c r="N14" s="6" t="n">
        <v>266.0</v>
      </c>
      <c r="O14" s="6" t="n">
        <v>171.0</v>
      </c>
      <c r="P14" s="6" t="n">
        <v>0.0</v>
      </c>
      <c r="Q14" s="6" t="n">
        <v>35.0</v>
      </c>
      <c r="R14" s="6" t="n">
        <v>2604.0</v>
      </c>
      <c r="S14" s="6" t="n">
        <v>0.0</v>
      </c>
      <c r="T14" s="6" t="n">
        <v>0.0</v>
      </c>
      <c r="U14" s="6">
        <f t="shared" si="0"/>
        <v>3410</v>
      </c>
    </row>
    <row r="15" spans="1:21" x14ac:dyDescent="0.45">
      <c r="A15" s="4" t="s">
        <v>5</v>
      </c>
      <c r="B15" s="10" t="n">
        <v>229.46485907099998</v>
      </c>
      <c r="C15" s="10" t="n">
        <v>2618.0333936714</v>
      </c>
      <c r="D15" s="10" t="n">
        <v>3365.515560164</v>
      </c>
      <c r="E15" s="10" t="n">
        <v>0.0</v>
      </c>
      <c r="F15" s="10" t="n">
        <v>3753.8568361770003</v>
      </c>
      <c r="G15" s="10" t="n">
        <v>1578.8049141098</v>
      </c>
      <c r="H15" s="10" t="n">
        <v>75599.4289508704</v>
      </c>
      <c r="I15" s="10" t="n">
        <v>0.0</v>
      </c>
      <c r="J15" s="6">
        <f t="shared" si="1"/>
        <v>87145.104514063598</v>
      </c>
      <c r="K15" s="6"/>
      <c r="L15" s="4" t="s">
        <v>5</v>
      </c>
      <c r="M15" s="8" t="n">
        <v>1301.0</v>
      </c>
      <c r="N15" s="8" t="n">
        <v>1409.0</v>
      </c>
      <c r="O15" s="8" t="n">
        <v>795.0</v>
      </c>
      <c r="P15" s="8" t="n">
        <v>0.0</v>
      </c>
      <c r="Q15" s="8" t="n">
        <v>517.0</v>
      </c>
      <c r="R15" s="8" t="n">
        <v>179.0</v>
      </c>
      <c r="S15" s="8" t="n">
        <v>104552.0</v>
      </c>
      <c r="T15" s="8" t="n">
        <v>0.0</v>
      </c>
      <c r="U15" s="6">
        <f t="shared" si="0"/>
        <v>109072</v>
      </c>
    </row>
    <row r="16" spans="1:21" ht="14.65" thickBot="1" x14ac:dyDescent="0.5">
      <c r="A16" s="12" t="s">
        <v>7</v>
      </c>
      <c r="B16" s="16">
        <f t="shared" ref="B16:J16" si="2">SUM(B5:B15)</f>
        <v>140890.99804899792</v>
      </c>
      <c r="C16" s="16">
        <f t="shared" si="2"/>
        <v>237037.5025684289</v>
      </c>
      <c r="D16" s="16">
        <f t="shared" si="2"/>
        <v>116773.58634011791</v>
      </c>
      <c r="E16" s="16">
        <f t="shared" si="2"/>
        <v>1441.6205619450002</v>
      </c>
      <c r="F16" s="16">
        <f t="shared" si="2"/>
        <v>29663.787645556</v>
      </c>
      <c r="G16" s="16">
        <f t="shared" si="2"/>
        <v>8841.3206326200998</v>
      </c>
      <c r="H16" s="16">
        <f t="shared" si="2"/>
        <v>75599.428950870395</v>
      </c>
      <c r="I16" s="16">
        <f t="shared" si="2"/>
        <v>0</v>
      </c>
      <c r="J16" s="16">
        <f t="shared" si="2"/>
        <v>610248.24474853626</v>
      </c>
      <c r="L16" s="9" t="s">
        <v>7</v>
      </c>
      <c r="M16" s="16">
        <f t="shared" ref="M16:U16" si="3">SUM(M5:M15)</f>
        <v>101923</v>
      </c>
      <c r="N16" s="16">
        <f t="shared" si="3"/>
        <v>210489</v>
      </c>
      <c r="O16" s="16">
        <f t="shared" si="3"/>
        <v>174769</v>
      </c>
      <c r="P16" s="16">
        <f t="shared" si="3"/>
        <v>0</v>
      </c>
      <c r="Q16" s="16">
        <f t="shared" si="3"/>
        <v>4236</v>
      </c>
      <c r="R16" s="16">
        <f t="shared" si="3"/>
        <v>2957</v>
      </c>
      <c r="S16" s="16">
        <f t="shared" si="3"/>
        <v>104857</v>
      </c>
      <c r="T16" s="16">
        <f t="shared" si="3"/>
        <v>0</v>
      </c>
      <c r="U16" s="16">
        <f t="shared" si="3"/>
        <v>599231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0.99837133058713079</v>
      </c>
      <c r="C22" s="13">
        <f t="shared" si="4"/>
        <v>2.8075894546074193E-2</v>
      </c>
      <c r="D22" s="13">
        <f t="shared" si="4"/>
        <v>3.1531483934522471E-3</v>
      </c>
      <c r="E22" s="13">
        <f t="shared" si="4"/>
        <v>0.39999999999999991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0.24295264601300198</v>
      </c>
      <c r="K22" s="6"/>
      <c r="L22" t="s">
        <v>1</v>
      </c>
      <c r="M22" s="13">
        <f t="shared" ref="M22:P22" si="5">M5/M$16</f>
        <v>0.98637206518646425</v>
      </c>
      <c r="N22" s="13">
        <f t="shared" si="5"/>
        <v>6.4677964169148977E-2</v>
      </c>
      <c r="O22" s="13">
        <f t="shared" si="5"/>
        <v>2.3734186268731867E-2</v>
      </c>
      <c r="P22" s="13" t="e">
        <f t="shared" si="5"/>
        <v>#DIV/0!</v>
      </c>
      <c r="Q22" s="13">
        <f t="shared" ref="Q22:U33" si="6">Q5/Q$16</f>
        <v>8.4985835694051E-3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0.19747309468301874</v>
      </c>
    </row>
    <row r="23" spans="1:21" x14ac:dyDescent="0.45">
      <c r="A23" t="s">
        <v>9</v>
      </c>
      <c r="B23" s="13">
        <f t="shared" ref="B23:J23" si="7">B6/B$16</f>
        <v>0</v>
      </c>
      <c r="C23" s="13">
        <f t="shared" si="7"/>
        <v>0.96087929876593936</v>
      </c>
      <c r="D23" s="13">
        <f t="shared" si="7"/>
        <v>1.1515860215779019E-2</v>
      </c>
      <c r="E23" s="13">
        <f t="shared" si="7"/>
        <v>0</v>
      </c>
      <c r="F23" s="13">
        <f t="shared" si="7"/>
        <v>9.6865086278773594E-3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0.37590688388765564</v>
      </c>
      <c r="K23" s="6"/>
      <c r="L23" t="s">
        <v>12</v>
      </c>
      <c r="M23" s="13">
        <f t="shared" ref="M23:P23" si="8">M6/M$16</f>
        <v>0</v>
      </c>
      <c r="N23" s="13">
        <f t="shared" si="8"/>
        <v>0.9274356379668296</v>
      </c>
      <c r="O23" s="13">
        <f t="shared" si="8"/>
        <v>0.16315250416263755</v>
      </c>
      <c r="P23" s="13" t="e">
        <f t="shared" si="8"/>
        <v>#DIV/0!</v>
      </c>
      <c r="Q23" s="13">
        <f t="shared" si="6"/>
        <v>0.13314447592067988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0.37430139628957781</v>
      </c>
    </row>
    <row r="24" spans="1:21" x14ac:dyDescent="0.45">
      <c r="A24" t="s">
        <v>10</v>
      </c>
      <c r="B24" s="13">
        <f t="shared" ref="B24:J24" si="9">B7/B$16</f>
        <v>0</v>
      </c>
      <c r="C24" s="13">
        <f t="shared" si="9"/>
        <v>0</v>
      </c>
      <c r="D24" s="13">
        <f t="shared" si="9"/>
        <v>0.87639693829083587</v>
      </c>
      <c r="E24" s="13">
        <f t="shared" si="9"/>
        <v>0</v>
      </c>
      <c r="F24" s="13">
        <f t="shared" si="9"/>
        <v>8.3930993582102091E-3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0.16811024946256672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0.80704816071500096</v>
      </c>
      <c r="P24" s="13" t="e">
        <f t="shared" si="10"/>
        <v>#DIV/0!</v>
      </c>
      <c r="Q24" s="13">
        <f t="shared" si="6"/>
        <v>5.8309726156751653E-2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0.23579220701198703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0.6</v>
      </c>
      <c r="F25" s="13">
        <f t="shared" si="11"/>
        <v>0.85014891250404634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4.2742620514272217E-2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0.66808309726156756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4.7227196189783237E-3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8.0113189875252011E-2</v>
      </c>
      <c r="E31" s="13">
        <f t="shared" si="23"/>
        <v>0</v>
      </c>
      <c r="F31" s="13">
        <f t="shared" si="23"/>
        <v>5.2246985987178399E-3</v>
      </c>
      <c r="G31" s="13">
        <f t="shared" si="23"/>
        <v>0.82142883628891472</v>
      </c>
      <c r="H31" s="13">
        <f t="shared" si="23"/>
        <v>0</v>
      </c>
      <c r="I31" s="13" t="e">
        <f t="shared" si="23"/>
        <v>#DIV/0!</v>
      </c>
      <c r="J31" s="13">
        <f t="shared" si="23"/>
        <v>2.7484887842727269E-2</v>
      </c>
      <c r="K31" s="6"/>
      <c r="L31" t="s">
        <v>4</v>
      </c>
      <c r="M31" s="13">
        <f t="shared" ref="M31:P31" si="24">M14/M$16</f>
        <v>1.393208598647999E-3</v>
      </c>
      <c r="N31" s="13">
        <f t="shared" si="24"/>
        <v>1.287478205511927E-3</v>
      </c>
      <c r="O31" s="13">
        <f t="shared" si="24"/>
        <v>1.0585401301146085E-3</v>
      </c>
      <c r="P31" s="13" t="e">
        <f t="shared" si="24"/>
        <v>#DIV/0!</v>
      </c>
      <c r="Q31" s="13">
        <f t="shared" si="6"/>
        <v>6.846081208687441E-3</v>
      </c>
      <c r="R31" s="13">
        <f t="shared" si="6"/>
        <v>0.94115657761244509</v>
      </c>
      <c r="S31" s="13">
        <f t="shared" si="6"/>
        <v>0</v>
      </c>
      <c r="T31" s="13" t="e">
        <f t="shared" si="6"/>
        <v>#DIV/0!</v>
      </c>
      <c r="U31" s="13">
        <f t="shared" si="6"/>
        <v>5.6906268200410193E-3</v>
      </c>
    </row>
    <row r="32" spans="1:21" x14ac:dyDescent="0.45">
      <c r="A32" s="4" t="s">
        <v>5</v>
      </c>
      <c r="B32" s="14">
        <f t="shared" ref="B32:J32" si="25">B15/B$16</f>
        <v>1.6286694128690789E-3</v>
      </c>
      <c r="C32" s="14">
        <f t="shared" si="25"/>
        <v>1.1044806687986497E-2</v>
      </c>
      <c r="D32" s="14">
        <f t="shared" si="25"/>
        <v>2.8820863224680863E-2</v>
      </c>
      <c r="E32" s="14">
        <f t="shared" si="25"/>
        <v>0</v>
      </c>
      <c r="F32" s="14">
        <f t="shared" si="25"/>
        <v>0.12654678091114821</v>
      </c>
      <c r="G32" s="14">
        <f t="shared" si="25"/>
        <v>0.17857116371108528</v>
      </c>
      <c r="H32" s="14">
        <f t="shared" si="25"/>
        <v>1</v>
      </c>
      <c r="I32" s="14" t="e">
        <f t="shared" si="25"/>
        <v>#DIV/0!</v>
      </c>
      <c r="J32" s="14">
        <f t="shared" si="25"/>
        <v>0.14280271227977609</v>
      </c>
      <c r="K32" s="6"/>
      <c r="L32" s="4" t="s">
        <v>5</v>
      </c>
      <c r="M32" s="14">
        <f t="shared" ref="M32:P32" si="26">M15/M$16</f>
        <v>1.223472621488771E-2</v>
      </c>
      <c r="N32" s="14">
        <f t="shared" si="26"/>
        <v>6.5989196585094709E-3</v>
      </c>
      <c r="O32" s="14">
        <f t="shared" si="26"/>
        <v>5.0066087235150396E-3</v>
      </c>
      <c r="P32" s="14" t="e">
        <f t="shared" si="26"/>
        <v>#DIV/0!</v>
      </c>
      <c r="Q32" s="14">
        <f t="shared" si="6"/>
        <v>0.1251180358829084</v>
      </c>
      <c r="R32" s="14">
        <f t="shared" si="6"/>
        <v>5.8843422387554953E-2</v>
      </c>
      <c r="S32" s="14">
        <f t="shared" si="6"/>
        <v>1</v>
      </c>
      <c r="T32" s="14" t="e">
        <f t="shared" si="6"/>
        <v>#DIV/0!</v>
      </c>
      <c r="U32" s="14">
        <f t="shared" si="6"/>
        <v>0.18201995557639708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-1.1999265400666537E-2</v>
      </c>
      <c r="N39" s="13">
        <f t="shared" si="29"/>
        <v>3.6602069623074787E-2</v>
      </c>
      <c r="O39" s="13">
        <f t="shared" si="29"/>
        <v>2.058103787527962E-2</v>
      </c>
      <c r="P39" s="13" t="e">
        <f t="shared" si="29"/>
        <v>#DIV/0!</v>
      </c>
      <c r="Q39" s="13">
        <f t="shared" ref="Q39:Q50" si="30">Q22-F22</f>
        <v>8.4985835694051E-3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-4.5479551329983242E-2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-3.3443660799109765E-2</v>
      </c>
      <c r="O40" s="13">
        <f t="shared" si="29"/>
        <v>0.15163664394685852</v>
      </c>
      <c r="P40" s="13" t="e">
        <f t="shared" si="29"/>
        <v>#DIV/0!</v>
      </c>
      <c r="Q40" s="13">
        <f t="shared" si="30"/>
        <v>0.12345796729280252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-1.605487598077826E-3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-6.9348777575834908E-2</v>
      </c>
      <c r="P41" s="13" t="e">
        <f t="shared" si="29"/>
        <v>#DIV/0!</v>
      </c>
      <c r="Q41" s="13">
        <f t="shared" si="30"/>
        <v>4.9916626798541447E-2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6.7681957549420302E-2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-0.18206581524247878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-3.801990089529389E-2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1.393208598647999E-3</v>
      </c>
      <c r="N48" s="13">
        <f t="shared" si="39"/>
        <v>1.287478205511927E-3</v>
      </c>
      <c r="O48" s="13">
        <f t="shared" si="39"/>
        <v>-7.9054649745137401E-2</v>
      </c>
      <c r="P48" s="13" t="e">
        <f t="shared" si="39"/>
        <v>#DIV/0!</v>
      </c>
      <c r="Q48" s="13">
        <f t="shared" si="30"/>
        <v>1.6213826099696011E-3</v>
      </c>
      <c r="R48" s="13">
        <f t="shared" si="31"/>
        <v>0.11972774132353037</v>
      </c>
      <c r="S48" s="13">
        <f t="shared" si="32"/>
        <v>0</v>
      </c>
      <c r="T48" s="13" t="e">
        <f t="shared" si="33"/>
        <v>#DIV/0!</v>
      </c>
      <c r="U48" s="13">
        <f t="shared" si="34"/>
        <v>-2.1794261022686251E-2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1.0606056802018631E-2</v>
      </c>
      <c r="N49" s="17">
        <f t="shared" si="39"/>
        <v>-4.4458870294770258E-3</v>
      </c>
      <c r="O49" s="17">
        <f t="shared" si="39"/>
        <v>-2.3814254501165824E-2</v>
      </c>
      <c r="P49" s="17" t="e">
        <f t="shared" si="39"/>
        <v>#DIV/0!</v>
      </c>
      <c r="Q49" s="17">
        <f t="shared" si="30"/>
        <v>-1.4287450282398084E-3</v>
      </c>
      <c r="R49" s="17">
        <f t="shared" si="31"/>
        <v>-0.11972774132353033</v>
      </c>
      <c r="S49" s="17">
        <f t="shared" si="32"/>
        <v>0</v>
      </c>
      <c r="T49" s="17" t="e">
        <f t="shared" si="33"/>
        <v>#DIV/0!</v>
      </c>
      <c r="U49" s="13">
        <f t="shared" si="34"/>
        <v>3.9217243296620991E-2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634099.7974480316</v>
      </c>
      <c r="C5" s="6" t="n">
        <v>22207.48819571</v>
      </c>
      <c r="D5" s="6" t="n">
        <v>8175.4429283835</v>
      </c>
      <c r="E5" s="6" t="n">
        <v>2380.8644758418</v>
      </c>
      <c r="F5" s="6" t="n">
        <v>1170.9767563398</v>
      </c>
      <c r="G5" s="6" t="n">
        <v>0.0</v>
      </c>
      <c r="H5" s="6" t="n">
        <v>0.0</v>
      </c>
      <c r="I5" s="6" t="n">
        <v>0.0</v>
      </c>
      <c r="J5" s="6">
        <f>SUM(B5:I5)</f>
        <v>668034.56980430661</v>
      </c>
      <c r="K5" s="6"/>
      <c r="L5" t="s">
        <v>1</v>
      </c>
      <c r="M5" s="6" t="n">
        <v>530327.0</v>
      </c>
      <c r="N5" s="6" t="n">
        <v>47162.0</v>
      </c>
      <c r="O5" s="6" t="n">
        <v>15794.0</v>
      </c>
      <c r="P5" s="6" t="n">
        <v>0.0</v>
      </c>
      <c r="Q5" s="6" t="n">
        <v>102.0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591727</v>
      </c>
    </row>
    <row r="6" spans="1:21" x14ac:dyDescent="0.45">
      <c r="A6" t="s">
        <v>12</v>
      </c>
      <c r="B6" s="6" t="n">
        <v>0.0</v>
      </c>
      <c r="C6" s="6" t="n">
        <v>594836.7086835876</v>
      </c>
      <c r="D6" s="6" t="n">
        <v>42728.3088872137</v>
      </c>
      <c r="E6" s="6" t="n">
        <v>262.3473390995</v>
      </c>
      <c r="F6" s="6" t="n">
        <v>8407.9361075648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646235.30101746565</v>
      </c>
      <c r="K6" s="6"/>
      <c r="L6" t="s">
        <v>12</v>
      </c>
      <c r="M6" s="6" t="n">
        <v>0.0</v>
      </c>
      <c r="N6" s="6" t="n">
        <v>646900.0</v>
      </c>
      <c r="O6" s="6" t="n">
        <v>102989.0</v>
      </c>
      <c r="P6" s="6" t="n">
        <v>0.0</v>
      </c>
      <c r="Q6" s="6" t="n">
        <v>1415.0</v>
      </c>
      <c r="R6" s="6" t="n">
        <v>0.0</v>
      </c>
      <c r="S6" s="6" t="n">
        <v>0.0</v>
      </c>
      <c r="T6" s="6" t="n">
        <v>0.0</v>
      </c>
      <c r="U6" s="6">
        <f t="shared" si="0"/>
        <v>751471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497781.4176410345</v>
      </c>
      <c r="E7" s="6" t="n">
        <v>0.0</v>
      </c>
      <c r="F7" s="6" t="n">
        <v>3158.3612664017</v>
      </c>
      <c r="G7" s="6" t="n">
        <v>0.0</v>
      </c>
      <c r="H7" s="6" t="n">
        <v>0.0</v>
      </c>
      <c r="I7" s="6" t="n">
        <v>0.0</v>
      </c>
      <c r="J7" s="6">
        <f t="shared" si="1"/>
        <v>500939.77890743624</v>
      </c>
      <c r="K7" s="6"/>
      <c r="L7" t="s">
        <v>56</v>
      </c>
      <c r="M7" s="6" t="n">
        <v>0.0</v>
      </c>
      <c r="N7" s="6" t="n">
        <v>0.0</v>
      </c>
      <c r="O7" s="6" t="n">
        <v>555117.0</v>
      </c>
      <c r="P7" s="6" t="n">
        <v>0.0</v>
      </c>
      <c r="Q7" s="6" t="n">
        <v>610.0</v>
      </c>
      <c r="R7" s="6" t="n">
        <v>0.0</v>
      </c>
      <c r="S7" s="6" t="n">
        <v>0.0</v>
      </c>
      <c r="T7" s="6" t="n">
        <v>0.0</v>
      </c>
      <c r="U7" s="6">
        <f t="shared" si="0"/>
        <v>549883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2621.1857803258</v>
      </c>
      <c r="F8" s="6" t="n">
        <v>35578.6968684728</v>
      </c>
      <c r="G8" s="6" t="n">
        <v>0.0</v>
      </c>
      <c r="H8" s="6" t="n">
        <v>0.0</v>
      </c>
      <c r="I8" s="6" t="n">
        <v>0.0</v>
      </c>
      <c r="J8" s="6">
        <f t="shared" si="1"/>
        <v>38199.882648798601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10223.0</v>
      </c>
      <c r="R8" s="6" t="n">
        <v>0.0</v>
      </c>
      <c r="S8" s="6" t="n">
        <v>0.0</v>
      </c>
      <c r="T8" s="6" t="n">
        <v>0.0</v>
      </c>
      <c r="U8" s="6">
        <f t="shared" si="0"/>
        <v>10574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107.691391212</v>
      </c>
      <c r="G9" s="6" t="n">
        <v>0.0</v>
      </c>
      <c r="H9" s="6" t="n">
        <v>0.0</v>
      </c>
      <c r="I9" s="6" t="n">
        <v>0.0</v>
      </c>
      <c r="J9" s="6">
        <f t="shared" si="1"/>
        <v>107.691391212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1490.528010836</v>
      </c>
      <c r="J13" s="6">
        <f t="shared" si="1"/>
        <v>1490.528010836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1934.812701878</v>
      </c>
      <c r="C14" s="6" t="n">
        <v>34.4157929553</v>
      </c>
      <c r="D14" s="6" t="n">
        <v>0.0</v>
      </c>
      <c r="E14" s="6" t="n">
        <v>0.0</v>
      </c>
      <c r="F14" s="6" t="n">
        <v>285.065614854</v>
      </c>
      <c r="G14" s="6" t="n">
        <v>32298.9941528336</v>
      </c>
      <c r="H14" s="6" t="n">
        <v>0.0</v>
      </c>
      <c r="I14" s="6" t="n">
        <v>1490.528010836</v>
      </c>
      <c r="J14" s="6">
        <f t="shared" si="1"/>
        <v>36043.816273356904</v>
      </c>
      <c r="K14" s="6"/>
      <c r="L14" t="s">
        <v>4</v>
      </c>
      <c r="M14" s="6" t="n">
        <v>510.0</v>
      </c>
      <c r="N14" s="6" t="n">
        <v>830.0</v>
      </c>
      <c r="O14" s="6" t="n">
        <v>660.0</v>
      </c>
      <c r="P14" s="6" t="n">
        <v>0.0</v>
      </c>
      <c r="Q14" s="6" t="n">
        <v>160.0</v>
      </c>
      <c r="R14" s="6" t="n">
        <v>24039.0</v>
      </c>
      <c r="S14" s="6" t="n">
        <v>0.0</v>
      </c>
      <c r="T14" s="6" t="n">
        <v>0.0</v>
      </c>
      <c r="U14" s="6">
        <f t="shared" si="0"/>
        <v>26254</v>
      </c>
    </row>
    <row r="15" spans="1:21" x14ac:dyDescent="0.45">
      <c r="A15" s="4" t="s">
        <v>5</v>
      </c>
      <c r="B15" s="10" t="n">
        <v>12459.2262120284</v>
      </c>
      <c r="C15" s="10" t="n">
        <v>10613.4108320905</v>
      </c>
      <c r="D15" s="10" t="n">
        <v>13268.8344658298</v>
      </c>
      <c r="E15" s="10" t="n">
        <v>314.436122055</v>
      </c>
      <c r="F15" s="10" t="n">
        <v>11918.2195557219</v>
      </c>
      <c r="G15" s="10" t="n">
        <v>529.9935652318001</v>
      </c>
      <c r="H15" s="10" t="n">
        <v>709943.0741062714</v>
      </c>
      <c r="I15" s="10" t="n">
        <v>0.0</v>
      </c>
      <c r="J15" s="6">
        <f t="shared" si="1"/>
        <v>759047.1948592288</v>
      </c>
      <c r="K15" s="6"/>
      <c r="L15" s="4" t="s">
        <v>5</v>
      </c>
      <c r="M15" s="8" t="n">
        <v>2392.0</v>
      </c>
      <c r="N15" s="8" t="n">
        <v>2746.0</v>
      </c>
      <c r="O15" s="8" t="n">
        <v>1620.0</v>
      </c>
      <c r="P15" s="8" t="n">
        <v>0.0</v>
      </c>
      <c r="Q15" s="8" t="n">
        <v>1496.0</v>
      </c>
      <c r="R15" s="8" t="n">
        <v>590.0</v>
      </c>
      <c r="S15" s="8" t="n">
        <v>803508.0</v>
      </c>
      <c r="T15" s="8" t="n">
        <v>0.0</v>
      </c>
      <c r="U15" s="6">
        <f t="shared" si="0"/>
        <v>808312</v>
      </c>
    </row>
    <row r="16" spans="1:21" ht="14.65" thickBot="1" x14ac:dyDescent="0.5">
      <c r="A16" s="12" t="s">
        <v>7</v>
      </c>
      <c r="B16" s="16">
        <f t="shared" ref="B16:J16" si="2">SUM(B5:B15)</f>
        <v>648493.83636193804</v>
      </c>
      <c r="C16" s="16">
        <f t="shared" si="2"/>
        <v>627692.02350434347</v>
      </c>
      <c r="D16" s="16">
        <f t="shared" si="2"/>
        <v>561954.00392246153</v>
      </c>
      <c r="E16" s="16">
        <f t="shared" si="2"/>
        <v>5578.8337173220998</v>
      </c>
      <c r="F16" s="16">
        <f t="shared" si="2"/>
        <v>60626.947560567001</v>
      </c>
      <c r="G16" s="16">
        <f t="shared" si="2"/>
        <v>32828.9877180654</v>
      </c>
      <c r="H16" s="16">
        <f t="shared" si="2"/>
        <v>709943.07410627138</v>
      </c>
      <c r="I16" s="16">
        <f t="shared" si="2"/>
        <v>2981.056021672</v>
      </c>
      <c r="J16" s="16">
        <f t="shared" si="2"/>
        <v>2650098.7629126403</v>
      </c>
      <c r="L16" s="9" t="s">
        <v>7</v>
      </c>
      <c r="M16" s="16">
        <f t="shared" ref="M16:U16" si="3">SUM(M5:M15)</f>
        <v>531390</v>
      </c>
      <c r="N16" s="16">
        <f t="shared" si="3"/>
        <v>698993</v>
      </c>
      <c r="O16" s="16">
        <f t="shared" si="3"/>
        <v>669229</v>
      </c>
      <c r="P16" s="16">
        <f t="shared" si="3"/>
        <v>0</v>
      </c>
      <c r="Q16" s="16">
        <f t="shared" si="3"/>
        <v>14394</v>
      </c>
      <c r="R16" s="16">
        <f t="shared" si="3"/>
        <v>24637</v>
      </c>
      <c r="S16" s="16">
        <f t="shared" si="3"/>
        <v>799578</v>
      </c>
      <c r="T16" s="16">
        <f t="shared" si="3"/>
        <v>0</v>
      </c>
      <c r="U16" s="16">
        <f t="shared" si="3"/>
        <v>2738221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0.97780389248623045</v>
      </c>
      <c r="C22" s="13">
        <f t="shared" si="4"/>
        <v>3.5379592800507093E-2</v>
      </c>
      <c r="D22" s="13">
        <f t="shared" si="4"/>
        <v>1.4548242153839246E-2</v>
      </c>
      <c r="E22" s="13">
        <f t="shared" si="4"/>
        <v>0.42676742066165052</v>
      </c>
      <c r="F22" s="13">
        <f t="shared" si="4"/>
        <v>1.9314460045509976E-2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0.25207912216452294</v>
      </c>
      <c r="K22" s="6"/>
      <c r="L22" t="s">
        <v>1</v>
      </c>
      <c r="M22" s="13">
        <f t="shared" ref="M22:P22" si="5">M5/M$16</f>
        <v>0.99462918007489787</v>
      </c>
      <c r="N22" s="13">
        <f t="shared" si="5"/>
        <v>6.79806521667599E-2</v>
      </c>
      <c r="O22" s="13">
        <f t="shared" si="5"/>
        <v>2.3259601720786158E-2</v>
      </c>
      <c r="P22" s="13" t="e">
        <f t="shared" si="5"/>
        <v>#DIV/0!</v>
      </c>
      <c r="Q22" s="13">
        <f t="shared" ref="Q22:U33" si="6">Q5/Q$16</f>
        <v>7.4336529109351119E-3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0.21609906578030041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0.94765695023918284</v>
      </c>
      <c r="D23" s="13">
        <f t="shared" si="7"/>
        <v>7.6035242366756683E-2</v>
      </c>
      <c r="E23" s="13">
        <f t="shared" si="7"/>
        <v>4.7025481022121153E-2</v>
      </c>
      <c r="F23" s="13">
        <f t="shared" si="7"/>
        <v>0.13868315074192342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0.24385328956842678</v>
      </c>
      <c r="K23" s="6"/>
      <c r="L23" t="s">
        <v>12</v>
      </c>
      <c r="M23" s="13">
        <f t="shared" ref="M23:P23" si="8">M6/M$16</f>
        <v>0</v>
      </c>
      <c r="N23" s="13">
        <f t="shared" si="8"/>
        <v>0.92679611956056784</v>
      </c>
      <c r="O23" s="13">
        <f t="shared" si="8"/>
        <v>0.15271454165913312</v>
      </c>
      <c r="P23" s="13" t="e">
        <f t="shared" si="8"/>
        <v>#DIV/0!</v>
      </c>
      <c r="Q23" s="13">
        <f t="shared" si="6"/>
        <v>0.10045852438516048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0.27443767321921786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0.88580455725290719</v>
      </c>
      <c r="E24" s="13">
        <f t="shared" si="9"/>
        <v>0</v>
      </c>
      <c r="F24" s="13">
        <f t="shared" si="9"/>
        <v>5.2095007145897647E-2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0.18902683398745074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0.82072354903926759</v>
      </c>
      <c r="P24" s="13" t="e">
        <f t="shared" si="10"/>
        <v>#DIV/0!</v>
      </c>
      <c r="Q24" s="13">
        <f t="shared" si="6"/>
        <v>4.3837710157009865E-2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0.20081761114241692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0.46984475844603546</v>
      </c>
      <c r="F25" s="13">
        <f t="shared" si="11"/>
        <v>0.58684625071927432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1.4414512841330603E-2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0.73461164374044741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3.8616313292462513E-3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1.7762957817464766E-3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4.0636746342856964E-5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0.5</v>
      </c>
      <c r="J30" s="13">
        <f t="shared" si="21"/>
        <v>5.6244243863493124E-4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2.9835483290517207E-3</v>
      </c>
      <c r="C31" s="13">
        <f t="shared" si="23"/>
        <v>5.482910673798271E-5</v>
      </c>
      <c r="D31" s="13">
        <f t="shared" si="23"/>
        <v>0</v>
      </c>
      <c r="E31" s="13">
        <f t="shared" si="23"/>
        <v>0</v>
      </c>
      <c r="F31" s="13">
        <f t="shared" si="23"/>
        <v>4.7019621855317103E-3</v>
      </c>
      <c r="G31" s="13">
        <f t="shared" si="23"/>
        <v>0.98385592727429261</v>
      </c>
      <c r="H31" s="13">
        <f t="shared" si="23"/>
        <v>0</v>
      </c>
      <c r="I31" s="13">
        <f t="shared" si="23"/>
        <v>0.5</v>
      </c>
      <c r="J31" s="13">
        <f t="shared" si="23"/>
        <v>1.3600933209652262E-2</v>
      </c>
      <c r="K31" s="6"/>
      <c r="L31" t="s">
        <v>4</v>
      </c>
      <c r="M31" s="13">
        <f t="shared" ref="M31:P31" si="24">M14/M$16</f>
        <v>9.8421121963153239E-4</v>
      </c>
      <c r="N31" s="13">
        <f t="shared" si="24"/>
        <v>1.2804133946978009E-3</v>
      </c>
      <c r="O31" s="13">
        <f t="shared" si="24"/>
        <v>9.3391051493584411E-4</v>
      </c>
      <c r="P31" s="13" t="e">
        <f t="shared" si="24"/>
        <v>#DIV/0!</v>
      </c>
      <c r="Q31" s="13">
        <f t="shared" si="6"/>
        <v>1.0004168403501459E-2</v>
      </c>
      <c r="R31" s="13">
        <f t="shared" si="6"/>
        <v>0.97686406624183142</v>
      </c>
      <c r="S31" s="13">
        <f t="shared" si="6"/>
        <v>0</v>
      </c>
      <c r="T31" s="13" t="e">
        <f t="shared" si="6"/>
        <v>#DIV/0!</v>
      </c>
      <c r="U31" s="13">
        <f t="shared" si="6"/>
        <v>9.5879770113515301E-3</v>
      </c>
    </row>
    <row r="32" spans="1:21" x14ac:dyDescent="0.45">
      <c r="A32" s="4" t="s">
        <v>5</v>
      </c>
      <c r="B32" s="14">
        <f t="shared" ref="B32:J32" si="25">B15/B$16</f>
        <v>1.9212559184717745E-2</v>
      </c>
      <c r="C32" s="14">
        <f t="shared" si="25"/>
        <v>1.6908627853571979E-2</v>
      </c>
      <c r="D32" s="14">
        <f t="shared" si="25"/>
        <v>2.3611958226496834E-2</v>
      </c>
      <c r="E32" s="14">
        <f t="shared" si="25"/>
        <v>5.6362339870192929E-2</v>
      </c>
      <c r="F32" s="14">
        <f t="shared" si="25"/>
        <v>0.1965828733801164</v>
      </c>
      <c r="G32" s="14">
        <f t="shared" si="25"/>
        <v>1.6144072725707316E-2</v>
      </c>
      <c r="H32" s="14">
        <f t="shared" si="25"/>
        <v>1</v>
      </c>
      <c r="I32" s="14">
        <f t="shared" si="25"/>
        <v>0</v>
      </c>
      <c r="J32" s="14">
        <f t="shared" si="25"/>
        <v>0.28642222904363906</v>
      </c>
      <c r="K32" s="6"/>
      <c r="L32" s="4" t="s">
        <v>5</v>
      </c>
      <c r="M32" s="14">
        <f t="shared" ref="M32:P32" si="26">M15/M$16</f>
        <v>4.386608705470558E-3</v>
      </c>
      <c r="N32" s="14">
        <f t="shared" si="26"/>
        <v>3.9428148779744572E-3</v>
      </c>
      <c r="O32" s="14">
        <f t="shared" si="26"/>
        <v>2.3683970658773005E-3</v>
      </c>
      <c r="P32" s="14" t="e">
        <f t="shared" si="26"/>
        <v>#DIV/0!</v>
      </c>
      <c r="Q32" s="14">
        <f t="shared" si="6"/>
        <v>0.10365430040294567</v>
      </c>
      <c r="R32" s="14">
        <f t="shared" si="6"/>
        <v>2.3135933758168609E-2</v>
      </c>
      <c r="S32" s="14">
        <f t="shared" si="6"/>
        <v>1</v>
      </c>
      <c r="T32" s="14" t="e">
        <f t="shared" si="6"/>
        <v>#DIV/0!</v>
      </c>
      <c r="U32" s="14">
        <f t="shared" si="6"/>
        <v>0.29519604151746698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1.6825287588667415E-2</v>
      </c>
      <c r="N39" s="13">
        <f t="shared" si="29"/>
        <v>3.2601059366252808E-2</v>
      </c>
      <c r="O39" s="13">
        <f t="shared" si="29"/>
        <v>8.7113595669469114E-3</v>
      </c>
      <c r="P39" s="13" t="e">
        <f t="shared" si="29"/>
        <v>#DIV/0!</v>
      </c>
      <c r="Q39" s="13">
        <f t="shared" ref="Q39:Q50" si="30">Q22-F22</f>
        <v>-1.1880807134574865E-2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-3.5980056384222525E-2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-2.0860830678614994E-2</v>
      </c>
      <c r="O40" s="13">
        <f t="shared" si="29"/>
        <v>7.6679299292376435E-2</v>
      </c>
      <c r="P40" s="13" t="e">
        <f t="shared" si="29"/>
        <v>#DIV/0!</v>
      </c>
      <c r="Q40" s="13">
        <f t="shared" si="30"/>
        <v>-3.8224626356762936E-2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3.058438365079108E-2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-6.5081008213639602E-2</v>
      </c>
      <c r="P41" s="13" t="e">
        <f t="shared" si="29"/>
        <v>#DIV/0!</v>
      </c>
      <c r="Q41" s="13">
        <f t="shared" si="30"/>
        <v>-8.2572969888877815E-3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1.1790777154966181E-2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0.14776539302117309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-1.0552881512084352E-2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-1.7762957817464766E-3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-4.0636746342856964E-5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-5.6244243863493124E-4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-1.9993371094201885E-3</v>
      </c>
      <c r="N48" s="13">
        <f t="shared" si="39"/>
        <v>1.2255842879598181E-3</v>
      </c>
      <c r="O48" s="13">
        <f t="shared" si="39"/>
        <v>9.3391051493584411E-4</v>
      </c>
      <c r="P48" s="13" t="e">
        <f t="shared" si="39"/>
        <v>#DIV/0!</v>
      </c>
      <c r="Q48" s="13">
        <f t="shared" si="30"/>
        <v>5.3022062179697484E-3</v>
      </c>
      <c r="R48" s="13">
        <f t="shared" si="31"/>
        <v>-6.9918610324611885E-3</v>
      </c>
      <c r="S48" s="13">
        <f t="shared" si="32"/>
        <v>0</v>
      </c>
      <c r="T48" s="13" t="e">
        <f t="shared" si="33"/>
        <v>#DIV/0!</v>
      </c>
      <c r="U48" s="13">
        <f t="shared" si="34"/>
        <v>-4.0129561983007316E-3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-1.4825950479247188E-2</v>
      </c>
      <c r="N49" s="17">
        <f t="shared" si="39"/>
        <v>-1.2965812975597523E-2</v>
      </c>
      <c r="O49" s="17">
        <f t="shared" si="39"/>
        <v>-2.1243561160619533E-2</v>
      </c>
      <c r="P49" s="17" t="e">
        <f t="shared" si="39"/>
        <v>#DIV/0!</v>
      </c>
      <c r="Q49" s="17">
        <f t="shared" si="30"/>
        <v>-9.2928572977170734E-2</v>
      </c>
      <c r="R49" s="17">
        <f t="shared" si="31"/>
        <v>6.9918610324612926E-3</v>
      </c>
      <c r="S49" s="17">
        <f t="shared" si="32"/>
        <v>0</v>
      </c>
      <c r="T49" s="17" t="e">
        <f t="shared" si="33"/>
        <v>#DIV/0!</v>
      </c>
      <c r="U49" s="13">
        <f t="shared" si="34"/>
        <v>8.7738124738279133E-3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B3"/>
  <sheetViews>
    <sheetView workbookViewId="0"/>
  </sheetViews>
  <sheetFormatPr defaultRowHeight="14.25" x14ac:dyDescent="0.45"/>
  <sheetData>
    <row r="2" spans="2:2" x14ac:dyDescent="0.45">
      <c r="B2" t="s">
        <v>50</v>
      </c>
    </row>
    <row r="3" spans="2:2" x14ac:dyDescent="0.45">
      <c r="B3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2022-01-21T23:38:52Z</dcterms:modified>
</cp:coreProperties>
</file>